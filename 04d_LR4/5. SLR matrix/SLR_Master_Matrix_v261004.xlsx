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phd\6.pjt\LR1\papers\04d_LR4\5. SLR matrix\"/>
    </mc:Choice>
  </mc:AlternateContent>
  <xr:revisionPtr revIDLastSave="0" documentId="13_ncr:1_{85003B1C-528F-4AB5-9F2C-C03D2DC23B3E}" xr6:coauthVersionLast="47" xr6:coauthVersionMax="47" xr10:uidLastSave="{00000000-0000-0000-0000-000000000000}"/>
  <bookViews>
    <workbookView xWindow="-108" yWindow="-108" windowWidth="30936" windowHeight="16776" tabRatio="752" xr2:uid="{00000000-000D-0000-FFFF-FFFF00000000}"/>
  </bookViews>
  <sheets>
    <sheet name="0_Guide" sheetId="1" r:id="rId1"/>
    <sheet name="1_CodeLists" sheetId="2" r:id="rId2"/>
    <sheet name="Matrix" sheetId="3" r:id="rId3"/>
    <sheet name="Step1_Report" sheetId="4" r:id="rId4"/>
    <sheet name="PRISMA_Shapes" sheetId="5" r:id="rId5"/>
    <sheet name="Step3_Report" sheetId="6" r:id="rId6"/>
    <sheet name="2_DOI_Lookup" sheetId="7" r:id="rId7"/>
    <sheet name="3_Change_Log" sheetId="8" r:id="rId8"/>
  </sheets>
  <definedNames>
    <definedName name="_xlnm._FilterDatabase" localSheetId="7" hidden="1">'3_Change_Log'!$A$1:$F$44</definedName>
    <definedName name="_xlnm._FilterDatabase" localSheetId="2" hidden="1">Matrix!$A$4:$AO$960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3" i="6" l="1"/>
  <c r="A101" i="6"/>
  <c r="A99" i="6"/>
  <c r="E98" i="6"/>
  <c r="D98" i="6"/>
  <c r="C98" i="6"/>
  <c r="B98" i="6"/>
  <c r="A94" i="6"/>
  <c r="A93" i="6"/>
  <c r="A102" i="6" s="1"/>
  <c r="E92" i="6"/>
  <c r="A92" i="6"/>
  <c r="E91" i="6"/>
  <c r="A91" i="6"/>
  <c r="A100" i="6" s="1"/>
  <c r="E90" i="6"/>
  <c r="A90" i="6"/>
  <c r="A77" i="6"/>
  <c r="D76" i="6"/>
  <c r="C76" i="6"/>
  <c r="B76" i="6"/>
  <c r="A72" i="6"/>
  <c r="A71" i="6"/>
  <c r="E71" i="6" s="1"/>
  <c r="E70" i="6"/>
  <c r="E76" i="6" s="1"/>
  <c r="D70" i="6"/>
  <c r="C70" i="6"/>
  <c r="B70" i="6"/>
  <c r="A41" i="6"/>
  <c r="A40" i="6"/>
  <c r="A39" i="6"/>
  <c r="A38" i="6"/>
  <c r="A37" i="6"/>
  <c r="B95" i="5"/>
  <c r="B73" i="5"/>
  <c r="B4" i="4"/>
  <c r="B60" i="5" s="1"/>
  <c r="Y960" i="3"/>
  <c r="S960" i="3"/>
  <c r="T960" i="3" s="1"/>
  <c r="L960" i="3"/>
  <c r="M960" i="3" s="1"/>
  <c r="Y959" i="3"/>
  <c r="S959" i="3"/>
  <c r="T959" i="3" s="1"/>
  <c r="L959" i="3"/>
  <c r="M959" i="3" s="1"/>
  <c r="Y958" i="3"/>
  <c r="T958" i="3"/>
  <c r="S958" i="3"/>
  <c r="L958" i="3"/>
  <c r="M958" i="3" s="1"/>
  <c r="Y957" i="3"/>
  <c r="T957" i="3"/>
  <c r="S957" i="3"/>
  <c r="L957" i="3"/>
  <c r="M957" i="3" s="1"/>
  <c r="Y956" i="3"/>
  <c r="T956" i="3"/>
  <c r="S956" i="3"/>
  <c r="M956" i="3"/>
  <c r="L956" i="3"/>
  <c r="Y955" i="3"/>
  <c r="T955" i="3"/>
  <c r="S955" i="3"/>
  <c r="M955" i="3"/>
  <c r="L955" i="3"/>
  <c r="Y954" i="3"/>
  <c r="T954" i="3"/>
  <c r="S954" i="3"/>
  <c r="M954" i="3"/>
  <c r="L954" i="3"/>
  <c r="Y953" i="3"/>
  <c r="T953" i="3"/>
  <c r="S953" i="3"/>
  <c r="L953" i="3"/>
  <c r="M953" i="3" s="1"/>
  <c r="Y952" i="3"/>
  <c r="T952" i="3"/>
  <c r="S952" i="3"/>
  <c r="M952" i="3"/>
  <c r="L952" i="3"/>
  <c r="Y951" i="3"/>
  <c r="S951" i="3"/>
  <c r="T951" i="3" s="1"/>
  <c r="M951" i="3"/>
  <c r="L951" i="3"/>
  <c r="Y950" i="3"/>
  <c r="S950" i="3"/>
  <c r="T950" i="3" s="1"/>
  <c r="L950" i="3"/>
  <c r="M950" i="3" s="1"/>
  <c r="Y949" i="3"/>
  <c r="S949" i="3"/>
  <c r="T949" i="3" s="1"/>
  <c r="L949" i="3"/>
  <c r="M949" i="3" s="1"/>
  <c r="Y948" i="3"/>
  <c r="S948" i="3"/>
  <c r="T948" i="3" s="1"/>
  <c r="L948" i="3"/>
  <c r="M948" i="3" s="1"/>
  <c r="Y947" i="3"/>
  <c r="S947" i="3"/>
  <c r="T947" i="3" s="1"/>
  <c r="L947" i="3"/>
  <c r="M947" i="3" s="1"/>
  <c r="Y946" i="3"/>
  <c r="T946" i="3"/>
  <c r="S946" i="3"/>
  <c r="L946" i="3"/>
  <c r="M946" i="3" s="1"/>
  <c r="Y945" i="3"/>
  <c r="T945" i="3"/>
  <c r="S945" i="3"/>
  <c r="L945" i="3"/>
  <c r="M945" i="3" s="1"/>
  <c r="Y944" i="3"/>
  <c r="T944" i="3"/>
  <c r="S944" i="3"/>
  <c r="M944" i="3"/>
  <c r="L944" i="3"/>
  <c r="Y943" i="3"/>
  <c r="T943" i="3"/>
  <c r="S943" i="3"/>
  <c r="M943" i="3"/>
  <c r="L943" i="3"/>
  <c r="Y942" i="3"/>
  <c r="T942" i="3"/>
  <c r="S942" i="3"/>
  <c r="M942" i="3"/>
  <c r="L942" i="3"/>
  <c r="Y941" i="3"/>
  <c r="T941" i="3"/>
  <c r="S941" i="3"/>
  <c r="L941" i="3"/>
  <c r="M941" i="3" s="1"/>
  <c r="Y940" i="3"/>
  <c r="S940" i="3"/>
  <c r="T940" i="3" s="1"/>
  <c r="M940" i="3"/>
  <c r="L940" i="3"/>
  <c r="Y939" i="3"/>
  <c r="S939" i="3"/>
  <c r="T939" i="3" s="1"/>
  <c r="M939" i="3"/>
  <c r="L939" i="3"/>
  <c r="Y938" i="3"/>
  <c r="S938" i="3"/>
  <c r="T938" i="3" s="1"/>
  <c r="L938" i="3"/>
  <c r="M938" i="3" s="1"/>
  <c r="Y937" i="3"/>
  <c r="S937" i="3"/>
  <c r="T937" i="3" s="1"/>
  <c r="L937" i="3"/>
  <c r="M937" i="3" s="1"/>
  <c r="Y936" i="3"/>
  <c r="T936" i="3"/>
  <c r="S936" i="3"/>
  <c r="L936" i="3"/>
  <c r="M936" i="3" s="1"/>
  <c r="Y935" i="3"/>
  <c r="S935" i="3"/>
  <c r="T935" i="3" s="1"/>
  <c r="L935" i="3"/>
  <c r="M935" i="3" s="1"/>
  <c r="Y934" i="3"/>
  <c r="T934" i="3"/>
  <c r="S934" i="3"/>
  <c r="L934" i="3"/>
  <c r="M934" i="3" s="1"/>
  <c r="Y933" i="3"/>
  <c r="T933" i="3"/>
  <c r="S933" i="3"/>
  <c r="L933" i="3"/>
  <c r="M933" i="3" s="1"/>
  <c r="Y932" i="3"/>
  <c r="T932" i="3"/>
  <c r="S932" i="3"/>
  <c r="M932" i="3"/>
  <c r="L932" i="3"/>
  <c r="Y931" i="3"/>
  <c r="S931" i="3"/>
  <c r="T931" i="3" s="1"/>
  <c r="M931" i="3"/>
  <c r="L931" i="3"/>
  <c r="Y930" i="3"/>
  <c r="T930" i="3"/>
  <c r="S930" i="3"/>
  <c r="M930" i="3"/>
  <c r="L930" i="3"/>
  <c r="Y929" i="3"/>
  <c r="T929" i="3"/>
  <c r="S929" i="3"/>
  <c r="L929" i="3"/>
  <c r="M929" i="3" s="1"/>
  <c r="Y928" i="3"/>
  <c r="S928" i="3"/>
  <c r="T928" i="3" s="1"/>
  <c r="M928" i="3"/>
  <c r="L928" i="3"/>
  <c r="Y927" i="3"/>
  <c r="S927" i="3"/>
  <c r="T927" i="3" s="1"/>
  <c r="M927" i="3"/>
  <c r="L927" i="3"/>
  <c r="Y926" i="3"/>
  <c r="T926" i="3"/>
  <c r="S926" i="3"/>
  <c r="L926" i="3"/>
  <c r="M926" i="3" s="1"/>
  <c r="Y925" i="3"/>
  <c r="S925" i="3"/>
  <c r="T925" i="3" s="1"/>
  <c r="L925" i="3"/>
  <c r="M925" i="3" s="1"/>
  <c r="Y924" i="3"/>
  <c r="T924" i="3"/>
  <c r="S924" i="3"/>
  <c r="L924" i="3"/>
  <c r="M924" i="3" s="1"/>
  <c r="Y923" i="3"/>
  <c r="S923" i="3"/>
  <c r="T923" i="3" s="1"/>
  <c r="L923" i="3"/>
  <c r="M923" i="3" s="1"/>
  <c r="Y922" i="3"/>
  <c r="T922" i="3"/>
  <c r="S922" i="3"/>
  <c r="M922" i="3"/>
  <c r="L922" i="3"/>
  <c r="Y921" i="3"/>
  <c r="T921" i="3"/>
  <c r="S921" i="3"/>
  <c r="L921" i="3"/>
  <c r="M921" i="3" s="1"/>
  <c r="Y920" i="3"/>
  <c r="T920" i="3"/>
  <c r="S920" i="3"/>
  <c r="M920" i="3"/>
  <c r="L920" i="3"/>
  <c r="Y919" i="3"/>
  <c r="S919" i="3"/>
  <c r="T919" i="3" s="1"/>
  <c r="M919" i="3"/>
  <c r="L919" i="3"/>
  <c r="Y918" i="3"/>
  <c r="T918" i="3"/>
  <c r="S918" i="3"/>
  <c r="M918" i="3"/>
  <c r="L918" i="3"/>
  <c r="Y917" i="3"/>
  <c r="T917" i="3"/>
  <c r="S917" i="3"/>
  <c r="L917" i="3"/>
  <c r="M917" i="3" s="1"/>
  <c r="Y916" i="3"/>
  <c r="S916" i="3"/>
  <c r="T916" i="3" s="1"/>
  <c r="M916" i="3"/>
  <c r="L916" i="3"/>
  <c r="Y915" i="3"/>
  <c r="S915" i="3"/>
  <c r="T915" i="3" s="1"/>
  <c r="M915" i="3"/>
  <c r="L915" i="3"/>
  <c r="Y914" i="3"/>
  <c r="S914" i="3"/>
  <c r="T914" i="3" s="1"/>
  <c r="L914" i="3"/>
  <c r="M914" i="3" s="1"/>
  <c r="Y913" i="3"/>
  <c r="S913" i="3"/>
  <c r="T913" i="3" s="1"/>
  <c r="L913" i="3"/>
  <c r="M913" i="3" s="1"/>
  <c r="Y912" i="3"/>
  <c r="S912" i="3"/>
  <c r="T912" i="3" s="1"/>
  <c r="L912" i="3"/>
  <c r="M912" i="3" s="1"/>
  <c r="Y911" i="3"/>
  <c r="S911" i="3"/>
  <c r="T911" i="3" s="1"/>
  <c r="L911" i="3"/>
  <c r="M911" i="3" s="1"/>
  <c r="Y910" i="3"/>
  <c r="T910" i="3"/>
  <c r="S910" i="3"/>
  <c r="L910" i="3"/>
  <c r="M910" i="3" s="1"/>
  <c r="Y909" i="3"/>
  <c r="T909" i="3"/>
  <c r="S909" i="3"/>
  <c r="L909" i="3"/>
  <c r="M909" i="3" s="1"/>
  <c r="Y908" i="3"/>
  <c r="T908" i="3"/>
  <c r="S908" i="3"/>
  <c r="M908" i="3"/>
  <c r="L908" i="3"/>
  <c r="Y907" i="3"/>
  <c r="T907" i="3"/>
  <c r="S907" i="3"/>
  <c r="M907" i="3"/>
  <c r="L907" i="3"/>
  <c r="Y906" i="3"/>
  <c r="T906" i="3"/>
  <c r="S906" i="3"/>
  <c r="M906" i="3"/>
  <c r="L906" i="3"/>
  <c r="Y905" i="3"/>
  <c r="T905" i="3"/>
  <c r="S905" i="3"/>
  <c r="M905" i="3"/>
  <c r="L905" i="3"/>
  <c r="Y904" i="3"/>
  <c r="S904" i="3"/>
  <c r="T904" i="3" s="1"/>
  <c r="M904" i="3"/>
  <c r="L904" i="3"/>
  <c r="Y903" i="3"/>
  <c r="S903" i="3"/>
  <c r="T903" i="3" s="1"/>
  <c r="M903" i="3"/>
  <c r="L903" i="3"/>
  <c r="Y902" i="3"/>
  <c r="S902" i="3"/>
  <c r="T902" i="3" s="1"/>
  <c r="L902" i="3"/>
  <c r="M902" i="3" s="1"/>
  <c r="Y901" i="3"/>
  <c r="S901" i="3"/>
  <c r="T901" i="3" s="1"/>
  <c r="L901" i="3"/>
  <c r="M901" i="3" s="1"/>
  <c r="Y900" i="3"/>
  <c r="S900" i="3"/>
  <c r="T900" i="3" s="1"/>
  <c r="L900" i="3"/>
  <c r="M900" i="3" s="1"/>
  <c r="Y899" i="3"/>
  <c r="S899" i="3"/>
  <c r="T899" i="3" s="1"/>
  <c r="L899" i="3"/>
  <c r="M899" i="3" s="1"/>
  <c r="Y898" i="3"/>
  <c r="T898" i="3"/>
  <c r="S898" i="3"/>
  <c r="L898" i="3"/>
  <c r="M898" i="3" s="1"/>
  <c r="Y897" i="3"/>
  <c r="T897" i="3"/>
  <c r="S897" i="3"/>
  <c r="L897" i="3"/>
  <c r="M897" i="3" s="1"/>
  <c r="Y896" i="3"/>
  <c r="T896" i="3"/>
  <c r="S896" i="3"/>
  <c r="M896" i="3"/>
  <c r="L896" i="3"/>
  <c r="Y895" i="3"/>
  <c r="T895" i="3"/>
  <c r="S895" i="3"/>
  <c r="M895" i="3"/>
  <c r="L895" i="3"/>
  <c r="Y894" i="3"/>
  <c r="T894" i="3"/>
  <c r="S894" i="3"/>
  <c r="M894" i="3"/>
  <c r="L894" i="3"/>
  <c r="Y893" i="3"/>
  <c r="T893" i="3"/>
  <c r="S893" i="3"/>
  <c r="M893" i="3"/>
  <c r="L893" i="3"/>
  <c r="Y892" i="3"/>
  <c r="S892" i="3"/>
  <c r="T892" i="3" s="1"/>
  <c r="M892" i="3"/>
  <c r="L892" i="3"/>
  <c r="Y891" i="3"/>
  <c r="S891" i="3"/>
  <c r="T891" i="3" s="1"/>
  <c r="M891" i="3"/>
  <c r="L891" i="3"/>
  <c r="Y890" i="3"/>
  <c r="S890" i="3"/>
  <c r="T890" i="3" s="1"/>
  <c r="L890" i="3"/>
  <c r="M890" i="3" s="1"/>
  <c r="Y889" i="3"/>
  <c r="S889" i="3"/>
  <c r="T889" i="3" s="1"/>
  <c r="L889" i="3"/>
  <c r="M889" i="3" s="1"/>
  <c r="Y888" i="3"/>
  <c r="S888" i="3"/>
  <c r="T888" i="3" s="1"/>
  <c r="L888" i="3"/>
  <c r="M888" i="3" s="1"/>
  <c r="Y887" i="3"/>
  <c r="S887" i="3"/>
  <c r="T887" i="3" s="1"/>
  <c r="L887" i="3"/>
  <c r="M887" i="3" s="1"/>
  <c r="Y886" i="3"/>
  <c r="T886" i="3"/>
  <c r="S886" i="3"/>
  <c r="L886" i="3"/>
  <c r="M886" i="3" s="1"/>
  <c r="Y885" i="3"/>
  <c r="T885" i="3"/>
  <c r="S885" i="3"/>
  <c r="L885" i="3"/>
  <c r="M885" i="3" s="1"/>
  <c r="Y884" i="3"/>
  <c r="T884" i="3"/>
  <c r="S884" i="3"/>
  <c r="M884" i="3"/>
  <c r="L884" i="3"/>
  <c r="Y883" i="3"/>
  <c r="T883" i="3"/>
  <c r="S883" i="3"/>
  <c r="M883" i="3"/>
  <c r="L883" i="3"/>
  <c r="Y882" i="3"/>
  <c r="T882" i="3"/>
  <c r="S882" i="3"/>
  <c r="M882" i="3"/>
  <c r="L882" i="3"/>
  <c r="Y881" i="3"/>
  <c r="T881" i="3"/>
  <c r="S881" i="3"/>
  <c r="M881" i="3"/>
  <c r="L881" i="3"/>
  <c r="Y880" i="3"/>
  <c r="S880" i="3"/>
  <c r="T880" i="3" s="1"/>
  <c r="M880" i="3"/>
  <c r="L880" i="3"/>
  <c r="Y879" i="3"/>
  <c r="S879" i="3"/>
  <c r="T879" i="3" s="1"/>
  <c r="M879" i="3"/>
  <c r="L879" i="3"/>
  <c r="Y878" i="3"/>
  <c r="S878" i="3"/>
  <c r="T878" i="3" s="1"/>
  <c r="L878" i="3"/>
  <c r="M878" i="3" s="1"/>
  <c r="Y877" i="3"/>
  <c r="S877" i="3"/>
  <c r="T877" i="3" s="1"/>
  <c r="L877" i="3"/>
  <c r="M877" i="3" s="1"/>
  <c r="Y876" i="3"/>
  <c r="S876" i="3"/>
  <c r="T876" i="3" s="1"/>
  <c r="L876" i="3"/>
  <c r="M876" i="3" s="1"/>
  <c r="Y875" i="3"/>
  <c r="S875" i="3"/>
  <c r="T875" i="3" s="1"/>
  <c r="L875" i="3"/>
  <c r="M875" i="3" s="1"/>
  <c r="Y874" i="3"/>
  <c r="T874" i="3"/>
  <c r="S874" i="3"/>
  <c r="L874" i="3"/>
  <c r="M874" i="3" s="1"/>
  <c r="Y873" i="3"/>
  <c r="T873" i="3"/>
  <c r="S873" i="3"/>
  <c r="L873" i="3"/>
  <c r="M873" i="3" s="1"/>
  <c r="Y872" i="3"/>
  <c r="T872" i="3"/>
  <c r="S872" i="3"/>
  <c r="M872" i="3"/>
  <c r="L872" i="3"/>
  <c r="Y871" i="3"/>
  <c r="T871" i="3"/>
  <c r="S871" i="3"/>
  <c r="L871" i="3"/>
  <c r="M871" i="3" s="1"/>
  <c r="Y870" i="3"/>
  <c r="T870" i="3"/>
  <c r="S870" i="3"/>
  <c r="M870" i="3"/>
  <c r="L870" i="3"/>
  <c r="Y869" i="3"/>
  <c r="T869" i="3"/>
  <c r="S869" i="3"/>
  <c r="M869" i="3"/>
  <c r="L869" i="3"/>
  <c r="Y868" i="3"/>
  <c r="S868" i="3"/>
  <c r="T868" i="3" s="1"/>
  <c r="M868" i="3"/>
  <c r="L868" i="3"/>
  <c r="Y867" i="3"/>
  <c r="S867" i="3"/>
  <c r="T867" i="3" s="1"/>
  <c r="M867" i="3"/>
  <c r="L867" i="3"/>
  <c r="Y866" i="3"/>
  <c r="T866" i="3"/>
  <c r="S866" i="3"/>
  <c r="L866" i="3"/>
  <c r="M866" i="3" s="1"/>
  <c r="Y865" i="3"/>
  <c r="S865" i="3"/>
  <c r="T865" i="3" s="1"/>
  <c r="L865" i="3"/>
  <c r="M865" i="3" s="1"/>
  <c r="Y864" i="3"/>
  <c r="S864" i="3"/>
  <c r="T864" i="3" s="1"/>
  <c r="L864" i="3"/>
  <c r="M864" i="3" s="1"/>
  <c r="Y863" i="3"/>
  <c r="S863" i="3"/>
  <c r="T863" i="3" s="1"/>
  <c r="L863" i="3"/>
  <c r="M863" i="3" s="1"/>
  <c r="Y862" i="3"/>
  <c r="T862" i="3"/>
  <c r="S862" i="3"/>
  <c r="L862" i="3"/>
  <c r="M862" i="3" s="1"/>
  <c r="Y861" i="3"/>
  <c r="T861" i="3"/>
  <c r="S861" i="3"/>
  <c r="L861" i="3"/>
  <c r="M861" i="3" s="1"/>
  <c r="Y860" i="3"/>
  <c r="T860" i="3"/>
  <c r="S860" i="3"/>
  <c r="M860" i="3"/>
  <c r="L860" i="3"/>
  <c r="Y859" i="3"/>
  <c r="T859" i="3"/>
  <c r="S859" i="3"/>
  <c r="L859" i="3"/>
  <c r="M859" i="3" s="1"/>
  <c r="Y858" i="3"/>
  <c r="T858" i="3"/>
  <c r="S858" i="3"/>
  <c r="M858" i="3"/>
  <c r="L858" i="3"/>
  <c r="Y857" i="3"/>
  <c r="T857" i="3"/>
  <c r="S857" i="3"/>
  <c r="M857" i="3"/>
  <c r="L857" i="3"/>
  <c r="Y856" i="3"/>
  <c r="S856" i="3"/>
  <c r="T856" i="3" s="1"/>
  <c r="M856" i="3"/>
  <c r="L856" i="3"/>
  <c r="Y855" i="3"/>
  <c r="S855" i="3"/>
  <c r="T855" i="3" s="1"/>
  <c r="M855" i="3"/>
  <c r="L855" i="3"/>
  <c r="Y854" i="3"/>
  <c r="S854" i="3"/>
  <c r="T854" i="3" s="1"/>
  <c r="L854" i="3"/>
  <c r="M854" i="3" s="1"/>
  <c r="Y853" i="3"/>
  <c r="S853" i="3"/>
  <c r="T853" i="3" s="1"/>
  <c r="L853" i="3"/>
  <c r="M853" i="3" s="1"/>
  <c r="Y852" i="3"/>
  <c r="S852" i="3"/>
  <c r="T852" i="3" s="1"/>
  <c r="L852" i="3"/>
  <c r="M852" i="3" s="1"/>
  <c r="Y851" i="3"/>
  <c r="S851" i="3"/>
  <c r="T851" i="3" s="1"/>
  <c r="L851" i="3"/>
  <c r="M851" i="3" s="1"/>
  <c r="Y850" i="3"/>
  <c r="T850" i="3"/>
  <c r="S850" i="3"/>
  <c r="L850" i="3"/>
  <c r="M850" i="3" s="1"/>
  <c r="Y849" i="3"/>
  <c r="T849" i="3"/>
  <c r="S849" i="3"/>
  <c r="L849" i="3"/>
  <c r="M849" i="3" s="1"/>
  <c r="Y848" i="3"/>
  <c r="T848" i="3"/>
  <c r="S848" i="3"/>
  <c r="M848" i="3"/>
  <c r="L848" i="3"/>
  <c r="Y847" i="3"/>
  <c r="T847" i="3"/>
  <c r="S847" i="3"/>
  <c r="M847" i="3"/>
  <c r="L847" i="3"/>
  <c r="Y846" i="3"/>
  <c r="T846" i="3"/>
  <c r="S846" i="3"/>
  <c r="M846" i="3"/>
  <c r="L846" i="3"/>
  <c r="Y845" i="3"/>
  <c r="T845" i="3"/>
  <c r="S845" i="3"/>
  <c r="M845" i="3"/>
  <c r="L845" i="3"/>
  <c r="Y844" i="3"/>
  <c r="S844" i="3"/>
  <c r="T844" i="3" s="1"/>
  <c r="M844" i="3"/>
  <c r="L844" i="3"/>
  <c r="Y843" i="3"/>
  <c r="S843" i="3"/>
  <c r="T843" i="3" s="1"/>
  <c r="M843" i="3"/>
  <c r="L843" i="3"/>
  <c r="Y842" i="3"/>
  <c r="S842" i="3"/>
  <c r="T842" i="3" s="1"/>
  <c r="L842" i="3"/>
  <c r="M842" i="3" s="1"/>
  <c r="Y841" i="3"/>
  <c r="S841" i="3"/>
  <c r="T841" i="3" s="1"/>
  <c r="L841" i="3"/>
  <c r="M841" i="3" s="1"/>
  <c r="Y840" i="3"/>
  <c r="S840" i="3"/>
  <c r="T840" i="3" s="1"/>
  <c r="L840" i="3"/>
  <c r="M840" i="3" s="1"/>
  <c r="Y839" i="3"/>
  <c r="S839" i="3"/>
  <c r="T839" i="3" s="1"/>
  <c r="L839" i="3"/>
  <c r="M839" i="3" s="1"/>
  <c r="Y838" i="3"/>
  <c r="T838" i="3"/>
  <c r="S838" i="3"/>
  <c r="L838" i="3"/>
  <c r="M838" i="3" s="1"/>
  <c r="Y837" i="3"/>
  <c r="T837" i="3"/>
  <c r="S837" i="3"/>
  <c r="L837" i="3"/>
  <c r="M837" i="3" s="1"/>
  <c r="Y836" i="3"/>
  <c r="T836" i="3"/>
  <c r="S836" i="3"/>
  <c r="M836" i="3"/>
  <c r="L836" i="3"/>
  <c r="Y835" i="3"/>
  <c r="T835" i="3"/>
  <c r="S835" i="3"/>
  <c r="M835" i="3"/>
  <c r="L835" i="3"/>
  <c r="Y834" i="3"/>
  <c r="T834" i="3"/>
  <c r="S834" i="3"/>
  <c r="M834" i="3"/>
  <c r="L834" i="3"/>
  <c r="Y833" i="3"/>
  <c r="T833" i="3"/>
  <c r="S833" i="3"/>
  <c r="M833" i="3"/>
  <c r="L833" i="3"/>
  <c r="Y832" i="3"/>
  <c r="S832" i="3"/>
  <c r="T832" i="3" s="1"/>
  <c r="M832" i="3"/>
  <c r="L832" i="3"/>
  <c r="Y831" i="3"/>
  <c r="S831" i="3"/>
  <c r="T831" i="3" s="1"/>
  <c r="M831" i="3"/>
  <c r="L831" i="3"/>
  <c r="Y830" i="3"/>
  <c r="S830" i="3"/>
  <c r="T830" i="3" s="1"/>
  <c r="L830" i="3"/>
  <c r="M830" i="3" s="1"/>
  <c r="Y829" i="3"/>
  <c r="S829" i="3"/>
  <c r="T829" i="3" s="1"/>
  <c r="L829" i="3"/>
  <c r="M829" i="3" s="1"/>
  <c r="Y828" i="3"/>
  <c r="S828" i="3"/>
  <c r="T828" i="3" s="1"/>
  <c r="L828" i="3"/>
  <c r="M828" i="3" s="1"/>
  <c r="Y827" i="3"/>
  <c r="S827" i="3"/>
  <c r="T827" i="3" s="1"/>
  <c r="L827" i="3"/>
  <c r="M827" i="3" s="1"/>
  <c r="Y826" i="3"/>
  <c r="T826" i="3"/>
  <c r="S826" i="3"/>
  <c r="L826" i="3"/>
  <c r="M826" i="3" s="1"/>
  <c r="Y825" i="3"/>
  <c r="T825" i="3"/>
  <c r="S825" i="3"/>
  <c r="L825" i="3"/>
  <c r="M825" i="3" s="1"/>
  <c r="Y824" i="3"/>
  <c r="T824" i="3"/>
  <c r="S824" i="3"/>
  <c r="M824" i="3"/>
  <c r="L824" i="3"/>
  <c r="Y823" i="3"/>
  <c r="T823" i="3"/>
  <c r="S823" i="3"/>
  <c r="M823" i="3"/>
  <c r="L823" i="3"/>
  <c r="Y822" i="3"/>
  <c r="T822" i="3"/>
  <c r="S822" i="3"/>
  <c r="M822" i="3"/>
  <c r="L822" i="3"/>
  <c r="Y821" i="3"/>
  <c r="T821" i="3"/>
  <c r="S821" i="3"/>
  <c r="M821" i="3"/>
  <c r="L821" i="3"/>
  <c r="Y820" i="3"/>
  <c r="S820" i="3"/>
  <c r="T820" i="3" s="1"/>
  <c r="M820" i="3"/>
  <c r="L820" i="3"/>
  <c r="Y819" i="3"/>
  <c r="S819" i="3"/>
  <c r="T819" i="3" s="1"/>
  <c r="M819" i="3"/>
  <c r="L819" i="3"/>
  <c r="Y818" i="3"/>
  <c r="S818" i="3"/>
  <c r="T818" i="3" s="1"/>
  <c r="L818" i="3"/>
  <c r="M818" i="3" s="1"/>
  <c r="Y817" i="3"/>
  <c r="S817" i="3"/>
  <c r="T817" i="3" s="1"/>
  <c r="L817" i="3"/>
  <c r="M817" i="3" s="1"/>
  <c r="Y816" i="3"/>
  <c r="S816" i="3"/>
  <c r="T816" i="3" s="1"/>
  <c r="L816" i="3"/>
  <c r="M816" i="3" s="1"/>
  <c r="Y815" i="3"/>
  <c r="S815" i="3"/>
  <c r="T815" i="3" s="1"/>
  <c r="L815" i="3"/>
  <c r="M815" i="3" s="1"/>
  <c r="Y814" i="3"/>
  <c r="T814" i="3"/>
  <c r="S814" i="3"/>
  <c r="L814" i="3"/>
  <c r="M814" i="3" s="1"/>
  <c r="Y813" i="3"/>
  <c r="T813" i="3"/>
  <c r="S813" i="3"/>
  <c r="L813" i="3"/>
  <c r="M813" i="3" s="1"/>
  <c r="Y812" i="3"/>
  <c r="T812" i="3"/>
  <c r="S812" i="3"/>
  <c r="M812" i="3"/>
  <c r="L812" i="3"/>
  <c r="Y811" i="3"/>
  <c r="T811" i="3"/>
  <c r="S811" i="3"/>
  <c r="L811" i="3"/>
  <c r="M811" i="3" s="1"/>
  <c r="Y810" i="3"/>
  <c r="T810" i="3"/>
  <c r="S810" i="3"/>
  <c r="M810" i="3"/>
  <c r="L810" i="3"/>
  <c r="Y809" i="3"/>
  <c r="T809" i="3"/>
  <c r="S809" i="3"/>
  <c r="M809" i="3"/>
  <c r="L809" i="3"/>
  <c r="Y808" i="3"/>
  <c r="S808" i="3"/>
  <c r="T808" i="3" s="1"/>
  <c r="M808" i="3"/>
  <c r="L808" i="3"/>
  <c r="Y807" i="3"/>
  <c r="S807" i="3"/>
  <c r="T807" i="3" s="1"/>
  <c r="M807" i="3"/>
  <c r="L807" i="3"/>
  <c r="Y806" i="3"/>
  <c r="S806" i="3"/>
  <c r="T806" i="3" s="1"/>
  <c r="L806" i="3"/>
  <c r="M806" i="3" s="1"/>
  <c r="Y805" i="3"/>
  <c r="S805" i="3"/>
  <c r="T805" i="3" s="1"/>
  <c r="L805" i="3"/>
  <c r="M805" i="3" s="1"/>
  <c r="Y804" i="3"/>
  <c r="S804" i="3"/>
  <c r="T804" i="3" s="1"/>
  <c r="L804" i="3"/>
  <c r="M804" i="3" s="1"/>
  <c r="Y803" i="3"/>
  <c r="S803" i="3"/>
  <c r="T803" i="3" s="1"/>
  <c r="L803" i="3"/>
  <c r="M803" i="3" s="1"/>
  <c r="Y802" i="3"/>
  <c r="T802" i="3"/>
  <c r="S802" i="3"/>
  <c r="L802" i="3"/>
  <c r="M802" i="3" s="1"/>
  <c r="Y801" i="3"/>
  <c r="T801" i="3"/>
  <c r="S801" i="3"/>
  <c r="L801" i="3"/>
  <c r="M801" i="3" s="1"/>
  <c r="Y800" i="3"/>
  <c r="T800" i="3"/>
  <c r="S800" i="3"/>
  <c r="M800" i="3"/>
  <c r="L800" i="3"/>
  <c r="Y799" i="3"/>
  <c r="T799" i="3"/>
  <c r="S799" i="3"/>
  <c r="L799" i="3"/>
  <c r="M799" i="3" s="1"/>
  <c r="Y798" i="3"/>
  <c r="T798" i="3"/>
  <c r="S798" i="3"/>
  <c r="M798" i="3"/>
  <c r="L798" i="3"/>
  <c r="Y797" i="3"/>
  <c r="T797" i="3"/>
  <c r="S797" i="3"/>
  <c r="M797" i="3"/>
  <c r="L797" i="3"/>
  <c r="Y796" i="3"/>
  <c r="S796" i="3"/>
  <c r="T796" i="3" s="1"/>
  <c r="M796" i="3"/>
  <c r="L796" i="3"/>
  <c r="Y795" i="3"/>
  <c r="S795" i="3"/>
  <c r="T795" i="3" s="1"/>
  <c r="M795" i="3"/>
  <c r="L795" i="3"/>
  <c r="Y794" i="3"/>
  <c r="S794" i="3"/>
  <c r="T794" i="3" s="1"/>
  <c r="L794" i="3"/>
  <c r="M794" i="3" s="1"/>
  <c r="Y793" i="3"/>
  <c r="S793" i="3"/>
  <c r="T793" i="3" s="1"/>
  <c r="L793" i="3"/>
  <c r="M793" i="3" s="1"/>
  <c r="Y792" i="3"/>
  <c r="S792" i="3"/>
  <c r="T792" i="3" s="1"/>
  <c r="L792" i="3"/>
  <c r="M792" i="3" s="1"/>
  <c r="Y791" i="3"/>
  <c r="S791" i="3"/>
  <c r="T791" i="3" s="1"/>
  <c r="L791" i="3"/>
  <c r="M791" i="3" s="1"/>
  <c r="Y790" i="3"/>
  <c r="T790" i="3"/>
  <c r="S790" i="3"/>
  <c r="L790" i="3"/>
  <c r="M790" i="3" s="1"/>
  <c r="Y789" i="3"/>
  <c r="S789" i="3"/>
  <c r="T789" i="3" s="1"/>
  <c r="L789" i="3"/>
  <c r="M789" i="3" s="1"/>
  <c r="Y788" i="3"/>
  <c r="T788" i="3"/>
  <c r="S788" i="3"/>
  <c r="M788" i="3"/>
  <c r="L788" i="3"/>
  <c r="Y787" i="3"/>
  <c r="T787" i="3"/>
  <c r="S787" i="3"/>
  <c r="L787" i="3"/>
  <c r="M787" i="3" s="1"/>
  <c r="Y786" i="3"/>
  <c r="T786" i="3"/>
  <c r="S786" i="3"/>
  <c r="M786" i="3"/>
  <c r="L786" i="3"/>
  <c r="Y785" i="3"/>
  <c r="T785" i="3"/>
  <c r="S785" i="3"/>
  <c r="M785" i="3"/>
  <c r="L785" i="3"/>
  <c r="Y784" i="3"/>
  <c r="S784" i="3"/>
  <c r="T784" i="3" s="1"/>
  <c r="M784" i="3"/>
  <c r="L784" i="3"/>
  <c r="Y783" i="3"/>
  <c r="S783" i="3"/>
  <c r="T783" i="3" s="1"/>
  <c r="M783" i="3"/>
  <c r="L783" i="3"/>
  <c r="Y782" i="3"/>
  <c r="S782" i="3"/>
  <c r="T782" i="3" s="1"/>
  <c r="L782" i="3"/>
  <c r="M782" i="3" s="1"/>
  <c r="Y781" i="3"/>
  <c r="S781" i="3"/>
  <c r="T781" i="3" s="1"/>
  <c r="L781" i="3"/>
  <c r="M781" i="3" s="1"/>
  <c r="Y780" i="3"/>
  <c r="S780" i="3"/>
  <c r="T780" i="3" s="1"/>
  <c r="L780" i="3"/>
  <c r="M780" i="3" s="1"/>
  <c r="Y779" i="3"/>
  <c r="S779" i="3"/>
  <c r="T779" i="3" s="1"/>
  <c r="L779" i="3"/>
  <c r="M779" i="3" s="1"/>
  <c r="Y778" i="3"/>
  <c r="T778" i="3"/>
  <c r="S778" i="3"/>
  <c r="L778" i="3"/>
  <c r="M778" i="3" s="1"/>
  <c r="Y777" i="3"/>
  <c r="S777" i="3"/>
  <c r="T777" i="3" s="1"/>
  <c r="L777" i="3"/>
  <c r="M777" i="3" s="1"/>
  <c r="Y776" i="3"/>
  <c r="T776" i="3"/>
  <c r="S776" i="3"/>
  <c r="M776" i="3"/>
  <c r="L776" i="3"/>
  <c r="Y775" i="3"/>
  <c r="T775" i="3"/>
  <c r="S775" i="3"/>
  <c r="L775" i="3"/>
  <c r="M775" i="3" s="1"/>
  <c r="Y774" i="3"/>
  <c r="T774" i="3"/>
  <c r="S774" i="3"/>
  <c r="M774" i="3"/>
  <c r="L774" i="3"/>
  <c r="Y773" i="3"/>
  <c r="T773" i="3"/>
  <c r="S773" i="3"/>
  <c r="M773" i="3"/>
  <c r="L773" i="3"/>
  <c r="Y772" i="3"/>
  <c r="S772" i="3"/>
  <c r="T772" i="3" s="1"/>
  <c r="M772" i="3"/>
  <c r="L772" i="3"/>
  <c r="Y771" i="3"/>
  <c r="S771" i="3"/>
  <c r="T771" i="3" s="1"/>
  <c r="M771" i="3"/>
  <c r="L771" i="3"/>
  <c r="Y770" i="3"/>
  <c r="S770" i="3"/>
  <c r="T770" i="3" s="1"/>
  <c r="L770" i="3"/>
  <c r="M770" i="3" s="1"/>
  <c r="Y769" i="3"/>
  <c r="S769" i="3"/>
  <c r="T769" i="3" s="1"/>
  <c r="L769" i="3"/>
  <c r="M769" i="3" s="1"/>
  <c r="Y768" i="3"/>
  <c r="S768" i="3"/>
  <c r="T768" i="3" s="1"/>
  <c r="L768" i="3"/>
  <c r="M768" i="3" s="1"/>
  <c r="Y767" i="3"/>
  <c r="S767" i="3"/>
  <c r="T767" i="3" s="1"/>
  <c r="L767" i="3"/>
  <c r="M767" i="3" s="1"/>
  <c r="Y766" i="3"/>
  <c r="T766" i="3"/>
  <c r="S766" i="3"/>
  <c r="L766" i="3"/>
  <c r="M766" i="3" s="1"/>
  <c r="Y765" i="3"/>
  <c r="S765" i="3"/>
  <c r="T765" i="3" s="1"/>
  <c r="L765" i="3"/>
  <c r="M765" i="3" s="1"/>
  <c r="Y764" i="3"/>
  <c r="T764" i="3"/>
  <c r="S764" i="3"/>
  <c r="M764" i="3"/>
  <c r="L764" i="3"/>
  <c r="Y763" i="3"/>
  <c r="T763" i="3"/>
  <c r="S763" i="3"/>
  <c r="L763" i="3"/>
  <c r="M763" i="3" s="1"/>
  <c r="Y762" i="3"/>
  <c r="T762" i="3"/>
  <c r="S762" i="3"/>
  <c r="M762" i="3"/>
  <c r="L762" i="3"/>
  <c r="Y761" i="3"/>
  <c r="T761" i="3"/>
  <c r="S761" i="3"/>
  <c r="M761" i="3"/>
  <c r="L761" i="3"/>
  <c r="Y760" i="3"/>
  <c r="S760" i="3"/>
  <c r="T760" i="3" s="1"/>
  <c r="M760" i="3"/>
  <c r="L760" i="3"/>
  <c r="Y759" i="3"/>
  <c r="S759" i="3"/>
  <c r="T759" i="3" s="1"/>
  <c r="M759" i="3"/>
  <c r="L759" i="3"/>
  <c r="Y758" i="3"/>
  <c r="S758" i="3"/>
  <c r="T758" i="3" s="1"/>
  <c r="L758" i="3"/>
  <c r="M758" i="3" s="1"/>
  <c r="Y757" i="3"/>
  <c r="S757" i="3"/>
  <c r="T757" i="3" s="1"/>
  <c r="L757" i="3"/>
  <c r="M757" i="3" s="1"/>
  <c r="Y756" i="3"/>
  <c r="S756" i="3"/>
  <c r="T756" i="3" s="1"/>
  <c r="L756" i="3"/>
  <c r="M756" i="3" s="1"/>
  <c r="Y755" i="3"/>
  <c r="S755" i="3"/>
  <c r="T755" i="3" s="1"/>
  <c r="L755" i="3"/>
  <c r="M755" i="3" s="1"/>
  <c r="Y754" i="3"/>
  <c r="T754" i="3"/>
  <c r="S754" i="3"/>
  <c r="L754" i="3"/>
  <c r="M754" i="3" s="1"/>
  <c r="Y753" i="3"/>
  <c r="S753" i="3"/>
  <c r="T753" i="3" s="1"/>
  <c r="L753" i="3"/>
  <c r="M753" i="3" s="1"/>
  <c r="Y752" i="3"/>
  <c r="T752" i="3"/>
  <c r="S752" i="3"/>
  <c r="M752" i="3"/>
  <c r="L752" i="3"/>
  <c r="Y751" i="3"/>
  <c r="T751" i="3"/>
  <c r="S751" i="3"/>
  <c r="L751" i="3"/>
  <c r="M751" i="3" s="1"/>
  <c r="Y750" i="3"/>
  <c r="T750" i="3"/>
  <c r="S750" i="3"/>
  <c r="M750" i="3"/>
  <c r="L750" i="3"/>
  <c r="Y749" i="3"/>
  <c r="T749" i="3"/>
  <c r="S749" i="3"/>
  <c r="M749" i="3"/>
  <c r="L749" i="3"/>
  <c r="Y748" i="3"/>
  <c r="S748" i="3"/>
  <c r="T748" i="3" s="1"/>
  <c r="M748" i="3"/>
  <c r="L748" i="3"/>
  <c r="Y747" i="3"/>
  <c r="S747" i="3"/>
  <c r="T747" i="3" s="1"/>
  <c r="M747" i="3"/>
  <c r="L747" i="3"/>
  <c r="Y746" i="3"/>
  <c r="S746" i="3"/>
  <c r="T746" i="3" s="1"/>
  <c r="L746" i="3"/>
  <c r="M746" i="3" s="1"/>
  <c r="Y745" i="3"/>
  <c r="S745" i="3"/>
  <c r="T745" i="3" s="1"/>
  <c r="L745" i="3"/>
  <c r="M745" i="3" s="1"/>
  <c r="Y744" i="3"/>
  <c r="S744" i="3"/>
  <c r="T744" i="3" s="1"/>
  <c r="L744" i="3"/>
  <c r="M744" i="3" s="1"/>
  <c r="Y743" i="3"/>
  <c r="S743" i="3"/>
  <c r="T743" i="3" s="1"/>
  <c r="L743" i="3"/>
  <c r="M743" i="3" s="1"/>
  <c r="Y742" i="3"/>
  <c r="T742" i="3"/>
  <c r="S742" i="3"/>
  <c r="L742" i="3"/>
  <c r="M742" i="3" s="1"/>
  <c r="Y741" i="3"/>
  <c r="S741" i="3"/>
  <c r="T741" i="3" s="1"/>
  <c r="L741" i="3"/>
  <c r="M741" i="3" s="1"/>
  <c r="Y740" i="3"/>
  <c r="T740" i="3"/>
  <c r="S740" i="3"/>
  <c r="M740" i="3"/>
  <c r="L740" i="3"/>
  <c r="Y739" i="3"/>
  <c r="T739" i="3"/>
  <c r="S739" i="3"/>
  <c r="L739" i="3"/>
  <c r="M739" i="3" s="1"/>
  <c r="Y738" i="3"/>
  <c r="T738" i="3"/>
  <c r="S738" i="3"/>
  <c r="M738" i="3"/>
  <c r="L738" i="3"/>
  <c r="Y737" i="3"/>
  <c r="T737" i="3"/>
  <c r="S737" i="3"/>
  <c r="M737" i="3"/>
  <c r="L737" i="3"/>
  <c r="Y736" i="3"/>
  <c r="S736" i="3"/>
  <c r="T736" i="3" s="1"/>
  <c r="M736" i="3"/>
  <c r="L736" i="3"/>
  <c r="Y735" i="3"/>
  <c r="S735" i="3"/>
  <c r="T735" i="3" s="1"/>
  <c r="M735" i="3"/>
  <c r="L735" i="3"/>
  <c r="Y734" i="3"/>
  <c r="S734" i="3"/>
  <c r="T734" i="3" s="1"/>
  <c r="L734" i="3"/>
  <c r="M734" i="3" s="1"/>
  <c r="Y733" i="3"/>
  <c r="S733" i="3"/>
  <c r="T733" i="3" s="1"/>
  <c r="L733" i="3"/>
  <c r="M733" i="3" s="1"/>
  <c r="Y732" i="3"/>
  <c r="S732" i="3"/>
  <c r="T732" i="3" s="1"/>
  <c r="L732" i="3"/>
  <c r="M732" i="3" s="1"/>
  <c r="Y731" i="3"/>
  <c r="S731" i="3"/>
  <c r="T731" i="3" s="1"/>
  <c r="L731" i="3"/>
  <c r="M731" i="3" s="1"/>
  <c r="Y730" i="3"/>
  <c r="T730" i="3"/>
  <c r="S730" i="3"/>
  <c r="L730" i="3"/>
  <c r="M730" i="3" s="1"/>
  <c r="Y729" i="3"/>
  <c r="S729" i="3"/>
  <c r="T729" i="3" s="1"/>
  <c r="L729" i="3"/>
  <c r="M729" i="3" s="1"/>
  <c r="Y728" i="3"/>
  <c r="T728" i="3"/>
  <c r="S728" i="3"/>
  <c r="M728" i="3"/>
  <c r="L728" i="3"/>
  <c r="Y727" i="3"/>
  <c r="T727" i="3"/>
  <c r="S727" i="3"/>
  <c r="L727" i="3"/>
  <c r="M727" i="3" s="1"/>
  <c r="Y726" i="3"/>
  <c r="T726" i="3"/>
  <c r="S726" i="3"/>
  <c r="M726" i="3"/>
  <c r="L726" i="3"/>
  <c r="Y725" i="3"/>
  <c r="T725" i="3"/>
  <c r="S725" i="3"/>
  <c r="M725" i="3"/>
  <c r="L725" i="3"/>
  <c r="Y724" i="3"/>
  <c r="S724" i="3"/>
  <c r="T724" i="3" s="1"/>
  <c r="M724" i="3"/>
  <c r="L724" i="3"/>
  <c r="Y723" i="3"/>
  <c r="S723" i="3"/>
  <c r="T723" i="3" s="1"/>
  <c r="M723" i="3"/>
  <c r="L723" i="3"/>
  <c r="Y722" i="3"/>
  <c r="T722" i="3"/>
  <c r="S722" i="3"/>
  <c r="L722" i="3"/>
  <c r="M722" i="3" s="1"/>
  <c r="Y721" i="3"/>
  <c r="S721" i="3"/>
  <c r="T721" i="3" s="1"/>
  <c r="L721" i="3"/>
  <c r="M721" i="3" s="1"/>
  <c r="Y720" i="3"/>
  <c r="S720" i="3"/>
  <c r="T720" i="3" s="1"/>
  <c r="L720" i="3"/>
  <c r="M720" i="3" s="1"/>
  <c r="Y719" i="3"/>
  <c r="S719" i="3"/>
  <c r="T719" i="3" s="1"/>
  <c r="L719" i="3"/>
  <c r="M719" i="3" s="1"/>
  <c r="Y718" i="3"/>
  <c r="T718" i="3"/>
  <c r="S718" i="3"/>
  <c r="L718" i="3"/>
  <c r="M718" i="3" s="1"/>
  <c r="Y717" i="3"/>
  <c r="S717" i="3"/>
  <c r="T717" i="3" s="1"/>
  <c r="L717" i="3"/>
  <c r="M717" i="3" s="1"/>
  <c r="Y716" i="3"/>
  <c r="T716" i="3"/>
  <c r="S716" i="3"/>
  <c r="M716" i="3"/>
  <c r="L716" i="3"/>
  <c r="Y715" i="3"/>
  <c r="T715" i="3"/>
  <c r="S715" i="3"/>
  <c r="L715" i="3"/>
  <c r="M715" i="3" s="1"/>
  <c r="Y714" i="3"/>
  <c r="T714" i="3"/>
  <c r="S714" i="3"/>
  <c r="M714" i="3"/>
  <c r="L714" i="3"/>
  <c r="Y713" i="3"/>
  <c r="T713" i="3"/>
  <c r="S713" i="3"/>
  <c r="M713" i="3"/>
  <c r="L713" i="3"/>
  <c r="Y712" i="3"/>
  <c r="S712" i="3"/>
  <c r="T712" i="3" s="1"/>
  <c r="M712" i="3"/>
  <c r="L712" i="3"/>
  <c r="Y711" i="3"/>
  <c r="S711" i="3"/>
  <c r="T711" i="3" s="1"/>
  <c r="M711" i="3"/>
  <c r="L711" i="3"/>
  <c r="Y710" i="3"/>
  <c r="T710" i="3"/>
  <c r="S710" i="3"/>
  <c r="L710" i="3"/>
  <c r="M710" i="3" s="1"/>
  <c r="Y709" i="3"/>
  <c r="S709" i="3"/>
  <c r="T709" i="3" s="1"/>
  <c r="L709" i="3"/>
  <c r="M709" i="3" s="1"/>
  <c r="Y708" i="3"/>
  <c r="S708" i="3"/>
  <c r="T708" i="3" s="1"/>
  <c r="L708" i="3"/>
  <c r="M708" i="3" s="1"/>
  <c r="Y707" i="3"/>
  <c r="S707" i="3"/>
  <c r="T707" i="3" s="1"/>
  <c r="L707" i="3"/>
  <c r="M707" i="3" s="1"/>
  <c r="Y706" i="3"/>
  <c r="T706" i="3"/>
  <c r="S706" i="3"/>
  <c r="L706" i="3"/>
  <c r="M706" i="3" s="1"/>
  <c r="Y705" i="3"/>
  <c r="S705" i="3"/>
  <c r="T705" i="3" s="1"/>
  <c r="L705" i="3"/>
  <c r="M705" i="3" s="1"/>
  <c r="Y704" i="3"/>
  <c r="T704" i="3"/>
  <c r="S704" i="3"/>
  <c r="M704" i="3"/>
  <c r="L704" i="3"/>
  <c r="Y703" i="3"/>
  <c r="T703" i="3"/>
  <c r="S703" i="3"/>
  <c r="L703" i="3"/>
  <c r="M703" i="3" s="1"/>
  <c r="Y702" i="3"/>
  <c r="T702" i="3"/>
  <c r="S702" i="3"/>
  <c r="M702" i="3"/>
  <c r="L702" i="3"/>
  <c r="Y701" i="3"/>
  <c r="T701" i="3"/>
  <c r="S701" i="3"/>
  <c r="M701" i="3"/>
  <c r="L701" i="3"/>
  <c r="Y700" i="3"/>
  <c r="S700" i="3"/>
  <c r="T700" i="3" s="1"/>
  <c r="M700" i="3"/>
  <c r="L700" i="3"/>
  <c r="Y699" i="3"/>
  <c r="S699" i="3"/>
  <c r="T699" i="3" s="1"/>
  <c r="M699" i="3"/>
  <c r="L699" i="3"/>
  <c r="Y698" i="3"/>
  <c r="T698" i="3"/>
  <c r="S698" i="3"/>
  <c r="L698" i="3"/>
  <c r="M698" i="3" s="1"/>
  <c r="Y697" i="3"/>
  <c r="S697" i="3"/>
  <c r="T697" i="3" s="1"/>
  <c r="L697" i="3"/>
  <c r="M697" i="3" s="1"/>
  <c r="Y696" i="3"/>
  <c r="S696" i="3"/>
  <c r="T696" i="3" s="1"/>
  <c r="L696" i="3"/>
  <c r="M696" i="3" s="1"/>
  <c r="Y695" i="3"/>
  <c r="S695" i="3"/>
  <c r="T695" i="3" s="1"/>
  <c r="L695" i="3"/>
  <c r="M695" i="3" s="1"/>
  <c r="Y694" i="3"/>
  <c r="T694" i="3"/>
  <c r="S694" i="3"/>
  <c r="L694" i="3"/>
  <c r="M694" i="3" s="1"/>
  <c r="Y693" i="3"/>
  <c r="S693" i="3"/>
  <c r="T693" i="3" s="1"/>
  <c r="L693" i="3"/>
  <c r="M693" i="3" s="1"/>
  <c r="Y692" i="3"/>
  <c r="T692" i="3"/>
  <c r="S692" i="3"/>
  <c r="M692" i="3"/>
  <c r="L692" i="3"/>
  <c r="Y691" i="3"/>
  <c r="T691" i="3"/>
  <c r="S691" i="3"/>
  <c r="L691" i="3"/>
  <c r="M691" i="3" s="1"/>
  <c r="Y690" i="3"/>
  <c r="T690" i="3"/>
  <c r="S690" i="3"/>
  <c r="M690" i="3"/>
  <c r="L690" i="3"/>
  <c r="Y689" i="3"/>
  <c r="T689" i="3"/>
  <c r="S689" i="3"/>
  <c r="M689" i="3"/>
  <c r="L689" i="3"/>
  <c r="Y688" i="3"/>
  <c r="S688" i="3"/>
  <c r="T688" i="3" s="1"/>
  <c r="M688" i="3"/>
  <c r="L688" i="3"/>
  <c r="Y687" i="3"/>
  <c r="S687" i="3"/>
  <c r="T687" i="3" s="1"/>
  <c r="M687" i="3"/>
  <c r="L687" i="3"/>
  <c r="Y686" i="3"/>
  <c r="T686" i="3"/>
  <c r="S686" i="3"/>
  <c r="L686" i="3"/>
  <c r="M686" i="3" s="1"/>
  <c r="Y685" i="3"/>
  <c r="S685" i="3"/>
  <c r="T685" i="3" s="1"/>
  <c r="L685" i="3"/>
  <c r="M685" i="3" s="1"/>
  <c r="Y684" i="3"/>
  <c r="S684" i="3"/>
  <c r="T684" i="3" s="1"/>
  <c r="M684" i="3"/>
  <c r="L684" i="3"/>
  <c r="Y683" i="3"/>
  <c r="S683" i="3"/>
  <c r="T683" i="3" s="1"/>
  <c r="L683" i="3"/>
  <c r="M683" i="3" s="1"/>
  <c r="Y682" i="3"/>
  <c r="T682" i="3"/>
  <c r="S682" i="3"/>
  <c r="L682" i="3"/>
  <c r="M682" i="3" s="1"/>
  <c r="Y681" i="3"/>
  <c r="S681" i="3"/>
  <c r="T681" i="3" s="1"/>
  <c r="L681" i="3"/>
  <c r="M681" i="3" s="1"/>
  <c r="Y680" i="3"/>
  <c r="T680" i="3"/>
  <c r="S680" i="3"/>
  <c r="M680" i="3"/>
  <c r="L680" i="3"/>
  <c r="Y679" i="3"/>
  <c r="T679" i="3"/>
  <c r="S679" i="3"/>
  <c r="L679" i="3"/>
  <c r="M679" i="3" s="1"/>
  <c r="Y678" i="3"/>
  <c r="T678" i="3"/>
  <c r="S678" i="3"/>
  <c r="M678" i="3"/>
  <c r="L678" i="3"/>
  <c r="Y677" i="3"/>
  <c r="T677" i="3"/>
  <c r="S677" i="3"/>
  <c r="M677" i="3"/>
  <c r="L677" i="3"/>
  <c r="Y676" i="3"/>
  <c r="S676" i="3"/>
  <c r="T676" i="3" s="1"/>
  <c r="M676" i="3"/>
  <c r="L676" i="3"/>
  <c r="Y675" i="3"/>
  <c r="S675" i="3"/>
  <c r="T675" i="3" s="1"/>
  <c r="M675" i="3"/>
  <c r="L675" i="3"/>
  <c r="Y674" i="3"/>
  <c r="T674" i="3"/>
  <c r="S674" i="3"/>
  <c r="L674" i="3"/>
  <c r="M674" i="3" s="1"/>
  <c r="Y673" i="3"/>
  <c r="S673" i="3"/>
  <c r="T673" i="3" s="1"/>
  <c r="L673" i="3"/>
  <c r="M673" i="3" s="1"/>
  <c r="Y672" i="3"/>
  <c r="S672" i="3"/>
  <c r="T672" i="3" s="1"/>
  <c r="M672" i="3"/>
  <c r="L672" i="3"/>
  <c r="Y671" i="3"/>
  <c r="S671" i="3"/>
  <c r="T671" i="3" s="1"/>
  <c r="L671" i="3"/>
  <c r="M671" i="3" s="1"/>
  <c r="Y670" i="3"/>
  <c r="T670" i="3"/>
  <c r="S670" i="3"/>
  <c r="L670" i="3"/>
  <c r="M670" i="3" s="1"/>
  <c r="Y669" i="3"/>
  <c r="S669" i="3"/>
  <c r="T669" i="3" s="1"/>
  <c r="L669" i="3"/>
  <c r="M669" i="3" s="1"/>
  <c r="Y668" i="3"/>
  <c r="T668" i="3"/>
  <c r="S668" i="3"/>
  <c r="M668" i="3"/>
  <c r="L668" i="3"/>
  <c r="Y667" i="3"/>
  <c r="T667" i="3"/>
  <c r="S667" i="3"/>
  <c r="L667" i="3"/>
  <c r="M667" i="3" s="1"/>
  <c r="Y666" i="3"/>
  <c r="T666" i="3"/>
  <c r="S666" i="3"/>
  <c r="M666" i="3"/>
  <c r="L666" i="3"/>
  <c r="Y665" i="3"/>
  <c r="T665" i="3"/>
  <c r="S665" i="3"/>
  <c r="M665" i="3"/>
  <c r="L665" i="3"/>
  <c r="Y664" i="3"/>
  <c r="S664" i="3"/>
  <c r="T664" i="3" s="1"/>
  <c r="M664" i="3"/>
  <c r="L664" i="3"/>
  <c r="Y663" i="3"/>
  <c r="S663" i="3"/>
  <c r="T663" i="3" s="1"/>
  <c r="M663" i="3"/>
  <c r="L663" i="3"/>
  <c r="Y662" i="3"/>
  <c r="T662" i="3"/>
  <c r="S662" i="3"/>
  <c r="L662" i="3"/>
  <c r="M662" i="3" s="1"/>
  <c r="Y661" i="3"/>
  <c r="S661" i="3"/>
  <c r="T661" i="3" s="1"/>
  <c r="L661" i="3"/>
  <c r="M661" i="3" s="1"/>
  <c r="Y660" i="3"/>
  <c r="S660" i="3"/>
  <c r="T660" i="3" s="1"/>
  <c r="M660" i="3"/>
  <c r="L660" i="3"/>
  <c r="Y659" i="3"/>
  <c r="S659" i="3"/>
  <c r="T659" i="3" s="1"/>
  <c r="L659" i="3"/>
  <c r="M659" i="3" s="1"/>
  <c r="Y658" i="3"/>
  <c r="T658" i="3"/>
  <c r="S658" i="3"/>
  <c r="L658" i="3"/>
  <c r="M658" i="3" s="1"/>
  <c r="Y657" i="3"/>
  <c r="S657" i="3"/>
  <c r="T657" i="3" s="1"/>
  <c r="L657" i="3"/>
  <c r="M657" i="3" s="1"/>
  <c r="Y656" i="3"/>
  <c r="T656" i="3"/>
  <c r="S656" i="3"/>
  <c r="M656" i="3"/>
  <c r="L656" i="3"/>
  <c r="Y655" i="3"/>
  <c r="T655" i="3"/>
  <c r="S655" i="3"/>
  <c r="L655" i="3"/>
  <c r="M655" i="3" s="1"/>
  <c r="Y654" i="3"/>
  <c r="T654" i="3"/>
  <c r="S654" i="3"/>
  <c r="M654" i="3"/>
  <c r="L654" i="3"/>
  <c r="Y653" i="3"/>
  <c r="T653" i="3"/>
  <c r="S653" i="3"/>
  <c r="M653" i="3"/>
  <c r="L653" i="3"/>
  <c r="Y652" i="3"/>
  <c r="S652" i="3"/>
  <c r="T652" i="3" s="1"/>
  <c r="M652" i="3"/>
  <c r="L652" i="3"/>
  <c r="Y651" i="3"/>
  <c r="S651" i="3"/>
  <c r="T651" i="3" s="1"/>
  <c r="M651" i="3"/>
  <c r="L651" i="3"/>
  <c r="Y650" i="3"/>
  <c r="T650" i="3"/>
  <c r="S650" i="3"/>
  <c r="L650" i="3"/>
  <c r="M650" i="3" s="1"/>
  <c r="Y649" i="3"/>
  <c r="S649" i="3"/>
  <c r="T649" i="3" s="1"/>
  <c r="L649" i="3"/>
  <c r="M649" i="3" s="1"/>
  <c r="Y648" i="3"/>
  <c r="S648" i="3"/>
  <c r="T648" i="3" s="1"/>
  <c r="M648" i="3"/>
  <c r="L648" i="3"/>
  <c r="Y647" i="3"/>
  <c r="S647" i="3"/>
  <c r="T647" i="3" s="1"/>
  <c r="L647" i="3"/>
  <c r="M647" i="3" s="1"/>
  <c r="Y646" i="3"/>
  <c r="T646" i="3"/>
  <c r="S646" i="3"/>
  <c r="L646" i="3"/>
  <c r="M646" i="3" s="1"/>
  <c r="Y645" i="3"/>
  <c r="S645" i="3"/>
  <c r="T645" i="3" s="1"/>
  <c r="L645" i="3"/>
  <c r="M645" i="3" s="1"/>
  <c r="Y644" i="3"/>
  <c r="T644" i="3"/>
  <c r="S644" i="3"/>
  <c r="M644" i="3"/>
  <c r="L644" i="3"/>
  <c r="Y643" i="3"/>
  <c r="T643" i="3"/>
  <c r="S643" i="3"/>
  <c r="L643" i="3"/>
  <c r="M643" i="3" s="1"/>
  <c r="Y642" i="3"/>
  <c r="T642" i="3"/>
  <c r="S642" i="3"/>
  <c r="M642" i="3"/>
  <c r="L642" i="3"/>
  <c r="Y641" i="3"/>
  <c r="T641" i="3"/>
  <c r="S641" i="3"/>
  <c r="M641" i="3"/>
  <c r="L641" i="3"/>
  <c r="Y640" i="3"/>
  <c r="S640" i="3"/>
  <c r="T640" i="3" s="1"/>
  <c r="M640" i="3"/>
  <c r="L640" i="3"/>
  <c r="Y639" i="3"/>
  <c r="S639" i="3"/>
  <c r="T639" i="3" s="1"/>
  <c r="M639" i="3"/>
  <c r="L639" i="3"/>
  <c r="Y638" i="3"/>
  <c r="T638" i="3"/>
  <c r="S638" i="3"/>
  <c r="L638" i="3"/>
  <c r="M638" i="3" s="1"/>
  <c r="Y637" i="3"/>
  <c r="S637" i="3"/>
  <c r="T637" i="3" s="1"/>
  <c r="L637" i="3"/>
  <c r="M637" i="3" s="1"/>
  <c r="Y636" i="3"/>
  <c r="S636" i="3"/>
  <c r="T636" i="3" s="1"/>
  <c r="M636" i="3"/>
  <c r="L636" i="3"/>
  <c r="Y635" i="3"/>
  <c r="S635" i="3"/>
  <c r="T635" i="3" s="1"/>
  <c r="L635" i="3"/>
  <c r="M635" i="3" s="1"/>
  <c r="Y634" i="3"/>
  <c r="T634" i="3"/>
  <c r="S634" i="3"/>
  <c r="L634" i="3"/>
  <c r="M634" i="3" s="1"/>
  <c r="Y633" i="3"/>
  <c r="S633" i="3"/>
  <c r="T633" i="3" s="1"/>
  <c r="L633" i="3"/>
  <c r="M633" i="3" s="1"/>
  <c r="Y632" i="3"/>
  <c r="T632" i="3"/>
  <c r="S632" i="3"/>
  <c r="M632" i="3"/>
  <c r="L632" i="3"/>
  <c r="Y631" i="3"/>
  <c r="T631" i="3"/>
  <c r="S631" i="3"/>
  <c r="L631" i="3"/>
  <c r="M631" i="3" s="1"/>
  <c r="Y630" i="3"/>
  <c r="T630" i="3"/>
  <c r="S630" i="3"/>
  <c r="M630" i="3"/>
  <c r="L630" i="3"/>
  <c r="Y629" i="3"/>
  <c r="T629" i="3"/>
  <c r="S629" i="3"/>
  <c r="M629" i="3"/>
  <c r="L629" i="3"/>
  <c r="Y628" i="3"/>
  <c r="S628" i="3"/>
  <c r="T628" i="3" s="1"/>
  <c r="M628" i="3"/>
  <c r="L628" i="3"/>
  <c r="Y627" i="3"/>
  <c r="S627" i="3"/>
  <c r="T627" i="3" s="1"/>
  <c r="M627" i="3"/>
  <c r="L627" i="3"/>
  <c r="Y626" i="3"/>
  <c r="T626" i="3"/>
  <c r="S626" i="3"/>
  <c r="L626" i="3"/>
  <c r="M626" i="3" s="1"/>
  <c r="Y625" i="3"/>
  <c r="S625" i="3"/>
  <c r="T625" i="3" s="1"/>
  <c r="L625" i="3"/>
  <c r="M625" i="3" s="1"/>
  <c r="Y624" i="3"/>
  <c r="S624" i="3"/>
  <c r="T624" i="3" s="1"/>
  <c r="M624" i="3"/>
  <c r="L624" i="3"/>
  <c r="Y623" i="3"/>
  <c r="S623" i="3"/>
  <c r="T623" i="3" s="1"/>
  <c r="L623" i="3"/>
  <c r="M623" i="3" s="1"/>
  <c r="Y622" i="3"/>
  <c r="T622" i="3"/>
  <c r="S622" i="3"/>
  <c r="L622" i="3"/>
  <c r="M622" i="3" s="1"/>
  <c r="Y621" i="3"/>
  <c r="S621" i="3"/>
  <c r="T621" i="3" s="1"/>
  <c r="L621" i="3"/>
  <c r="M621" i="3" s="1"/>
  <c r="Y620" i="3"/>
  <c r="T620" i="3"/>
  <c r="S620" i="3"/>
  <c r="M620" i="3"/>
  <c r="L620" i="3"/>
  <c r="Y619" i="3"/>
  <c r="T619" i="3"/>
  <c r="S619" i="3"/>
  <c r="L619" i="3"/>
  <c r="M619" i="3" s="1"/>
  <c r="Y618" i="3"/>
  <c r="T618" i="3"/>
  <c r="S618" i="3"/>
  <c r="M618" i="3"/>
  <c r="L618" i="3"/>
  <c r="Y617" i="3"/>
  <c r="T617" i="3"/>
  <c r="S617" i="3"/>
  <c r="M617" i="3"/>
  <c r="L617" i="3"/>
  <c r="Y616" i="3"/>
  <c r="S616" i="3"/>
  <c r="T616" i="3" s="1"/>
  <c r="M616" i="3"/>
  <c r="L616" i="3"/>
  <c r="Y615" i="3"/>
  <c r="S615" i="3"/>
  <c r="T615" i="3" s="1"/>
  <c r="M615" i="3"/>
  <c r="L615" i="3"/>
  <c r="Y614" i="3"/>
  <c r="T614" i="3"/>
  <c r="S614" i="3"/>
  <c r="L614" i="3"/>
  <c r="M614" i="3" s="1"/>
  <c r="Y613" i="3"/>
  <c r="S613" i="3"/>
  <c r="T613" i="3" s="1"/>
  <c r="L613" i="3"/>
  <c r="M613" i="3" s="1"/>
  <c r="Y612" i="3"/>
  <c r="S612" i="3"/>
  <c r="T612" i="3" s="1"/>
  <c r="M612" i="3"/>
  <c r="L612" i="3"/>
  <c r="Y611" i="3"/>
  <c r="T611" i="3"/>
  <c r="S611" i="3"/>
  <c r="L611" i="3"/>
  <c r="M611" i="3" s="1"/>
  <c r="Y610" i="3"/>
  <c r="S610" i="3"/>
  <c r="T610" i="3" s="1"/>
  <c r="L610" i="3"/>
  <c r="M610" i="3" s="1"/>
  <c r="Y609" i="3"/>
  <c r="S609" i="3"/>
  <c r="T609" i="3" s="1"/>
  <c r="M609" i="3"/>
  <c r="L609" i="3"/>
  <c r="Y608" i="3"/>
  <c r="T608" i="3"/>
  <c r="S608" i="3"/>
  <c r="L608" i="3"/>
  <c r="M608" i="3" s="1"/>
  <c r="Y607" i="3"/>
  <c r="T607" i="3"/>
  <c r="S607" i="3"/>
  <c r="L607" i="3"/>
  <c r="M607" i="3" s="1"/>
  <c r="Y606" i="3"/>
  <c r="T606" i="3"/>
  <c r="S606" i="3"/>
  <c r="M606" i="3"/>
  <c r="L606" i="3"/>
  <c r="Y605" i="3"/>
  <c r="T605" i="3"/>
  <c r="S605" i="3"/>
  <c r="M605" i="3"/>
  <c r="L605" i="3"/>
  <c r="Y604" i="3"/>
  <c r="S604" i="3"/>
  <c r="T604" i="3" s="1"/>
  <c r="M604" i="3"/>
  <c r="L604" i="3"/>
  <c r="Y603" i="3"/>
  <c r="S603" i="3"/>
  <c r="T603" i="3" s="1"/>
  <c r="M603" i="3"/>
  <c r="L603" i="3"/>
  <c r="Y602" i="3"/>
  <c r="T602" i="3"/>
  <c r="S602" i="3"/>
  <c r="L602" i="3"/>
  <c r="M602" i="3" s="1"/>
  <c r="Y601" i="3"/>
  <c r="S601" i="3"/>
  <c r="T601" i="3" s="1"/>
  <c r="L601" i="3"/>
  <c r="M601" i="3" s="1"/>
  <c r="Y600" i="3"/>
  <c r="S600" i="3"/>
  <c r="T600" i="3" s="1"/>
  <c r="M600" i="3"/>
  <c r="L600" i="3"/>
  <c r="Y599" i="3"/>
  <c r="S599" i="3"/>
  <c r="T599" i="3" s="1"/>
  <c r="L599" i="3"/>
  <c r="M599" i="3" s="1"/>
  <c r="Y598" i="3"/>
  <c r="T598" i="3"/>
  <c r="S598" i="3"/>
  <c r="L598" i="3"/>
  <c r="M598" i="3" s="1"/>
  <c r="Y597" i="3"/>
  <c r="S597" i="3"/>
  <c r="T597" i="3" s="1"/>
  <c r="L597" i="3"/>
  <c r="M597" i="3" s="1"/>
  <c r="Y596" i="3"/>
  <c r="T596" i="3"/>
  <c r="S596" i="3"/>
  <c r="L596" i="3"/>
  <c r="M596" i="3" s="1"/>
  <c r="Y595" i="3"/>
  <c r="T595" i="3"/>
  <c r="S595" i="3"/>
  <c r="L595" i="3"/>
  <c r="M595" i="3" s="1"/>
  <c r="Y594" i="3"/>
  <c r="T594" i="3"/>
  <c r="S594" i="3"/>
  <c r="M594" i="3"/>
  <c r="L594" i="3"/>
  <c r="Y593" i="3"/>
  <c r="T593" i="3"/>
  <c r="S593" i="3"/>
  <c r="M593" i="3"/>
  <c r="L593" i="3"/>
  <c r="Y592" i="3"/>
  <c r="S592" i="3"/>
  <c r="T592" i="3" s="1"/>
  <c r="M592" i="3"/>
  <c r="L592" i="3"/>
  <c r="Y591" i="3"/>
  <c r="S591" i="3"/>
  <c r="T591" i="3" s="1"/>
  <c r="M591" i="3"/>
  <c r="L591" i="3"/>
  <c r="Y590" i="3"/>
  <c r="T590" i="3"/>
  <c r="S590" i="3"/>
  <c r="L590" i="3"/>
  <c r="M590" i="3" s="1"/>
  <c r="Y589" i="3"/>
  <c r="S589" i="3"/>
  <c r="T589" i="3" s="1"/>
  <c r="L589" i="3"/>
  <c r="M589" i="3" s="1"/>
  <c r="Y588" i="3"/>
  <c r="S588" i="3"/>
  <c r="T588" i="3" s="1"/>
  <c r="M588" i="3"/>
  <c r="L588" i="3"/>
  <c r="Y587" i="3"/>
  <c r="S587" i="3"/>
  <c r="T587" i="3" s="1"/>
  <c r="L587" i="3"/>
  <c r="M587" i="3" s="1"/>
  <c r="Y586" i="3"/>
  <c r="T586" i="3"/>
  <c r="S586" i="3"/>
  <c r="L586" i="3"/>
  <c r="M586" i="3" s="1"/>
  <c r="Y585" i="3"/>
  <c r="S585" i="3"/>
  <c r="T585" i="3" s="1"/>
  <c r="L585" i="3"/>
  <c r="M585" i="3" s="1"/>
  <c r="Y584" i="3"/>
  <c r="T584" i="3"/>
  <c r="S584" i="3"/>
  <c r="M584" i="3"/>
  <c r="L584" i="3"/>
  <c r="Y583" i="3"/>
  <c r="T583" i="3"/>
  <c r="S583" i="3"/>
  <c r="L583" i="3"/>
  <c r="M583" i="3" s="1"/>
  <c r="Y582" i="3"/>
  <c r="T582" i="3"/>
  <c r="S582" i="3"/>
  <c r="M582" i="3"/>
  <c r="L582" i="3"/>
  <c r="Y581" i="3"/>
  <c r="T581" i="3"/>
  <c r="S581" i="3"/>
  <c r="M581" i="3"/>
  <c r="L581" i="3"/>
  <c r="Y580" i="3"/>
  <c r="S580" i="3"/>
  <c r="T580" i="3" s="1"/>
  <c r="M580" i="3"/>
  <c r="L580" i="3"/>
  <c r="Y579" i="3"/>
  <c r="S579" i="3"/>
  <c r="T579" i="3" s="1"/>
  <c r="M579" i="3"/>
  <c r="L579" i="3"/>
  <c r="Y578" i="3"/>
  <c r="T578" i="3"/>
  <c r="S578" i="3"/>
  <c r="L578" i="3"/>
  <c r="M578" i="3" s="1"/>
  <c r="Y577" i="3"/>
  <c r="S577" i="3"/>
  <c r="T577" i="3" s="1"/>
  <c r="L577" i="3"/>
  <c r="M577" i="3" s="1"/>
  <c r="Y576" i="3"/>
  <c r="S576" i="3"/>
  <c r="T576" i="3" s="1"/>
  <c r="M576" i="3"/>
  <c r="L576" i="3"/>
  <c r="Y575" i="3"/>
  <c r="T575" i="3"/>
  <c r="S575" i="3"/>
  <c r="L575" i="3"/>
  <c r="M575" i="3" s="1"/>
  <c r="Y574" i="3"/>
  <c r="S574" i="3"/>
  <c r="T574" i="3" s="1"/>
  <c r="L574" i="3"/>
  <c r="M574" i="3" s="1"/>
  <c r="Y573" i="3"/>
  <c r="S573" i="3"/>
  <c r="T573" i="3" s="1"/>
  <c r="M573" i="3"/>
  <c r="L573" i="3"/>
  <c r="Y572" i="3"/>
  <c r="T572" i="3"/>
  <c r="S572" i="3"/>
  <c r="M572" i="3"/>
  <c r="L572" i="3"/>
  <c r="Y571" i="3"/>
  <c r="T571" i="3"/>
  <c r="S571" i="3"/>
  <c r="L571" i="3"/>
  <c r="M571" i="3" s="1"/>
  <c r="Y570" i="3"/>
  <c r="T570" i="3"/>
  <c r="S570" i="3"/>
  <c r="M570" i="3"/>
  <c r="L570" i="3"/>
  <c r="Y569" i="3"/>
  <c r="T569" i="3"/>
  <c r="S569" i="3"/>
  <c r="M569" i="3"/>
  <c r="L569" i="3"/>
  <c r="Y568" i="3"/>
  <c r="S568" i="3"/>
  <c r="T568" i="3" s="1"/>
  <c r="M568" i="3"/>
  <c r="L568" i="3"/>
  <c r="Y567" i="3"/>
  <c r="S567" i="3"/>
  <c r="T567" i="3" s="1"/>
  <c r="M567" i="3"/>
  <c r="L567" i="3"/>
  <c r="Y566" i="3"/>
  <c r="T566" i="3"/>
  <c r="S566" i="3"/>
  <c r="L566" i="3"/>
  <c r="M566" i="3" s="1"/>
  <c r="Y565" i="3"/>
  <c r="S565" i="3"/>
  <c r="T565" i="3" s="1"/>
  <c r="L565" i="3"/>
  <c r="M565" i="3" s="1"/>
  <c r="Y564" i="3"/>
  <c r="S564" i="3"/>
  <c r="T564" i="3" s="1"/>
  <c r="M564" i="3"/>
  <c r="L564" i="3"/>
  <c r="Y563" i="3"/>
  <c r="T563" i="3"/>
  <c r="S563" i="3"/>
  <c r="L563" i="3"/>
  <c r="M563" i="3" s="1"/>
  <c r="Y562" i="3"/>
  <c r="S562" i="3"/>
  <c r="T562" i="3" s="1"/>
  <c r="L562" i="3"/>
  <c r="M562" i="3" s="1"/>
  <c r="Y561" i="3"/>
  <c r="S561" i="3"/>
  <c r="T561" i="3" s="1"/>
  <c r="M561" i="3"/>
  <c r="L561" i="3"/>
  <c r="Y560" i="3"/>
  <c r="T560" i="3"/>
  <c r="S560" i="3"/>
  <c r="L560" i="3"/>
  <c r="M560" i="3" s="1"/>
  <c r="Y559" i="3"/>
  <c r="T559" i="3"/>
  <c r="S559" i="3"/>
  <c r="L559" i="3"/>
  <c r="M559" i="3" s="1"/>
  <c r="Y558" i="3"/>
  <c r="T558" i="3"/>
  <c r="S558" i="3"/>
  <c r="M558" i="3"/>
  <c r="L558" i="3"/>
  <c r="Y557" i="3"/>
  <c r="T557" i="3"/>
  <c r="S557" i="3"/>
  <c r="M557" i="3"/>
  <c r="L557" i="3"/>
  <c r="Y556" i="3"/>
  <c r="S556" i="3"/>
  <c r="T556" i="3" s="1"/>
  <c r="L556" i="3"/>
  <c r="M556" i="3" s="1"/>
  <c r="Y555" i="3"/>
  <c r="S555" i="3"/>
  <c r="T555" i="3" s="1"/>
  <c r="M555" i="3"/>
  <c r="L555" i="3"/>
  <c r="Y554" i="3"/>
  <c r="T554" i="3"/>
  <c r="S554" i="3"/>
  <c r="L554" i="3"/>
  <c r="M554" i="3" s="1"/>
  <c r="Y553" i="3"/>
  <c r="S553" i="3"/>
  <c r="T553" i="3" s="1"/>
  <c r="L553" i="3"/>
  <c r="M553" i="3" s="1"/>
  <c r="Y552" i="3"/>
  <c r="S552" i="3"/>
  <c r="T552" i="3" s="1"/>
  <c r="M552" i="3"/>
  <c r="L552" i="3"/>
  <c r="Y551" i="3"/>
  <c r="T551" i="3"/>
  <c r="S551" i="3"/>
  <c r="M551" i="3"/>
  <c r="L551" i="3"/>
  <c r="Y550" i="3"/>
  <c r="S550" i="3"/>
  <c r="T550" i="3" s="1"/>
  <c r="L550" i="3"/>
  <c r="M550" i="3" s="1"/>
  <c r="Y549" i="3"/>
  <c r="S549" i="3"/>
  <c r="T549" i="3" s="1"/>
  <c r="L549" i="3"/>
  <c r="M549" i="3" s="1"/>
  <c r="Y548" i="3"/>
  <c r="T548" i="3"/>
  <c r="S548" i="3"/>
  <c r="M548" i="3"/>
  <c r="L548" i="3"/>
  <c r="Y547" i="3"/>
  <c r="T547" i="3"/>
  <c r="S547" i="3"/>
  <c r="L547" i="3"/>
  <c r="M547" i="3" s="1"/>
  <c r="Y546" i="3"/>
  <c r="S546" i="3"/>
  <c r="T546" i="3" s="1"/>
  <c r="M546" i="3"/>
  <c r="L546" i="3"/>
  <c r="Y545" i="3"/>
  <c r="T545" i="3"/>
  <c r="S545" i="3"/>
  <c r="M545" i="3"/>
  <c r="L545" i="3"/>
  <c r="Y544" i="3"/>
  <c r="S544" i="3"/>
  <c r="T544" i="3" s="1"/>
  <c r="M544" i="3"/>
  <c r="L544" i="3"/>
  <c r="Y543" i="3"/>
  <c r="S543" i="3"/>
  <c r="T543" i="3" s="1"/>
  <c r="M543" i="3"/>
  <c r="L543" i="3"/>
  <c r="Y542" i="3"/>
  <c r="T542" i="3"/>
  <c r="S542" i="3"/>
  <c r="M542" i="3"/>
  <c r="L542" i="3"/>
  <c r="Y541" i="3"/>
  <c r="T541" i="3"/>
  <c r="S541" i="3"/>
  <c r="L541" i="3"/>
  <c r="M541" i="3" s="1"/>
  <c r="Y540" i="3"/>
  <c r="S540" i="3"/>
  <c r="T540" i="3" s="1"/>
  <c r="L540" i="3"/>
  <c r="M540" i="3" s="1"/>
  <c r="Y539" i="3"/>
  <c r="S539" i="3"/>
  <c r="T539" i="3" s="1"/>
  <c r="L539" i="3"/>
  <c r="M539" i="3" s="1"/>
  <c r="Y538" i="3"/>
  <c r="S538" i="3"/>
  <c r="T538" i="3" s="1"/>
  <c r="M538" i="3"/>
  <c r="L538" i="3"/>
  <c r="Y537" i="3"/>
  <c r="S537" i="3"/>
  <c r="T537" i="3" s="1"/>
  <c r="L537" i="3"/>
  <c r="M537" i="3" s="1"/>
  <c r="Y536" i="3"/>
  <c r="S536" i="3"/>
  <c r="T536" i="3" s="1"/>
  <c r="M536" i="3"/>
  <c r="L536" i="3"/>
  <c r="Y535" i="3"/>
  <c r="T535" i="3"/>
  <c r="S535" i="3"/>
  <c r="L535" i="3"/>
  <c r="M535" i="3" s="1"/>
  <c r="Y534" i="3"/>
  <c r="S534" i="3"/>
  <c r="T534" i="3" s="1"/>
  <c r="M534" i="3"/>
  <c r="L534" i="3"/>
  <c r="Y533" i="3"/>
  <c r="S533" i="3"/>
  <c r="T533" i="3" s="1"/>
  <c r="M533" i="3"/>
  <c r="L533" i="3"/>
  <c r="Y532" i="3"/>
  <c r="T532" i="3"/>
  <c r="S532" i="3"/>
  <c r="L532" i="3"/>
  <c r="M532" i="3" s="1"/>
  <c r="Y531" i="3"/>
  <c r="S531" i="3"/>
  <c r="T531" i="3" s="1"/>
  <c r="L531" i="3"/>
  <c r="M531" i="3" s="1"/>
  <c r="Y530" i="3"/>
  <c r="S530" i="3"/>
  <c r="T530" i="3" s="1"/>
  <c r="L530" i="3"/>
  <c r="M530" i="3" s="1"/>
  <c r="Y529" i="3"/>
  <c r="S529" i="3"/>
  <c r="T529" i="3" s="1"/>
  <c r="M529" i="3"/>
  <c r="L529" i="3"/>
  <c r="Y528" i="3"/>
  <c r="S528" i="3"/>
  <c r="T528" i="3" s="1"/>
  <c r="L528" i="3"/>
  <c r="M528" i="3" s="1"/>
  <c r="Y527" i="3"/>
  <c r="S527" i="3"/>
  <c r="T527" i="3" s="1"/>
  <c r="M527" i="3"/>
  <c r="L527" i="3"/>
  <c r="Y526" i="3"/>
  <c r="T526" i="3"/>
  <c r="S526" i="3"/>
  <c r="M526" i="3"/>
  <c r="L526" i="3"/>
  <c r="Y525" i="3"/>
  <c r="S525" i="3"/>
  <c r="T525" i="3" s="1"/>
  <c r="M525" i="3"/>
  <c r="L525" i="3"/>
  <c r="Y524" i="3"/>
  <c r="T524" i="3"/>
  <c r="S524" i="3"/>
  <c r="L524" i="3"/>
  <c r="M524" i="3" s="1"/>
  <c r="Y523" i="3"/>
  <c r="T523" i="3"/>
  <c r="S523" i="3"/>
  <c r="L523" i="3"/>
  <c r="M523" i="3" s="1"/>
  <c r="Y522" i="3"/>
  <c r="T522" i="3"/>
  <c r="S522" i="3"/>
  <c r="L522" i="3"/>
  <c r="M522" i="3" s="1"/>
  <c r="Y521" i="3"/>
  <c r="S521" i="3"/>
  <c r="T521" i="3" s="1"/>
  <c r="M521" i="3"/>
  <c r="L521" i="3"/>
  <c r="Y520" i="3"/>
  <c r="S520" i="3"/>
  <c r="T520" i="3" s="1"/>
  <c r="M520" i="3"/>
  <c r="L520" i="3"/>
  <c r="Y519" i="3"/>
  <c r="T519" i="3"/>
  <c r="S519" i="3"/>
  <c r="L519" i="3"/>
  <c r="M519" i="3" s="1"/>
  <c r="Y518" i="3"/>
  <c r="S518" i="3"/>
  <c r="T518" i="3" s="1"/>
  <c r="L518" i="3"/>
  <c r="M518" i="3" s="1"/>
  <c r="Y517" i="3"/>
  <c r="T517" i="3"/>
  <c r="S517" i="3"/>
  <c r="M517" i="3"/>
  <c r="L517" i="3"/>
  <c r="Y516" i="3"/>
  <c r="S516" i="3"/>
  <c r="T516" i="3" s="1"/>
  <c r="L516" i="3"/>
  <c r="M516" i="3" s="1"/>
  <c r="Y515" i="3"/>
  <c r="S515" i="3"/>
  <c r="T515" i="3" s="1"/>
  <c r="L515" i="3"/>
  <c r="M515" i="3" s="1"/>
  <c r="Y514" i="3"/>
  <c r="S514" i="3"/>
  <c r="T514" i="3" s="1"/>
  <c r="L514" i="3"/>
  <c r="M514" i="3" s="1"/>
  <c r="Y513" i="3"/>
  <c r="S513" i="3"/>
  <c r="T513" i="3" s="1"/>
  <c r="L513" i="3"/>
  <c r="M513" i="3" s="1"/>
  <c r="Y512" i="3"/>
  <c r="S512" i="3"/>
  <c r="T512" i="3" s="1"/>
  <c r="L512" i="3"/>
  <c r="M512" i="3" s="1"/>
  <c r="Y511" i="3"/>
  <c r="T511" i="3"/>
  <c r="S511" i="3"/>
  <c r="L511" i="3"/>
  <c r="M511" i="3" s="1"/>
  <c r="Y510" i="3"/>
  <c r="S510" i="3"/>
  <c r="T510" i="3" s="1"/>
  <c r="L510" i="3"/>
  <c r="M510" i="3" s="1"/>
  <c r="Y509" i="3"/>
  <c r="S509" i="3"/>
  <c r="T509" i="3" s="1"/>
  <c r="M509" i="3"/>
  <c r="L509" i="3"/>
  <c r="Y508" i="3"/>
  <c r="T508" i="3"/>
  <c r="S508" i="3"/>
  <c r="L508" i="3"/>
  <c r="M508" i="3" s="1"/>
  <c r="Y507" i="3"/>
  <c r="S507" i="3"/>
  <c r="T507" i="3" s="1"/>
  <c r="L507" i="3"/>
  <c r="M507" i="3" s="1"/>
  <c r="Y506" i="3"/>
  <c r="S506" i="3"/>
  <c r="T506" i="3" s="1"/>
  <c r="L506" i="3"/>
  <c r="M506" i="3" s="1"/>
  <c r="Y505" i="3"/>
  <c r="S505" i="3"/>
  <c r="T505" i="3" s="1"/>
  <c r="L505" i="3"/>
  <c r="M505" i="3" s="1"/>
  <c r="Y504" i="3"/>
  <c r="S504" i="3"/>
  <c r="T504" i="3" s="1"/>
  <c r="L504" i="3"/>
  <c r="M504" i="3" s="1"/>
  <c r="Y503" i="3"/>
  <c r="S503" i="3"/>
  <c r="T503" i="3" s="1"/>
  <c r="L503" i="3"/>
  <c r="M503" i="3" s="1"/>
  <c r="Y502" i="3"/>
  <c r="S502" i="3"/>
  <c r="T502" i="3" s="1"/>
  <c r="M502" i="3"/>
  <c r="L502" i="3"/>
  <c r="Y501" i="3"/>
  <c r="S501" i="3"/>
  <c r="T501" i="3" s="1"/>
  <c r="L501" i="3"/>
  <c r="M501" i="3" s="1"/>
  <c r="Y500" i="3"/>
  <c r="S500" i="3"/>
  <c r="T500" i="3" s="1"/>
  <c r="M500" i="3"/>
  <c r="L500" i="3"/>
  <c r="Y499" i="3"/>
  <c r="T499" i="3"/>
  <c r="S499" i="3"/>
  <c r="L499" i="3"/>
  <c r="M499" i="3" s="1"/>
  <c r="Y498" i="3"/>
  <c r="S498" i="3"/>
  <c r="T498" i="3" s="1"/>
  <c r="M498" i="3"/>
  <c r="L498" i="3"/>
  <c r="Y497" i="3"/>
  <c r="T497" i="3"/>
  <c r="S497" i="3"/>
  <c r="M497" i="3"/>
  <c r="L497" i="3"/>
  <c r="Y496" i="3"/>
  <c r="S496" i="3"/>
  <c r="T496" i="3" s="1"/>
  <c r="L496" i="3"/>
  <c r="M496" i="3" s="1"/>
  <c r="Y495" i="3"/>
  <c r="S495" i="3"/>
  <c r="T495" i="3" s="1"/>
  <c r="M495" i="3"/>
  <c r="L495" i="3"/>
  <c r="Y494" i="3"/>
  <c r="S494" i="3"/>
  <c r="T494" i="3" s="1"/>
  <c r="L494" i="3"/>
  <c r="M494" i="3" s="1"/>
  <c r="Y493" i="3"/>
  <c r="S493" i="3"/>
  <c r="T493" i="3" s="1"/>
  <c r="M493" i="3"/>
  <c r="L493" i="3"/>
  <c r="Y492" i="3"/>
  <c r="T492" i="3"/>
  <c r="S492" i="3"/>
  <c r="L492" i="3"/>
  <c r="M492" i="3" s="1"/>
  <c r="Y491" i="3"/>
  <c r="S491" i="3"/>
  <c r="T491" i="3" s="1"/>
  <c r="M491" i="3"/>
  <c r="L491" i="3"/>
  <c r="Y490" i="3"/>
  <c r="T490" i="3"/>
  <c r="S490" i="3"/>
  <c r="L490" i="3"/>
  <c r="M490" i="3" s="1"/>
  <c r="Y489" i="3"/>
  <c r="S489" i="3"/>
  <c r="T489" i="3" s="1"/>
  <c r="M489" i="3"/>
  <c r="L489" i="3"/>
  <c r="Y488" i="3"/>
  <c r="T488" i="3"/>
  <c r="S488" i="3"/>
  <c r="L488" i="3"/>
  <c r="M488" i="3" s="1"/>
  <c r="Y487" i="3"/>
  <c r="T487" i="3"/>
  <c r="S487" i="3"/>
  <c r="L487" i="3"/>
  <c r="M487" i="3" s="1"/>
  <c r="Y486" i="3"/>
  <c r="T486" i="3"/>
  <c r="S486" i="3"/>
  <c r="L486" i="3"/>
  <c r="M486" i="3" s="1"/>
  <c r="Y485" i="3"/>
  <c r="S485" i="3"/>
  <c r="T485" i="3" s="1"/>
  <c r="M485" i="3"/>
  <c r="L485" i="3"/>
  <c r="Y484" i="3"/>
  <c r="S484" i="3"/>
  <c r="T484" i="3" s="1"/>
  <c r="M484" i="3"/>
  <c r="L484" i="3"/>
  <c r="Y483" i="3"/>
  <c r="T483" i="3"/>
  <c r="S483" i="3"/>
  <c r="L483" i="3"/>
  <c r="M483" i="3" s="1"/>
  <c r="Y482" i="3"/>
  <c r="S482" i="3"/>
  <c r="T482" i="3" s="1"/>
  <c r="M482" i="3"/>
  <c r="L482" i="3"/>
  <c r="Y481" i="3"/>
  <c r="T481" i="3"/>
  <c r="S481" i="3"/>
  <c r="M481" i="3"/>
  <c r="L481" i="3"/>
  <c r="Y480" i="3"/>
  <c r="S480" i="3"/>
  <c r="T480" i="3" s="1"/>
  <c r="L480" i="3"/>
  <c r="M480" i="3" s="1"/>
  <c r="Y479" i="3"/>
  <c r="T479" i="3"/>
  <c r="S479" i="3"/>
  <c r="L479" i="3"/>
  <c r="M479" i="3" s="1"/>
  <c r="Y478" i="3"/>
  <c r="S478" i="3"/>
  <c r="T478" i="3" s="1"/>
  <c r="L478" i="3"/>
  <c r="M478" i="3" s="1"/>
  <c r="Y477" i="3"/>
  <c r="S477" i="3"/>
  <c r="T477" i="3" s="1"/>
  <c r="L477" i="3"/>
  <c r="M477" i="3" s="1"/>
  <c r="Y476" i="3"/>
  <c r="S476" i="3"/>
  <c r="T476" i="3" s="1"/>
  <c r="L476" i="3"/>
  <c r="M476" i="3" s="1"/>
  <c r="Y475" i="3"/>
  <c r="T475" i="3"/>
  <c r="S475" i="3"/>
  <c r="L475" i="3"/>
  <c r="M475" i="3" s="1"/>
  <c r="Y474" i="3"/>
  <c r="S474" i="3"/>
  <c r="T474" i="3" s="1"/>
  <c r="M474" i="3"/>
  <c r="L474" i="3"/>
  <c r="Y473" i="3"/>
  <c r="S473" i="3"/>
  <c r="T473" i="3" s="1"/>
  <c r="M473" i="3"/>
  <c r="L473" i="3"/>
  <c r="Y472" i="3"/>
  <c r="T472" i="3"/>
  <c r="S472" i="3"/>
  <c r="L472" i="3"/>
  <c r="M472" i="3" s="1"/>
  <c r="Y471" i="3"/>
  <c r="S471" i="3"/>
  <c r="T471" i="3" s="1"/>
  <c r="L471" i="3"/>
  <c r="M471" i="3" s="1"/>
  <c r="Y470" i="3"/>
  <c r="S470" i="3"/>
  <c r="T470" i="3" s="1"/>
  <c r="L470" i="3"/>
  <c r="M470" i="3" s="1"/>
  <c r="Y469" i="3"/>
  <c r="S469" i="3"/>
  <c r="T469" i="3" s="1"/>
  <c r="L469" i="3"/>
  <c r="M469" i="3" s="1"/>
  <c r="Y468" i="3"/>
  <c r="S468" i="3"/>
  <c r="T468" i="3" s="1"/>
  <c r="L468" i="3"/>
  <c r="M468" i="3" s="1"/>
  <c r="Y467" i="3"/>
  <c r="S467" i="3"/>
  <c r="T467" i="3" s="1"/>
  <c r="L467" i="3"/>
  <c r="M467" i="3" s="1"/>
  <c r="Y466" i="3"/>
  <c r="S466" i="3"/>
  <c r="T466" i="3" s="1"/>
  <c r="M466" i="3"/>
  <c r="L466" i="3"/>
  <c r="Y465" i="3"/>
  <c r="S465" i="3"/>
  <c r="T465" i="3" s="1"/>
  <c r="L465" i="3"/>
  <c r="M465" i="3" s="1"/>
  <c r="Y464" i="3"/>
  <c r="S464" i="3"/>
  <c r="T464" i="3" s="1"/>
  <c r="M464" i="3"/>
  <c r="L464" i="3"/>
  <c r="Y463" i="3"/>
  <c r="T463" i="3"/>
  <c r="S463" i="3"/>
  <c r="L463" i="3"/>
  <c r="M463" i="3" s="1"/>
  <c r="Y462" i="3"/>
  <c r="S462" i="3"/>
  <c r="T462" i="3" s="1"/>
  <c r="M462" i="3"/>
  <c r="L462" i="3"/>
  <c r="Y461" i="3"/>
  <c r="T461" i="3"/>
  <c r="S461" i="3"/>
  <c r="M461" i="3"/>
  <c r="L461" i="3"/>
  <c r="Y460" i="3"/>
  <c r="S460" i="3"/>
  <c r="T460" i="3" s="1"/>
  <c r="L460" i="3"/>
  <c r="M460" i="3" s="1"/>
  <c r="Y459" i="3"/>
  <c r="S459" i="3"/>
  <c r="T459" i="3" s="1"/>
  <c r="M459" i="3"/>
  <c r="L459" i="3"/>
  <c r="Y458" i="3"/>
  <c r="S458" i="3"/>
  <c r="T458" i="3" s="1"/>
  <c r="L458" i="3"/>
  <c r="M458" i="3" s="1"/>
  <c r="Y457" i="3"/>
  <c r="S457" i="3"/>
  <c r="T457" i="3" s="1"/>
  <c r="M457" i="3"/>
  <c r="L457" i="3"/>
  <c r="Y456" i="3"/>
  <c r="T456" i="3"/>
  <c r="S456" i="3"/>
  <c r="L456" i="3"/>
  <c r="M456" i="3" s="1"/>
  <c r="Y455" i="3"/>
  <c r="S455" i="3"/>
  <c r="T455" i="3" s="1"/>
  <c r="M455" i="3"/>
  <c r="L455" i="3"/>
  <c r="Y454" i="3"/>
  <c r="T454" i="3"/>
  <c r="S454" i="3"/>
  <c r="L454" i="3"/>
  <c r="M454" i="3" s="1"/>
  <c r="Y453" i="3"/>
  <c r="S453" i="3"/>
  <c r="T453" i="3" s="1"/>
  <c r="M453" i="3"/>
  <c r="L453" i="3"/>
  <c r="Y452" i="3"/>
  <c r="T452" i="3"/>
  <c r="S452" i="3"/>
  <c r="L452" i="3"/>
  <c r="M452" i="3" s="1"/>
  <c r="Y451" i="3"/>
  <c r="T451" i="3"/>
  <c r="S451" i="3"/>
  <c r="L451" i="3"/>
  <c r="M451" i="3" s="1"/>
  <c r="Y450" i="3"/>
  <c r="T450" i="3"/>
  <c r="S450" i="3"/>
  <c r="M450" i="3"/>
  <c r="L450" i="3"/>
  <c r="Y449" i="3"/>
  <c r="S449" i="3"/>
  <c r="T449" i="3" s="1"/>
  <c r="M449" i="3"/>
  <c r="L449" i="3"/>
  <c r="Y448" i="3"/>
  <c r="T448" i="3"/>
  <c r="S448" i="3"/>
  <c r="M448" i="3"/>
  <c r="L448" i="3"/>
  <c r="Y447" i="3"/>
  <c r="T447" i="3"/>
  <c r="S447" i="3"/>
  <c r="L447" i="3"/>
  <c r="M447" i="3" s="1"/>
  <c r="Y446" i="3"/>
  <c r="S446" i="3"/>
  <c r="T446" i="3" s="1"/>
  <c r="L446" i="3"/>
  <c r="M446" i="3" s="1"/>
  <c r="Y445" i="3"/>
  <c r="T445" i="3"/>
  <c r="S445" i="3"/>
  <c r="L445" i="3"/>
  <c r="M445" i="3" s="1"/>
  <c r="Y444" i="3"/>
  <c r="S444" i="3"/>
  <c r="T444" i="3" s="1"/>
  <c r="L444" i="3"/>
  <c r="M444" i="3" s="1"/>
  <c r="Y443" i="3"/>
  <c r="S443" i="3"/>
  <c r="T443" i="3" s="1"/>
  <c r="L443" i="3"/>
  <c r="M443" i="3" s="1"/>
  <c r="Y442" i="3"/>
  <c r="T442" i="3"/>
  <c r="S442" i="3"/>
  <c r="L442" i="3"/>
  <c r="M442" i="3" s="1"/>
  <c r="Y441" i="3"/>
  <c r="S441" i="3"/>
  <c r="T441" i="3" s="1"/>
  <c r="L441" i="3"/>
  <c r="M441" i="3" s="1"/>
  <c r="Y440" i="3"/>
  <c r="T440" i="3"/>
  <c r="S440" i="3"/>
  <c r="L440" i="3"/>
  <c r="M440" i="3" s="1"/>
  <c r="Y439" i="3"/>
  <c r="T439" i="3"/>
  <c r="S439" i="3"/>
  <c r="L439" i="3"/>
  <c r="M439" i="3" s="1"/>
  <c r="Y438" i="3"/>
  <c r="T438" i="3"/>
  <c r="S438" i="3"/>
  <c r="M438" i="3"/>
  <c r="L438" i="3"/>
  <c r="Y437" i="3"/>
  <c r="T437" i="3"/>
  <c r="S437" i="3"/>
  <c r="M437" i="3"/>
  <c r="L437" i="3"/>
  <c r="Y436" i="3"/>
  <c r="S436" i="3"/>
  <c r="T436" i="3" s="1"/>
  <c r="M436" i="3"/>
  <c r="L436" i="3"/>
  <c r="Y435" i="3"/>
  <c r="S435" i="3"/>
  <c r="T435" i="3" s="1"/>
  <c r="M435" i="3"/>
  <c r="L435" i="3"/>
  <c r="Y434" i="3"/>
  <c r="S434" i="3"/>
  <c r="T434" i="3" s="1"/>
  <c r="L434" i="3"/>
  <c r="M434" i="3" s="1"/>
  <c r="Y433" i="3"/>
  <c r="T433" i="3"/>
  <c r="S433" i="3"/>
  <c r="M433" i="3"/>
  <c r="L433" i="3"/>
  <c r="Y432" i="3"/>
  <c r="T432" i="3"/>
  <c r="S432" i="3"/>
  <c r="L432" i="3"/>
  <c r="M432" i="3" s="1"/>
  <c r="Y431" i="3"/>
  <c r="S431" i="3"/>
  <c r="T431" i="3" s="1"/>
  <c r="L431" i="3"/>
  <c r="M431" i="3" s="1"/>
  <c r="Y430" i="3"/>
  <c r="T430" i="3"/>
  <c r="S430" i="3"/>
  <c r="L430" i="3"/>
  <c r="M430" i="3" s="1"/>
  <c r="Y429" i="3"/>
  <c r="S429" i="3"/>
  <c r="T429" i="3" s="1"/>
  <c r="L429" i="3"/>
  <c r="M429" i="3" s="1"/>
  <c r="Y428" i="3"/>
  <c r="T428" i="3"/>
  <c r="S428" i="3"/>
  <c r="M428" i="3"/>
  <c r="L428" i="3"/>
  <c r="Y427" i="3"/>
  <c r="T427" i="3"/>
  <c r="S427" i="3"/>
  <c r="L427" i="3"/>
  <c r="M427" i="3" s="1"/>
  <c r="Y426" i="3"/>
  <c r="S426" i="3"/>
  <c r="T426" i="3" s="1"/>
  <c r="M426" i="3"/>
  <c r="L426" i="3"/>
  <c r="Y425" i="3"/>
  <c r="S425" i="3"/>
  <c r="T425" i="3" s="1"/>
  <c r="M425" i="3"/>
  <c r="L425" i="3"/>
  <c r="Y424" i="3"/>
  <c r="T424" i="3"/>
  <c r="S424" i="3"/>
  <c r="L424" i="3"/>
  <c r="M424" i="3" s="1"/>
  <c r="Y423" i="3"/>
  <c r="S423" i="3"/>
  <c r="T423" i="3" s="1"/>
  <c r="L423" i="3"/>
  <c r="M423" i="3" s="1"/>
  <c r="Y422" i="3"/>
  <c r="S422" i="3"/>
  <c r="T422" i="3" s="1"/>
  <c r="M422" i="3"/>
  <c r="L422" i="3"/>
  <c r="Y421" i="3"/>
  <c r="S421" i="3"/>
  <c r="T421" i="3" s="1"/>
  <c r="L421" i="3"/>
  <c r="M421" i="3" s="1"/>
  <c r="Y420" i="3"/>
  <c r="S420" i="3"/>
  <c r="T420" i="3" s="1"/>
  <c r="L420" i="3"/>
  <c r="M420" i="3" s="1"/>
  <c r="Y419" i="3"/>
  <c r="S419" i="3"/>
  <c r="T419" i="3" s="1"/>
  <c r="L419" i="3"/>
  <c r="M419" i="3" s="1"/>
  <c r="Y418" i="3"/>
  <c r="T418" i="3"/>
  <c r="S418" i="3"/>
  <c r="L418" i="3"/>
  <c r="M418" i="3" s="1"/>
  <c r="Y417" i="3"/>
  <c r="S417" i="3"/>
  <c r="T417" i="3" s="1"/>
  <c r="L417" i="3"/>
  <c r="M417" i="3" s="1"/>
  <c r="Y416" i="3"/>
  <c r="T416" i="3"/>
  <c r="S416" i="3"/>
  <c r="M416" i="3"/>
  <c r="L416" i="3"/>
  <c r="Y415" i="3"/>
  <c r="T415" i="3"/>
  <c r="S415" i="3"/>
  <c r="L415" i="3"/>
  <c r="M415" i="3" s="1"/>
  <c r="Y414" i="3"/>
  <c r="S414" i="3"/>
  <c r="T414" i="3" s="1"/>
  <c r="M414" i="3"/>
  <c r="L414" i="3"/>
  <c r="Y413" i="3"/>
  <c r="S413" i="3"/>
  <c r="T413" i="3" s="1"/>
  <c r="M413" i="3"/>
  <c r="L413" i="3"/>
  <c r="Y412" i="3"/>
  <c r="T412" i="3"/>
  <c r="S412" i="3"/>
  <c r="L412" i="3"/>
  <c r="M412" i="3" s="1"/>
  <c r="Y411" i="3"/>
  <c r="S411" i="3"/>
  <c r="T411" i="3" s="1"/>
  <c r="L411" i="3"/>
  <c r="M411" i="3" s="1"/>
  <c r="Y410" i="3"/>
  <c r="S410" i="3"/>
  <c r="T410" i="3" s="1"/>
  <c r="M410" i="3"/>
  <c r="L410" i="3"/>
  <c r="Y409" i="3"/>
  <c r="S409" i="3"/>
  <c r="T409" i="3" s="1"/>
  <c r="L409" i="3"/>
  <c r="M409" i="3" s="1"/>
  <c r="Y408" i="3"/>
  <c r="S408" i="3"/>
  <c r="T408" i="3" s="1"/>
  <c r="L408" i="3"/>
  <c r="M408" i="3" s="1"/>
  <c r="Y407" i="3"/>
  <c r="S407" i="3"/>
  <c r="T407" i="3" s="1"/>
  <c r="L407" i="3"/>
  <c r="M407" i="3" s="1"/>
  <c r="Y406" i="3"/>
  <c r="T406" i="3"/>
  <c r="S406" i="3"/>
  <c r="L406" i="3"/>
  <c r="M406" i="3" s="1"/>
  <c r="Y405" i="3"/>
  <c r="S405" i="3"/>
  <c r="T405" i="3" s="1"/>
  <c r="L405" i="3"/>
  <c r="M405" i="3" s="1"/>
  <c r="Y404" i="3"/>
  <c r="T404" i="3"/>
  <c r="S404" i="3"/>
  <c r="M404" i="3"/>
  <c r="L404" i="3"/>
  <c r="Y403" i="3"/>
  <c r="T403" i="3"/>
  <c r="S403" i="3"/>
  <c r="L403" i="3"/>
  <c r="M403" i="3" s="1"/>
  <c r="Y402" i="3"/>
  <c r="S402" i="3"/>
  <c r="T402" i="3" s="1"/>
  <c r="M402" i="3"/>
  <c r="L402" i="3"/>
  <c r="Y401" i="3"/>
  <c r="S401" i="3"/>
  <c r="T401" i="3" s="1"/>
  <c r="M401" i="3"/>
  <c r="L401" i="3"/>
  <c r="Y400" i="3"/>
  <c r="T400" i="3"/>
  <c r="S400" i="3"/>
  <c r="L400" i="3"/>
  <c r="M400" i="3" s="1"/>
  <c r="Y399" i="3"/>
  <c r="S399" i="3"/>
  <c r="T399" i="3" s="1"/>
  <c r="L399" i="3"/>
  <c r="M399" i="3" s="1"/>
  <c r="Y398" i="3"/>
  <c r="S398" i="3"/>
  <c r="T398" i="3" s="1"/>
  <c r="M398" i="3"/>
  <c r="L398" i="3"/>
  <c r="Y397" i="3"/>
  <c r="S397" i="3"/>
  <c r="T397" i="3" s="1"/>
  <c r="L397" i="3"/>
  <c r="M397" i="3" s="1"/>
  <c r="Y396" i="3"/>
  <c r="T396" i="3"/>
  <c r="S396" i="3"/>
  <c r="L396" i="3"/>
  <c r="M396" i="3" s="1"/>
  <c r="Y395" i="3"/>
  <c r="S395" i="3"/>
  <c r="T395" i="3" s="1"/>
  <c r="L395" i="3"/>
  <c r="M395" i="3" s="1"/>
  <c r="Y394" i="3"/>
  <c r="T394" i="3"/>
  <c r="S394" i="3"/>
  <c r="L394" i="3"/>
  <c r="M394" i="3" s="1"/>
  <c r="Y393" i="3"/>
  <c r="S393" i="3"/>
  <c r="T393" i="3" s="1"/>
  <c r="L393" i="3"/>
  <c r="M393" i="3" s="1"/>
  <c r="Y392" i="3"/>
  <c r="T392" i="3"/>
  <c r="S392" i="3"/>
  <c r="M392" i="3"/>
  <c r="L392" i="3"/>
  <c r="Y391" i="3"/>
  <c r="T391" i="3"/>
  <c r="S391" i="3"/>
  <c r="L391" i="3"/>
  <c r="M391" i="3" s="1"/>
  <c r="Y390" i="3"/>
  <c r="S390" i="3"/>
  <c r="T390" i="3" s="1"/>
  <c r="M390" i="3"/>
  <c r="L390" i="3"/>
  <c r="Y389" i="3"/>
  <c r="S389" i="3"/>
  <c r="T389" i="3" s="1"/>
  <c r="M389" i="3"/>
  <c r="L389" i="3"/>
  <c r="Y388" i="3"/>
  <c r="T388" i="3"/>
  <c r="S388" i="3"/>
  <c r="L388" i="3"/>
  <c r="M388" i="3" s="1"/>
  <c r="Y387" i="3"/>
  <c r="S387" i="3"/>
  <c r="T387" i="3" s="1"/>
  <c r="L387" i="3"/>
  <c r="M387" i="3" s="1"/>
  <c r="Y386" i="3"/>
  <c r="S386" i="3"/>
  <c r="T386" i="3" s="1"/>
  <c r="M386" i="3"/>
  <c r="L386" i="3"/>
  <c r="Y385" i="3"/>
  <c r="S385" i="3"/>
  <c r="T385" i="3" s="1"/>
  <c r="L385" i="3"/>
  <c r="M385" i="3" s="1"/>
  <c r="Y384" i="3"/>
  <c r="T384" i="3"/>
  <c r="S384" i="3"/>
  <c r="L384" i="3"/>
  <c r="M384" i="3" s="1"/>
  <c r="Y383" i="3"/>
  <c r="S383" i="3"/>
  <c r="T383" i="3" s="1"/>
  <c r="L383" i="3"/>
  <c r="M383" i="3" s="1"/>
  <c r="Y382" i="3"/>
  <c r="T382" i="3"/>
  <c r="S382" i="3"/>
  <c r="M382" i="3"/>
  <c r="L382" i="3"/>
  <c r="Y381" i="3"/>
  <c r="S381" i="3"/>
  <c r="T381" i="3" s="1"/>
  <c r="L381" i="3"/>
  <c r="M381" i="3" s="1"/>
  <c r="Y380" i="3"/>
  <c r="T380" i="3"/>
  <c r="S380" i="3"/>
  <c r="M380" i="3"/>
  <c r="L380" i="3"/>
  <c r="Y379" i="3"/>
  <c r="T379" i="3"/>
  <c r="S379" i="3"/>
  <c r="L379" i="3"/>
  <c r="M379" i="3" s="1"/>
  <c r="Y378" i="3"/>
  <c r="S378" i="3"/>
  <c r="T378" i="3" s="1"/>
  <c r="M378" i="3"/>
  <c r="L378" i="3"/>
  <c r="Y377" i="3"/>
  <c r="S377" i="3"/>
  <c r="T377" i="3" s="1"/>
  <c r="M377" i="3"/>
  <c r="L377" i="3"/>
  <c r="Y376" i="3"/>
  <c r="T376" i="3"/>
  <c r="S376" i="3"/>
  <c r="L376" i="3"/>
  <c r="M376" i="3" s="1"/>
  <c r="Y375" i="3"/>
  <c r="S375" i="3"/>
  <c r="T375" i="3" s="1"/>
  <c r="L375" i="3"/>
  <c r="M375" i="3" s="1"/>
  <c r="Y374" i="3"/>
  <c r="S374" i="3"/>
  <c r="T374" i="3" s="1"/>
  <c r="M374" i="3"/>
  <c r="L374" i="3"/>
  <c r="Y373" i="3"/>
  <c r="S373" i="3"/>
  <c r="T373" i="3" s="1"/>
  <c r="L373" i="3"/>
  <c r="M373" i="3" s="1"/>
  <c r="Y372" i="3"/>
  <c r="S372" i="3"/>
  <c r="T372" i="3" s="1"/>
  <c r="L372" i="3"/>
  <c r="M372" i="3" s="1"/>
  <c r="Y371" i="3"/>
  <c r="S371" i="3"/>
  <c r="T371" i="3" s="1"/>
  <c r="L371" i="3"/>
  <c r="M371" i="3" s="1"/>
  <c r="Y370" i="3"/>
  <c r="T370" i="3"/>
  <c r="S370" i="3"/>
  <c r="M370" i="3"/>
  <c r="L370" i="3"/>
  <c r="Y369" i="3"/>
  <c r="S369" i="3"/>
  <c r="T369" i="3" s="1"/>
  <c r="L369" i="3"/>
  <c r="M369" i="3" s="1"/>
  <c r="Y368" i="3"/>
  <c r="T368" i="3"/>
  <c r="S368" i="3"/>
  <c r="M368" i="3"/>
  <c r="L368" i="3"/>
  <c r="Y367" i="3"/>
  <c r="T367" i="3"/>
  <c r="S367" i="3"/>
  <c r="L367" i="3"/>
  <c r="M367" i="3" s="1"/>
  <c r="Y366" i="3"/>
  <c r="S366" i="3"/>
  <c r="T366" i="3" s="1"/>
  <c r="M366" i="3"/>
  <c r="L366" i="3"/>
  <c r="Y365" i="3"/>
  <c r="S365" i="3"/>
  <c r="T365" i="3" s="1"/>
  <c r="M365" i="3"/>
  <c r="L365" i="3"/>
  <c r="Y364" i="3"/>
  <c r="T364" i="3"/>
  <c r="S364" i="3"/>
  <c r="L364" i="3"/>
  <c r="M364" i="3" s="1"/>
  <c r="Y363" i="3"/>
  <c r="S363" i="3"/>
  <c r="T363" i="3" s="1"/>
  <c r="L363" i="3"/>
  <c r="M363" i="3" s="1"/>
  <c r="Y362" i="3"/>
  <c r="S362" i="3"/>
  <c r="T362" i="3" s="1"/>
  <c r="M362" i="3"/>
  <c r="L362" i="3"/>
  <c r="Y361" i="3"/>
  <c r="S361" i="3"/>
  <c r="T361" i="3" s="1"/>
  <c r="L361" i="3"/>
  <c r="M361" i="3" s="1"/>
  <c r="Y360" i="3"/>
  <c r="T360" i="3"/>
  <c r="S360" i="3"/>
  <c r="L360" i="3"/>
  <c r="M360" i="3" s="1"/>
  <c r="Y359" i="3"/>
  <c r="S359" i="3"/>
  <c r="T359" i="3" s="1"/>
  <c r="L359" i="3"/>
  <c r="M359" i="3" s="1"/>
  <c r="Y358" i="3"/>
  <c r="T358" i="3"/>
  <c r="S358" i="3"/>
  <c r="L358" i="3"/>
  <c r="M358" i="3" s="1"/>
  <c r="Y357" i="3"/>
  <c r="S357" i="3"/>
  <c r="T357" i="3" s="1"/>
  <c r="L357" i="3"/>
  <c r="M357" i="3" s="1"/>
  <c r="Y356" i="3"/>
  <c r="T356" i="3"/>
  <c r="S356" i="3"/>
  <c r="M356" i="3"/>
  <c r="L356" i="3"/>
  <c r="Y355" i="3"/>
  <c r="T355" i="3"/>
  <c r="S355" i="3"/>
  <c r="L355" i="3"/>
  <c r="M355" i="3" s="1"/>
  <c r="Y354" i="3"/>
  <c r="S354" i="3"/>
  <c r="T354" i="3" s="1"/>
  <c r="M354" i="3"/>
  <c r="L354" i="3"/>
  <c r="Y353" i="3"/>
  <c r="S353" i="3"/>
  <c r="T353" i="3" s="1"/>
  <c r="M353" i="3"/>
  <c r="L353" i="3"/>
  <c r="Y352" i="3"/>
  <c r="T352" i="3"/>
  <c r="S352" i="3"/>
  <c r="L352" i="3"/>
  <c r="M352" i="3" s="1"/>
  <c r="Y351" i="3"/>
  <c r="S351" i="3"/>
  <c r="T351" i="3" s="1"/>
  <c r="L351" i="3"/>
  <c r="M351" i="3" s="1"/>
  <c r="Y350" i="3"/>
  <c r="S350" i="3"/>
  <c r="T350" i="3" s="1"/>
  <c r="M350" i="3"/>
  <c r="L350" i="3"/>
  <c r="Y349" i="3"/>
  <c r="S349" i="3"/>
  <c r="T349" i="3" s="1"/>
  <c r="L349" i="3"/>
  <c r="M349" i="3" s="1"/>
  <c r="Y348" i="3"/>
  <c r="S348" i="3"/>
  <c r="T348" i="3" s="1"/>
  <c r="L348" i="3"/>
  <c r="M348" i="3" s="1"/>
  <c r="Y347" i="3"/>
  <c r="S347" i="3"/>
  <c r="T347" i="3" s="1"/>
  <c r="L347" i="3"/>
  <c r="M347" i="3" s="1"/>
  <c r="Y346" i="3"/>
  <c r="T346" i="3"/>
  <c r="S346" i="3"/>
  <c r="L346" i="3"/>
  <c r="M346" i="3" s="1"/>
  <c r="Y345" i="3"/>
  <c r="S345" i="3"/>
  <c r="T345" i="3" s="1"/>
  <c r="L345" i="3"/>
  <c r="M345" i="3" s="1"/>
  <c r="Y344" i="3"/>
  <c r="T344" i="3"/>
  <c r="S344" i="3"/>
  <c r="M344" i="3"/>
  <c r="L344" i="3"/>
  <c r="Y343" i="3"/>
  <c r="T343" i="3"/>
  <c r="S343" i="3"/>
  <c r="L343" i="3"/>
  <c r="M343" i="3" s="1"/>
  <c r="Y342" i="3"/>
  <c r="S342" i="3"/>
  <c r="T342" i="3" s="1"/>
  <c r="M342" i="3"/>
  <c r="L342" i="3"/>
  <c r="Y341" i="3"/>
  <c r="S341" i="3"/>
  <c r="T341" i="3" s="1"/>
  <c r="M341" i="3"/>
  <c r="L341" i="3"/>
  <c r="Y340" i="3"/>
  <c r="T340" i="3"/>
  <c r="S340" i="3"/>
  <c r="L340" i="3"/>
  <c r="M340" i="3" s="1"/>
  <c r="Y339" i="3"/>
  <c r="S339" i="3"/>
  <c r="T339" i="3" s="1"/>
  <c r="L339" i="3"/>
  <c r="M339" i="3" s="1"/>
  <c r="Y338" i="3"/>
  <c r="S338" i="3"/>
  <c r="T338" i="3" s="1"/>
  <c r="M338" i="3"/>
  <c r="L338" i="3"/>
  <c r="Y337" i="3"/>
  <c r="S337" i="3"/>
  <c r="T337" i="3" s="1"/>
  <c r="L337" i="3"/>
  <c r="M337" i="3" s="1"/>
  <c r="Y336" i="3"/>
  <c r="S336" i="3"/>
  <c r="T336" i="3" s="1"/>
  <c r="L336" i="3"/>
  <c r="M336" i="3" s="1"/>
  <c r="Y335" i="3"/>
  <c r="S335" i="3"/>
  <c r="T335" i="3" s="1"/>
  <c r="L335" i="3"/>
  <c r="M335" i="3" s="1"/>
  <c r="Y334" i="3"/>
  <c r="T334" i="3"/>
  <c r="S334" i="3"/>
  <c r="L334" i="3"/>
  <c r="M334" i="3" s="1"/>
  <c r="Y333" i="3"/>
  <c r="S333" i="3"/>
  <c r="T333" i="3" s="1"/>
  <c r="L333" i="3"/>
  <c r="M333" i="3" s="1"/>
  <c r="Y332" i="3"/>
  <c r="T332" i="3"/>
  <c r="S332" i="3"/>
  <c r="M332" i="3"/>
  <c r="L332" i="3"/>
  <c r="Y331" i="3"/>
  <c r="T331" i="3"/>
  <c r="S331" i="3"/>
  <c r="L331" i="3"/>
  <c r="M331" i="3" s="1"/>
  <c r="Y330" i="3"/>
  <c r="S330" i="3"/>
  <c r="T330" i="3" s="1"/>
  <c r="M330" i="3"/>
  <c r="L330" i="3"/>
  <c r="Y329" i="3"/>
  <c r="S329" i="3"/>
  <c r="T329" i="3" s="1"/>
  <c r="M329" i="3"/>
  <c r="L329" i="3"/>
  <c r="Y328" i="3"/>
  <c r="T328" i="3"/>
  <c r="S328" i="3"/>
  <c r="L328" i="3"/>
  <c r="M328" i="3" s="1"/>
  <c r="Y327" i="3"/>
  <c r="S327" i="3"/>
  <c r="T327" i="3" s="1"/>
  <c r="L327" i="3"/>
  <c r="M327" i="3" s="1"/>
  <c r="Y326" i="3"/>
  <c r="S326" i="3"/>
  <c r="T326" i="3" s="1"/>
  <c r="M326" i="3"/>
  <c r="L326" i="3"/>
  <c r="Y325" i="3"/>
  <c r="S325" i="3"/>
  <c r="T325" i="3" s="1"/>
  <c r="L325" i="3"/>
  <c r="M325" i="3" s="1"/>
  <c r="Y324" i="3"/>
  <c r="T324" i="3"/>
  <c r="S324" i="3"/>
  <c r="L324" i="3"/>
  <c r="M324" i="3" s="1"/>
  <c r="Y323" i="3"/>
  <c r="S323" i="3"/>
  <c r="T323" i="3" s="1"/>
  <c r="L323" i="3"/>
  <c r="M323" i="3" s="1"/>
  <c r="Y322" i="3"/>
  <c r="T322" i="3"/>
  <c r="S322" i="3"/>
  <c r="L322" i="3"/>
  <c r="M322" i="3" s="1"/>
  <c r="Y321" i="3"/>
  <c r="S321" i="3"/>
  <c r="T321" i="3" s="1"/>
  <c r="L321" i="3"/>
  <c r="M321" i="3" s="1"/>
  <c r="Y320" i="3"/>
  <c r="T320" i="3"/>
  <c r="S320" i="3"/>
  <c r="M320" i="3"/>
  <c r="L320" i="3"/>
  <c r="Y319" i="3"/>
  <c r="T319" i="3"/>
  <c r="S319" i="3"/>
  <c r="L319" i="3"/>
  <c r="M319" i="3" s="1"/>
  <c r="Y318" i="3"/>
  <c r="S318" i="3"/>
  <c r="T318" i="3" s="1"/>
  <c r="M318" i="3"/>
  <c r="L318" i="3"/>
  <c r="Y317" i="3"/>
  <c r="S317" i="3"/>
  <c r="T317" i="3" s="1"/>
  <c r="M317" i="3"/>
  <c r="L317" i="3"/>
  <c r="Y316" i="3"/>
  <c r="T316" i="3"/>
  <c r="S316" i="3"/>
  <c r="L316" i="3"/>
  <c r="M316" i="3" s="1"/>
  <c r="Y315" i="3"/>
  <c r="S315" i="3"/>
  <c r="T315" i="3" s="1"/>
  <c r="L315" i="3"/>
  <c r="M315" i="3" s="1"/>
  <c r="Y314" i="3"/>
  <c r="S314" i="3"/>
  <c r="T314" i="3" s="1"/>
  <c r="M314" i="3"/>
  <c r="L314" i="3"/>
  <c r="Y313" i="3"/>
  <c r="S313" i="3"/>
  <c r="T313" i="3" s="1"/>
  <c r="L313" i="3"/>
  <c r="M313" i="3" s="1"/>
  <c r="Y312" i="3"/>
  <c r="T312" i="3"/>
  <c r="S312" i="3"/>
  <c r="L312" i="3"/>
  <c r="M312" i="3" s="1"/>
  <c r="Y311" i="3"/>
  <c r="S311" i="3"/>
  <c r="T311" i="3" s="1"/>
  <c r="L311" i="3"/>
  <c r="M311" i="3" s="1"/>
  <c r="Y310" i="3"/>
  <c r="T310" i="3"/>
  <c r="S310" i="3"/>
  <c r="L310" i="3"/>
  <c r="M310" i="3" s="1"/>
  <c r="Y309" i="3"/>
  <c r="S309" i="3"/>
  <c r="T309" i="3" s="1"/>
  <c r="L309" i="3"/>
  <c r="M309" i="3" s="1"/>
  <c r="Y308" i="3"/>
  <c r="T308" i="3"/>
  <c r="S308" i="3"/>
  <c r="M308" i="3"/>
  <c r="L308" i="3"/>
  <c r="Y307" i="3"/>
  <c r="T307" i="3"/>
  <c r="S307" i="3"/>
  <c r="L307" i="3"/>
  <c r="M307" i="3" s="1"/>
  <c r="Y306" i="3"/>
  <c r="S306" i="3"/>
  <c r="T306" i="3" s="1"/>
  <c r="M306" i="3"/>
  <c r="L306" i="3"/>
  <c r="Y305" i="3"/>
  <c r="S305" i="3"/>
  <c r="T305" i="3" s="1"/>
  <c r="M305" i="3"/>
  <c r="L305" i="3"/>
  <c r="Y304" i="3"/>
  <c r="T304" i="3"/>
  <c r="S304" i="3"/>
  <c r="L304" i="3"/>
  <c r="M304" i="3" s="1"/>
  <c r="Y303" i="3"/>
  <c r="S303" i="3"/>
  <c r="T303" i="3" s="1"/>
  <c r="L303" i="3"/>
  <c r="M303" i="3" s="1"/>
  <c r="Y302" i="3"/>
  <c r="S302" i="3"/>
  <c r="T302" i="3" s="1"/>
  <c r="M302" i="3"/>
  <c r="L302" i="3"/>
  <c r="Y301" i="3"/>
  <c r="S301" i="3"/>
  <c r="T301" i="3" s="1"/>
  <c r="L301" i="3"/>
  <c r="M301" i="3" s="1"/>
  <c r="Y300" i="3"/>
  <c r="T300" i="3"/>
  <c r="S300" i="3"/>
  <c r="L300" i="3"/>
  <c r="M300" i="3" s="1"/>
  <c r="Y299" i="3"/>
  <c r="S299" i="3"/>
  <c r="T299" i="3" s="1"/>
  <c r="L299" i="3"/>
  <c r="M299" i="3" s="1"/>
  <c r="Y298" i="3"/>
  <c r="T298" i="3"/>
  <c r="S298" i="3"/>
  <c r="L298" i="3"/>
  <c r="M298" i="3" s="1"/>
  <c r="Y297" i="3"/>
  <c r="S297" i="3"/>
  <c r="T297" i="3" s="1"/>
  <c r="L297" i="3"/>
  <c r="M297" i="3" s="1"/>
  <c r="Y296" i="3"/>
  <c r="T296" i="3"/>
  <c r="S296" i="3"/>
  <c r="M296" i="3"/>
  <c r="L296" i="3"/>
  <c r="Y295" i="3"/>
  <c r="T295" i="3"/>
  <c r="S295" i="3"/>
  <c r="L295" i="3"/>
  <c r="M295" i="3" s="1"/>
  <c r="Y294" i="3"/>
  <c r="S294" i="3"/>
  <c r="T294" i="3" s="1"/>
  <c r="M294" i="3"/>
  <c r="L294" i="3"/>
  <c r="Y293" i="3"/>
  <c r="S293" i="3"/>
  <c r="T293" i="3" s="1"/>
  <c r="M293" i="3"/>
  <c r="L293" i="3"/>
  <c r="Y292" i="3"/>
  <c r="T292" i="3"/>
  <c r="S292" i="3"/>
  <c r="L292" i="3"/>
  <c r="M292" i="3" s="1"/>
  <c r="Y291" i="3"/>
  <c r="S291" i="3"/>
  <c r="T291" i="3" s="1"/>
  <c r="L291" i="3"/>
  <c r="M291" i="3" s="1"/>
  <c r="Y290" i="3"/>
  <c r="S290" i="3"/>
  <c r="T290" i="3" s="1"/>
  <c r="M290" i="3"/>
  <c r="L290" i="3"/>
  <c r="Y289" i="3"/>
  <c r="S289" i="3"/>
  <c r="T289" i="3" s="1"/>
  <c r="L289" i="3"/>
  <c r="M289" i="3" s="1"/>
  <c r="Y288" i="3"/>
  <c r="T288" i="3"/>
  <c r="S288" i="3"/>
  <c r="L288" i="3"/>
  <c r="M288" i="3" s="1"/>
  <c r="Y287" i="3"/>
  <c r="S287" i="3"/>
  <c r="T287" i="3" s="1"/>
  <c r="L287" i="3"/>
  <c r="M287" i="3" s="1"/>
  <c r="Y286" i="3"/>
  <c r="T286" i="3"/>
  <c r="S286" i="3"/>
  <c r="L286" i="3"/>
  <c r="M286" i="3" s="1"/>
  <c r="Y285" i="3"/>
  <c r="S285" i="3"/>
  <c r="T285" i="3" s="1"/>
  <c r="L285" i="3"/>
  <c r="M285" i="3" s="1"/>
  <c r="Y284" i="3"/>
  <c r="T284" i="3"/>
  <c r="S284" i="3"/>
  <c r="M284" i="3"/>
  <c r="L284" i="3"/>
  <c r="Y283" i="3"/>
  <c r="T283" i="3"/>
  <c r="S283" i="3"/>
  <c r="L283" i="3"/>
  <c r="M283" i="3" s="1"/>
  <c r="Y282" i="3"/>
  <c r="S282" i="3"/>
  <c r="T282" i="3" s="1"/>
  <c r="M282" i="3"/>
  <c r="L282" i="3"/>
  <c r="Y281" i="3"/>
  <c r="S281" i="3"/>
  <c r="T281" i="3" s="1"/>
  <c r="M281" i="3"/>
  <c r="L281" i="3"/>
  <c r="Y280" i="3"/>
  <c r="T280" i="3"/>
  <c r="S280" i="3"/>
  <c r="L280" i="3"/>
  <c r="M280" i="3" s="1"/>
  <c r="Y279" i="3"/>
  <c r="S279" i="3"/>
  <c r="T279" i="3" s="1"/>
  <c r="L279" i="3"/>
  <c r="M279" i="3" s="1"/>
  <c r="Y278" i="3"/>
  <c r="S278" i="3"/>
  <c r="T278" i="3" s="1"/>
  <c r="M278" i="3"/>
  <c r="L278" i="3"/>
  <c r="Y277" i="3"/>
  <c r="T277" i="3"/>
  <c r="S277" i="3"/>
  <c r="L277" i="3"/>
  <c r="M277" i="3" s="1"/>
  <c r="Y276" i="3"/>
  <c r="S276" i="3"/>
  <c r="T276" i="3" s="1"/>
  <c r="L276" i="3"/>
  <c r="M276" i="3" s="1"/>
  <c r="Y275" i="3"/>
  <c r="S275" i="3"/>
  <c r="T275" i="3" s="1"/>
  <c r="M275" i="3"/>
  <c r="L275" i="3"/>
  <c r="Y274" i="3"/>
  <c r="S274" i="3"/>
  <c r="T274" i="3" s="1"/>
  <c r="L274" i="3"/>
  <c r="M274" i="3" s="1"/>
  <c r="Y273" i="3"/>
  <c r="S273" i="3"/>
  <c r="T273" i="3" s="1"/>
  <c r="L273" i="3"/>
  <c r="M273" i="3" s="1"/>
  <c r="Y272" i="3"/>
  <c r="T272" i="3"/>
  <c r="S272" i="3"/>
  <c r="M272" i="3"/>
  <c r="L272" i="3"/>
  <c r="Y271" i="3"/>
  <c r="T271" i="3"/>
  <c r="S271" i="3"/>
  <c r="L271" i="3"/>
  <c r="M271" i="3" s="1"/>
  <c r="Y270" i="3"/>
  <c r="S270" i="3"/>
  <c r="T270" i="3" s="1"/>
  <c r="M270" i="3"/>
  <c r="L270" i="3"/>
  <c r="Y269" i="3"/>
  <c r="T269" i="3"/>
  <c r="S269" i="3"/>
  <c r="M269" i="3"/>
  <c r="L269" i="3"/>
  <c r="Y268" i="3"/>
  <c r="T268" i="3"/>
  <c r="S268" i="3"/>
  <c r="L268" i="3"/>
  <c r="M268" i="3" s="1"/>
  <c r="Y267" i="3"/>
  <c r="S267" i="3"/>
  <c r="T267" i="3" s="1"/>
  <c r="L267" i="3"/>
  <c r="M267" i="3" s="1"/>
  <c r="Y266" i="3"/>
  <c r="S266" i="3"/>
  <c r="T266" i="3" s="1"/>
  <c r="M266" i="3"/>
  <c r="L266" i="3"/>
  <c r="Y265" i="3"/>
  <c r="T265" i="3"/>
  <c r="S265" i="3"/>
  <c r="L265" i="3"/>
  <c r="M265" i="3" s="1"/>
  <c r="Y264" i="3"/>
  <c r="S264" i="3"/>
  <c r="T264" i="3" s="1"/>
  <c r="L264" i="3"/>
  <c r="M264" i="3" s="1"/>
  <c r="Y263" i="3"/>
  <c r="S263" i="3"/>
  <c r="T263" i="3" s="1"/>
  <c r="M263" i="3"/>
  <c r="L263" i="3"/>
  <c r="Y262" i="3"/>
  <c r="S262" i="3"/>
  <c r="T262" i="3" s="1"/>
  <c r="L262" i="3"/>
  <c r="M262" i="3" s="1"/>
  <c r="Y261" i="3"/>
  <c r="S261" i="3"/>
  <c r="T261" i="3" s="1"/>
  <c r="L261" i="3"/>
  <c r="M261" i="3" s="1"/>
  <c r="Y260" i="3"/>
  <c r="T260" i="3"/>
  <c r="S260" i="3"/>
  <c r="L260" i="3"/>
  <c r="M260" i="3" s="1"/>
  <c r="Y259" i="3"/>
  <c r="T259" i="3"/>
  <c r="S259" i="3"/>
  <c r="L259" i="3"/>
  <c r="M259" i="3" s="1"/>
  <c r="Y258" i="3"/>
  <c r="S258" i="3"/>
  <c r="T258" i="3" s="1"/>
  <c r="M258" i="3"/>
  <c r="L258" i="3"/>
  <c r="Y257" i="3"/>
  <c r="S257" i="3"/>
  <c r="T257" i="3" s="1"/>
  <c r="M257" i="3"/>
  <c r="L257" i="3"/>
  <c r="Y256" i="3"/>
  <c r="T256" i="3"/>
  <c r="S256" i="3"/>
  <c r="L256" i="3"/>
  <c r="M256" i="3" s="1"/>
  <c r="Y255" i="3"/>
  <c r="S255" i="3"/>
  <c r="T255" i="3" s="1"/>
  <c r="M255" i="3"/>
  <c r="L255" i="3"/>
  <c r="Y254" i="3"/>
  <c r="S254" i="3"/>
  <c r="T254" i="3" s="1"/>
  <c r="M254" i="3"/>
  <c r="L254" i="3"/>
  <c r="Y253" i="3"/>
  <c r="T253" i="3"/>
  <c r="S253" i="3"/>
  <c r="L253" i="3"/>
  <c r="M253" i="3" s="1"/>
  <c r="Y252" i="3"/>
  <c r="T252" i="3"/>
  <c r="S252" i="3"/>
  <c r="L252" i="3"/>
  <c r="M252" i="3" s="1"/>
  <c r="Y251" i="3"/>
  <c r="S251" i="3"/>
  <c r="T251" i="3" s="1"/>
  <c r="M251" i="3"/>
  <c r="L251" i="3"/>
  <c r="Y250" i="3"/>
  <c r="S250" i="3"/>
  <c r="T250" i="3" s="1"/>
  <c r="L250" i="3"/>
  <c r="M250" i="3" s="1"/>
  <c r="Y249" i="3"/>
  <c r="S249" i="3"/>
  <c r="T249" i="3" s="1"/>
  <c r="L249" i="3"/>
  <c r="M249" i="3" s="1"/>
  <c r="Y248" i="3"/>
  <c r="T248" i="3"/>
  <c r="S248" i="3"/>
  <c r="L248" i="3"/>
  <c r="M248" i="3" s="1"/>
  <c r="Y247" i="3"/>
  <c r="T247" i="3"/>
  <c r="S247" i="3"/>
  <c r="L247" i="3"/>
  <c r="M247" i="3" s="1"/>
  <c r="Y246" i="3"/>
  <c r="S246" i="3"/>
  <c r="T246" i="3" s="1"/>
  <c r="M246" i="3"/>
  <c r="L246" i="3"/>
  <c r="Y245" i="3"/>
  <c r="T245" i="3"/>
  <c r="S245" i="3"/>
  <c r="M245" i="3"/>
  <c r="L245" i="3"/>
  <c r="Y244" i="3"/>
  <c r="T244" i="3"/>
  <c r="S244" i="3"/>
  <c r="L244" i="3"/>
  <c r="M244" i="3" s="1"/>
  <c r="Y243" i="3"/>
  <c r="S243" i="3"/>
  <c r="T243" i="3" s="1"/>
  <c r="L243" i="3"/>
  <c r="M243" i="3" s="1"/>
  <c r="Y242" i="3"/>
  <c r="S242" i="3"/>
  <c r="T242" i="3" s="1"/>
  <c r="M242" i="3"/>
  <c r="L242" i="3"/>
  <c r="Y241" i="3"/>
  <c r="T241" i="3"/>
  <c r="S241" i="3"/>
  <c r="L241" i="3"/>
  <c r="M241" i="3" s="1"/>
  <c r="Y240" i="3"/>
  <c r="T240" i="3"/>
  <c r="S240" i="3"/>
  <c r="L240" i="3"/>
  <c r="M240" i="3" s="1"/>
  <c r="Y239" i="3"/>
  <c r="S239" i="3"/>
  <c r="T239" i="3" s="1"/>
  <c r="M239" i="3"/>
  <c r="L239" i="3"/>
  <c r="Y238" i="3"/>
  <c r="S238" i="3"/>
  <c r="T238" i="3" s="1"/>
  <c r="M238" i="3"/>
  <c r="L238" i="3"/>
  <c r="Y237" i="3"/>
  <c r="S237" i="3"/>
  <c r="T237" i="3" s="1"/>
  <c r="L237" i="3"/>
  <c r="M237" i="3" s="1"/>
  <c r="Y236" i="3"/>
  <c r="T236" i="3"/>
  <c r="S236" i="3"/>
  <c r="L236" i="3"/>
  <c r="M236" i="3" s="1"/>
  <c r="Y235" i="3"/>
  <c r="T235" i="3"/>
  <c r="S235" i="3"/>
  <c r="L235" i="3"/>
  <c r="M235" i="3" s="1"/>
  <c r="Y234" i="3"/>
  <c r="S234" i="3"/>
  <c r="T234" i="3" s="1"/>
  <c r="M234" i="3"/>
  <c r="L234" i="3"/>
  <c r="Y233" i="3"/>
  <c r="T233" i="3"/>
  <c r="S233" i="3"/>
  <c r="M233" i="3"/>
  <c r="L233" i="3"/>
  <c r="Y232" i="3"/>
  <c r="T232" i="3"/>
  <c r="S232" i="3"/>
  <c r="L232" i="3"/>
  <c r="M232" i="3" s="1"/>
  <c r="Y231" i="3"/>
  <c r="S231" i="3"/>
  <c r="T231" i="3" s="1"/>
  <c r="M231" i="3"/>
  <c r="L231" i="3"/>
  <c r="Y230" i="3"/>
  <c r="S230" i="3"/>
  <c r="T230" i="3" s="1"/>
  <c r="M230" i="3"/>
  <c r="L230" i="3"/>
  <c r="Y229" i="3"/>
  <c r="T229" i="3"/>
  <c r="S229" i="3"/>
  <c r="L229" i="3"/>
  <c r="M229" i="3" s="1"/>
  <c r="Y228" i="3"/>
  <c r="S228" i="3"/>
  <c r="T228" i="3" s="1"/>
  <c r="L228" i="3"/>
  <c r="M228" i="3" s="1"/>
  <c r="Y227" i="3"/>
  <c r="S227" i="3"/>
  <c r="T227" i="3" s="1"/>
  <c r="M227" i="3"/>
  <c r="L227" i="3"/>
  <c r="Y226" i="3"/>
  <c r="T226" i="3"/>
  <c r="S226" i="3"/>
  <c r="M226" i="3"/>
  <c r="L226" i="3"/>
  <c r="Y225" i="3"/>
  <c r="S225" i="3"/>
  <c r="T225" i="3" s="1"/>
  <c r="L225" i="3"/>
  <c r="M225" i="3" s="1"/>
  <c r="Y224" i="3"/>
  <c r="T224" i="3"/>
  <c r="S224" i="3"/>
  <c r="L224" i="3"/>
  <c r="M224" i="3" s="1"/>
  <c r="Y223" i="3"/>
  <c r="T223" i="3"/>
  <c r="S223" i="3"/>
  <c r="L223" i="3"/>
  <c r="M223" i="3" s="1"/>
  <c r="Y222" i="3"/>
  <c r="S222" i="3"/>
  <c r="T222" i="3" s="1"/>
  <c r="M222" i="3"/>
  <c r="L222" i="3"/>
  <c r="Y221" i="3"/>
  <c r="S221" i="3"/>
  <c r="T221" i="3" s="1"/>
  <c r="M221" i="3"/>
  <c r="L221" i="3"/>
  <c r="Y220" i="3"/>
  <c r="T220" i="3"/>
  <c r="S220" i="3"/>
  <c r="L220" i="3"/>
  <c r="M220" i="3" s="1"/>
  <c r="Y219" i="3"/>
  <c r="S219" i="3"/>
  <c r="T219" i="3" s="1"/>
  <c r="M219" i="3"/>
  <c r="L219" i="3"/>
  <c r="Y218" i="3"/>
  <c r="T218" i="3"/>
  <c r="S218" i="3"/>
  <c r="M218" i="3"/>
  <c r="L218" i="3"/>
  <c r="Y217" i="3"/>
  <c r="T217" i="3"/>
  <c r="S217" i="3"/>
  <c r="L217" i="3"/>
  <c r="M217" i="3" s="1"/>
  <c r="Y216" i="3"/>
  <c r="T216" i="3"/>
  <c r="S216" i="3"/>
  <c r="L216" i="3"/>
  <c r="M216" i="3" s="1"/>
  <c r="Y215" i="3"/>
  <c r="S215" i="3"/>
  <c r="T215" i="3" s="1"/>
  <c r="M215" i="3"/>
  <c r="L215" i="3"/>
  <c r="Y214" i="3"/>
  <c r="S214" i="3"/>
  <c r="T214" i="3" s="1"/>
  <c r="M214" i="3"/>
  <c r="L214" i="3"/>
  <c r="Y213" i="3"/>
  <c r="S213" i="3"/>
  <c r="T213" i="3" s="1"/>
  <c r="L213" i="3"/>
  <c r="M213" i="3" s="1"/>
  <c r="Y212" i="3"/>
  <c r="T212" i="3"/>
  <c r="S212" i="3"/>
  <c r="M212" i="3"/>
  <c r="L212" i="3"/>
  <c r="Y211" i="3"/>
  <c r="T211" i="3"/>
  <c r="S211" i="3"/>
  <c r="L211" i="3"/>
  <c r="M211" i="3" s="1"/>
  <c r="Y210" i="3"/>
  <c r="S210" i="3"/>
  <c r="T210" i="3" s="1"/>
  <c r="M210" i="3"/>
  <c r="L210" i="3"/>
  <c r="Y209" i="3"/>
  <c r="T209" i="3"/>
  <c r="S209" i="3"/>
  <c r="M209" i="3"/>
  <c r="L209" i="3"/>
  <c r="Y208" i="3"/>
  <c r="T208" i="3"/>
  <c r="S208" i="3"/>
  <c r="L208" i="3"/>
  <c r="M208" i="3" s="1"/>
  <c r="Y207" i="3"/>
  <c r="S207" i="3"/>
  <c r="T207" i="3" s="1"/>
  <c r="L207" i="3"/>
  <c r="M207" i="3" s="1"/>
  <c r="Y206" i="3"/>
  <c r="T206" i="3"/>
  <c r="S206" i="3"/>
  <c r="M206" i="3"/>
  <c r="L206" i="3"/>
  <c r="Y205" i="3"/>
  <c r="T205" i="3"/>
  <c r="S205" i="3"/>
  <c r="L205" i="3"/>
  <c r="M205" i="3" s="1"/>
  <c r="Y204" i="3"/>
  <c r="S204" i="3"/>
  <c r="T204" i="3" s="1"/>
  <c r="L204" i="3"/>
  <c r="M204" i="3" s="1"/>
  <c r="Y203" i="3"/>
  <c r="S203" i="3"/>
  <c r="T203" i="3" s="1"/>
  <c r="M203" i="3"/>
  <c r="L203" i="3"/>
  <c r="Y202" i="3"/>
  <c r="S202" i="3"/>
  <c r="T202" i="3" s="1"/>
  <c r="L202" i="3"/>
  <c r="M202" i="3" s="1"/>
  <c r="Y201" i="3"/>
  <c r="S201" i="3"/>
  <c r="T201" i="3" s="1"/>
  <c r="L201" i="3"/>
  <c r="M201" i="3" s="1"/>
  <c r="Y200" i="3"/>
  <c r="T200" i="3"/>
  <c r="S200" i="3"/>
  <c r="L200" i="3"/>
  <c r="M200" i="3" s="1"/>
  <c r="Y199" i="3"/>
  <c r="T199" i="3"/>
  <c r="S199" i="3"/>
  <c r="L199" i="3"/>
  <c r="M199" i="3" s="1"/>
  <c r="Y198" i="3"/>
  <c r="S198" i="3"/>
  <c r="T198" i="3" s="1"/>
  <c r="M198" i="3"/>
  <c r="L198" i="3"/>
  <c r="Y197" i="3"/>
  <c r="S197" i="3"/>
  <c r="T197" i="3" s="1"/>
  <c r="M197" i="3"/>
  <c r="L197" i="3"/>
  <c r="Y196" i="3"/>
  <c r="T196" i="3"/>
  <c r="S196" i="3"/>
  <c r="L196" i="3"/>
  <c r="M196" i="3" s="1"/>
  <c r="Y195" i="3"/>
  <c r="S195" i="3"/>
  <c r="T195" i="3" s="1"/>
  <c r="M195" i="3"/>
  <c r="L195" i="3"/>
  <c r="Y194" i="3"/>
  <c r="T194" i="3"/>
  <c r="S194" i="3"/>
  <c r="M194" i="3"/>
  <c r="L194" i="3"/>
  <c r="Y193" i="3"/>
  <c r="T193" i="3"/>
  <c r="S193" i="3"/>
  <c r="L193" i="3"/>
  <c r="M193" i="3" s="1"/>
  <c r="Y192" i="3"/>
  <c r="T192" i="3"/>
  <c r="S192" i="3"/>
  <c r="M192" i="3"/>
  <c r="L192" i="3"/>
  <c r="Y191" i="3"/>
  <c r="S191" i="3"/>
  <c r="T191" i="3" s="1"/>
  <c r="M191" i="3"/>
  <c r="L191" i="3"/>
  <c r="Y190" i="3"/>
  <c r="S190" i="3"/>
  <c r="T190" i="3" s="1"/>
  <c r="M190" i="3"/>
  <c r="L190" i="3"/>
  <c r="Y189" i="3"/>
  <c r="S189" i="3"/>
  <c r="T189" i="3" s="1"/>
  <c r="L189" i="3"/>
  <c r="M189" i="3" s="1"/>
  <c r="Y188" i="3"/>
  <c r="T188" i="3"/>
  <c r="S188" i="3"/>
  <c r="L188" i="3"/>
  <c r="M188" i="3" s="1"/>
  <c r="Y187" i="3"/>
  <c r="T187" i="3"/>
  <c r="S187" i="3"/>
  <c r="L187" i="3"/>
  <c r="M187" i="3" s="1"/>
  <c r="Y186" i="3"/>
  <c r="S186" i="3"/>
  <c r="T186" i="3" s="1"/>
  <c r="M186" i="3"/>
  <c r="L186" i="3"/>
  <c r="Y185" i="3"/>
  <c r="T185" i="3"/>
  <c r="S185" i="3"/>
  <c r="M185" i="3"/>
  <c r="L185" i="3"/>
  <c r="Y184" i="3"/>
  <c r="T184" i="3"/>
  <c r="S184" i="3"/>
  <c r="L184" i="3"/>
  <c r="M184" i="3" s="1"/>
  <c r="Y183" i="3"/>
  <c r="S183" i="3"/>
  <c r="T183" i="3" s="1"/>
  <c r="M183" i="3"/>
  <c r="L183" i="3"/>
  <c r="Y182" i="3"/>
  <c r="T182" i="3"/>
  <c r="S182" i="3"/>
  <c r="M182" i="3"/>
  <c r="L182" i="3"/>
  <c r="Y181" i="3"/>
  <c r="T181" i="3"/>
  <c r="S181" i="3"/>
  <c r="L181" i="3"/>
  <c r="M181" i="3" s="1"/>
  <c r="Y180" i="3"/>
  <c r="T180" i="3"/>
  <c r="S180" i="3"/>
  <c r="M180" i="3"/>
  <c r="L180" i="3"/>
  <c r="Y179" i="3"/>
  <c r="S179" i="3"/>
  <c r="T179" i="3" s="1"/>
  <c r="M179" i="3"/>
  <c r="L179" i="3"/>
  <c r="Y178" i="3"/>
  <c r="T178" i="3"/>
  <c r="S178" i="3"/>
  <c r="L178" i="3"/>
  <c r="M178" i="3" s="1"/>
  <c r="Y177" i="3"/>
  <c r="S177" i="3"/>
  <c r="T177" i="3" s="1"/>
  <c r="L177" i="3"/>
  <c r="M177" i="3" s="1"/>
  <c r="Y176" i="3"/>
  <c r="T176" i="3"/>
  <c r="S176" i="3"/>
  <c r="M176" i="3"/>
  <c r="L176" i="3"/>
  <c r="Y175" i="3"/>
  <c r="T175" i="3"/>
  <c r="S175" i="3"/>
  <c r="L175" i="3"/>
  <c r="M175" i="3" s="1"/>
  <c r="Y174" i="3"/>
  <c r="S174" i="3"/>
  <c r="T174" i="3" s="1"/>
  <c r="M174" i="3"/>
  <c r="L174" i="3"/>
  <c r="Y173" i="3"/>
  <c r="S173" i="3"/>
  <c r="T173" i="3" s="1"/>
  <c r="M173" i="3"/>
  <c r="L173" i="3"/>
  <c r="Y172" i="3"/>
  <c r="T172" i="3"/>
  <c r="S172" i="3"/>
  <c r="L172" i="3"/>
  <c r="M172" i="3" s="1"/>
  <c r="Y171" i="3"/>
  <c r="S171" i="3"/>
  <c r="T171" i="3" s="1"/>
  <c r="L171" i="3"/>
  <c r="M171" i="3" s="1"/>
  <c r="Y170" i="3"/>
  <c r="T170" i="3"/>
  <c r="S170" i="3"/>
  <c r="M170" i="3"/>
  <c r="L170" i="3"/>
  <c r="Y169" i="3"/>
  <c r="T169" i="3"/>
  <c r="S169" i="3"/>
  <c r="L169" i="3"/>
  <c r="M169" i="3" s="1"/>
  <c r="Y168" i="3"/>
  <c r="S168" i="3"/>
  <c r="T168" i="3" s="1"/>
  <c r="M168" i="3"/>
  <c r="L168" i="3"/>
  <c r="Y167" i="3"/>
  <c r="S167" i="3"/>
  <c r="T167" i="3" s="1"/>
  <c r="M167" i="3"/>
  <c r="L167" i="3"/>
  <c r="Y166" i="3"/>
  <c r="S166" i="3"/>
  <c r="T166" i="3" s="1"/>
  <c r="L166" i="3"/>
  <c r="M166" i="3" s="1"/>
  <c r="Y165" i="3"/>
  <c r="S165" i="3"/>
  <c r="T165" i="3" s="1"/>
  <c r="L165" i="3"/>
  <c r="M165" i="3" s="1"/>
  <c r="Y164" i="3"/>
  <c r="T164" i="3"/>
  <c r="S164" i="3"/>
  <c r="L164" i="3"/>
  <c r="M164" i="3" s="1"/>
  <c r="Y163" i="3"/>
  <c r="T163" i="3"/>
  <c r="S163" i="3"/>
  <c r="L163" i="3"/>
  <c r="M163" i="3" s="1"/>
  <c r="Y162" i="3"/>
  <c r="S162" i="3"/>
  <c r="T162" i="3" s="1"/>
  <c r="M162" i="3"/>
  <c r="L162" i="3"/>
  <c r="Y161" i="3"/>
  <c r="S161" i="3"/>
  <c r="T161" i="3" s="1"/>
  <c r="M161" i="3"/>
  <c r="L161" i="3"/>
  <c r="Y160" i="3"/>
  <c r="T160" i="3"/>
  <c r="S160" i="3"/>
  <c r="L160" i="3"/>
  <c r="M160" i="3" s="1"/>
  <c r="Y159" i="3"/>
  <c r="S159" i="3"/>
  <c r="T159" i="3" s="1"/>
  <c r="M159" i="3"/>
  <c r="L159" i="3"/>
  <c r="Y158" i="3"/>
  <c r="T158" i="3"/>
  <c r="S158" i="3"/>
  <c r="M158" i="3"/>
  <c r="L158" i="3"/>
  <c r="Y157" i="3"/>
  <c r="T157" i="3"/>
  <c r="S157" i="3"/>
  <c r="L157" i="3"/>
  <c r="M157" i="3" s="1"/>
  <c r="Y156" i="3"/>
  <c r="T156" i="3"/>
  <c r="S156" i="3"/>
  <c r="L156" i="3"/>
  <c r="M156" i="3" s="1"/>
  <c r="Y155" i="3"/>
  <c r="S155" i="3"/>
  <c r="T155" i="3" s="1"/>
  <c r="M155" i="3"/>
  <c r="L155" i="3"/>
  <c r="Y154" i="3"/>
  <c r="S154" i="3"/>
  <c r="T154" i="3" s="1"/>
  <c r="L154" i="3"/>
  <c r="M154" i="3" s="1"/>
  <c r="Y153" i="3"/>
  <c r="S153" i="3"/>
  <c r="T153" i="3" s="1"/>
  <c r="L153" i="3"/>
  <c r="M153" i="3" s="1"/>
  <c r="Y152" i="3"/>
  <c r="T152" i="3"/>
  <c r="S152" i="3"/>
  <c r="M152" i="3"/>
  <c r="L152" i="3"/>
  <c r="Y151" i="3"/>
  <c r="T151" i="3"/>
  <c r="S151" i="3"/>
  <c r="L151" i="3"/>
  <c r="M151" i="3" s="1"/>
  <c r="Y150" i="3"/>
  <c r="S150" i="3"/>
  <c r="T150" i="3" s="1"/>
  <c r="M150" i="3"/>
  <c r="L150" i="3"/>
  <c r="Y149" i="3"/>
  <c r="S149" i="3"/>
  <c r="T149" i="3" s="1"/>
  <c r="M149" i="3"/>
  <c r="L149" i="3"/>
  <c r="Y148" i="3"/>
  <c r="T148" i="3"/>
  <c r="S148" i="3"/>
  <c r="L148" i="3"/>
  <c r="M148" i="3" s="1"/>
  <c r="Y147" i="3"/>
  <c r="S147" i="3"/>
  <c r="T147" i="3" s="1"/>
  <c r="L147" i="3"/>
  <c r="M147" i="3" s="1"/>
  <c r="Y146" i="3"/>
  <c r="S146" i="3"/>
  <c r="T146" i="3" s="1"/>
  <c r="M146" i="3"/>
  <c r="L146" i="3"/>
  <c r="Y145" i="3"/>
  <c r="T145" i="3"/>
  <c r="S145" i="3"/>
  <c r="L145" i="3"/>
  <c r="M145" i="3" s="1"/>
  <c r="Y144" i="3"/>
  <c r="S144" i="3"/>
  <c r="T144" i="3" s="1"/>
  <c r="L144" i="3"/>
  <c r="M144" i="3" s="1"/>
  <c r="Y143" i="3"/>
  <c r="S143" i="3"/>
  <c r="T143" i="3" s="1"/>
  <c r="M143" i="3"/>
  <c r="L143" i="3"/>
  <c r="Y142" i="3"/>
  <c r="S142" i="3"/>
  <c r="T142" i="3" s="1"/>
  <c r="M142" i="3"/>
  <c r="L142" i="3"/>
  <c r="Y141" i="3"/>
  <c r="S141" i="3"/>
  <c r="T141" i="3" s="1"/>
  <c r="L141" i="3"/>
  <c r="M141" i="3" s="1"/>
  <c r="Y140" i="3"/>
  <c r="T140" i="3"/>
  <c r="S140" i="3"/>
  <c r="L140" i="3"/>
  <c r="M140" i="3" s="1"/>
  <c r="Y139" i="3"/>
  <c r="T139" i="3"/>
  <c r="S139" i="3"/>
  <c r="L139" i="3"/>
  <c r="M139" i="3" s="1"/>
  <c r="Y138" i="3"/>
  <c r="S138" i="3"/>
  <c r="T138" i="3" s="1"/>
  <c r="M138" i="3"/>
  <c r="L138" i="3"/>
  <c r="Y137" i="3"/>
  <c r="S137" i="3"/>
  <c r="T137" i="3" s="1"/>
  <c r="M137" i="3"/>
  <c r="L137" i="3"/>
  <c r="Y136" i="3"/>
  <c r="T136" i="3"/>
  <c r="S136" i="3"/>
  <c r="L136" i="3"/>
  <c r="M136" i="3" s="1"/>
  <c r="Y135" i="3"/>
  <c r="S135" i="3"/>
  <c r="T135" i="3" s="1"/>
  <c r="L135" i="3"/>
  <c r="M135" i="3" s="1"/>
  <c r="Y134" i="3"/>
  <c r="S134" i="3"/>
  <c r="T134" i="3" s="1"/>
  <c r="M134" i="3"/>
  <c r="L134" i="3"/>
  <c r="Y133" i="3"/>
  <c r="T133" i="3"/>
  <c r="S133" i="3"/>
  <c r="L133" i="3"/>
  <c r="M133" i="3" s="1"/>
  <c r="Y132" i="3"/>
  <c r="T132" i="3"/>
  <c r="S132" i="3"/>
  <c r="L132" i="3"/>
  <c r="M132" i="3" s="1"/>
  <c r="Y131" i="3"/>
  <c r="S131" i="3"/>
  <c r="T131" i="3" s="1"/>
  <c r="M131" i="3"/>
  <c r="L131" i="3"/>
  <c r="Y130" i="3"/>
  <c r="T130" i="3"/>
  <c r="S130" i="3"/>
  <c r="L130" i="3"/>
  <c r="M130" i="3" s="1"/>
  <c r="Y129" i="3"/>
  <c r="S129" i="3"/>
  <c r="T129" i="3" s="1"/>
  <c r="L129" i="3"/>
  <c r="M129" i="3" s="1"/>
  <c r="Y128" i="3"/>
  <c r="T128" i="3"/>
  <c r="S128" i="3"/>
  <c r="L128" i="3"/>
  <c r="M128" i="3" s="1"/>
  <c r="Y127" i="3"/>
  <c r="T127" i="3"/>
  <c r="S127" i="3"/>
  <c r="L127" i="3"/>
  <c r="M127" i="3" s="1"/>
  <c r="Y126" i="3"/>
  <c r="S126" i="3"/>
  <c r="T126" i="3" s="1"/>
  <c r="M126" i="3"/>
  <c r="L126" i="3"/>
  <c r="Y125" i="3"/>
  <c r="S125" i="3"/>
  <c r="T125" i="3" s="1"/>
  <c r="M125" i="3"/>
  <c r="L125" i="3"/>
  <c r="Y124" i="3"/>
  <c r="T124" i="3"/>
  <c r="S124" i="3"/>
  <c r="L124" i="3"/>
  <c r="M124" i="3" s="1"/>
  <c r="Y123" i="3"/>
  <c r="S123" i="3"/>
  <c r="T123" i="3" s="1"/>
  <c r="L123" i="3"/>
  <c r="M123" i="3" s="1"/>
  <c r="Y122" i="3"/>
  <c r="T122" i="3"/>
  <c r="S122" i="3"/>
  <c r="M122" i="3"/>
  <c r="L122" i="3"/>
  <c r="Y121" i="3"/>
  <c r="S121" i="3"/>
  <c r="T121" i="3" s="1"/>
  <c r="L121" i="3"/>
  <c r="M121" i="3" s="1"/>
  <c r="Y120" i="3"/>
  <c r="S120" i="3"/>
  <c r="T120" i="3" s="1"/>
  <c r="L120" i="3"/>
  <c r="M120" i="3" s="1"/>
  <c r="Y119" i="3"/>
  <c r="S119" i="3"/>
  <c r="T119" i="3" s="1"/>
  <c r="M119" i="3"/>
  <c r="L119" i="3"/>
  <c r="Y118" i="3"/>
  <c r="S118" i="3"/>
  <c r="T118" i="3" s="1"/>
  <c r="L118" i="3"/>
  <c r="M118" i="3" s="1"/>
  <c r="Y117" i="3"/>
  <c r="S117" i="3"/>
  <c r="T117" i="3" s="1"/>
  <c r="L117" i="3"/>
  <c r="M117" i="3" s="1"/>
  <c r="Y116" i="3"/>
  <c r="T116" i="3"/>
  <c r="S116" i="3"/>
  <c r="M116" i="3"/>
  <c r="L116" i="3"/>
  <c r="Y115" i="3"/>
  <c r="T115" i="3"/>
  <c r="S115" i="3"/>
  <c r="L115" i="3"/>
  <c r="M115" i="3" s="1"/>
  <c r="Y114" i="3"/>
  <c r="S114" i="3"/>
  <c r="T114" i="3" s="1"/>
  <c r="M114" i="3"/>
  <c r="L114" i="3"/>
  <c r="Y113" i="3"/>
  <c r="T113" i="3"/>
  <c r="S113" i="3"/>
  <c r="M113" i="3"/>
  <c r="L113" i="3"/>
  <c r="Y112" i="3"/>
  <c r="T112" i="3"/>
  <c r="S112" i="3"/>
  <c r="L112" i="3"/>
  <c r="M112" i="3" s="1"/>
  <c r="Y111" i="3"/>
  <c r="S111" i="3"/>
  <c r="T111" i="3" s="1"/>
  <c r="L111" i="3"/>
  <c r="M111" i="3" s="1"/>
  <c r="Y110" i="3"/>
  <c r="S110" i="3"/>
  <c r="T110" i="3" s="1"/>
  <c r="M110" i="3"/>
  <c r="L110" i="3"/>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T104" i="3"/>
  <c r="S104" i="3"/>
  <c r="L104" i="3"/>
  <c r="M104" i="3" s="1"/>
  <c r="Y103" i="3"/>
  <c r="T103" i="3"/>
  <c r="S103" i="3"/>
  <c r="L103" i="3"/>
  <c r="M103" i="3" s="1"/>
  <c r="Y102" i="3"/>
  <c r="S102" i="3"/>
  <c r="T102" i="3" s="1"/>
  <c r="M102" i="3"/>
  <c r="L102" i="3"/>
  <c r="Y101" i="3"/>
  <c r="S101" i="3"/>
  <c r="T101" i="3" s="1"/>
  <c r="M101" i="3"/>
  <c r="L101" i="3"/>
  <c r="Y100" i="3"/>
  <c r="T100" i="3"/>
  <c r="S100" i="3"/>
  <c r="L100" i="3"/>
  <c r="M100" i="3" s="1"/>
  <c r="Y99" i="3"/>
  <c r="S99" i="3"/>
  <c r="T99" i="3" s="1"/>
  <c r="M99" i="3"/>
  <c r="L99" i="3"/>
  <c r="Y98" i="3"/>
  <c r="S98" i="3"/>
  <c r="T98" i="3" s="1"/>
  <c r="M98" i="3"/>
  <c r="L98" i="3"/>
  <c r="Y97" i="3"/>
  <c r="S97" i="3"/>
  <c r="T97" i="3" s="1"/>
  <c r="L97" i="3"/>
  <c r="M97" i="3" s="1"/>
  <c r="Y96" i="3"/>
  <c r="T96" i="3"/>
  <c r="S96" i="3"/>
  <c r="L96" i="3"/>
  <c r="M96" i="3" s="1"/>
  <c r="Y95" i="3"/>
  <c r="S95" i="3"/>
  <c r="T95" i="3" s="1"/>
  <c r="M95" i="3"/>
  <c r="L95" i="3"/>
  <c r="Y94" i="3"/>
  <c r="S94" i="3"/>
  <c r="T94" i="3" s="1"/>
  <c r="L94" i="3"/>
  <c r="M94" i="3" s="1"/>
  <c r="Y93" i="3"/>
  <c r="S93" i="3"/>
  <c r="T93" i="3" s="1"/>
  <c r="L93" i="3"/>
  <c r="M93" i="3" s="1"/>
  <c r="Y92" i="3"/>
  <c r="T92" i="3"/>
  <c r="S92" i="3"/>
  <c r="L92" i="3"/>
  <c r="M92" i="3" s="1"/>
  <c r="Y91" i="3"/>
  <c r="T91" i="3"/>
  <c r="S91" i="3"/>
  <c r="L91" i="3"/>
  <c r="M91" i="3" s="1"/>
  <c r="Y90" i="3"/>
  <c r="S90" i="3"/>
  <c r="T90" i="3" s="1"/>
  <c r="M90" i="3"/>
  <c r="L90" i="3"/>
  <c r="Y89" i="3"/>
  <c r="T89" i="3"/>
  <c r="S89" i="3"/>
  <c r="M89" i="3"/>
  <c r="L89" i="3"/>
  <c r="Y88" i="3"/>
  <c r="T88" i="3"/>
  <c r="S88" i="3"/>
  <c r="L88" i="3"/>
  <c r="M88" i="3" s="1"/>
  <c r="Y87" i="3"/>
  <c r="T87" i="3"/>
  <c r="S87" i="3"/>
  <c r="L87" i="3"/>
  <c r="M87" i="3" s="1"/>
  <c r="Y86" i="3"/>
  <c r="T86" i="3"/>
  <c r="S86" i="3"/>
  <c r="M86" i="3"/>
  <c r="L86" i="3"/>
  <c r="Y85" i="3"/>
  <c r="T85" i="3"/>
  <c r="S85" i="3"/>
  <c r="M85" i="3"/>
  <c r="L85" i="3"/>
  <c r="Y84" i="3"/>
  <c r="T84" i="3"/>
  <c r="S84" i="3"/>
  <c r="M84" i="3"/>
  <c r="L84" i="3"/>
  <c r="Y83" i="3"/>
  <c r="S83" i="3"/>
  <c r="T83" i="3" s="1"/>
  <c r="L83" i="3"/>
  <c r="M83" i="3" s="1"/>
  <c r="Y82" i="3"/>
  <c r="T82" i="3"/>
  <c r="S82" i="3"/>
  <c r="L82" i="3"/>
  <c r="M82" i="3" s="1"/>
  <c r="Y81" i="3"/>
  <c r="S81" i="3"/>
  <c r="T81" i="3" s="1"/>
  <c r="L81" i="3"/>
  <c r="M81" i="3" s="1"/>
  <c r="Y80" i="3"/>
  <c r="S80" i="3"/>
  <c r="T80" i="3" s="1"/>
  <c r="M80" i="3"/>
  <c r="L80" i="3"/>
  <c r="Y79" i="3"/>
  <c r="T79" i="3"/>
  <c r="S79" i="3"/>
  <c r="L79" i="3"/>
  <c r="M79" i="3" s="1"/>
  <c r="Y78" i="3"/>
  <c r="S78" i="3"/>
  <c r="T78" i="3" s="1"/>
  <c r="L78" i="3"/>
  <c r="M78" i="3" s="1"/>
  <c r="Y77" i="3"/>
  <c r="S77" i="3"/>
  <c r="T77" i="3" s="1"/>
  <c r="M77" i="3"/>
  <c r="L77" i="3"/>
  <c r="Y76" i="3"/>
  <c r="T76" i="3"/>
  <c r="S76" i="3"/>
  <c r="L76" i="3"/>
  <c r="M76" i="3" s="1"/>
  <c r="Y75" i="3"/>
  <c r="S75" i="3"/>
  <c r="B55" i="6" s="1"/>
  <c r="L75" i="3"/>
  <c r="M75" i="3" s="1"/>
  <c r="Y74" i="3"/>
  <c r="T74" i="3"/>
  <c r="S74" i="3"/>
  <c r="M74" i="3"/>
  <c r="L74" i="3"/>
  <c r="Y73" i="3"/>
  <c r="S73" i="3"/>
  <c r="T73" i="3" s="1"/>
  <c r="L73" i="3"/>
  <c r="M73" i="3" s="1"/>
  <c r="Y72" i="3"/>
  <c r="S72" i="3"/>
  <c r="T72" i="3" s="1"/>
  <c r="M72" i="3"/>
  <c r="L72" i="3"/>
  <c r="Y71" i="3"/>
  <c r="S71" i="3"/>
  <c r="T71" i="3" s="1"/>
  <c r="M71" i="3"/>
  <c r="L71" i="3"/>
  <c r="Y70" i="3"/>
  <c r="S70" i="3"/>
  <c r="T70" i="3" s="1"/>
  <c r="L70" i="3"/>
  <c r="M70" i="3" s="1"/>
  <c r="Y69" i="3"/>
  <c r="S69" i="3"/>
  <c r="T69" i="3" s="1"/>
  <c r="L69" i="3"/>
  <c r="M69" i="3" s="1"/>
  <c r="Y68" i="3"/>
  <c r="S68" i="3"/>
  <c r="T68" i="3" s="1"/>
  <c r="L68" i="3"/>
  <c r="M68" i="3" s="1"/>
  <c r="Y67" i="3"/>
  <c r="S67" i="3"/>
  <c r="T67" i="3" s="1"/>
  <c r="L67" i="3"/>
  <c r="M67" i="3" s="1"/>
  <c r="Y66" i="3"/>
  <c r="S66" i="3"/>
  <c r="T66" i="3" s="1"/>
  <c r="M66" i="3"/>
  <c r="L66" i="3"/>
  <c r="Y65" i="3"/>
  <c r="T65" i="3"/>
  <c r="S65" i="3"/>
  <c r="M65" i="3"/>
  <c r="L65" i="3"/>
  <c r="Y64" i="3"/>
  <c r="T64" i="3"/>
  <c r="S64" i="3"/>
  <c r="L64" i="3"/>
  <c r="M64" i="3" s="1"/>
  <c r="Y63" i="3"/>
  <c r="T63" i="3"/>
  <c r="S63" i="3"/>
  <c r="L63" i="3"/>
  <c r="M63" i="3" s="1"/>
  <c r="Y62" i="3"/>
  <c r="T62" i="3"/>
  <c r="S62" i="3"/>
  <c r="M62" i="3"/>
  <c r="L62" i="3"/>
  <c r="Y61" i="3"/>
  <c r="T61" i="3"/>
  <c r="S61" i="3"/>
  <c r="M61" i="3"/>
  <c r="L61" i="3"/>
  <c r="Y60" i="3"/>
  <c r="T60" i="3"/>
  <c r="S60" i="3"/>
  <c r="M60" i="3"/>
  <c r="L60" i="3"/>
  <c r="Y59" i="3"/>
  <c r="S59" i="3"/>
  <c r="T59" i="3" s="1"/>
  <c r="L59" i="3"/>
  <c r="M59" i="3" s="1"/>
  <c r="Y58" i="3"/>
  <c r="T58" i="3"/>
  <c r="S58" i="3"/>
  <c r="L58" i="3"/>
  <c r="M58" i="3" s="1"/>
  <c r="Y57" i="3"/>
  <c r="S57" i="3"/>
  <c r="T57" i="3" s="1"/>
  <c r="L57" i="3"/>
  <c r="M57" i="3" s="1"/>
  <c r="Y56" i="3"/>
  <c r="S56" i="3"/>
  <c r="T56" i="3" s="1"/>
  <c r="M56" i="3"/>
  <c r="L56" i="3"/>
  <c r="Y55" i="3"/>
  <c r="T55" i="3"/>
  <c r="S55" i="3"/>
  <c r="L55" i="3"/>
  <c r="M55" i="3" s="1"/>
  <c r="Y54" i="3"/>
  <c r="S54" i="3"/>
  <c r="T54" i="3" s="1"/>
  <c r="L54" i="3"/>
  <c r="M54" i="3" s="1"/>
  <c r="Y53" i="3"/>
  <c r="S53" i="3"/>
  <c r="T53" i="3" s="1"/>
  <c r="M53" i="3"/>
  <c r="L53" i="3"/>
  <c r="Y52" i="3"/>
  <c r="T52" i="3"/>
  <c r="S52" i="3"/>
  <c r="L52" i="3"/>
  <c r="M52" i="3" s="1"/>
  <c r="Y51" i="3"/>
  <c r="S51" i="3"/>
  <c r="T51" i="3" s="1"/>
  <c r="L51" i="3"/>
  <c r="M51" i="3" s="1"/>
  <c r="Y50" i="3"/>
  <c r="T50" i="3"/>
  <c r="S50" i="3"/>
  <c r="M50" i="3"/>
  <c r="L50" i="3"/>
  <c r="Y49" i="3"/>
  <c r="S49" i="3"/>
  <c r="T49" i="3" s="1"/>
  <c r="L49" i="3"/>
  <c r="M49" i="3" s="1"/>
  <c r="Y48" i="3"/>
  <c r="S48" i="3"/>
  <c r="T48" i="3" s="1"/>
  <c r="M48" i="3"/>
  <c r="L48" i="3"/>
  <c r="Y47" i="3"/>
  <c r="S47" i="3"/>
  <c r="T47" i="3" s="1"/>
  <c r="M47" i="3"/>
  <c r="L47" i="3"/>
  <c r="Y46" i="3"/>
  <c r="S46" i="3"/>
  <c r="T46" i="3" s="1"/>
  <c r="L46" i="3"/>
  <c r="M46" i="3" s="1"/>
  <c r="Y45" i="3"/>
  <c r="S45" i="3"/>
  <c r="T45" i="3" s="1"/>
  <c r="L45" i="3"/>
  <c r="M45" i="3" s="1"/>
  <c r="Y44" i="3"/>
  <c r="S44" i="3"/>
  <c r="T44" i="3" s="1"/>
  <c r="L44" i="3"/>
  <c r="M44" i="3" s="1"/>
  <c r="Y43" i="3"/>
  <c r="S43" i="3"/>
  <c r="T43" i="3" s="1"/>
  <c r="L43" i="3"/>
  <c r="M43" i="3" s="1"/>
  <c r="Y42" i="3"/>
  <c r="S42" i="3"/>
  <c r="T42" i="3" s="1"/>
  <c r="M42" i="3"/>
  <c r="L42" i="3"/>
  <c r="Y41" i="3"/>
  <c r="S41" i="3"/>
  <c r="T41" i="3" s="1"/>
  <c r="L41" i="3"/>
  <c r="M41" i="3" s="1"/>
  <c r="Y40" i="3"/>
  <c r="T40" i="3"/>
  <c r="S40" i="3"/>
  <c r="L40" i="3"/>
  <c r="M40" i="3" s="1"/>
  <c r="Y39" i="3"/>
  <c r="T39" i="3"/>
  <c r="S39" i="3"/>
  <c r="M39" i="3"/>
  <c r="L39" i="3"/>
  <c r="Y38" i="3"/>
  <c r="S38" i="3"/>
  <c r="T38" i="3" s="1"/>
  <c r="M38" i="3"/>
  <c r="L38" i="3"/>
  <c r="Y37" i="3"/>
  <c r="T37" i="3"/>
  <c r="S37" i="3"/>
  <c r="M37" i="3"/>
  <c r="L37" i="3"/>
  <c r="Y36" i="3"/>
  <c r="S36" i="3"/>
  <c r="T36" i="3" s="1"/>
  <c r="L36" i="3"/>
  <c r="M36" i="3" s="1"/>
  <c r="Y35" i="3"/>
  <c r="S35" i="3"/>
  <c r="T35" i="3" s="1"/>
  <c r="M35" i="3"/>
  <c r="L35" i="3"/>
  <c r="Y34" i="3"/>
  <c r="T34" i="3"/>
  <c r="S34" i="3"/>
  <c r="M34" i="3"/>
  <c r="L34" i="3"/>
  <c r="Y33" i="3"/>
  <c r="S33" i="3"/>
  <c r="T33" i="3" s="1"/>
  <c r="L33" i="3"/>
  <c r="M33" i="3" s="1"/>
  <c r="Y32" i="3"/>
  <c r="T32" i="3"/>
  <c r="S32" i="3"/>
  <c r="M32" i="3"/>
  <c r="L32" i="3"/>
  <c r="Y31" i="3"/>
  <c r="T31" i="3"/>
  <c r="S31" i="3"/>
  <c r="M31" i="3"/>
  <c r="L31" i="3"/>
  <c r="Y30" i="3"/>
  <c r="S30" i="3"/>
  <c r="T30" i="3" s="1"/>
  <c r="M30" i="3"/>
  <c r="L30" i="3"/>
  <c r="Y29" i="3"/>
  <c r="T29" i="3"/>
  <c r="S29" i="3"/>
  <c r="M29" i="3"/>
  <c r="L29" i="3"/>
  <c r="Y28" i="3"/>
  <c r="T28" i="3"/>
  <c r="S28" i="3"/>
  <c r="L28" i="3"/>
  <c r="M28" i="3" s="1"/>
  <c r="Y27" i="3"/>
  <c r="T27" i="3"/>
  <c r="S27" i="3"/>
  <c r="M27" i="3"/>
  <c r="L27" i="3"/>
  <c r="Y26" i="3"/>
  <c r="S26" i="3"/>
  <c r="T26" i="3" s="1"/>
  <c r="M26" i="3"/>
  <c r="L26" i="3"/>
  <c r="Y25" i="3"/>
  <c r="S25" i="3"/>
  <c r="T25" i="3" s="1"/>
  <c r="M25" i="3"/>
  <c r="L25" i="3"/>
  <c r="Y24" i="3"/>
  <c r="S24" i="3"/>
  <c r="T24" i="3" s="1"/>
  <c r="L24" i="3"/>
  <c r="M24" i="3" s="1"/>
  <c r="Y23" i="3"/>
  <c r="S23" i="3"/>
  <c r="T23" i="3" s="1"/>
  <c r="L23" i="3"/>
  <c r="M23" i="3" s="1"/>
  <c r="Y22" i="3"/>
  <c r="T22" i="3"/>
  <c r="S22" i="3"/>
  <c r="M22" i="3"/>
  <c r="L22" i="3"/>
  <c r="Y21" i="3"/>
  <c r="S21" i="3"/>
  <c r="T21" i="3" s="1"/>
  <c r="L21" i="3"/>
  <c r="M21" i="3" s="1"/>
  <c r="Y20" i="3"/>
  <c r="S20" i="3"/>
  <c r="T20" i="3" s="1"/>
  <c r="M20" i="3"/>
  <c r="L20" i="3"/>
  <c r="Y19" i="3"/>
  <c r="T19" i="3"/>
  <c r="S19" i="3"/>
  <c r="M19" i="3"/>
  <c r="L19" i="3"/>
  <c r="Y18" i="3"/>
  <c r="S18" i="3"/>
  <c r="L18" i="3"/>
  <c r="M18" i="3" s="1"/>
  <c r="Y17" i="3"/>
  <c r="T17" i="3"/>
  <c r="S17" i="3"/>
  <c r="M17" i="3"/>
  <c r="L17" i="3"/>
  <c r="Y16" i="3"/>
  <c r="T16" i="3"/>
  <c r="S16" i="3"/>
  <c r="L16" i="3"/>
  <c r="M16" i="3" s="1"/>
  <c r="Y15" i="3"/>
  <c r="S15" i="3"/>
  <c r="T15" i="3" s="1"/>
  <c r="M15" i="3"/>
  <c r="L15" i="3"/>
  <c r="Y14" i="3"/>
  <c r="S14" i="3"/>
  <c r="T14" i="3" s="1"/>
  <c r="M14" i="3"/>
  <c r="L14" i="3"/>
  <c r="Y13" i="3"/>
  <c r="S13" i="3"/>
  <c r="T13" i="3" s="1"/>
  <c r="L13" i="3"/>
  <c r="M13" i="3" s="1"/>
  <c r="Y12" i="3"/>
  <c r="T12" i="3"/>
  <c r="S12" i="3"/>
  <c r="L12" i="3"/>
  <c r="M12" i="3" s="1"/>
  <c r="Y11" i="3"/>
  <c r="S11" i="3"/>
  <c r="T11" i="3" s="1"/>
  <c r="L11" i="3"/>
  <c r="M11" i="3" s="1"/>
  <c r="Y10" i="3"/>
  <c r="S10" i="3"/>
  <c r="T10" i="3" s="1"/>
  <c r="M10" i="3"/>
  <c r="L10" i="3"/>
  <c r="Y9" i="3"/>
  <c r="S9" i="3"/>
  <c r="T9" i="3" s="1"/>
  <c r="L9" i="3"/>
  <c r="M9" i="3" s="1"/>
  <c r="Y8" i="3"/>
  <c r="S8" i="3"/>
  <c r="T8" i="3" s="1"/>
  <c r="L8" i="3"/>
  <c r="M8" i="3" s="1"/>
  <c r="Y7" i="3"/>
  <c r="T7" i="3"/>
  <c r="S7" i="3"/>
  <c r="M7" i="3"/>
  <c r="L7" i="3"/>
  <c r="Y6" i="3"/>
  <c r="S6" i="3"/>
  <c r="T6" i="3" s="1"/>
  <c r="L6" i="3"/>
  <c r="M6" i="3" s="1"/>
  <c r="Y5" i="3"/>
  <c r="S5" i="3"/>
  <c r="M5" i="3"/>
  <c r="L5" i="3"/>
  <c r="R3" i="3"/>
  <c r="Q3" i="3"/>
  <c r="P3" i="3"/>
  <c r="O3" i="3"/>
  <c r="N3" i="3"/>
  <c r="L3" i="3"/>
  <c r="K3" i="3"/>
  <c r="J3" i="3"/>
  <c r="I3" i="3"/>
  <c r="H3" i="3"/>
  <c r="G3" i="3"/>
  <c r="A3" i="3"/>
  <c r="R2" i="3"/>
  <c r="Q2" i="3"/>
  <c r="P2" i="3"/>
  <c r="O2" i="3"/>
  <c r="N2" i="3"/>
  <c r="L2" i="3"/>
  <c r="B20" i="4" l="1"/>
  <c r="B19" i="4"/>
  <c r="B18" i="4"/>
  <c r="B17" i="4"/>
  <c r="B16" i="4"/>
  <c r="B21" i="4" s="1"/>
  <c r="F91" i="6"/>
  <c r="F93" i="6"/>
  <c r="T18" i="3"/>
  <c r="T75" i="3"/>
  <c r="B2" i="6"/>
  <c r="B66" i="6"/>
  <c r="B65" i="6"/>
  <c r="B12" i="4"/>
  <c r="B11" i="4"/>
  <c r="T5" i="3"/>
  <c r="S2" i="3"/>
  <c r="B9" i="4"/>
  <c r="B8" i="4"/>
  <c r="S3" i="3"/>
  <c r="B16" i="6"/>
  <c r="B91" i="6"/>
  <c r="B57" i="6"/>
  <c r="B51" i="6"/>
  <c r="B6" i="6"/>
  <c r="B24" i="6"/>
  <c r="B15" i="6"/>
  <c r="B93" i="6"/>
  <c r="F90" i="6"/>
  <c r="B56" i="6"/>
  <c r="B50" i="6"/>
  <c r="B41" i="6"/>
  <c r="B37" i="6"/>
  <c r="B23" i="6"/>
  <c r="B27" i="6" s="1"/>
  <c r="C27" i="6" s="1"/>
  <c r="B10" i="6"/>
  <c r="B90" i="6"/>
  <c r="D71" i="6"/>
  <c r="C71" i="6"/>
  <c r="B64" i="6"/>
  <c r="B54" i="6"/>
  <c r="B48" i="6"/>
  <c r="B9" i="6"/>
  <c r="B92" i="6"/>
  <c r="B71" i="6"/>
  <c r="B63" i="6"/>
  <c r="B32" i="6"/>
  <c r="B18" i="6"/>
  <c r="B62" i="6"/>
  <c r="B53" i="6"/>
  <c r="B47" i="6"/>
  <c r="B39" i="6"/>
  <c r="B8" i="6"/>
  <c r="B31" i="6"/>
  <c r="B17" i="6"/>
  <c r="B94" i="6"/>
  <c r="B52" i="6"/>
  <c r="B46" i="6"/>
  <c r="B7" i="6"/>
  <c r="B10" i="4"/>
  <c r="B7" i="4"/>
  <c r="B6" i="4"/>
  <c r="B5" i="4"/>
  <c r="F92" i="6"/>
  <c r="E102" i="6"/>
  <c r="D102" i="6"/>
  <c r="C102" i="6"/>
  <c r="B102" i="6"/>
  <c r="D72" i="6"/>
  <c r="B38" i="6"/>
  <c r="B40" i="6"/>
  <c r="D99" i="6"/>
  <c r="D101" i="6"/>
  <c r="B49" i="6"/>
  <c r="E100" i="6"/>
  <c r="D100" i="6"/>
  <c r="C100" i="6"/>
  <c r="B100" i="6"/>
  <c r="F100" i="6" s="1"/>
  <c r="D103" i="6"/>
  <c r="E72" i="6"/>
  <c r="E73" i="6" s="1"/>
  <c r="E99" i="6"/>
  <c r="E101" i="6"/>
  <c r="E103" i="6"/>
  <c r="A78" i="6"/>
  <c r="B72" i="6"/>
  <c r="F72" i="6" s="1"/>
  <c r="B99" i="6"/>
  <c r="B101" i="6"/>
  <c r="B103" i="6"/>
  <c r="C72" i="6"/>
  <c r="C99" i="6"/>
  <c r="C104" i="6" s="1"/>
  <c r="C101" i="6"/>
  <c r="C103" i="6"/>
  <c r="B104" i="6" l="1"/>
  <c r="F99" i="6"/>
  <c r="B85" i="5"/>
  <c r="B62" i="5"/>
  <c r="D73" i="6"/>
  <c r="B11" i="6"/>
  <c r="C66" i="6"/>
  <c r="D66" i="6" s="1"/>
  <c r="C91" i="6"/>
  <c r="B76" i="5" s="1"/>
  <c r="B93" i="5" s="1"/>
  <c r="C57" i="6"/>
  <c r="C51" i="6"/>
  <c r="C6" i="6"/>
  <c r="B69" i="5" s="1"/>
  <c r="B88" i="5" s="1"/>
  <c r="C24" i="6"/>
  <c r="C15" i="6"/>
  <c r="C93" i="6"/>
  <c r="C56" i="6"/>
  <c r="C50" i="6"/>
  <c r="C41" i="6"/>
  <c r="C37" i="6"/>
  <c r="B68" i="5"/>
  <c r="B108" i="6"/>
  <c r="C23" i="6"/>
  <c r="C55" i="6"/>
  <c r="C49" i="6"/>
  <c r="C10" i="6"/>
  <c r="C90" i="6"/>
  <c r="C40" i="6"/>
  <c r="C54" i="6"/>
  <c r="C48" i="6"/>
  <c r="C9" i="6"/>
  <c r="C92" i="6"/>
  <c r="C32" i="6"/>
  <c r="C18" i="6"/>
  <c r="C95" i="6"/>
  <c r="C53" i="6"/>
  <c r="C47" i="6"/>
  <c r="C39" i="6"/>
  <c r="C8" i="6"/>
  <c r="C31" i="6"/>
  <c r="B75" i="5" s="1"/>
  <c r="B92" i="5" s="1"/>
  <c r="C17" i="6"/>
  <c r="C94" i="6"/>
  <c r="B82" i="6"/>
  <c r="C52" i="6"/>
  <c r="C46" i="6"/>
  <c r="C7" i="6"/>
  <c r="C38" i="6"/>
  <c r="C16" i="6"/>
  <c r="B70" i="5" s="1"/>
  <c r="B89" i="5" s="1"/>
  <c r="D104" i="6"/>
  <c r="E104" i="6"/>
  <c r="B42" i="6"/>
  <c r="C42" i="6" s="1"/>
  <c r="B71" i="5"/>
  <c r="B90" i="5" s="1"/>
  <c r="F102" i="6"/>
  <c r="A113" i="6" s="1"/>
  <c r="B77" i="5" s="1"/>
  <c r="B94" i="5" s="1"/>
  <c r="F71" i="6"/>
  <c r="B73" i="6"/>
  <c r="F78" i="6"/>
  <c r="E78" i="6"/>
  <c r="D78" i="6"/>
  <c r="C78" i="6"/>
  <c r="B78" i="6"/>
  <c r="A86" i="6"/>
  <c r="B95" i="6"/>
  <c r="B83" i="5"/>
  <c r="B65" i="5"/>
  <c r="B58" i="6"/>
  <c r="C58" i="6" s="1"/>
  <c r="B33" i="6"/>
  <c r="C33" i="6" s="1"/>
  <c r="C64" i="6"/>
  <c r="B72" i="5"/>
  <c r="B91" i="5" s="1"/>
  <c r="A112" i="6"/>
  <c r="F103" i="6"/>
  <c r="B27" i="4"/>
  <c r="B26" i="4"/>
  <c r="B25" i="4"/>
  <c r="B28" i="4" s="1"/>
  <c r="B86" i="5"/>
  <c r="B82" i="5"/>
  <c r="B64" i="5"/>
  <c r="B63" i="5"/>
  <c r="F101" i="6"/>
  <c r="B19" i="6"/>
  <c r="C19" i="6" s="1"/>
  <c r="B81" i="5"/>
  <c r="B61" i="5"/>
  <c r="C73" i="6"/>
  <c r="B84" i="5"/>
  <c r="B67" i="5"/>
  <c r="B87" i="5" l="1"/>
  <c r="B66" i="5"/>
  <c r="F73" i="6"/>
  <c r="F77" i="6"/>
  <c r="E77" i="6"/>
  <c r="D77" i="6"/>
  <c r="C77" i="6"/>
  <c r="B77" i="6"/>
  <c r="F104" i="6"/>
  <c r="B109" i="6" l="1"/>
  <c r="B107" i="6"/>
  <c r="G73" i="6"/>
  <c r="B83" i="6"/>
  <c r="B81" i="6"/>
</calcChain>
</file>

<file path=xl/sharedStrings.xml><?xml version="1.0" encoding="utf-8"?>
<sst xmlns="http://schemas.openxmlformats.org/spreadsheetml/2006/main" count="17105" uniqueCount="4947">
  <si>
    <t>ID</t>
  </si>
  <si>
    <t>DOI</t>
  </si>
  <si>
    <t>Source</t>
  </si>
  <si>
    <t>ID (title key)</t>
  </si>
  <si>
    <t>Full title (from SLR markdown, 2026-08-30)</t>
  </si>
  <si>
    <t>10.1108/SASBE-11-2023-0349</t>
  </si>
  <si>
    <t>SLR summary matrix step 1.md (956-record merged corpus)</t>
  </si>
  <si>
    <t>A scoping review of green Internet of Things in construction and smart cities: current applications, adoption strategies and future directions</t>
  </si>
  <si>
    <t>10.1016/j.eswa.2025.129330</t>
  </si>
  <si>
    <t>Digital Twin development and implementation for the management of irrigation networks</t>
  </si>
  <si>
    <t>10.3390/s25196153</t>
  </si>
  <si>
    <t>Research on Multi-Sensor Data Fusion Based Real-Scene 3D Reconstruction and Digital Twin Visualization Methodology for Coal Mine Tunnels</t>
  </si>
  <si>
    <t>10.1016/j.scs.2026.107413</t>
  </si>
  <si>
    <t>Hazard-responsive digital twin for weather-driven urban resilience and affordability</t>
  </si>
  <si>
    <t>10.1186/s12967-026-07895-8</t>
  </si>
  <si>
    <t>From prediction to intervention: causal digital twins for personalized clinical decision support</t>
  </si>
  <si>
    <t>10.1108/EC-09-2024-0900</t>
  </si>
  <si>
    <t>Residual dynamic spatio-temporal graph attention network for enhanced urban traffic origin/destination demand calibration</t>
  </si>
  <si>
    <t>10.1016/j.tre.2025.104596</t>
  </si>
  <si>
    <t>Digital twin-enabled cooperative autonomous truck platooning framework for modeling, cost estimation, and decision-making in transportation systems</t>
  </si>
  <si>
    <t>10.1016/j.autcon.2025.106353</t>
  </si>
  <si>
    <t>Digital construction site layout planning and real-time trajectory analysis for proactive safety monitoring and control of struck-by hazards</t>
  </si>
  <si>
    <t>10.56318/as/1.2025.92</t>
  </si>
  <si>
    <t>Optimising the construction process through digitalisation: Case studies of projects under unstable resource supply</t>
  </si>
  <si>
    <t>10.1016/j.autcon.2026.106980</t>
  </si>
  <si>
    <t>From instance segmentation to physical quantification: High-resolution UAV-based dataset for façade defect assessment</t>
  </si>
  <si>
    <t>10.1038/s41598-025-94117-8</t>
  </si>
  <si>
    <t>Digital twin-driven strategic demolition plan for circular asset management of bridge infrastructures</t>
  </si>
  <si>
    <t>10.3389/fbuil.2026.1748837</t>
  </si>
  <si>
    <t>Enhancing resilience through environmental data integration in early construction planning: a cloud-based framework</t>
  </si>
  <si>
    <t>10.3390/su17188274</t>
  </si>
  <si>
    <t>Transient-Aware Multi-Objective Optimization of Water Distribution Systems for Cost and Fire Flow Reliability</t>
  </si>
  <si>
    <t>10.3390/buildings16071448</t>
  </si>
  <si>
    <t>Reducing Latency in Digital Twins: A Framework for Near-Real-Time Progress and Quality Reporting</t>
  </si>
  <si>
    <t>10.7716/aem.v15i3.3430</t>
  </si>
  <si>
    <t>In-Depth Discussion on the Construction of Security Collaborative Management and Control System Based on Digital Twins and Intelligent Sensing in the United Nations Clean Coal Project</t>
  </si>
  <si>
    <t>10.1002/stab.70174</t>
  </si>
  <si>
    <t>AI-driven assessment of steel structures</t>
  </si>
  <si>
    <t>10.3390/su18052168</t>
  </si>
  <si>
    <t>From WebGIS to a Digital Twin for Sustainable Water Governance and Climate-Resilient River Basin District Planning: The AUBAC Case in Central Italy</t>
  </si>
  <si>
    <t>10.1016/j.ress.2026.112634</t>
  </si>
  <si>
    <t>Resilient ventilation network construction in complex underground mining environments: A holistic strategy from resilience perception to resilience enhancement</t>
  </si>
  <si>
    <t>10.1142/S1793962325500618</t>
  </si>
  <si>
    <t>Research on modeling and application of digital twin system for mine auxiliary transportation</t>
  </si>
  <si>
    <t>10.26599/CVM.2025.9450511</t>
  </si>
  <si>
    <t>Photorealistic Fire Scene Video Generation via Multimodal Large Language Model and Pre-Trained Video Diffusion Model</t>
  </si>
  <si>
    <t>10.3390/smartcities8020070</t>
  </si>
  <si>
    <t>Unleashing the Potential of 5G for Smart Cities: A Focus on Real-Time Digital Twin Integration</t>
  </si>
  <si>
    <t>10.17576/jkukm-2025-37(6)-11</t>
  </si>
  <si>
    <t>Mapping the Evolution of 4D BIM in Construction Digitalisation: A Scientometric Analysis and Review</t>
  </si>
  <si>
    <t>10.1038/s41598-026-48789-5</t>
  </si>
  <si>
    <t>Artificial intelligence assisted structural realignment of high-rise buildings through lifting, grouting and reinforcement</t>
  </si>
  <si>
    <t>10.1007/s42107-025-01409-5</t>
  </si>
  <si>
    <t>A methodological approach to hybrid AI systems for real-time infrastructure monitoring in civil engineering</t>
  </si>
  <si>
    <t>10.1016/j.oceaneng.2025.121363</t>
  </si>
  <si>
    <t>Scheme and algorithm designs for optical fiber sensors based configuration inversion of umbilical cables in deep-water</t>
  </si>
  <si>
    <t>10.1155/adce/8916300</t>
  </si>
  <si>
    <t>Construction Path of Shanghai Oriental Hub Municipal Pipeline Full Cycle Digital Twin Platform</t>
  </si>
  <si>
    <t>10.1016/j.heliyon.2025.e44108</t>
  </si>
  <si>
    <t>Enhancing climate resilience in urban areas through satellite data: A case study of flood mapping during a rainfall event in Tuscany, Italy</t>
  </si>
  <si>
    <t>10.4018/IJAEIS.414579</t>
  </si>
  <si>
    <t>BIM-GIS Integration for Collaborative Management in Complex Highway Engineering Projects</t>
  </si>
  <si>
    <t>10.1109/ACCESS.2026.3680878</t>
  </si>
  <si>
    <t>MirrorLake: A Digital Twin Platform for Real-Time Synchronization with the Real World</t>
  </si>
  <si>
    <t>10.1016/j.jlp.2026.106105</t>
  </si>
  <si>
    <t>Digital twin-enabled safety management: A bibliometric and knowledge mapping analysis with core challenge insights</t>
  </si>
  <si>
    <t>10.1002/suco.202400969</t>
  </si>
  <si>
    <t>Enhancing sensor data reliability in structural health monitoring systems using digital twin technology</t>
  </si>
  <si>
    <t>10.1115/1.4071543</t>
  </si>
  <si>
    <t>Development of a Boiler Monitoring System for Predictive Maintenance of Boiler Tube Failures</t>
  </si>
  <si>
    <t>10.1007/s42452-025-07435-x</t>
  </si>
  <si>
    <t>Inversion model of stress state reconstruction for geological hazard pipelines based on digital twin</t>
  </si>
  <si>
    <t>10.70908/2232-6022/18.177-205</t>
  </si>
  <si>
    <t>International Dimension of Critical Infrastructure Resilience: Challenges of the Mediterranean Security Environment</t>
  </si>
  <si>
    <t>10.15587/2706-5448.2026.353068</t>
  </si>
  <si>
    <t>SYMMETRIC APPROACH TO INDUSTRIAL SAFETY RISK ASSESSMENT BASED ON MUTUAL PROBABILITY CORRESPONDENCE</t>
  </si>
  <si>
    <t>10.1016/j.autcon.2026.107025</t>
  </si>
  <si>
    <t>Active gravity-aligned reference Axis for high-precision verticality assessment in construction</t>
  </si>
  <si>
    <t>10.1016/j.engstruct.2025.120837</t>
  </si>
  <si>
    <t>Automated dimension estimation of bridge components using semantic segmentation and geometric fitting of point cloud data</t>
  </si>
  <si>
    <t>10.1007/s00170-026-19002-8</t>
  </si>
  <si>
    <t>Advances in simulation technology for welding of non-metallic pipes: a systematic review and future perspectives</t>
  </si>
  <si>
    <t>10.1016/j.sasc.2026.200532</t>
  </si>
  <si>
    <t>A cognitive digital twin architecture for intelligent gas distribution systems</t>
  </si>
  <si>
    <t>10.33271/nvngu/2026-2/084</t>
  </si>
  <si>
    <t>METHODOLOGY FOR ASSESSING THE CONDITION OF POWER PLANT UNITS USING DIGITAL TWIN MODELS; [Методика оцінки стану енергоблоків електростанцій із використанням моделей цифрових двійників]</t>
  </si>
  <si>
    <t>10.1016/j.ssci.2026.107369</t>
  </si>
  <si>
    <t>Enhancing safety in construction: A framework predicting neuro-cognitive tipping points from environmental stressors</t>
  </si>
  <si>
    <t>10.3390/buildings16142826</t>
  </si>
  <si>
    <t>Probabilistic Characteristics Study of Tensile Properties of Bamboo Inter-Node Material Based on Random Field Theory</t>
  </si>
  <si>
    <t>10.3389/fdgth.2026.1710829</t>
  </si>
  <si>
    <t>A digital twin framework for predicting and simulating type 2 diabetes onset using retrospective lifestyle data</t>
  </si>
  <si>
    <t>10.3390/su18031482</t>
  </si>
  <si>
    <t>Human-Centric Digital Twins for Spatial Sustainability: A Procedural VR Framework for Calibrating Agent-Based Evacuation Models in Diverse Urban Morphologies</t>
  </si>
  <si>
    <t>10.1016/j.jii.2025.100943</t>
  </si>
  <si>
    <t>Vision language model-enhanced embodied intelligence for digital twin-assisted human-robot collaborative assembly</t>
  </si>
  <si>
    <t>10.1080/10168664.2026.2649216</t>
  </si>
  <si>
    <t>Climate Change Impacts on Reinforced Concrete Structures: A Bibliometric Analysis</t>
  </si>
  <si>
    <t>10.1016/j.tust.2025.106800</t>
  </si>
  <si>
    <t>Parametric modeling and safety simulation of pit excavation affecting adjacent tunnels based on BIM-FEM framework</t>
  </si>
  <si>
    <t>10.3390/app15137230</t>
  </si>
  <si>
    <t>Virtual Reality and Digital Twins for Catastrophic Failure Prevention in Industry 4.0</t>
  </si>
  <si>
    <t>10.1016/j.applthermaleng.2026.132643</t>
  </si>
  <si>
    <t>Digital twin modeling for multi-component thermo-mechanical state inference with shared sparse-observation-and-physics constraints in a unified latent space</t>
  </si>
  <si>
    <t>10.1061/JLADAH.LADR-1409</t>
  </si>
  <si>
    <t>BIM-Driven Safety: Automated Rule-Based Multihazard Detection and Legal Compliance in High-Rise Construction</t>
  </si>
  <si>
    <t>10.60097/ACIG/221493</t>
  </si>
  <si>
    <t>A Cybersecurity Digital Twin Architecture for Modelling Threats in Interconnected Systems</t>
  </si>
  <si>
    <t>10.3390/en19061563</t>
  </si>
  <si>
    <t>An Aero-Thermodynamic Physics-Informed Neural Network for Small-Sample Performance Prediction of Variable-Speed Centrifugal Chillers</t>
  </si>
  <si>
    <t>10.1088/2631-8695/ae3b9e</t>
  </si>
  <si>
    <t>Digital twin-enhanced multi-agent reinforcement learning for distributed control of collaborative robotic arms in angle steel tower dismantling</t>
  </si>
  <si>
    <t>10.1061/AJRUA6.RUENG-1786</t>
  </si>
  <si>
    <t>A Digital Twin of Life-Cycle Bearing Based on a Defect-Guided Conditional Diffusion Model for Predicting Remaining Life under Limited Degradation Data</t>
  </si>
  <si>
    <t>10.1007/s10586-025-05908-7</t>
  </si>
  <si>
    <t>Optimizing Federated Learning based on Weighted Hyperparameter Aggregation in Energy-constrained Building Construction</t>
  </si>
  <si>
    <t>10.1109/OJITS.2026.3664106</t>
  </si>
  <si>
    <t>Enhancing Autonomous Vehicle Localization Through Cooperative LiDAR and Smart Infrastructure Integration</t>
  </si>
  <si>
    <t>10.1016/j.engappai.2026.115649</t>
  </si>
  <si>
    <t>Deep reinforcement learning-based decision support system for optimal maintenance planning in bridge digital twins</t>
  </si>
  <si>
    <t>10.1002/eng2.70406</t>
  </si>
  <si>
    <t>Investigating the Applicability of Industry 4.0 Technologies in Road Construction Projects: A Quantitative Research Design From Construction 4.0 Perspectives</t>
  </si>
  <si>
    <t>10.1049/cps2.70048</t>
  </si>
  <si>
    <t>UAV Object Detection and Positioning in a Mining Industrial Metaverse With Custom Geo-Referenced Data</t>
  </si>
  <si>
    <t>10.3390/s25113350</t>
  </si>
  <si>
    <t>A Multi-Sensor Fusion Approach Combined with RandLA-Net for Large-Scale Point Cloud Segmentation in Power Grid Scenario</t>
  </si>
  <si>
    <t>10.3390/computation14040076</t>
  </si>
  <si>
    <t>Computational Economics of Circular Construction: Machine Learning and Digital Twins for Optimizing Demolition Waste Recovery and Business Value</t>
  </si>
  <si>
    <t>10.1007/s10669-025-10035-0</t>
  </si>
  <si>
    <t>Digital twin representation of socio-technical systems through a distributed co-simulation approach for crisis management</t>
  </si>
  <si>
    <t>10.3390/su17073076</t>
  </si>
  <si>
    <t>The Integration of a Multidomain Monitoring Platform with Structural Data: A Building Case Study</t>
  </si>
  <si>
    <t>10.1016/j.aei.2026.104681</t>
  </si>
  <si>
    <t>Agentic system for construction safety risk assessments using large language models and knowledge graphs</t>
  </si>
  <si>
    <t>10.1016/j.compenvurbsys.2026.102414</t>
  </si>
  <si>
    <t>FlowsDT: A geospatial digital twin for navigating urban flood dynamics</t>
  </si>
  <si>
    <t>10.1007/s11548-026-03644-w</t>
  </si>
  <si>
    <t>TwinOR: photorealistic digital twins of dynamic operating rooms for embodied AI research</t>
  </si>
  <si>
    <t>10.1016/j.rineng.2026.110745</t>
  </si>
  <si>
    <t>Interconnected digital twins of subway stations for decision support systems</t>
  </si>
  <si>
    <t>10.1016/j.ige.2025.09.002</t>
  </si>
  <si>
    <t>Data-driven digital twin-based smart tunnel maintenance system</t>
  </si>
  <si>
    <t>10.3390/rs17162891</t>
  </si>
  <si>
    <t>Tunnel Rapid AI Classification (TRaiC): An Open-Source Code for 360° Tunnel Face Mapping, Discontinuity Analysis, and RAG-LLM-Powered Geo-Engineering Reporting</t>
  </si>
  <si>
    <t>10.59543/jidmis.v3.1141</t>
  </si>
  <si>
    <t>Digital Twin–Driven Reinforcement Learning for Proactive Cyber-Financial Threat Mitigation in Smart Healthcare Systems</t>
  </si>
  <si>
    <t>10.1504/IJCIS.2026.155961</t>
  </si>
  <si>
    <t>Safety risk perception of high-rise building construction process based on digital twin technology</t>
  </si>
  <si>
    <t>10.1016/j.enggeo.2025.108252</t>
  </si>
  <si>
    <t>Physics-based and data-driven long-term evolution of a landslide: From inversion to prediction</t>
  </si>
  <si>
    <t>10.1016/j.trgeo.2026.102063</t>
  </si>
  <si>
    <t>Application of the multimodal model for predicting rock mechanical parameters via MWD feature splicing and fusion</t>
  </si>
  <si>
    <t>10.1016/j.dibe.2026.100983</t>
  </si>
  <si>
    <t>Human-AI trust for safer heavy-duty equipment management: Insights from socio-technical literature review and interviews</t>
  </si>
  <si>
    <t>10.1109/JIOT.2026.3679937</t>
  </si>
  <si>
    <t>Digital Twins Reimagined: Zero-Day LLM-Powered Moving Target Defense In-Depth for Real-Time CPS</t>
  </si>
  <si>
    <t>10.5055/jem.0929</t>
  </si>
  <si>
    <t>Emergency preparedness planning for active shooter situations through higher-fidelity agent-based active shooter simulations: Framework for computational modeling of injury and blood loss</t>
  </si>
  <si>
    <t>10.1016/j.cacaie.2026.100163</t>
  </si>
  <si>
    <t>Real-time, crowdsourcing-enhanced forecasting of building functionality during urban floods</t>
  </si>
  <si>
    <t>10.1016/j.eswa.2025.126740</t>
  </si>
  <si>
    <t>A visualization system for dam safety monitoring with application of digital twin platform</t>
  </si>
  <si>
    <t>10.1016/j.autcon.2026.107134</t>
  </si>
  <si>
    <t>Semantic-Gravity Iterative Closest Point and AI-assisted navigation for Robot-Ready Construction Digital Twins</t>
  </si>
  <si>
    <t>10.1109/ACCESS.2026.3654529</t>
  </si>
  <si>
    <t>Agentic AI in Wind Energy Systems: Multi-Agent Architectures for Optimization and Resilience</t>
  </si>
  <si>
    <t>10.1016/j.aei.2025.103818</t>
  </si>
  <si>
    <t>Structural evaluation of cracked shield tunnels using computer-vision-based model updating techniques</t>
  </si>
  <si>
    <t>10.3390/rs17213565</t>
  </si>
  <si>
    <t>Developing Computer Vision-Based Digital Twin for Vegetation Management near Power Distribution Networks</t>
  </si>
  <si>
    <t>10.1016/j.tre.2026.105116</t>
  </si>
  <si>
    <t>Digital twins for low-altitude transportation and logistics: A barrier-centric survey of UAV and eVTOL systems</t>
  </si>
  <si>
    <t>10.1016/j.ijhydene.2026.156914</t>
  </si>
  <si>
    <t>Maglev-enhanced vertical-axis wind turbines for hydrogen production and storage systems</t>
  </si>
  <si>
    <t>10.1016/j.aei.2026.104652</t>
  </si>
  <si>
    <t>Explainable artificial intelligence based simulation-to-real domain adaptation for robust rotor condition monitoring</t>
  </si>
  <si>
    <t>10.1016/j.istruc.2026.112340</t>
  </si>
  <si>
    <t>Serviceability assessment and structural response forecasting of near-coast utility tunnels under soft-soil conditions</t>
  </si>
  <si>
    <t>10.1108/ECAM-05-2025-0732</t>
  </si>
  <si>
    <t>Digital twin-enabled 3D near-misses prediction method based on trajectories and postures for proactive construction safety management</t>
  </si>
  <si>
    <t>10.1016/j.autcon.2025.106407</t>
  </si>
  <si>
    <t>Digital twin of advanced geological conditions in rock tunnel construction</t>
  </si>
  <si>
    <t>10.3390/w18030427</t>
  </si>
  <si>
    <t>Smart Technological Urban Flood Management Strategies Are “Must-Do” Approaches: The Case of Chinese Coastal Megacity, Ningbo, East Coast of China</t>
  </si>
  <si>
    <t>10.1016/j.ress.2025.111906</t>
  </si>
  <si>
    <t>BIM-GIS integrated hydrodynamic modeling for road flood risk assessment: A case study in Algeria’s Chiffa Wadi</t>
  </si>
  <si>
    <t>10.1109/JSEN.2025.3644934</t>
  </si>
  <si>
    <t>An Enhanced Digital Twin-Driven Fault Diagnosis Approach Based on Deep Multimodal Information Fusion for Marine Machinery</t>
  </si>
  <si>
    <t>10.3390/rs18050685</t>
  </si>
  <si>
    <t>Towards Digital Twin in Flood Forecasting with Data Assimilation Satellite Earth Observations—A Proof-of-Concept</t>
  </si>
  <si>
    <t>10.1061/IJGNAI.GMENG-13767</t>
  </si>
  <si>
    <t>Dual-Dimensional Collaborative Analysis for the Optimization of Slope Monitoring Points</t>
  </si>
  <si>
    <t>10.15330/jpnu.12.3.169-185</t>
  </si>
  <si>
    <t>THE IMPACT OF ARTIFICIAL INTELLIGENCE ON THE FORMATION OF A TEACHER’S DIGITAL TWIN IN THE METAVERSE</t>
  </si>
  <si>
    <t>10.1002/ente.70567</t>
  </si>
  <si>
    <t>Deep Reinforcement Learning-Based Intelligent Battery Charging Strategy</t>
  </si>
  <si>
    <t>10.18280/isi.300511</t>
  </si>
  <si>
    <t>An Integrated Digital Twin Architecture for Proposing Field Service Management Model in Fiber Optic Network Infrastructure: A Design Science Approach</t>
  </si>
  <si>
    <t>10.3390/buildings16071430</t>
  </si>
  <si>
    <t>Data-Driven Piecewise Bivariate Regression for Best-Estimate Natural Periods of Buildings</t>
  </si>
  <si>
    <t>10.1016/j.iot.2025.101514</t>
  </si>
  <si>
    <t>IoV-TwinChain: Predictive maintenance of vehicles in internet of vehicles through digital twin and blockchain</t>
  </si>
  <si>
    <t>10.1016/j.tust.2025.106929</t>
  </si>
  <si>
    <t>Automated procedural modeling for tunnel inspection and digital twin development</t>
  </si>
  <si>
    <t>10.1016/j.robot.2025.105130</t>
  </si>
  <si>
    <t>Resource-constrained dynamic planning and model-free control in turbulent urban environments</t>
  </si>
  <si>
    <t>10.1016/j.cacaie.2026.100073</t>
  </si>
  <si>
    <t>Topology guided fourier neural operator with decoupled geometric parameterization for dam leakage detection</t>
  </si>
  <si>
    <t>10.1016/j.iot.2025.101768</t>
  </si>
  <si>
    <t>GUIDE2FR: A smart monitoring platform with a digital twin of a firefighter training tower for emergency scenarios</t>
  </si>
  <si>
    <t>10.3390/su17188232</t>
  </si>
  <si>
    <t>Research on the Infrastructure Resilience System and Sustainable Development of Coastal Cities in the Bohai Sea, China: A Multi-Model and Spatiotemporal Heterogeneity Analysis Based on CAS</t>
  </si>
  <si>
    <t>10.1007/s41365-026-01928-z</t>
  </si>
  <si>
    <t>Artificial intelligence in reactor physics: current status and future prospects</t>
  </si>
  <si>
    <t>10.1016/j.compstruct.2026.120072</t>
  </si>
  <si>
    <t>Structural glass health monitoring: A comparative evaluation of flaw detection approaches</t>
  </si>
  <si>
    <t>10.1016/j.aei.2026.104521</t>
  </si>
  <si>
    <t>Automatic management of shield attitude: insights from sensor data analysis and hybrid machine learning</t>
  </si>
  <si>
    <t>10.3846/jcem.2026.26154</t>
  </si>
  <si>
    <t>AN INTELLIGENT CONSTRUCTION SYSTEM BASED ON DIGITAL TWIN AND FOUNDATION MODEL OPTIMIZATION</t>
  </si>
  <si>
    <t>10.1371/journal.pone.0353610</t>
  </si>
  <si>
    <t>Agentic AI-enhanced digital twins for Smart City civil infrastructure: A secure, autonomous and auditable management framework</t>
  </si>
  <si>
    <t>10.7527/S1000-6893.2025.32252</t>
  </si>
  <si>
    <t>Development and application of digital twins technology in aircraft strength design; [数 字 孪 生 技 术 在 飞 行 器 强 度 设 计 中 的 发 展 及 应 用]</t>
  </si>
  <si>
    <t>10.59543/jidmis.v3.2254</t>
  </si>
  <si>
    <t>Multi-Source Heterogeneous Data Fusion in Smart Industrial Systems: Intelligent Monitoring, Predictive Quality Assessment, and Fault Diagnosis for Safer Operations</t>
  </si>
  <si>
    <t>10.1016/j.measurement.2025.119256</t>
  </si>
  <si>
    <t>Reverse digital twin mapping of building envelope anomalies based on UAV infrared point clouds</t>
  </si>
  <si>
    <t>10.1007/s10921-026-01388-w</t>
  </si>
  <si>
    <t>Acoustic Emission-Based Assessment of Damage Evolution in Bridge Systems: Methods, Indicators, and Advances in Structural Mechanics</t>
  </si>
  <si>
    <t>10.3390/buildings16132577</t>
  </si>
  <si>
    <t>Governing Data Integrity Risks in Digital Construction: A Qualitative Liability Framework for Generative AI Across the AEC Lifecycle and Smart City Operations</t>
  </si>
  <si>
    <t>10.1016/j.jag.2025.104822</t>
  </si>
  <si>
    <t>A high-definition map architecture for transportation digital twin system construction</t>
  </si>
  <si>
    <t>10.1109/MCOMSTD.2025.3649865</t>
  </si>
  <si>
    <t>SafeTwinNet: Secure and Adaptive Learning Ecosystems for Digital Twins</t>
  </si>
  <si>
    <t>10.1061/JLADAH.LADR-1397</t>
  </si>
  <si>
    <t>Artificial Intelligence in the Construction Industry: A Comprehensive Review of Benefits and Challenges</t>
  </si>
  <si>
    <t>10.12438/cst.2025-0692</t>
  </si>
  <si>
    <t>Construction method of a transparent tunneling geological navigation system based on integrated borehole geophysical exploration; [基于钻孔综合物探的透明掘进地质导航系统构建方法]</t>
  </si>
  <si>
    <t>10.1080/26895269.2026.2669181</t>
  </si>
  <si>
    <t>Nunchi as safety labor: a phenomenological study of transgender women’s survival in South Korea</t>
  </si>
  <si>
    <t>10.1007/s12518-026-00769-0</t>
  </si>
  <si>
    <t>Remote sensing and GIS-based mapping of tree fall risk and hazard along railway lines in Germany</t>
  </si>
  <si>
    <t>10.1016/j.ijrmms.2025.106032</t>
  </si>
  <si>
    <t>BIM for mining - Automated generation of information models using a parametric modelling concept</t>
  </si>
  <si>
    <t>10.1016/j.engstruct.2026.123298</t>
  </si>
  <si>
    <t>Digital twin-driven intelligent structural fault diagnosis and decision-making for earth-rock dams using large language models</t>
  </si>
  <si>
    <t>10.1016/j.segan.2026.102152</t>
  </si>
  <si>
    <t>Real-time digital twin prototype for cyber-physical analysis of anomalies in PV–PEM–BESS systems for green hydrogen production</t>
  </si>
  <si>
    <t>10.70917/fce-2026-010</t>
  </si>
  <si>
    <t>Field-Validated Digital Twin–Enabled Structural Health Monitoring for Offshore High-Pile Wharves</t>
  </si>
  <si>
    <t>10.1007/s10515-026-00612-1</t>
  </si>
  <si>
    <t>AI-driven digital twin-based security orchestration, automation and response for critical infrastructures</t>
  </si>
  <si>
    <t>10.59543/jidmis.v3.1041</t>
  </si>
  <si>
    <t>Federated Digital Twin Reinforcement Learning Framework with Physics Informed Intelligence for Autonomous Battery Management Systems</t>
  </si>
  <si>
    <t>10.32604/cmes.2026.076415</t>
  </si>
  <si>
    <t>Attention Mechanisms and FFM Feature Fusion Module-Based Modification of the Deep Neural Network for Detection of Structural Cracks</t>
  </si>
  <si>
    <t>10.1007/s10751-026-02482-1</t>
  </si>
  <si>
    <t>Pipeline safety for hydrogen and green gas networks in the net-zero energy transition: a brief review</t>
  </si>
  <si>
    <t>10.1016/j.daach.2026.e00537</t>
  </si>
  <si>
    <t>Digital heritage preservation through drone surveying: Vulnerability analysis of Venetian church façades</t>
  </si>
  <si>
    <t>10.3390/infrastructures11040124</t>
  </si>
  <si>
    <t>A Digital Twin-Driven System for Road Maintenance: Integrating UAVs and AMRs for Automated Inspection and Measurement</t>
  </si>
  <si>
    <t>10.3390/smartcities9080122</t>
  </si>
  <si>
    <t>Mapping the Affordability of Campus Digital Twin Implementation in the United States</t>
  </si>
  <si>
    <t>10.3390/su18136443</t>
  </si>
  <si>
    <t>Energy-Aware Digital Twin Frameworks for Port Building Clusters: Integrating Structural Health Monitoring, Smart Metering, and Retrofit Prioritization</t>
  </si>
  <si>
    <t>10.1016/j.oceaneng.2026.124378</t>
  </si>
  <si>
    <t>Digital twin system for deepwater well construction: Enhancing operational efficiency and safety</t>
  </si>
  <si>
    <t>10.1016/j.aei.2026.105009</t>
  </si>
  <si>
    <t>Physics-guided multi-fidelity framework for probabilistic deformation prediction of concrete arch dams under digital twin-based monitoring</t>
  </si>
  <si>
    <t>10.1186/s40410-026-00321-y</t>
  </si>
  <si>
    <t>Model-based approaches to emergency evacuation in buildings: a systematic literature review in the context of architectural practice and design</t>
  </si>
  <si>
    <t>10.3390/infrastructures11020050</t>
  </si>
  <si>
    <t>Signal-Based Dynamic Identification of Composite Steel–Concrete Bridges Using Short-Duration Records</t>
  </si>
  <si>
    <t>10.11999/JEIT251103</t>
  </si>
  <si>
    <t>Bionic Behavior Modeling Method for Unmanned Aerial Vehicle Swarms Empowered by Deep Reinforcement Learning; [深度强化学习赋能的无人机集群仿生行为建模方法]</t>
  </si>
  <si>
    <t>10.3390/rs17203401</t>
  </si>
  <si>
    <t>Structural Health Monitoring of Anaerobic Lagoon Floating Covers Using UAV-Based LiDAR and Photogrammetry</t>
  </si>
  <si>
    <t>10.3390/buildings16051033</t>
  </si>
  <si>
    <t>Evacuation Safety Evaluation for Deep Underground Railways Using Digital Twin Map Topology</t>
  </si>
  <si>
    <t>10.6106/KJCEM.2025.26.3.075</t>
  </si>
  <si>
    <t>Efficient Method on Integration of Construction Site digital maps Using Voxelized Pointclouds</t>
  </si>
  <si>
    <t>10.3390/en19102420</t>
  </si>
  <si>
    <t>A Novel MBSE-Driven Multi-Agent Framework for Enhancing Cyber-Physical Security in Smart Grids</t>
  </si>
  <si>
    <t>10.1111/exsy.70168</t>
  </si>
  <si>
    <t>Federated Deep Learning for Collision Avoidance in IoV With Digital Twin Integration</t>
  </si>
  <si>
    <t>10.1108/JCHMSD-08-2023-0136</t>
  </si>
  <si>
    <t>Digital twins-enabled heritage buildings management through social dynamics</t>
  </si>
  <si>
    <t>10.1016/j.tust.2026.107457</t>
  </si>
  <si>
    <t>Digital twin-based framework for multi-objective optimization of shield tunneling parameters</t>
  </si>
  <si>
    <t>10.3390/smartcities9010012</t>
  </si>
  <si>
    <t>Federated Learning Frameworks for Intelligent Transportation Systems: A Comparative Adaptation Analysis</t>
  </si>
  <si>
    <t>10.1016/j.autcon.2026.107076</t>
  </si>
  <si>
    <t>Digital twin-enabled synchronous jacking control of an aerial building machine using a scale model</t>
  </si>
  <si>
    <t>10.1155/stc/8782403</t>
  </si>
  <si>
    <t>The Research on the Construction Method of a Slope Digital Twin Model Driven by Surrogate Models</t>
  </si>
  <si>
    <t>10.1016/j.jobe.2025.111976</t>
  </si>
  <si>
    <t>A methodology for sky-space-ground integrated remote sensing monitoring: A digital twin framework for multi-source Data-BIM integration in residential quality monitoring</t>
  </si>
  <si>
    <t>10.1007/s44163-025-00618-w</t>
  </si>
  <si>
    <t>A digital twin-based system for full-lifecycle safety management and dynamic risk assessment in nuclear power plants</t>
  </si>
  <si>
    <t>10.1016/j.istruc.2026.111723</t>
  </si>
  <si>
    <t>Digital twin-based multi-objective parameter identification for a cable-stayed bridge</t>
  </si>
  <si>
    <t>10.3390/en19010202</t>
  </si>
  <si>
    <t>Stress-Based Fatigue Diagnosis of Wind Turbine Blades Using Physics-Informed AI Reduced-Order Modeling</t>
  </si>
  <si>
    <t>10.1109/TITS.2025.3604569</t>
  </si>
  <si>
    <t>Digital Twin-Based Driver Risk-Aware Predictive Mobility Analytics for Real-Time Situational Awareness Through Cooperative Sensing</t>
  </si>
  <si>
    <t>10.1017/aer.2026.10138</t>
  </si>
  <si>
    <t>Artificial intelligence for sustainable aviation: A review on operational implementations and future perspectives</t>
  </si>
  <si>
    <t>10.1109/MCOMSTD.2025.3644899</t>
  </si>
  <si>
    <t>An Overview of GenAI 2.0 Partnering With Digital Twin to Enhance Decision Making</t>
  </si>
  <si>
    <t>10.1016/j.undsp.2025.05.012</t>
  </si>
  <si>
    <t>Digital twin-enabled simulation system for NATM tunnel construction process considering multi-source uncertainty</t>
  </si>
  <si>
    <t>10.1016/j.future.2025.108147</t>
  </si>
  <si>
    <t>Digital twins for essential services</t>
  </si>
  <si>
    <t>10.1109/TAES.2025.3633210</t>
  </si>
  <si>
    <t>Advancing Lunar Communication Through Interdomain Space Networks and Dynamic Orchestration</t>
  </si>
  <si>
    <t>10.3390/s25102969</t>
  </si>
  <si>
    <t>ANCHOR-Grid: Authenticating Smart Grid Digital Twins Using Real-World Anchors</t>
  </si>
  <si>
    <t>10.12438/cst.2025-1901</t>
  </si>
  <si>
    <t>Research and application of key technologies for intelligent control of super-long working face in medium-thick coal seam; [中厚煤层超长工作面智能化控制关键技术研究与应用]</t>
  </si>
  <si>
    <t>10.1177/23998083251317666</t>
  </si>
  <si>
    <t>Do urban digital twins need agents?</t>
  </si>
  <si>
    <t>10.1016/j.renene.2025.124174</t>
  </si>
  <si>
    <t>Supporting the digitalisation of existing hydropower plants using computational fluid dynamics modelling</t>
  </si>
  <si>
    <t>10.3390/rs18010039</t>
  </si>
  <si>
    <t>CFFCNet: Center-Guided Feature Fusion Completion for Accurate Vehicle Localization and Dimension Estimation from Lidar Point Clouds</t>
  </si>
  <si>
    <t>10.56578/jemse040405</t>
  </si>
  <si>
    <t>Risk Assessment of Underground Utility Tunnel Projects in Q City Using the Analytic Hierarchy Process</t>
  </si>
  <si>
    <t>10.3390/buildings15081312</t>
  </si>
  <si>
    <t>Design and Validation of a Real-Time Maintenance Monitoring System Using BIM and Digital Twin Integration</t>
  </si>
  <si>
    <t>10.1002/ghg.2379</t>
  </si>
  <si>
    <t>Development of Digital/Visual Twin for Real-Time Leak Detection in Gas Pipelines Under Multiphase Flow Conditions</t>
  </si>
  <si>
    <t>10.1007/s11334-026-00657-1</t>
  </si>
  <si>
    <t>Let’s read the log: root cause analysis of railway test execution logs with large language models</t>
  </si>
  <si>
    <t>10.1038/s41598-025-25030-3</t>
  </si>
  <si>
    <t>An intelligent YOLO and CNN-BiGRU framework for road infrastructure based anomaly assessment</t>
  </si>
  <si>
    <t>10.1016/j.jmsy.2025.02.021</t>
  </si>
  <si>
    <t>Tool digital twin based on knowledge embedding for precision CNC machine tools: Wear prediction for collaborative multi-tool</t>
  </si>
  <si>
    <t>10.3390/su18083942</t>
  </si>
  <si>
    <t>From Laboratory to Building Scale: A Digital-Twin Methodology for Resilience-Oriented Assessment of RC Infrastructure Using Waste Wool-Fibre Cementitious Materials</t>
  </si>
  <si>
    <t>10.5935/jetia.v12i57.3125</t>
  </si>
  <si>
    <t>ESTIMATING THE SERVICE LIFE OF CONCRETE REINFORCED WITH ADVANCED MATERIALS: INTEGRATION OF IOT SENSORS AND DIGITAL TWINS</t>
  </si>
  <si>
    <t>10.1016/j.conbuildmat.2026.145903</t>
  </si>
  <si>
    <t>Piezoresistive mechanism of asphalt mixtures with carbon fibers</t>
  </si>
  <si>
    <t>10.1177/1088467X251370590</t>
  </si>
  <si>
    <t>Adaptive spatio-temporal graph network for environmental factors forecasting in utility tunnels</t>
  </si>
  <si>
    <t>10.1109/ACCESS.2026.3721347</t>
  </si>
  <si>
    <t>A Partially Validated Probabilistic Framework for Urban Seismic Damage Prediction With Scenario Ensembles and Digital Twins</t>
  </si>
  <si>
    <t>10.1038/s41598-026-49490-3</t>
  </si>
  <si>
    <t>TwinGuard-Sec: a federated blockchain-enabled AI framework for standardized security and privacy in cross-domain digital twin ecosystems over 6G</t>
  </si>
  <si>
    <t>10.1002/cite.70129</t>
  </si>
  <si>
    <t>Accelerating the Roll-Out of Modular Plants: From Engineering and Approval to Operation of Energy-Efficient Modular Plants</t>
  </si>
  <si>
    <t>10.1177/14759217241297248</t>
  </si>
  <si>
    <t>Reference-free ego-motion compensation for vision-based measurement of structural deformations of miter gates</t>
  </si>
  <si>
    <t>10.1016/j.apenergy.2025.126558</t>
  </si>
  <si>
    <t>A digital twin integrated smart-liner for visualization monitoring of oil and gas pipeline infrastructure</t>
  </si>
  <si>
    <t>10.1109/JIOT.2026.3725332</t>
  </si>
  <si>
    <t>Trajectory Design for UAV-Based Low-Altitude Wireless Networks in Unknown Environments: A Digital Twin-Assisted TD3 Approach</t>
  </si>
  <si>
    <t>10.1016/j.engappai.2025.113545</t>
  </si>
  <si>
    <t>A lightweight and attention-enhanced framework for robust pavement defect detection</t>
  </si>
  <si>
    <t>10.32604/cmc.2026.079582</t>
  </si>
  <si>
    <t>Quantitative Stress Testing Using Scalable Digital Twin Simulation with MobileX Pole for Intelligent Mobile Surveillance</t>
  </si>
  <si>
    <t>10.1504/IJICT.2026.155637</t>
  </si>
  <si>
    <t>A physics-informed neural network-based edge-cloud collaborative digital twin for predictive maintenance of ageing railway signalling equipment</t>
  </si>
  <si>
    <t>10.24425/ace.2026.158607</t>
  </si>
  <si>
    <t>Research on the full life cycle safety of levee based on BIM+mechanism algorithm</t>
  </si>
  <si>
    <t>10.1007/s40030-026-00984-3</t>
  </si>
  <si>
    <t>A GIS-Based Multi-Criteria Vulnerability Assessment Framework Integrating Structural, Environmental, and Socio-Cultural Indicators: A Case Study of Keylong, Himachal Pradesh</t>
  </si>
  <si>
    <t>10.1007/s42107-025-01521-6</t>
  </si>
  <si>
    <t>Multi-objective optimization for sustainability-based design of non-prismatic reinforced concrete structures</t>
  </si>
  <si>
    <t>10.1016/j.rineng.2025.106914</t>
  </si>
  <si>
    <t>Physics-informed computational framework for assessing the seismic behavior of the Prince Moulay Abdellah Dam</t>
  </si>
  <si>
    <t>10.3390/su17219626</t>
  </si>
  <si>
    <t>A Digital Twin Approach to Sustainable Disaster Management: Case of Cayirova</t>
  </si>
  <si>
    <t>10.1109/JIOT.2026.3669235</t>
  </si>
  <si>
    <t>Historical Prediction Attention Mechanism-Based Trajectory Forecasting for Proactive Work Zone Safety in a Digital Twin Environment</t>
  </si>
  <si>
    <t>10.1016/j.aei.2026.104918</t>
  </si>
  <si>
    <t>A cascaded deep learning framework for reconstructing high-resolution temperature fields at safety-critical heights in building fires using sparse sensor data from ceilings</t>
  </si>
  <si>
    <t>10.12928/biste.v7i3.13780</t>
  </si>
  <si>
    <t>Sensor Fusion of Laser and Inertial Units with Kalman-KMeans-Fuzzy Framework for Real-Time Railway Geometry Monitoring</t>
  </si>
  <si>
    <t>10.1038/s41598-025-31930-1</t>
  </si>
  <si>
    <t>Enhancing traffic safety analysis with digital twin technology: integrating vehicle dynamics and environmental factors into microscopic traffic simulation</t>
  </si>
  <si>
    <t>10.1177/18724981251344721</t>
  </si>
  <si>
    <t>DesignTwin-SDN: A digital twin-driven AI framework for smart architecture and interior planning</t>
  </si>
  <si>
    <t>10.1016/j.atech.2025.101675</t>
  </si>
  <si>
    <t>Digital twins as decision-support tools for automation in agriculture: A case study on robotic vaccination</t>
  </si>
  <si>
    <t>10.1016/j.jmapro.2026.08.009</t>
  </si>
  <si>
    <t>A machine learning-driven digital twin framework for mold optimization and safety assessment in highly filled viscous materials extrusion</t>
  </si>
  <si>
    <t>10.3390/geographies5030040</t>
  </si>
  <si>
    <t>A Framework for the Dynamic Mapping of Precipitations Using Open-Source 3D WebGIS Technology</t>
  </si>
  <si>
    <t>10.1016/j.buildenv.2025.114046</t>
  </si>
  <si>
    <t>AI-enhanced large-eddy simulation for urban wind flows: accelerating spin-up with Fourier neural operator initialization</t>
  </si>
  <si>
    <t>10.3390/app15126854</t>
  </si>
  <si>
    <t>Towards a Digital Twin Approach for Structural Stiffness Assessment: A Case Study on the Cho’ponota L1 Bridge</t>
  </si>
  <si>
    <t>10.1016/j.watres.2026.126501</t>
  </si>
  <si>
    <t>From descriptive digital twins to closed-loop intelligent agents: Adaptive biogeochemical management in river-reservoir systems</t>
  </si>
  <si>
    <t>10.3390/app16147303</t>
  </si>
  <si>
    <t>A Survey of Lifecycle Management for Artificial Intelligence Systems in Urban Infrastructure Across Long-Term Operations</t>
  </si>
  <si>
    <t>10.3390/s25123727</t>
  </si>
  <si>
    <t>Risk Mitigation of a Heritage Bridge Using Noninvasive Sensors</t>
  </si>
  <si>
    <t>10.1016/j.aei.2026.104580</t>
  </si>
  <si>
    <t>Mixed reality and machine learning-guided cable robot framework (MMCR) for real-time prefabricated construction automation</t>
  </si>
  <si>
    <t>10.3390/bioengineering13060686</t>
  </si>
  <si>
    <t>An Agentic LLM Framework for Autonomous Surgical Continuum Monitoring: ReAct-Driven Tool-Use Agents for Presurgical, Intraoperative, and Postsurgical Cardiopulmonary Care</t>
  </si>
  <si>
    <t>10.3390/s25195941</t>
  </si>
  <si>
    <t>Integrating Advanced Technologies for Environmental Valuation in Legacy Mining Sites: The Role of Digital Twins at Lavrion Technological and Cultural Park</t>
  </si>
  <si>
    <t>10.1016/j.firesaf.2026.104746</t>
  </si>
  <si>
    <t>The influence of information from digital buildings on fire service operations</t>
  </si>
  <si>
    <t>10.18280/ijsse.160310</t>
  </si>
  <si>
    <t>State-of-the-Art Review of Evacuation Simulation Tools: Approaches, Benefits and Challenges</t>
  </si>
  <si>
    <t>10.1080/15623599.2025.2508905</t>
  </si>
  <si>
    <t>Internet of Things in construction: trends and adoption insights from a scientometric perspective</t>
  </si>
  <si>
    <t>10.3390/s26020571</t>
  </si>
  <si>
    <t>End-to-End Teleoperated Driving Video Transmission Under 6G with AI and Blockchain</t>
  </si>
  <si>
    <t>10.1016/j.compeleceng.2025.110485</t>
  </si>
  <si>
    <t>Assessing the impact of Modbus/TCP protocol attacks on critical infrastructure: WWTP case study</t>
  </si>
  <si>
    <t>10.1061/JUPDDM.UPENG-5843</t>
  </si>
  <si>
    <t>Research on Management Efficiency and Public Participation in Smart City Construction Based on BIM-CIM Technology</t>
  </si>
  <si>
    <t>10.1016/j.jlp.2026.106026</t>
  </si>
  <si>
    <t>Artificial intelligence-enabled process safety: Advances, challenges, and future directions for high-risk industrial systems</t>
  </si>
  <si>
    <t>10.55670/fpll.futech.4.4.25</t>
  </si>
  <si>
    <t>Innovative applications of big data and simulation technologies in the optimization design of crash safety for autonomous vehicles: a systematic review from a biomechanical aspect</t>
  </si>
  <si>
    <t>10.1016/j.autcon.2025.106354</t>
  </si>
  <si>
    <t>Rapid integration strategy for oblique photogrammetry terrain and highway BIM models in large-scale scenarios</t>
  </si>
  <si>
    <t>10.3390/ma19071377</t>
  </si>
  <si>
    <t>A Prediction Model of Interlayer Bond Strength for 3D-Printed Concrete Considering Printing Interval and Environmental Effects</t>
  </si>
  <si>
    <t>10.1016/j.asoc.2025.113294</t>
  </si>
  <si>
    <t>Dynamic prediction and control of a tunnel boring machine with a particle swarm optimization–random forest algorithm and an integrated digital twin</t>
  </si>
  <si>
    <t>10.3389/fmech.2026.1854257</t>
  </si>
  <si>
    <t>Development of a hybrid reinforcement learning (hybrid-RL) system for manufacturing resilience</t>
  </si>
  <si>
    <t>10.22034/jipm.2025.728355</t>
  </si>
  <si>
    <t>A Digital Twins in Smart Cities for Building Resilient Urban Infrastructures</t>
  </si>
  <si>
    <t>10.1016/j.aei.2025.103305</t>
  </si>
  <si>
    <t>Knowledge graph exploitation to enhance the usability of risk assessment in construction safety planning</t>
  </si>
  <si>
    <t>10.1002/suco.202400890</t>
  </si>
  <si>
    <t>Robotic devices for Structural Health Monitoring</t>
  </si>
  <si>
    <t>10.1061/JMENEA.MEENG-7046</t>
  </si>
  <si>
    <t>When Roads Go Underwater: AI-Enhanced Digital Twin-Driven Flood Resilience for Roadway Serviceability Assessment</t>
  </si>
  <si>
    <t>10.3390/machines14070712</t>
  </si>
  <si>
    <t>A Safety-Case-Driven Hybrid Digital Twin for Centrifugal Compressor Health Monitoring</t>
  </si>
  <si>
    <t>10.1016/j.aei.2025.104045</t>
  </si>
  <si>
    <t>A transformer-based surrogate modeling strategy for tunnel digital twin in full-field displacement prediction under adjacent tunnel construction</t>
  </si>
  <si>
    <t>10.30837/2522-9818.2025.4.032</t>
  </si>
  <si>
    <t>INTEGRATED SIMULATION MODEL OF Swarm CONTROL AND ADAPTIVE ROUTEING OF UAVS IN A CHANGING AIR ENVIRONMENT; [ІНТЕГРОВАНА СИМУЛЯЦІЙНА МОДЕЛЬ РОЙОВОГО УПРАВЛІННЯ Й АДАПТИВНОЇ МАРШРУТИЗАЦІІ БпЛА В УМОВАХ ЗМІННОГО ПОВІТРЯННОГО СЕРЕДОВИЩА]</t>
  </si>
  <si>
    <t>10.3390/infrastructures10080204</t>
  </si>
  <si>
    <t>A Digital Twin Platform for Real-Time Intersection Traffic Monitoring, Performance Evaluation, and Calibration</t>
  </si>
  <si>
    <t>10.3390/math14010076</t>
  </si>
  <si>
    <t>From Reliability Modelling to Cognitive Orchestration: A Paradigm Shift in Aircraft Predictive Maintenance</t>
  </si>
  <si>
    <t>10.1007/s00603-024-04044-9</t>
  </si>
  <si>
    <t>Building a 3D Digital Twin for Geotechnical Monitoring at San Xavier Mine</t>
  </si>
  <si>
    <t>10.3760/cma.j.cn113565-20250226-00049</t>
  </si>
  <si>
    <t>Construction and practice of digital medical laboratory management system: taking National Clinical Research Center for Aging and Medicine (HuaShan) as an example; [数字化医学实验室管理系统的建设与实践: 以国家老年医学中心(华山)为例]</t>
  </si>
  <si>
    <t>10.1007/s13132-026-03365-0</t>
  </si>
  <si>
    <t>Review of the Effects of Digital Transformation on the Construction Industry</t>
  </si>
  <si>
    <t>10.1093/jcde/qwag011</t>
  </si>
  <si>
    <t>Real-time multi-worker identification and action recognition system employing multimodal deep learning for human digital twin</t>
  </si>
  <si>
    <t>10.12438/cst.2026-0041</t>
  </si>
  <si>
    <t>Green, safe, efficient and low-carbon development path of open-pit coal mines in China during the 15th Five-Year Plan period; [“十五五”时期我国露天煤矿安全高效低碳绿色发展路径]</t>
  </si>
  <si>
    <t>10.1109/JIOT.2026.3703862</t>
  </si>
  <si>
    <t>Artificial Intelligence of Things as a Foundation for Agentic AI Systems: Architectures, Applications, and Challenges</t>
  </si>
  <si>
    <t>10.3390/su17104537</t>
  </si>
  <si>
    <t>The Future of Construction: Integrating Innovative Technologies for Smarter Project Management</t>
  </si>
  <si>
    <t>10.1080/15623599.2026.2651946</t>
  </si>
  <si>
    <t>Designing a BIM-enhanced digital twin architecture for construction pollution management in building renovation projects</t>
  </si>
  <si>
    <t>10.1016/j.inffus.2025.103534</t>
  </si>
  <si>
    <t>A data-driven digital twin model for bridge health monitoring using feature fusion and unsupervised deep learning</t>
  </si>
  <si>
    <t>10.1007/s44443-026-00806-3</t>
  </si>
  <si>
    <t>A taxonomy and survey of integrating emerging technologies to intelligent transportation systems</t>
  </si>
  <si>
    <t>10.3390/math14030558</t>
  </si>
  <si>
    <t>Mathematical Framework for Airport as Cognitive Digital Twin of Aviation Ecosystem</t>
  </si>
  <si>
    <t>10.3390/su17052019</t>
  </si>
  <si>
    <t>Data Science and AI for Sustainable Futures: Opportunities and Challenges</t>
  </si>
  <si>
    <t>10.1016/j.enbuild.2025.116938</t>
  </si>
  <si>
    <t>Environmental impacts of standard building renovations: City-level extrapolation from a real case study in Spain</t>
  </si>
  <si>
    <t>10.1016/j.future.2025.108267</t>
  </si>
  <si>
    <t>TrustFLow: A traceable federated learning framework to enable trustworthy digital twins</t>
  </si>
  <si>
    <t>10.1016/j.applthermaleng.2026.130714</t>
  </si>
  <si>
    <t>Data-driven digital twin models for heat pumps serving both space heating and domestic hot water</t>
  </si>
  <si>
    <t>10.1038/s41598-026-58063-3</t>
  </si>
  <si>
    <t>Multi-line LiDAR 3D construction environment modeling and BIM consistency update method for digital twins</t>
  </si>
  <si>
    <t>10.1016/j.autcon.2026.107057</t>
  </si>
  <si>
    <t>Camera-relocalization-driven monocular 3D safety monitoring system for crane operations</t>
  </si>
  <si>
    <t>10.1061/JITSE4.ISENG-2605</t>
  </si>
  <si>
    <t>Exploring the Adoption of Construction Technologies in Infrastructure Projects: Bridging Perceptions of Experts with Real Project Data</t>
  </si>
  <si>
    <t>10.1016/j.istruc.2026.111897</t>
  </si>
  <si>
    <t>Shear capacity design method for vertical joints in wind turbine concrete towers under combined bending-shear loads</t>
  </si>
  <si>
    <t>10.26782/jmcms.spl.13/2026.05.00006</t>
  </si>
  <si>
    <t>PROBLEMS OF PRESERVATION, RECONSTRUCTION AND RESTORATION (ADAPTATION) OF OBJECTS OF CULTURAL HERITAGE OF INDUSTRIAL PURPOSE</t>
  </si>
  <si>
    <t>10.3390/jmse14020154</t>
  </si>
  <si>
    <t>Three-Dimensional Scanning-Based Retrofitting of Ballast Water Treatment Systems for Enhanced Marine Environmental Protection</t>
  </si>
  <si>
    <t>10.11999/JEIT251246</t>
  </si>
  <si>
    <t>Intelligent Unmanned Aerial Vehicles for Low-altitude Economy: A Review of the Technology Framework and Future Prospects; [低空经济赋能者：智能无人机技术体系综述与展望]</t>
  </si>
  <si>
    <t>10.20965/ijat.2026.p0288</t>
  </si>
  <si>
    <t>Integration of Three-Dimensional Point Clouds and Sensing Data for Digital Twin-Oriented Construction Management</t>
  </si>
  <si>
    <t>10.1016/j.knosys.2026.116950</t>
  </si>
  <si>
    <t>A knowledge-based approach to UAV path planning for bridge maintenance in a digital twin environment</t>
  </si>
  <si>
    <t>10.1680/jbren.24.00014</t>
  </si>
  <si>
    <t>State-of-Art review of resilience of bridges and bridge networks</t>
  </si>
  <si>
    <t>10.1016/j.oceaneng.2025.122751</t>
  </si>
  <si>
    <t>Real-time simulation for deep-sea mining system with sea trial validation</t>
  </si>
  <si>
    <t>10.3390/app15158505</t>
  </si>
  <si>
    <t>Multi-Modal Excavator Activity Recognition Using Two-Stream CNN-LSTM with RGB and Point Cloud Inputs</t>
  </si>
  <si>
    <t>NOT PROVIDED in source markdown</t>
  </si>
  <si>
    <t>AI-DRIVEN DIGITAL TWIN OPTIMIZATION FOR REDUCING THERMOMECHANICAL STRESS IN TRANSPORT COMPONENTS</t>
  </si>
  <si>
    <t>10.1108/ECAM-04-2025-0604</t>
  </si>
  <si>
    <t>Predictive digital monitoring of construction resources: an integrated digital twin solution</t>
  </si>
  <si>
    <t>10.1016/j.array.2026.100721</t>
  </si>
  <si>
    <t>Integrating agentic AI and digital twins for intelligent decision-making systems</t>
  </si>
  <si>
    <t>10.3390/su17219395</t>
  </si>
  <si>
    <t>Cognitive-Inspired Multimodal Learning Framework for Hazard Identification in Highway Construction with BIM–GIS Integration</t>
  </si>
  <si>
    <t>10.1016/j.aei.2026.104500</t>
  </si>
  <si>
    <t>An IFC-based framework for semantic integration of BIM and mobile crowd sensing in real-time evacuation routing</t>
  </si>
  <si>
    <t>10.3390/buildings15173022</t>
  </si>
  <si>
    <t>Rock Joint Segmentation in Drill Core Images via a Boundary-Aware Token-Mixing Network</t>
  </si>
  <si>
    <t>10.1016/j.aei.2025.104209</t>
  </si>
  <si>
    <t>Cross-domain adaptive digital twin modelling for dam structures using graph attention networks</t>
  </si>
  <si>
    <t>10.1007/s11837-026-08436-w</t>
  </si>
  <si>
    <t>Assessment of Material Degradation Under Climate Change: Modeling and Reliability-Based Evaluation of Reinforced Concrete Durability</t>
  </si>
  <si>
    <t>10.3390/buildings15040520</t>
  </si>
  <si>
    <t>Analyzing Research Trends in Smart Construction Safety: A Topic Modeling Approach</t>
  </si>
  <si>
    <t>10.1016/j.undsp.2026.03.010</t>
  </si>
  <si>
    <t>Digital design and safety assessment of foundation pit excavation by BIM-FEM</t>
  </si>
  <si>
    <t>10.1680/jensu.24.00136</t>
  </si>
  <si>
    <t>Development of a digital twin-driven bridge construction safety monitoring system</t>
  </si>
  <si>
    <t>DIGITAL TWIN TRAINING AND LEGAL GOVERNANCE FOR HUMANOID POLICE ROBOTS IN PATROL AND ARREST-SUPPORT</t>
  </si>
  <si>
    <t>10.1016/j.aei.2026.105166</t>
  </si>
  <si>
    <t>Adaptive job scheduling and resource allocation for industrialized construction processes using digital twin and reinforcement learning</t>
  </si>
  <si>
    <t>10.3390/su18010133</t>
  </si>
  <si>
    <t>Hazard- and Fairness-Aware Evacuation with Grid-Interactive Energy Management: A Digital-Twin Controller for Life Safety and Sustainability</t>
  </si>
  <si>
    <t>10.3390/buildings15030396</t>
  </si>
  <si>
    <t>Integration of Emerging Technologies with Construction Practices in Australia</t>
  </si>
  <si>
    <t>10.1016/j.aitf.2025.100023</t>
  </si>
  <si>
    <t>An AI-Driven Thermal-Fluid Testbed for Advanced Small Modular Reactors: Integration of Digital Twin and Large Language Models</t>
  </si>
  <si>
    <t>The Digital Evolution of the Maritime Industry: Unleashing the Power of IoT and Cloud Computing</t>
  </si>
  <si>
    <t>10.3390/cli14020034</t>
  </si>
  <si>
    <t>The Patos Lagoon Digital Twin—A Framework for Assessing and Mitigating Impacts of Extreme Flood Events in Southern Brazil</t>
  </si>
  <si>
    <t>10.1109/ACCESS.2026.3694321</t>
  </si>
  <si>
    <t>Al-Driven Resilience and Risk Analysis in Disaster-Prone Transport Networks</t>
  </si>
  <si>
    <t>10.1007/s42452-026-08789-6</t>
  </si>
  <si>
    <t>A dual-loop collaborative framework for smart construction sites</t>
  </si>
  <si>
    <t>10.1016/j.ress.2025.112126</t>
  </si>
  <si>
    <t>Risk assessment for modern industry</t>
  </si>
  <si>
    <t>10.4028/p-bRI8lY</t>
  </si>
  <si>
    <t>Simulation and Optimization of Heating Networks</t>
  </si>
  <si>
    <t>10.1371/journal.pone.0330291</t>
  </si>
  <si>
    <t>Research on a virtual-real fusion experimental system for the cutting part of a boom-type roadheader</t>
  </si>
  <si>
    <t>10.1057/s41278-025-00326-3</t>
  </si>
  <si>
    <t>Port resilience: a systematic literature review</t>
  </si>
  <si>
    <t>10.1177/13694332251365970</t>
  </si>
  <si>
    <t>A knowledge foundation and prospect review on thermal response of bridges</t>
  </si>
  <si>
    <t>10.1016/j.autcon.2025.106108</t>
  </si>
  <si>
    <t>Enhancing worker monitoring and management on large-scale construction sites with UAVs and digital twin modeling</t>
  </si>
  <si>
    <t>10.1016/j.ijhydene.2025.153076</t>
  </si>
  <si>
    <t>Autonomous control systems for technological processes in the field of hydrogen energy</t>
  </si>
  <si>
    <t>10.1186/s40708-024-00247-6</t>
  </si>
  <si>
    <t>Blockchain-enabled digital twin system for brain stroke prediction</t>
  </si>
  <si>
    <t>10.1061/JCEMD4.COENG-15772</t>
  </si>
  <si>
    <t>Digital Safety Navigation for Tower Crane Climbing Process from a Systematic Perspective: Risk Identification, Safety Information Requirements, and Related Intelligent Platform</t>
  </si>
  <si>
    <t>10.1016/j.autcon.2025.105972</t>
  </si>
  <si>
    <t>Efficient low-collision UAV-based automated structural surface inspection using geometric digital twin and voxelized obstacle information</t>
  </si>
  <si>
    <t>10.2205/2025ES001035</t>
  </si>
  <si>
    <t>Russian Scientific Experience of Using Web-based Geoinformation Systems in Seismology; [Отечественный научный опыт использования веб-геоинформационных систем в сейсмологии]</t>
  </si>
  <si>
    <t>10.2298/CSIS240925058D</t>
  </si>
  <si>
    <t>Data-Driven Traffic Management: Enhancing Road Safety through Integrated Digital Twin Technology</t>
  </si>
  <si>
    <t>10.3390/s26154992</t>
  </si>
  <si>
    <t>Vision-Based Digital Twin and AI Agent Framework for Low-Cost, Explainable Indoor Building Inspection and Safety Assessment</t>
  </si>
  <si>
    <t>10.1038/s41598-026-47104-6</t>
  </si>
  <si>
    <t>Digital twin-assisted blockchain IoT security model using contrastive and causal learning techniques</t>
  </si>
  <si>
    <t>10.1016/j.scs.2026.107860</t>
  </si>
  <si>
    <t>A fast-response framework for real-time 3D wind field reconstruction: Supporting urban air mobility applications in complex environments</t>
  </si>
  <si>
    <t>10.1016/j.apples.2025.100240</t>
  </si>
  <si>
    <t>Neural network-based metamodel for scaffolding behavior: Application for structural load analysis and safety enhancement</t>
  </si>
  <si>
    <t>10.1038/s41598-025-10901-6</t>
  </si>
  <si>
    <t>The Chicago Piles unearthed</t>
  </si>
  <si>
    <t>10.36680/j.itcon.2025.049</t>
  </si>
  <si>
    <t>A REVIEW OF THE APPLICATION OF ONTOLOGIES AND SEMANTIC WEB FOR BUILDING INFORMATION MODELLING AND DIGITAL TWINS BASED CONSTRUCTION MANAGEMENT</t>
  </si>
  <si>
    <t>10.1109/TCCN.2026.3658762</t>
  </si>
  <si>
    <t>Edge General Intelligence Through World Models, Large Language Models, and Agentic AI: Fundamentals, Solutions, and Challenges</t>
  </si>
  <si>
    <t>10.3390/cmd6020018</t>
  </si>
  <si>
    <t>Infrastructure Lifecycle Corrosion Management Using AI Analytics and Digital Twins</t>
  </si>
  <si>
    <t>10.1016/j.iot.2026.101941</t>
  </si>
  <si>
    <t>IoT-enabled human-cyber-physical interaction and decision system for dynamic social network intervention: an application to drug transmission</t>
  </si>
  <si>
    <t>10.1016/j.jare.2025.02.029</t>
  </si>
  <si>
    <t>Digital twin-driven operational CycleGAN-based multiple virtual-physical mappings for remaining useful life prediction under limited life cycle data</t>
  </si>
  <si>
    <t>10.1007/s00371-025-04131-0</t>
  </si>
  <si>
    <t>Digital twin-enabled deep learning for real-time fire situation awareness</t>
  </si>
  <si>
    <t>10.32738/JEPPM-2026-111</t>
  </si>
  <si>
    <t>Dynamic Cost Control of Construction Engineering Projects Using Multi-Source Data Fusion</t>
  </si>
  <si>
    <t>10.14569/IJACSA.2025.0161239</t>
  </si>
  <si>
    <t>Towards Quantum-Accelerated Urban Systems: Integrating Quantum Computing into Saudi Smart City Megaprojects Architecting Quantum-Smart Infrastructure for Deployment in Vision 2030 Initiatives</t>
  </si>
  <si>
    <t>10.1016/j.enbuild.2026.117865</t>
  </si>
  <si>
    <t>Autonomy is not enough: why agentic AI in the built environment demands governance</t>
  </si>
  <si>
    <t>10.3390/systems13090770</t>
  </si>
  <si>
    <t>When BIM Meets MBSE: Building a Semantic Bridge for Infrastructure Data Integration</t>
  </si>
  <si>
    <t>10.1007/s10664-025-10713-2</t>
  </si>
  <si>
    <t>Investigating operational technology attacks as code</t>
  </si>
  <si>
    <t>10.3390/app15031202</t>
  </si>
  <si>
    <t>Structural Health Assessment of a Reinforced Concrete Building in Valparaíso Under Seismic and Environmental Shaking: A Foundation for IoT-Driven Digital Twin Systems</t>
  </si>
  <si>
    <t>10.3390/computers14080321</t>
  </si>
  <si>
    <t>Electric Network Frequency as Environmental Fingerprint for Metaverse Security: A Comprehensive Survey</t>
  </si>
  <si>
    <t>10.15587/1729-4061.2026.356915</t>
  </si>
  <si>
    <t>CONSTRUCTION OF A DIGITAL TWIN MODEL FOR A SYSTEM THAT MONITORS THE TECHNICAL CONDITION OF A NUCLEAR POWER PLANT POWER UNIT</t>
  </si>
  <si>
    <t>10.3390/s26061849</t>
  </si>
  <si>
    <t>Measurement-Based Optimization of a Lightweight Upper-Extremity Rehabilitation Exoskeleton for Task-Oriented Treatment</t>
  </si>
  <si>
    <t>10.1016/j.knosys.2026.116738</t>
  </si>
  <si>
    <t>Incremental tensor-train decomposition for real-time analysis of high-dimensional infrastructure data</t>
  </si>
  <si>
    <t>10.3390/buildings16101982</t>
  </si>
  <si>
    <t>Digital Twin-Enabled Robust Parallel Control of Construction Engineering Equipment Under Uncertainty</t>
  </si>
  <si>
    <t>10.1177/14759217261444391</t>
  </si>
  <si>
    <t>Toward digital twin-enabled real-time structural damage detection via POD-assisted Bayesian estimation</t>
  </si>
  <si>
    <t>How IoT, edge computing and digital twins empower process safety</t>
  </si>
  <si>
    <t>10.3390/buildings15091428</t>
  </si>
  <si>
    <t>Exploring the Impact of Construction 4.0 on Industrial Relations: A Comprehensive Thematic Synthesis of Workforce Transformation in the Digital Era of Construction</t>
  </si>
  <si>
    <t>10.1680/jstbu.25.00086</t>
  </si>
  <si>
    <t>Research on the intelligent construction of prefabricated building based on digital twin</t>
  </si>
  <si>
    <t>10.3390/smartcities9020036</t>
  </si>
  <si>
    <t>Tackling the Complexity of Emergency Response Systems: Creating Transport-Focused Digital Twins</t>
  </si>
  <si>
    <t>10.1016/j.istruc.2026.111150</t>
  </si>
  <si>
    <t>The knowledge-driven intelligent diagnosis and monitoring of spatial joint security status</t>
  </si>
  <si>
    <t>10.1016/j.pdisas.2026.100557</t>
  </si>
  <si>
    <t>Disaster evacuation of the old city of Nicosia</t>
  </si>
  <si>
    <t>10.19721/j.cnki.1001-7372.2026.01.003</t>
  </si>
  <si>
    <t>Smart Virtual Sensing for Digital Twins in Engineering Structures; [面向工程结构数字孪生的智能虚拟传感技术]</t>
  </si>
  <si>
    <t>10.1016/j.knosys.2025.114492</t>
  </si>
  <si>
    <t>TransPhyX: A data-driven method for dynamic physical field prediction in stochastic load time-series</t>
  </si>
  <si>
    <t>10.3846/jcem.2026.25811</t>
  </si>
  <si>
    <t>TRANSFORMING RAILWAY TRANSPORTATION: THE ROLE OF EMERGING TECHNOLOGIES IN EFFICIENCY, SAFETY, AND SUSTAINABILITY</t>
  </si>
  <si>
    <t>10.1109/JSTARS.2026.3698148</t>
  </si>
  <si>
    <t>Joint Quality-Efficiency Optimization in Continuous Sampling Space for UAV-Based Autonomous Bridge Reconstruction</t>
  </si>
  <si>
    <t>10.3390/buildings15213879</t>
  </si>
  <si>
    <t>Mixed Reality-Based Multi-Scenario Visualization and Control in Automated Terminals: A Middleware and Digital Twin Driven Approach</t>
  </si>
  <si>
    <t>10.1016/j.scitotenv.2025.179930</t>
  </si>
  <si>
    <t>Digital twins for dynamic life cycle assessment in the built environment</t>
  </si>
  <si>
    <t>10.1016/j.autcon.2025.106718</t>
  </si>
  <si>
    <t>Efficient edge-cloud digital twin for real-time SHM with server-deployed FEA and fast particle swarm optimization</t>
  </si>
  <si>
    <t>10.3390/wevj16070395</t>
  </si>
  <si>
    <t>Bidirectional Adaptation of Shared Autonomous Vehicles and Old Towns’ Urban Spaces: The Views of Residents on the Present</t>
  </si>
  <si>
    <t>10.1016/j.envsoft.2025.106853</t>
  </si>
  <si>
    <t>Hydro3DJS: A modular web-based library for real-time 3D visualization of watershed dynamics and digital twin integration</t>
  </si>
  <si>
    <t>10.1007/s00158-026-04324-8</t>
  </si>
  <si>
    <t>Real-time sensing digital twin for aerospace structural health monitoring</t>
  </si>
  <si>
    <t>10.1016/j.rcns.2025.08.001</t>
  </si>
  <si>
    <t>Digital twin-based structural health monitoring and measurements of dynamic characteristics in balanced cantilever bridge</t>
  </si>
  <si>
    <t>10.1109/ACCESS.2026.3658944</t>
  </si>
  <si>
    <t>AI and Machine Learning-Enabled Cognitive Digital Twin for Crime Hotspot Detection and Analysis</t>
  </si>
  <si>
    <t>10.3390/app15137454</t>
  </si>
  <si>
    <t>A Digital Twin for Intelligent Transportation Systems in Interurban Scenarios</t>
  </si>
  <si>
    <t>10.1007/s10207-025-01113-0</t>
  </si>
  <si>
    <t>Digital Twin-Enabled Incident Detection and Response: A Systematic Review of Critical Infrastructures Applications</t>
  </si>
  <si>
    <t>10.1007/s10958-025-07858-2</t>
  </si>
  <si>
    <t>Hybrid Numerical Method for the Evaluation of the Seismic Protection of Buildings Based on Digital Twins</t>
  </si>
  <si>
    <t>10.1007/s11709-025-1213-4</t>
  </si>
  <si>
    <t>Designing automated digital safety systems for building health monitoring on construction sites</t>
  </si>
  <si>
    <t>10.1016/j.oceaneng.2025.121881</t>
  </si>
  <si>
    <t>A comprehensive survey of battery energy in maritime transportation: Trends, challenges, and future perspectives</t>
  </si>
  <si>
    <t>10.1016/j.engappai.2025.110394</t>
  </si>
  <si>
    <t>Smart building evacuation by tracking multi-camera network and explainable Re-identification model</t>
  </si>
  <si>
    <t>10.3390/app15042092</t>
  </si>
  <si>
    <t>IoT-Driven Resilience Monitoring: Case Study of a Cyber-Physical System</t>
  </si>
  <si>
    <t>10.1080/15732479.2026.2656943</t>
  </si>
  <si>
    <t>Digital twin-driven multi-metrics condition assessment of eccentrically loaded reinforced concrete columns</t>
  </si>
  <si>
    <t>AI based surrogate model for digital twins in structural health monitoring of reinforced concrete structures</t>
  </si>
  <si>
    <t>10.5370/KIEE.2026.75.1.193</t>
  </si>
  <si>
    <t>A Study on the Development of an IoT Sensor Data Acquisition Device for Railway trackside facility maintenance and worker safety</t>
  </si>
  <si>
    <t>10.38094/jastt605638</t>
  </si>
  <si>
    <t>Leveraging Steel Structures to Measure Real-Time Environmental Hazardous Seismic Activity: A Comprehensive Review</t>
  </si>
  <si>
    <t>10.3390/buildings15030366</t>
  </si>
  <si>
    <t>Intelligent Monitoring System for Deep Foundation Pit Based on Digital Twin</t>
  </si>
  <si>
    <t>10.3390/app16041834</t>
  </si>
  <si>
    <t>Multi-Source 3D Documentation for Preserving Cultural Heritage</t>
  </si>
  <si>
    <t>10.3390/buildings15132318</t>
  </si>
  <si>
    <t>On-Site Safety Inspections Through Marker-Less Augmented Reality and Blockchain Notarization of BIM-Based Processes †</t>
  </si>
  <si>
    <t>10.3390/app15073434</t>
  </si>
  <si>
    <t>Future Outdoor Safety Monitoring: Integrating Human Activity Recognition with the Internet of Physical–Virtual Things</t>
  </si>
  <si>
    <t>10.3178/hrl.25-00023</t>
  </si>
  <si>
    <t>Proposal of digital twin approach in cooperation with flood analysis for small and medium rivers</t>
  </si>
  <si>
    <t>10.1051/ijmqe/2025014</t>
  </si>
  <si>
    <t>Research on an intelligent monitoring system for the entire tunnel construction process based on IoT and digital twin</t>
  </si>
  <si>
    <t>10.3390/systems14010002</t>
  </si>
  <si>
    <t>A Model-Based Systems Engineering Framework for Reassessing Structural Capacity Integrating Health Monitoring Data</t>
  </si>
  <si>
    <t>10.1002/adc2.70064</t>
  </si>
  <si>
    <t>Multi-Agent and Forecast-Conscious DRL-MPC Framework of Safe and Efficient EV Fast-Charging With Digital Twins</t>
  </si>
  <si>
    <t>10.3390/su18083808</t>
  </si>
  <si>
    <t>Responsive Architecture and Fire Safety: A Comparative Review of Regulatory Regimes in the USA, Asia, and the EU/UK, with Implications for Poland in the Context of BIM/DT/AI/IoT</t>
  </si>
  <si>
    <t>10.1109/TMC.2026.3692307</t>
  </si>
  <si>
    <t>Digital Twin-Assisted 3D Channel Knowledge Map Inference and Multi-Type Base Station Deployment Optimization for Urban Low-Altitude Economy</t>
  </si>
  <si>
    <t>10.1109/TVCG.2026.3686923</t>
  </si>
  <si>
    <t>Virtual Reality Techniques in Workplace Design and Ergonomic Assessment</t>
  </si>
  <si>
    <t>10.3390/buildings15213856</t>
  </si>
  <si>
    <t>Application of Digital Twin Platform for Prefabricated Assembled Superimposed Stations Based on SERIC and IoT Integration</t>
  </si>
  <si>
    <t>10.3390/buildings16102034</t>
  </si>
  <si>
    <t>A Fixed-Budget Study of Real–Synthetic Data Mixing for PPE Detection in Construction</t>
  </si>
  <si>
    <t>10.1016/j.cacaie.2026.100169</t>
  </si>
  <si>
    <t>Lifecycle updating of rockfill dam deformation models via dependence-aware sequential Bayesian inference with posterior-guided continual surrogate learning</t>
  </si>
  <si>
    <t>10.3390/app16010455</t>
  </si>
  <si>
    <t>Seismic Failure Mechanism Shift in RC Buildings Revealed by NDT-Supported, Field-Calibrated BIM-Based Models</t>
  </si>
  <si>
    <t>10.3390/su17177781</t>
  </si>
  <si>
    <t>Research on Polyurethane-Stabilized Soils and Development of Quantitative Indicators for Integration into BIM-Based Project Planning</t>
  </si>
  <si>
    <t>10.1016/j.jii.2026.101071</t>
  </si>
  <si>
    <t>Cognitive collaboration: A design methodology for future-oriented intelligent industrial systems</t>
  </si>
  <si>
    <t>10.1109/JIOT.2025.3631090</t>
  </si>
  <si>
    <t>Trends and Frontiers of Emerging Technologies in Oil and Gas: A Scientometric Perspective</t>
  </si>
  <si>
    <t>10.3390/app16104964</t>
  </si>
  <si>
    <t>The Challenge of Machine Learning and Artificial Intelligence in the Construction Sector: The Lesson Learned from the Rome Technopole Project</t>
  </si>
  <si>
    <t>10.3390/app15116009</t>
  </si>
  <si>
    <t>Digital Twin-Based and Knowledge Graph-Enhanced Emergency Response in Urban Infrastructure Construction</t>
  </si>
  <si>
    <t>10.1016/j.conbuildmat.2025.143383</t>
  </si>
  <si>
    <t>A multi-module deep learning framework with graph-based network and crack attention for tunnel lining crack segmentation from LiDAR point cloud</t>
  </si>
  <si>
    <t>10.3390/technologies14070386</t>
  </si>
  <si>
    <t>Trustworthy Companion AI for Human-Aware Transition of Control: Motivation, Architecture, and Research Roadmap</t>
  </si>
  <si>
    <t>10.1061/JCCEE5.CPENG-6190</t>
  </si>
  <si>
    <t>Scenario Modeling for Urban Road Emergency Management: A Cognitive Digital Twin-Based Method</t>
  </si>
  <si>
    <t>10.3390/f16111661</t>
  </si>
  <si>
    <t>A Semantic Digital Twin-Driven Framework for Multi-Source Data Integration in Forest Fire Prediction and Response</t>
  </si>
  <si>
    <t>10.1108/SASBE-08-2024-0312</t>
  </si>
  <si>
    <t>Integrated BIM, GIS and interoperable digital technologies in lifecycle management of building construction projects: systematic literature review</t>
  </si>
  <si>
    <t>10.1007/s40864-026-00273-z</t>
  </si>
  <si>
    <t>TunnelSDF-FilterNet: A Domain-Aware Neural Framework for High-Fidelity 3D Reconstruction of Railway Tunnels</t>
  </si>
  <si>
    <t>10.1016/j.iot.2025.101763</t>
  </si>
  <si>
    <t>Robust priority aware multi-criterion offloading in digital twin UAVs networks</t>
  </si>
  <si>
    <t>10.19606/j.cnki.jmst.2025115</t>
  </si>
  <si>
    <t>A review of detection technology for structural diseases in metro shield tunnels; [地铁盾构隧道结构病害检测技术综述]</t>
  </si>
  <si>
    <t>10.46690/ager.2026.05.07</t>
  </si>
  <si>
    <t>Multiscale energy and mass transport for a sustainable geo-energy future</t>
  </si>
  <si>
    <t>10.1016/j.istruc.2025.109158</t>
  </si>
  <si>
    <t>Intelligent safety control modeling and construction process control of steel mesh frame structures</t>
  </si>
  <si>
    <t>10.1177/14727978241305755</t>
  </si>
  <si>
    <t>Investigating the synergistic effects of temporal knowledge graphs and digital twin technologies to enhance situational awareness decision-making in smart cities</t>
  </si>
  <si>
    <t>10.1038/s44401-026-00109-9</t>
  </si>
  <si>
    <t>Enhancing the resilience of remote patient monitoring and hospital-at-home systems: a digital-twin-based framework</t>
  </si>
  <si>
    <t>10.3390/app16083620</t>
  </si>
  <si>
    <t>Digital Twin Framework for Structural Health Monitoring of Transmission Towers: Integrating BIM, IoT and FEM for Wind–Flood Multi-Hazard Simulation</t>
  </si>
  <si>
    <t>10.3390/s26041100</t>
  </si>
  <si>
    <t>Digitalization and Automation of Runway Inspection Using Unmanned Aerial Vehicles</t>
  </si>
  <si>
    <t>10.1016/j.simpat.2026.103298</t>
  </si>
  <si>
    <t>Multi-road-user simulation platform for traffic safety analysis: Platform design and applications</t>
  </si>
  <si>
    <t>10.1021/acs.energyfuels.6c00950</t>
  </si>
  <si>
    <t>Physics-Informed Hybrid Transformer with Bayesian Optimization for Intelligent Geological CO2 Sequestration Modeling</t>
  </si>
  <si>
    <t>10.15622/ia.25.3.8</t>
  </si>
  <si>
    <t>USING A DIGITAL TWIN FOR CYBER THREAT DETECTION IN INTELLIGENT POWER GRID CONTROL SYSTEMS; [ИСПОЛЬЗОВАНИЕ ЦИФРОВОГО ДВОЙНИКА ДЛЯ ОБНАРУЖЕНИЯ КИБЕРУГРОЗ В СИСТЕМАХ УПРАВЛЕНИЯ ИНТЕЛЛЕКТУАЛЬНЫМИ ЭНЕРГОСЕТЯМИ]</t>
  </si>
  <si>
    <t>10.1016/j.jmsy.2025.07.018</t>
  </si>
  <si>
    <t>Multi-fidelity digital twin based optimization for aircraft overhaul shop scheduling</t>
  </si>
  <si>
    <t>10.1016/j.pnucene.2025.105890</t>
  </si>
  <si>
    <t>Detailed transient modeling and FPGA-based real-time digital-twin development for sodium-cooled fast reactor</t>
  </si>
  <si>
    <t>10.1016/j.undsp.2026.05.004</t>
  </si>
  <si>
    <t>Vision-driven dynamic tunnel digital twin for real-time situation and emergency awareness</t>
  </si>
  <si>
    <t>10.1016/j.engstruct.2026.122345</t>
  </si>
  <si>
    <t>Stack-AttenLSTM: A surrogate deep learning model for sequential earthquake-flood structural response assessment of steel buildings</t>
  </si>
  <si>
    <t>10.3390/app151810222</t>
  </si>
  <si>
    <t>Digital Twin-Driven Sorting System for 3D Printing Farm</t>
  </si>
  <si>
    <t>10.1016/j.seta.2026.105225</t>
  </si>
  <si>
    <t>A digital twin-based approach for energy optimisation in medical gas systems in hospital intensive care units</t>
  </si>
  <si>
    <t>10.11834/jig.250231</t>
  </si>
  <si>
    <t>Parallel images: the theoretical foundation and multimodal vision applications; [平行图像:从理论框架到多模态智能视觉应用]</t>
  </si>
  <si>
    <t>10.1038/s44172-026-00637-0</t>
  </si>
  <si>
    <t>A closed-loop framework integrating robotic inspection and digital twins for fatigue prognosis of in-service steel bridges</t>
  </si>
  <si>
    <t>10.3390/buildings15091492</t>
  </si>
  <si>
    <t>Research on the Digital Twin System for Rotation Construction Monitoring of Cable-Stayed Bridge Based on MBSE</t>
  </si>
  <si>
    <t>10.3389/fbuil.2025.1713342</t>
  </si>
  <si>
    <t>The overlooked frontier of AI in construction: conversational, document-native automation for administrative workflows</t>
  </si>
  <si>
    <t>10.3390/buildings16030646</t>
  </si>
  <si>
    <t>Simultaneous Digital Twin: Chaining Climbing-Robot, Defect Segmentation, and Model Updating for Building Facade Inspection</t>
  </si>
  <si>
    <t>10.3390/app16136341</t>
  </si>
  <si>
    <t>Intelligent Traffic Control Strategies for Road Networks: A Taxonomy-Based Perspective on Methods, Applications, and Future Directions</t>
  </si>
  <si>
    <t>10.3390/act14090426</t>
  </si>
  <si>
    <t>Multibody Dynamics Simulation of Upper Extremity Rehabilitation Exoskeleton During Task-Oriented Exercises</t>
  </si>
  <si>
    <t>10.3390/jmse13122348</t>
  </si>
  <si>
    <t>Digital Twin Framework for Predictive Simulation and Decision Support in Ship Damage Control</t>
  </si>
  <si>
    <t>10.1109/ACCESS.2026.3684379</t>
  </si>
  <si>
    <t>Advancing Small Unmanned Aerial Systems Simulation Testing in Realistic Windy Conditions</t>
  </si>
  <si>
    <t>10.1016/j.enbuild.2026.116979</t>
  </si>
  <si>
    <t>Stakeholder-informed renovation digital twin for multi-domain monitoring: Pilot implementation and acceptance evaluation</t>
  </si>
  <si>
    <t>10.1007/s42452-026-08991-6</t>
  </si>
  <si>
    <t>Edge-cloud collaborative digital twin architecture for bridge structural health monitoring: multi-sensor fusion and anomaly detection algorithm design</t>
  </si>
  <si>
    <t>10.1007/s12665-025-12344-8</t>
  </si>
  <si>
    <t>Digital twin of underground research laboratory as a valuable instrument at early stages of a geological disposal programme</t>
  </si>
  <si>
    <t>10.1016/j.energy.2026.140990</t>
  </si>
  <si>
    <t>Digital twin and AI-driven smart adaptive walls for energy, comfort and carbon optimization in intelligent green buildings</t>
  </si>
  <si>
    <t>10.1016/j.engstruct.2026.122401</t>
  </si>
  <si>
    <t>A digital twin framework for damage detection and localization of self-sensed cured-in-place underground pipelines</t>
  </si>
  <si>
    <t>10.3390/app16041848</t>
  </si>
  <si>
    <t>Human-in-the-Loop Digital Twin Modeling for Smart Civil Infrastructure Operation and Maintenance</t>
  </si>
  <si>
    <t>10.3390/su18168269</t>
  </si>
  <si>
    <t>A Machine-Learning-Enhanced Geospatial Framework for Sustainable and Disaster-Resilient Infrastructure: Multi-Hazard Societal Impact Assessment in Sudan</t>
  </si>
  <si>
    <t>10.3390/su18041909</t>
  </si>
  <si>
    <t>BIM-Driven Digital Twin for Climate Change Adaptation and Resilience of Railway Overhead Line System</t>
  </si>
  <si>
    <t>10.1016/j.aei.2026.105085</t>
  </si>
  <si>
    <t>Reinforcement learning-based dynamic evacuation guidance for fire emergencies: Toward safety digital twins</t>
  </si>
  <si>
    <t>10.1007/s00163-026-00478-0</t>
  </si>
  <si>
    <t>A semantic-geometric digital twin framework for performance-driven design evaluation: methodology and application to civil aircraft cabins</t>
  </si>
  <si>
    <t>10.1007/s12008-026-02657-8</t>
  </si>
  <si>
    <t>Construction and realization of a digital twin experimental platform for crane bridge structure</t>
  </si>
  <si>
    <t>10.3389/fcomp.2025.1652190</t>
  </si>
  <si>
    <t>Explainable AI framework for psilocybin depression treatment optimization</t>
  </si>
  <si>
    <t>10.1115/1.4067270</t>
  </si>
  <si>
    <t>A Digital Twin Framework Utilizing Machine Learning for Robust Predictive Maintenance: Enhancing Tire Health Monitoring</t>
  </si>
  <si>
    <t>10.3390/app15084481</t>
  </si>
  <si>
    <t>Digital Twin-Driven Stability Optimization Framework for Large Underground Caverns</t>
  </si>
  <si>
    <t>10.1016/j.autcon.2025.106564</t>
  </si>
  <si>
    <t>Automating digitalization of engineered slopes to support interactive digital twin visualization</t>
  </si>
  <si>
    <t>10.37934/araset.53.2.263282</t>
  </si>
  <si>
    <t>Factors Affecting the Implementation of the Digital Twins in the Construction Industry: An Interpretive Structural Modelling Analysis</t>
  </si>
  <si>
    <t>10.3390/s26154976</t>
  </si>
  <si>
    <t>Integrated Physics-Informed Machine Learning Framework for Structural Damage Detection, Localization, and Severity Classification</t>
  </si>
  <si>
    <t>10.1016/j.strusafe.2026.102713</t>
  </si>
  <si>
    <t>Interpretable damage state-dependent fragility models for multi-hazard interactions based on Bayesian modeling and causal inference</t>
  </si>
  <si>
    <t>10.1177/03611981261441281</t>
  </si>
  <si>
    <t>Lessons Learned from the Real-World Deployment of Multisensor Fusion for Proactive Work Zone Safety Application</t>
  </si>
  <si>
    <t>10.1016/j.engstruct.2025.122061</t>
  </si>
  <si>
    <t>Edge-cloud collaborative digital twin for vibration anomaly detection and localization in high-rise buildings</t>
  </si>
  <si>
    <t>10.3390/app16020816</t>
  </si>
  <si>
    <t>Risk Visualization in Mining Processes Based on 3Dmine-3DEC Data Interoperability</t>
  </si>
  <si>
    <t>10.1007/s43621-026-03711-x</t>
  </si>
  <si>
    <t>Research on the pathways for high-quality development of the Longdong comprehensive energy and chemical industry base through new quality productivity</t>
  </si>
  <si>
    <t>10.1109/TASE.2026.3697962</t>
  </si>
  <si>
    <t>Integrating LLMs and Digital Twins for Adaptive Multi-Robot Task Allocation in Construction</t>
  </si>
  <si>
    <t>10.1016/j.autcon.2025.106147</t>
  </si>
  <si>
    <t>Digital twin-enabled safety monitoring system for seamless worker-robot collaboration in construction</t>
  </si>
  <si>
    <t>10.1016/j.autcon.2025.106079</t>
  </si>
  <si>
    <t>Digital twin model for analyzing deformation and seepage in high earth-rock dams</t>
  </si>
  <si>
    <t>10.1002/bit.70187</t>
  </si>
  <si>
    <t>Harnessing Cellular Feeling: Epigenetic to Mechanical Memory as a Framework for Stem Cell Manufacturing</t>
  </si>
  <si>
    <t>10.1371/journal.pone.0340274</t>
  </si>
  <si>
    <t>Application of construction site management based on digital twin and point cloud semantic segmentation technology</t>
  </si>
  <si>
    <t>10.1016/j.compind.2026.104501</t>
  </si>
  <si>
    <t>Digital twin-driven pose estimation and trajectory prediction for modular integrated construction on-site stacking via spatio-temporal feature fusion modeling</t>
  </si>
  <si>
    <t>10.1016/j.eng.2026.04.001</t>
  </si>
  <si>
    <t>Automatic Calibration of Structural Damage in Building Information Modeling Models with Robotic Process Automation</t>
  </si>
  <si>
    <t>10.32604/ee.2026.081099</t>
  </si>
  <si>
    <t>Dynamic Digital Twin Network for Real-Time Safety Monitoring and Predictive Risk Assessment of Hydrogen Refueling Infrastructure</t>
  </si>
  <si>
    <t>10.1016/j.jobe.2025.112126</t>
  </si>
  <si>
    <t>Digital twin safety analysis of large-span spatial structure based on airborne LiDAR</t>
  </si>
  <si>
    <t>10.1016/j.engappai.2026.114029</t>
  </si>
  <si>
    <t>Knowledge-data driven digital twin platform: intelligent prediction and control of tunnel face stability during large-diameter slurry shield construction</t>
  </si>
  <si>
    <t>10.3390/s26113431</t>
  </si>
  <si>
    <t>A 3D Indoor Modelling Method Using 360° Panoramic Images and Its Application to CCTV Camera Placement Optimization</t>
  </si>
  <si>
    <t>10.1134/S1063778825100151</t>
  </si>
  <si>
    <t>Participation of Architect-Engineer in the Life Cycle of Nuclear Power Plant: Tools, Opportunities, and Prospects</t>
  </si>
  <si>
    <t>10.3390/rs18081133</t>
  </si>
  <si>
    <t>Integrated Air–Ground Robotic System for Autonomous Post-Blast Operations in GNSS-Denied Tunnels</t>
  </si>
  <si>
    <t>10.1111/risa.15749</t>
  </si>
  <si>
    <t>Digital twins as a security risk?</t>
  </si>
  <si>
    <t>10.1016/j.radphyschem.2025.113080</t>
  </si>
  <si>
    <t>Extravasation modeling from a PET/CT imaging for a possible digital twin approach</t>
  </si>
  <si>
    <t>10.1016/j.isatra.2025.09.030</t>
  </si>
  <si>
    <t>A methodology to develop and manage data-driven models for marine engine long-term health prognosis</t>
  </si>
  <si>
    <t>10.3390/geosciences16020055</t>
  </si>
  <si>
    <t>Learning Debris Flow Dynamics with a Deep Learning Fourier Neural Operator: Application to the Rendinara–Morino Area</t>
  </si>
  <si>
    <t>10.3390/f17020235</t>
  </si>
  <si>
    <t>From Digital Motion Capture to Human-Friendly Forestry Machines: A Digital Human Modeling Framework—Case Study in Design and Prototyping of Forestry Machines</t>
  </si>
  <si>
    <t>10.1007/s13349-026-01120-2</t>
  </si>
  <si>
    <t>Real-time multivariate forecasting of rail temperature with TimeGPT-1</t>
  </si>
  <si>
    <t>10.1016/j.jpse.2025.100394</t>
  </si>
  <si>
    <t>Deep learning-based intelligent path planning system design for subsea pipeline laying</t>
  </si>
  <si>
    <t>10.3390/app152111723</t>
  </si>
  <si>
    <t>Methodological Approach for Determining the Aerodynamic Resistance Using 3D Scanning: Application in Mine Ventilation Modeling</t>
  </si>
  <si>
    <t>10.1016/j.jag.2025.104717</t>
  </si>
  <si>
    <t>A knowledge graph construction method based on co-occurrence for traffic entity prediction</t>
  </si>
  <si>
    <t>10.1016/j.comnet.2026.112217</t>
  </si>
  <si>
    <t>Reinforcement learning-based dynamic spectrum allocation for efficient cognitive radio network management</t>
  </si>
  <si>
    <t>10.1007/s11227-026-08767-0</t>
  </si>
  <si>
    <t>Adaptive reconfigurable software-defined vehicles (ARSDV): a deep-reinforcement-learning-based approach for optimized smart vehicle drive</t>
  </si>
  <si>
    <t>10.1016/j.aei.2025.103109</t>
  </si>
  <si>
    <t>Human–Robot collaboration in construction: Robot design, perception and Interaction, and task allocation and execution</t>
  </si>
  <si>
    <t>10.1016/j.jcsr.2026.110443</t>
  </si>
  <si>
    <t>Digital twin-based multiscale fatigue crack life prediction of rib-to-deck weld joints</t>
  </si>
  <si>
    <t>10.1016/j.jii.2026.101067</t>
  </si>
  <si>
    <t>Multi-dimensional framework for assessing digital twin maturity in construction machinery</t>
  </si>
  <si>
    <t>10.1038/s44172-025-00544-w</t>
  </si>
  <si>
    <t>A computer vision and dynamic strain fusion approach for urban bridge weigh-in-motion</t>
  </si>
  <si>
    <t>10.13135/2785-7867/12269</t>
  </si>
  <si>
    <t>Blockchain in agrifood supply chain achieving traceability and sustainability under the un 2030 agenda</t>
  </si>
  <si>
    <t>10.1016/j.measurement.2026.120781</t>
  </si>
  <si>
    <t>Online traffic load identification of high-speed railway bridge using time integration of strain monitoring data</t>
  </si>
  <si>
    <t>10.15951/j.tmgcxb.24040296</t>
  </si>
  <si>
    <t>Digital twin driven intelligent assessment method for structural safety; [数字孪生驱动的结构智能安全评估方法]</t>
  </si>
  <si>
    <t>10.1038/s41598-025-32370-7</t>
  </si>
  <si>
    <t>A scalable data driven geospatial framework for climate risk assessment</t>
  </si>
  <si>
    <t>10.1021/acsomega.5c10292</t>
  </si>
  <si>
    <t>Digital-Twin Enabled “Living Fresco”</t>
  </si>
  <si>
    <t>10.1016/j.dib.2026.112520</t>
  </si>
  <si>
    <t>A simulation-based dataset for anomaly detection in hydrogen blend transport networks</t>
  </si>
  <si>
    <t>10.3390/s25113362</t>
  </si>
  <si>
    <t>Methodology for Enablement of Human Digital Twins for Quality Assurance in the Aerospace Manufacturing Domain</t>
  </si>
  <si>
    <t>10.1016/j.iatssr.2026.02.004</t>
  </si>
  <si>
    <t>Modeling vehicle-cyclists' interactions to support automated driving and advanced driving assistance systems</t>
  </si>
  <si>
    <t>10.1016/j.autcon.2026.107264</t>
  </si>
  <si>
    <t>Automated optimization of visual sensor deployment for construction sites</t>
  </si>
  <si>
    <t>10.1109/TICPS.2026.3703363</t>
  </si>
  <si>
    <t>Self-Learning Digital Twin for Offshore Floating Platform Dynamics and Productivity</t>
  </si>
  <si>
    <t>10.1016/j.tust.2025.107017</t>
  </si>
  <si>
    <t>Toward intelligent tunnel construction: The universal discontinuity index for rapid probabilistic prediction of progressive batch rock-block failure—A theoretical, numerical, and experimental validation framework</t>
  </si>
  <si>
    <t>10.1007/s00500-025-10434-0</t>
  </si>
  <si>
    <t>Forest fire rescue framework to jointly optimize firefighting force configuration and facility layout: a case study of digital-twin simulation optimization</t>
  </si>
  <si>
    <t>10.1016/j.istruc.2025.110115</t>
  </si>
  <si>
    <t>Methodological framework for integrating structural health monitoring and digital-twin models for seismic assessment of heritage buildings: Case study of Basilica Maria Auxiliadora, Lima, Peru</t>
  </si>
  <si>
    <t>10.7716/aem.v15i3.3347</t>
  </si>
  <si>
    <t>Research on the Construction of the Yellow River Smart Ice Prevention Application</t>
  </si>
  <si>
    <t>10.1038/s41598-026-51462-6</t>
  </si>
  <si>
    <t>Exploring a comprehensive knowledge map for bridge management research: a Delphi-enhanced scientometric analysis</t>
  </si>
  <si>
    <t>10.1016/j.tust.2025.106711</t>
  </si>
  <si>
    <t>ITA − AITES tunnelling information modelling − A BIM approach for a sustainable life cycle management</t>
  </si>
  <si>
    <t>10.1061/JCCEE5.CPENG-6137</t>
  </si>
  <si>
    <t>LiDAR-Simulated Multimodal and Self-Supervised Contrastive Digital Twin Approach for Probabilistic Point Cloud Generation of Rail Fasteners</t>
  </si>
  <si>
    <t>10.1016/j.rineng.2026.111659</t>
  </si>
  <si>
    <t>Fully automated pavement crack quantification and PCI estimation via a digital twin-ready vision-based deep learning pipeline</t>
  </si>
  <si>
    <t>10.1016/j.rineng.2026.109387</t>
  </si>
  <si>
    <t>Model–data hybrid thermal management and health monitoring of the space station application fluid loop</t>
  </si>
  <si>
    <t>10.1007/s43452-026-01605-3</t>
  </si>
  <si>
    <t>Factor of safety prediction for open-pit slope using IoT-enabled hybrid machine learning digital twin with real-time adaptive updating</t>
  </si>
  <si>
    <t>10.19721/j.cnki.1001-7372.2026.04.007</t>
  </si>
  <si>
    <t>Advances in Structural System Modification Strengthening for Performance Enhancement of Existing Bridges; [桥梁结构性能提升的改变结构体系加固法研究进展]</t>
  </si>
  <si>
    <t>10.1007/s10846-024-02212-1</t>
  </si>
  <si>
    <t>Yara: An Ocean Virtual Environment for Research and Development of Autonomous Sailing Robots and Other Unmanned Surface Vessels</t>
  </si>
  <si>
    <t>10.11779/CJGE20250999</t>
  </si>
  <si>
    <t>Coping with risks of geological hazard chains; [地质灾害链风险防控]</t>
  </si>
  <si>
    <t>10.1038/s41598-026-53863-z</t>
  </si>
  <si>
    <t>A digital twin and deep-learning ensemble for cyber attack detection in industrial control systems at the IoT edge</t>
  </si>
  <si>
    <t>10.1016/j.jobe.2025.113792</t>
  </si>
  <si>
    <t>Digital twin models for architectural heritage conservation</t>
  </si>
  <si>
    <t>10.1016/j.autcon.2026.107102</t>
  </si>
  <si>
    <t>AI–Digital Twin framework for automated predictive maintenance of bonded insulated rail joints</t>
  </si>
  <si>
    <t>10.1007/s11227-026-08725-w</t>
  </si>
  <si>
    <t>STIF-DGCN: a spatiotemporal interactive fusion dual-graph convolutional network for multi-vehicle trajectory prediction</t>
  </si>
  <si>
    <t>10.3390/app16157658</t>
  </si>
  <si>
    <t>Digital Twin Model Reconstruction and Environmental Load Analysis of the Umbrella-Shaped Tensile Membrane Structure Based on 3D Point Clouds</t>
  </si>
  <si>
    <t>10.1016/j.autcon.2025.106373</t>
  </si>
  <si>
    <t>Real-time attitude control of large rectangular pipe-jacking machines using a mechanics-informed digital twin</t>
  </si>
  <si>
    <t>10.1016/j.aei.2025.103117</t>
  </si>
  <si>
    <t>AIoT-powered building digital twin for smart firefighting and super real-time fire forecast</t>
  </si>
  <si>
    <t>10.2196/93135</t>
  </si>
  <si>
    <t>Digital Twin–Based Virtual Hospital Platform for IT Outage Disaster Response Training: Implementation and Evaluation Study</t>
  </si>
  <si>
    <t>10.21837/pm.v24i43.2137</t>
  </si>
  <si>
    <t>INTEGRATED GIS AND DIGITAL TWIN–BASED FRAMEWORK FOR SCENARIO-BASED SEISMIC VULNERABILITY ASSESSMENT OF URBAN BUILDINGS: CONCEPTUAL ARCHITECTURE AND CASE STUDY OF TASHKENT</t>
  </si>
  <si>
    <t>10.1061/JCEMD4.COENG-15583</t>
  </si>
  <si>
    <t>Real-Time Digital Twin-Driven 3D Near-Miss Detection System at Construction Sites</t>
  </si>
  <si>
    <t>10.3390/app15031557</t>
  </si>
  <si>
    <t>Seeking a Definition of Digital Twins for Construction and Infrastructure Management</t>
  </si>
  <si>
    <t>10.1016/j.egyr.2025.09.008</t>
  </si>
  <si>
    <t>Can digital twin technology revolutionize wildfire management and energy resilience in Los Angeles?</t>
  </si>
  <si>
    <t>10.12438/cst.2025-1258</t>
  </si>
  <si>
    <t>Review on application of fully-mechanized mining equipment technologies based on digital twin; [基于数字孪生的综采装备技术应用研究综述]</t>
  </si>
  <si>
    <t>10.1109/ACCESS.2026.3716955</t>
  </si>
  <si>
    <t>Large AI Models Empowering Intelligent Manufacturing: Architecture, Evolution, and Prospects</t>
  </si>
  <si>
    <t>10.1061/JAEIED.AEENG-1979</t>
  </si>
  <si>
    <t>Investigating the Correlation and Synergy of Artificial Intelligence Techniques, Construction Technologies, and Their Key Benefits</t>
  </si>
  <si>
    <t>10.3390/su17104391</t>
  </si>
  <si>
    <t>AI-Enabled Digital Twin Framework for Safe and Sustainable Intelligent Transportation</t>
  </si>
  <si>
    <t>10.1016/j.eswa.2025.127866</t>
  </si>
  <si>
    <t>Research on visual operation and maintenance platform of accelerator neutron source driven by digital twins</t>
  </si>
  <si>
    <t>10.1016/j.autcon.2026.107041</t>
  </si>
  <si>
    <t>Lightweight graph retrieval-augmented generation agent for safety monitoring digital twins in small- and medium-scale hydropower projects</t>
  </si>
  <si>
    <t>10.3390/su18125920</t>
  </si>
  <si>
    <t>Responsive Architecture in Practice: BIM/DT/AI/IoT for Dynamic Fire Evacuation—A Comparative Case Study Analysis</t>
  </si>
  <si>
    <t>10.1109/ACCESS.2026.3705784</t>
  </si>
  <si>
    <t>A Declarative Geographic Knowledge Graph Framework for District-Scale Urban Infrastructure Analysis</t>
  </si>
  <si>
    <t>10.1016/j.istruc.2026.112998</t>
  </si>
  <si>
    <t>Challenging extremes: Engineering frontiers and strategic outlook for Antarctic wharf infrastructure</t>
  </si>
  <si>
    <t>10.1115/1.4070203</t>
  </si>
  <si>
    <t>Extended Reality in Industry and Healthcare: Current Trends and Future Perspectives</t>
  </si>
  <si>
    <t>10.1016/j.biortech.2026.135561</t>
  </si>
  <si>
    <t>Engineering programmable floating wetlands: synthetic biology, sensing, and AI control for water quality</t>
  </si>
  <si>
    <t>10.19721/j.cnki.1001-7372.2026.05.007</t>
  </si>
  <si>
    <t>Exploration of the Development Trend and Path of Road Engineering Technology; [道路工程技术发展方向与路径探究]</t>
  </si>
  <si>
    <t>10.3390/land14102007</t>
  </si>
  <si>
    <t>Impact of Climate Change and Other Disasters on Coastal Cultural Heritage: An Example from Greece</t>
  </si>
  <si>
    <t>10.9721/KJFST.2026.58.3.269</t>
  </si>
  <si>
    <t>A study on extended HACCP and preventive control systems for novel foods through comparison of global regulations; [글로벌 규제 비교를 통한 신소재 식품의 확장형 HACCP 및 예방관리 체계 고찰]</t>
  </si>
  <si>
    <t>10.1109/ACCESS.2026.3691986</t>
  </si>
  <si>
    <t>Deep Tabular and Sequential Models for Robust SCADA Cybersecurity Using the Custom-Built SCADANet Dataset</t>
  </si>
  <si>
    <t>10.1016/j.sftr.2026.102046</t>
  </si>
  <si>
    <t>Unveiling the future: A bibliometric review of emerging trends and hotspots in sustainable modern industrial chains</t>
  </si>
  <si>
    <t>10.1080/10095020.2025.2600195</t>
  </si>
  <si>
    <t>Digital twin-based evaluation of tactical interventions for high-density pedestrian environments</t>
  </si>
  <si>
    <t>10.1007/s44163-025-00245-5</t>
  </si>
  <si>
    <t>Prediction and optimization of structural performance of prefabricated bridges based on physical information neural network (PINN) and BlM</t>
  </si>
  <si>
    <t>10.3390/su18147466</t>
  </si>
  <si>
    <t>Responsive Architecture and Dynamic Fire-Safety Systems: A Conceptual–Bibliometric Framework for Performance-Based Design and Regulatory Transition</t>
  </si>
  <si>
    <t>10.1016/j.engappai.2025.112186</t>
  </si>
  <si>
    <t>Safety monitoring digital twin-based centralized model consolidation mechanism using dynamic node selection for multi-worker safety prediction</t>
  </si>
  <si>
    <t>10.1007/s10706-025-03612-2</t>
  </si>
  <si>
    <t>Reliability Analysis of Micropile-Supported Deep Excavations Using Multivariate Adaptive Regression Splines</t>
  </si>
  <si>
    <t>10.1504/EJIE.2026.10072994</t>
  </si>
  <si>
    <t>Using digital twin technology to conduct dynamic simulation of industry-education integration</t>
  </si>
  <si>
    <t>10.1016/j.istruc.2025.109052</t>
  </si>
  <si>
    <t>Automatic response prediction in a digital twin framework for regional bridges group</t>
  </si>
  <si>
    <t>10.1016/j.jenvman.2026.128908</t>
  </si>
  <si>
    <t>Affordable risk mapping and detection of asbestos-cement roofs via remote sensing: towards accessible urban digital twins in low- to middle-income countries</t>
  </si>
  <si>
    <t>10.1016/j.ijcce.2026.04.001</t>
  </si>
  <si>
    <t>Affective computing in smart city spaces: Research on emotion recognition and response mechanisms under a digital twin framework</t>
  </si>
  <si>
    <t>10.3390/systems14060658</t>
  </si>
  <si>
    <t>Digital Leadership and Safety Performance in Construction Projects: The Role of Employee Competence and Adaptive Leadership</t>
  </si>
  <si>
    <t>10.1007/s10999-025-09851-8</t>
  </si>
  <si>
    <t>Optimizing multilayer perceptron (MLP) hyperparameters via covariance matrix adaptation evolution strategy (CMA-ES) for predicting composite bending behavior</t>
  </si>
  <si>
    <t>10.1016/j.ymssp.2026.114291</t>
  </si>
  <si>
    <t>Online Adaptive Reinforcement Learning and Approximate Bayesian Computation (OARL-ABC) for real-time long-term calibration of rotordynamic models</t>
  </si>
  <si>
    <t>10.1109/OJVT.2026.3699572</t>
  </si>
  <si>
    <t>A Survey on LLM-Enabled UAV Digital Twins for Internet of Vehicles Systems</t>
  </si>
  <si>
    <t>10.1109/TITS.2026.3677347</t>
  </si>
  <si>
    <t>Satellite-Enabled Edge Intelligence for Climate-Resilient Emergency Mobility: A Survey of On-Orbit Edge Computing</t>
  </si>
  <si>
    <t>10.1016/j.autcon.2024.105834</t>
  </si>
  <si>
    <t>Digital twins in bridge engineering for streamlined maintenance and enhanced sustainability</t>
  </si>
  <si>
    <t>10.1109/OJVT.2025.3572405</t>
  </si>
  <si>
    <t>Roads Infrastructure Digital Twin: Advancing Situational Awareness Through Bandwidth-Aware 360° Video Streaming and Multi-View Clustering</t>
  </si>
  <si>
    <t>10.1016/j.engappai.2024.109104</t>
  </si>
  <si>
    <t>Advanced informatic technologies for intelligent construction: A review</t>
  </si>
  <si>
    <t>10.1061/JCCEE5.CPENG-5354</t>
  </si>
  <si>
    <t>Multisensory and BIM-Integrated Digital Twin to Improve Urban Excavation Safety</t>
  </si>
  <si>
    <t>10.3390/app8112239</t>
  </si>
  <si>
    <t>Design and implementation of a Smart IoT based building and town disaster management system in Smart City Infrastructure</t>
  </si>
  <si>
    <t>10.1016/j.aei.2023.102250</t>
  </si>
  <si>
    <t>A digital twin-based motion forecasting framework for preemptive risk monitoring</t>
  </si>
  <si>
    <t>10.1016/j.oceaneng.2022.111579</t>
  </si>
  <si>
    <t>Machine learning enhancement of manoeuvring prediction for ship Digital Twin using full-scale recordings</t>
  </si>
  <si>
    <t>10.3390/buildings14030702</t>
  </si>
  <si>
    <t>Unlocking the Potential of Digital Twins in Construction: A Systematic and Quantitative Review Using Text Mining</t>
  </si>
  <si>
    <t>10.1016/j.envsoft.2023.105868</t>
  </si>
  <si>
    <t>A digital twin model for contaminant fate and transport in urban and natural drainage networks with online state estimation</t>
  </si>
  <si>
    <t>10.1002/rob.22234</t>
  </si>
  <si>
    <t>Earthwork digital twin for teleoperation of an automated bulldozer in edge dumping</t>
  </si>
  <si>
    <t>10.3390/su151813922</t>
  </si>
  <si>
    <t>Methods and Applications of Safety Control for Cable Net Structure Considering Spatiotemporal Changes</t>
  </si>
  <si>
    <t>10.3390/rs15030721</t>
  </si>
  <si>
    <t>Towards Digital Twinning on the Web: Heterogeneous 3D Data Fusion Based on Open-Source Structure</t>
  </si>
  <si>
    <t>10.37610/dyo.v0i76.614</t>
  </si>
  <si>
    <t>Overall Introduction to the Framework of BIM-based Digital Twinning in Decision-making in Safety Management in Building Construction Industry</t>
  </si>
  <si>
    <t>10.1134/S1062739125010168</t>
  </si>
  <si>
    <t>Integrated Approach to Remote Monitoring of Waterworks Facilities in the Mining Industry Using Space and Digital Technologies</t>
  </si>
  <si>
    <t>10.1007/s13349-023-00751-z</t>
  </si>
  <si>
    <t>DInSAR–SBAS satellite monitoring of infrastructures: how temperature affects the “Ponte della Musica” case study</t>
  </si>
  <si>
    <t>10.3390/jmse12020324</t>
  </si>
  <si>
    <t>Navigating the Future: Developing Smart Fairways for Enhanced Maritime Safety and Efficiency</t>
  </si>
  <si>
    <t>10.3390/s24113347</t>
  </si>
  <si>
    <t>Mitigating Measurement Inaccuracies in Digital Twins of Construction Machinery through Multi-Objective Optimization</t>
  </si>
  <si>
    <t>10.3390/s23010391</t>
  </si>
  <si>
    <t>Track Geometry Prediction Using Three-Dimensional Recurrent Neural Network-Based Models Cross-Functionally Co-Simulated with BIM</t>
  </si>
  <si>
    <t>10.1016/j.pnucene.2022.104559</t>
  </si>
  <si>
    <t>Automation levels for nuclear reactor operations: A revised perspective</t>
  </si>
  <si>
    <t>10.2346/tire.21.190223</t>
  </si>
  <si>
    <t>Vision on a Digital Twin of the Road-Tire-Vehicle System for Future Mobility</t>
  </si>
  <si>
    <t>10.3390/su16229833</t>
  </si>
  <si>
    <t>Web-GIS Application for Hydrogeological Risk Prevention: The Case Study of Cervo Valley</t>
  </si>
  <si>
    <t>10.3390/su12031088</t>
  </si>
  <si>
    <t>Digital twin reference model development to prevent operators' risk in process plants</t>
  </si>
  <si>
    <t>10.1115/1.4053348</t>
  </si>
  <si>
    <t>Carbon Dioxide Transport Pipeline Systems: Overview of Technical Characteristics, Safety, Integrity and Cost, and Potential Application of Digital Twin</t>
  </si>
  <si>
    <t>10.3390/infrastructures8110162</t>
  </si>
  <si>
    <t>Data-Driven Condition Assessment and Life Cycle Analysis Methods for Dynamically and Fatigue-Loaded Railway Infrastructure Components</t>
  </si>
  <si>
    <t>10.1155/adce/9983255</t>
  </si>
  <si>
    <t>Online Intelligent Monitoring System and Key Technologies for Dam Operation Safety</t>
  </si>
  <si>
    <t>10.1016/j.aei.2024.102648</t>
  </si>
  <si>
    <t>A status digital twin approach for physically monitoring over-and-under excavation in large tunnels</t>
  </si>
  <si>
    <t>10.4271/12-04-04-0032</t>
  </si>
  <si>
    <t>CAVTest: A Closed Connected and Automated Vehicles Test Field of Chang'an University in China</t>
  </si>
  <si>
    <t>10.1016/j.softx.2024.101975</t>
  </si>
  <si>
    <t>IFC2BCM: A Tool for Generating IndoorGML and Building Configuration Model from IFC</t>
  </si>
  <si>
    <t>10.3390/su151310655</t>
  </si>
  <si>
    <t>Intelligent Assessment Method of Structural Reliability Driven by Carrying Capacity Sustainable Target: Taking Bearing Capacity as Criterion</t>
  </si>
  <si>
    <t>10.1520/SSMS20190033</t>
  </si>
  <si>
    <t>Application of a hybrid digital twin concept for factory layout planning</t>
  </si>
  <si>
    <t>10.1109/JIOT.2024.3517342</t>
  </si>
  <si>
    <t>Real-Time Pothole Detection With Edge Intelligence and Digital Twin in Internet of Vehicles</t>
  </si>
  <si>
    <t>10.1016/j.vrih.2022.01.004</t>
  </si>
  <si>
    <t>Virtual-reality-based digital twin of office spaces with social distance measurement feature</t>
  </si>
  <si>
    <t>10.57417/jrnal.11.2_170</t>
  </si>
  <si>
    <t>Cyberattack Kill Chain Analysis on Hydraulic Infrastructure</t>
  </si>
  <si>
    <t>10.12989/sss.2024.33.5.375</t>
  </si>
  <si>
    <t>Real-time estimation of responses and loads of real-scale pipes subjected to earthquakes and external loads using digital twin technology</t>
  </si>
  <si>
    <t>10.1007/s44150-023-00098-5</t>
  </si>
  <si>
    <t>Review of Construction Automation and Robotics Practices in Indonesian Construction State-Owned Enterprises: Position in Project Life Cycle, Gap to Best Practice and Potential Uses</t>
  </si>
  <si>
    <t>10.21022/IJHRB.2023.12.3.225</t>
  </si>
  <si>
    <t>A Study on the Implement of AI-based Integrated Smart Fire Safety (ISFS) System in Public Facility</t>
  </si>
  <si>
    <t>10.3390/s22228737</t>
  </si>
  <si>
    <t>An Integrated Intelligent Approach for Monitoring and Management of a Deep Foundation Pit in a Subway Station</t>
  </si>
  <si>
    <t>10.3390/s22197635</t>
  </si>
  <si>
    <t>Sensor Acquisition and Allocation for Real-Time Monitoring of Articulated Construction Equipment in Digital Twins</t>
  </si>
  <si>
    <t>10.1109/MCE.2024.3444312</t>
  </si>
  <si>
    <t>AI and Digital Twin for Consumer Electronics in Smart Cities</t>
  </si>
  <si>
    <t>10.1007/s10845-023-02195-0</t>
  </si>
  <si>
    <t>Building digital-twin virtual machining for milling chatter detection based on VMD, synchro-squeeze wavelet, and pre-trained network CNNs with vibration signals</t>
  </si>
  <si>
    <t>10.1007/s00170-024-13739-w</t>
  </si>
  <si>
    <t>Digital twin model of a large scale hot molten metal ladle pouring system</t>
  </si>
  <si>
    <t>10.3390/diagnostics13081485</t>
  </si>
  <si>
    <t>Metaverse and Medical Diagnosis: A Blockchain-Based Digital Twinning Approach Based on MobileNetV2 Algorithm for Cervical Vertebral Maturation</t>
  </si>
  <si>
    <t>10.1007/s00170-022-09475-8</t>
  </si>
  <si>
    <t>Digital twin–based testing process management for large and complex equipment components</t>
  </si>
  <si>
    <t>10.1002/spe.3311</t>
  </si>
  <si>
    <t>Model-based digital twins of medicine dispensers for healthcare IoT applications</t>
  </si>
  <si>
    <t>10.1080/15623599.2023.2212420</t>
  </si>
  <si>
    <t>An association rule mining model for the application of construction technologies during COVID-19</t>
  </si>
  <si>
    <t>10.1680/jmapl.23.00104</t>
  </si>
  <si>
    <t>Automatic creation of personalised virtual construction safety training in digital twins</t>
  </si>
  <si>
    <t>10.3390/su142113740</t>
  </si>
  <si>
    <t>The Process of Digitalization of the Urban Environment for the Development of Sustainable and Circular Cities: A Case Study of Bologna, Italy</t>
  </si>
  <si>
    <t>10.1016/j.autcon.2022.104257</t>
  </si>
  <si>
    <t>Digital twin: Stability analysis for tower crane hoisting safety with a scale model</t>
  </si>
  <si>
    <t>10.1080/00207543.2021.2022235</t>
  </si>
  <si>
    <t>A multidisciplinary approach to the development of digital twin models of critical care delivery in intensive care units</t>
  </si>
  <si>
    <t>10.3390/s20247006</t>
  </si>
  <si>
    <t>Intelligent tensioning method for prestressed cables based on digital twins and artificial intelligence</t>
  </si>
  <si>
    <t>10.1016/j.eswa.2024.124204</t>
  </si>
  <si>
    <t>An intelligent BIM-enabled digital twin framework for real-time structural health monitoring using wireless IoT sensing, digital signal processing, and structural analysis</t>
  </si>
  <si>
    <t>10.1109/TSMC.2022.3231299</t>
  </si>
  <si>
    <t>A Metaverse-Based Teaching Building Evacuation Training System With Deep Reinforcement Learning</t>
  </si>
  <si>
    <t>10.11591/ijece.v11i5.pp4542-4549</t>
  </si>
  <si>
    <t>State regulation of the IoT in the Russian Federation: Fundamentals and challenges</t>
  </si>
  <si>
    <t>10.1016/j.geits.2024.100162</t>
  </si>
  <si>
    <t>Digital twin modeling method for lithium-ion batteries based on data-mechanism fusion driving</t>
  </si>
  <si>
    <t>10.5121/ijcnc.2025.17308</t>
  </si>
  <si>
    <t>AI-DRIVEN IOT-ENABLED UAV INSPECTION FRAMEWORK FOR PREDICTIVE MAINTENANCE AND SUSTAINABLE OPERATIONS IN DESALINATION PLANTS</t>
  </si>
  <si>
    <t>10.3390/w15010025</t>
  </si>
  <si>
    <t>A New Digital Twin for Climate Change Adaptation, Water Management, and Disaster Risk Reduction (HIP Digital Twin)</t>
  </si>
  <si>
    <t>10.3389/feart.2022.828005</t>
  </si>
  <si>
    <t>Towards a Digital Twin of the Earth System: Geo-Soft-CoRe, a Geoscientific Software &amp; Code Repository</t>
  </si>
  <si>
    <t>10.70102/afts.2025.1834.178</t>
  </si>
  <si>
    <t>EDGE EMPOWERED DIGITAL TWIN ARCHITECTURE FOR REAL-TIME STRUCTURAL HEALTH MONITORING OF SMART BRIDGES</t>
  </si>
  <si>
    <t>10.3390/app15010231</t>
  </si>
  <si>
    <t>Data and Knowledge-Driven Bridge Digital Twin Modeling for Smart Operation and Maintenance</t>
  </si>
  <si>
    <t>10.1080/09613218.2023.2219792</t>
  </si>
  <si>
    <t>Station biophilia–assessing the perception of greenery on railway platforms using a digital twin</t>
  </si>
  <si>
    <t>10.1109/LSENS.2021.3124800</t>
  </si>
  <si>
    <t>Automation Tool for Home Fire Safety Check</t>
  </si>
  <si>
    <t>10.3390/su151612429</t>
  </si>
  <si>
    <t>Enhancing Risk Analysis toward a Landscape Digital Twin Framework: A Multi-Hazard Approach in the Context of a Socio-Economic Perspective</t>
  </si>
  <si>
    <t>10.1016/j.istruc.2022.06.012</t>
  </si>
  <si>
    <t>Numerical simulation and evaluation of the world's first metal additively manufactured bridge</t>
  </si>
  <si>
    <t>10.1109/IOTM.001.2400081</t>
  </si>
  <si>
    <t>CNN-FL for Biotechnology Industry Empowered by Internet-of-BioNano Things and Digital Twins</t>
  </si>
  <si>
    <t>10.3390/app14199109</t>
  </si>
  <si>
    <t>Integrating Web-Based Weather Data into Building Information Modeling Models through Robot Process Automation</t>
  </si>
  <si>
    <t>10.37610/DYO.V0I74.600</t>
  </si>
  <si>
    <t>Overall introduction to the framework of BIM-based digital twinning in decision-making in safety management in building construction industry</t>
  </si>
  <si>
    <t>10.1016/j.ijtst.2022.12.004</t>
  </si>
  <si>
    <t>An information model for highway operational risk management based on the IFC-Brick schema</t>
  </si>
  <si>
    <t>10.1515/auto-2021-0104</t>
  </si>
  <si>
    <t>Digital Twin conceptual framework for improving critical infrastructure resilience; [Rahmenkonzept für Digitale Zwillinge zur Verbesserung der Resilienz kritischer Infrastrukturen]</t>
  </si>
  <si>
    <t>10.1016/j.tust.2024.106110</t>
  </si>
  <si>
    <t>Reliable simulation analysis for high-temperature inrush water hazard based on the digital twin model of tunnel geological environment</t>
  </si>
  <si>
    <t>10.1109/JSEN.2023.3322535</t>
  </si>
  <si>
    <t>Digital Twin-Assisted Fuzzy Logic-Inspired Intelligent Approach for Flood Prediction</t>
  </si>
  <si>
    <t>10.3390/s21113583</t>
  </si>
  <si>
    <t>Digital twin-based safety risk coupling of prefabricated building hoisting</t>
  </si>
  <si>
    <t>10.1038/s41598-024-59228-8</t>
  </si>
  <si>
    <t>Assessing and forecasting collective urban heat exposure with smart city digital twins</t>
  </si>
  <si>
    <t>10.1016/j.autcon.2022.104728</t>
  </si>
  <si>
    <t>Intelligent control of building fire protection system using digital twins and semantic web technologies</t>
  </si>
  <si>
    <t>10.3390/vehicles6040100</t>
  </si>
  <si>
    <t>Work-in-Progress Report: Intelligent Traffic Road Weather and Safety Services for Heavy Vehicles</t>
  </si>
  <si>
    <t>10.13225/j.cnki.jccs.2020.0963</t>
  </si>
  <si>
    <t>Digital twin driven airflow intelligent control system for the air outlet of heading face; [数字孪生驱动的掘进工作面出风口风流智能调控系统]</t>
  </si>
  <si>
    <t>10.3390/en16196839</t>
  </si>
  <si>
    <t>Intelligent Monitoring Platform and Application for Building Energy Using Information Based on Digital Twin</t>
  </si>
  <si>
    <t>10.1016/j.heliyon.2023.e13608</t>
  </si>
  <si>
    <t>Research on coal mine safety management based on digital twin</t>
  </si>
  <si>
    <t>10.1080/15732479.2020.1782444</t>
  </si>
  <si>
    <t>Incorporation of pre-existing longitudinal cracks in finite element analyses of corroded reinforced concrete beams failing in anchorage</t>
  </si>
  <si>
    <t>10.17559/TV-20240115001267</t>
  </si>
  <si>
    <t>Research on Building Process Optimization Framework Based on BIM-DT</t>
  </si>
  <si>
    <t>10.3390/buildings14123731</t>
  </si>
  <si>
    <t>Bridge Digital Twin for Practical Bridge Operation and Maintenance by Integrating GIS and BIM</t>
  </si>
  <si>
    <t>10.1061/JLADAH.LADR-1050</t>
  </si>
  <si>
    <t>Relationship between Subcontracting Models and Adoption of Innovative Methods in Construction Safety</t>
  </si>
  <si>
    <t>10.37614/2220-802X.4.2025.90.010</t>
  </si>
  <si>
    <t>INTEGRATING ARTIFICIAL INTELLIGENCE INTO THE ARCTIC ECONOMY: PROSPECTS FOR RUSSIAN-CHINESE COOPERATION; [ИНТЕГРАЦИЯ ИСКУССТВЕННОГО ИНТЕЛЛЕКТА В ЭКОНОМИКУ АРКТИКИ: ПЕРСПЕКТИВЫ РОССИЙСКО-КИТАЙСКОГО СОТРУДНИЧЕСТВА]</t>
  </si>
  <si>
    <t>10.1109/ACCESS.2021.3130741</t>
  </si>
  <si>
    <t>An Outlook on the Future Marine Traffic Management System for Autonomous Ships</t>
  </si>
  <si>
    <t>10.3390/electronics13214179</t>
  </si>
  <si>
    <t>Application of Digital Twins in Designing Safety Systems for Robotic Stations</t>
  </si>
  <si>
    <t>10.1016/j.est.2023.107113</t>
  </si>
  <si>
    <t>Fault data generation of lithium ion batteries based on digital twin: A case for internal short circuit</t>
  </si>
  <si>
    <t>10.34133/research.0349</t>
  </si>
  <si>
    <t>Parallel Driving with Big Models and Foundation Intelligence in Cyber–Physical–Social Spaces</t>
  </si>
  <si>
    <t>10.1007/s42524-022-0216-2</t>
  </si>
  <si>
    <t>Revisiting digital twins: Origins, fundamentals, and practices</t>
  </si>
  <si>
    <t>10.1016/j.aei.2023.102269</t>
  </si>
  <si>
    <t>Digital twin-enabled collision early warning system for marine piling: Application to a wharf project in China</t>
  </si>
  <si>
    <t>10.3390/electronics13234597</t>
  </si>
  <si>
    <t>Intelligent Parking Service System Design Based on Digital Twin for Old Residential Areas</t>
  </si>
  <si>
    <t>10.1016/j.compeleceng.2022.108393</t>
  </si>
  <si>
    <t>Intelligent overall planning model of underground space based on digital twin</t>
  </si>
  <si>
    <t>10.3390/buildings14010004</t>
  </si>
  <si>
    <t>Digital-Twin-Based Fire Safety Management Framework for Smart Buildings</t>
  </si>
  <si>
    <t>10.1016/j.aei.2023.101875</t>
  </si>
  <si>
    <t>Excavator 3D pose estimation using deep learning and hybrid datasets</t>
  </si>
  <si>
    <t>10.36680/J.ITCON.2023.006</t>
  </si>
  <si>
    <t>A TOOL-BASED SYSTEM ARCHITECTURE FOR A DIGITAL TWIN: A CASE STUDY IN A HEALTHCARE FACILITY</t>
  </si>
  <si>
    <t>10.1016/j.jobe.2024.108522</t>
  </si>
  <si>
    <t>Digital twinning of building construction processes. Case study: A reinforced concrete cast-in structure</t>
  </si>
  <si>
    <t>10.3390/buildings14072238</t>
  </si>
  <si>
    <t>Building Digital Twins to Overcome Digitalization Barriers for Automating Construction Site Management</t>
  </si>
  <si>
    <t>10.1080/15732479.2022.2063908</t>
  </si>
  <si>
    <t>Challenges in the application of digital transformation to inspection and maintenance of bridges</t>
  </si>
  <si>
    <t>10.1016/j.compenvurbsys.2024.102093</t>
  </si>
  <si>
    <t>Fire and smoke digital twin – A computational framework for modeling fire incident outcomes</t>
  </si>
  <si>
    <t>10.1109/TITS.2025.3575006</t>
  </si>
  <si>
    <t>Digital Twin Vision for Freight Railroads: A Case Study in North America</t>
  </si>
  <si>
    <t>10.1002/tal.2127</t>
  </si>
  <si>
    <t>Development and validation of graphics-based digital twin framework for UAV-aided post-earthquake inspection of high-rise buildings</t>
  </si>
  <si>
    <t>10.3390/s23020565</t>
  </si>
  <si>
    <t>Metaverse in Healthcare Integrated with Explainable AI and Blockchain: Enabling Immersiveness, Ensuring Trust, and Providing Patient Data Security</t>
  </si>
  <si>
    <t>10.1049/rpg2.12823</t>
  </si>
  <si>
    <t>Construction and simulation analysis of lithium-ion batteries thermoelectric coupling model based on digital twin</t>
  </si>
  <si>
    <t>10.1049/itr2.12591</t>
  </si>
  <si>
    <t>Geo-spatial traffic behaviour analysis and anomaly detection for ITS applications</t>
  </si>
  <si>
    <t>10.3389/fnuen.2023.1293908</t>
  </si>
  <si>
    <t>Remote nuclear microreactors: a preliminary economic evaluation of digital twins and centralized offsite control</t>
  </si>
  <si>
    <t>10.3390/electronics11091413</t>
  </si>
  <si>
    <t>A Novel Method for Tunnel Digital Twin Construction and Virtual-Real Fusion Application</t>
  </si>
  <si>
    <t>10.1016/j.engappai.2024.107848</t>
  </si>
  <si>
    <t>A digital twin-driven approach for partial domain fault diagnosis of rotating machinery</t>
  </si>
  <si>
    <t>10.1017/dce.2024.14</t>
  </si>
  <si>
    <t>Advancing digital healthcare engineering for aging ships and offshore structures: An in-depth review and feasibility analysis</t>
  </si>
  <si>
    <t>10.3390/app13137689</t>
  </si>
  <si>
    <t>Research and Application of the Obstacle Avoidance System for High-Speed Railway Tunnel Lining Inspection Train Based on Integrated 3D LiDAR and 2D Camera Machine Vision Technology</t>
  </si>
  <si>
    <t>10.3390/s22041647</t>
  </si>
  <si>
    <t>Digital Twins-Based Impact Response Prediction of Prestressed Steel Structure</t>
  </si>
  <si>
    <t>10.1061/JCEMD4.COENG-13659</t>
  </si>
  <si>
    <t>Driving Factors for the Adoption of Digital Twin Technology Implementation for Construction Project Performance in Nigeria</t>
  </si>
  <si>
    <t>10.1016/j.oceaneng.2023.115009</t>
  </si>
  <si>
    <t>A digital twin-based framework for simulation and monitoring analysis of floating wind turbine structures</t>
  </si>
  <si>
    <t>10.1007/s12205-024-0247-9</t>
  </si>
  <si>
    <t>BIM and TLS Point Cloud Integration for Information Management of Underground Coal Mines: A Case Study in Nui Beo Underground Coal Mining in Vietnam</t>
  </si>
  <si>
    <t>10.3390/app14156835</t>
  </si>
  <si>
    <t>Designing Digital Twin with IoT and AI in Warehouse to Support Optimization and Safety in Engineer-to-Order Manufacturing Process for Prefabricated Building Products</t>
  </si>
  <si>
    <t>10.12688/openreseurope.17809.2</t>
  </si>
  <si>
    <t>Digital twins for managing bridge climate change adaptation</t>
  </si>
  <si>
    <t>10.1016/B978-0-443-28824-1.50032-6</t>
  </si>
  <si>
    <t>Modelling a Geothermal Vaporiser: A First Step Towards a Digital Twin</t>
  </si>
  <si>
    <t>10.1016/j.ipm.2022.103171</t>
  </si>
  <si>
    <t>Data information processing of traffic digital twins in smart cities using edge intelligent federation learning</t>
  </si>
  <si>
    <t>10.56294/dm2024422</t>
  </si>
  <si>
    <t>Using Digital Twin Technology to Conduct Dynamic Simulation of Industry-Education Integration; [Uso de la tecnología de gemelos digitales para realizar una simulación dinámica de la integración de la industria y la educación]</t>
  </si>
  <si>
    <t>10.1615/IntJEnergeticMaterialsChemProp.2023047195</t>
  </si>
  <si>
    <t>AUTOMATION OF TESTING AND FAULT DETECTION FOR ROCKET ENGINE TEST FACILITIES WITH MACHINE LEARNING</t>
  </si>
  <si>
    <t>10.1186/s42162-023-00257-4</t>
  </si>
  <si>
    <t>Predictive digital twin for offshore wind farms</t>
  </si>
  <si>
    <t>10.1109/ACCESS.2025.3581041</t>
  </si>
  <si>
    <t>Virtual Fencing for Safety-Critical Cyber-Physical Systems: Computer-Vision Enabled Digital Twins</t>
  </si>
  <si>
    <t>10.3390/rs16152700</t>
  </si>
  <si>
    <t>Large-Scale Solar Potential Analysis in a 3D CAD Framework as a Use Case of Urban Digital Twins</t>
  </si>
  <si>
    <t>10.3390/buildings14072216</t>
  </si>
  <si>
    <t>Exploring Data for Construction Digital Twins: Building Health and Safety and Progress Monitoring Twins Using the Unreal Gaming Engine</t>
  </si>
  <si>
    <t>10.3390/su13042051</t>
  </si>
  <si>
    <t>Digital twin aided vulnerability assessment and risk-based maintenance planning of bridge infrastructures exposed to extreme conditions</t>
  </si>
  <si>
    <t>10.1016/j.iot.2024.101413</t>
  </si>
  <si>
    <t>Comparative analysis of the standalone and Hybrid SDN solutions for early detection of network channel attacks in Industrial Control Systems: A WWTP case study</t>
  </si>
  <si>
    <t>10.1007/s11269-022-03420-w</t>
  </si>
  <si>
    <t>Failure Conditions Assessment of Complex Water Systems Using Fuzzy Logic</t>
  </si>
  <si>
    <t>10.1016/j.aei.2023.102182</t>
  </si>
  <si>
    <t>Intervention and management of construction workers’ unsafe behavior: A simulation digital twin model</t>
  </si>
  <si>
    <t>10.1016/j.softx.2023.101426</t>
  </si>
  <si>
    <t>MaCySTe: A virtual testbed for maritime cybersecurity</t>
  </si>
  <si>
    <t>10.1049/hve2.12260</t>
  </si>
  <si>
    <t>Fast electrothermal coupling calculation method for supporting digital twin construction of electrical equipment</t>
  </si>
  <si>
    <t>10.3390/app10248948</t>
  </si>
  <si>
    <t>Constructing a reliable health indicator for bearings using convolutional autoencoder and continuous wavelet transform</t>
  </si>
  <si>
    <t>10.3389/fmars.2023.1047251</t>
  </si>
  <si>
    <t>The role of the marine research infrastructures in the European marine observation landscape: present and future perspectives</t>
  </si>
  <si>
    <t>10.55092/sc20240014</t>
  </si>
  <si>
    <t>Predictive diagnosis of hidden risk for urban lifeline infrastructures driven by digital twin modeling of multisource observations: perspective</t>
  </si>
  <si>
    <t>10.1109/JIOT.2024.3395186</t>
  </si>
  <si>
    <t>Toward Transportation Digital Twin Systems for Traffic Safety and Mobility: A Review</t>
  </si>
  <si>
    <t>10.3390/s22030873</t>
  </si>
  <si>
    <t>Post-Earthquake Building Evaluation Using UAVs: A BIM-Based Digital Twin Framework</t>
  </si>
  <si>
    <t>10.1016/j.jenvman.2023.118389</t>
  </si>
  <si>
    <t>Real time control of nature-based solutions: Towards Smart Solutions and digital twins in Rangsit Area, Thailand</t>
  </si>
  <si>
    <t>10.1109/MITS.2021.3115126</t>
  </si>
  <si>
    <t>The Internet of Things for Smart Roads: A Road Map From Present to Future Road Infrastructure</t>
  </si>
  <si>
    <t>10.1177/09544054231223783</t>
  </si>
  <si>
    <t>Digital twins for hand gesture-guided human-robot collaboration systems</t>
  </si>
  <si>
    <t>10.36680/j.itcon.2021.027</t>
  </si>
  <si>
    <t>Towards next generation cyber-physical systems and digital twins for construction</t>
  </si>
  <si>
    <t>10.14733/cadaps.2024.S12.1-18</t>
  </si>
  <si>
    <t>3D City Modeling on Infrastructure Construction Using Digital Twin</t>
  </si>
  <si>
    <t>10.3389/fbuil.2022.959475</t>
  </si>
  <si>
    <t>Toward cognitive digital twins using a BIM-GIS asset management system for a diffused university</t>
  </si>
  <si>
    <t>10.1016/j.aei.2024.102450</t>
  </si>
  <si>
    <t>Revamping structural health monitoring of advanced rail transit systems: A paradigmatic shift from digital shadows to digital twins</t>
  </si>
  <si>
    <t>10.1109/ACCESS.2022.3179982</t>
  </si>
  <si>
    <t>Open Process Automation- and Digital Twin-Based Performance Monitoring of a Process Manufacturing System</t>
  </si>
  <si>
    <t>10.1080/15732479.2024.2311911</t>
  </si>
  <si>
    <t>Asset management, condition monitoring and Digital Twins: damage detection and virtual inspection on a reinforced concrete bridge</t>
  </si>
  <si>
    <t>10.3390/s24020452</t>
  </si>
  <si>
    <t>Leveraging LiDAR-Based Simulations to Quantify the Complexity of the Static Environment for Autonomous Vehicles in Rural Settings</t>
  </si>
  <si>
    <t>10.3390/en14227771</t>
  </si>
  <si>
    <t>Interactive smart space for single-person households using electroencephalogram through fusion of digital twin and artificial intelligence</t>
  </si>
  <si>
    <t>10.1016/j.cities.2024.105473</t>
  </si>
  <si>
    <t>A perception-powered urban digital twin to support human-centered urban planning and sustainable city development</t>
  </si>
  <si>
    <t>10.1016/j.cose.2021.102507</t>
  </si>
  <si>
    <t>Cyber-resilience of Critical Cyber Infrastructures: Integrating digital twins in the electric power ecosystem</t>
  </si>
  <si>
    <t>10.1016/j.seta.2024.103650</t>
  </si>
  <si>
    <t>A hybrid evolutionary and machine learning approach for smart city planning: Digital twin approach</t>
  </si>
  <si>
    <t>10.1016/j.autcon.2021.103961</t>
  </si>
  <si>
    <t>Digital twin-driven virtual sensor approach for safe construction operations of trailing suction hopper dredger</t>
  </si>
  <si>
    <t>10.37544/0005-6650-2024-09-36</t>
  </si>
  <si>
    <t>Artificial Intelligence-Powered Digital Twins for Sustainable and Resilient Engineering Structures; [KI gestützte digitale Zwillinge für nachhaltige und widerstandsfähige technische Bauwerke]</t>
  </si>
  <si>
    <t>10.1109/TITS.2025.3546432</t>
  </si>
  <si>
    <t>Quantum Secure Energy-Efficient Authentication Protocol for Digital Twins-Enabled Transportation Cyber-Physical Systems</t>
  </si>
  <si>
    <t>10.1016/j.autcon.2024.105582</t>
  </si>
  <si>
    <t>Using Eye-Tracking to Measure Worker Situation Awareness in Augmented Reality</t>
  </si>
  <si>
    <t>10.1080/17538947.2024.2340089</t>
  </si>
  <si>
    <t>Efficient distributed association management method of data, model, and knowledge for digital twin railway</t>
  </si>
  <si>
    <t>10.19721/j.cnki.1001-7372.2025.06.006</t>
  </si>
  <si>
    <t>Monitoring Construction and System Development of Bridge Horizontal Rotation "Traction-rotation"</t>
  </si>
  <si>
    <t>10.1109/ACCESS.2024.3382001</t>
  </si>
  <si>
    <t>An Edge-Based Digital Twin Framework for Connected and Autonomous Vehicles: Design and Evaluation</t>
  </si>
  <si>
    <t>10.1177/03611981241231804</t>
  </si>
  <si>
    <t>Practical Application of Digital Twins for Transportation Asset Data Management: Case Example of a Safety Hardware Asset</t>
  </si>
  <si>
    <t>10.23940/ijpe.23.05.p7.350358</t>
  </si>
  <si>
    <t>D2PG: Deep Deterministic Policy Gradient-Based Vehicular Edge Caching Scheme for Digital Twin-Based Vehicular Networks</t>
  </si>
  <si>
    <t>10.1016/j.autcon.2024.105807</t>
  </si>
  <si>
    <t>Fast 3D site reconstruction using multichannel dynamic and static object separation</t>
  </si>
  <si>
    <t>10.1177/03611981231182961</t>
  </si>
  <si>
    <t>Current Benefits of ASCE 75 and its Potential to Affect Digital As-Built Initiatives at State Departments of Transportation</t>
  </si>
  <si>
    <t>10.1080/10447318.2025.2452201</t>
  </si>
  <si>
    <t>Bits, Bytes, and Bars: Towards a Digital Twin of the US Criminal Justice System</t>
  </si>
  <si>
    <t>10.32548/2020.me-04131</t>
  </si>
  <si>
    <t>NDE Perception and Emerging Reality: NDE 4.0 Value Extraction</t>
  </si>
  <si>
    <t>10.1109/ACCESS.2025.3580334</t>
  </si>
  <si>
    <t>Enhancing Urban Heatwave Response Planning via a Graph-Based Digital Twin Approach: Spatial Dependency Risk Analysis in Vienna City</t>
  </si>
  <si>
    <t>10.1049/gtd2.70119</t>
  </si>
  <si>
    <t>Real Time Simulation Study of DEH for Digital Twin Steam Turbine Generators</t>
  </si>
  <si>
    <t>10.1109/OJITS.2025.3553696</t>
  </si>
  <si>
    <t>Sustainable Intelligent Transportation Systems via Digital Twins: A Contextualized Survey</t>
  </si>
  <si>
    <t>10.22399/ijcesen.494</t>
  </si>
  <si>
    <t>Assessment of Cybersecurity Risks in Digital Twin Deployments in Smart Cities</t>
  </si>
  <si>
    <t>10.1061/(ASCE)ME.1943-5479.0000748</t>
  </si>
  <si>
    <t>Participatory Sensing and Digital Twin City: Updating Virtual City Models for Enhanced Risk-Informed Decision-Making</t>
  </si>
  <si>
    <t>10.3390/en15155749</t>
  </si>
  <si>
    <t>Intelligent Action Planning for Well Construction Operations Demonstrated for Hole Cleaning Optimization and Automation</t>
  </si>
  <si>
    <t>10.1016/j.engstruct.2024.118908</t>
  </si>
  <si>
    <t>Joint detection PCD-based method for automatic construction of geometric digital twin in cable dome structure</t>
  </si>
  <si>
    <t>10.13199/j.cnki.cst.2022-1864</t>
  </si>
  <si>
    <t>Preliminary research on the operation mode of virtual-real integration in fully-mechanized mining face based on industrial metaverse; [基于工业元宇宙的综采工作面虚实融合运行模式初步探索]</t>
  </si>
  <si>
    <t>10.1109/MCOM.001.2500155</t>
  </si>
  <si>
    <t>Generative AI-Assisted Digital Twin for Power Asset Management</t>
  </si>
  <si>
    <t>10.3390/s21175757</t>
  </si>
  <si>
    <t>The fundamental approach of the digital twin application in railway turnouts with innovative monitoring of weather conditions</t>
  </si>
  <si>
    <t>10.3390/su14106104</t>
  </si>
  <si>
    <t>Safety Built Right in: Exploring the Occupational Health and Safety Potential of BIM-Based Platforms throughout the Building Lifecycle</t>
  </si>
  <si>
    <t>10.3390/app13042106</t>
  </si>
  <si>
    <t>Comparison of Single-Camera-Based Depth Estimation Technology for Digital Twin Model Synchronization of Underground Utility Tunnels</t>
  </si>
  <si>
    <t>10.1177/13694332241255734</t>
  </si>
  <si>
    <t>A scientometric analysis of drone-based structural health monitoring and new technologies</t>
  </si>
  <si>
    <t>10.3390/app122412721</t>
  </si>
  <si>
    <t>Using Digital Twin in a Shipbuilding Project</t>
  </si>
  <si>
    <t>10.1016/j.fusengdes.2021.112780</t>
  </si>
  <si>
    <t>Virtual and Augmented Reality Use Cases for Fusion Design Engineering</t>
  </si>
  <si>
    <t>10.1007/s42947-020-6012-7</t>
  </si>
  <si>
    <t>Selected implications of a hyper-connected world on pavement engineering</t>
  </si>
  <si>
    <t>10.1680/jmapl.23.00103</t>
  </si>
  <si>
    <t>Automated quantification of construction workers’ exposure to falling object hazards</t>
  </si>
  <si>
    <t>10.1038/s41598-023-29526-8</t>
  </si>
  <si>
    <t>Railway infrastructure maintenance efficiency improvement using deep reinforcement learning integrated with digital twin based on track geometry and component defects</t>
  </si>
  <si>
    <t>10.1109/ACCESS.2025.3532597</t>
  </si>
  <si>
    <t>Effective Underground Facilities Management in Virtual Reality by Applying a Cybersickness Reduction Technique Based on a Four-Degree-of-Freedom Motion Simulator</t>
  </si>
  <si>
    <t>10.1007/s42401-022-00178-2</t>
  </si>
  <si>
    <t>Method for predictive analysis of failure and pre-failure conditions of aircraft units using data obtained during their operation</t>
  </si>
  <si>
    <t>10.1108/ECAM-01-2025-0131</t>
  </si>
  <si>
    <t>Optimizing construction site layouts with dynamic multi-objective methods and time-based facility placement</t>
  </si>
  <si>
    <t>10.1109/OJVT.2023.3312277</t>
  </si>
  <si>
    <t>Digital Twin Approach for Integrated Airspace Management With Applications to Advanced Air Mobility</t>
  </si>
  <si>
    <t>10.1080/13467581.2020.1869557</t>
  </si>
  <si>
    <t>Augmented reality and digital twin system for interaction with construction machinery</t>
  </si>
  <si>
    <t>10.1080/23248378.2024.2397660</t>
  </si>
  <si>
    <t>Railway condition information modelling in a BIM framework for maintenance applications</t>
  </si>
  <si>
    <t>10.3389/frsen.2025.1520963</t>
  </si>
  <si>
    <t>Advancing river flow monitoring with small uncrewed aircraft and simulation-driven development</t>
  </si>
  <si>
    <t>10.24136/oc.3109</t>
  </si>
  <si>
    <t>Enterprise generative artificial intelligence technologies, internet of things and blockchain-based fintech management, and digital twin industrial metaverse in the cognitive algorithmic economy</t>
  </si>
  <si>
    <t>10.1016/j.energy.2023.127317</t>
  </si>
  <si>
    <t>Digital twin for natural gas infrastructure operation and management via streaming dynamic mode decomposition with control</t>
  </si>
  <si>
    <t>10.1016/j.autcon.2024.105805</t>
  </si>
  <si>
    <t>Spatio-temporal heat risk analysis in construction: Digital twin-enabled monitoring</t>
  </si>
  <si>
    <t>10.1080/17480930.2025.2604235</t>
  </si>
  <si>
    <t>Integrating cutting-edge technologies in smart mining across the value chain: a comprehensive state of the art</t>
  </si>
  <si>
    <t>10.1108/ECAM-04-2025-0553</t>
  </si>
  <si>
    <t>Research progress and trends of intelligent technology construction in large infrastructures: a CiteSpace-based visualization and analysis</t>
  </si>
  <si>
    <t>10.3390/buildings12020099</t>
  </si>
  <si>
    <t>Development of a BIM and IoT-Based Smart Lighting Maintenance System Prototype for Universities’ FM Sector</t>
  </si>
  <si>
    <t>10.1002/rob.22329</t>
  </si>
  <si>
    <t>Multimodal immersive digital twin platform for cyber–physical robot fleets in nuclear environments</t>
  </si>
  <si>
    <t>10.1109/ACCESS.2021.3136458</t>
  </si>
  <si>
    <t>Digital Twin in Aerospace Industry: A Gentle Introduction</t>
  </si>
  <si>
    <t>10.1098/rsta.2020.0369</t>
  </si>
  <si>
    <t>Digital twins as run-time predictive models for the resilience of cyber-physical systems: A conceptual framework</t>
  </si>
  <si>
    <t>10.1080/00423114.2023.2174885</t>
  </si>
  <si>
    <t>Application of machine learning techniques to build digital twins for long train dynamics simulations</t>
  </si>
  <si>
    <t>10.1109/TIV.2024.3377163</t>
  </si>
  <si>
    <t>Cooperative Localization in Transportation 5.0</t>
  </si>
  <si>
    <t>10.15828/2075-8545-2024-16-2-189-197</t>
  </si>
  <si>
    <t>Digital twin of a building as the basis for the application of nanotechnologies in construction</t>
  </si>
  <si>
    <t>10.1016/j.soildyn.2024.108845</t>
  </si>
  <si>
    <t>For how large soil shear wave velocity the soil-structure interaction effects on a tall building can be neglected? – A case study</t>
  </si>
  <si>
    <t>10.56042/ijems.v31i3.8233</t>
  </si>
  <si>
    <t>Real-time mass estimation of connected commercial vehicle using artificial neural network model</t>
  </si>
  <si>
    <t>10.3389/frvir.2024.1372923</t>
  </si>
  <si>
    <t>A real-time digital twin for active safety in an aircraft hangar</t>
  </si>
  <si>
    <t>10.24412/1932-2321-2023-476-909-920</t>
  </si>
  <si>
    <t>INNOVATIVE METHODS OF ENSURING THE FUNCTIONAL SAFETY OF TRAIN CONTROL SYSTEMS</t>
  </si>
  <si>
    <t>10.1109/TITS.2025.3609972</t>
  </si>
  <si>
    <t>The Role of Artificial Intelligence in Shaping Intelligent Motorways: Opportunities, Challenges, and Real-World Implementations</t>
  </si>
  <si>
    <t>10.1051/epjn/2025022</t>
  </si>
  <si>
    <t>European collaborations for safe and efficient dismantling: Digital twins, ontology and data exchange</t>
  </si>
  <si>
    <t>10.3390/math13030345</t>
  </si>
  <si>
    <t>Three-Dimensional Stratigraphic Structure and Property Collaborative Modeling in Urban Engineering Construction</t>
  </si>
  <si>
    <t>10.1016/j.jcsr.2024.109126</t>
  </si>
  <si>
    <t>Structural safety risk prediction method for terminal building steel roof construction considering spatial and temporal variations</t>
  </si>
  <si>
    <t>10.1007/s40009-025-01771-7</t>
  </si>
  <si>
    <t>City-Scale Seismic Risk Assessment Using Physics Based Earthquake Simulator: A Case Study of BHU Campus and Crossing Republik, Ghaziabad</t>
  </si>
  <si>
    <t>10.3389/fbuil.2025.1681156</t>
  </si>
  <si>
    <t>Data-driven progress prediction in construction: a multi-project portfolio management approach</t>
  </si>
  <si>
    <t>10.3390/su16125058</t>
  </si>
  <si>
    <t>Single-Shot Visual Relationship Detection for the Accurate Identification of Contact-Driven Hazards in Sustainable Digitized Construction</t>
  </si>
  <si>
    <t>10.1109/TAES.2023.3329797</t>
  </si>
  <si>
    <t>Fixed-Wing Unmanned Aerial Vehicle Rotary Engine Anomaly Detection via Online Digital Twin Methods</t>
  </si>
  <si>
    <t>10.3390/su16156590</t>
  </si>
  <si>
    <t>GIS-Based Digital Twin Model for Solar Radiation Mapping to Support Sustainable Urban Agriculture Design</t>
  </si>
  <si>
    <t>10.23919/CSMS.2021.0028</t>
  </si>
  <si>
    <t>Trajectory Predictions with Details in a Robotic Twin-Crane System</t>
  </si>
  <si>
    <t>10.1109/TDSC.2022.3184185</t>
  </si>
  <si>
    <t>CommandFence: A Novel Digital-Twin-Based Preventive Framework for Securing Smart Home Systems</t>
  </si>
  <si>
    <t>10.3390/infrastructures7050070</t>
  </si>
  <si>
    <t>Framework for Operational Resilience Management of Critical Infrastructures and Organizations</t>
  </si>
  <si>
    <t>10.3390/buildings13081965</t>
  </si>
  <si>
    <t>Mixed Reality for Safe and Reliable Human-Robot Collaboration in Timber Frame Construction</t>
  </si>
  <si>
    <t>10.18720/MPM.4022018_13</t>
  </si>
  <si>
    <t>Developing of phenomenological damage model for automotive low-carbon structural steel for using in validation of Euroncap frontal impact</t>
  </si>
  <si>
    <t>10.1109/ACCESS.2023.3295819</t>
  </si>
  <si>
    <t>Construction of Digital Twin System for Cold Chain Logistics Stereo Warehouse</t>
  </si>
  <si>
    <t>10.1016/j.autcon.2022.104406</t>
  </si>
  <si>
    <t>Underpass clearance checking in highway widening projects using digital twins</t>
  </si>
  <si>
    <t>10.1109/TNSE.2019.2941834</t>
  </si>
  <si>
    <t>Optimal Sampling of Water Distribution Network Dynamics Using Graph Fourier Transform</t>
  </si>
  <si>
    <t>10.12913/22998624/210471</t>
  </si>
  <si>
    <t>High-speed elevators – aerodynamic challenges and vibration performance: A comprehensive review</t>
  </si>
  <si>
    <t>10.7527/S1000-6893.2025.32343</t>
  </si>
  <si>
    <t>A deep feature fusion network based on multi-scale kernel construction for filling wing stress field data; [基 于 多 尺 度 核 构 造 的 深 度 特 征 融 合 网 络 及 其 在机 翼 应 力 场 数 据 填 补 中 的 应 用]</t>
  </si>
  <si>
    <t>10.14716/ijtech.v14i6.6627</t>
  </si>
  <si>
    <t>Enhancement of Jaibot: Developing Safety and Monitoring Features for Jaibot Using IoT Technologies</t>
  </si>
  <si>
    <t>10.3390/su11164479</t>
  </si>
  <si>
    <t>AI-based physical and virtual platform with 5-layered architecture for sustainable smart energy city development</t>
  </si>
  <si>
    <t>10.55092/sc20250022</t>
  </si>
  <si>
    <t>Digital twin-enabled anti-collision system for smart construction sites</t>
  </si>
  <si>
    <t>10.1109/ACCESS.2023.3278267</t>
  </si>
  <si>
    <t>Digital Twin for Safety and Security: Perspectives on Building Lifecycle</t>
  </si>
  <si>
    <t>10.1109/TSMC.2022.3233588</t>
  </si>
  <si>
    <t>MetaMining: Mining in the Metaverse</t>
  </si>
  <si>
    <t>10.18280/jesa.560301</t>
  </si>
  <si>
    <t>Related Literature Review 5D Model for Project and Operation/Maintenance Remote Monitoring of Equipment and Piping System</t>
  </si>
  <si>
    <t>10.1177/00375497231184246</t>
  </si>
  <si>
    <t>Simulation-driven engineering for the management of harmful algal and cyanobacterial blooms</t>
  </si>
  <si>
    <t>10.1017/dce.2022.23</t>
  </si>
  <si>
    <t>Guidance for Materials 4.0 to interact with a digital twin</t>
  </si>
  <si>
    <t>10.1109/ACCESS.2021.3101653</t>
  </si>
  <si>
    <t>Research on Digital Twin Construction and Safety Management Application of Inland Waterway Based on 3D Video Fusion</t>
  </si>
  <si>
    <t>10.1109/TCYB.2024.3420958</t>
  </si>
  <si>
    <t>Process Manufacturing Intelligence Empowered by Industrial Metaverse: A Survey</t>
  </si>
  <si>
    <t>10.3390/app10134570</t>
  </si>
  <si>
    <t>An initial model for zero defect manufacturing</t>
  </si>
  <si>
    <t>10.1108/IJSI-06-2025-0147</t>
  </si>
  <si>
    <t>A dynamic digital twin-based health monitoring method for steel structures integrating multi-source sensing and intelligent algorithms</t>
  </si>
  <si>
    <t>10.1109/ACCESS.2021.3117727</t>
  </si>
  <si>
    <t>Symbiotic System of Systems Design for Safe and Resilient Autonomous Robotics in Offshore Wind Farms</t>
  </si>
  <si>
    <t>10.1016/j.jii.2023.100455</t>
  </si>
  <si>
    <t>Ensuring construction material provenance using Internet of Things and blockchain: Learning from the food industry</t>
  </si>
  <si>
    <t>10.4018/IJEPR.389050</t>
  </si>
  <si>
    <t>The Palletized Citizen: Surveillance, Mobility, and Algorithmic Urbanism</t>
  </si>
  <si>
    <t>10.1080/15732479.2025.2456979</t>
  </si>
  <si>
    <t>An open-source GIS app for digitalising bridge inspections and automating BIM model integration</t>
  </si>
  <si>
    <t>10.3390/buildings14082318</t>
  </si>
  <si>
    <t>Digital Twin Construction Method for Monitoring Operation Status of Building Machine Jacking Operation</t>
  </si>
  <si>
    <t>10.1016/j.est.2020.101557</t>
  </si>
  <si>
    <t>Digital twin for battery systems: Cloud battery management system with online state-of-charge and state-of-health estimation</t>
  </si>
  <si>
    <t>10.1016/j.jhydrol.2024.131017</t>
  </si>
  <si>
    <t>Low-cost “buffer” structural measure for flooding risk reduction in irrigation reservoirs</t>
  </si>
  <si>
    <t>10.3303/CET2399047</t>
  </si>
  <si>
    <t>Understanding the Vulnerability of Complex Systems. An Integrated Approach</t>
  </si>
  <si>
    <t>10.3390/sym14061152</t>
  </si>
  <si>
    <t>Key Component Capture and Safety Intelligent Analysis of Beam String Structure Based on Digital Twins</t>
  </si>
  <si>
    <t>10.3390/rs14030723</t>
  </si>
  <si>
    <t>A Geospatial Platform to Manage Large-Scale Individual Mobility for an Urban Digital Twin Platform</t>
  </si>
  <si>
    <t>10.3390/app13064048</t>
  </si>
  <si>
    <t>Global Mechanical Response Sensing of Corrugated Compensators Based on Digital Twins</t>
  </si>
  <si>
    <t>10.1504/IJIIDS.2025.147424</t>
  </si>
  <si>
    <t>Evaluation of digital twin resource allocation and multimodal information learning in internet of vehicles</t>
  </si>
  <si>
    <t>10.1016/j.chbr.2022.100203</t>
  </si>
  <si>
    <t>The effects of partial proxy embodiment on the awareness of linear distance in omnidirectional treadmill enabled immersive virtual environment</t>
  </si>
  <si>
    <t>10.3390/s22072522</t>
  </si>
  <si>
    <t>Digital Twin‐Based Risk Control during Prefabricated Building Hoisting Operations</t>
  </si>
  <si>
    <t>10.1016/j.aei.2023.102310</t>
  </si>
  <si>
    <t>Predicting degraded lifting capacity of aging tower cranes: A digital twin-driven approach</t>
  </si>
  <si>
    <t>10.1109/TIV.2023.3332739</t>
  </si>
  <si>
    <t>PMWorld: A Parallel Testing Platform for Autonomous Driving in Mines</t>
  </si>
  <si>
    <t>10.12989/gae.2023.34.3.329</t>
  </si>
  <si>
    <t>Development of stability evaluation system for retaining walls: Differential evolution algorithm-artificial neural network</t>
  </si>
  <si>
    <t>10.1016/j.comcom.2024.02.013</t>
  </si>
  <si>
    <t>Cyber–physical system architecture of autonomous robot ecosystem for industrial asset monitoring</t>
  </si>
  <si>
    <t>10.3390/s24020655</t>
  </si>
  <si>
    <t>Human Digital Twin in Industry 5.0: A Holistic Approach to Worker Safety and Well-Being through Advanced AI and Emotional Analytics</t>
  </si>
  <si>
    <t>10.1016/j.compind.2022.103699</t>
  </si>
  <si>
    <t>Towards situational aware cyber-physical systems: A security-enhancing use case of blockchain-based digital twins</t>
  </si>
  <si>
    <t>10.1109/TCYB.2024.3475272</t>
  </si>
  <si>
    <t>Metaverse for the Energy Industry: Technologies, Applications, and Solutions</t>
  </si>
  <si>
    <t>10.1061/(ASCE)ME.1943-5479.0000948</t>
  </si>
  <si>
    <t>Digital Twins for Construction Sites: Concepts, LoD Definition, and Applications</t>
  </si>
  <si>
    <t>10.1007/s40030-023-00732-x</t>
  </si>
  <si>
    <t>The Conventional Construction Scenario and the Emergence of Advance Technologies in the Bridge Construction: Implementation, Impediments, and Case Study</t>
  </si>
  <si>
    <t>10.1080/23742917.2023.2171538</t>
  </si>
  <si>
    <t>A digital twin internal to a PLC to detect malicious commands and ladder logic that potentially cause safety violations</t>
  </si>
  <si>
    <t>10.1109/ACCESS.2023.3330153</t>
  </si>
  <si>
    <t>Research on the Construction of a Digital Twin Model for a 3D Measurement System of Gears</t>
  </si>
  <si>
    <t>10.1016/j.aei.2024.102661</t>
  </si>
  <si>
    <t>Digital twin-driven intelligent operation and maintenance platform for large-scale hydro-steel structures</t>
  </si>
  <si>
    <t>10.1115/1.4053606</t>
  </si>
  <si>
    <t>Building a Lightweight Digital Twin of a Crane Boom for Structural Safety Monitoring Based on a Multifidelity Surrogate Model</t>
  </si>
  <si>
    <t>10.1155/2022/4210927</t>
  </si>
  <si>
    <t>Quantitative Assessment Model of IT Operation and Maintenance Operation Risk Based on the Digital Twin Model</t>
  </si>
  <si>
    <t>10.3390/electronics13173550</t>
  </si>
  <si>
    <t>Digital Twins in 3D Printing Processes Using Artificial Intelligence</t>
  </si>
  <si>
    <t>10.3390/app14146209</t>
  </si>
  <si>
    <t>Integration of BIM Tools for the Facility Management of Railway Bridges</t>
  </si>
  <si>
    <t>10.1108/SASBE-04-2025-0181</t>
  </si>
  <si>
    <t>Developing a system reference architecture for assessing risks of heatwaves in residential buildings using a cloud-BIM environment: a design science research approach</t>
  </si>
  <si>
    <t>10.1109/JSAC.2023.3310082</t>
  </si>
  <si>
    <t>Digital Twins-Enabled Federated Learning in Mobile Networks: From the Perspective of Communication-Assisted Sensing</t>
  </si>
  <si>
    <t>10.1016/j.jii.2023.100443</t>
  </si>
  <si>
    <t>Internet of Everything and Digital Twin enabled Service Platform for Cold Chain Logistics</t>
  </si>
  <si>
    <t>10.1109/OJITS.2025.3562504</t>
  </si>
  <si>
    <t>Digital Twin Technologies for Vehicular Prototyping: A Survey</t>
  </si>
  <si>
    <t>10.3846/jcem.2025.24921</t>
  </si>
  <si>
    <t>ADVANCING CIVIL INFRASTRUCTURE WITH DIGITAL TWINS: A REVIEW OF APPLICATIONS AND CHALLENGES</t>
  </si>
  <si>
    <t>10.3390/smartcities7060137</t>
  </si>
  <si>
    <t>Community Twin Ecosystem for Disaster Resilient Communities</t>
  </si>
  <si>
    <t>10.3390/w16162289</t>
  </si>
  <si>
    <t>A Study on the Construction and Evaluation of the Water Resource Reutilization System for Farmland Diversion and Drainage</t>
  </si>
  <si>
    <t>10.1109/ACCESS.2021.3097179</t>
  </si>
  <si>
    <t>Study on the Construction and Application of Digital Twins on High Voltage Transmission Line Live Working Scenes</t>
  </si>
  <si>
    <t>10.3390/app122412746</t>
  </si>
  <si>
    <t>Application of Digital Twin in Handling and Transportation of Hazardous Chemicals</t>
  </si>
  <si>
    <t>10.1109/ACCESS.2022.3202941</t>
  </si>
  <si>
    <t>Three-Dimension Digital Twin Reference Architecture Model for Functionality, Dependability, and Life Cycle Development Across Industries</t>
  </si>
  <si>
    <t>10.3390/app12031442</t>
  </si>
  <si>
    <t>Intelligent Prediction of Prestressed Steel Structure Construction Safety Based on BP Neural Network</t>
  </si>
  <si>
    <t>10.1016/j.ijdrr.2023.104020</t>
  </si>
  <si>
    <t>A novel digital twin framework of electric power infrastructure systems subjected to hurricanes</t>
  </si>
  <si>
    <t>10.1016/j.istruc.2024.107425</t>
  </si>
  <si>
    <t>Optimization method of cable structure demolition driven by digital twin evolution model</t>
  </si>
  <si>
    <t>10.1109/JIOT.2023.3325851</t>
  </si>
  <si>
    <t>IoTFuzz: Automated Discovery of Violations in Smart Homes with Real Environment</t>
  </si>
  <si>
    <t>10.3390/su13147797</t>
  </si>
  <si>
    <t>Environmental particulate matter (Pm) exposure assessment of construction activities using low-cost pm sensor and latin hypercubic technique</t>
  </si>
  <si>
    <t>10.1109/ACCESS.2023.3316028</t>
  </si>
  <si>
    <t>Enhancing Operational Resilience of Critical Infrastructure Processes Through Chaos Engineering</t>
  </si>
  <si>
    <t>10.3390/info15030121</t>
  </si>
  <si>
    <t>IoT-Based SHM Using Digital Twins for Interoperable and Scalable Decentralized Smart Sensing Systems</t>
  </si>
  <si>
    <t>10.1109/TIV.2023.3249287</t>
  </si>
  <si>
    <t>Parallel Training: An ACP-Based Training Framework for Iterative Learning in Uncertain Driving Spaces</t>
  </si>
  <si>
    <t>10.3390/en15186584</t>
  </si>
  <si>
    <t>Digital Twins for Real-Time Scenario Analysis during Well Construction Operations</t>
  </si>
  <si>
    <t>10.1016/j.apenergy.2023.120907</t>
  </si>
  <si>
    <t>Digital twins for secure thermal energy storage in building</t>
  </si>
  <si>
    <t>10.1016/j.ijcip.2024.100725</t>
  </si>
  <si>
    <t>FingerCI: Writing industrial process specifications from network traffic</t>
  </si>
  <si>
    <t>10.1109/TASE.2025.3586434</t>
  </si>
  <si>
    <t>Enhancing Negotiation Policies via Spatio-Temporal Directed Graphs for Autonomous Interaction</t>
  </si>
  <si>
    <t>10.3390/s20205771</t>
  </si>
  <si>
    <t>A framework for an indoor safety management system based on digital twin</t>
  </si>
  <si>
    <t>10.1061/(ASCE)CP.1943-5487.0001044</t>
  </si>
  <si>
    <t>Analyzing Safety Risk Imposed by Jobsite Debris to Nearby Built Environments Using Geometric Digital Twins and Vision-Based Deep Learning</t>
  </si>
  <si>
    <t>10.1016/j.soildyn.2024.108819</t>
  </si>
  <si>
    <t>The role of the foundation flexibility on the seismic response of a modern tall building: Vertically incident plane waves</t>
  </si>
  <si>
    <t>10.1016/j.rcns.2024.04.001</t>
  </si>
  <si>
    <t>Protecting critical infrastructure against cascading effects: The PRECINCT approach</t>
  </si>
  <si>
    <t>10.3390/engproc2024080031</t>
  </si>
  <si>
    <t>The Application of Digital Technology in the Field of Civil Aircraft Fireproof †</t>
  </si>
  <si>
    <t>10.3389/frobt.2025.1629931</t>
  </si>
  <si>
    <t>Multi-layer robotic controller for enhancing the safety of mobile robot navigation in human-centered indoor environments</t>
  </si>
  <si>
    <t>10.1186/s12883-023-03192-9</t>
  </si>
  <si>
    <t>Developing DELPHI expert consensus rules for a digital twin model of acute stroke care in the neuro critical care unit</t>
  </si>
  <si>
    <t>10.3390/app122312256</t>
  </si>
  <si>
    <t>An Established Theory of Digital Twin Model for Tunnel Construction Safety Assessment</t>
  </si>
  <si>
    <t>10.1016/j.ijdrr.2023.104123</t>
  </si>
  <si>
    <t>Explainable artificial intelligence in disaster risk management: Achievements and prospective futures</t>
  </si>
  <si>
    <t>10.1016/j.autcon.2024.105725</t>
  </si>
  <si>
    <t>Automated generation and semantic segmentation of roof orthophoto for digital twin -based monitoring of slated roofs</t>
  </si>
  <si>
    <t>10.3390/s24072115</t>
  </si>
  <si>
    <t>Integration of Railway Bridge Structural Health Monitoring into the Internet of Things with a Digital Twin: A Case Study</t>
  </si>
  <si>
    <t>10.1007/s10207-023-00731-w</t>
  </si>
  <si>
    <t>Enhancing attack resilience of cyber-physical systems through state dependency graph models</t>
  </si>
  <si>
    <t>10.1016/j.ress.2024.110305</t>
  </si>
  <si>
    <t>Multisource information fusion for real-time prediction and multiobjective optimization of large-diameter slurry shield attitude</t>
  </si>
  <si>
    <t>10.1007/s10749-023-01612-x</t>
  </si>
  <si>
    <t>Topical Issues of the Introduction of Artificial Intelligence Into the Design Process of Nuclear Power Plants</t>
  </si>
  <si>
    <t>10.1080/17538947.2025.2459317</t>
  </si>
  <si>
    <t>Data-knowledge hybrid driven intelligent prediction method of tunnel excavation profiles geometric deformation</t>
  </si>
  <si>
    <t>10.3390/rs14061387</t>
  </si>
  <si>
    <t>Intelligent Control of Building Operation and Maintenance Processes Based on Global Navigation Satellite System and Digital Twins</t>
  </si>
  <si>
    <t>10.1155/2022/9568967</t>
  </si>
  <si>
    <t>Digital Twin-Based Investigation of a Building Collapse Accident</t>
  </si>
  <si>
    <t>10.1109/TITS.2023.3343434</t>
  </si>
  <si>
    <t>Intelligent Transportation Systems Using Roadside Infrastructure: A Literature Survey</t>
  </si>
  <si>
    <t>10.1109/ACCESS.2025.3570182</t>
  </si>
  <si>
    <t>Digital Twin Technology Architecture and Application for Nuclear Reactor Intelligent Operation and Maintenance</t>
  </si>
  <si>
    <t>10.1109/JSYST.2019.2925627</t>
  </si>
  <si>
    <t>Model-Based Design of Complex Aeronautical Systems through Digital Twin and Thread Concepts</t>
  </si>
  <si>
    <t>10.3390/sym13101927</t>
  </si>
  <si>
    <t>Intelligent safety assessment of prestressed steel structures based on digital twins</t>
  </si>
  <si>
    <t>10.1007/s00502-024-01214-z</t>
  </si>
  <si>
    <t>ESIT – a digital twin of air surveillance infrastructure; [ESIT – ein Digitaler Zwilling für das zivile Flugsicherungsradar]</t>
  </si>
  <si>
    <t>10.1186/s13063-023-07173-8</t>
  </si>
  <si>
    <t>A Smart Service System for Spatial Intelligence and Onboard Navigation for Individuals with Visual Impairment (VIS4ION Thailand): study protocol of a randomized controlled trial of visually impaired students at the Ratchasuda College, Thailand</t>
  </si>
  <si>
    <t>10.2423/i22394303v11n2p83</t>
  </si>
  <si>
    <t>DIGITAL MODELS FOR E-CONSERVATION: THE HBRIM OF A BRIDGE ALONG THE ATERNO RIVER</t>
  </si>
  <si>
    <t>10.3390/su16188245</t>
  </si>
  <si>
    <t>Digital Transformation in the Construction Sector: A Digital Twin for Seismic Safety in the Lifecycle of Buildings</t>
  </si>
  <si>
    <t>10.1016/j.fusengdes.2023.113978</t>
  </si>
  <si>
    <t>Preliminary architecture of the DTT remote handling test and training facility</t>
  </si>
  <si>
    <t>10.3390/app15041999</t>
  </si>
  <si>
    <t>Assessing the Suitability of Damage Indexes for Digital Twin Applications in RC Buildings Considering Masonry Infills</t>
  </si>
  <si>
    <t>10.1016/j.autcon.2024.105722</t>
  </si>
  <si>
    <t>Advanced fire emergency management based on potential fire risk assessment with informative digital twins</t>
  </si>
  <si>
    <t>10.3390/buildings14061551</t>
  </si>
  <si>
    <t>Intelligent Analysis of Construction Safety of Large Underground Space Based on Digital Twin</t>
  </si>
  <si>
    <t>10.1016/j.compind.2022.103783</t>
  </si>
  <si>
    <t>A digital twin approach for tunnel construction safety early warning and management</t>
  </si>
  <si>
    <t>10.1561/1000000058</t>
  </si>
  <si>
    <t>Cloud and Edge Computing for Connected and Automated Vehicles</t>
  </si>
  <si>
    <t>10.1109/OJCOMS.2025.3595403</t>
  </si>
  <si>
    <t>The Role of Mobile Communications for Industrial Automation: Architecture, Applications and Challenges</t>
  </si>
  <si>
    <t>10.3390/buildings15040567</t>
  </si>
  <si>
    <t>Near Real-Time 3D Reconstruction of Construction Sites Based on Surveillance Cameras</t>
  </si>
  <si>
    <t>10.1109/TIV.2024.3365997</t>
  </si>
  <si>
    <t>Smart Mining With Autonomous Driving in Industry 5.0: Architectures, Platforms, Operating Systems, Foundation Models, and Applications</t>
  </si>
  <si>
    <t>10.1109/MNET.2024.3439514</t>
  </si>
  <si>
    <t>Probabilistic Representation and Its Application of Digital-Twin of Spatio-Temporal Real-World Toward Trustable Cyber-Physical Interactions</t>
  </si>
  <si>
    <t>10.1016/j.trip.2023.100782</t>
  </si>
  <si>
    <t>Fields of interest and demands for a digital proving ground twin</t>
  </si>
  <si>
    <t>10.3390/en15165776</t>
  </si>
  <si>
    <t>Well Construction Action Planning and Automation through Finite-Horizon Sequential Decision-Making</t>
  </si>
  <si>
    <t>10.1109/ACCESS.2025.3562612</t>
  </si>
  <si>
    <t>iYOLOV7-TPE-SS: Leveraging Improved YOLO Model With Multilevel Hyperparameter Optimization for Road Damage Detection on Edge Devices</t>
  </si>
  <si>
    <t>10.3390/app142411582</t>
  </si>
  <si>
    <t>A Method for Building a Mixed-Reality Digital Twin of a Roadheader Monitoring System</t>
  </si>
  <si>
    <t>10.1016/j.jmrt.2024.07.066</t>
  </si>
  <si>
    <t>Analysis of thermal cycles during DED-Arc of high-strength low-alloy steel and microstructural evolution</t>
  </si>
  <si>
    <t>10.3390/su15064955</t>
  </si>
  <si>
    <t>Architectural Reply for Smart Building Design Concepts Based on Artificial Intelligence Simulation Models and Digital Twins</t>
  </si>
  <si>
    <t>10.1016/j.compeleceng.2024.109225</t>
  </si>
  <si>
    <t>Performance evaluation of electro-mechanical railway interlocking system for digital twin application</t>
  </si>
  <si>
    <t>10.1080/19475705.2023.2278274</t>
  </si>
  <si>
    <t>Application research on digital twins of urban earthquake disasters</t>
  </si>
  <si>
    <t>10.1016/j.autcon.2022.104252</t>
  </si>
  <si>
    <t>Real-time mixed reality-based visual warning for construction workforce safety</t>
  </si>
  <si>
    <t>10.1080/13467581.2024.2343800</t>
  </si>
  <si>
    <t>Applications of artificial intelligence in the AEC industry: a review and future outlook</t>
  </si>
  <si>
    <t>10.3390/buildings13030719</t>
  </si>
  <si>
    <t>Implementation of a Condition Monitoring Strategy for the Monastery of Salzedas, Portugal: Challenges and Optimisation</t>
  </si>
  <si>
    <t>10.1016/j.tust.2023.105307</t>
  </si>
  <si>
    <t>Digital-twin-enabled JIT design of rock tunnel: Methodology and application</t>
  </si>
  <si>
    <t>10.7527/S1000-6893.2025.32408</t>
  </si>
  <si>
    <t>Uncertainty technologies in aircraft digital strength twins; [飞 行 器 数 字 强 度 孪 生 中 的 不 确 定 性 技 术]</t>
  </si>
  <si>
    <t>10.1016/j.rcns.2024.07.004</t>
  </si>
  <si>
    <t>A digital twin framework for efficient electric power restoration and resilient recovery in the aftermath of hurricanes considering the interdependencies with road network and essential facilities</t>
  </si>
  <si>
    <t>10.1007/s41748-024-00454-5</t>
  </si>
  <si>
    <t>A Transdisciplinary Analysis of the 2009 Catastrophe in Giampilieri Superiore by Land Use Evolution Over Time</t>
  </si>
  <si>
    <t>10.1016/j.autcon.2023.105048</t>
  </si>
  <si>
    <t>Augmenting progress monitoring in soil-foundation construction utilizing SOLOv2-based instance segmentation and visual BIM representation</t>
  </si>
  <si>
    <t>10.35784/preko.4039</t>
  </si>
  <si>
    <t>Artificial Intelligence and Environmental Protection of Buildings; [Sztuczna inteligencja i ochrona środowiska budynków]</t>
  </si>
  <si>
    <t>10.3390/app14083521</t>
  </si>
  <si>
    <t>Automatic Object Detection in Radargrams of Multi-Antenna GPR Systems Based on Simulation Data for Railway Infrastructure Analysis</t>
  </si>
  <si>
    <t>10.3390/buildings12040470</t>
  </si>
  <si>
    <t>Digital Twin Evaluation of Environment and Health of Public Toilet Ventilation Design Based on Building Information Modeling</t>
  </si>
  <si>
    <t>10.24425/ace.2025.156162</t>
  </si>
  <si>
    <t>Reconstruction of the road bridge on Monte Cassino Avenue in Koszalin; [Przebudowa wiaduktu drogowego w ciągu Alei Monte Cassino w Koszalinie]</t>
  </si>
  <si>
    <t>10.1109/TITS.2025.3564351</t>
  </si>
  <si>
    <t>A Digital Twin Framework for Physical-Virtual Integration in V2X-Enabled Connected Vehicle Corridors</t>
  </si>
  <si>
    <t>10.1109/ACCESS.2025.3585362</t>
  </si>
  <si>
    <t>Toward Low-Cost Digital Twins for Urban Transportation Systems</t>
  </si>
  <si>
    <t>10.56295/AGJ5737</t>
  </si>
  <si>
    <t>DIGITAL TWIN FOR UNDERGROUND STATIONS: IMPROVING DECISION MAKING FOR CONSTRUCTION LIFECYCLE</t>
  </si>
  <si>
    <t>10.3390/ijgi13120430</t>
  </si>
  <si>
    <t>Leveraging Digital Twins as a Common Operating Picture for Disaster Management: Case of Seismic Hazards</t>
  </si>
  <si>
    <t>10.1155/2021/2801557</t>
  </si>
  <si>
    <t>The Modelling of Digital Twins Technology in the Construction Process of Prefabricated Buildings</t>
  </si>
  <si>
    <t>10.1016/j.seta.2024.103855</t>
  </si>
  <si>
    <t>From BIM to digital twin in BIPV: A review of current knowledge</t>
  </si>
  <si>
    <t>10.3389/feart.2022.908032</t>
  </si>
  <si>
    <t>BIM Digital Shadow Technology and Risk Assessment Method of the Deep Foundation Pit’s Behavior for Zibo Light Rail</t>
  </si>
  <si>
    <t>10.24425/ace.2025.156179</t>
  </si>
  <si>
    <t>Digital twin-based vibration displacement sensing and recognition technology for large engineering structures</t>
  </si>
  <si>
    <t>10.1016/j.compind.2024.104112</t>
  </si>
  <si>
    <t>Enabling Building Information Model-driven human-robot collaborative construction workflows with closed-loop digital twins</t>
  </si>
  <si>
    <t>10.5595/001c.124123</t>
  </si>
  <si>
    <t>Disaster Risk Assessment and Analysis of Physical Infrastructure: A Comprehensive Review of Scientific Methods and Techniques</t>
  </si>
  <si>
    <t>10.1016/j.ngib.2021.08.019</t>
  </si>
  <si>
    <t>Deep and ultra-deep oil and gas well drilling technologies: Progress and prospect</t>
  </si>
  <si>
    <t>10.1155/2022/1875196</t>
  </si>
  <si>
    <t>Monitoring System for the Construction of Arch Cover Method Subway Station Based on DT and IoT</t>
  </si>
  <si>
    <t>10.1109/TITS.2025.3535593</t>
  </si>
  <si>
    <t>A Systematic Survey of Digital Twin Applications: Transferring Knowledge From Automotive and Aviation to Maritime Industry</t>
  </si>
  <si>
    <t>10.4018/IJSWIS.395999</t>
  </si>
  <si>
    <t>DTSafe-O: A Semantic Digital Twin Ontology for Construction Safety</t>
  </si>
  <si>
    <t>10.2478/amns.2023.2.00506</t>
  </si>
  <si>
    <t>Research on the prediction method of string-supported dome cable force based on digital twin technology</t>
  </si>
  <si>
    <t>10.3390/infrastructures9030057</t>
  </si>
  <si>
    <t>Role of Civionics in the Civil Structural Health Monitoring System</t>
  </si>
  <si>
    <t>10.1061/JMENEA.MEENG-5630</t>
  </si>
  <si>
    <t>A New Benchmark Model for the Automated Detection and Classification of a Wide Range of Heavy Construction Equipment</t>
  </si>
  <si>
    <t>10.1109/TITS.2021.3130025</t>
  </si>
  <si>
    <t>Digital Twin System of Bridges Group Based on Machine Vision Fusion Monitoring of Bridge Traffic Load</t>
  </si>
  <si>
    <t>10.1016/j.crm.2021.100387</t>
  </si>
  <si>
    <t>Digital technologies can enhance climate resilience of critical infrastructure</t>
  </si>
  <si>
    <t>10.3390/telecom4010009</t>
  </si>
  <si>
    <t>Digital Twins for Construction Projects—Developing a Risk Systematization Approach to Facilitate Anomaly Detection in Smart Buildings</t>
  </si>
  <si>
    <t>10.1080/01446193.2025.2451631</t>
  </si>
  <si>
    <t>Organising digital twin in the built environment: a systematic review and research directions on the missing links of use and user perspectives of digital twin in Architecture, Engineering and Construction (AEC) sector</t>
  </si>
  <si>
    <t>10.1109/JIOT.2025.3574101</t>
  </si>
  <si>
    <t>Digital Twin-Based Cyber Redundancies to Achieve Cost-Effective Fault Tolerance</t>
  </si>
  <si>
    <t>10.3390/su152216125</t>
  </si>
  <si>
    <t>Continuous Dynamic Analysis Method and Case Verification of Cable Structure Based on Digital Twin</t>
  </si>
  <si>
    <t>10.3103/S1068371225700208</t>
  </si>
  <si>
    <t>Diagnostic Systems and Complexes for Railways</t>
  </si>
  <si>
    <t>10.1155/2022/4356974</t>
  </si>
  <si>
    <t>Fiber Bragg Grating Smart Material and Structural Health Monitoring System Based on Digital Twin Drive</t>
  </si>
  <si>
    <t>10.1109/JIOT.2025.3559078</t>
  </si>
  <si>
    <t>Reinforcement-Learning-Based AAV 3-D Target Tracking and Digital-Twin-Assisted Collision Avoidance With Integrated Sensing and Communication</t>
  </si>
  <si>
    <t>10.1016/j.fusengdes.2024.114586</t>
  </si>
  <si>
    <t>Preliminary architecture design for human-in-the-loop control of robotic equipment in remote handling tasks: Case study on the NEFERTARI project</t>
  </si>
  <si>
    <t>10.3390/su14095179</t>
  </si>
  <si>
    <t>Digital Twin-Based Intelligent Safety Risks Prediction of Prefabricated Construction Hoisting</t>
  </si>
  <si>
    <t>10.1016/j.measurement.2023.112955</t>
  </si>
  <si>
    <t>Developing a digital twin model for monitoring building structural health by combining a building information model and a real-scene 3D model</t>
  </si>
  <si>
    <t>10.1002/rob.22127</t>
  </si>
  <si>
    <t>Digital twin-assisted fault diagnosis system for robot joints with insufficient data</t>
  </si>
  <si>
    <t>10.36909/jer.15973</t>
  </si>
  <si>
    <t>Digital Twin of a Data Center at an Educational Institution</t>
  </si>
  <si>
    <t>10.1109/MMM.2024.3444529</t>
  </si>
  <si>
    <t>Unmanned Aerial Vehicle Classification Using Neural Neworks and Radar Digital Twins: UAV Classification Using Neural Networks and Radar Digital Twins</t>
  </si>
  <si>
    <t>10.3390/smartcities8010027</t>
  </si>
  <si>
    <t>Spatial Insights for Building Resilience: The Territorial Risk Management &amp; Analysis Across Scale Framework for Bridging Scales in Multi-Hazard Assessment</t>
  </si>
  <si>
    <t>10.14042/j.cnki.32.1309.2025.04.001</t>
  </si>
  <si>
    <t>Underwater defect detection and diagnosis assessment for high dams: current status and challenges; [高坝水下缺陷检测与诊断评估：现状与挑战]</t>
  </si>
  <si>
    <t>10.1080/15732479.2019.1615962</t>
  </si>
  <si>
    <t>Use of gaming technology to bring bridge inspection to the office</t>
  </si>
  <si>
    <t>10.1016/j.slast.2024.100135</t>
  </si>
  <si>
    <t>The digital lab manager: Automating research support</t>
  </si>
  <si>
    <t>10.3390/w15112106</t>
  </si>
  <si>
    <t>A Digital Twin Dam and Watershed Management Platform</t>
  </si>
  <si>
    <t>10.5802/crmeca.308</t>
  </si>
  <si>
    <t>Physical digital twins for ancient stone masonry informed of original construction techniques: the case of Sardinian nuraghi; [Jumeaux numériques physiques de maçonnerie antique basés sur les techniques de construction originelles: le cas des nuraghi sardes]</t>
  </si>
  <si>
    <t>10.3390/rs15143699</t>
  </si>
  <si>
    <t>Integrated Node Infrastructure for Future Smart City Sensing and Response</t>
  </si>
  <si>
    <t>10.1063/5.0222332</t>
  </si>
  <si>
    <t>Real-time digital twin of autonomous ships based on virtual-physical mapping model</t>
  </si>
  <si>
    <t>10.1109/TIA.2023.3332311</t>
  </si>
  <si>
    <t>Electrical Safety Enhanced With BIM, SCADA and Digital Twin Integration: A Case Study of a MV-LV Substation</t>
  </si>
  <si>
    <t>10.1016/j.rcns.2024.06.002</t>
  </si>
  <si>
    <t>Digital twin approach for enhancing urban resilience: A cycle between virtual space and the real world</t>
  </si>
  <si>
    <t>10.3390/s23218720</t>
  </si>
  <si>
    <t>A Hybrid Methodology to Assess Cyber Resilience of IoT in Energy Management and Connected Sites</t>
  </si>
  <si>
    <t>10.2298/NTRP2203181X</t>
  </si>
  <si>
    <t>A digital twin framework for construction and operation of the radio active waste repository</t>
  </si>
  <si>
    <t>10.1016/j.psep.2024.04.007</t>
  </si>
  <si>
    <t>The digital twins for mine site rescue environment: Application framework and key technologies</t>
  </si>
  <si>
    <t>10.1007/s00477-024-02782-4</t>
  </si>
  <si>
    <t>Dynamic disaster risk assessment of urban waterlogging on pedestrian flow by intelligent simulation of hydrodynamics coupled with agent-based models in Chao-yang river basin of Nanning, China</t>
  </si>
  <si>
    <t>10.1080/15732479.2021.1991387</t>
  </si>
  <si>
    <t>Enhancing dam safety evaluation using dam digital twins</t>
  </si>
  <si>
    <t>10.3390/buildings13010247</t>
  </si>
  <si>
    <t>Intelligent Risk Prognosis and Control of Foundation Pit Excavation Based on Digital Twin</t>
  </si>
  <si>
    <t>10.1016/j.aei.2023.102223</t>
  </si>
  <si>
    <t>A hybrid approach for optimizing deep excavation safety measures based on Bayesian network and design structure matrix</t>
  </si>
  <si>
    <t>10.4271/2023-01-0221</t>
  </si>
  <si>
    <t>On-Track Demonstration of Automated Eco-Driving Control for an Electric Vehicle</t>
  </si>
  <si>
    <t>Digital twin for factory system simulation</t>
  </si>
  <si>
    <t>10.1115/1.4051619</t>
  </si>
  <si>
    <t>Nuclear Regulatory Acceptance of Certified Process Data Reconciliation</t>
  </si>
  <si>
    <t>10.1061/(ASCE)ME.1943-5479.0000760</t>
  </si>
  <si>
    <t>Developing WSN/BIM-Based Environmental Monitoring Management System for Parking Garages in Smart Cities</t>
  </si>
  <si>
    <t>10.1109/TITS.2022.3226746</t>
  </si>
  <si>
    <t>Smart Mobility in the Cloud: Enabling Real-Time Situational Awareness and Cyber-Physical Control Through a Digital Twin for Traffic</t>
  </si>
  <si>
    <t>10.1016/j.oceaneng.2022.113610</t>
  </si>
  <si>
    <t>Construction of a digital twin system for the blended-wing-body underwater glider</t>
  </si>
  <si>
    <t>10.1016/j.autcon.2022.104375</t>
  </si>
  <si>
    <t>Enriching geometric digital twins of buildings with small objects by fusing laser scanning and AI-based image recognition</t>
  </si>
  <si>
    <t>10.1016/j.dibe.2024.100490</t>
  </si>
  <si>
    <t>Early-warning of unsafe hoisting operations: An integration of digital twin and knowledge graph</t>
  </si>
  <si>
    <t>10.15554/pcij68.5-02</t>
  </si>
  <si>
    <t>Supply chain management for modular construction using building information modeling</t>
  </si>
  <si>
    <t>10.1016/j.jii.2023.100519</t>
  </si>
  <si>
    <t>The evolution of ontology in AEC: A two-decade synthesis, application domains, and future directions</t>
  </si>
  <si>
    <t>10.3390/buildings13061559</t>
  </si>
  <si>
    <t>Immersive Technologies-Driven Building Information Modeling (BIM) in the Context of Metaverse</t>
  </si>
  <si>
    <t>10.3390/buildings12122155</t>
  </si>
  <si>
    <t>Digital Twins for Construction Assets Using BIM Standard Specifications</t>
  </si>
  <si>
    <t>10.1016/j.aei.2025.104225</t>
  </si>
  <si>
    <t>Artificial Intelligence for the Built World</t>
  </si>
  <si>
    <t>10.1016/j.autcon.2025.106150</t>
  </si>
  <si>
    <t>Real-time bridge disaster management: Enabling technology and application framework</t>
  </si>
  <si>
    <t>10.1016/j.ress.2026.113206</t>
  </si>
  <si>
    <t>Reliability-oriented Digital Twin of a building-scale rainwater treatment and reuse system under uncertain demand and climate variability</t>
  </si>
  <si>
    <t>10.3390/app15105690</t>
  </si>
  <si>
    <t>A Comprehensive Framework for Integrating Extended Reality into Lifecycle-Based Construction Safety Management</t>
  </si>
  <si>
    <t>10.1007/s11709-026-1301-0</t>
  </si>
  <si>
    <t>Creation and application of a geometric digital twin model for construction of spatial cable structures: A case study</t>
  </si>
  <si>
    <t>10.1108/CI-06-2025-0266</t>
  </si>
  <si>
    <t>A PLS-SEM based framework for enabling digital twin systems for real-time monitoring and control in construction projects</t>
  </si>
  <si>
    <t>10.36680/j.itcon.2024.008</t>
  </si>
  <si>
    <t>A REVIEW OF DRIVERS AND BARRIERS OF DIGITAL TWIN ADOPTION IN BUILDING PROJECT DEVELOPMENT PROCESSES</t>
  </si>
  <si>
    <t>10.1016/j.aei.2026.104863</t>
  </si>
  <si>
    <t>Multimodal machine learning in the AEC industry: a lifecycle-aligned review of strategies, challenges, and informatics frameworks</t>
  </si>
  <si>
    <t>10.1016/j.clet.2023.100715</t>
  </si>
  <si>
    <t>Circular economy in construction: The digital transformation perspective</t>
  </si>
  <si>
    <t>10.1016/j.autcon.2024.105777</t>
  </si>
  <si>
    <t>Digital twin non-fungible token (DT-NFT): Enabling data ownership in the AEC industry</t>
  </si>
  <si>
    <t>10.3390/buildings13020441</t>
  </si>
  <si>
    <t>BIM and Digital Twin for Developing Convergence Technologies as Future of Digital Construction</t>
  </si>
  <si>
    <t>10.7764/RIC.00168.21</t>
  </si>
  <si>
    <t>Proposal of a conceptual model of digital twins for construction sites</t>
  </si>
  <si>
    <t>10.1016/j.autcon.2026.107107</t>
  </si>
  <si>
    <t>Robotics and AI for prefabrication of steel building components: Systematic review and future roadmap</t>
  </si>
  <si>
    <t>10.1016/j.aei.2024.102884</t>
  </si>
  <si>
    <t>From BIM to Web3: A critical interpretive synthesis of present and emerging data management approaches in construction informatics</t>
  </si>
  <si>
    <t>10.21315/jcdc.2025.30.s2.10</t>
  </si>
  <si>
    <t>Structural Analysis of Construction Risk Management Assessment Model Based on Digital Twins</t>
  </si>
  <si>
    <t>10.1108/ECAM-10-2020-0880</t>
  </si>
  <si>
    <t>Metrics development and modelling the mixed reality and digital twin adoption in the context of Industry 4.0</t>
  </si>
  <si>
    <t>10.1002/wer.11139</t>
  </si>
  <si>
    <t>Enhancing efficiency and quality control: The impact of Digital Twins in drinking water networks</t>
  </si>
  <si>
    <t>10.1080/15623599.2025.2482216</t>
  </si>
  <si>
    <t>Exploring application areas of cyber-physical systems in the construction industry: a case of Nigeria</t>
  </si>
  <si>
    <t>10.1016/j.dibe.2024.100381</t>
  </si>
  <si>
    <t>AIoT-enabled digital twin system for smart tunnel fire safety management</t>
  </si>
  <si>
    <t>10.1061/(ASCE)CP.1943-5487.0000988</t>
  </si>
  <si>
    <t>Interactive and Immersive Process-Level Digital Twin for Collaborative Human-Robot Construction Work</t>
  </si>
  <si>
    <t>10.1016/j.autcon.2024.105945</t>
  </si>
  <si>
    <t>Automation in manufacturing and assembly of industrialised construction</t>
  </si>
  <si>
    <t>10.1115/1.4071434</t>
  </si>
  <si>
    <t>Enhancing Sustainability and Construction Safety Research in the Era of Artificial Intelligence</t>
  </si>
  <si>
    <t>10.32604/cmes.2026.084591</t>
  </si>
  <si>
    <t>Artificial Intelligence in Earthquake Engineering: A Systematic Review from Machine Learning to Agentic AI</t>
  </si>
  <si>
    <t>10.1061/JSDCCC.SCENG-1953</t>
  </si>
  <si>
    <t>Advancing Smart Construction Management: A Comprehensive Analysis of Digital Twin Applications and Challenges</t>
  </si>
  <si>
    <t>10.1016/j.autcon.2022.104617</t>
  </si>
  <si>
    <t>Brillouin fiber optic sensors and mobile augmented reality-based digital twins for quantitative safety assessment of underground pipelines</t>
  </si>
  <si>
    <t>10.1016/j.istruc.2025.109448</t>
  </si>
  <si>
    <t>Advancements in digital twin-enhanced health monitoring and condition assessment of cable-supported bridges</t>
  </si>
  <si>
    <t>10.1016/j.tust.2025.107207</t>
  </si>
  <si>
    <t>Intelligent technologies for tunnel construction and maintenance: A state-of-the-art review of methods and supporting platforms</t>
  </si>
  <si>
    <t>10.1061/JCEMD4.COENG-18029</t>
  </si>
  <si>
    <t>Defect Trigger Identification in a Construction Digital Twin Using Quality Linked Data and Iterative Deviation Computation</t>
  </si>
  <si>
    <t>10.1111/jiec.13360</t>
  </si>
  <si>
    <t>Three research priorities for just and sustainable urban systems: Now is the time to refocus</t>
  </si>
  <si>
    <t>10.1016/j.ress.2026.113323</t>
  </si>
  <si>
    <t>Quantifying insulation aging risks in power transformers: A spatially selective Bayesian digital twin framework</t>
  </si>
  <si>
    <t>10.23055/ijietap.2026.33.1.11445</t>
  </si>
  <si>
    <t>DECARBONIZATION THROUGH DIGITAL TWINS: INTEGRATING MANAGEMENT COMPETENCIES AND INDUSTRIAL ENERGY EFFICIENCY</t>
  </si>
  <si>
    <t>10.36680/j.itcon.2025.039</t>
  </si>
  <si>
    <t>PROPOSING A DIGITAL TWIN DATADOSE FRAMEWORK FOR ASSET MANAGEMENT IN STATE DEPARTMENTS OF TRANSPORTATION</t>
  </si>
  <si>
    <t>10.1061/JCCEE5.CPENG-4842</t>
  </si>
  <si>
    <t>Digital Twin-Based Health Care Facilities Management</t>
  </si>
  <si>
    <t>10.1016/j.autcon.2025.106202</t>
  </si>
  <si>
    <t>AI in automated sustainable construction engineering management</t>
  </si>
  <si>
    <t>10.1016/j.autcon.2025.106177</t>
  </si>
  <si>
    <t>Intelligent construction technology for reservoir dams</t>
  </si>
  <si>
    <t>10.1016/j.ress.2026.113302</t>
  </si>
  <si>
    <t>Physics-informed zero-trust digital twins for resilient and safe cloud-controlled unmanned aerial vehicles under cyber-physical attacks</t>
  </si>
  <si>
    <t>10.1016/j.autcon.2020.103370</t>
  </si>
  <si>
    <t>Teaching robots to perform quasi-repetitive construction tasks through human demonstration</t>
  </si>
  <si>
    <t>10.1016/j.autcon.2021.104091</t>
  </si>
  <si>
    <t>AI-based risk assessment for construction site disaster preparedness through deep learning-based digital twinning</t>
  </si>
  <si>
    <t>10.1155/stc/8514242</t>
  </si>
  <si>
    <t>A Digital Twin With Material Characterisation and LLM as High-Level Orchestrator via Few-Shot In-Context Learning for Closed-Loop Control in Robotic Adaptive 3DCP</t>
  </si>
  <si>
    <t>10.1108/ECAM-11-2024-1519</t>
  </si>
  <si>
    <t>A scoping review of fire safety on building construction sites: current measures, practices and future research directions</t>
  </si>
  <si>
    <t>10.1016/j.measurement.2026.122444</t>
  </si>
  <si>
    <t>Artificial intelligence-based tunnel leakage detection and monitoring: A review of sensing technologies and multimodal fusion</t>
  </si>
  <si>
    <t>10.1016/j.aej.2026.05.006</t>
  </si>
  <si>
    <t>SMAC-based cooperative hyperparameter optimization for occupational risk assessment in decentralized federated on-device AI networks</t>
  </si>
  <si>
    <t>10.1186/s43065-025-00121-7</t>
  </si>
  <si>
    <t>Integrating multi-source data for life-cycle risk assessment of bridge networks: a system digital twin framework</t>
  </si>
  <si>
    <t>10.1088/1361-6501/ae4127</t>
  </si>
  <si>
    <t>Digital twin-augmented graph convolutional network for cross-modal fault diagnosis in rocket segments with limited labeled data</t>
  </si>
  <si>
    <t>10.1061/JCCEE5.CPENG-6912</t>
  </si>
  <si>
    <t>Equitable Prioritization of Off-System Bridge Maintenance under Tornado Risk Using Inspection Data and Digital Shadows</t>
  </si>
  <si>
    <t>10.1177/14727978251366517</t>
  </si>
  <si>
    <t>Technology and implementation of safety monitoring system for power grid construction site based on intelligent video analysis</t>
  </si>
  <si>
    <t>10.1093/ce/zkag033</t>
  </si>
  <si>
    <t>From artificial intelligence for science to autonomous chemical innovation: closing the loop in energy and chemical engineering</t>
  </si>
  <si>
    <t>10.2166/wst.2026.334</t>
  </si>
  <si>
    <t>Operational intelligence for climate-resilient water systems: a systematic-integrative review of digital technologies, hydro-climatic constraints, and system-level resilience</t>
  </si>
  <si>
    <t>10.3389/fbuil.2026.1850477</t>
  </si>
  <si>
    <t>PeopleFlow: a reproducible geometry-aware multi-agent framework for evacuation safety evaluation across diversified building environments</t>
  </si>
  <si>
    <t>10.1186/s43065-025-00147-x</t>
  </si>
  <si>
    <t>Leveraging emerging technologies to address the crisis of aging concrete infrastructure</t>
  </si>
  <si>
    <t>10.1016/j.jobe.2025.112283</t>
  </si>
  <si>
    <t>Reinforcement learning for control and optimization of real buildings: Identifying and addressing implementation hurdles</t>
  </si>
  <si>
    <t>10.1016/j.oceaneng.2026.125101</t>
  </si>
  <si>
    <t>Digital disaster prevention for ocean engineering: Current progress and future directions</t>
  </si>
  <si>
    <t>10.1016/j.autcon.2025.106367</t>
  </si>
  <si>
    <t>Multi-source data-driven intelligent analysis and decision optimization for high-density pedestrian flows in urban public spaces</t>
  </si>
  <si>
    <t>10.3390/app16157675</t>
  </si>
  <si>
    <t>Data-Driven Calibration Scheduling for Measuring Instruments-A Smart Management Architecture</t>
  </si>
  <si>
    <t>10.1016/j.iintel.2026.100214</t>
  </si>
  <si>
    <t>AI-assisted fibre optic sensing frameworks for automated monitoring of railway infrastructure</t>
  </si>
  <si>
    <t>10.1016/j.psep.2020.10.016</t>
  </si>
  <si>
    <t>Reliability of multi-purpose offshore-facilities: Present status and future direction in Australia</t>
  </si>
  <si>
    <t>10.1016/j.rineng.2026.111826</t>
  </si>
  <si>
    <t>Hydrogen-powered electric vehicles: A state-of-the-art review</t>
  </si>
  <si>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</si>
  <si>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</si>
  <si>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</si>
  <si>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</si>
  <si>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</si>
  <si>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</si>
  <si>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</si>
  <si>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</si>
  <si>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</si>
  <si>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</si>
  <si>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</si>
  <si>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Safety (scope)</t>
  </si>
  <si>
    <t>The review scope is Design for Safety and construction/operational safety. Quality-only studies are out of scope.</t>
  </si>
  <si>
    <t>Prevention through Design (PtD)</t>
  </si>
  <si>
    <t>Prevention through Design = the principle of eliminating risks at the design stage before construction begins. Closely related to Design for Safety.</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</si>
  <si>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</si>
  <si>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</si>
  <si>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</si>
  <si>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</si>
  <si>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</si>
  <si>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</si>
  <si>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</si>
  <si>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</si>
  <si>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</si>
  <si>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</si>
  <si>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</si>
  <si>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</si>
  <si>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</si>
  <si>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</si>
  <si>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</si>
  <si>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</si>
  <si>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</si>
  <si>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</si>
  <si>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</si>
  <si>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</si>
  <si>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</si>
  <si>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</si>
  <si>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</si>
  <si>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</si>
  <si>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Update 2026-09-30</t>
  </si>
  <si>
    <t>Matrix rebuilt from SLR summary matrix step 1.md (956 records, 244 Stage-1 includes) and step 3.md (214 full-text coded: 200 included, 14 excluded; 30 includes awaiting full text). Differences against the previous 429-record matrix are listed in 3_Change_Log. 21 Methodology labels "Perception / Computer Vision" were normalised to "Computer Vision / CNN / object-detection".</t>
  </si>
  <si>
    <t>Update 2026-10-04</t>
  </si>
  <si>
    <t>Stage-2/3 coding replaced with SLR summary matrix step 3.md (DfS-only scope): 244 Stage-1 includes; 240 full-text coded (222 included, 18 excluded); 4 awaiting full text. Stage-1 title/abstract screening applied the earlier broader criterion (Design for Safety, Design for Quality, Prevention through Design); quality-only papers carried through were removed at Stage 2 (Q = No). 21 methodology labels "Perception / Computer Vision" normalised to "Computer Vision / CNN / object-detection". Changes vs v260930 in 3_Change_Log.</t>
  </si>
  <si>
    <t>YN</t>
  </si>
  <si>
    <t>Src</t>
  </si>
  <si>
    <t>Bin</t>
  </si>
  <si>
    <t>Tier</t>
  </si>
  <si>
    <t>DfX</t>
  </si>
  <si>
    <t>Self</t>
  </si>
  <si>
    <t>Method</t>
  </si>
  <si>
    <t>Modality</t>
  </si>
  <si>
    <t>Valid</t>
  </si>
  <si>
    <t>Cluster</t>
  </si>
  <si>
    <t>Fusion</t>
  </si>
  <si>
    <t>Conf</t>
  </si>
  <si>
    <t>Yes</t>
  </si>
  <si>
    <t>Scopus</t>
  </si>
  <si>
    <t>0</t>
  </si>
  <si>
    <t>Tier 1 - Digital Model (static, no live data)</t>
  </si>
  <si>
    <t>None</t>
  </si>
  <si>
    <t>Computer Vision / CNN / object-detection</t>
  </si>
  <si>
    <t>Single (one data type)</t>
  </si>
  <si>
    <t>Conceptual (no test)</t>
  </si>
  <si>
    <t>BIM-to-Digital-Twin architecture</t>
  </si>
  <si>
    <t>Single</t>
  </si>
  <si>
    <t>High</t>
  </si>
  <si>
    <t>No</t>
  </si>
  <si>
    <t>Web of Science</t>
  </si>
  <si>
    <t>1</t>
  </si>
  <si>
    <t>Tier 2 - Digital Shadow (one-way physical to virtual)</t>
  </si>
  <si>
    <t>Other</t>
  </si>
  <si>
    <t>Mentioned only</t>
  </si>
  <si>
    <t>Graph Neural Network (GNN)</t>
  </si>
  <si>
    <t>Multi (two or more data types)</t>
  </si>
  <si>
    <t>Simulation</t>
  </si>
  <si>
    <t>Semantic interoperability</t>
  </si>
  <si>
    <t>Co-present</t>
  </si>
  <si>
    <t>Medium</t>
  </si>
  <si>
    <t>Lens.org</t>
  </si>
  <si>
    <t>Tier 3 - Digital Twin (bidirectional, two-way)</t>
  </si>
  <si>
    <t>Implemented</t>
  </si>
  <si>
    <t>LSTM / RNN (recurrent networks)</t>
  </si>
  <si>
    <t>Lab / scale-model experiment</t>
  </si>
  <si>
    <t>Perception / Computer Vision</t>
  </si>
  <si>
    <t>Aligned</t>
  </si>
  <si>
    <t>Low</t>
  </si>
  <si>
    <t>Backward-snowball</t>
  </si>
  <si>
    <t>Tier 4 - Cognitive / Self-improving</t>
  </si>
  <si>
    <t>Convergence-characterised</t>
  </si>
  <si>
    <t>Transformer / Large Language Model (LLM)</t>
  </si>
  <si>
    <t>Single case study</t>
  </si>
  <si>
    <t>Design for Safety</t>
  </si>
  <si>
    <t>Fused</t>
  </si>
  <si>
    <t>Forward-snowball</t>
  </si>
  <si>
    <t>Unclear</t>
  </si>
  <si>
    <t>Reinforcement Learning (RL)</t>
  </si>
  <si>
    <t>Cross-project (multiple real projects)</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</si>
  <si>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</si>
  <si>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</si>
  <si>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</si>
  <si>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</si>
  <si>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</si>
  <si>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</si>
  <si>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</si>
  <si>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</si>
  <si>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</si>
  <si>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a</t>
  </si>
  <si>
    <t>b</t>
  </si>
  <si>
    <t>c</t>
  </si>
  <si>
    <t>d - 2nd duplicate (none in merged 956 corpus)</t>
  </si>
  <si>
    <t>e</t>
  </si>
  <si>
    <t>Authors (year)</t>
  </si>
  <si>
    <t>Year</t>
  </si>
  <si>
    <t>Journal</t>
  </si>
  <si>
    <t>Title</t>
  </si>
  <si>
    <t>Source database</t>
  </si>
  <si>
    <t>Stage1: Domain is AECO (built environment)?</t>
  </si>
  <si>
    <t>Stage1: Digital Twin is core (not just a buzzword)?</t>
  </si>
  <si>
    <t>Stage1: About Design for Safety / safety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</si>
  <si>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</si>
  <si>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</si>
  <si>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</si>
  <si>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</si>
  <si>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</si>
  <si>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</si>
  <si>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</si>
  <si>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 confirmed in full text?</t>
  </si>
  <si>
    <t>Stage2: Methodology is clear enough to code?</t>
  </si>
  <si>
    <t>STAGE-2 decision</t>
  </si>
  <si>
    <t>Stage-2 exclusion reason (auto)</t>
  </si>
  <si>
    <t>Deep-read: Digital Twin capability tier</t>
  </si>
  <si>
    <t>Phase: Design (1/0)</t>
  </si>
  <si>
    <t>Phase: Construction (1/0)</t>
  </si>
  <si>
    <t>Phase: Operation (1/0)</t>
  </si>
  <si>
    <t>Cross-phase? (auto)</t>
  </si>
  <si>
    <t>Deep-read: Design-for-X target (DfS scope)</t>
  </si>
  <si>
    <t>Deep-read: Self-improvement / convergence</t>
  </si>
  <si>
    <t>Deep-read: Methodology</t>
  </si>
  <si>
    <t>Deep-read: Data modality</t>
  </si>
  <si>
    <t>Deep-read: Validation level</t>
  </si>
  <si>
    <t>Deep-read: Quality appraisal score (0 to 5)</t>
  </si>
  <si>
    <t>Deep-read: Thematic cluster</t>
  </si>
  <si>
    <t>Deep-read: Key evidence / notes</t>
  </si>
  <si>
    <t>Deep-read: Strength / research gap filled</t>
  </si>
  <si>
    <t>Deep-read: Deficiencies &amp; future work</t>
  </si>
  <si>
    <t>Deep-read: Fusion depth (AC1)</t>
  </si>
  <si>
    <t>Deep-read: Fusion evidence (AC2)</t>
  </si>
  <si>
    <t>Deep-read: Fusion confidence (AC3)</t>
  </si>
  <si>
    <t>Fusion coding flag (review)</t>
  </si>
  <si>
    <t>Full-text verification (date, source, outcome)</t>
  </si>
  <si>
    <t>Ullah, F et al. (2026)</t>
  </si>
  <si>
    <t>Step-1 note: G-IoT scoping review; DT only future trend, no DfS/DfQ core</t>
  </si>
  <si>
    <t>Pavón, R.M et al. (2026)</t>
  </si>
  <si>
    <t>Step-1 note: Irrigation networks; agriculture/water domain, no safety/quality angle</t>
  </si>
  <si>
    <t>Zhu, H et al. (2025)</t>
  </si>
  <si>
    <t>Step-1 note: Coal mine tunnels; mining domain, not AECO</t>
  </si>
  <si>
    <t>Shen, Z et al. (2026)</t>
  </si>
  <si>
    <t>Step-1 note: Urban resilience/affordability DT; no DfS/DfQ focus</t>
  </si>
  <si>
    <t>Vallée, A (2026)</t>
  </si>
  <si>
    <t>Step-1 note: Clinical causal DT; healthcare domain</t>
  </si>
  <si>
    <t>Redondo, P et al. (2026)</t>
  </si>
  <si>
    <t>Step-1 note: Traffic OD calibration; SUMO as DT, not built asset</t>
  </si>
  <si>
    <t>Guo, X et al. (2026)</t>
  </si>
  <si>
    <t>Step-1 note: Truck platooning logistics; not AECO</t>
  </si>
  <si>
    <t>Hong, K et al. (2025)</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</si>
  <si>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04c-port]</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</si>
  <si>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</si>
  <si>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</si>
  <si>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Only RTK-GNSS over LoRa position tracking (1.0 cm median, 2.3 cm 95th percentile) drives the right-time analysis; no second measured data type exists.</t>
  </si>
  <si>
    <t>Step-1 note: DTCS struck-by hazard monitoring; PtD planning | Coded from Step-3 deep-read markdown (DfS-only scope), imported 2026-10-04</t>
  </si>
  <si>
    <t>Oliinyk, V et al. (2025)</t>
  </si>
  <si>
    <t>Step-1 note: Digitalisation overview; DT one of many technologies</t>
  </si>
  <si>
    <t>Zhao, B et al. (2026)</t>
  </si>
  <si>
    <t>Step-1 note: Defect dataset+segmentation; DT only deployment target</t>
  </si>
  <si>
    <t>Kaewunruen, S et al. (2025)</t>
  </si>
  <si>
    <t>Step-1 note: BIM 6D circular demolition; no live DT, no DfS/DfQ</t>
  </si>
  <si>
    <t>Al-Sadoon, N et al. (2026)</t>
  </si>
  <si>
    <t>Step-1 note: BIM-ICDD semantic linking; no DT</t>
  </si>
  <si>
    <t>Jung, B et al. (2025)</t>
  </si>
  <si>
    <t>Step-1 note: Water distribution optimization; no DT, not AECO</t>
  </si>
  <si>
    <t>Sigmund, Z et al. (2026)</t>
  </si>
  <si>
    <t>Technical note (Buildings 2026, U Zagreb): proposes a tiered edge-cloud processing framework for near-real-time automated progress monitoring and quality reporting, synthesising NORMENG field metrics (terrestrial LiDAR, UAS photogrammetry, 360-degree vision); shifts to neural rendering to bypass photogrammetric latency; lightweight edge analysis for immediate safety/progress alarms plus asynchronous high-fidelity DT updates as single source of truth. Framework only - no implementation or empirical validation (informs AutoGreenTraC). One-way sensing-&gt;analysis-&gt;reporting; no actuation, no learning loop. [Full-text source: browser-oa]</t>
  </si>
  <si>
    <t>Identifies data-acquisition latency and photogrammetric compute as the two bottlenecks and contributes a tiered edge-cloud hierarchy (millisecond safety alarms to asynchronous high-fidelity DT updates) with neural rendering as the latency bypass, grounded in NORMENG field metrics.</t>
  </si>
  <si>
    <t>No implementation or empirical validation; latency targets, neural-rendering pipeline details and DT update scheduling remain future work in AutoGreenTraC.</t>
  </si>
  <si>
    <t>LiDAR, SfM-MVS and 360-degree streams are discussed within a tiered hierarchy but no fusion mechanism is implemented or tested (framework only).</t>
  </si>
  <si>
    <t>REVIEW: fusion Unclear / Low confidence</t>
  </si>
  <si>
    <t>Step-1 note: DT framework for near-real-time progress/quality reporting | Methodology label normalised (source: "Perception / Computer Vision") | Coded from Step-3 deep-read markdown (DfS-only scope), imported 2026-10-04</t>
  </si>
  <si>
    <t>Cao, J et al. (2026)</t>
  </si>
  <si>
    <t>Step-1 note: Clean coal industrial project; not AECO built asset</t>
  </si>
  <si>
    <t>Kanyilmaz, A et al. (2026)</t>
  </si>
  <si>
    <t>Step-1 note: AI assessment case-study review; DT one of several methods</t>
  </si>
  <si>
    <t>Casini, M (2026)</t>
  </si>
  <si>
    <t>Step-1 note: River-basin water governance; not built asset</t>
  </si>
  <si>
    <t>Gao, K et al. (2026)</t>
  </si>
  <si>
    <t>Step-1 note: Mine ventilation resilience; mining domain</t>
  </si>
  <si>
    <t>Wang, G et al. (2025)</t>
  </si>
  <si>
    <t>Step-1 note: Mine auxiliary transport DT; mining domain</t>
  </si>
  <si>
    <t>Zheng, H et al. (2026)</t>
  </si>
  <si>
    <t>Step-1 note: Text-to-video fire generation; DT only future use</t>
  </si>
  <si>
    <t>Mahomed, A.S et al. (2025)</t>
  </si>
  <si>
    <t>Step-1 note: 5G smart-city review; DT beneficiary, safety peripheral</t>
  </si>
  <si>
    <t>Seng, N.H et al. (2025)</t>
  </si>
  <si>
    <t>Step-1 note: 4D BIM scientometric; no DT core</t>
  </si>
  <si>
    <t>Cui, X (2026)</t>
  </si>
  <si>
    <t>Step-1 note: AI rectification scoping review; DT one element</t>
  </si>
  <si>
    <t>Ammairih, A (2025)</t>
  </si>
  <si>
    <t>Step-1 note: Hybrid AI SHM framework; no DT built</t>
  </si>
  <si>
    <t>Zhou, X et al. (2025)</t>
  </si>
  <si>
    <t>Step-1 note: Deep-water umbilical cables; marine, not AECO</t>
  </si>
  <si>
    <t>Han, F et al. (2026)</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</si>
  <si>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04c-port]</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</si>
  <si>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</si>
  <si>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</si>
  <si>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Twenty-eight IoT sensing nodes (water pressure, gas leakage, surface temperature) are mapped into a lightweight BIM-GIS platform, and the AI risk model predicts per-asset (valve aging) rather than fusing streams.</t>
  </si>
  <si>
    <t>Step-1 note: Full-cycle municipal pipeline DT; safe operation focus | Coded from Step-3 deep-read markdown (DfS-only scope), imported 2026-10-04</t>
  </si>
  <si>
    <t>Carlini, B et al. (2025)</t>
  </si>
  <si>
    <t>Step-1 note: SAR flood mapping; GIS DT only supporting tool</t>
  </si>
  <si>
    <t>Jian, R et al. (2026)</t>
  </si>
  <si>
    <t>Step-1 note: BIM-GIS highway loop; DT integration future only</t>
  </si>
  <si>
    <t>Choi, W.G et al. (2026)</t>
  </si>
  <si>
    <t>Step-1 note: Generic DT platform; AECO application unspecified</t>
  </si>
  <si>
    <t>Liu, W et al. (2026)</t>
  </si>
  <si>
    <t>Step-1 note: Process-industry DT-safety bibliometric; not AECO</t>
  </si>
  <si>
    <t>Manocha, A et al. (2025)</t>
  </si>
  <si>
    <t>cDTSHD structural-health DT framework links building smart sensors, cloud platform, virtual model and weighted Naive Bayes value-of-structural-health analysis to identify anomalies and building-health risk from irregular sensor data. Case-study validation tests the DT/cloud platform for real-time SHM; no actuation. [Full-text source: browser-oa]</t>
  </si>
  <si>
    <t>Adds a sensor-data reliability layer to DT-enabled SHM, using weighted Naive Bayes and value-of-structural-health analysis to reduce misleading decisions from degraded sensors.</t>
  </si>
  <si>
    <t>The demonstration is mainly one case/numerical SHM setup; broader building types, sensor suites, long-term drift and quantified false-alarm behaviour need validation.</t>
  </si>
  <si>
    <t>Building smart-sensor streams, cloud SHM data and virtual structural-health state are fused through weighted Naive Bayes and value-of-structural-health change analysis.</t>
  </si>
  <si>
    <t>Step-1 note: DT + W-BBN for SHM sensor-data reliability incl. buildings | Coded from Step-3 deep-read markdown (DfS-only scope), imported 2026-10-04</t>
  </si>
  <si>
    <t>Marangwanda, G.T et al. (2026)</t>
  </si>
  <si>
    <t>Step-1 note: Power-plant boiler monitoring; not AECO</t>
  </si>
  <si>
    <t>Luning, X et al. (2025)</t>
  </si>
  <si>
    <t>Step-1 note: Energy pipeline geohazard DT; not AECO</t>
  </si>
  <si>
    <t>Čaleta, D (2025)</t>
  </si>
  <si>
    <t>Step-1 note: CI resilience policy paper; no DT</t>
  </si>
  <si>
    <t>Matsuk, Z et al. (2026)</t>
  </si>
  <si>
    <t>Step-1 note: Industrial safety Bayesian network; not AECO</t>
  </si>
  <si>
    <t>Kim, J et al. (2026)</t>
  </si>
  <si>
    <t>Step-1 note: Verticality sensing device; no DT</t>
  </si>
  <si>
    <t>Chen, Y et al. (2025)</t>
  </si>
  <si>
    <t>Step-1 note: Point-cloud dimension estimation; DT peripheral</t>
  </si>
  <si>
    <t>Liu, D et al. (2026)</t>
  </si>
  <si>
    <t>Step-1 note: Pipe welding simulation review; industrial</t>
  </si>
  <si>
    <t>Sassi, M.S.H et al. (2026)</t>
  </si>
  <si>
    <t>Step-1 note: Gas utility cognitive DT; not built asset</t>
  </si>
  <si>
    <t>Prokhorova, V.V et al. (2026)</t>
  </si>
  <si>
    <t>Step-1 note: Nuclear power plant DT; not AECO</t>
  </si>
  <si>
    <t>Heidari, M.R et al. (2026)</t>
  </si>
  <si>
    <t>Step-1 note: Neuro-cognitive safety framework; no DT</t>
  </si>
  <si>
    <t>Wang, S et al. (2026)</t>
  </si>
  <si>
    <t>Step-1 note: Bamboo random-field modelling; no DT</t>
  </si>
  <si>
    <t>Kiran, M et al. (2026)</t>
  </si>
  <si>
    <t>Step-1 note: Diabetes prediction DT; healthcare</t>
  </si>
  <si>
    <t>Kalkanlı, D et al. (2026)</t>
  </si>
  <si>
    <t>Human-centric digital twin framework (ITU/ITC, Sustainability 2026): procedural generation creates orthogonal vs organic urban morphologies; immersive VR acts as a behavioural wind tunnel to calibrate agent-based evacuation models; validated with 37 participants under day/night visibility; night evacuation in organic layouts showed greater variability and longer times, confirming spatial configuration dictates resilience. Static procedural models + VR experiments (no live data link); no actuation, no learning loop. [Full-text source: browser-oa]</t>
  </si>
  <si>
    <t>Fills the behavioral data-scarcity gap in evacuation ABMs: procedural VR with 37 participants quantifies locomotion differences between orthogonal and organic morphologies, showing night-time divergence and confirming configuration-driven resilience in data-scarce settings.</t>
  </si>
  <si>
    <t>VR experiments are controlled simulations rather than real evacuations; 37-participant sample and two archetypes limit generalisation, and the calibrated ABM is not validated against field evacuation data.</t>
  </si>
  <si>
    <t>VR-derived behavioural parameters and procedural geometry are fused into the calibrated ABM agents for evacuation simulation.</t>
  </si>
  <si>
    <t>Step-1 note: Human-centric DT + VR evacuation calibration; life safety | Coded from Step-3 deep-read markdown (DfS-only scope), imported 2026-10-04</t>
  </si>
  <si>
    <t>Liu, C et al. (2025)</t>
  </si>
  <si>
    <t>Step-1 note: Manufacturing HRC assembly; not AECO</t>
  </si>
  <si>
    <t>Cervantes E., MEng. et al. (2026)</t>
  </si>
  <si>
    <t>Step-1 note: Climate/RC bibliometric; no DT core</t>
  </si>
  <si>
    <t>Huang, H et al. (2025)</t>
  </si>
  <si>
    <t>Step-1 note: BIM-FEM pit excavation framework; no DT</t>
  </si>
  <si>
    <t>Catalán, V et al. (2025)</t>
  </si>
  <si>
    <t>Step-1 note: Industrial engine VR/DT; not AECO</t>
  </si>
  <si>
    <t>Wang, H et al. (2026)</t>
  </si>
  <si>
    <t>Step-1 note: Turbine cylinder thermo-mechanical DT; energy equipment</t>
  </si>
  <si>
    <t>Maqsoom, A et al. (2026)</t>
  </si>
  <si>
    <t>Step-1 note: 8D BIM rule-checking; DT framing only</t>
  </si>
  <si>
    <t>Repetto, M et al. (2026)</t>
  </si>
  <si>
    <t>Step-1 note: OT/IT cybersecurity DT; not AECO</t>
  </si>
  <si>
    <t>Shao, Z et al. (2026)</t>
  </si>
  <si>
    <t>Step-1 note: HVAC chiller DT; energy only, no safety/quality</t>
  </si>
  <si>
    <t>Zhu, H et al. (2026)</t>
  </si>
  <si>
    <t>Step-1 note: Transmission tower dismantling; power, not AECO</t>
  </si>
  <si>
    <t>Deng, J et al. (2026)</t>
  </si>
  <si>
    <t>Step-1 note: Bearing RUL diffusion DT; industrial machinery</t>
  </si>
  <si>
    <t>Moe, S.J.S et al. (2026)</t>
  </si>
  <si>
    <t>One-shot local Bayesian optimization + loss-weighted hyperparameter aggregation for federated learning (FL), integrated into a Digital Twin platform for device registration, orchestration, and telemetry (Jeju National U, Cluster Computing 2026): clients optimise hyperparameters locally on small data subsets, the server aggregates a single global set for collaborative training; training-method agnostic; evaluated on MNIST/EEGEyeState/Weather plus a private worker-safety dataset; 6.44% average end-to-end improvement, faster convergence, lower MAE vs simple averaging, reduced response time on Raspberry Pi AIoT clients; on-device inference supports near-real-time safety alerts to supervisors and wearables. One-way telemetry-&gt;prediction-&gt;alerts; FL retraining loop implemented but no convergence criterion and no physical actuation. [Full-text source: Endnote]</t>
  </si>
  <si>
    <t>Fills the FL-HPO gap for energy-constrained construction edge nodes: one-shot local Bayesian optimisation removes iterative client-server tuning rounds, and loss-weighted aggregation of client-proposed hyperparameters yields a single global set that improves convergence, accuracy/MAE and Raspberry-Pi response time (+6.44% end-to-end) while keeping site-sensitive safety data on-device for privacy.</t>
  </si>
  <si>
    <t>Evaluation spans three public datasets plus one private worker-safety dataset rather than a longitudinal on-site deployment; convergence of the aggregated hyperparameters is not theoretically characterised; communication/privacy of shared hyperparameters and scalability to large fleets are discussed but not empirically bounded.</t>
  </si>
  <si>
    <t>Client-proposed hyperparameters from heterogeneous local data are loss-weighted into one global FL configuration, and worker-safety telemetry is joined with the DT orchestration layer for training and inference.</t>
  </si>
  <si>
    <t>Step-1 note: Federated-learning HPO inside DT platform; worker safety | Coded from Step-3 deep-read markdown (DfS-only scope), imported 2026-10-04</t>
  </si>
  <si>
    <t>Jiang, Y et al. (2026)</t>
  </si>
  <si>
    <t>Step-1 note: AV localization; vehicles, not AECO</t>
  </si>
  <si>
    <t>Mousavi, V et al. (2026)</t>
  </si>
  <si>
    <t>RL-based decision support system for bridge maintenance inside digital-twin environments (Western Sydney U, EngAppAI 2026): multi-objective deep centralized multi-agent actor-critic (MO-DCMAC) models maintenance cost, structural failure risk and serviceability as a vector-valued reward with fixed linear utility; evaluated on three real bridge case studies vs established rule-based policies, achieving highest overall utility by penalizing high-frequency site visits and balancing intervention cost with risk mitigation. Maintenance-policy recommendations to asset managers (no automated actuation); RL training loop implemented but no convergence criterion. [Full-text source: browser-oa]</t>
  </si>
  <si>
    <t>Brings multi-objective deep RL into bridge digital twins: vector-valued reward (cost, failure risk, serviceability) with linear utility outperforms rule-based policies across three real bridge case studies, yielding fewer but more impactful interventions.</t>
  </si>
  <si>
    <t>Fixed linear utility function prevents adaptive preference trade-offs; RL convergence not characterised; policies are recommendations (no closed-loop actuation) and case studies are retrospective.</t>
  </si>
  <si>
    <t>Maintenance cost, structural failure risk and serviceability are fused in one vector-valued reward with linear scalarization for MO-DCMAC training in bridge DT environments.</t>
  </si>
  <si>
    <t>Step-1 note: RL-DSS for bridge maintenance inside bridge DT | Coded from Step-3 deep-read markdown (DfS-only scope), imported 2026-10-04</t>
  </si>
  <si>
    <t>Jakobo, E.P et al. (2025)</t>
  </si>
  <si>
    <t>Step-1 note: C4.0 adoption survey; DT one technology in list</t>
  </si>
  <si>
    <t>Balaska, V et al. (2026)</t>
  </si>
  <si>
    <t>Step-1 note: Mining metaverse UAV system; mining domain</t>
  </si>
  <si>
    <t>Li, T et al. (2025)</t>
  </si>
  <si>
    <t>Step-1 note: Power grid tower segmentation; not AECO</t>
  </si>
  <si>
    <t>Torres-Polo, M et al. (2026)</t>
  </si>
  <si>
    <t>Step-1 note: Circular CDW review; DT one enabler, no DfS/DfQ</t>
  </si>
  <si>
    <t>Martini, T et al. (2025)</t>
  </si>
  <si>
    <t>Digital urban twin for crisis management via modular distributed co-simulation (Fraunhofer SIRIOS): engineering-model simulation modules for water, electricity, gas, telecom, built environment and agent-based emergency response exchange events over a CloudEvents/FROST (SensorThings) event-stream architecture; mapping interdependencies and cascading failures among critical infrastructures; proof-of-concept on urban flooding/heavy-rainfall scenario predicting system states and structural impacts for authorities and training. Scenario-driven co-simulation; no live sensor loop demonstrated, no actuation, no learning loop. [Full-text source: Endnote]</t>
  </si>
  <si>
    <t>Fills the gap between single-sector simulations and real crisis management: a modular event-stream co-simulation maps interdependencies and cascading effects across water, electricity, gas, telecom, built environment and emergency response in one urban digital twin, demonstrated on an urban flooding proof-of-concept for authorities and training.</t>
  </si>
  <si>
    <t>Proof-of-concept covers only a flooding scenario; no live sensor ingestion or real-time operation demonstrated, validation against real crisis data is missing, and assumptions on initial conditions and monitoring availability limit accuracy for large-scale cascading failures.</t>
  </si>
  <si>
    <t>Sector simulation outputs (water/electricity/gas/telecom, buildings, emergency response) are exchanged as events in one co-simulation to compute cascading effects; modules remain loosely coupled simulators rather than a single fused model.</t>
  </si>
  <si>
    <t>Step-1 note: Urban DT co-simulation for crisis management | Coded from Step-3 deep-read markdown (DfS-only scope), imported 2026-10-04</t>
  </si>
  <si>
    <t>Candigliota, E et al. (2025)</t>
  </si>
  <si>
    <t>Multidomain monitoring integration (ENEA, Sustainability 2025): affordable NDT procedure for post-earthquake damage assessment of RC buildings; NDT results and distributed sensor nodes inserted into the LIS platform to create the building digital twin for automated monitoring, management and preventive maintenance; QR-code interface simplifies operator workflow; case study on a 2016-earthquake-damaged building in Marche, Italy (MULTICLIMACT). One-way monitoring-&gt;twin-&gt;maintenance decisions; no actuation, no learning loop. [Full-text source: browser-oa]</t>
  </si>
  <si>
    <t>Delivers an affordable, ready-to-use NDT-plus-LIS procedure that stores post-earthquake damage data in an interoperable building digital twin with distributed sensor nodes and a QR-code interface, supporting automated preventive maintenance.</t>
  </si>
  <si>
    <t>Single building case; the DT stores and visualises data but performs no predictive analytics; long-term sensor reliability and multi-site scalability are not demonstrated.</t>
  </si>
  <si>
    <t>NDT results, distributed sensor-node data and BIM geometry are integrated in the LIS platform as one building twin.</t>
  </si>
  <si>
    <t>Step-1 note: NDT + digital twin for building damage assessment | Coded from Step-3 deep-read markdown (DfS-only scope), imported 2026-10-04</t>
  </si>
  <si>
    <t>Speiser, K et al. (2026)</t>
  </si>
  <si>
    <t>Step-1 note: LLM-agent safety risk assessment; no DT built</t>
  </si>
  <si>
    <t>Mandal, D et al. (2026)</t>
  </si>
  <si>
    <t>FlowsDT-Galveston geospatial digital twin (Texas A&amp;M, Comput Environ Urban Syst 2026): 1D-2D coupled PCSWMM hydrodynamic models over LiDAR topography, land cover and storm-sewer geometry elevate the urban twin to LoD4 (underground network); validated with historical flood events and social sensing; simulates 2/10/25/50/100-yr scenarios - buildings inundated &gt;1 ft +5.7%, roads +6.7%; supports proactive flood management and urban planning. Scenario-simulation twin; real-time sensor integration only described as potential; no actuation, no learning loop. [Full-text source: browser-oa]</t>
  </si>
  <si>
    <t>Elevates urban flood digital twins to LoD4 by coupling 1D storm-sewer and 2D surface-flow models, validated against historical floods and social sensing across five return periods for street/basement-level risk mapping.</t>
  </si>
  <si>
    <t>No real-time sensor integration yet (potential only); social-sensing validation is coarse; 4D immersive visualisation is described but an interactive stakeholder interface is not delivered.</t>
  </si>
  <si>
    <t>LiDAR topography, land cover and storm-sewer geometries are fused in the coupled 1D-2D hydrodynamic model.</t>
  </si>
  <si>
    <t>Step-1 note: Geospatial urban flood DT; resilience/safety | Coded from Step-3 deep-read markdown (DfS-only scope), imported 2026-10-04</t>
  </si>
  <si>
    <t>Zhang, H et al. (2026)</t>
  </si>
  <si>
    <t>Step-1 note: Operating-room DT; healthcare</t>
  </si>
  <si>
    <t>Delhibabu, R et al. (2026)</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</si>
  <si>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04c-port]</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</si>
  <si>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</si>
  <si>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</si>
  <si>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Camera feeds drive YOLOv8 event detection while microphone and sensor streams support a separate voice-assistant pipeline in the same fog-computing platform, with no common representation stated.</t>
  </si>
  <si>
    <t>Step-1 note: Interconnected subway station DTs; incident response | Methodology label normalised (source: "Perception / Computer Vision") | Coded from Step-3 deep-read markdown (DfS-only scope), imported 2026-10-04</t>
  </si>
  <si>
    <t>Khan, M.S (2025)</t>
  </si>
  <si>
    <t>Data-driven digital-twin-based smart tunnel maintenance (Hanyang U, Intelligent Geoengineering 2025): six-layer framework integrates monitoring-system data, FM-system records and BIM models via a hierarchical tunnel data model/classification; tunnel case study generates maintenance plans and work orders from historical and current condition data with 3D visualisation; ML models predict twin state with sufficiently high accuracy for proactive FM planning and failure prevention. One-way monitoring-&gt;prediction-&gt;maintenance decisions; offline ML, no actuation, no learning loop. [Full-text source: browser-oa]</t>
  </si>
  <si>
    <t>Integrates monitoring, FM and BIM layers in one six-layer tunnel DT with a hierarchical data model, generating predictive maintenance plans and work orders that were validated on a real tunnel.</t>
  </si>
  <si>
    <t>ML model details and prediction accuracy metrics are only summarily reported; one tunnel case; no actuation or online model updating.</t>
  </si>
  <si>
    <t>Monitoring, FM and BIM data streams are fused through the hierarchical tunnel data model into one DT state.</t>
  </si>
  <si>
    <t>Step-1 note: Data-driven tunnel maintenance DT; safety/resilience | Coded from Step-3 deep-read markdown (DfS-only scope), imported 2026-10-04</t>
  </si>
  <si>
    <t>Mehrishal, S et al. (2025)</t>
  </si>
  <si>
    <t>Step-1 note: Tunnel face mapping tool; safety peripheral</t>
  </si>
  <si>
    <t>Hijjawi, M et al. (2026)</t>
  </si>
  <si>
    <t>Step-1 note: Healthcare cyber-financial DT; healthcare</t>
  </si>
  <si>
    <t>Deng, R et al. (2026)</t>
  </si>
  <si>
    <t>Safety risk perception method for high-rise construction based on DT (Chongqing Polytechnic, IJCIS 2026): improved grey relational analysis screens safety influence factors; local linear embedding reduces factor-data dimension; DT architecture establishes a bidirectional mapping between physical construction space and virtual information space, defining a construction risk index with coupling influence terms; multi-level early warning thresholds embeddable in the existing site monitoring platform; experiments (incl. immersive-VR scenario data with EEG/eye-tracking plus sensor data) give recall 96.57-99.06%, accuracy 96.76-97.89%, perception time 0.62-0.87 s. One-way monitoring-&gt;risk perception-&gt;early warning; no actuation and no learning loop. [Full-text source: Endnote]</t>
  </si>
  <si>
    <t>Fills the recall/accuracy/latency gaps of previous safety-perception methods (dual-attention, BIM+GIS, multi-class AdaBoost): grey-relational screening plus LLE plus a coupling-risk DT index reaches 96.57-99.06% recall, 96.76-97.89% accuracy and 0.62-0.87 s perception time.</t>
  </si>
  <si>
    <t>Experiments rely on simulated/VR scenario data and multi-source construction data rather than a full live high-rise deployment; grey-relational factor screening depends on expert weighting, and the mapping to an existing site monitoring platform is described as feasible but not demonstrated end-to-end on site.</t>
  </si>
  <si>
    <t>Grey-relational factor screening, LLE-reduced multi-source construction data and coupling influence terms are combined into a single construction risk index that drives hierarchical early warning.</t>
  </si>
  <si>
    <t>Step-1 note: DT risk perception for high-rise construction safety | Coded from Step-3 deep-read markdown (DfS-only scope), imported 2026-10-04</t>
  </si>
  <si>
    <t>Du, W et al. (2025)</t>
  </si>
  <si>
    <t>Taihe landslide twin combines GNSS/inclinometer monitoring, geological surveys and laboratory soil properties with a 1,162,841-particle GIMP-MPM model; state inversion and wet-dry strength degradation drive a 10-year failure forecast. No physical control loop. [Full-text source: browser-oa]</t>
  </si>
  <si>
    <t>Combines monitored Taihe landslide state with MPM inversion and wet-dry degradation laws; forecasts east-side collapse beyond 260 m by year five and deposits beyond 460 m by year ten.</t>
  </si>
  <si>
    <t>The ten-year forecast depends on an assumed annual wet-dry cycle and literature-derived degradation curves; coarse spatial/time discretization and uncertainty sensitivity remain open.</t>
  </si>
  <si>
    <t>GNSS/inclinometer and geological state observations constrain MPM inversion; lab/literature wet-dry strength evolution updates the twin state over successive long-term analysis steps.</t>
  </si>
  <si>
    <t>Step-1 note: MPM geohazard twin; disaster prevention/mitigation | Coded from Step-3 deep-read markdown (DfS-only scope), imported 2026-10-04</t>
  </si>
  <si>
    <t>Jiang, J et al. (2026)</t>
  </si>
  <si>
    <t>Step-1 note: MWD multimodal prediction; no DT</t>
  </si>
  <si>
    <t>Jahanbiglari, A et al. (2026)</t>
  </si>
  <si>
    <t>Step-1 note: Human-AI trust review; DT peripheral enabling tech</t>
  </si>
  <si>
    <t>Mukherjee, R et al. (2026)</t>
  </si>
  <si>
    <t>Step-1 note: Generic CPS zero-day security; not AECO</t>
  </si>
  <si>
    <t>Tzvetanov, K.T et al. (2025)</t>
  </si>
  <si>
    <t>Step-1 note: Active-shooter ABM; no DT, not AECO asset</t>
  </si>
  <si>
    <t>Xie, L et al. (2026)</t>
  </si>
  <si>
    <t>Step-1 note: Flood impact forecasting; no DT</t>
  </si>
  <si>
    <t>Shao, C et al. (2025)</t>
  </si>
  <si>
    <t>The Jinping-I arch-dam platform connects sensor databases, preprocessing, FEM monitoring fields and safety-warning models; it demonstrates live monitoring-data visualization and simulated flood-discharge scenes on a real dam. The paper does not report automated actuation. [Full-text source: browser-oa]</t>
  </si>
  <si>
    <t>Connects dam monitoring data, FEM fields and warning models in a real Jinping-I platform, with database preprocessing and real-time visualization for safety assessment.</t>
  </si>
  <si>
    <t>The case demonstrates platform functions but supplies limited quantified warning-performance validation; extreme-event response and emergency-plan integration remain future work.</t>
  </si>
  <si>
    <t>Sensor databases feed FEM monitoring fields and safety models in the Jinping-I platform; the text describes integrated modules but does not quantify field-level fusion accuracy.</t>
  </si>
  <si>
    <t>Step-1 note: Dam safety monitoring visualization DT platform | Coded from Step-3 deep-read markdown (DfS-only scope), imported 2026-10-04</t>
  </si>
  <si>
    <t>Akhavian, R et al. (2026)</t>
  </si>
  <si>
    <t>BIM2RDT pipeline (SDSU/UCSD, AutCon 2026): transforms static BIM into robot-ready construction digital twins; Semantic-Gravity ICP uses LLM-guided semantic reasoning to assign BIM-family-specific upright priors for low-feature scan-to-BIM registration (RMSE reduced 60-97% in high-noise controlled experiments); YOLOE open-vocabulary detection conditions perception; HAV vibration sensing written into IFC-compatible twin (IfcEvent/IfcTask) feeds context-aware cost maps for safety-aware robot path planning. Sensing-&gt;twin-&gt;planning loop with IFC updates, but robot actuation not demonstrated (navigation constraints proposed); controlled experiments only; no learning loop. [Full-text source: browser-oa]</t>
  </si>
  <si>
    <t>Semantic-Gravity ICP with LLM-inferred upright priors cuts registration RMSE by 60-97% in low-feature scenes, and the BIM2RDT loop writes sensor-detected safety activities (HAV) into IFC for context-aware robot planning.</t>
  </si>
  <si>
    <t>Controlled experiments without real construction-site robots; LLM orchestration is narrow/bounded (no long-horizon autonomy); actuation not demonstrated; generalisation across site types untested.</t>
  </si>
  <si>
    <t>BIM geometry, UGV visual observations and IoT/HAV sensing are fused in the twin, with semantic activity layers written to IFC.</t>
  </si>
  <si>
    <t>Step-1 note: BIM2RDT robot-ready DT; safety monitoring + path planning | Coded from Step-3 deep-read markdown (DfS-only scope), imported 2026-10-04</t>
  </si>
  <si>
    <t>Hasan, A et al. (2026)</t>
  </si>
  <si>
    <t>Step-1 note: Wind energy agentic AI; not AECO</t>
  </si>
  <si>
    <t>Chang, X et al. (2026)</t>
  </si>
  <si>
    <t>Step-1 note: CV-based FE model updating; no DT</t>
  </si>
  <si>
    <t>Bahreini, F et al. (2025)</t>
  </si>
  <si>
    <t>Step-1 note: Power distribution vegetation DT; not AECO</t>
  </si>
  <si>
    <t>Zhang, Y et al. (2026)</t>
  </si>
  <si>
    <t>Step-1 note: UAV/eVTOL logistics survey; not AECO</t>
  </si>
  <si>
    <t>Gusev, A.L et al. (2026)</t>
  </si>
  <si>
    <t>Step-1 note: Maglev wind turbines/hydrogen; energy, not AECO</t>
  </si>
  <si>
    <t>Kumar, A et al. (2026)</t>
  </si>
  <si>
    <t>Step-1 note: Rotor condition monitoring; industrial machinery</t>
  </si>
  <si>
    <t>Tu, W et al. (2026)</t>
  </si>
  <si>
    <t>Step-1 note: Utility tunnel monitoring framework; no DT</t>
  </si>
  <si>
    <t>Yan, H et al. (2026)</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</si>
  <si>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04c-port]</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</si>
  <si>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</si>
  <si>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</si>
  <si>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Worker trajectories (YOLOv5/SGBM/DeepSORT/MediaPipe) and BIM scene geometry jointly feed a non-autoregressive transformer plus inverse-kinematics reconstruction for 3D near-miss prediction.</t>
  </si>
  <si>
    <t>Step-1 note: DT 3D near-miss prediction; proactive safety | Coded from Step-3 deep-read markdown (DfS-only scope), imported 2026-10-04</t>
  </si>
  <si>
    <t>Sun, H et al. (2025)</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</si>
  <si>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04c-port]</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</si>
  <si>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</si>
  <si>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</si>
  <si>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TEM, GPR and borehole data are converted into point-cloud models of water content, lithology and integrity and jointly classified by a fuzzy cloud probability model into surrounding-rock classes.</t>
  </si>
  <si>
    <t>Step-1 note: Geological DT for rock tunnel; risk management | Coded from Step-3 deep-read markdown (DfS-only scope), imported 2026-10-04</t>
  </si>
  <si>
    <t>Chan, F.K.S et al. (2026)</t>
  </si>
  <si>
    <t>Ningbo smart flood management case study (UNNC/Leeds, Water 2026): assesses the city Water Bureau deployed digital twin with 3D flood mapping and real-time monitoring during typhoons In-Fa (2021) and Muifa (2022), demonstrating effective safeguarding of public safety; priorities identified: computing capacity, cross-departmental coordination, open data sharing and AI integration. Governance-level evaluation of a deployed one-way monitoring/decision-support platform; no actuation, no learning loop (AI not yet integrated). [Full-text source: browser-oa]</t>
  </si>
  <si>
    <t>Provides real-event evidence (typhoons In-Fa and Muifa) that a city-scale DT with 3D flood mapping and real-time monitoring safeguards public safety, with concrete governance recommendations for scaling.</t>
  </si>
  <si>
    <t>Second-hand evaluation of a government platform (no technical details of the twin architecture or fusion); no quantitative flood metrics; AI integration is only recommended.</t>
  </si>
  <si>
    <t>The deployed Ningbo platform integrates 3D flood mapping with real-time monitoring, but fusion architecture is not described in this governance-focused study.</t>
  </si>
  <si>
    <t>Step-1 note: Ningbo smart flood DT; public safety | Coded from Step-3 deep-read markdown (DfS-only scope), imported 2026-10-04</t>
  </si>
  <si>
    <t>Allalou, R et al. (2026)</t>
  </si>
  <si>
    <t>Step-1 note: BIM-GIS-HDM flood framework; DT future only</t>
  </si>
  <si>
    <t>Sun, J et al. (2026)</t>
  </si>
  <si>
    <t>Step-1 note: Marine machinery fault DT; offshore, not AECO</t>
  </si>
  <si>
    <t>Nguyen, T.H et al. (2026)</t>
  </si>
  <si>
    <t>Step-1 note: River flood forecasting DT; hydrology domain</t>
  </si>
  <si>
    <t>Teng, H et al. (2026)</t>
  </si>
  <si>
    <t>Step-1 note: FLAC3D-as-twin slope monitoring optimization; landslide safety | Full text not coded: Endnote candidate(s) found but identity not verified</t>
  </si>
  <si>
    <t>Domina, O et al. (2025)</t>
  </si>
  <si>
    <t>Step-1 note: Teacher digital twin in metaverse; education</t>
  </si>
  <si>
    <t>Guo, C et al. (2026)</t>
  </si>
  <si>
    <t>Step-1 note: Battery charging DRL; not AECO</t>
  </si>
  <si>
    <t>Arin, I.A et al. (2025)</t>
  </si>
  <si>
    <t>Step-1 note: Telecom fiber FSM DT; not AECO</t>
  </si>
  <si>
    <t>Na, Y et al. (2026)</t>
  </si>
  <si>
    <t>Step-1 note: Natural-period regression; no DT</t>
  </si>
  <si>
    <t>Iqbal, M et al. (2025)</t>
  </si>
  <si>
    <t>Step-1 note: IoV predictive maintenance; vehicles, not AECO</t>
  </si>
  <si>
    <t>Machado, L.B et al. (2025)</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</si>
  <si>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04c-port]</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</si>
  <si>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</si>
  <si>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</si>
  <si>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Only Faro Focus 3D X330 point-cloud data feed the procedural modelling pipeline; parametric/procedural modelling are model-generation steps, not additional measured data types.</t>
  </si>
  <si>
    <t>CHECK: Multi modality but fusion = Single</t>
  </si>
  <si>
    <t>Step-1 note: Procedural tunnel inspection DT; defect detection safety | Coded from Step-3 deep-read markdown (DfS-only scope), imported 2026-10-04</t>
  </si>
  <si>
    <t>Larsen, T.N et al. (2025)</t>
  </si>
  <si>
    <t>Step-1 note: Quadrotor urban DT; UAV navigation, not AECO</t>
  </si>
  <si>
    <t>Yin, C et al. (2026)</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</si>
  <si>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04c-port]</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</si>
  <si>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</si>
  <si>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</si>
  <si>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Only electrical-resistivity-tomography data drive the TG-FNO forward model and leakage inversion; all validation uses synthetic ERT datasets.</t>
  </si>
  <si>
    <t>Step-1 note: FNO dam leakage detection; safety monitoring | Coded from Step-3 deep-read markdown (DfS-only scope), imported 2026-10-04</t>
  </si>
  <si>
    <t>Álvaro, M.D et al. (2025)</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</si>
  <si>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04c-port]</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</si>
  <si>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</si>
  <si>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</si>
  <si>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Each video segment is timestamped and the custom Grafana plugin cross-references RTSP video streams with time-series sensor data stored in MySQL, giving video and beacon data a shared temporal frame (inference still runs on sensor series only).</t>
  </si>
  <si>
    <t>Step-1 note: GUIDE2FR firefighter tower DT; emergency safety | Coded from Step-3 deep-read markdown (DfS-only scope), imported 2026-10-04</t>
  </si>
  <si>
    <t>Zhu, D et al. (2025)</t>
  </si>
  <si>
    <t>Step-1 note: Regional resilience CAS evaluation; no DT</t>
  </si>
  <si>
    <t>Zhang, R.-Z et al. (2026)</t>
  </si>
  <si>
    <t>Step-1 note: AI reactor physics; nuclear, not AECO</t>
  </si>
  <si>
    <t>Ahani, E et al. (2026)</t>
  </si>
  <si>
    <t>Step-1 note: Structural glass SHM; no DT</t>
  </si>
  <si>
    <t>Chen, H et al. (2026)</t>
  </si>
  <si>
    <t>DT-driven shield-attitude intelligent control framework integrates sensor data, IBKA-NGBoost prediction and NSGA-III multiobjective optimization for automated optimal attitude management in a Wuhan metro underpass case, reducing seven attitude-parameter deviations and improving tunnel safety. [Full-text source: browser-oa]</t>
  </si>
  <si>
    <t>Moves shield-attitude management from prediction-only toward DT-supported optimal control, with cross-geology validation and multiobjective optimization of seven attitude indicators.</t>
  </si>
  <si>
    <t>Validation is one Wuhan metro underpass and focuses on model/control performance; fail-safe behaviour under sensor loss, communication delay and operator acceptance remain open.</t>
  </si>
  <si>
    <t>Shield-attitude sensor data feed NGBoost prediction and NSGA-III optimization; DT control output links predicted attitude deviations with optimized construction parameters.</t>
  </si>
  <si>
    <t>Step-1 note: DT-driven shield attitude control; tunnel safety | Coded from Step-3 deep-read markdown (DfS-only scope), imported 2026-10-04</t>
  </si>
  <si>
    <t>Guo, F et al. (2026)</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</si>
  <si>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04c-port]</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</si>
  <si>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</si>
  <si>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</si>
  <si>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Video, sensor, BIM and text streams are aligned at component level via Component-ID + timestamp and then jointly processed by a multimodal Transformer for operation-state recognition and short-horizon risk prediction.</t>
  </si>
  <si>
    <t>Step-1 note: DT x foundation-model closed loop for SCP; safety | Coded from Step-3 deep-read markdown (DfS-only scope), imported 2026-10-04</t>
  </si>
  <si>
    <t>Syed, T.A et al. (2026)</t>
  </si>
  <si>
    <t>Agentic AI-enhanced DT framework for smart-city civil infrastructure (Islamic U Madinah, PLOS ONE 2026): DT continuously updates asset/network models of bridges, roads and water infrastructure from multi-stream telemetry with state estimation, predictive maintenance and what-if simulation; LangChain/LangGraph Perception-Conceptualization-Action multi-agent workflow performs cross-domain reasoning and coordinated mitigation planning through controlled API calls; permissioned blockchain cryptographically binds observations, approvals and executed interventions; evaluated with 18,000 incident simulations (5 architectures x 3 complexity levels x 30 runs): mean detection latency 3,197 s vs 39,374 s, mitigation success 66.2% vs 45.5%, blockchain-anchored justifications 71.8%, operator workload -91.7%. Synthetic evaluation only (authors state no real-world operational validation); agentic recommendations with human operators; no learning loop. [Full-text source: Endnote]</t>
  </si>
  <si>
    <t>Fills the anomaly-detection-to-action gap in smart-city infrastructure management: agent-based Perception-Conceptualization-Action orchestration plus a permissioned blockchain links monitoring, reasoning and executed interventions with auditability, cutting detection latency from 39,374 s to 3,197 s and raising mitigation success to 66.2% in 18,000 simulations.</t>
  </si>
  <si>
    <t>Evaluation is fully synthetic (18,000 simulations; authors state it does not constitute real-world operational validation); mitigation actions, latency and blockchain overhead on municipal infrastructure remain unverified, and LLM-agent behaviours are not stress-tested against adversarial or data-quality issues.</t>
  </si>
  <si>
    <t>Multi-stream telemetry, state estimation, what-if simulation and blockchain-anchored action records are integrated through the agent orchestration layer into one decision pipeline.</t>
  </si>
  <si>
    <t>Step-1 note: Agentic AI DT for civil infrastructure; safe intervention | Coded from Step-3 deep-read markdown (DfS-only scope), imported 2026-10-04</t>
  </si>
  <si>
    <t>CHEN, L et al. (2025)</t>
  </si>
  <si>
    <t>Step-1 note: Aircraft strength design DT; aerospace</t>
  </si>
  <si>
    <t>Patil, V.B et al. (2026)</t>
  </si>
  <si>
    <t>Step-1 note: Industrial MSHDF review; not AECO</t>
  </si>
  <si>
    <t>Shen, W et al. (2026)</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</si>
  <si>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04c-port]</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</si>
  <si>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</si>
  <si>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</si>
  <si>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PCRNet fuses infrared imagery with point-cloud depth information, and a CNN detects anomalies on the fused representation, achieving 92% accuracy and 95.1% F1.</t>
  </si>
  <si>
    <t>Step-1 note: Reverse DT envelope anomaly mapping; safety hazards | Methodology label normalised (source: "Perception / Computer Vision") | Coded from Step-3 deep-read markdown (DfS-only scope), imported 2026-10-04</t>
  </si>
  <si>
    <t>Kudus, S.A et al. (2026)</t>
  </si>
  <si>
    <t>Step-1 note: AE bridge monitoring review; no DT core</t>
  </si>
  <si>
    <t>Jiang, L et al. (2026)</t>
  </si>
  <si>
    <t>Step-1 note: Legal liability framework; no DT built</t>
  </si>
  <si>
    <t>Zhou, J et al. (2025)</t>
  </si>
  <si>
    <t>Step-1 note: Traffic DT HD-map architecture; no DfS/DfQ</t>
  </si>
  <si>
    <t>Li, Y et al. (2026)</t>
  </si>
  <si>
    <t>Step-1 note: Generic FL networking for DT; domain unspecified</t>
  </si>
  <si>
    <t>Zohourian, M et al. (2026)</t>
  </si>
  <si>
    <t>Step-1 note: Broad AI-in-construction review; DT one technology</t>
  </si>
  <si>
    <t>Fan, T et al. (2026)</t>
  </si>
  <si>
    <t>Step-1 note: Coal mine tunneling navigation; mining domain</t>
  </si>
  <si>
    <t>Lee, M.-H et al. (2026)</t>
  </si>
  <si>
    <t>Step-1 note: Transgender health phenomenology; non-AECO</t>
  </si>
  <si>
    <t>Cueva, M et al. (2026)</t>
  </si>
  <si>
    <t>Step-1 note: GIS tree-fall mapping; DT only data source</t>
  </si>
  <si>
    <t>Salmi, J et al. (2025)</t>
  </si>
  <si>
    <t>Step-1 note: BIM for mining; mining domain</t>
  </si>
  <si>
    <t>Tian, J et al. (2026)</t>
  </si>
  <si>
    <t>A 186 m rockfill-dam twin links displacement, piezometer and earth-pressure sensors with ABAQUS-generated fields; GAT models derive deformation, seepage and stress states, and a LoRA-tuned DeepSeek model reasons over fault causes and mitigation. [Full-text source: browser-oa]</t>
  </si>
  <si>
    <t>Joins GAT/FEM multi-physics fields to structured engineering semantics and a dam-specific LLM, grounding fault causes and mitigation recommendations in monitoring data and dam standards.</t>
  </si>
  <si>
    <t>Validation is limited to one dam and the LLM recommendations are not shown in an operational intervention loop; broader projects and recommendation verification are needed.</t>
  </si>
  <si>
    <t>Deformation, seepage and stress sensors are combined with ABAQUS source-domain simulations through GAT transfer learning; resulting fields feed KG-grounded LLM reasoning.</t>
  </si>
  <si>
    <t>Step-1 note: Earth-rock dam DT fault diagnosis + LLM; operational safety | Coded from Step-3 deep-read markdown (DfS-only scope), imported 2026-10-04</t>
  </si>
  <si>
    <t>Hueros-Barrios, P.J et al. (2026)</t>
  </si>
  <si>
    <t>Step-1 note: PV-PEM-BESS hydrogen testbed; energy, not AECO</t>
  </si>
  <si>
    <t>Samaei, S.R et al. (2026)</t>
  </si>
  <si>
    <t>Closed-loop SHM digital twin for offshore high-pile wharves (Islamic Azad U/WSSET, Future Cities and Environment 2026): 12-month field deployment instrumented six piles with triaxial accelerometers and strain gauges (GPS-synchronised, 100 Hz); unsupervised VAE anomaly score fused with CNN-GNN classifier for window-level damage probabilities and pile-by-elevation localisation; DT assimilates diagnostics via weighted least squares + EKF with model-uncertainty-derived covariance; what-if simulations quantify repair consequences; F1 0.95, AUC-ROC 0.98, false-alarm 2-5%, median detection latency ~45 s; online updating reduces frequency bias 4.8%-&gt;0.9% and raises mode-shape MAC 0.81-&gt;0.92. Monitoring-&gt;diagnostics-&gt;risk-informed maintenance planning (no actuation); online model updating implemented, no convergence criterion. [Full-text source: browser-oa]</t>
  </si>
  <si>
    <t>Closes the loop between multimodal DL diagnostics and continuous physics-based model updating on a real operating wharf: EKF assimilation with field-derived uncertainty cuts frequency bias to 0.9% and lifts MAC to &gt;=0.92, with 45 s median detection latency and 2-5% false alarms.</t>
  </si>
  <si>
    <t>Single wharf deployment; VAE-CNN-GNN fusion weights and EKF tuning details partially reported; what-if repair scenarios are diagnostic, not actuated; long-term drift under extreme storms unverified.</t>
  </si>
  <si>
    <t>VAE anomaly scores are fused with CNN-GNN classifier outputs into window-level damage probabilities, and diagnostics are assimilated with physics via EKF into one twin state.</t>
  </si>
  <si>
    <t>Step-1 note: Offshore high-pile wharf SHM with physics DT; safety | Coded from Step-3 deep-read markdown (DfS-only scope), imported 2026-10-04</t>
  </si>
  <si>
    <t>Nguyen, P et al. (2026)</t>
  </si>
  <si>
    <t>Step-1 note: Generic CI security orchestration; not AECO</t>
  </si>
  <si>
    <t>Ashwini, R et al. (2026)</t>
  </si>
  <si>
    <t>Step-1 note: Battery BMS federated DT; not AECO</t>
  </si>
  <si>
    <t>Jin, T et al. (2026)</t>
  </si>
  <si>
    <t>Step-1 note: Crack-detection CNN; no DT</t>
  </si>
  <si>
    <t>Gupta, D.K (2026)</t>
  </si>
  <si>
    <t>Step-1 note: Hydrogen pipeline safety review; energy pipelines</t>
  </si>
  <si>
    <t>Rocca, I et al. (2026)</t>
  </si>
  <si>
    <t>Drone photogrammetry produced approximately 700 images per facade; total-station GCPs and terrestrial survey provide coordinate checks. Two Venice church-facade models achieved sub-centimetre control-point error and support static/seismic vulnerability analysis. [Full-text source: browser-oa]</t>
  </si>
  <si>
    <t>Converts high-resolution UAV/terrestrial survey into volume-correct facade and statue models; sub-centimetre control-point accuracy supports stress and vulnerability analysis.</t>
  </si>
  <si>
    <t>The twins are survey-based rather than continuously synchronized; two facades and literature-assumed material properties limit generalization and seismic validation.</t>
  </si>
  <si>
    <t>UAV photogrammetry, terrestrial scans and GCPs share a common coordinate reference, but terrestrial data mainly provide context and validation rather than a joint analytic stream.</t>
  </si>
  <si>
    <t>Step-1 note: Drone-surveyed heritage facade DT; vulnerability/safety | Coded from Step-3 deep-read markdown (DfS-only scope), imported 2026-10-04</t>
  </si>
  <si>
    <t>Villaverde, I et al. (2026)</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</si>
  <si>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04c-port]</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</si>
  <si>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</si>
  <si>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</si>
  <si>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UAV and AMR measurements are geo-registered and merged via MQTT/Node-RED into ontology-based KPI dashboards, sharing a geospatial frame while KPI analytics run per asset type.</t>
  </si>
  <si>
    <t>Step-1 note: UAV+AMR road maintenance DT; operational safety | Methodology label normalised (source: "Perception / Computer Vision") | Coded from Step-3 deep-read markdown (DfS-only scope), imported 2026-10-04</t>
  </si>
  <si>
    <t>Wang, Y et al. (2026)</t>
  </si>
  <si>
    <t>Step-1 note: Campus DT affordability mapping; economics, no DfS/DfQ</t>
  </si>
  <si>
    <t>Roversi, R et al. (2026)</t>
  </si>
  <si>
    <t>Step-1 note: Port building cluster DT; industrial port domain</t>
  </si>
  <si>
    <t>Xu, D et al. (2026)</t>
  </si>
  <si>
    <t>Step-1 note: Deepwater well construction DT; offshore energy</t>
  </si>
  <si>
    <t>Chi, Y et al. (2026)</t>
  </si>
  <si>
    <t>Physics-guided multi-fidelity Bayesian neural network for concrete arch-dam DT monitoring combines FEM-generated low-fidelity data with prototype monitoring data via transfer learning and Bayesian uncertainty quantification to support online deformation prediction, safety monitoring and risk early warning. [Full-text source: browser-oa]</t>
  </si>
  <si>
    <t>Combines mechanics-based simulation and monitoring data in a probabilistic transfer-learning framework, improving dam deformation prediction under unseen operating conditions.</t>
  </si>
  <si>
    <t>Evidence is one concrete arch dam with prototype monitoring data; long-term online deployment, abrupt abnormal events and broader dam geometries need testing.</t>
  </si>
  <si>
    <t>FEM-generated low-fidelity deformation data and high-fidelity monitoring data are aligned through transfer learning, MIMO response modelling and Bayesian uncertainty estimation.</t>
  </si>
  <si>
    <t>Step-1 note: Arch dam deformation PGMF-BNN DT; safety monitoring | Coded from Step-3 deep-read markdown (DfS-only scope), imported 2026-10-04</t>
  </si>
  <si>
    <t>Ostwald, M.J et al. (2026)</t>
  </si>
  <si>
    <t>Step-1 note: Evacuation simulation review; no DT core</t>
  </si>
  <si>
    <t>Ferrara, M et al. (2026)</t>
  </si>
  <si>
    <t>Step-1 note: Bridge dynamic identification; no DT</t>
  </si>
  <si>
    <t>He, M et al. (2026)</t>
  </si>
  <si>
    <t>Step-1 note: UAV swarm DRL; not AECO; Chinese full text</t>
  </si>
  <si>
    <t>Vien, B.S et al. (2025)</t>
  </si>
  <si>
    <t>Step-1 note: Treatment-plant lagoon covers; not built asset</t>
  </si>
  <si>
    <t>Yoon, J et al. (2026)</t>
  </si>
  <si>
    <t>Digital-twin map topology for deep underground railway evacuation (Halla U/Pluxity, Buildings 2026): multi-layer topological map from high-fidelity geometry decomposing Suseo Station into functional regions; dynamic hazard-aware routing via edge-weight adjustment for blocked exits, fire-shutter operations and smoke-infiltrated domains; ten scenarios (fire origin, exit availability, vertical-circulation failure, passenger loads) with CFD smoke and Pathfinder agent simulation; vertical stairways identified as critical choke points; guided evacuation strategies restore NFPA 130/KRCODE compliance. Scenario-simulation framework (no live deployment); no actuation, no learning loop. [Full-text source: browser-oa]</t>
  </si>
  <si>
    <t>Multi-layer DT map topology with dynamic hazard-aware edge weighting reveals vertical-circulation bottlenecks in a 40-50 m deep station and shows guided strategies restore NFPA 130/KRCODE compliance even at full load.</t>
  </si>
  <si>
    <t>Scenario-based simulation without live hazard sensing; CFD-ABM coupling details simplified; no physical deployment of the routing system.</t>
  </si>
  <si>
    <t>Architectural topology, CFD smoke fields and agent dynamics are fused in hazard-aware edge weights driving one evacuation simulation.</t>
  </si>
  <si>
    <t>Step-1 note: Deep-underground railway evacuation DT; fire safety | Coded from Step-3 deep-read markdown (DfS-only scope), imported 2026-10-04</t>
  </si>
  <si>
    <t>Shin, S et al. (2025)</t>
  </si>
  <si>
    <t>Step-1 note: Point-cloud registration; DT enabling only</t>
  </si>
  <si>
    <t>Step-1 note: Smart grid MBSE security; not AECO</t>
  </si>
  <si>
    <t>Khan, F.M et al. (2026)</t>
  </si>
  <si>
    <t>Step-1 note: IoV collision avoidance FL; vehicles, not AECO</t>
  </si>
  <si>
    <t>Karatzas, S et al. (2026)</t>
  </si>
  <si>
    <t>Conceptual paper (JCHMSD): socio-technical framework of multi-level interacting digital twins integrating social dynamics (values, senses, attitudes) with building and environmental data for heritage building management, adopting a Whole-Building and system-dynamics approach. No digital twin is built, implemented or empirically tested - the authors explicitly note the lack of empirical analysis and propose pilot testing as future work. P=No, R=No -&gt; Stage-2 exclude. [Full-text source: Endnote]</t>
  </si>
  <si>
    <t>Step-1 note: Heritage building DT with social dynamics; safety in scope | Stage-2 exclusion basis: P=No; R=No | Coded from Step-3 deep-read markdown (DfS-only scope), imported 2026-10-04</t>
  </si>
  <si>
    <t>Yang, C et al. (2026)</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</si>
  <si>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04c-port]</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</si>
  <si>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</si>
  <si>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</si>
  <si>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SHAP-selected multi-parameter shield monitoring feeds the ABC-NSGA-III hybrid optimiser, whose six-objective output is fed back into the DT to guide tunnelling parameter adjustment.</t>
  </si>
  <si>
    <t>Step-1 note: Shield tunneling parameter MOO inside DT; safety | Coded from Step-3 deep-read markdown (DfS-only scope), imported 2026-10-04</t>
  </si>
  <si>
    <t>Romo, M.S et al. (2026)</t>
  </si>
  <si>
    <t>Step-1 note: ITS federated learning review; transportation</t>
  </si>
  <si>
    <t>Zhang, L et al. (2026)</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</si>
  <si>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04c-port]</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</si>
  <si>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</si>
  <si>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</si>
  <si>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Scale-model sensor feedback, a DNN-PID dynamic-error-compensation controller and RL-tuned parameters are combined in the closed-loop synchronous jacking control, whose command output depends on measured and model streams simultaneously.</t>
  </si>
  <si>
    <t>Step-1 note: ABM synchronous jacking control DT; structural safety | Coded from Step-3 deep-read markdown (DfS-only scope), imported 2026-10-04</t>
  </si>
  <si>
    <t>Shi, F et al. (2026)</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</si>
  <si>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04c-port]</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</si>
  <si>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</si>
  <si>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</si>
  <si>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Monitoring-point displacements are mapped onto the surrogate-model full-field predictions for the Donglingxin landslide, sharing the model frame, while the surrogate itself learns from simulation rather than live sensor feedback.</t>
  </si>
  <si>
    <t>Step-1 note: Slope surrogate-model DT; landslide safety monitoring | Coded from Step-3 deep-read markdown (DfS-only scope), imported 2026-10-04</t>
  </si>
  <si>
    <t>Guo, M et al. (2025)</t>
  </si>
  <si>
    <t>Residential quality-monitoring DT focuses on deformation/settlement and quality-management data integration; no DfS outcome is evaluated. Q=No under DfS-only scope. [Full-text source: 04c-port]</t>
  </si>
  <si>
    <t>Step-1 note: Sky-space-ground RBIM DT; residential quality monitoring | Stage-2 exclusion basis: Q=No | Coded from Step-3 deep-read markdown (DfS-only scope), imported 2026-10-04</t>
  </si>
  <si>
    <t>Yu, H (2025)</t>
  </si>
  <si>
    <t>Step-1 note: Nuclear power plant DT safety; not AECO</t>
  </si>
  <si>
    <t>Tan, Z et al. (2026)</t>
  </si>
  <si>
    <t>DT-based multi-objective parameter identification for a cable-stayed bridge (SWJTU, Structures 2026): multi-objective optimization matches measured frequencies, mode shapes and deflections; adaptive reference-point relocation for irregular Pareto fronts, sensitivity-informed variation operators, hybrid quasi-Newton local search; case study on a 580-m cable-stayed bridge: up to 52% reduction in parameter-identification error and 25-35% runtime reduction vs NSGA-II/NSGA-III, errors consistently below 3% in robustness analysis; supports bridge condition assessment and maintenance optimization. One-way measured responses-&gt;model updating-&gt;condition assessment; no actuation and no learning loop. [Full-text source: Endnote]</t>
  </si>
  <si>
    <t>Fills the single-objective parameter-identification weakness: multi-objective matching of frequencies, mode shapes and deflections with sensitivity-informed operators and quasi-Newton refinement cuts identification error by up to 52% and runtime by 25-35% vs NSGA-II/III, with robustness errors below 3%.</t>
  </si>
  <si>
    <t>Single-bridge case study; optimisation relies on measured frequencies/mode shapes/deflections of one cable-stayed bridge, and robustness under noise, temperature effects and long-term deterioration is only partially explored; no live continuous updating demonstrated.</t>
  </si>
  <si>
    <t>Frequencies, mode shapes and deflections are jointly matched in one multi-objective identification of bridge parameters.</t>
  </si>
  <si>
    <t>Step-1 note: Cable-stayed bridge parameter identification DT; safety | Coded from Step-3 deep-read markdown (DfS-only scope), imported 2026-10-04</t>
  </si>
  <si>
    <t>Lee, J.-Y et al. (2026)</t>
  </si>
  <si>
    <t>Step-1 note: Wind turbine blade fatigue; energy, not AECO</t>
  </si>
  <si>
    <t>Step-1 note: Traffic safety analytics DT; transportation domain</t>
  </si>
  <si>
    <t>Ceken, S et al. (2026)</t>
  </si>
  <si>
    <t>Step-1 note: AI aviation review; not AECO</t>
  </si>
  <si>
    <t>Dholakia, N et al. (2026)</t>
  </si>
  <si>
    <t>Step-1 note: GenAI+DT overview; generic domains</t>
  </si>
  <si>
    <t>Zhao, S et al. (2026)</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</si>
  <si>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04c-port]</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</si>
  <si>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</si>
  <si>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</si>
  <si>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Stochastic geology (Markov random field), AHP-DEMATEL vulnerability evaluation and delay probability densities are combined inside one discrete-event simulation model whose schedule/safety outputs depend on all inputs.</t>
  </si>
  <si>
    <t>Step-1 note: NATM tunnel DT process simulation; uncertainty/risk | Coded from Step-3 deep-read markdown (DfS-only scope), imported 2026-10-04</t>
  </si>
  <si>
    <t>Bucaioni, A et al. (2026)</t>
  </si>
  <si>
    <t>Step-1 note: Essential-services DT overview; cross-sector, not AECO</t>
  </si>
  <si>
    <t>Çetin, S.G et al. (2026)</t>
  </si>
  <si>
    <t>Step-1 note: Lunar communication networks; not AECO</t>
  </si>
  <si>
    <t>Hatami, M et al. (2025)</t>
  </si>
  <si>
    <t>Step-1 note: Smart grid DT authentication; not AECO</t>
  </si>
  <si>
    <t>Li, M et al. (2026)</t>
  </si>
  <si>
    <t>Step-1 note: Coal seam intelligent control; mining; Chinese journal</t>
  </si>
  <si>
    <t>Russo, L et al. (2026)</t>
  </si>
  <si>
    <t>Step-1 note: Urban DT + ABM conceptual agenda; safety peripheral</t>
  </si>
  <si>
    <t>Ohiemi, I.E et al. (2026)</t>
  </si>
  <si>
    <t>Step-1 note: Hydropower CFD digitalisation; energy, not AECO</t>
  </si>
  <si>
    <t>Chen, X et al. (2026)</t>
  </si>
  <si>
    <t>Step-1 note: Vehicle point-cloud completion; vehicles, not AECO</t>
  </si>
  <si>
    <t>Ou, F et al. (2025)</t>
  </si>
  <si>
    <t>Step-1 note: AHP utility-tunnel risk assessment; DT only mentioned</t>
  </si>
  <si>
    <t>Yang, S.-W et al. (2025)</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</si>
  <si>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04c-port]</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</si>
  <si>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</si>
  <si>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</si>
  <si>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Vibration, tilt, light, air-quality and water-detection sensors are synchronised to a LOD 400 BIM model via Autodesk Forge API and WebSockets, with two-tier anomaly detection running per channel.</t>
  </si>
  <si>
    <t>Step-1 note: BIM+DT noise-barrier tunnel monitoring; maintenance safety | Coded from Step-3 deep-read markdown (DfS-only scope), imported 2026-10-04</t>
  </si>
  <si>
    <t>Al-Ammari, W.A et al. (2025)</t>
  </si>
  <si>
    <t>Step-1 note: Gas pipeline leak DT; energy pipelines, not AECO</t>
  </si>
  <si>
    <t>Hermawan, R et al. (2026)</t>
  </si>
  <si>
    <t>Step-1 note: LLM log analysis; DT is testbed only</t>
  </si>
  <si>
    <t>Zhumadillayeva, A et al. (2025)</t>
  </si>
  <si>
    <t>Step-1 note: YOLO road anomaly framework; DT environment peripheral</t>
  </si>
  <si>
    <t>Sun, J et al. (2025)</t>
  </si>
  <si>
    <t>Step-1 note: CNC tool-wear DT; manufacturing</t>
  </si>
  <si>
    <t>Ruiz-Díaz, C et al. (2026)</t>
  </si>
  <si>
    <t>Step-1 note: OpenBIM DT for material sustainability; no DfS/DfQ core</t>
  </si>
  <si>
    <t>Pérez, N et al. (2026)</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</si>
  <si>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04c-port]</t>
  </si>
  <si>
    <t>Step-1 note: SLR: embedded sensors + DT integration for SHM/durability | Stage-2 exclusion basis: P=No; Q=No; R=No | Coded from Step-3 deep-read markdown (DfS-only scope), imported 2026-10-04</t>
  </si>
  <si>
    <t>Gulisano, F et al. (2026)</t>
  </si>
  <si>
    <t>Step-1 note: Self-sensing asphalt material study; DT motivating only</t>
  </si>
  <si>
    <t>Song, W et al. (2026)</t>
  </si>
  <si>
    <t>Step-1 note: Utility tunnel forecasting model; no DT built</t>
  </si>
  <si>
    <t>Wang, M et al. (2026)</t>
  </si>
  <si>
    <t>Partially validated probabilistic framework for urban seismic damage prediction with scenario ensembles and DTs (IEEE Access 2026): four layers - data fusion, digital twin modelling, scenario ensemble simulation, probabilistic assessment; PI-GAN generates ground motions (&lt;=5% PGA error, &lt;=10% response-spectrum error); probabilistic damage-cloud module reaches 77.7% classification accuracy (79.5% recall, 87.3% precision, 83.2% F1) and 89.3% structure-damage matching, validated on the 2021 Yangbi Ms6.4 earthquake (single event, single region); cascading-failure and social-behaviour modules are conceptual only; M&gt;=7.0 extreme scenarios and full-chain validation explicitly future work. Scenario/simulation DT - no live data loop, no actuation, no learning loop. [Full-text source: Endnote]</t>
  </si>
  <si>
    <t>Fills the long-tail-risk gap in urban seismic damage prediction: a four-layer probabilistic framework with PI-GAN ground motions (&lt;=5% PGA error) and a probabilistic damage-cloud module (77.7% accuracy, 89.3% matching) validated on the 2021 Yangbi Ms6.4 earthquake, while explicitly declaring which modules remain conceptual.</t>
  </si>
  <si>
    <t>Only two of four modules validated, on a single event and region (2021 Yangbi Ms6.4); M&gt;=7.0 extreme scenarios, cascading-failure and social-behaviour modules are conceptual; full-chain validation explicitly future work.</t>
  </si>
  <si>
    <t>PI-GAN ground-motion generation and the probabilistic damage-cloud module are validated separately (single event); cascading-failure and social-behaviour modules are only aligned by design, not fused or validated.</t>
  </si>
  <si>
    <t>Step-1 note: Urban seismic damage DT framework; urban safety | Coded from Step-3 deep-read markdown (DfS-only scope), imported 2026-10-04</t>
  </si>
  <si>
    <t>Alnfiai, M.M et al. (2026)</t>
  </si>
  <si>
    <t>Step-1 note: Cross-domain DT security framework; not AECO</t>
  </si>
  <si>
    <t>Marsollek, L et al. (2026)</t>
  </si>
  <si>
    <t>Step-1 note: Modular chemical plants; process industry</t>
  </si>
  <si>
    <t>Wang, S et al. (2025)</t>
  </si>
  <si>
    <t>Step-1 note: Miter-gate vision measurement; DT synthetic testbed only</t>
  </si>
  <si>
    <t>Wang, X et al. (2025)</t>
  </si>
  <si>
    <t>Step-1 note: Oil/gas pipeline smart-liner DT; energy, not AECO</t>
  </si>
  <si>
    <t>Luo, J et al. (2026)</t>
  </si>
  <si>
    <t>Step-1 note: UAV wireless trajectory DT; not AECO</t>
  </si>
  <si>
    <t>Li, X et al. (2026)</t>
  </si>
  <si>
    <t>Step-1 note: EC-YOLO pavement detection; no DT built</t>
  </si>
  <si>
    <t>Ku, D et al. (2026)</t>
  </si>
  <si>
    <t>Step-1 note: Surveillance stress-testing DT; not built asset</t>
  </si>
  <si>
    <t>Ren, G (2026)</t>
  </si>
  <si>
    <t>Physics-informed neural network edge-cloud collaborative DT for predictive maintenance of ageing railway signalling equipment (Shaanxi College, IJICT 2026): adaptive pigeon-inspired optimised PINN (API-PINN) integrates electromechanical degradation physics with operational data to forecast faults and estimate RUL; edge nodes run low-latency real-time anomaly detection, cloud performs model training; on real-world railway signalling datasets accuracy 98.77% and R2 0.968, robust under noisy and imbalanced data; enables proactive maintenance scheduling, cost and downtime reduction, safety improvement. One-way telemetry-&gt;fault/RUL prediction-&gt;maintenance decisions; offline-trained model, no actuation, no online learning loop. [Full-text source: Endnote]</t>
  </si>
  <si>
    <t>Fills the maintenance-scheduling gap for ageing railway signalling: API-PINN embeds electromechanical degradation physics into operational data, achieving 98.77% accuracy and R2 0.968 with edge-side real-time anomaly detection and cloud training, robust to noisy and imbalanced data.</t>
  </si>
  <si>
    <t>Single-domain railway signalling dataset; the API-PINN framework is validated offline and the edge-cloud deployment is described rather than measured in service; degradation-physics completeness and RUL uncertainty quantification are limited.</t>
  </si>
  <si>
    <t>Electromechanical degradation physics and operational telemetry are fused inside the API-PINN loss/training for joint fault forecasting and RUL estimation.</t>
  </si>
  <si>
    <t>Step-1 note: Railway signalling PINN edge-cloud DT; RUL + safety | Coded from Step-3 deep-read markdown (DfS-only scope), imported 2026-10-04</t>
  </si>
  <si>
    <t>Yu, J et al. (2026)</t>
  </si>
  <si>
    <t>Step-1 note: BIM+mechanism levee algorithms; DT downstream use only</t>
  </si>
  <si>
    <t>Singh, S et al. (2026)</t>
  </si>
  <si>
    <t>Step-1 note: GIS MCA vulnerability; DT only future integration</t>
  </si>
  <si>
    <t>Mendhe, V et al. (2026)</t>
  </si>
  <si>
    <t>Step-1 note: RC design optimization; DT for CO2 feedback only</t>
  </si>
  <si>
    <t>Rinaldi, C et al. (2025)</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</si>
  <si>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04c-port]</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</si>
  <si>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</si>
  <si>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</si>
  <si>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BIM and FEM share one digital replica via Parasolid export, and the September-2023 magnitude-6.8 earthquake monitoring records corroborate the FEM results, with analyses run per stage.</t>
  </si>
  <si>
    <t>Step-1 note: BIM-FEM-SHM dam seismic framework; safety | Coded from Step-3 deep-read markdown (DfS-only scope), imported 2026-10-04</t>
  </si>
  <si>
    <t>Korkmaz, M et al. (2025)</t>
  </si>
  <si>
    <t>Open-source district-level digital twin for earthquake disaster management (Gebze Technical U, Sustainability 2025): QGIS + Autodesk InfraWorks model of Cayirova district integrating geospatial, environmental, transportation, utility and demographic data as a unified 2D/3D digital database supporting risk assessment, response planning and recovery coordination; first district-level open-source DT in Cayirova. Static digital model/database - expected future use for seismic risk assessment; no simulation results, no live data, no actuation, no learning loop. [Full-text source: browser-oa]</t>
  </si>
  <si>
    <t>Provides the first open-source district-level DT database for earthquake disaster management in Cayirova, unifying geospatial and building data for faster data-driven emergency decisions.</t>
  </si>
  <si>
    <t>Digital model/database only - no risk analysis results or simulation shown; expected benefits (resilience, logistics) are unquantified; maintenance of the open data model over time unspecified.</t>
  </si>
  <si>
    <t>Geospatial, environmental, transport, utility and demographic layers are combined in one QGIS/InfraWorks database rather than analytically fused.</t>
  </si>
  <si>
    <t>Step-1 note: District-level earthquake disaster DT; resilience | Coded from Step-3 deep-read markdown (DfS-only scope), imported 2026-10-04</t>
  </si>
  <si>
    <t>Ahmad, M.U et al. (2026)</t>
  </si>
  <si>
    <t>SUMO-CARLA generated 5,000 work-zone cases; simulated camera, LiDAR and radar detections are fused with SORT/EKF and HPNet plus Lanelet2 maps predict trajectories. The collision model generates proactive work-zone safety alerts in simulation. [Full-text source: browser-oa]</t>
  </si>
  <si>
    <t>Combines roadside sensor fusion, lane-level HD maps and multimodal HPNet predictions to generate geometric vehicle-conflict alerts before work-zone collisions.</t>
  </si>
  <si>
    <t>Warnings were evaluated on simulator-generated work-zone data, whose driver variability is lower than real traffic; roadside field deployment and alert-response effects remain untested.</t>
  </si>
  <si>
    <t>Camera, LiDAR and radar detections are spatially aligned and temporally associated, then fused by EKF into trajectories; HPNet consumes trajectories and Lanelet2 road context.</t>
  </si>
  <si>
    <t>Step-1 note: Work-zone trajectory DT; proactive conflict warning | Coded from Step-3 deep-read markdown (DfS-only scope), imported 2026-10-04</t>
  </si>
  <si>
    <t>Lin, M et al. (2026)</t>
  </si>
  <si>
    <t>Step-1 note: DL fire temperature fields; DT application target only</t>
  </si>
  <si>
    <t>Fikri, A.A et al. (2025)</t>
  </si>
  <si>
    <t>Step-1 note: Railway geometry sensor fusion; DT future only</t>
  </si>
  <si>
    <t>Xu, G et al. (2025)</t>
  </si>
  <si>
    <t>Step-1 note: Traffic safety co-simulation DT; transportation</t>
  </si>
  <si>
    <t>Huang, R et al. (2025)</t>
  </si>
  <si>
    <t>Step-1 note: Interior planning DT; security/energy, no DfS/DfQ</t>
  </si>
  <si>
    <t>Hurtado, E et al. (2026)</t>
  </si>
  <si>
    <t>Step-1 note: Robotic vaccination DT; agriculture</t>
  </si>
  <si>
    <t>Zhou, Z et al. (2026)</t>
  </si>
  <si>
    <t>Step-1 note: Propellant extrusion DT; manufacturing</t>
  </si>
  <si>
    <t>Guardia, M et al. (2025)</t>
  </si>
  <si>
    <t>Step-1 note: Territorial WebGIS precipitation; DT framing only</t>
  </si>
  <si>
    <t>Tian, G et al. (2026)</t>
  </si>
  <si>
    <t>Step-1 note: LES spin-up acceleration; DT application only</t>
  </si>
  <si>
    <t>Okur, F.Y (2025)</t>
  </si>
  <si>
    <t>Test-assisted digital twin for structural stiffness assessment of Cho'ponota L1 bridge (Karadeniz Technical U, Applied Sciences 2025): OMA plus 28 static and 24 dynamic vehicular load cases; geodetic displacements and accelerometer records (DAF computation); FE model calibrated iteratively on OMA modal properties until discrepancies minimised; validated twin reflects current condition for future predictive simulation; all displacements within safety limits. Campaign-based test data (no live link); manual iterative model updating (not a learning loop); no actuation. [Full-text source: browser-oa]</t>
  </si>
  <si>
    <t>Replicable test-assisted DT workflow: OMA-calibrated FE model with iterative material-parameter updates yields a validated twin reflecting the bridge's actual condition despite construction-induced permanent displacements.</t>
  </si>
  <si>
    <t>Campaign-based measurements rather than continuous monitoring; manual iterative calibration; single bridge; dynamic amplification beyond design loads not explored.</t>
  </si>
  <si>
    <t>OMA modal properties and static/dynamic test responses are fused in the iterative FE calibration of the bridge twin.</t>
  </si>
  <si>
    <t>Step-1 note: Test-assisted bridge DT for stiffness; safety limits | Coded from Step-3 deep-read markdown (DfS-only scope), imported 2026-10-04</t>
  </si>
  <si>
    <t>Guo, H et al. (2026)</t>
  </si>
  <si>
    <t>Step-1 note: River-reservoir watershed DT; not built asset</t>
  </si>
  <si>
    <t>Almaleh, A (2026)</t>
  </si>
  <si>
    <t>Step-1 note: AI lifecycle survey in urban infra; DT one topic</t>
  </si>
  <si>
    <t>Chan, R.W.K et al. (2025)</t>
  </si>
  <si>
    <t>120-yr heritage RC bridge; ambient vibration + laser displacement monitoring; FE-based DT validated against field data, used for what-if scenarios (overweight vehicles, scour loss); six-phase Incident Response Framework; model is updated/validated, not self-learning. [Full-text source: 04c-port]</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</si>
  <si>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</si>
  <si>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</si>
  <si>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Ambient-vibration accelerometers and laser displacement sensing both feed and validate one Spacegass FE twin of the bridge, sharing the structural model frame, with each quantity analysed separately.</t>
  </si>
  <si>
    <t>Step-1 note: Heritage bridge DT + noninvasive sensors; risk mitigation | Coded from Step-3 deep-read markdown (DfS-only scope), imported 2026-10-04</t>
  </si>
  <si>
    <t>Wang, Q et al. (2026)</t>
  </si>
  <si>
    <t>Step-1 note: MR+ML cable robot; DT keyword only</t>
  </si>
  <si>
    <t>Pylarinou, C et al. (2026)</t>
  </si>
  <si>
    <t>Step-1 note: Surgical LLM agents; healthcare</t>
  </si>
  <si>
    <t>Maté-González, M.Á et al. (2025)</t>
  </si>
  <si>
    <t>Step-1 note: Mining heritage environmental DT; mining domain</t>
  </si>
  <si>
    <t>Johansson, N et al. (2026)</t>
  </si>
  <si>
    <t>Step-1 note: Fire-service information interview study; DT peripheral</t>
  </si>
  <si>
    <t>Smažinka, D et al. (2026)</t>
  </si>
  <si>
    <t>Step-1 note: Evacuation tool review; no DT core</t>
  </si>
  <si>
    <t>Sadeghi, J et al. (2026)</t>
  </si>
  <si>
    <t>Step-1 note: IoT construction scientometric; DT one theme</t>
  </si>
  <si>
    <t>Frontelo, I.B et al. (2026)</t>
  </si>
  <si>
    <t>Step-1 note: Teleoperated driving; vehicles, not AECO</t>
  </si>
  <si>
    <t>Machaka, V et al. (2025)</t>
  </si>
  <si>
    <t>Step-1 note: WWTP cyber testbed; not AECO</t>
  </si>
  <si>
    <t>Wu, L et al. (2026)</t>
  </si>
  <si>
    <t>Step-1 note: BIM-CIM smart city governance; DT peripheral</t>
  </si>
  <si>
    <t>Jayabal, R et al. (2026)</t>
  </si>
  <si>
    <t>Step-1 note: AI process-safety review; industrial</t>
  </si>
  <si>
    <t>Sun, L (2025)</t>
  </si>
  <si>
    <t>Step-1 note: AV crash safety review; vehicles</t>
  </si>
  <si>
    <t>Li, J et al. (2025)</t>
  </si>
  <si>
    <t>Step-1 note: OPDM-HwyBIM integration; DT enabling only</t>
  </si>
  <si>
    <t>Xu, W et al. (2026)</t>
  </si>
  <si>
    <t>Step-1 note: 3DPC bond-strength prediction; no DT</t>
  </si>
  <si>
    <t>Integrated TBM digital twin uses PSO-RF prediction, SHAP parameter interpretation and a shield-attitude control system for Guiyang Metro Line 3; it reports real-time warnings, parameter inference and control ranges to adjust shield attitude and improve tunnelling safety. [Full-text source: browser-oa]</t>
  </si>
  <si>
    <t>Connects TBM telemetry, PSO-RF prediction, SHAP interpretation and DT visualization/control so operators can adjust shield parameters before attitude deviation threatens construction safety.</t>
  </si>
  <si>
    <t>The method remains case-study based; real actuator integration, robustness under abnormal geology, alarm prioritisation and human-in-the-loop control outcomes require further validation.</t>
  </si>
  <si>
    <t>TBM construction parameters, predicted attitude responses and SHAP-derived control factors are integrated in the DT platform to infer warning states and adjustment ranges.</t>
  </si>
  <si>
    <t>Step-1 note: TBM attitude DT with PSO-RF; construction safety | Coded from Step-3 deep-read markdown (DfS-only scope), imported 2026-10-04</t>
  </si>
  <si>
    <t>Magodi, Y et al. (2026)</t>
  </si>
  <si>
    <t>Step-1 note: Manufacturing hybrid RL; not AECO</t>
  </si>
  <si>
    <t>Labash, H et al. (2025)</t>
  </si>
  <si>
    <t>Step-1 note: Smart-city DT effectiveness study; safety one aspect</t>
  </si>
  <si>
    <t>Johansen, K.W et al. (2025)</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</si>
  <si>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04c-port]</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</si>
  <si>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</si>
  <si>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</si>
  <si>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BIM, schedule and automated safety-analysis results are integrated into one Prolog knowledge graph (about 3,800 nodes, 20,000 edges) whose cross-domain queries answer planning questions over all three data types simultaneously.</t>
  </si>
  <si>
    <t>Step-1 note: KG + DT for construction safety planning risk | Coded from Step-3 deep-read markdown (DfS-only scope), imported 2026-10-04</t>
  </si>
  <si>
    <t>Górski, M et al. (2025)</t>
  </si>
  <si>
    <t>Step-1 note: Robotic SHM review; DT peripheral</t>
  </si>
  <si>
    <t>Shariatfar, M et al. (2026)</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</si>
  <si>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04c-port]</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</si>
  <si>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</si>
  <si>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</si>
  <si>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A graph attention network couples flood simulation with INRIX 5-minute traffic-speed data, so segment-level speed and accessibility predictions depend on both data types simultaneously.</t>
  </si>
  <si>
    <t>Step-1 note: AI+DT flood resilience for roadway serviceability | Coded from Step-3 deep-read markdown (DfS-only scope), imported 2026-10-04</t>
  </si>
  <si>
    <t>Mujawo, H et al. (2026)</t>
  </si>
  <si>
    <t>Step-1 note: Compressor safety-case DT; oil/gas industrial</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</si>
  <si>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04c-port]</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</si>
  <si>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</si>
  <si>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</si>
  <si>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The DF-STTN hybrid surrogate fuses Swin-Transformer spatial fields with TabTransformer non-spatial parameters via a dual-stage fusion module, and a GA model-updating procedure joins sparse laboratory test data with the FE-trained model.</t>
  </si>
  <si>
    <t>Step-1 note: DF-STTN tunnel DT surrogate; settlement safety | Coded from Step-3 deep-read markdown (DfS-only scope), imported 2026-10-04</t>
  </si>
  <si>
    <t>Yena, M et al. (2025)</t>
  </si>
  <si>
    <t>Step-1 note: UAV swarm simulation; not AECO; Ukrainian</t>
  </si>
  <si>
    <t>Afshari, A et al. (2025)</t>
  </si>
  <si>
    <t>Step-1 note: Intersection traffic DT; transportation domain</t>
  </si>
  <si>
    <t>Kabashkin, I et al. (2026)</t>
  </si>
  <si>
    <t>Step-1 note: Aircraft cognitive DT; aerospace</t>
  </si>
  <si>
    <t>Akbulut, N.K.B et al. (2026)</t>
  </si>
  <si>
    <t>Step-1 note: Mine geotechnical 3D DT; mining domain</t>
  </si>
  <si>
    <t>Ji, F et al. (2025)</t>
  </si>
  <si>
    <t>Step-1 note: Medical lab LIMS; healthcare; Chinese</t>
  </si>
  <si>
    <t>Nozari, H et al. (2026)</t>
  </si>
  <si>
    <t>Step-1 note: Construction digital transformation review; DT one theme</t>
  </si>
  <si>
    <t>Lee, D et al. (2026)</t>
  </si>
  <si>
    <t>Step-1 note: Industrial worker HAR human DT; not AECO</t>
  </si>
  <si>
    <t>Fu, E et al. (2026)</t>
  </si>
  <si>
    <t>Step-1 note: Open-pit coal mine development; mining; Chinese</t>
  </si>
  <si>
    <t>Gadekallu, T.R et al. (2026)</t>
  </si>
  <si>
    <t>Step-1 note: AIoT agentic survey; generic domains</t>
  </si>
  <si>
    <t>Dagou, H.H et al. (2025)</t>
  </si>
  <si>
    <t>Step-1 note: Construction tech adoption survey; DT one technology</t>
  </si>
  <si>
    <t>Pham, T.-A et al. (2026)</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</si>
  <si>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04c-port]</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</si>
  <si>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</si>
  <si>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</si>
  <si>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Six IoT sensor clusters (PM2.5, CO2, noise, vibration) stream via MQTT/Firebase into Node-RED threshold rules and a shared dashboard, with sensors linked to BIM assets while each rule acts per channel.</t>
  </si>
  <si>
    <t>Step-1 note: BIM-enhanced DT for renovation pollution; health hazard | Coded from Step-3 deep-read markdown (DfS-only scope), imported 2026-10-04</t>
  </si>
  <si>
    <t>Data-driven digital twin for bridge health monitoring (Western Sydney U, Information Fusion 2026): Multi-Domain Fusion Autoencoder (MDFA) fuses raw acceleration with time-, frequency- and wavelet-domain features for unsupervised anomaly detection; transformer-based GAN generates synthetic damage scenarios; validated on Werrington Bridge (Australia) and S101 Bridge (Austria) - all real damage scenarios identified and localised without retraining, outperforming conventional unsupervised methods. Real-time one-way sensor-&gt;detection-&gt;maintenance decisions; offline-trained, no actuation, no learning loop. [Full-text source: browser-oa]</t>
  </si>
  <si>
    <t>MDFA multi-domain feature fusion plus transformer-GAN synthetic anomalies detects subtle damage on two real bridges and localises all S101 damage scenarios without retraining.</t>
  </si>
  <si>
    <t>Two bridges only; synthetic-damage evaluation for one; no actuation or online model update; generalisation to other bridge types untested.</t>
  </si>
  <si>
    <t>Raw acceleration is fused with time-, frequency- and wavelet-domain features inside the MDFA autoencoder for one anomaly score.</t>
  </si>
  <si>
    <t>Step-1 note: MDFA unsupervised DT for bridge damage detection | Coded from Step-3 deep-read markdown (DfS-only scope), imported 2026-10-04</t>
  </si>
  <si>
    <t>Delavari, Z et al. (2026)</t>
  </si>
  <si>
    <t>Step-1 note: ITS technology survey; transportation</t>
  </si>
  <si>
    <t>Step-1 note: Airport cognitive DT; aviation</t>
  </si>
  <si>
    <t>Shaddick, G et al. (2025)</t>
  </si>
  <si>
    <t>Step-1 note: Broad data-science sustainability perspective; not AECO</t>
  </si>
  <si>
    <t>Monzón-Chavarrías, M et al. (2026)</t>
  </si>
  <si>
    <t>Step-1 note: Renovation LCA study; DT keyword only</t>
  </si>
  <si>
    <t>Romandini, N et al. (2026)</t>
  </si>
  <si>
    <t>Step-1 note: Trustworthy FL for generic DT ecosystems</t>
  </si>
  <si>
    <t>Evens, M et al. (2026)</t>
  </si>
  <si>
    <t>Step-1 note: Heat pump DT; energy flexibility only</t>
  </si>
  <si>
    <t>Liu, C et al. (2026)</t>
  </si>
  <si>
    <t>LiBiDT causal LiDAR-BIM digital twin for streaming construction-site state (Sci Rep 2026): Spatio-Temporal Global Registration (LiDAR-IMU-GNSS priors), Multi-task Perception (PointNet++ semantic/instance/normal heads), Scan-to-BIM Association and State Updating (normal-guided point-to-plane refinement, bipartite matching with overlap/deviation/semantic evidence, EMA stabilisation); Decision and Risk Analytics layer outputs weighted completion, deviation summaries and three safety/compliance hazard flags; on CV4AEC 2024 Scan-to-BIM association F1 0.837, CD/RMSE 3.2/3.5 cm; held-out tile-stream case study shows state evolution and hazard-flag firing; strict temporal validation under active construction left to future work. One-way LiDAR stream-&gt;BIM state-&gt;management indicators; no actuation, no learning loop. [Full-text source: Endnote]</t>
  </si>
  <si>
    <t>Fills the registration-perception gap in streaming construction LiDAR: LiBiDT causally fuses STGR, PointNet++ multi-task perception and normal-guided scan-to-BIM association with EMA stabilisation to reach association F1 0.837 and CD/RMSE 3.2/3.5 cm, feeding auditable progress, deviation and safety/compliance flags.</t>
  </si>
  <si>
    <t>Benchmark-plus-held-out-tile validation; strict temporal validation under active construction (time-stamped multi-acquisition data) is future work; absolute association gains over the strongest baseline are modest (0.015 F1), and efficiency on full-site scales is not quantified.</t>
  </si>
  <si>
    <t>Geometric (STGR), semantic/instance (MTP) and deviation evidence are fused in S2B bipartite matching with EMA stabilisation to update one BIM state.</t>
  </si>
  <si>
    <t>Step-1 note: LiDAR BIM-consistency DT; compliance + safety management | Methodology label normalised (source: "Perception / Computer Vision") | Coded from Step-3 deep-read markdown (DfS-only scope), imported 2026-10-04</t>
  </si>
  <si>
    <t>Vo, T.D.K et al. (2026)</t>
  </si>
  <si>
    <t>D2S scene-coordinate relocalization supplies metric depth anchors for Depth Anything V2; RTMDet detections are registered to BIM in Omniverse for rule-based crane hazard assessment. Real-site risk accuracy is reported at 94.19%. [Full-text source: browser-oa]</t>
  </si>
  <si>
    <t>Resolves monocular-depth scale ambiguity with relocalized 3D anchors and places metric worker positions and dynamic fall zones in a BIM-aligned crane twin.</t>
  </si>
  <si>
    <t>Performance degrades in dense fog/night-fog and the risk rules use simplified fall-zone assumptions; broader site/weather testing and worker-location ground truth are needed.</t>
  </si>
  <si>
    <t>Scene-coordinate depth anchors rescale dense monocular depth; RGB detections and registered BIM geometry jointly determine worker positions and crane hazard-zone distances.</t>
  </si>
  <si>
    <t>Step-1 note: Monocular crane safety DT in Omniverse; risk assessment | Methodology label normalised (source: "Perception / Computer Vision") | Coded from Step-3 deep-read markdown (DfS-only scope), imported 2026-10-04</t>
  </si>
  <si>
    <t>Salih, F et al. (2025)</t>
  </si>
  <si>
    <t>Step-1 note: Construction tech adoption survey; DT peripheral</t>
  </si>
  <si>
    <t>Tan, J.-K et al. (2026)</t>
  </si>
  <si>
    <t>Step-1 note: Wind turbine tower joints; energy, not AECO</t>
  </si>
  <si>
    <t>Akimov, A et al. (2026)</t>
  </si>
  <si>
    <t>Step-1 note: Heritage adaptive-reuse metrics review; DT one pillar</t>
  </si>
  <si>
    <t>Kanetaki, Z et al. (2026)</t>
  </si>
  <si>
    <t>Step-1 note: Ballast water system retrofit; marine vessels</t>
  </si>
  <si>
    <t>Zhihong, Q et al. (2026)</t>
  </si>
  <si>
    <t>Step-1 note: UAV low-altitude review; not AECO; Chinese</t>
  </si>
  <si>
    <t>Kubota, S et al. (2026)</t>
  </si>
  <si>
    <t>Construction information system for DT-oriented site management integrates 3D point clouds, time-synchronised video, worker position and heart-rate sensing across small-, medium- and large-scale construction sites. Safety management is demonstrated by collecting a single worker's position and heart-rate data and visualising it with point clouds as a conceptual abnormal-condition monitoring use case; no automated actuation or learning loop. [Full-text source: browser-oa]</t>
  </si>
  <si>
    <t>Demonstrates a practical construction-site DT data foundation across small, medium and large sites: daily point clouds, time-synchronised video, coordinate/time-axis management and worker position/heart-rate sensing are integrated for progress, quality and safety management.</t>
  </si>
  <si>
    <t>Safety evidence is limited to a single worker and is partly conceptual; the paper reports visualization/situational-awareness benefits rather than quantified accident reduction, automated warnings, or closed-loop intervention. Future work is needed on metadata, processing and real-time functions.</t>
  </si>
  <si>
    <t>Point clouds, time-synchronised video, worker position and heart-rate data are placed into a common construction information system with coordinate assignment and time-axis management; safety sensing is visualised with the site point cloud rather than fused into a predictive model.</t>
  </si>
  <si>
    <t>Step-1 note: Point-cloud construction DT system; progress/quality/safety | Coded from Step-3 deep-read markdown (DfS-only scope), imported 2026-10-04</t>
  </si>
  <si>
    <t>Laksono, N.B et al. (2026)</t>
  </si>
  <si>
    <t>Knowledge-based UAV path planning in a digital-twin environment (U Indonesia/RMIT/Kyung Hee, Knowledge-Based Systems 2026 preprint): maintenance records encoded as element-level priority weights and viewing requirements; BIM-derived geometry generates candidate viewpoints and element-specific patterns; maintenance-weighted utility evaluates routes; box-girder toll-road bridge case compares favourably against manual, coverage-only and robustness-proxy baselines with cycle-to-cycle repeatability. Static BIM+knowledge planning (no live link); no actuation, no learning loop; preprint not peer-reviewed. [Full-text source: browser-oa]</t>
  </si>
  <si>
    <t>Converts maintenance intent into repeatable UAV routes via knowledge-encoded priority weights and BIM geometry, outperforming coverage-only and robustness-proxy baselines.</t>
  </si>
  <si>
    <t>Preprint (not peer-reviewed); single case study; UAV feasibility (battery, GNSS denial under decks) treated lightly; no field flight validation.</t>
  </si>
  <si>
    <t>Maintenance priority weights and BIM geometry are fused in the maintenance-weighted viewpoint utility function.</t>
  </si>
  <si>
    <t>Step-1 note: Knowledge-based UAV planning in bridge DT; maintenance safety | Coded from Step-3 deep-read markdown (DfS-only scope), imported 2026-10-04</t>
  </si>
  <si>
    <t>Lad, V.H et al. (2025)</t>
  </si>
  <si>
    <t>Step-1 note: Bridge resilience review; DT one trend</t>
  </si>
  <si>
    <t>Huang, L et al. (2025)</t>
  </si>
  <si>
    <t>Step-1 note: Deep-sea mining simulation; marine/mining</t>
  </si>
  <si>
    <t>Cho, H.S et al. (2025)</t>
  </si>
  <si>
    <t>Step-1 note: Excavator activity recognition; no DT</t>
  </si>
  <si>
    <t>Abbasov, G.Z et al. (2025)</t>
  </si>
  <si>
    <t>Step-1 note: Transport-component thermomechanical DT; not AECO</t>
  </si>
  <si>
    <t>Elghaish, F et al. (2026)</t>
  </si>
  <si>
    <t>Step-1 note: DTSRM resource monitoring; cost/time focus</t>
  </si>
  <si>
    <t>Step-1 note: Agentic AI + DT with power-grid use case; not AECO</t>
  </si>
  <si>
    <t>Cognitive-inspired multimodal learning for highway-construction hazard identification (Tongji/Chang'an, Sustainability 2025): biologically grounded cyclic attention models inspector search; adaptive multimodal fusion weights visual/textual/sensor streams; BIM-GIS digital twin platform synchronises physical and virtual environments; validated across five highway projects over 18 months: 91.7% accuracy, 147 ms response, +18.2% vs conventional CV and +24.8% vs commercial systems; 34% accident reduction, 42% inspection-efficiency gain, ROI in 8.7 months. Closed-loop twin claimed for real-time hazard tracking/management (human intervention, no actuation demonstrated); continuous ML improvement claimed but convergence not characterised. [Full-text source: browser-oa]</t>
  </si>
  <si>
    <t>Field-proven cognitive multimodal hazard identification with 91.7% accuracy at 147 ms and a 34% accident reduction across five highway projects.</t>
  </si>
  <si>
    <t>Accident-reduction claims rely on field statistics without control group detail; closed-loop and continuous-improvement mechanisms not rigorously characterised; five projects all highway-type.</t>
  </si>
  <si>
    <t>Visual, textual and sensor streams are adaptively weighted and fused by the multimodal learner feeding the BIM-GIS twin.</t>
  </si>
  <si>
    <t>Step-1 note: Multimodal hazard identification DT for highway safety | Methodology label normalised (source: "Perception / Computer Vision") | Coded from Step-3 deep-read markdown (DfS-only scope), imported 2026-10-04</t>
  </si>
  <si>
    <t>Rashidian, M et al. (2026)</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</si>
  <si>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04c-port]</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</si>
  <si>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</si>
  <si>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</si>
  <si>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Live Wi-Fi RSSI localisation and the IFC-derived decision graph are jointly consumed by an extended Dijkstra algorithm whose dynamically updated route weights depend on both simultaneously.</t>
  </si>
  <si>
    <t>Step-1 note: IFC + crowd sensing evacuation routing DT; safety | Coded from Step-3 deep-read markdown (DfS-only scope), imported 2026-10-04</t>
  </si>
  <si>
    <t>Lee, S et al. (2025)</t>
  </si>
  <si>
    <t>Step-1 note: Rock joint segmentation; no DT</t>
  </si>
  <si>
    <t>A GAT-gated network aligns FEM source data with monitoring targets using CORAL/MMD and physics-informed losses. It is tested on DS and PB dams, including extreme water-level and temperature scenarios. [Full-text source: browser-oa]</t>
  </si>
  <si>
    <t>Addresses FEM-to-monitoring domain gaps with GAT gating, multi-source scenario data and CORAL/MMD alignment; tests span two dams and extreme operating conditions.</t>
  </si>
  <si>
    <t>Both cases are dams in one river basin; transfer beyond these assets and independent deployment under unseen boundary/material conditions remain to be established.</t>
  </si>
  <si>
    <t>FEM source fields and sensor target observations are jointly aligned using CORAL/MMD and a physics-informed loss; extreme-condition samples test generalization.</t>
  </si>
  <si>
    <t>Step-1 note: Cross-domain GAT dam DT; safety monitoring | Coded from Step-3 deep-read markdown (DfS-only scope), imported 2026-10-04</t>
  </si>
  <si>
    <t>Prabha, K et al. (2026)</t>
  </si>
  <si>
    <t>Step-1 note: RC durability modeling; DT-supported only</t>
  </si>
  <si>
    <t>Seo, H.J et al. (2025)</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</si>
  <si>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04c-port]</t>
  </si>
  <si>
    <t>Step-1 note: Smart construction safety SLR + conceptual framework | Stage-2 exclusion basis: P=No; R=No | Coded from Step-3 deep-read markdown (DfS-only scope), imported 2026-10-04</t>
  </si>
  <si>
    <t>Huang, H et al. (2026)</t>
  </si>
  <si>
    <t>Step-1 note: BIM-FEM pit excavation; no DT</t>
  </si>
  <si>
    <t>Su, W et al. (2025)</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</si>
  <si>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11% → L1, 20-30% → L2, &gt;30% → L3) triggers alerts to on-site personnel who adjust construction. One-way monitoring→analysis→human action; no automated actuation and no learning loop. [Full-text source: 04c-port]</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</si>
  <si>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</si>
  <si>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</si>
  <si>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One hundred and twenty embedded strain gauges plus support-reaction, temperature and displacement sensors are mapped onto the web-BIM/Midas twin points, and three-level warnings fire on per-point deviations between measured and simulated stress.</t>
  </si>
  <si>
    <t>Step-1 note: Bridge construction safety monitoring DT platform | Coded from Step-3 deep-read markdown (DfS-only scope), imported 2026-10-04</t>
  </si>
  <si>
    <t>Roh, S (2026)</t>
  </si>
  <si>
    <t>Step-1 note: Police robot DT governance; not AECO</t>
  </si>
  <si>
    <t>Step-1 note: Production scheduling DT; no DfS/DfQ</t>
  </si>
  <si>
    <t>Alghamdi, M et al. (2026)</t>
  </si>
  <si>
    <t>Hazard- and fairness-aware evacuation digital-twin controller with grid-interactive emergency energy management (U Tabuk, Sustainability 2026): physics-based advection-diffusion-decay surrogate predicts smoke/temperature fields from sensor data; router manages per-user path updates with exposure caps and fairness weights for vulnerable occupants; receding-horizon energy dispatcher regulates PV/battery/diesel/grid to sustain life-safety loads; auditable policy knobs; co-simulation across layouts outperforms AI/RL baselines on T95/worst-case exposure and event energy/CO2 while meeting all constraints. Twin actively dispatches energy resources (virtual-to-physical control) -&gt; Tier 3; co-simulation validation only; no learning loop. [Full-text source: browser-oa]</t>
  </si>
  <si>
    <t>Jointly optimises evacuation routing fairness and emergency energy dispatch with an auditable surrogate-based controller that beats AI/RL baselines on worst-case egress and event emissions.</t>
  </si>
  <si>
    <t>Co-simulation only (no hardware/real building); surrogate fidelity vs FDS not fully quantified; human compliance with routing guidance assumed.</t>
  </si>
  <si>
    <t>Predicted hazard fields, congestion estimates and energy states are fused in one receding-horizon routing-plus-dispatch controller.</t>
  </si>
  <si>
    <t>Step-1 note: Hazard-aware evacuation DT controller; life safety | Coded from Step-3 deep-read markdown (DfS-only scope), imported 2026-10-04</t>
  </si>
  <si>
    <t>Chaaya, M.L et al. (2025)</t>
  </si>
  <si>
    <t>Lim, D et al. (2025)</t>
  </si>
  <si>
    <t>Step-1 note: SMR thermal testbed DT; nuclear</t>
  </si>
  <si>
    <t>Iqbal, A.B et al. (2025)</t>
  </si>
  <si>
    <t>Step-1 note: Maritime IoT digitalization; not AECO</t>
  </si>
  <si>
    <t>Fernandes, E.H et al. (2026)</t>
  </si>
  <si>
    <t>Step-1 note: Coastal lagoon flood DT; environmental domain</t>
  </si>
  <si>
    <t>Wang, Y (2026)</t>
  </si>
  <si>
    <t>Step-1 note: Transport network resilience AI; not built asset</t>
  </si>
  <si>
    <t>Su, P (2026)</t>
  </si>
  <si>
    <t>Dual-loop collaborative smart-construction framework (Changsha UST, Discover Applied Sciences 2026): BIM + IoT + LSTM-Attention with an adaptive prediction-execution-feedback closed loop; 261-sensor deployment on the Taipei Bridge and Tunnel Joint Project with sub-second synchronisation; NSGA-II multi-objective optimisation over safety/cost/schedule/emissions. Statistically significant (p&lt;0.001): 46.2% latency reduction, 41.4% fewer safety incidents, 18.5% direct-cost reduction, 11.1% CO2 reduction, 99.1% safety compliance. Closed-loop decision-making (prediction-&gt;execution-&gt;feedback) -&gt; Tier 3; no self-improvement/learning loop (LSTM offline-trained). [Full-text source: Endnote]</t>
  </si>
  <si>
    <t>Fills the one-way-monitoring-to-closed-loop gap on smart sites: a dual-loop BIM+IoT+LSTM-Attention architecture with NSGA-II multi-objective optimisation achieved, on a 261-sensor bridge-tunnel project, sub-second synchronisation and statistically significant gains (-46.2% latency, -41.4% safety incidents, -18.5% cost, -11.1% CO2, 99.1% compliance).</t>
  </si>
  <si>
    <t>Single project case study; the LSTM-Attention models are offline-trained and the closed-loop execution boundaries (which decisions are automated vs human-approved) are not precisely specified; generalisation to other site types and sensor densities untested.</t>
  </si>
  <si>
    <t>261-sensor IoT streams, BIM models and LSTM-Attention predictions are fused in the dual-loop platform, with NSGA-II trading off safety/cost/schedule/emissions.</t>
  </si>
  <si>
    <t>Step-1 note: Dual-loop BIM-IoT smart construction; safety reduction | Coded from Step-3 deep-read markdown (DfS-only scope), imported 2026-10-04</t>
  </si>
  <si>
    <t>Pinciroli, L et al. (2026)</t>
  </si>
  <si>
    <t>Step-1 note: Industrial risk assessment; not AECO</t>
  </si>
  <si>
    <t>Bossinov, D et al. (2026)</t>
  </si>
  <si>
    <t>Step-1 note: Heating network DT; energy utility, not AECO</t>
  </si>
  <si>
    <t>Zhang, J et al. (2025)</t>
  </si>
  <si>
    <t>Step-1 note: Roadheader cutting DT; mining</t>
  </si>
  <si>
    <t>Tsoulfas, G.T (2026)</t>
  </si>
  <si>
    <t>Step-1 note: Port resilience review; maritime</t>
  </si>
  <si>
    <t>Zhu, J et al. (2025)</t>
  </si>
  <si>
    <t>Step-1 note: Bridge thermal bibliometric; DT one stage</t>
  </si>
  <si>
    <t>Han, M et al. (2025)</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</si>
  <si>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04c-port]</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</si>
  <si>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</si>
  <si>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</si>
  <si>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UAV detections are cross-referenced with GPS-enabled worker IDs to verify authorisation, so the decision output depends on visual detections and GPS identity data simultaneously.</t>
  </si>
  <si>
    <t>Step-1 note: UAV + DT worker monitoring; authorization safety | Methodology label normalised (source: "Perception / Computer Vision") | Coded from Step-3 deep-read markdown (DfS-only scope), imported 2026-10-04</t>
  </si>
  <si>
    <t>Sidorova, A.V et al. (2026)</t>
  </si>
  <si>
    <t>Step-1 note: Hydrogen RPA DT; energy, not AECO</t>
  </si>
  <si>
    <t>Upadrista, V et al. (2025)</t>
  </si>
  <si>
    <t>Step-1 note: Brain stroke DT; healthcare</t>
  </si>
  <si>
    <t>Zhang, C et al. (2025)</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</si>
  <si>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04c-port]</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</si>
  <si>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</si>
  <si>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</si>
  <si>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IoT sensors are mirrored into the four-layer DT virtual model (geometric/physical/behavioural/rule-based), and the edge intelligent control device issues navigation and alarms per signal threshold.</t>
  </si>
  <si>
    <t>Step-1 note: Tower crane climbing safety navigation platform; DT | Coded from Step-3 deep-read markdown (DfS-only scope), imported 2026-10-04</t>
  </si>
  <si>
    <t>An, Y et al. (2025)</t>
  </si>
  <si>
    <t>Automatic UAV inspection mission planning from a Geometric Digital Twin (GDT) and Voxelized Obstacle Information (VOI) (Guangxi U/DUT/Beihang, AutCon 2025): FOV-centroid parallel shifting generates structural-surface waypoints; environmental VOI from 3D point clouds adjusts waypoints for safety; GA + A* hybrid optimises collision-free flight paths; verified on an office building and a steel truss bridge with significantly improved efficiency. The twin is a static geometric reference for pre-planning; the UAV then executes the plan physically, no live twin link during flight, no learning loop. [Full-text source: Endnote]</t>
  </si>
  <si>
    <t>Fills the automation/adaptation gap in UAV structural inspection: GDT + VOI waypoint generation and GA+A* path optimisation deliver collision-free, complete and efficient flight plans verified on both an office building and a steel truss bridge.</t>
  </si>
  <si>
    <t>The GDT is static LoD-based geometry: dynamic obstacles appearing after planning and mission-level autonomy (beyond path planning) are out of scope; two structure types only, and inspection-image quality metrics are secondary to flight-path metrics.</t>
  </si>
  <si>
    <t>Only geometric data (GDT mesh + point-cloud VOI) drives the planning; no second data type is fused.</t>
  </si>
  <si>
    <t>Step-1 note: Geometric DT UAV inspection planning; safety | Coded from Step-3 deep-read markdown (DfS-only scope), imported 2026-10-04</t>
  </si>
  <si>
    <t>Podolskaia, E.S et al. (2025)</t>
  </si>
  <si>
    <t>Step-1 note: Seismology Web-GIS review; not AECO DT</t>
  </si>
  <si>
    <t>Durković, M et al. (2025)</t>
  </si>
  <si>
    <t>Step-1 note: Traffic management DT; transportation</t>
  </si>
  <si>
    <t>Jing, Z et al. (2026)</t>
  </si>
  <si>
    <t>Vision-based digital twin and AI agent for low-cost explainable indoor safety assessment (Southeast U/ETH, Sensors 2026): single smartphone video reconstructed into metric-scale 3D point cloud (MASt3R-SLAM + AprilTag); SpatialLM parses semantic entities; risk guidelines formalised as Risk Prototypes bound with geometry, semantics, images and knowledge in a hierarchical SceneState; LangGraph dual-pathway agent performs whole-dwelling scan plus iterative tool-call follow-ups; pilot across five residences: recall 77.8-100%, precision 45-70% vs single-assessor manual reference, 71.7% judgment closure. Static reconstruction/assessment (no live link); no actuation, no learning loop. [Full-text source: browser-oa]</t>
  </si>
  <si>
    <t>Turns one smartphone video into a metric 3D twin with computable Risk Prototypes and an LLM agent audit trail, matching manual checklist risk coverage while improving spatial granularity up to 2.2x in complex dwellings.</t>
  </si>
  <si>
    <t>Precision (45-70%) remains moderate and closure rate 71.7%; single-assessor manual reference; agent costs/latency not reported; five residences only.</t>
  </si>
  <si>
    <t>Geometry, semantic labels, image observations and regulatory knowledge are bound into one hierarchical SceneState driving the agent assessment.</t>
  </si>
  <si>
    <t>Step-1 note: Vision DT + AI agent indoor safety assessment | Coded from Step-3 deep-read markdown (DfS-only scope), imported 2026-10-04</t>
  </si>
  <si>
    <t>Dutta, A.K et al. (2026)</t>
  </si>
  <si>
    <t>Step-1 note: IoT security DT model; not AECO</t>
  </si>
  <si>
    <t>Pang, Z et al. (2026)</t>
  </si>
  <si>
    <t>Step-1 note: UAM wind reconstruction; air mobility</t>
  </si>
  <si>
    <t>Omari, M et al. (2025)</t>
  </si>
  <si>
    <t>Step-1 note: Scaffolding FEM+NN metamodel; not full DT</t>
  </si>
  <si>
    <t>Zoia, A et al. (2025)</t>
  </si>
  <si>
    <t>Step-1 note: Chicago Pile nuclear DT; not AECO</t>
  </si>
  <si>
    <t>Palihakkara, A.D et al. (2025)</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</si>
  <si>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04c-port]</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</si>
  <si>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</si>
  <si>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</si>
  <si>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A systematic review of 52 papers on ontology/semantic-web integration in BIM-DT construction management; no system is built or tested, so no integration mechanism can be coded.</t>
  </si>
  <si>
    <t>Step-1 note: Ontology/semantic-web SLR for BIM-DT construction mgmt | Coded from Step-3 deep-read markdown (DfS-only scope), imported 2026-10-04</t>
  </si>
  <si>
    <t>Zhao, C et al. (2026)</t>
  </si>
  <si>
    <t>Step-1 note: Edge general intelligence survey; generic</t>
  </si>
  <si>
    <t>Ayyub, B et al. (2025)</t>
  </si>
  <si>
    <t>Perspective/overview paper (Corrosion and Materials Degradation 2025, U Maryland/USCG): advances the discourse on corrosion monitoring with AI analytics and digital twins, demonstrating non-parametric analysis of corrosion data and providing implementation recommendations. No digital twin is built or evaluated - DTs are discussed as supportive technology and recommendations for future work. P=No, R=No -&gt; Stage-2 exclude. [Full-text source: browser-oa]</t>
  </si>
  <si>
    <t>Step-1 note: Corrosion lifecycle DT; civil infrastructure safety | Stage-2 exclusion basis: P=No; R=No | Coded from Step-3 deep-read markdown (DfS-only scope), imported 2026-10-04</t>
  </si>
  <si>
    <t>Zhang, C et al. (2026)</t>
  </si>
  <si>
    <t>Step-1 note: Drug transmission network DT; not AECO</t>
  </si>
  <si>
    <t>Xu, Q et al. (2025)</t>
  </si>
  <si>
    <t>Step-1 note: Bearing RUL CycleGAN DT; manufacturing</t>
  </si>
  <si>
    <t>Tang, T et al. (2025)</t>
  </si>
  <si>
    <t>DT framework for real-time building fire situational awareness (China Three Gorges U, Visual Computer 2025): AIoT sensor data processed by a Bert_C (BERT+CNN) model to analyse smoldering-to-flaming transition; 96.1% accuracy, 96.2% F1; numerical fire simulation generates training scenarios; 3D DT visualisation of fire scenes for firefighting and emergency rescue decision support. One-way sensor-&gt;prediction-&gt;warning/visualisation; no actuation and no learning loop (offline-trained). [Full-text source: Endnote]</t>
  </si>
  <si>
    <t>Fills the early-fire-recognition gap (smoldering-to-flaming transition) in buildings: Bert_C on AIoT sensor data attains 96.1% accuracy / 96.2% F1 and the DT visualises 3D fire scenarios for firefighting and rescue, significantly improving warning timeliness.</t>
  </si>
  <si>
    <t>Training/validation rests on numerical fire simulations rather than real fire experiments; real-time end-to-end latency on live buildings is not measured, and smoke/thermal sensor fusion with the 3D scene is described at prototype level.</t>
  </si>
  <si>
    <t>AIoT sensor streams and Bert_C features are mapped into the 3D fire-scene DT for fused situational awareness.</t>
  </si>
  <si>
    <t>Step-1 note: DT fire situation awareness; built environment fire safety | Coded from Step-3 deep-read markdown (DfS-only scope), imported 2026-10-04</t>
  </si>
  <si>
    <t>Ji, Z (2026)</t>
  </si>
  <si>
    <t>Step-1 note: Construction cost control DT; no DfS/DfQ</t>
  </si>
  <si>
    <t>Alreshidi, E (2025)</t>
  </si>
  <si>
    <t>Step-1 note: Quantum smart-city roadmap; UDT peripheral</t>
  </si>
  <si>
    <t>Tam, N (2026)</t>
  </si>
  <si>
    <t>Step-1 note: Agentic AI governance position; DT one topic</t>
  </si>
  <si>
    <t>Murphy, J et al. (2025)</t>
  </si>
  <si>
    <t>Step-1 note: BIM-MBSE semantic bridge; DT aspirational</t>
  </si>
  <si>
    <t>Callegati, F et al. (2025)</t>
  </si>
  <si>
    <t>Step-1 note: OT security as code; not AECO</t>
  </si>
  <si>
    <t>Lozano-Allimant, S et al. (2025)</t>
  </si>
  <si>
    <t>Step-1 note: RC building modal SHM; DT future foundation</t>
  </si>
  <si>
    <t>Step-1 note: ENF metaverse security survey; not AECO</t>
  </si>
  <si>
    <t>Prokhorova, V et al. (2026)</t>
  </si>
  <si>
    <t>Step-1 note: Nuclear power unit DT; not AECO</t>
  </si>
  <si>
    <t>Falkowski, P et al. (2026)</t>
  </si>
  <si>
    <t>Step-1 note: Rehabilitation exoskeleton; healthcare</t>
  </si>
  <si>
    <t>Salehi, H et al. (2026)</t>
  </si>
  <si>
    <t>Step-1 note: Tensor decomposition analytics; DT keyword only</t>
  </si>
  <si>
    <t>Chen, R et al. (2026)</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</si>
  <si>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04c-port]</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</si>
  <si>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</si>
  <si>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</si>
  <si>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Live operational data and the TROA-ET/FEM surrogate coexist in the DT parallel-control architecture over bidirectional 4G/MQTT links, but the surrogate is offline-trained and no joint inference across streams is stated.</t>
  </si>
  <si>
    <t>Step-1 note: Gin pole robust parallel-control DT; lifting safety | Coded from Step-3 deep-read markdown (DfS-only scope), imported 2026-10-04</t>
  </si>
  <si>
    <t>Hoda, S et al. (2026)</t>
  </si>
  <si>
    <t>Online SVD tracks first-POM slope changes against a healthy baseline; a UKF estimates states and updates stiffness only at flagged DOFs. The method is tested on an eight-story frame and a laboratory 3D steel frame. [Full-text source: browser-oa]</t>
  </si>
  <si>
    <t>Reduces full-parameter UKF cost by using online POM-slope changes to localize damage first, then estimates stiffness only at affected frame DOFs.</t>
  </si>
  <si>
    <t>The method assumes stiffness-only damage and has limited experimental scale; field structures, sensor noise and damage types beyond the studied frame scenarios need testing.</t>
  </si>
  <si>
    <t>Measured displacement/excitation streams update online SVD modes and UKF state/stiffness estimates; localization gates which structural parameters enter the Bayesian update.</t>
  </si>
  <si>
    <t>Step-1 note: POD-Bayesian DT for real-time damage detection | Coded from Step-3 deep-read markdown (DfS-only scope), imported 2026-10-04</t>
  </si>
  <si>
    <t>Post, H (2025)</t>
  </si>
  <si>
    <t>Step-1 note: Trade-magazine piece; not peer-reviewed</t>
  </si>
  <si>
    <t>Hajirasouli, A et al. (2025)</t>
  </si>
  <si>
    <t>Step-1 note: Construction 4.0 industrial-relations SLR; DT one theme</t>
  </si>
  <si>
    <t>Wen, Y (2025)</t>
  </si>
  <si>
    <t>Step-1 note: Prefab intelligent-construction DT; safety not in scope</t>
  </si>
  <si>
    <t>Schuhmann, F et al. (2026)</t>
  </si>
  <si>
    <t>Transport-focused digital twin of emergency response systems (TUM, Smart Cities 2026): combines real-time traffic data, emergency-vehicle GPS trajectories and road-network information; regression of EV speed on traffic speed plus a combined criticality indicator identifies bottleneck edges; agent-based mesoscopic model of the Munich Fire Department calibrated on recorded trajectories and validated against historical incident data; what-if scenarios for mobility-transition planning. One-way data-&gt;analysis-&gt;planning support; no actuation, no learning loop. [Full-text source: browser-oa]</t>
  </si>
  <si>
    <t>Links real-time traffic with EV GPS to pinpoint bottlenecks and a validated agent-based Munich Fire Department model, enabling evidence-based what-if planning for the mobility transition.</t>
  </si>
  <si>
    <t>Single city case; EV fleet penetration limited; agent model mesoscopic; recommendations for action explicitly deferred pending more data.</t>
  </si>
  <si>
    <t>Real-time traffic speed, EV GPS and road-network data are fused in the regression/criticality indicator feeding the ABM.</t>
  </si>
  <si>
    <t>Step-1 note: Emergency-response transport DT; what-if safety scenarios | Coded from Step-3 deep-read markdown (DfS-only scope), imported 2026-10-04</t>
  </si>
  <si>
    <t>Kuang, J et al. (2026)</t>
  </si>
  <si>
    <t>Step-1 note: Spatial joint diagnosis framework; no DT built</t>
  </si>
  <si>
    <t>Stylianou, M et al. (2026)</t>
  </si>
  <si>
    <t>Disaster evacuation of Nicosia Old Town (U Cyprus, Progress in Disaster Science 2026): high-fidelity geo-referenced 3D digital twin of the walled city with layered pedestrian/vehicle navigation meshes (one-way restrictions, pedestrian-only segments, six gates); hybrid agent-based simulation; controlled stress experiments (gate closures, blockages, shelter saturation) reveal high sensitivity to a few critical exits and long-tailed delays; hazard-agnostic exploratory decision support. Static model + simulation; no live data link, no actuation, no learning loop. [Full-text source: browser-oa]</t>
  </si>
  <si>
    <t>First city-scale evacuation study of a walled heritage core with six gates and a buffer zone, showing shelter expansion without adaptive guidance can worsen congestion.</t>
  </si>
  <si>
    <t>Hazard-agnostic (no specific hazard process); simulation without real incident validation; behavioral parameters approximated from traffic counts.</t>
  </si>
  <si>
    <t>Spatial geometry, traffic counts and density observations are fused to calibrate pedestrian and vehicle agents on layered navigation meshes.</t>
  </si>
  <si>
    <t>Step-1 note: Nicosia old-town evacuation DT; disaster safety | Coded from Step-3 deep-read markdown (DfS-only scope), imported 2026-10-04</t>
  </si>
  <si>
    <t>Hao-Yang, Z et al. (2026)</t>
  </si>
  <si>
    <t>Step-1 note: Virtual sensing for bridge DTs; Chinese full text</t>
  </si>
  <si>
    <t>Lin, Q et al. (2025)</t>
  </si>
  <si>
    <t>Step-1 note: Mechanical equipment field prediction; not AECO</t>
  </si>
  <si>
    <t>Zaheer, Q et al. (2026)</t>
  </si>
  <si>
    <t>Step-1 note: Railway tech review; DT one technology</t>
  </si>
  <si>
    <t>Wu, D et al. (2026)</t>
  </si>
  <si>
    <t>Step-1 note: UAV bridge viewpoint planning; DT enabling</t>
  </si>
  <si>
    <t>Wang, Y et al. (2025)</t>
  </si>
  <si>
    <t>Step-1 note: Container terminal DT-MR; maritime</t>
  </si>
  <si>
    <t>Petri, I et al. (2025)</t>
  </si>
  <si>
    <t>Step-1 note: Building LCA DT; environmental focus</t>
  </si>
  <si>
    <t>Edge-cloud DT for real-time structural-health monitoring deploys precomputed-stiffness FE analysis on the server and fast PSO at the edge to identify loads, compute responses and classify deviation severity for structural safety decision-making. [Full-text source: browser-oa]</t>
  </si>
  <si>
    <t>Addresses real-time bottlenecks in SHM digital twins through edge-cloud partitioning, accelerated FE computation, deviation-severity classification and fast PSO updating.</t>
  </si>
  <si>
    <t>The framework demonstrates efficiency and SHM response computation, but wider structural types, noisy/missing sensor streams and field maintenance decision impacts need evaluation.</t>
  </si>
  <si>
    <t>Sensor/edge inputs, server-side FE computation, deviation severity classification and PSO model updating are integrated into a unified real-time SHM decision workflow.</t>
  </si>
  <si>
    <t>Step-1 note: Edge-cloud SHM DT; structural safety | Coded from Step-3 deep-read markdown (DfS-only scope), imported 2026-10-04</t>
  </si>
  <si>
    <t>Yao, S et al. (2025)</t>
  </si>
  <si>
    <t>Step-1 note: SAV perception study; vehicles</t>
  </si>
  <si>
    <t>Sajja, R et al. (2026)</t>
  </si>
  <si>
    <t>Step-1 note: Watershed visualization library; hydrology</t>
  </si>
  <si>
    <t>Fiore, F et al. (2026)</t>
  </si>
  <si>
    <t>Step-1 note: Aerospace sensing DT; not AECO</t>
  </si>
  <si>
    <t>Jirawattanasomkul, T et al. (2025)</t>
  </si>
  <si>
    <t>Digital twin-based SHM for a balanced cantilever bridge (Chulalongkorn/KU/AIT, Resilient Cities and Structures 2025): accelerometers and piezo-resistive strain gauges capture operational dynamic strains; 3D-LiDAR scanning and UPV tests capture as-is geometry and elastic modulus revealing as-designed vs as-built discrepancies; modal frequencies/shapes and neutral-axis depth extracted; good agreement between measurements and the as-is model validates the twin; baseline established for future inspection and predictive maintenance. Campaign-based field measurements feeding the twin; no actuation, no learning loop. [Full-text source: browser-oa]</t>
  </si>
  <si>
    <t>As-is LiDAR/UPV characterisation plus dynamic strain/modal measurement validates a balanced-cantilever twin that exposes as-designed vs as-built discrepancies.</t>
  </si>
  <si>
    <t>Campaign-based measurements rather than continuous streaming; baseline twin only - damage scenarios and predictive maintenance remain future work.</t>
  </si>
  <si>
    <t>LiDAR geometry, UPV modulus and dynamic strain/acceleration measurements are fused in the calibrated as-is bridge model.</t>
  </si>
  <si>
    <t>Step-1 note: Balanced-cantilever bridge DT + SHM measurements | Coded from Step-3 deep-read markdown (DfS-only scope), imported 2026-10-04</t>
  </si>
  <si>
    <t>Shiraptini, T.C et al. (2026)</t>
  </si>
  <si>
    <t>Step-1 note: Crime hotspot cognitive DT; not built asset</t>
  </si>
  <si>
    <t>Llagostera-Brugarola, E et al. (2025)</t>
  </si>
  <si>
    <t>Step-1 note: Highway traffic DT; transportation</t>
  </si>
  <si>
    <t>Kampourakis, K.E et al. (2025)</t>
  </si>
  <si>
    <t>Step-1 note: CI cybersecurity DT review; not AECO</t>
  </si>
  <si>
    <t>Trofymchuk, O.M et al. (2025)</t>
  </si>
  <si>
    <t>Hybrid numerical method for evaluating seismic protection of buildings using dynamic FEM digital twins (NAS Ukraine et al., J Math Sci 2025): digital twins of the Pid Dubom residential complex (Lviv, Vrancea earthquake zone) driven by recorded soil-vibration accelerations from railway traffic and earthquake accelerograms; IoT sensor networks (cloud, online mode) feed the models; rubber isolators with nonlinear stiffness justified against Eurocode 8/DBN; overturning safety factors evaluated. One-way monitoring/records-&gt;FEM twin-&gt;protection design and safety assessment; no actuation, no learning loop. [Full-text source: Endnote]</t>
  </si>
  <si>
    <t>Fills the seismic-plus-railway-vibration protection gap: dynamic FEM digital twins driven by recorded railway/earthquake accelerations and IoT monitoring justify nonlinear rubber isolators for the Pid Dubom complex per Eurocode 8/DBN, including overturning safety factors.</t>
  </si>
  <si>
    <t>The DT modelling depends on recorded accelerations and manual non-destructive survey campaigns rather than a permanently live loop; friction effects give only a factor-1.5 estimate; robustness across other soil/building configurations is not quantified.</t>
  </si>
  <si>
    <t>Recorded railway/earthquake accelerations and IoT vibration records drive the FEM twin in one dynamic analysis workflow.</t>
  </si>
  <si>
    <t>Step-1 note: FEM dynamic twins for building seismic protection | Coded from Step-3 deep-read markdown (DfS-only scope), imported 2026-10-04</t>
  </si>
  <si>
    <t>Rezaie, M et al. (2025)</t>
  </si>
  <si>
    <t>Step-1 note: Digital safety system selection; DT only future</t>
  </si>
  <si>
    <t>Mao, R et al. (2025)</t>
  </si>
  <si>
    <t>Step-1 note: Maritime battery survey; not AECO</t>
  </si>
  <si>
    <t>Ding, Y et al. (2025)</t>
  </si>
  <si>
    <t>Step-1 note: Multi-camera evacuation tracking; DT end-goal only</t>
  </si>
  <si>
    <t>Ardebili, A et al. (2025)</t>
  </si>
  <si>
    <t>Step-1 note: Smart energy system resilience; not AECO</t>
  </si>
  <si>
    <t>Zhang, K.-W et al. (2026)</t>
  </si>
  <si>
    <t>Digital twin-driven multi-metrics condition assessment of eccentrically loaded RC columns (SWJTU/PolyU, Structure and Infrastructure Engineering 2026): laser-scanned point clouds and rebar scanning build a geometric DT; ABAQUS nonlinear FE with CDP and bond-slip becomes a mechanical DT through two-stage PSO updating against deflection, concrete strain and crack-width tests; updated parameters predict two validation columns with ultimate-load errors within 5%; fuzzy DS evidence theory fuses crack, deflection and load metrics into SLS/ULS condition levels, resolving threshold conflicts for serviceability and safety. One-way inspection/test data-&gt;updated twin-&gt;condition assessment; no physical actuation. [Full-text source: Endnote]</t>
  </si>
  <si>
    <t>Integrates as-built geometry, reinforcement layout, loading-test responses and code-level assessment metrics into a single RC-column mechanical DT: PSO-updated ABAQUS/CDP models match Column C1 ultimate load almost exactly (620.4 vs 620.3 kN) and transfer to C2/C3 with ultimate-load errors within 5%, while DS evidence fusion resolves crack/deflection/load threshold conflicts for more sensitive SLS/ULS assessment.</t>
  </si>
  <si>
    <t>Laboratory RC-column programme only; geometry/rebar scanning may fail under occlusion or inaccessible areas; environmental degradation, wider loading conditions, additional cross-sections and in-service RC members with initial defects are left for future validation.</t>
  </si>
  <si>
    <t>Point-cloud geometry, rebar-scanner reinforcement layout, deflection/strain/crack-width test data and load-bearing metrics are fused through PSO-updated FE modelling and DS evidence theory into one condition level.</t>
  </si>
  <si>
    <t>Step-1 note: DT condition assessment of RC columns; safety | Coded from Step-3 deep-read markdown (DfS-only scope), imported 2026-10-04</t>
  </si>
  <si>
    <t>Cervenka, J et al. (2026)</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</si>
  <si>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04c-port]</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</si>
  <si>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</si>
  <si>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</si>
  <si>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Only load-displacement curves generated by nonlinear ATENA finite-element sensitivity analyses feed the ANN surrogate; no measured sensor stream exists.</t>
  </si>
  <si>
    <t>Step-1 note: ANN surrogate DT for bridge SHM; safety info | Coded from Step-3 deep-read markdown (DfS-only scope), imported 2026-10-04</t>
  </si>
  <si>
    <t>Shin, H.-C et al. (2026)</t>
  </si>
  <si>
    <t>Step-1 note: Railway IoT acquisition device; DT future only</t>
  </si>
  <si>
    <t>Rangwala, H et al. (2025)</t>
  </si>
  <si>
    <t>Step-1 note: Steel-structure seismic sensing review; no DT core</t>
  </si>
  <si>
    <t>Pan, P et al. (2025)</t>
  </si>
  <si>
    <t>Intelligent monitoring system for deep foundation pits (Tsinghua/HUST, Buildings 2025): parametric ABAQUS modelling drives pit model generation within seconds; GA-based inverse analysis updates soil elastic modulus from real-time observed deformation (converges within 10 generations, prediction error reduced to &lt;10%); DTFPM provides real-time and predictive warnings per construction step; verified on a Beijing project. One-way monitoring-&gt;model update-&gt;warnings (no actuation); inverse-analysis model updating implemented but no formal convergence criterion. [Full-text source: browser-oa]</t>
  </si>
  <si>
    <t>GA inverse analysis updates soil stiffness from live deformation within 10 generations, cutting prediction error below 10% for real-time pit warnings.</t>
  </si>
  <si>
    <t>Single project; GA inverse analysis depends on soil layer assumptions; warnings advisory (no actuation); convergence stated empirically only.</t>
  </si>
  <si>
    <t>Observed deformation and ABAQUS FE simulation are fused through GA inverse analysis into the updated soil model.</t>
  </si>
  <si>
    <t>Step-1 note: Foundation pit DT framework; risk prediction/control | Coded from Step-3 deep-read markdown (DfS-only scope), imported 2026-10-04</t>
  </si>
  <si>
    <t>Oprea, R.-L et al. (2026)</t>
  </si>
  <si>
    <t>Step-1 note: Heritage 3D documentation; DT keyword only</t>
  </si>
  <si>
    <t>Corneli, A et al. (2025)</t>
  </si>
  <si>
    <t>Step-1 note: BIM+AR safety inspection; no DT</t>
  </si>
  <si>
    <t>Step-1 note: Outdoor safety concept paper; DT future</t>
  </si>
  <si>
    <t>Wakasaya, S et al. (2026)</t>
  </si>
  <si>
    <t>Step-1 note: Small river flood DT; hydrology domain</t>
  </si>
  <si>
    <t>Huang, C et al. (2026)</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</si>
  <si>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04c-port]</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</si>
  <si>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</si>
  <si>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</si>
  <si>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Multi-source risk assessment uses improved D-S evidence theory with conflict weakening and a validity factor to fuse personnel, pipe-sheet, shield and environmental data into one belief-level risk output.</t>
  </si>
  <si>
    <t>Step-1 note: IoT + DT tunnel construction monitoring; risk warning | Coded from Step-3 deep-read markdown (DfS-only scope), imported 2026-10-04</t>
  </si>
  <si>
    <t>Chowdhury, S et al. (2026)</t>
  </si>
  <si>
    <t>Step-1 note: MBSE capacity reassessment; DT conceptual</t>
  </si>
  <si>
    <t>Preetha, K et al. (2026)</t>
  </si>
  <si>
    <t>Step-1 note: EV charging DT; not AECO</t>
  </si>
  <si>
    <t>Konopski, P et al. (2026)</t>
  </si>
  <si>
    <t>Step-1 note: Fire safety regulatory review; DT contextual</t>
  </si>
  <si>
    <t>Li, R et al. (2026)</t>
  </si>
  <si>
    <t>Step-1 note: LAE channel DT; wireless comms</t>
  </si>
  <si>
    <t>Grießel, R et al. (2026)</t>
  </si>
  <si>
    <t>Step-1 note: VR ergonomics review; DT keyword only</t>
  </si>
  <si>
    <t>Lu, L et al. (2025)</t>
  </si>
  <si>
    <t>SERIC-IoT digital twin platform for prefabricated assembled superimposed stations (Tongji/Jinan Transportation, Buildings 2025): Scene-Entity-Relationship-Incident-Control modelling over a 1+5+N architecture with model-data separation, lightweight processing and model-data association; BIM models + engineering data + IoT sensor inputs drive multi-source analytics for construction progress, safety surveillance, quality control and design optimisation; implemented at Jinan Metro Line 8 prefabricated underground station. One-way IoT-&gt;platform-&gt;management (no automated actuation); no ML, no learning loop. [Full-text source: browser-oa]</t>
  </si>
  <si>
    <t>SERIC modelling with 1+5+N architecture unifies scene/entity/relationship/incident/control layers for lifecycle data sharing on a real prefabricated metro station.</t>
  </si>
  <si>
    <t>Single station application; safety/quality analytics qualitative; no ML prediction; platform scalability beyond the pilot unproven.</t>
  </si>
  <si>
    <t>BIM models, engineering data and IoT sensor inputs are fused through SERIC model-data association for multi-source analytics.</t>
  </si>
  <si>
    <t>Step-1 note: SERIC + IoT DT for prefab stations; safety/quality | Coded from Step-3 deep-read markdown (DfS-only scope), imported 2026-10-04</t>
  </si>
  <si>
    <t>Zhang, Z et al. (2026)</t>
  </si>
  <si>
    <t>Step-1 note: PPE benchmark; DT sim data source only</t>
  </si>
  <si>
    <t>Huang, Z et al. (2026)</t>
  </si>
  <si>
    <t>Lifecycle updating of rockfill dam deformation models (Wuhan U, CACAIE 2026): dependence-aware sequential Bayesian inference with Gaussian-Copula priors progressively assimilates monitoring data across construction/impoundment/operation stages; deep neural surrogate continually refined via posterior-guided FE samples, historical replay and Fisher-weighted regularisation; on the 303 m Lianghekou dam global relative settlement prediction error falls 37.4%-&gt;9.7% with 45.8% surrogate-updating cost reduction. Monitoring-&gt;updating-&gt;uncertainty-informed safety assessment (no actuation); continual surrogate learning implemented, no convergence criterion. [Full-text source: browser-oa]</t>
  </si>
  <si>
    <t>Copula-dependence sequential Bayesian updating plus continual surrogate learning halves the surrogate cost and cuts dam settlement error from 37.4% to 9.7%.</t>
  </si>
  <si>
    <t>Single dam case; copula structure empirical; continual-learning forgetting bounds not proven; predictions for extreme future stages remain uncertain.</t>
  </si>
  <si>
    <t>Monitoring data, copula-structured priors and FE-informed surrogate samples are fused in sequential Bayesian posterior updates.</t>
  </si>
  <si>
    <t>Step-1 note: Rockfill dam Bayesian surrogate DT; safety assessment | Coded from Step-3 deep-read markdown (DfS-only scope), imported 2026-10-04</t>
  </si>
  <si>
    <t>Eren, M.E et al. (2026)</t>
  </si>
  <si>
    <t>Step-1 note: NDT-calibrated BIM; static Level-2 twin</t>
  </si>
  <si>
    <t>Zvierieva, A et al. (2025)</t>
  </si>
  <si>
    <t>Step-1 note: Soil-polymer composites; DT keyword only</t>
  </si>
  <si>
    <t>Jiang, H et al. (2026)</t>
  </si>
  <si>
    <t>Step-1 note: Cognitive industrial design methodology; not AECO</t>
  </si>
  <si>
    <t>Bhatia, M et al. (2026)</t>
  </si>
  <si>
    <t>Step-1 note: Oil/gas DT scientometric; not AECO</t>
  </si>
  <si>
    <t>Gugliermetti, L et al. (2026)</t>
  </si>
  <si>
    <t>Step-1 note: AI/DT perspective; energy-transition focus</t>
  </si>
  <si>
    <t>Chen, C et al. (2025)</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</si>
  <si>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04c-port]</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</si>
  <si>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</si>
  <si>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</si>
  <si>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Settlement, TBM-operational and structural monitoring data are continuously integrated in the DT and jointly reasoned over by a knowledge graph with SWRL rules to infer hazards and mitigation.</t>
  </si>
  <si>
    <t>Step-1 note: DT + KG emergency response for tunnel construction | Coded from Step-3 deep-read markdown (DfS-only scope), imported 2026-10-04</t>
  </si>
  <si>
    <t>Liu, S et al. (2025)</t>
  </si>
  <si>
    <t>Step-1 note: PointCrackNet tunnel segmentation; no DT</t>
  </si>
  <si>
    <t>Presta, R et al. (2026)</t>
  </si>
  <si>
    <t>Step-1 note: Driving takeover DT; vehicles</t>
  </si>
  <si>
    <t>Yu, G et al. (2025)</t>
  </si>
  <si>
    <t>Cognitive Digital Twin modelling method for urban road emergency scenarios (Southeast U, JCCEE 2025): element-level and scenario-level twin models defined in geometry/attribute/behaviour dimensions with resilience theory; SysML + ontology modelling and a SysML2Ontology transformation tool build the Emergency Scenario Cognitive Digital Twin (ESCDT); case study constructs an ESCDT for a collision accident on the North-South Elevated Road (Shanghai) and uses it for scenario deduction in emergency management. Static scenario models for deduction; no live data link, no actuation, no learning loop. [Full-text source: Endnote]</t>
  </si>
  <si>
    <t>Fills the unified scenario-modelling gap for urban road emergencies: SysML + ontology twin models (geometry/attribute/behaviour, resilience theory) with a SysML2Ontology tool produce the ESCDT demonstrated on a Shanghai elevated-road collision accident for scenario deduction.</t>
  </si>
  <si>
    <t>Case study stops at scenario model construction and deduction; live data integration, prediction accuracy and rescue-decision benefits are not quantitatively evaluated; ontology coverage and tool scalability to other emergency types remain open.</t>
  </si>
  <si>
    <t>Geometry/attribute/behaviour views from SysML and ontology models are merged through the SysML2Ontology tool into one ESCDT scenario twin.</t>
  </si>
  <si>
    <t>Step-1 note: Cognitive DT for urban road emergency scenarios | Coded from Step-3 deep-read markdown (DfS-only scope), imported 2026-10-04</t>
  </si>
  <si>
    <t>Dao, J et al. (2025)</t>
  </si>
  <si>
    <t>Step-1 note: Forest fire semantic DT; not built asset</t>
  </si>
  <si>
    <t>Sarigul, F.H et al. (2026)</t>
  </si>
  <si>
    <t>Step-1 note: BIM-GIS lifecycle SLR; no DT core</t>
  </si>
  <si>
    <t>Cao, Y et al. (2026)</t>
  </si>
  <si>
    <t>Step-1 note: TunnelSDF reconstruction; DT downstream only</t>
  </si>
  <si>
    <t>Yahya, M et al. (2025)</t>
  </si>
  <si>
    <t>Step-1 note: UAV MEC offloading DT; not AECO</t>
  </si>
  <si>
    <t>LI, T et al. (2026)</t>
  </si>
  <si>
    <t>Step-1 note: Metro tunnel disease detection review; no DT</t>
  </si>
  <si>
    <t>Zhang, T et al. (2026)</t>
  </si>
  <si>
    <t>Step-1 note: Geo-energy transport perspective; energy domain</t>
  </si>
  <si>
    <t>Zhansheng, L et al. (2025)</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</si>
  <si>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04c-port]</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</si>
  <si>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</si>
  <si>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</si>
  <si>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Multi-channel overall-jacking monitoring data are jointly analysed by a random-forest model that ranks jacking height difference and jacking speed as the dominant factors for structural stress.</t>
  </si>
  <si>
    <t>Step-1 note: DT-driven safety control of steel mesh frame construction | Coded from Step-3 deep-read markdown (DfS-only scope), imported 2026-10-04</t>
  </si>
  <si>
    <t>He, F et al. (2025)</t>
  </si>
  <si>
    <t>Step-1 note: Urban traffic TKG+DT; transportation</t>
  </si>
  <si>
    <t>Ostermann, M et al. (2026)</t>
  </si>
  <si>
    <t>Step-1 note: Hospital-at-home patient DT; healthcare</t>
  </si>
  <si>
    <t>Qi, X et al. (2026)</t>
  </si>
  <si>
    <t>Step-1 note: Transmission tower DT; power grid, not AECO</t>
  </si>
  <si>
    <t>Krestenitis, M et al. (2026)</t>
  </si>
  <si>
    <t>Step-1 note: Runway UAV inspection; DT keyword only</t>
  </si>
  <si>
    <t>Fu, T et al. (2026)</t>
  </si>
  <si>
    <t>Step-1 note: Road-user traffic simulation; transportation</t>
  </si>
  <si>
    <t>Du, S et al. (2026)</t>
  </si>
  <si>
    <t>Step-1 note: CO2 sequestration surrogate; energy/environment</t>
  </si>
  <si>
    <t>Kotenko, I et al. (2026)</t>
  </si>
  <si>
    <t>Step-1 note: Smart grid cyber DT; energy + Russian journal</t>
  </si>
  <si>
    <t>Liu, M et al. (2025)</t>
  </si>
  <si>
    <t>Step-1 note: Aircraft overhaul shop scheduling; aerospace</t>
  </si>
  <si>
    <t>Step-1 note: Sodium-cooled fast reactor DT; nuclear</t>
  </si>
  <si>
    <t>Vision-driven dynamic tunnel digital twin (PolyU, Underground Space 2026): leverages existing CCTV networks to synchronously update a high-fidelity virtual tunnel; Tunnel Re-identification Model (TRIM, transformer-based) achieves state-of-the-art mAP@10 0.684 for cross-camera vehicle tracking, outperforming CNNs and standard ViT backbones; coupled vision fire-detection module localises and visualises emergent tunnel fires in the twin. Explicitly a data-fusion/perception layer rather than a fully automated closed-loop twin; one-way vision-&gt;situational awareness for operators; no actuation, no learning loop. [Full-text source: browser-oa]</t>
  </si>
  <si>
    <t>Reuses existing CCTV with a transformer Re-ID (mAP@10 0.684) and vision fire detection to keep the tunnel twin synchronised, avoiding hardware redevelopment and improving operator situational judgment.</t>
  </si>
  <si>
    <t>Perception layer only - no automated control; Re-ID validated on datasets with deployment described rather than benchmarked; fire module performance metrics partial.</t>
  </si>
  <si>
    <t>CCTV vision feeds both the TRIM tracking and the fire-detection module in one platform (single modality, multi-task).</t>
  </si>
  <si>
    <t>Step-1 note: Vision-driven tunnel DT for situation/emergency awareness | Coded from Step-3 deep-read markdown (DfS-only scope), imported 2026-10-04</t>
  </si>
  <si>
    <t>Samadian, D et al. (2026)</t>
  </si>
  <si>
    <t>Step-1 note: Steel building surrogate model; no DT</t>
  </si>
  <si>
    <t>Wang, Z et al. (2025)</t>
  </si>
  <si>
    <t>Step-1 note: 3D printing farm sorting DT; agriculture</t>
  </si>
  <si>
    <t>Akkaya, M et al. (2026)</t>
  </si>
  <si>
    <t>Step-1 note: ICU medical gas energy DT; healthcare</t>
  </si>
  <si>
    <t>Step-1 note: Parallel images vision theory; generic + Chinese</t>
  </si>
  <si>
    <t>Closed-loop robotic inspection + digital twin for fatigue prognosis of orthotropic steel decks (Hohai/Alberta/SEU, Communications Engineering 2026): magnetic-wheeled robot with manipulator/camera inspects box-girder welds (lab localisation 2.7 +/- 0.8 cm); field deployment on an in-service cable-stayed bridge cut inspection time 124.6-&gt;50.4 min/girder (-59.6%); quantified cracks assimilated into FEM fracture-mechanics twin with traffic spectra for remaining-life prediction; discrepancies between simulated and observed propagation paths (elevated Mode-II shear) feed back to refine the model and monitoring strategies. Adaptive model-updating loop implemented (no convergence criterion); maintenance decisions to humans, no actuation. [Full-text source: browser-oa]</t>
  </si>
  <si>
    <t>Closes the inspection-to-prognosis loop: robot-vision cracks are assimilated into an FEM fracture-mechanics twin, and simulated-vs-observed propagation discrepancies feed back to refine the model, halving per-girder inspection time.</t>
  </si>
  <si>
    <t>Single bridge field deployment; robot access limited to box girders; Mode-II uncertainty not fully resolved; no convergence criterion for the adaptive loop.</t>
  </si>
  <si>
    <t>Robot-vision crack skeletons are fused with FEM fracture mechanics and traffic spectra in the assimilated twin.</t>
  </si>
  <si>
    <t>Step-1 note: Closed-loop robotic inspection DT for bridge fatigue prognosis | Coded from Step-3 deep-read markdown (DfS-only scope), imported 2026-10-04</t>
  </si>
  <si>
    <t>Zhang, Y et al. (2025)</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</si>
  <si>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04c-port]</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</si>
  <si>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</si>
  <si>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</si>
  <si>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DHT11, MPU6050, wind and laser displacement sensors stream over MQTT to the Unreal prototype for dataflow verification and threshold alarms, sharing the twin frame while each channel is checked separately.</t>
  </si>
  <si>
    <t>Step-1 note: MBSE DT for cable-stayed bridge rotation construction monitoring | Coded from Step-3 deep-read markdown (DfS-only scope), imported 2026-10-04</t>
  </si>
  <si>
    <t>Kalasapudi, V.S et al. (2026)</t>
  </si>
  <si>
    <t>Step-1 note: AI administrative workflows; DT context only</t>
  </si>
  <si>
    <t>Song, C et al. (2026)</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</si>
  <si>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04c-port]</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</si>
  <si>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</si>
  <si>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</si>
  <si>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RGB camera imagery, RTK-GNSS and IMU localisation are combined so skeletonization and PCA can convert segmentations into metric crack length and centre measurements on the building facade.</t>
  </si>
  <si>
    <t>Step-1 note: Climbing-robot facade inspection with real-time DT platform | Methodology label normalised (source: "Perception / Computer Vision") | Coded from Step-3 deep-read markdown (DfS-only scope), imported 2026-10-04</t>
  </si>
  <si>
    <t>Brocchini, L et al. (2026)</t>
  </si>
  <si>
    <t>Step-1 note: Traffic control strategies taxonomy; transportation</t>
  </si>
  <si>
    <t>Falkowski, P et al. (2025)</t>
  </si>
  <si>
    <t>Wang, B et al. (2025)</t>
  </si>
  <si>
    <t>Step-1 note: Ship damage control DT; marine vessels</t>
  </si>
  <si>
    <t>Zhang, B et al. (2026)</t>
  </si>
  <si>
    <t>Step-1 note: sUAS wind simulation; UAV/aerospace</t>
  </si>
  <si>
    <t>Doukari, O et al. (2026)</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</si>
  <si>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04c-port]</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</si>
  <si>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</si>
  <si>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</si>
  <si>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Real-time data and dashboards monitor 13 KPIs across five domains (cost, schedule, quality, safety, environment) in one renovation DT platform, without a stated shared reference frame joining the domains.</t>
  </si>
  <si>
    <t>Step-1 note: Renovation DT monitoring cost/schedule/quality/safety/environment | Coded from Step-3 deep-read markdown (DfS-only scope), imported 2026-10-04</t>
  </si>
  <si>
    <t>Liu, Y (2026)</t>
  </si>
  <si>
    <t>Edge-cloud collaborative digital twin architecture for bridge SHM (Shijiazhuang Transport Investment, Discover Applied Sciences 2026): five layers (physical/edge/cloud/DT/application) with hierarchical multi-sensor fusion; edge attention 1D-CNN plus cloud VAE-BiLSTM collaborative anomaly detection; Bayesian model updating synchronises virtual and physical entities; 1:5 scaled steel beam experiments: edge task delay 39.7 ms, cloud 20.1 ms, strain-fusion RMSE -62%, displacement reconstruction RMSE -68%, anomaly accuracy &gt;96%, Bayesian updating improves strain prediction by 40.1%. One-way monitoring-&gt;fusion-&gt;anomaly alerts; Bayesian updating implemented, no convergence criterion, no actuation. [Full-text source: browser-oa]</t>
  </si>
  <si>
    <t>First hierarchical edge-cloud DT for bridge SHM: edge attention CNN plus cloud VAE-BiLSTM cuts strain-fusion RMSE by 62% and reaches &gt;96% anomaly accuracy at 39.7/20.1 ms edge/cloud delays.</t>
  </si>
  <si>
    <t>1:5 scale-beam experiment, not a full bridge; anomaly classes limited; Bayesian updating gains measured on strain only; no actuation.</t>
  </si>
  <si>
    <t>Hierarchical fusion combines edge attention CNN and cloud VAE-BiLSTM outputs over multi-sensor strain/displacement data.</t>
  </si>
  <si>
    <t>Step-1 note: Edge-cloud collaborative DT for bridge SHM | Coded from Step-3 deep-read markdown (DfS-only scope), imported 2026-10-04</t>
  </si>
  <si>
    <t>Svitelman, V et al. (2025)</t>
  </si>
  <si>
    <t>Step-1 note: Underground lab DT for radioactive waste disposal</t>
  </si>
  <si>
    <t>Abuhussain, M.A (2026)</t>
  </si>
  <si>
    <t>Step-1 note: Smart adaptive wall DT; energy/comfort/carbon focus</t>
  </si>
  <si>
    <t>Duan, J et al. (2026)</t>
  </si>
  <si>
    <t>DT framework for damage detection and localisation of self-sensed CIPP-rehabilitated underground pipelines (Purdue/NDSU, Engineering Structures 2026): distributed fibre-optic sensors give high-resolution continuous strain; FEM + deep-learning strain-field correlation extend strain monitoring to structural deformation assessment; eccentric-compression experiments on bare and CIPP-lined steel substrates; DT enables real-time structural visualisation, early plastic-region identification and crack-severity quantification for predictive maintenance and pipeline safety. Lab experiments + numerical validation (no live pipeline deployment yet); one-way sensing-&gt;assessment; no actuation, no learning loop. [Full-text source: Endnote]</t>
  </si>
  <si>
    <t>Fills the buckling-assessment gap for CIPP-rehabilitated pipes: DFOS self-sensing plus FEM and DL strain-field correlation extend strain monitoring to deformation assessment, enabling early plastic-region detection and crack-severity quantification for predictive maintenance.</t>
  </si>
  <si>
    <t>Eccentric-compression lab experiments on steel substrates; in-situ live pipeline deployment, soil-structure interaction and long-term environmental effects are not yet validated; DL strain-field generalisation across diameters/materials is limited.</t>
  </si>
  <si>
    <t>DFOS strain fields, FEM and DL strain-field correlation are fused into one deformation/damage assessment pipeline.</t>
  </si>
  <si>
    <t>Step-1 note: DT for damage detection of CIPP underground pipelines | Coded from Step-3 deep-read markdown (DfS-only scope), imported 2026-10-04</t>
  </si>
  <si>
    <t>Sun, Z et al. (2026)</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</si>
  <si>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04c-port]</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</si>
  <si>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</si>
  <si>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</si>
  <si>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The human-in-the-loop DT framework formalises human cognition, AI and engineering knowledge into a device-model-decision architecture, but validation is qualitative and conceptual only.</t>
  </si>
  <si>
    <t>Step-1 note: Human-in-the-loop DT for smart CI O&amp;M safety | Coded from Step-3 deep-read markdown (DfS-only scope), imported 2026-10-04</t>
  </si>
  <si>
    <t>Musstafa, A.Y.A et al. (2026)</t>
  </si>
  <si>
    <t>Step-1 note: Sudan societal impact ML; DT keyword only</t>
  </si>
  <si>
    <t>Kaewunruen, S et al. (2026)</t>
  </si>
  <si>
    <t>Step-1 note: Railway overhead line BIM climate resilience; DT aspirational</t>
  </si>
  <si>
    <t>Kim, K et al. (2026)</t>
  </si>
  <si>
    <t>Step-1 note: RL evacuation guidance; DT framing goal only</t>
  </si>
  <si>
    <t>Shen, T et al. (2026)</t>
  </si>
  <si>
    <t>Step-1 note: Aircraft cabin semantic-geometric DT; aerospace</t>
  </si>
  <si>
    <t>Yu, Z et al. (2026)</t>
  </si>
  <si>
    <t>Step-1 note: Crane bridge teaching DT platform; mechanical equipment</t>
  </si>
  <si>
    <t>Sungheetha, A et al. (2026)</t>
  </si>
  <si>
    <t>Step-1 note: Psilocybin treatment DT; healthcare</t>
  </si>
  <si>
    <t>Karkaria, V et al. (2025)</t>
  </si>
  <si>
    <t>Step-1 note: Tire health predictive maintenance DT; automotive</t>
  </si>
  <si>
    <t>Sharafat, A et al. (2025)</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</si>
  <si>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04c-port]</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</si>
  <si>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</si>
  <si>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</si>
  <si>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Extensometers, load cells and prism-target measurements jointly feed the FEM models that trigger rock-support adjustments on the Neelum Jhelum powerhouse cavern.</t>
  </si>
  <si>
    <t>Step-1 note: DT-driven stability optimization of large underground caverns | Coded from Step-3 deep-read markdown (DfS-only scope), imported 2026-10-04</t>
  </si>
  <si>
    <t>Lv, Y et al. (2026)</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</si>
  <si>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04c-port]</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</si>
  <si>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</si>
  <si>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</si>
  <si>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Only Hong Kong territory-wide LiDAR survey data (up to 0.1 m resolution) are used; the DrainNet input images and the slope topography are both derived products of that single survey.</t>
  </si>
  <si>
    <t>Step-1 note: Automated BIM models for engineered slope DT visualization | Methodology label normalised (source: "Perception / Computer Vision") | Coded from Step-3 deep-read markdown (DfS-only scope), imported 2026-10-04</t>
  </si>
  <si>
    <t>Jiao, W et al. (2025)</t>
  </si>
  <si>
    <t>Step-1 note: DT implementation factors ISM; no DfS/DfQ/PtD</t>
  </si>
  <si>
    <t>Wang, Z et al. (2026)</t>
  </si>
  <si>
    <t>Step-1 note: PIML damage identification; hybrid DT keyword only</t>
  </si>
  <si>
    <t>Trevlopoulos, K et al. (2026)</t>
  </si>
  <si>
    <t>Step-1 note: Multi-hazard fragility models; no DT</t>
  </si>
  <si>
    <t>Step-1 note: Work-zone sensor deployment; DT keyword only</t>
  </si>
  <si>
    <t>Xiong, C et al. (2026)</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</si>
  <si>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04c-port]</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</si>
  <si>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</si>
  <si>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</si>
  <si>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Wireless time-synchronised smart-sensor vibration data are mapped onto the cloud MDOF flexural-shear twin updated by SSI-COV and PSO, which then localises vibration sources by spectrum matching.</t>
  </si>
  <si>
    <t>Step-1 note: Edge-cloud DT for high-rise vibration anomaly detection | Coded from Step-3 deep-read markdown (DfS-only scope), imported 2026-10-04</t>
  </si>
  <si>
    <t>Jin, A.-B et al. (2026)</t>
  </si>
  <si>
    <t>Step-1 note: Mining risk visualization 3Dmine-3DEC; mining</t>
  </si>
  <si>
    <t>Yang, F et al. (2026)</t>
  </si>
  <si>
    <t>Step-1 note: Energy-chemical industry base; energy</t>
  </si>
  <si>
    <t>Deng, M et al. (2026)</t>
  </si>
  <si>
    <t>Step-1 note: LLM+DT robot task allocation; no DfS/DfQ/PtD</t>
  </si>
  <si>
    <t>Lin, X et al. (2025)</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</si>
  <si>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04c-port]</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</si>
  <si>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</si>
  <si>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</si>
  <si>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Depth-camera 32-point skeletons, LiDAR/URDF robot models and ArUco/QR material tags are combined into geometric-solid virtual representations on which separation-distance and protective-separation-distance computation runs jointly.</t>
  </si>
  <si>
    <t>Step-1 note: DT-enabled safety monitoring for worker-robot collaboration | Methodology label normalised (source: "Perception / Computer Vision") | Coded from Step-3 deep-read markdown (DfS-only scope), imported 2026-10-04</t>
  </si>
  <si>
    <t>Tian, J et al. (2025)</t>
  </si>
  <si>
    <t>The Dam Neurons model uses GCN/transfer learning for sensor-point deformation and seepage and LSTM-FEM mapping for full-domain fields; dynamic monitoring losses fuse observations with FEM in a 186 m dam case. [Full-text source: browser-oa]</t>
  </si>
  <si>
    <t>Maps sparse dam sensors to full-domain deformation and seepage fields through GCN transfer learning, FEM/LSTM mapping and a dynamic monitoring loss.</t>
  </si>
  <si>
    <t>The case is one 186 m dam and reported gains depend on the chosen monitoring/FEM setup; broader dam types and long-term online operation need validation.</t>
  </si>
  <si>
    <t>Sensor deformation/seepage values, FEM-generated fields and GCN/LSTM predictions are linked by point-to-domain mapping and a dynamic monitoring loss.</t>
  </si>
  <si>
    <t>Step-1 note: DT for deformation/seepage of high earth-rock dams | Coded from Step-3 deep-read markdown (DfS-only scope), imported 2026-10-04</t>
  </si>
  <si>
    <t>Kim, M.-H et al. (2026)</t>
  </si>
  <si>
    <t>Step-1 note: Stem cell manufacturing; biotech</t>
  </si>
  <si>
    <t>Qin, W (2026)</t>
  </si>
  <si>
    <t>Construction-site management via digital twin and RandLA-Net point-cloud semantic segmentation (SW Petroleum U, PLOS One 2026): field point clouds reconstructed into a site digital twin; semantic segmentation identifies types and locations of materials/machinery/buildings with colour-coded 3D labels, enabling pre-extreme-weather risk identification and site-layout optimisation; assessed on a road-and-bridge construction site. Static reconstruction and identification (no live link); no actuation, no learning loop. [Full-text source: browser-oa]</t>
  </si>
  <si>
    <t>Point-cloud semantic segmentation of the site DT gives pre-weather identification and location of at-risk materials/machinery, streamlining layout optimisation.</t>
  </si>
  <si>
    <t>Static reconstruction; segmentation accuracy vs extreme-weather ground truth not quantified in depth; single site; no live update cycle.</t>
  </si>
  <si>
    <t>Only field point clouds drive the reconstruction and semantic labelling.</t>
  </si>
  <si>
    <t>Step-1 note: DT + point-cloud segmentation for extreme-weather site safety | Methodology label normalised (source: "Perception / Computer Vision") | Coded from Step-3 deep-read markdown (DfS-only scope), imported 2026-10-04</t>
  </si>
  <si>
    <t>Han, Y et al. (2026)</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</si>
  <si>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04c-port]</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</si>
  <si>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</si>
  <si>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</si>
  <si>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UWB and IMU sensing streams are fused inside the PosTraFormer spatio-temporal network (multi-layer GCNs over trajectory point relations) for 6-D pose estimation and trajectory prediction.</t>
  </si>
  <si>
    <t>Step-1 note: DT-driven MiC stacking pose estimation; collision safety | Coded from Step-3 deep-read markdown (DfS-only scope), imported 2026-10-04</t>
  </si>
  <si>
    <t>Galant, F et al. (2026)</t>
  </si>
  <si>
    <t>Step-1 note: BIM damage calibration with RPA; no DT</t>
  </si>
  <si>
    <t>Hasulyó, G (2026)</t>
  </si>
  <si>
    <t>Step-1 note: Hydrogen refueling infrastructure DT; energy</t>
  </si>
  <si>
    <t>Wang, K et al. (2025)</t>
  </si>
  <si>
    <t>Geometric digital twin from airborne LiDAR for safety analysis of large-span spatial structures (HIT Shenzhen, J Build Eng 2025): one-dimensional geometric models extracted from point clouds capture real initial geometric imperfections of the Shenzhen Gymnasium retractable roof; FE models built from LiDAR measurements represent real structural performance better than the consistent-imperfection-mode method for stability/safety assessment. One-off measurement -&gt; geometric twin -&gt; FE safety analysis; no live data link, no actuation, no learning loop. [Full-text source: Endnote]</t>
  </si>
  <si>
    <t>Fills the initial-imperfection gap in large-span spatial-structure safety analysis: airborne-LiDAR-derived 1D geometric twins capture real imperfections of the Shenzhen Gymnasium roof, and FE models from these twins represent real structural performance better than the consistent-imperfection-mode method.</t>
  </si>
  <si>
    <t>One-off LiDAR survey of one roof; the static geometric twin does not feed a live monitoring loop, and sensitivity to point-cloud density, scanning coverage and member-level defect capture is not fully quantified.</t>
  </si>
  <si>
    <t>Only LiDAR geometry enters the analysis; no second measured data type.</t>
  </si>
  <si>
    <t>Step-1 note: Airborne LiDAR geometric DT for spatial structure safety | Coded from Step-3 deep-read markdown (DfS-only scope), imported 2026-10-04</t>
  </si>
  <si>
    <t>Wu, X et al. (2026)</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</si>
  <si>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04c-port]</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</si>
  <si>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</si>
  <si>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</si>
  <si>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A BO-GCN-BiLSTM predictor with SHAP interpretation jointly consumes multi-parameter slurry-shield construction data and iteratively keeps slurry pressure within the warning range via bidirectional IoT/5G links.</t>
  </si>
  <si>
    <t>Step-1 note: Knowledge-data DT platform for slurry shield face stability | Coded from Step-3 deep-read markdown (DfS-only scope), imported 2026-10-04</t>
  </si>
  <si>
    <t>Pradhana, A.A.S et al. (2026)</t>
  </si>
  <si>
    <t>Step-1 note: CCTV placement via 3D indoor modelling; DT enabling tool</t>
  </si>
  <si>
    <t>Koltun, O.V et al. (2025)</t>
  </si>
  <si>
    <t>Step-1 note: Architect-engineer NPP lifecycle; nuclear</t>
  </si>
  <si>
    <t>Arias-Ferreiro, G et al. (2026)</t>
  </si>
  <si>
    <t>Integrated air-ground robotic system for autonomous post-blast operations (ACCIONA/CATEC/TECNALIA, Remote Sensing 2026): digital twin acts as central operational digital interface coordinating a UAV (LiDAR-thermal-inertial SLAM, maps 500 m tunnel &lt;8 min in zero visibility) and an autonomous wheel loader for debris removal in GNSS-denied tunnels; shared coordinate frame handed to ground machinery; operations start 50-80% earlier, 100% elimination of human exposure, 8% daily time saving, ROI 1-7 months. Twin orchestrates autonomous machines (virtual-to-physical) -&gt; Tier 3; validated in a realistic emulated tunnel environment (not production); no learning loop. [Full-text source: browser-oa]</t>
  </si>
  <si>
    <t>DT-orchestrated UAV-AWL team starts post-blast operations 50-80% earlier and eliminates human exposure in GNSS-denied tunnels, with ROI of 1-7 months.</t>
  </si>
  <si>
    <t>Validated in an emulated realistic tunnel, not production blasting cycles; debris-removal autonomy details limited; comms in deep tunnels unaddressed.</t>
  </si>
  <si>
    <t>LiDAR, thermal and inertial streams are fused for SLAM, and robot statuses are fused in the DT orchestration layer.</t>
  </si>
  <si>
    <t>Step-1 note: Air-ground robotic post-blast tunnel ops under DT supervision | Methodology label normalised (source: "Perception / Computer Vision") | Coded from Step-3 deep-read markdown (DfS-only scope), imported 2026-10-04</t>
  </si>
  <si>
    <t>Guikema, S et al. (2025)</t>
  </si>
  <si>
    <t>Step-1 note: DT security risk perspective; generic, not AECO</t>
  </si>
  <si>
    <t>Isolan, L et al. (2025)</t>
  </si>
  <si>
    <t>Step-1 note: PET/CT extravasation DT; healthcare</t>
  </si>
  <si>
    <t>Jeon, J et al. (2026)</t>
  </si>
  <si>
    <t>Step-1 note: Marine engine health prognosis DT; maritime</t>
  </si>
  <si>
    <t>Secchi, M et al. (2026)</t>
  </si>
  <si>
    <t>Step-1 note: Debris flow FNO surrogate; natural hazard</t>
  </si>
  <si>
    <t>Röhrich, M et al. (2026)</t>
  </si>
  <si>
    <t>Step-1 note: Forestry machine ergonomics; forestry</t>
  </si>
  <si>
    <t>Ma, Y et al. (2026)</t>
  </si>
  <si>
    <t>Step-1 note: Rail temperature forecasting; DT keyword only</t>
  </si>
  <si>
    <t>He, Y et al. (2026)</t>
  </si>
  <si>
    <t>Step-1 note: Subsea pipeline path planning; marine</t>
  </si>
  <si>
    <t>Szmuk, A et al. (2025)</t>
  </si>
  <si>
    <t>Step-1 note: Mine ventilation LiDAR; mining</t>
  </si>
  <si>
    <t>Yin, Z et al. (2025)</t>
  </si>
  <si>
    <t>Step-1 note: Traffic entity KG + HD maps; transportation</t>
  </si>
  <si>
    <t>Venkatesan, P et al. (2026)</t>
  </si>
  <si>
    <t>Step-1 note: Cognitive radio network RL; telecom</t>
  </si>
  <si>
    <t>Samanipour, A et al. (2026)</t>
  </si>
  <si>
    <t>Step-1 note: Software-defined vehicles; automotive</t>
  </si>
  <si>
    <t>Liu, J et al. (2025)</t>
  </si>
  <si>
    <t>Step-1 note: HRC construction review; DT future direction only</t>
  </si>
  <si>
    <t>Ye, Y et al. (2026)</t>
  </si>
  <si>
    <t>Digital twin for rib-to-deck weld-joint fatigue life prediction fuses eccentric tensile fatigue-test data with multiscale CPFEM/fracture-mechanics simulation through a dynamic Bayesian network and particle filter, updating parameters and remaining-life predictions for bridge-safety decisions. [Full-text source: browser-oa]</t>
  </si>
  <si>
    <t>Links physical fatigue tests and multiscale fracture simulation through Bayesian updating, enabling real-time parameter correction and remaining-life prediction for critical bridge weld joints.</t>
  </si>
  <si>
    <t>Validation uses laboratory weld-joint specimens rather than an operating bridge; scaling to field monitoring, traffic variability and real sensor noise is still needed.</t>
  </si>
  <si>
    <t>Fatigue-test crack data and multiscale CPFEM/fracture-mechanics simulation are jointly updated through a dynamic Bayesian network and particle filter.</t>
  </si>
  <si>
    <t>Step-1 note: DT-based multiscale fatigue crack life prediction of weld joints | Coded from Step-3 deep-read markdown (DfS-only scope), imported 2026-10-04</t>
  </si>
  <si>
    <t>Hu, R et al. (2026)</t>
  </si>
  <si>
    <t>Step-1 note: Construction machinery DT maturity assessment; not DfS/DfQ</t>
  </si>
  <si>
    <t>Zhu, Y et al. (2025)</t>
  </si>
  <si>
    <t>Step-1 note: Bridge weigh-in-motion video-strain; no DT</t>
  </si>
  <si>
    <t>Sisto, G (2025)</t>
  </si>
  <si>
    <t>Step-1 note: Blockchain agrifood supply chain; agriculture</t>
  </si>
  <si>
    <t>Dan, D et al. (2026)</t>
  </si>
  <si>
    <t>Step-1 note: HSR bridge load identification; DT keyword only</t>
  </si>
  <si>
    <t>Jiang, S et al. (2025)</t>
  </si>
  <si>
    <t>Step-1 note: DT structural safety assessment; Chinese journal</t>
  </si>
  <si>
    <t>Abdel-Mooty, M.N et al. (2026)</t>
  </si>
  <si>
    <t>Step-1 note: Community flood risk ML; DT keyword only</t>
  </si>
  <si>
    <t>Wu, S et al. (2026)</t>
  </si>
  <si>
    <t>Digital-twin enabled living fresco facade (ACS Omega 2026): GFRP-reinforced translucent polymer-concrete panel (65 MPa, 22% transmittance) with embedded FBG arrays at 5 cm pitch; ViT-GAN converts Kinect skeleton streams into 30 fps light patterns on a 12 m LED wall (dwell +340%); edge TinyML CNNs process FBG signals to detect 0.1 mm cracks at 96.7% accuracy and autonomously dim the artwork as a safety cue; X-ray CT voids &lt;1.2%; calibrated reduced-order twin predicts 7.8% stiffness loss / &lt;5% optical attenuation over 30 years with alerts 6 months ahead. Twin actively controls the LED artwork (actuation) -&gt; Tier 3; closed-loop calibration implemented, no convergence criterion; lab/bench validation. [Full-text source: browser-oa]</t>
  </si>
  <si>
    <t>Merges structural self-sensing, interactive aesthetics and 30-year prognosis in one facade: 0.1 mm crack detection at 96.7% with automatic safety dimming of the artwork.</t>
  </si>
  <si>
    <t>Bench/lab validation with 30-year simulated prognosis; full-scale building integration and UV/weathering field data not yet demonstrated.</t>
  </si>
  <si>
    <t>FBG strain/temperature, Kinect skeleton vision and material characterisation are fused in the reduced-order twin.</t>
  </si>
  <si>
    <t>Step-1 note: DT-enabled self-sensing translucent concrete facade | Methodology label normalised (source: "Perception / Computer Vision") | Coded from Step-3 deep-read markdown (DfS-only scope), imported 2026-10-04</t>
  </si>
  <si>
    <t>Senese, A et al. (2026)</t>
  </si>
  <si>
    <t>Step-1 note: Hydrogen blend transport network dataset; energy</t>
  </si>
  <si>
    <t>Colaw, C.L et al. (2025)</t>
  </si>
  <si>
    <t>Step-1 note: Human DT aerospace manufacturing QA; aerospace</t>
  </si>
  <si>
    <t>Mohammadi, A et al. (2026)</t>
  </si>
  <si>
    <t>Step-1 note: Vehicle-cyclist interaction simulator; traffic</t>
  </si>
  <si>
    <t>Jeong, H et al. (2026)</t>
  </si>
  <si>
    <t>Step-1 note: Visual sensor deployment optimization; DT enabling only</t>
  </si>
  <si>
    <t>Liang, X et al. (2026)</t>
  </si>
  <si>
    <t>Step-1 note: Offshore floating platform DT; marine</t>
  </si>
  <si>
    <t>Hekmatnejad, A et al. (2025)</t>
  </si>
  <si>
    <t>Step-1 note: Tunnel rock-block UDi within DT workflow; no twin built</t>
  </si>
  <si>
    <t>Zhang, H et al. (2025)</t>
  </si>
  <si>
    <t>Step-1 note: Forest fire rescue DT simulation; natural hazard</t>
  </si>
  <si>
    <t>Aroquipa, H et al. (2025)</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</si>
  <si>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04c-port]</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</si>
  <si>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</si>
  <si>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</si>
  <si>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The LiDAR point-cloud survey is converted into a BIM that is linked to the 3DEC/SAP2000 FEM models through an explicit BIM-FEM linking process, sharing one building geometry frame while each model analyses separately.</t>
  </si>
  <si>
    <t>Step-1 note: SHM + DT seismic assessment of heritage basilica | Coded from Step-3 deep-read markdown (DfS-only scope), imported 2026-10-04</t>
  </si>
  <si>
    <t>Du, W et al. (2026)</t>
  </si>
  <si>
    <t>Step-1 note: Yellow River ice prevention DT; river hydrology</t>
  </si>
  <si>
    <t>Peng, P et al. (2026)</t>
  </si>
  <si>
    <t>Step-1 note: Bridge management scientometric; DT one hotspot</t>
  </si>
  <si>
    <t>Sanfilippo, R et al. (2025)</t>
  </si>
  <si>
    <t>Step-1 note: ITA-AITES tunnel BIM guideline; DT keyword; sustainability</t>
  </si>
  <si>
    <t>Qiu, S et al. (2025)</t>
  </si>
  <si>
    <t>Step-1 note: Rail fastener point clouds; DT downstream only</t>
  </si>
  <si>
    <t>Talaghat, M.A et al. (2026)</t>
  </si>
  <si>
    <t>Step-1 note: Pavement crack PCI pipeline; DT-ready only</t>
  </si>
  <si>
    <t>Step-1 note: Space station fluid loop PHM; aerospace</t>
  </si>
  <si>
    <t>Umar, I.H et al. (2026)</t>
  </si>
  <si>
    <t>Step-1 note: Open-pit slope IoT DT; mining</t>
  </si>
  <si>
    <t>REN, W et al. (2026)</t>
  </si>
  <si>
    <t>Step-1 note: Bridge strengthening review; Chinese journal</t>
  </si>
  <si>
    <t>Vasconcellos, E.C et al. (2025)</t>
  </si>
  <si>
    <t>Step-1 note: Ocean virtual environment for sailboats; marine</t>
  </si>
  <si>
    <t>Limin, Z (2026)</t>
  </si>
  <si>
    <t>Step-1 note: Geological hazard chains; Chinese journal</t>
  </si>
  <si>
    <t>Sayghe, A et al. (2026)</t>
  </si>
  <si>
    <t>Step-1 note: ICS cyber attack detection DT; generic CPS</t>
  </si>
  <si>
    <t>Five-dimensional DT framework for architectural heritage preventive conservation (BUCEA, J Build Eng 2025): physical entity, digital twin, twin data, service and connection dimensions; HBIM reconstruction plus structural linkage rule model and mechanics-based displacement trend model (LSTM) give real-time situational awareness and hyper-real-time extrapolation; prototype at the Yingxian Wooden Pagoda predicts spatio-temporal structural changes, supports disaster risk reduction and conservation decisions. One-way monitoring/prediction-&gt;conservation decision support; no actuation, no learning loop. [Full-text source: Endnote]</t>
  </si>
  <si>
    <t>Fills the reactive-to-proactive conservation gap for architectural heritage: a five-dimensional DT with HBIM, structural linkage rules and LSTM displacement trends provides real-time awareness and hyper-real-time extrapolation at the Yingxian Wooden Pagoda, supporting disaster risk reduction.</t>
  </si>
  <si>
    <t>Prototype scope at one pagoda; long-term drift of HBIM/rule/LSTM models under climate and material degradation is not demonstrated, and the quantitative accuracy of extrapolation vs on-site measurements is only partially reported.</t>
  </si>
  <si>
    <t>HBIM geometry, mechanical linkage rules and LSTM displacement trends are fused in the five-dimensional DT for spatio-temporal prediction.</t>
  </si>
  <si>
    <t>Step-1 note: 5D DT framework for architectural heritage conservation | Coded from Step-3 deep-read markdown (DfS-only scope), imported 2026-10-04</t>
  </si>
  <si>
    <t>Bianchi, G et al. (2026)</t>
  </si>
  <si>
    <t>AI-Digital Twin framework for automated predictive maintenance of bonded insulated rail joints (U Parma, AutCon 2026): high-fidelity physics-informed DT simulates coupled IRJ-sleeper behaviour under bolt-preload loss and support degradation, generating physically consistent labelled datasets; STFT-CNN, WT-CNN and decision-tree classifiers on time-frequency representations classify degradation states across six PdM scenarios with quantified detectability limits. Simulation-generated training plus classifier validation only (no field monitoring loop); no actuation, no learning loop. [Full-text source: browser-oa]</t>
  </si>
  <si>
    <t>Physics-informed DT generates safe labelled degradation datasets that DCNNs leverage for automated IRJ condition classification with quantified detectability limits.</t>
  </si>
  <si>
    <t>No field monitoring data - classifiers trained only on simulated signals; generalization to real track noise and multiple line conditions unproven.</t>
  </si>
  <si>
    <t>DT-simulated displacement and gap time-frequency images are fused with physics-based health classes via CNN classifiers.</t>
  </si>
  <si>
    <t>Step-1 note: AI-DT predictive maintenance of insulated rail joints | Coded from Step-3 deep-read markdown (DfS-only scope), imported 2026-10-04</t>
  </si>
  <si>
    <t>Li, L et al. (2026)</t>
  </si>
  <si>
    <t>Step-1 note: Multi-vehicle trajectory prediction; traffic</t>
  </si>
  <si>
    <t>Yu, Q et al. (2026)</t>
  </si>
  <si>
    <t>Digital twin model reconstruction of an umbrella-shaped tensile membrane structure (China U Mining &amp; Tech, Applied Sciences 2026): test-bench point clouds registered by ICP and reconstructed by Screened Poisson surface reconstruction; 3D3S FE theoretical model updated to the measured surface, cutting maximum form deviation from 43.56 mm to 0.05 mm; updated model used for environmental load combinations and hazard warning of weak areas. Static reconstruction + FE load analysis; no live link, no actuation, no learning loop. [Full-text source: browser-oa]</t>
  </si>
  <si>
    <t>SPSR-based model updating reduces membrane form deviation from 43.56 mm to 0.05 mm, giving a twin suitable for ultimate-load weak-area identification.</t>
  </si>
  <si>
    <t>Test-bench scale; environmental loads are ultimate-combination simulations; no long-term drift monitoring of the membrane.</t>
  </si>
  <si>
    <t>Only 3D point-cloud geometry feeds the reconstruction pipeline.</t>
  </si>
  <si>
    <t>Step-1 note: DT reconstruction and load analysis of tensile membrane structure | Methodology label normalised (source: "Perception / Computer Vision") | Coded from Step-3 deep-read markdown (DfS-only scope), imported 2026-10-04</t>
  </si>
  <si>
    <t>Su, D et al. (2025)</t>
  </si>
  <si>
    <t>At Shenzhen Shasan Station, second-level machine/guidance telemetry and geological data drive a soil-machine load model; the platform predicts attitude risk and supplies correction-force guidance to operators through 45 articulation cylinders. [Full-text source: browser-oa]</t>
  </si>
  <si>
    <t>Moves large rectangular pipe-jacking correction from experience toward mechanics-based guidance, linking live attitude/soil data to calculated soil interaction and cylinder forces.</t>
  </si>
  <si>
    <t>The guidance is operator-mediated and validated on one pipe-jacking project; deviation/safety gains and force recommendations need verification across soils and projects.</t>
  </si>
  <si>
    <t>Second-level machine telemetry, guidance/attitude readings and borehole-derived geology enter the soil-machine interaction load model, returning correction-force guidance.</t>
  </si>
  <si>
    <t>Step-1 note: Mechanics-informed DT for pipe-jacking attitude control | Coded from Step-3 deep-read markdown (DfS-only scope), imported 2026-10-04</t>
  </si>
  <si>
    <t>Xie, W et al. (2025)</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</si>
  <si>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04c-port]</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</si>
  <si>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</si>
  <si>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</si>
  <si>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The LoRa temperature-sensor array is mapped onto the spatiotemporal building-fire field learned by ADLSTM-Fire, so measured readings and the model field share one spatiotemporal frame while inference runs in the model.</t>
  </si>
  <si>
    <t>Step-1 note: AIoT building DT for smart firefighting and fire forecast | Coded from Step-3 deep-read markdown (DfS-only scope), imported 2026-10-04</t>
  </si>
  <si>
    <t>Bae, S et al. (2026)</t>
  </si>
  <si>
    <t>Step-1 note: Virtual hospital IT outage training DT; healthcare</t>
  </si>
  <si>
    <t>Tulaganov, B et al. (2026)</t>
  </si>
  <si>
    <t>Step-1 note: GIS+DT conceptual architecture for seismic vulnerability</t>
  </si>
  <si>
    <t>Yan, H et al. (2025)</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</si>
  <si>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perception→prediction→early warning for safety managers; no actuation and no self-improvement loop (model is offline-trained). [Full-text source: 04c-port]</t>
  </si>
  <si>
    <t>Fills the gap of three-dimensional near-miss detection at construction sites: drone imagery builds a BIM-based static scene and binocular cameras feed YOLOv5 target recognition, DeepSORT tracking, and SGM stereo matching into an Unreal Engine digital twin with protective envelopes and early warnings, detecting 1181 of 1300 near-misses (93.80% precision, 96.64% recall) in a one-month Foshan steel-hoisting pilot.</t>
  </si>
  <si>
    <t>Overlapping personnel and machinery cause incomplete information capture, extreme lighting degrades stability (Type S3 precision fell to 73.97% under overexposure), and the vision system works only within about 20 meters, excluding high-rise and large buildings; future work adds multiple perspectives against occlusion and tests update frequencies.</t>
  </si>
  <si>
    <t>Real-time worker trajectories, postures and interactions are integrated into the BIM-anchored Unreal twin, and a non-autoregressive transformer jointly predicts future movements and collision near-misses.</t>
  </si>
  <si>
    <t>Step-1 note: Real-time DT-driven 3D near-miss detection at construction sites | Coded from Step-3 deep-read markdown (DfS-only scope), imported 2026-10-04</t>
  </si>
  <si>
    <t>Aragón, A et al. (2025)</t>
  </si>
  <si>
    <t>Step-1 note: Definition study of construction DTs; not DfS/DfQ focused</t>
  </si>
  <si>
    <t>Alhazmi, M et al. (2025)</t>
  </si>
  <si>
    <t>Step-1 note: Wildfire energy-water DT; energy/environment</t>
  </si>
  <si>
    <t>Tian, Y et al. (2026)</t>
  </si>
  <si>
    <t>Step-1 note: Mining equipment DT review; mining + Chinese journal</t>
  </si>
  <si>
    <t>Chen, B et al. (2026)</t>
  </si>
  <si>
    <t>Step-1 note: Large AI models in manufacturing; manufacturing</t>
  </si>
  <si>
    <t>Step-1 note: AI + construction technologies correlation; DT one theme</t>
  </si>
  <si>
    <t>Long, K et al. (2025)</t>
  </si>
  <si>
    <t>Step-1 note: AI-DT platform for intelligent transportation; traffic</t>
  </si>
  <si>
    <t>Step-1 note: Accelerator neutron source DT; nuclear research</t>
  </si>
  <si>
    <t>Shao, C et al. (2026)</t>
  </si>
  <si>
    <t>A Gemma-3-4B agent uses Neo4j system-function KG/GraphRAG, graph-constrained ASR correction and monitoring-database access to answer safety-monitoring queries, invoke DT functions and render views in a practical hydropower DT. [Full-text source: browser-oa]</t>
  </si>
  <si>
    <t>Embeds a lightweight, execution-grounded GraphRAG assistant in a real safety-monitoring twin, supporting spoken commands, domain QA and view/function execution.</t>
  </si>
  <si>
    <t>Field evidence is one medium-scale project; response/retrieval gains, ASR robustness and KG-update correctness need long-term operational assessment.</t>
  </si>
  <si>
    <t>Graph-retrieved function/entity context is combined with monitoring-database values and visualization metadata to produce grounded answers, commands and DT scene updates.</t>
  </si>
  <si>
    <t>Step-1 note: GraphRAG agent for hydropower safety monitoring DT | Coded from Step-3 deep-read markdown (DfS-only scope), imported 2026-10-04</t>
  </si>
  <si>
    <t>Structured narrative review + comparative case analysis (Sustainability 2026, Wroclaw/Poznan): PICo-based selection of six dynamic fire safety system (DFS) implementations from Scopus (2015-2026), scored with an original ten-criterion maturity rubric grounded in TRL/IRL/DT maturity frameworks (kappa-w 0.797); identifies regulatory gaps and proposes five normative recommendations for Poland/EU. No digital twin is built or evaluated by the authors - the six cases are analysed from published sources. P=No, R=No -&gt; Stage-2 exclude. [Full-text source: browser-oa]</t>
  </si>
  <si>
    <t>Step-1 note: BIM/DT/AI/IoT dynamic fire evacuation comparative cases | Stage-2 exclusion basis: P=No; R=No | Coded from Step-3 deep-read markdown (DfS-only scope), imported 2026-10-04</t>
  </si>
  <si>
    <t>Lee, C.-S et al. (2026)</t>
  </si>
  <si>
    <t>Step-1 note: Declarative GeoKG for urban DT; KG enabling only</t>
  </si>
  <si>
    <t>Xu, G et al. (2026)</t>
  </si>
  <si>
    <t>Step-1 note: Antarctic wharf review; DT keyword only</t>
  </si>
  <si>
    <t>Aruanno, B et al. (2025)</t>
  </si>
  <si>
    <t>Step-1 note: Extended reality industry/healthcare survey; generic</t>
  </si>
  <si>
    <t>Berhanu, A et al. (2026)</t>
  </si>
  <si>
    <t>Step-1 note: Floating treatment wetlands; environmental</t>
  </si>
  <si>
    <t>Sha, A.-M (2026)</t>
  </si>
  <si>
    <t>Step-1 note: Road engineering trends; Chinese journal</t>
  </si>
  <si>
    <t>Potsiou, C et al. (2025)</t>
  </si>
  <si>
    <t>Step-1 note: Coastal heritage geospatial tools; DT methodology only</t>
  </si>
  <si>
    <t>Choi, D et al. (2026)</t>
  </si>
  <si>
    <t>Step-1 note: Novel foods HACCP; food industry</t>
  </si>
  <si>
    <t>Yilmaz, M.T et al. (2026)</t>
  </si>
  <si>
    <t>Step-1 note: SCADA cybersecurity DL; generic CPS</t>
  </si>
  <si>
    <t>Jin, Y et al. (2026)</t>
  </si>
  <si>
    <t>Step-1 note: Industrial chains bibliometric; generic</t>
  </si>
  <si>
    <t>Yang, S et al. (2026)</t>
  </si>
  <si>
    <t>Digital twin-based evaluation of tactical interventions for high-density pedestrian environments (Hanbat/York/UVic, Geo-spatial Information Science 2026): campus digital twin used as an urban simulation platform; agent-based simulation tests one-way sidewalk systems and building-entrance control for pedestrian spacing; interventions disperse pedestrians without major infrastructure disruption. Static campus twin + simulation (no live data link); no actuation, no learning loop; single-campus generalisability caveat acknowledged. [Full-text source: browser-oa]</t>
  </si>
  <si>
    <t>Applies tactical urbanism inside a campus digital twin, showing one-way sidewalks and entrance control improve pedestrian spacing without capital upgrades.</t>
  </si>
  <si>
    <t>One campus only; agent parameters and demand data approximations; no real-world intervention follow-up measured.</t>
  </si>
  <si>
    <t>Campus geometry and pedestrian-flow data are fused into the agent-based simulation for intervention evaluation.</t>
  </si>
  <si>
    <t>Step-1 note: Campus DT for tactical pedestrian safety interventions | Coded from Step-3 deep-read markdown (DfS-only scope), imported 2026-10-04</t>
  </si>
  <si>
    <t>Yang, B et al. (2025)</t>
  </si>
  <si>
    <t>PINN + BIM framework for prediction and optimisation of prefabricated-bridge structural performance (Anhui Vocational Colleges/ZSTU, Discover AI 2025): BIM provides geometry, material and construction-process data to build a digital twin; PINN embeds stress/strain/equilibrium physics into the network; optimisation algorithms refine design against safety, cost and environmental criteria; experiments show superior accuracy and generalisation vs traditional methods. Design-time simulation twin; no live data link, no actuation, no learning loop. [Full-text source: Endnote]</t>
  </si>
  <si>
    <t>Fills the data-scarce prediction gap in prefabricated-bridge design: PINN physics constraints on BIM-derived twin data yield more accurate, generalisable performance prediction and multi-objective (safety/cost/environment) design optimisation than traditional methods.</t>
  </si>
  <si>
    <t>Numerical/experimental validation on generic prefabricated-bridge configurations rather than a real project; PINN training cost and mesh/physics completeness for complex nonlinear cases are not addressed; optimisation-to-design integration is not automated.</t>
  </si>
  <si>
    <t>BIM geometry/material/process data and PINN physics constraints are fused in one predictive-optimisation model.</t>
  </si>
  <si>
    <t>Step-1 note: PINN+BIM digital twin for prefabricated bridge performance | Coded from Step-3 deep-read markdown (DfS-only scope), imported 2026-10-04</t>
  </si>
  <si>
    <t>Step-1 note: Dynamic fire-safety conceptual-bibliometric; DT one technology</t>
  </si>
  <si>
    <t>Moe, S.J.S et al. (2025)</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</si>
  <si>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04c-port]</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</si>
  <si>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</si>
  <si>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</si>
  <si>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Worker-status, weather and structural-parameter records (50,000 samples) are jointly trained into one DNN via federated learning with dynamic node selection, and the DT visualises the fused global model.</t>
  </si>
  <si>
    <t>Step-1 note: FL-based safety monitoring DT for multi-worker sites | Coded from Step-3 deep-read markdown (DfS-only scope), imported 2026-10-04</t>
  </si>
  <si>
    <t>Menaka, K et al. (2026)</t>
  </si>
  <si>
    <t>Step-1 note: Micropile excavation reliability MARS; no DT</t>
  </si>
  <si>
    <t>Chang, Z et al. (2026)</t>
  </si>
  <si>
    <t>Step-1 note: DT construction safety training framework with VR | Full text not coded: Endnote candidate(s) found but identity not verified</t>
  </si>
  <si>
    <t>Zhao, W et al. (2025)</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</si>
  <si>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04c-port]</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</si>
  <si>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</si>
  <si>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</si>
  <si>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WIM vehicle data (six million vehicles, Gaussian mixture + MCMC sampling) and structural responses jointly train Transformer encoder-decoder models that predict bridge responses across the regional network.</t>
  </si>
  <si>
    <t>Step-1 note: DT framework for regional bridge group response prediction | Coded from Step-3 deep-read markdown (DfS-only scope), imported 2026-10-04</t>
  </si>
  <si>
    <t>Saba, M et al. (2026)</t>
  </si>
  <si>
    <t>Step-1 note: Asbestos roof detection; DT goal only</t>
  </si>
  <si>
    <t>Cai, J et al. (2026)</t>
  </si>
  <si>
    <t>Step-1 note: Affective computing smart city DT; generic service</t>
  </si>
  <si>
    <t>Salem, A et al. (2026)</t>
  </si>
  <si>
    <t>Step-1 note: Digital leadership PLS-SEM; DT context only</t>
  </si>
  <si>
    <t>Gumus, F et al. (2026)</t>
  </si>
  <si>
    <t>Step-1 note: Composite bending MLP; materials science</t>
  </si>
  <si>
    <t>Wei, X.( et al. (2026)</t>
  </si>
  <si>
    <t>Step-1 note: Rotordynamic model calibration; machinery</t>
  </si>
  <si>
    <t>Bajoria, S et al. (2026)</t>
  </si>
  <si>
    <t>Step-1 note: UAV DT for Internet of Vehicles; vehicles</t>
  </si>
  <si>
    <t>Zong, P et al. (2026)</t>
  </si>
  <si>
    <t>Step-1 note: Satellite edge intelligence survey; transportation</t>
  </si>
  <si>
    <t>Franciosi, M et al. (2024)</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</si>
  <si>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04c-port]</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</si>
  <si>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</si>
  <si>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</si>
  <si>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RIEGL VZ-2000i laser-scanned geometry is converted to IFC 4.3 BIM, and the SCIA Engineer FE model is updated against DIC measurements, linking scan geometry and measurement data through the shared bridge model.</t>
  </si>
  <si>
    <t>Step-1 note: DTs in bridge engineering for maintenance and safety | Coded from Step-3 deep-read markdown (DfS-only scope), imported 2026-10-04</t>
  </si>
  <si>
    <t>Marai, O.E et al. (2025)</t>
  </si>
  <si>
    <t>Step-1 note: Roads infrastructure DT 360 video; transportation</t>
  </si>
  <si>
    <t>Zhang, L et al. (2024)</t>
  </si>
  <si>
    <t>Step-1 note: Intelligent construction informatics review; DT one topic</t>
  </si>
  <si>
    <t>Liu, D et al. (2023)</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</si>
  <si>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04c-port]</t>
  </si>
  <si>
    <t>Equips an excavator with four IMU sensors and two GNSS receivers, estimates its 3D pose via an Euler-based kinematic model refined by social spider algorithm optimization, cutting bucket tip mean error from 64.59 mm to 24.61 mm, and couples it with a BIM of buried pipes in Unity for real-time collision risk assessment with 30 cm and 50 cm warning zones, applied to a 1760 m Shandong pipe project.</t>
  </si>
  <si>
    <t>Safety warning distances are set from experience rather than from the uncertainty of the pipe BIM, and the excavator case is validated in one project; hardware random errors are ignored. Future work will derive reasonable warning distances through field tests and extend the pose estimation method to other heavy machinery.</t>
  </si>
  <si>
    <t>Four IMU sensors and two GNSS receivers are fused in an Euler-based kinematic model refined by social-spider-algorithm optimisation to estimate excavator pose, which then drives BIM-based collision-risk assessment.</t>
  </si>
  <si>
    <t>Step-1 note: Multisensory BIM-integrated DT for urban excavation safety | Coded from Step-3 deep-read markdown (DfS-only scope), imported 2026-10-04</t>
  </si>
  <si>
    <t>Park, S et al. (2018)</t>
  </si>
  <si>
    <t>Step-1 note: AR building disaster management; DT keyword only</t>
  </si>
  <si>
    <t>Jiao, Y et al. (2024)</t>
  </si>
  <si>
    <t>Construction-site DT motion-forecasting framework uses multi-view edge-camera images, deep CNN feature extraction, a cloud-hosted behavioural digital replica, Transformer trajectory tracking and LSTM social pooling to forecast worker motion for preemptive risk monitoring. [Full-text source: browser-oa]</t>
  </si>
  <si>
    <t>Transforms multi-camera construction-site perception into short-horizon worker trajectory forecasts, supporting preemptive safety monitoring rather than only current-state hazard recognition.</t>
  </si>
  <si>
    <t>The WHUT-MF dataset covers selected construction-site scenarios; occlusion, dense crowds, transfer to new sites and latency of field deployment remain limitations.</t>
  </si>
  <si>
    <t>Multi-view camera features, site geometry and worker trajectory histories are fused in a cloud-hosted behavioural digital replica for Transformer/LSTM motion forecasting.</t>
  </si>
  <si>
    <t>Step-1 note: DT-based motion forecasting for preemptive risk monitoring | Coded from Step-3 deep-read markdown (DfS-only scope), imported 2026-10-04</t>
  </si>
  <si>
    <t>Nielsen, R.E et al. (2022)</t>
  </si>
  <si>
    <t>Step-1 note: Ship manoeuvring DT ML; marine</t>
  </si>
  <si>
    <t>Park, J et al. (2024)</t>
  </si>
  <si>
    <t>Step-1 note: DT potential review text mining; not DfS/DfQ focused</t>
  </si>
  <si>
    <t>Kim, M.-G et al. (2024)</t>
  </si>
  <si>
    <t>Step-1 note: Contaminant transport drainage DT; water quality</t>
  </si>
  <si>
    <t>You, K et al. (2023)</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</si>
  <si>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04c-port]</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</si>
  <si>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</si>
  <si>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</si>
  <si>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UAV photogrammetry models, radar obstacle detection, RTK/IMU attitude, force feedback and eye-tracking are all shown in one geolocated 5G teleoperation platform, sharing the scene frame while each stage processes its own data.</t>
  </si>
  <si>
    <t>Step-1 note: Earthwork DT for automated bulldozer teleoperation safety | Coded from Step-3 deep-read markdown (DfS-only scope), imported 2026-10-04</t>
  </si>
  <si>
    <t>Wang, Z et al. (2023)</t>
  </si>
  <si>
    <t>Spatiotemporal safety control of cable net construction via digital twins (BJUT/Tianjin U, Sustainability 2023): twin-model safety-control framework with spatiotemporal representation and on-site data collection/processing; real-time comparison between site mechanical/geometric information and real-time FE simulation results; validated on the Xiaotian Cultural and Sports Park project. One-way monitoring-&gt;FE comparison-&gt;safety control guidance; no actuation, no learning loop. [Full-text source: browser-oa]</t>
  </si>
  <si>
    <t>Extends cable-net safety control from step-wise checks to real-time spatiotemporal comparison of site data with live FE simulation on a real stadium project.</t>
  </si>
  <si>
    <t>Single project; control is guidance to site crews (human-in-loop); FE model fidelity and update latency not quantified.</t>
  </si>
  <si>
    <t>On-site mechanical/geometric measurements are fused with real-time FE simulation outputs for safety comparison.</t>
  </si>
  <si>
    <t>Step-1 note: Cable net structure safety control DT; spatiotemporal | Coded from Step-3 deep-read markdown (DfS-only scope), imported 2026-10-04</t>
  </si>
  <si>
    <t>Guardia, M et al. (2023)</t>
  </si>
  <si>
    <t>Step-1 note: Web 3D data fusion; DT enabling first step</t>
  </si>
  <si>
    <t>Torrecilla-García, J.A et al. (2022)</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</si>
  <si>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04c-port]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</si>
  <si>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</si>
  <si>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</si>
  <si>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A scoping review plus Research-through-Design proposal outlines a BIM-DT-DSS safety framework, with no prototype, sensor integration or live data link.</t>
  </si>
  <si>
    <t>Step-1 note: BIM-based DT for OHS decision-making in construction | Coded from Step-3 deep-read markdown (DfS-only scope), imported 2026-10-04</t>
  </si>
  <si>
    <t>Melikhov, M.V et al. (2025)</t>
  </si>
  <si>
    <t>Step-1 note: Mining waterworks remote monitoring; mining</t>
  </si>
  <si>
    <t>Ponzo, F.C et al. (2024)</t>
  </si>
  <si>
    <t>Step-1 note: DInSAR-SBAS bridge monitoring; no DT</t>
  </si>
  <si>
    <t>Heikkilä, M et al. (2024)</t>
  </si>
  <si>
    <t>Step-1 note: Smart fairways maritime; marine</t>
  </si>
  <si>
    <t>Abebe, M et al. (2024)</t>
  </si>
  <si>
    <t>Step-1 note: Excavator DT measurement optimization; not DfS/DfQ</t>
  </si>
  <si>
    <t>Sresakoolchai, J et al. (2023)</t>
  </si>
  <si>
    <t>Step-1 note: Track geometry RNN prediction; DT keyword only</t>
  </si>
  <si>
    <t>Alberti, A.L et al. (2023)</t>
  </si>
  <si>
    <t>Step-1 note: Nuclear reactor automation levels; nuclear</t>
  </si>
  <si>
    <t>Kaliske, M et al. (2021)</t>
  </si>
  <si>
    <t>Step-1 note: Road-tire-vehicle DT vision; vehicles</t>
  </si>
  <si>
    <t>Aschieri, D.L.D et al. (2024)</t>
  </si>
  <si>
    <t>Step-1 note: Web-GIS hydrogeological risk; natural hazard</t>
  </si>
  <si>
    <t>Bevilacqua, M et al. (2020)</t>
  </si>
  <si>
    <t>Step-1 note: DT reference model for process plants; industrial</t>
  </si>
  <si>
    <t>Sleiti, A.K et al. (2022)</t>
  </si>
  <si>
    <t>Step-1 note: CO2 pipeline DT overview; energy pipelines</t>
  </si>
  <si>
    <t>Granzner, M et al. (2023)</t>
  </si>
  <si>
    <t>Step-1 note: Railway noise barrier condition assessment; DT keyword only</t>
  </si>
  <si>
    <t>Li, S et al. (2025)</t>
  </si>
  <si>
    <t>Three Gorges Dam intelligent monitoring platform (Changjiang Spatial Info + CTG, Advances in Civil Engineering 2025): GIS+BIM digital base builds a DT geometric model of the hub; BIM+FE online rapid structural calculation and early warning; machine-learning analysis models mine monitoring data for intelligent prediction of potential safety hazards; IoT + Micro-INS digitises inspection workflows; workflow engine provides full-process digital collaboration. Real deployment at Three Gorges Dam; one-way monitoring-&gt;calculation/prediction-&gt;safety decision support; no actuation, no learning loop. [Full-text source: Endnote]</t>
  </si>
  <si>
    <t>Fills the centralised-intelligence gap of mega-dam monitoring: the Three Gorges platform integrates GIS+BIM digital base, BIM+FE online rapid calculation, ML hazard prediction and IoT+Micro-INS inspection digitisation into a single safety-management workflow.</t>
  </si>
  <si>
    <t>Single mega-dam deployment; prediction accuracy of the ML hazard models and false-alarm rates are not reported quantitatively, and integration with emergency-response actuation is absent.</t>
  </si>
  <si>
    <t>GIS+BIM, IoT monitoring, FE calculation and ML hazard models are fused in the dam platform for online safety evaluation.</t>
  </si>
  <si>
    <t>Step-1 note: Three Gorges Dam intelligent monitoring platform; DT-based | Coded from Step-3 deep-read markdown (DfS-only scope), imported 2026-10-04</t>
  </si>
  <si>
    <t>Fang, W et al. (2024)</t>
  </si>
  <si>
    <t>Quality-focused TIN excavation-volume measurement is tested; safety/stability is only stated as a downstream benefit, not evaluated as the study focus. Q=No under DfS-only scope. [Full-text source: browser-oa]</t>
  </si>
  <si>
    <t>Step-1 note: Status DT for over-under excavation in large tunnels | Stage-2 exclusion basis: Q=No | Coded from Step-3 deep-read markdown (DfS-only scope), imported 2026-10-04</t>
  </si>
  <si>
    <t>Yang, L et al. (2021)</t>
  </si>
  <si>
    <t>Step-1 note: CAVTest closed field; vehicles</t>
  </si>
  <si>
    <t>Jia, Z et al. (2025)</t>
  </si>
  <si>
    <t>Step-1 note: IFC2BCM software tool; DT keyword only</t>
  </si>
  <si>
    <t>Shi, G et al. (2023)</t>
  </si>
  <si>
    <t>Intelligent structural reliability assessment driven by a carrying-capacity sustainability target (BJUT, Sustainability 2023): high-fidelity twin modelling method for reliability evaluation with bearing capacity as criterion; simulation accuracy up to 95%; coupling between component failure and reliability indicators established; mechanical response under different load cases analysed for maintenance decisions. Twin maps mechanical state in real time (conceptual) but validation is experimental analysis of a rigid cable truss; no actuation, no learning loop. [Full-text source: browser-oa]</t>
  </si>
  <si>
    <t>Twin-based reliability evaluation with bearing capacity as sustainability criterion reaches 95% simulation accuracy and exposes the coupling between component failure and reliability indicators.</t>
  </si>
  <si>
    <t>Experimental validation only; real-time claim is conceptual; reliability index computation details partial.</t>
  </si>
  <si>
    <t>Mechanical response data and reliability indicators are fused in the high-fidelity twin evaluation.</t>
  </si>
  <si>
    <t>Step-1 note: DT-driven structural reliability assessment; bearing capacity | Coded from Step-3 deep-read markdown (DfS-only scope), imported 2026-10-04</t>
  </si>
  <si>
    <t>Nåfors, D et al. (2020)</t>
  </si>
  <si>
    <t>Step-1 note: Hybrid DT factory layout planning; manufacturing</t>
  </si>
  <si>
    <t>Saleh, S et al. (2025)</t>
  </si>
  <si>
    <t>Step-1 note: Pothole detection IoV DT; vehicles</t>
  </si>
  <si>
    <t>Mukhopadhyay, A et al. (2022)</t>
  </si>
  <si>
    <t>Step-1 note: VR DT office social distancing; not DfS/DfQ</t>
  </si>
  <si>
    <t>Liu, I.-H et al. (2025)</t>
  </si>
  <si>
    <t>Step-1 note: Hydraulic ICS cyber testbed; DT reference only</t>
  </si>
  <si>
    <t>Kim, D et al. (2024)</t>
  </si>
  <si>
    <t>Real-time estimation of responses and loads of real-scale pipes under simultaneous seismic and external loads (Kyungpook/Hanbat/Pusan, Smart Structures and Systems 2024): numerical model with dynamic characteristics of a nuclear-plant piping system; reduced-order modelling plus Newmark-beta integration; inverse load estimation from minimum sensors reconstructs displacement/velocity/acceleration/stress at all points in real time; verified against real-scale pipe vibration tests. One-way sensing-&gt;real-time virtual estimation; no actuation, no learning loop. [Full-text source: browser-oa]</t>
  </si>
  <si>
    <t>ROM plus inverse load estimation lets a minimum-sensor twin reconstruct full-field pipe response in real time under simultaneous seismic and external loads.</t>
  </si>
  <si>
    <t>Real-scale pipe test rather than in-service plant; noise/uncertainty handling partial; load-estimation error bounds not fully reported.</t>
  </si>
  <si>
    <t>Measured accelerations and ground-motion inputs are fused through inverse load estimation into the ROM twin.</t>
  </si>
  <si>
    <t>Step-1 note: DT SHM of real-scale pipes under seismic loads | Coded from Step-3 deep-read markdown (DfS-only scope), imported 2026-10-04</t>
  </si>
  <si>
    <t>Tanne, Y.A et al. (2023)</t>
  </si>
  <si>
    <t>Step-1 note: Indonesian CAR review; DT not core</t>
  </si>
  <si>
    <t>Lee, M.S et al. (2023)</t>
  </si>
  <si>
    <t>AI-based Integrated Smart Fire Safety (ISFS) system for public facilities (Dongguk U, IJHRB 2023): AIoT hardware + wireless network + intelligent SW platform (Builder for DT modelling, Watch for real-time control via physical-virtual synchronisation, Simulator for agent-based scenario verification); CCTV-linked intelligent image analysis, ALTERA routing engine, variable location-guidance devices and DT virtual fencing; accredited test results and verification at multiple site types (factories, department stores, underground malls). Twin control platform drives variable guidance devices (virtual-to-physical) -&gt; Tier 3; no learning loop described. [Full-text source: browser-oa]</t>
  </si>
  <si>
    <t>Deploys an accredited AIoT + DT platform (Builder/Watch/Simulator) with variable guidance devices and virtual fencing across multiple public facilities.</t>
  </si>
  <si>
    <t>Performance metrics mostly from accredited tests summarised briefly; algorithmic details of ALTERA partial; learning/adaptation absent.</t>
  </si>
  <si>
    <t>AIoT sensing, CCTV image analysis and the DT platform are fused for variable guidance control.</t>
  </si>
  <si>
    <t>Step-1 note: AI+DT smart fire safety system for public facilities | Coded from Step-3 deep-read markdown (DfS-only scope), imported 2026-10-04</t>
  </si>
  <si>
    <t>Hong, C et al. (2022)</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</si>
  <si>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04c-port]</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</si>
  <si>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</si>
  <si>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</si>
  <si>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Multi-source sensing (MEMS, BOFDA distributed optical fibre, laser radar, UAV, machine vision) feeds four neural-network predictors on the BIM platform, which the paper itself calls a multi-source fusion platform.</t>
  </si>
  <si>
    <t>Step-1 note: Integrated intelligent monitoring of deep foundation pit | Coded from Step-3 deep-read markdown (DfS-only scope), imported 2026-10-04</t>
  </si>
  <si>
    <t>Talmaki, S.A et al. (2022)</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</si>
  <si>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04c-port]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</si>
  <si>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</si>
  <si>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</si>
  <si>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Only orientation-sensor data (XSens MTw on boom, stick and bucket) drive the forward-kinematic DT updates; vision references in the text are background literature, not an implemented data source.</t>
  </si>
  <si>
    <t>Step-1 note: Sensor allocation for real-time equipment DTs; strike avoidance | Coded from Step-3 deep-read markdown (DfS-only scope), imported 2026-10-04</t>
  </si>
  <si>
    <t>Wang, T et al. (2025)</t>
  </si>
  <si>
    <t>Step-1 note: Consumer electronics DT smart cities; generic</t>
  </si>
  <si>
    <t>Jauhari, K et al. (2024)</t>
  </si>
  <si>
    <t>Step-1 note: Milling chatter DT virtual machining; manufacturing</t>
  </si>
  <si>
    <t>Popov, I et al. (2024)</t>
  </si>
  <si>
    <t>Step-1 note: Hot metal ladle pouring DT; steelmaking</t>
  </si>
  <si>
    <t>Moztarzadeh, O et al. (2023)</t>
  </si>
  <si>
    <t>Step-1 note: Dentistry metaverse DT; healthcare</t>
  </si>
  <si>
    <t>Liu, Z et al. (2022)</t>
  </si>
  <si>
    <t>Step-1 note: DT test process management LCEC; manufacturing</t>
  </si>
  <si>
    <t>Sartaj, H et al. (2024)</t>
  </si>
  <si>
    <t>Step-1 note: Medicine dispenser DTs; healthcare</t>
  </si>
  <si>
    <t>AbdulLateef, O et al. (2024)</t>
  </si>
  <si>
    <t>Step-1 note: ARM construction tech COVID; DT keyword only</t>
  </si>
  <si>
    <t>Speiser, K et al. (2024)</t>
  </si>
  <si>
    <t>Step-1 note: Personalised virtual construction safety training in DTs | Full text not coded: full text retrieved (Step-3 coding pending)</t>
  </si>
  <si>
    <t>Benedetti, A.C et al. (2022)</t>
  </si>
  <si>
    <t>Step-1 note: Bologna urban regeneration GIS; no DT</t>
  </si>
  <si>
    <t>Jiang, W et al. (2022)</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</si>
  <si>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04c-port]</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</si>
  <si>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</si>
  <si>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</si>
  <si>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Twenty-Hz scale-model sensors (displacement, tilt etc.) stream through IoT into synchronous FEM/BIM/IDA virtual models that compute real-time dynamic stability analysis and collapse-probability levels.</t>
  </si>
  <si>
    <t>Step-1 note: Scale-model DT for tower crane hoisting stability safety | Coded from Step-3 deep-read markdown (DfS-only scope), imported 2026-10-04</t>
  </si>
  <si>
    <t>Zhong, X et al. (2022)</t>
  </si>
  <si>
    <t>Step-1 note: ICU critical care DT; healthcare</t>
  </si>
  <si>
    <t>Liu, Z et al. (2020)</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</si>
  <si>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04c-port]</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</si>
  <si>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</si>
  <si>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</si>
  <si>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Sensor strain measurements correct the twin (cutting cable-force errors to within 3%) and a DBN predicts cable forces, so the safety-evaluation output depends on measured and model streams simultaneously.</t>
  </si>
  <si>
    <t>Step-1 note: DT+AI intelligent tensioning of prestressed cables | Coded from Step-3 deep-read markdown (DfS-only scope), imported 2026-10-04</t>
  </si>
  <si>
    <t>Hu, X et al. (2024)</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</si>
  <si>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04c-port]</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</si>
  <si>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</si>
  <si>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</si>
  <si>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Strain-gauge and laser-distance sensor readings are mapped onto BIM elements through Revit Dynamo interpolation, sharing the BIM frame while each sensor channel is processed separately.</t>
  </si>
  <si>
    <t>Step-1 note: BIM-enabled DT framework for real-time SHM | Coded from Step-3 deep-read markdown (DfS-only scope), imported 2026-10-04</t>
  </si>
  <si>
    <t>Gu, J et al. (2023)</t>
  </si>
  <si>
    <t>Step-1 note: Metaverse evacuation training; DT one enabling tech</t>
  </si>
  <si>
    <t>Anna, Z et al. (2021)</t>
  </si>
  <si>
    <t>Step-1 note: IoT state regulation Russia; generic</t>
  </si>
  <si>
    <t>Lyu, C et al. (2024)</t>
  </si>
  <si>
    <t>Step-1 note: Lithium-ion battery DT; energy storage</t>
  </si>
  <si>
    <t>Ali, T (2025)</t>
  </si>
  <si>
    <t>Step-1 note: Desalination plant UAV inspection; industrial</t>
  </si>
  <si>
    <t>Henriksen, H.J et al. (2023)</t>
  </si>
  <si>
    <t>Step-1 note: HIP hydrological DT Denmark; hydrology</t>
  </si>
  <si>
    <t>DeFelipe, I et al. (2022)</t>
  </si>
  <si>
    <t>Step-1 note: Earth system DT software repository; earth science</t>
  </si>
  <si>
    <t>Mishra, N et al. (2025)</t>
  </si>
  <si>
    <t>Edge-empowered digital twin architecture for real-time bridge SHM (Kalinga U, Archives for Technical Sciences 2025): IoT + edge + cloud decentralised scheme; autoencoder-based anomaly detection compares reconstructed vs measured sensor data at the edge to flag structural problems and initiate maintenance actions; evaluated on five indicators (accuracy, processing time, energy, scalability, false-alarm rate) and reported better than traditional SHM. Architecture-level evaluation without a full real-bridge deployment; no actuation, no learning loop. [Full-text source: browser-oa]</t>
  </si>
  <si>
    <t>Edge placement of autoencoder anomaly detection lowers latency/energy and false alarms versus cloud-only SHM, with explicit five-indicator evaluation.</t>
  </si>
  <si>
    <t>Evaluation appears architectural/simulated without a full bridge deployment; autoencoder training data and false-alarm statistics limited.</t>
  </si>
  <si>
    <t>Edge-processed sensor streams and the autoencoder reconstruction are fused into one anomaly decision.</t>
  </si>
  <si>
    <t>Step-1 note: Edge-empowered DT for real-time SHM of smart bridges | Coded from Step-3 deep-read markdown (DfS-only scope), imported 2026-10-04</t>
  </si>
  <si>
    <t>Sun, Z et al. (2025)</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</si>
  <si>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04c-port]</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</si>
  <si>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</si>
  <si>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</si>
  <si>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YOLOv8 UAV imagery, PointNet LiDAR point clouds and LSTM-forecast sensor series are combined through a fuzzy-logic expert knowledge base whose rules assess structural health over all three outputs.</t>
  </si>
  <si>
    <t>Step-1 note: Data-knowledge driven bridge DT for smart O&amp;M | Coded from Step-3 deep-read markdown (DfS-only scope), imported 2026-10-04</t>
  </si>
  <si>
    <t>Kalla, M et al. (2024)</t>
  </si>
  <si>
    <t>Step-1 note: Station greenery perception via DT; not DfS/DfQ</t>
  </si>
  <si>
    <t>Tsai, R.-G et al. (2021)</t>
  </si>
  <si>
    <t>Step-1 note: Home fire safety check automation; DT keyword only</t>
  </si>
  <si>
    <t>Ugliotti, F.M et al. (2023)</t>
  </si>
  <si>
    <t>Landscape digital twin framework for multi-hazard risk analysis (Politecnico di Torino, Sustainability 2023): matrix framework relating road network to flood and landslide scenarios from open-source data; risk-score maps and origin-destination graphs quantify accessibility changes to facilities under scenarios; socio-economic perspective; validated on the Piedmont Region road network. Static GIS-based methodological setup (real-time enrichment aspirational); no actuation, no learning loop. [Full-text source: browser-oa]</t>
  </si>
  <si>
    <t>Open-source multi-hazard landscape twin with risk-score maps and OD matrices quantifies socio-economic accessibility loss in the Piedmont region.</t>
  </si>
  <si>
    <t>Static GIS workflows; scenario realism depends on open-data quality; no live monitoring integration demonstrated.</t>
  </si>
  <si>
    <t>Flood/landslide hazard layers, road-network and socio-economic data are fused into risk-score maps.</t>
  </si>
  <si>
    <t>Step-1 note: Landscape DT framework for multi-hazard road network risk | Coded from Step-3 deep-read markdown (DfS-only scope), imported 2026-10-04</t>
  </si>
  <si>
    <t>Kyvelou, P et al. (2022)</t>
  </si>
  <si>
    <t>Step-1 note: MX3D bridge FE simulation; DT potential only</t>
  </si>
  <si>
    <t>Jamshidi, M et al. (2024)</t>
  </si>
  <si>
    <t>Step-1 note: CNN-FL biotech DTs; biotechnology</t>
  </si>
  <si>
    <t>Atencio, E et al. (2024)</t>
  </si>
  <si>
    <t>Step-1 note: RPA weather data into BIM; DT context only</t>
  </si>
  <si>
    <t>Torrecilla-García, J.A et al. (2021)</t>
  </si>
  <si>
    <t>Step-1 note: BIM-based DT for OHS decision-making in construction | Full text not coded: no matching PDF in Endnote library</t>
  </si>
  <si>
    <t>Zhu, B et al. (2023)</t>
  </si>
  <si>
    <t>Step-1 note: IFC-Brick highway risk information model; DT enabling</t>
  </si>
  <si>
    <t>Brucherseifer, E et al. (2021)</t>
  </si>
  <si>
    <t>Step-1 note: DT conceptual framework for generic critical infrastructure</t>
  </si>
  <si>
    <t>He, Y et al. (2024)</t>
  </si>
  <si>
    <t>DT of the tunnel geological environment for high-temperature water-inrush simulation (SWJTU, TUST 2024): voxel structure integrates multi-field attributes (stress, seepage, temperature); Gaussian-Process geological modelling fuses multi-source geophysical prediction data (TSP, TEM, IP, GPR); GP-Differential-Evolution back-analysis calibrates environment parameters; validated on a 230-m-burial ultra-high-temperature inrush tunnel in China and corroborated by tunnel monitoring data, supporting dynamic optimisation design and safety prevention during construction. One-way data-&gt;twin-&gt;simulation/safety measures; no actuation, no learning loop. [Full-text source: Endnote]</t>
  </si>
  <si>
    <t>Fills the multi-physics simulation gap for water inrush under incomplete data: GP geological modelling over TSP/TEM/IP/GPR data plus GP-DE back-analysis calibrates a voxel DT validated on a 230-m high-temperature tunnel, corroborated by monitoring data.</t>
  </si>
  <si>
    <t>Validated on one tunnel section; GP-DE back-analysis cost and convergence are not bounded, and the coupling of stress-seepage-temperature fields relies on voxel simplification; long-term updates with new excavation data not shown.</t>
  </si>
  <si>
    <t>TSP/TEM/IP/GPR multi-source geophysical data are fused by Gaussian-Process modelling into one voxel geological twin, calibrated via GP-DE back-analysis.</t>
  </si>
  <si>
    <t>Step-1 note: Tunnel water inrush hazard DT simulation | Coded from Step-3 deep-read markdown (DfS-only scope), imported 2026-10-04</t>
  </si>
  <si>
    <t>Step-1 note: Flood prediction fuzzy DT; hydrology</t>
  </si>
  <si>
    <t>Liu, Z et al. (2021)</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</si>
  <si>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04c-port]</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</si>
  <si>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</si>
  <si>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</si>
  <si>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Twenty-six days of integrated multi-source site records are jointly mined by Apriori association rules and complex-network analysis to identify risk-factor coupling relationships.</t>
  </si>
  <si>
    <t>Step-1 note: DT-based hoisting safety risk coupling for prefab buildings | Coded from Step-3 deep-read markdown (DfS-only scope), imported 2026-10-04</t>
  </si>
  <si>
    <t>Pan, X et al. (2024)</t>
  </si>
  <si>
    <t>Step-1 note: Urban heat exposure smart city DT; not DfS/DfQ</t>
  </si>
  <si>
    <t>Jiang, L et al. (2023)</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</si>
  <si>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04c-port]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</si>
  <si>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</si>
  <si>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</si>
  <si>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The BFP ontology fuses static BIM geometry with dynamic IoT sensing data into one DT data model, on which rule models trigger BPMN process models for fire-protection control.</t>
  </si>
  <si>
    <t>Step-1 note: DT + semantic web intelligent control of building fire protection | Coded from Step-3 deep-read markdown (DfS-only scope), imported 2026-10-04</t>
  </si>
  <si>
    <t>Sukuvaara, T et al. (2024)</t>
  </si>
  <si>
    <t>Step-1 note: Heavy vehicle road weather services; vehicles</t>
  </si>
  <si>
    <t>Gong, X et al. (2021)</t>
  </si>
  <si>
    <t>Step-1 note: Heading face airflow DT; mining + Chinese journal</t>
  </si>
  <si>
    <t>Li, C et al. (2023)</t>
  </si>
  <si>
    <t>Step-1 note: Building energy use monitoring DT; energy focus</t>
  </si>
  <si>
    <t>Wang, J et al. (2023)</t>
  </si>
  <si>
    <t>Step-1 note: Coal mine safety DT; mining</t>
  </si>
  <si>
    <t>Blomfors, M et al. (2020)</t>
  </si>
  <si>
    <t>Step-1 note: Corroded RC beam FE cracks; DT keyword only</t>
  </si>
  <si>
    <t>Zhang, Y et al. (2024)</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</si>
  <si>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88.35%; 9 fault types incl. construction joints, grouting, pouring sequence). One-way monitoring→fault diagnosis/safety; framework is partly conceptual (stage integration with BIM-DT model not described in detail — acknowledged), no actuation and no learning loop. [Full-text source: 04c-port]</t>
  </si>
  <si>
    <t>Builds a whole-lifecycle construction process optimization framework integrating a data management system, BIM modelling system, and Flexsim digital twin across survey, design, construction, and operation phases, feeding detected problems back to the BIM model to eliminate information islands. A BP neural network diagnoses eight construction fault types with 99 percent average accuracy versus 90.23, 89.19, and 88.35 percent for CNN, SVM, and PSO baselines.</t>
  </si>
  <si>
    <t>The framework is mostly conceptual; the paper does not describe in detail how each construction stage integrates and upgrades with the BIM-DT model, and the empirical study covers only the construction phase. Future research will focus on applying each stage of the framework in practice.</t>
  </si>
  <si>
    <t>A BP neural network is trained on construction-phase data to diagnose nine fault types (construction joints, grouting, pouring sequence), so diagnosis depends on multiple input channels simultaneously.</t>
  </si>
  <si>
    <t>Step-1 note: BIM-DT building process optimization framework | Coded from Step-3 deep-read markdown (DfS-only scope), imported 2026-10-04</t>
  </si>
  <si>
    <t>Gao, Y et al. (2024)</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</si>
  <si>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04c-port]</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</si>
  <si>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</si>
  <si>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</si>
  <si>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WebGIS (Cesium), WebBIM (Xeokit) and Neo4j graph algorithms are integrated in a three-layer architecture with a common data environment, spatially linking GIS, BIM and defect data for the River Neath Swing Bridge.</t>
  </si>
  <si>
    <t>Step-1 note: Bridge DT integrating GIS+BIM for O&amp;M | Coded from Step-3 deep-read markdown (DfS-only scope), imported 2026-10-04</t>
  </si>
  <si>
    <t>Teizer, J et al. (2024)</t>
  </si>
  <si>
    <t>Step-1 note: Subcontracting and safety innovation; DT keyword only</t>
  </si>
  <si>
    <t>Skvortsova, I.V et al. (2025)</t>
  </si>
  <si>
    <t>Step-1 note: Arctic AI economy; Russian journal</t>
  </si>
  <si>
    <t>Martelli, M et al. (2021)</t>
  </si>
  <si>
    <t>Step-1 note: Future marine traffic management; marine</t>
  </si>
  <si>
    <t>Szybicki, D et al. (2024)</t>
  </si>
  <si>
    <t>Step-1 note: DT safety systems robotic stations; manufacturing</t>
  </si>
  <si>
    <t>Yuan, Z et al. (2023)</t>
  </si>
  <si>
    <t>Step-1 note: Battery fault data DT; energy storage</t>
  </si>
  <si>
    <t>Wang, X et al. (2024)</t>
  </si>
  <si>
    <t>Step-1 note: Parallel driving CAVs; vehicles</t>
  </si>
  <si>
    <t>Zhou, J et al. (2022)</t>
  </si>
  <si>
    <t>Step-1 note: Revisiting DTs origins; generic, not AECO</t>
  </si>
  <si>
    <t>Li, M et al. (2024)</t>
  </si>
  <si>
    <t>A wharf prototype combines GNSS, inclinometers and rangefinders to estimate pile position/attitude, computes closest approach for complex pile geometries, and maps warnings back to boat-control guidance in field experiments. [Full-text source: browser-oa]</t>
  </si>
  <si>
    <t>Adds 3D collision checking to marine pile positioning; real wharf field trials use pile attitude and GNSS/range data to warn operators and guide boat repositioning.</t>
  </si>
  <si>
    <t>The evidence is one wharf prototype; field collision rates, warning lead time and positioning/error sensitivity across hulls, sea states and pile geometries remain open.</t>
  </si>
  <si>
    <t>GNSS position, inclinometer angles and rangefinder distances determine pile geometry; the collision algorithm combines that geometry with existing-pile models to calculate clearance and feedback.</t>
  </si>
  <si>
    <t>Step-1 note: DT collision early warning for marine piling wharf | Coded from Step-3 deep-read markdown (DfS-only scope), imported 2026-10-04</t>
  </si>
  <si>
    <t>Chen, W et al. (2024)</t>
  </si>
  <si>
    <t>Step-1 note: Intelligent parking DT; not DfS/DfQ</t>
  </si>
  <si>
    <t>Shao, F et al. (2022)</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</si>
  <si>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04c-port]</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</si>
  <si>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</si>
  <si>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</si>
  <si>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An AHP + Bayesian-network underground-space planning model is presented with five-dimensional DT visualisation, but all evidence comes from simulations and assumed probabilities, with no deployed sensor network.</t>
  </si>
  <si>
    <t>Step-1 note: DT-based underground space planning with disaster warning | Coded from Step-3 deep-read markdown (DfS-only scope), imported 2026-10-04</t>
  </si>
  <si>
    <t>Almatared, M et al. (2024)</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</si>
  <si>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04c-port]</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</si>
  <si>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</si>
  <si>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</si>
  <si>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Four-layer fire-safety framework validated only through a thematic analysis and an FM-professional questionnaire; the layer integration mechanism is not implemented.</t>
  </si>
  <si>
    <t>Step-1 note: DT-based fire safety management framework for smart buildings | Coded from Step-3 deep-read markdown (DfS-only scope), imported 2026-10-04</t>
  </si>
  <si>
    <t>Assadzadeh, A et al. (2023)</t>
  </si>
  <si>
    <t>Step-1 note: Excavator pose estimation; DT as data source only</t>
  </si>
  <si>
    <t>Harode, A et al. (2023)</t>
  </si>
  <si>
    <t>Step-1 note: Healthcare facility DT architecture; not DfS/DfQ</t>
  </si>
  <si>
    <t>Chacón, R et al. (2024)</t>
  </si>
  <si>
    <t>Step-1 note: Construction process DT pipelines; general monitoring</t>
  </si>
  <si>
    <t>Torres, J et al. (2024)</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</si>
  <si>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04c-port]</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</si>
  <si>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</si>
  <si>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</si>
  <si>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The BDTP architecture with BPMN workflows and digital/human agents connected via APIs is a Design-Science conceptual framework; implementation, KPIs and AI/ML are future work.</t>
  </si>
  <si>
    <t>Step-1 note: Building DT platform automating site management incl. OHS/QC | Coded from Step-3 deep-read markdown (DfS-only scope), imported 2026-10-04</t>
  </si>
  <si>
    <t>Futai, M.M et al. (2022)</t>
  </si>
  <si>
    <t>Step-1 note: Bridge inspection digital transformation challenges; DT one element</t>
  </si>
  <si>
    <t>Lewis, R.H et al. (2024)</t>
  </si>
  <si>
    <t>Step-1 note: Fire and smoke DT; public health air quality focus</t>
  </si>
  <si>
    <t>Galvan-Nunez, S et al. (2025)</t>
  </si>
  <si>
    <t>Vision/review paper (IEEE TITS 2025): reviews DT concepts in the North American freight-railroad industry and presents the vision of implementation layers for a DT of the FAST (Facility for Accelerated Service Testing) loop plus current efforts toward that vision. No digital twin is actually built or evaluated in the paper; methodological detail is about the vision architecture only. P=No, R=No -&gt; Stage-2 exclude. [Full-text source: Endnote]</t>
  </si>
  <si>
    <t>Step-1 note: DT vision and case study for freight railroads safety | Stage-2 exclusion basis: P=No; R=No | Coded from Step-3 deep-read markdown (DfS-only scope), imported 2026-10-04</t>
  </si>
  <si>
    <t>Wang, J et al. (2024)</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</si>
  <si>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04c-port]</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</si>
  <si>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</si>
  <si>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</si>
  <si>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The FE model and the photorealistic CG model share one imported building geometry (SAP2000 to Blender), so the two model types are aligned by component, while UAV flight-scheme evaluation runs on the coupled model.</t>
  </si>
  <si>
    <t>Step-1 note: Graphics-based DT for UAV post-earthquake inspection | Coded from Step-3 deep-read markdown (DfS-only scope), imported 2026-10-04</t>
  </si>
  <si>
    <t>Ali, S et al. (2023)</t>
  </si>
  <si>
    <t>Step-1 note: Metaverse healthcare; healthcare</t>
  </si>
  <si>
    <t>Liu, L et al. (2024)</t>
  </si>
  <si>
    <t>Step-1 note: Battery thermoelectric DT; energy storage</t>
  </si>
  <si>
    <t>Akdag, E et al. (2024)</t>
  </si>
  <si>
    <t>Step-1 note: Traffic behaviour ITS; transportation</t>
  </si>
  <si>
    <t>Bryan, H.C et al. (2023)</t>
  </si>
  <si>
    <t>Step-1 note: Nuclear microreactor DT economics; nuclear</t>
  </si>
  <si>
    <t>Wu, Z et al. (2022)</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</si>
  <si>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04c-port]</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</si>
  <si>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</si>
  <si>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</si>
  <si>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Multi-channel surveillance video is fused into the BIM static scene through 3D registration and projection, and multi-source IoT sensing data are integrated into the same scene for tunnel operations management.</t>
  </si>
  <si>
    <t>Step-1 note: Tunnel DT construction and virtual-real fusion maintenance | Coded from Step-3 deep-read markdown (DfS-only scope), imported 2026-10-04</t>
  </si>
  <si>
    <t>Xia, J et al. (2024)</t>
  </si>
  <si>
    <t>Step-1 note: Rotating machinery fault diagnosis DT; machinery</t>
  </si>
  <si>
    <t>Sindi, A et al. (2024)</t>
  </si>
  <si>
    <t>Step-1 note: Aging ships digital healthcare; marine</t>
  </si>
  <si>
    <t>Lei, Y et al. (2023)</t>
  </si>
  <si>
    <t>Step-1 note: Tunnel lining inspection obstacle avoidance; no DT</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</si>
  <si>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04c-port]</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</si>
  <si>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</si>
  <si>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</si>
  <si>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BIM, 3D laser scanning and ANSYS/LS-DYNA share one high-fidelity twin geometry, while the improved BP predictor is trained offline on FE working-condition samples and field data serve verification only.</t>
  </si>
  <si>
    <t>Step-1 note: DTs+ML impact response prediction of prestressed steel structure | Coded from Step-3 deep-read markdown (DfS-only scope), imported 2026-10-04</t>
  </si>
  <si>
    <t>Arowoiya, V.A et al. (2024)</t>
  </si>
  <si>
    <t>Step-1 note: DT adoption drivers Nigeria; not DfS/DfQ</t>
  </si>
  <si>
    <t>Liu, Y et al. (2023)</t>
  </si>
  <si>
    <t>Step-1 note: Floating wind turbine DT; energy</t>
  </si>
  <si>
    <t>Pham, C.V et al. (2024)</t>
  </si>
  <si>
    <t>Step-1 note: BIM+TLS underground coal mine; mining</t>
  </si>
  <si>
    <t>Pracucci, A (2024)</t>
  </si>
  <si>
    <t>Design methodology for a warehouse digital twin in engineer-to-order manufacturing (Focchi S.p.A., Applied Sciences 2024): in-depth stakeholder/user-requirement analysis of the Focchi warehouse defines how BIM + IoT + AI would support outdoor warehouse optimization and worker safety, but the paper states preliminary testing results are not yet available - no DT is implemented or evaluated. P=No, R=No -&gt; Stage-2 exclude. [Full-text source: browser-oa]</t>
  </si>
  <si>
    <t>Step-1 note: DT design for ETO prefab warehouse optimization and safety | Stage-2 exclusion basis: P=No; R=No | Coded from Step-3 deep-read markdown (DfS-only scope), imported 2026-10-04</t>
  </si>
  <si>
    <t>Kaewunruen, S et al. (2024)</t>
  </si>
  <si>
    <t>Step-1 note: Bridge climate adaptation 6D BIM; DT future; climate focus</t>
  </si>
  <si>
    <t>Brehmer-Hine, T et al. (2024)</t>
  </si>
  <si>
    <t>Step-1 note: Geothermal vaporiser model; energy</t>
  </si>
  <si>
    <t>Wang, W et al. (2023)</t>
  </si>
  <si>
    <t>Step-1 note: Traffic DT edge FL; transportation</t>
  </si>
  <si>
    <t>Mohammad, A.A et al. (2024)</t>
  </si>
  <si>
    <t>Digital Twin-based Construction Safety Training Framework (DT-CSTF) with AI (Data and Metadata 2024): Unity game engine builds a VR training environment prototype that incorporates BIM, construction schedules and safety requirements; user data on risks collected and tailored feedback provided; automated VR training scenarios generated from project intent/status/safety history. Evaluation is via effectiveness ratios (96.90%-99.25%) for training/cost/monitoring/behaviour/education; no live site link, no actuation. [Full-text source: browser-oa]</t>
  </si>
  <si>
    <t>VR safety training prototype built in Unity that auto-generates scenarios from DT project intent/status/safety-history data, with reported effectiveness ratios above 95%.</t>
  </si>
  <si>
    <t>VR prototype evaluation percentages lack methodological detail; no live construction-site data link demonstrated.</t>
  </si>
  <si>
    <t>BIM, schedules, safety requirements and DT history data are fused to auto-generate VR training scenarios.</t>
  </si>
  <si>
    <t>Step-1 note: DT-CSTF construction safety training with AI/VR | Coded from Step-3 deep-read markdown (DfS-only scope), imported 2026-10-04</t>
  </si>
  <si>
    <t>Dresia, K et al. (2023)</t>
  </si>
  <si>
    <t>Step-1 note: Rocket engine test facility ML; aerospace</t>
  </si>
  <si>
    <t>Haghshenas, A et al. (2023)</t>
  </si>
  <si>
    <t>Step-1 note: Offshore wind farm predictive DT; energy</t>
  </si>
  <si>
    <t>Step-1 note: Virtual fencing EWZ UAV crowd safety; generic CPS</t>
  </si>
  <si>
    <t>Shirinyan, E et al. (2024)</t>
  </si>
  <si>
    <t>Step-1 note: Solar potential 3D CAD; urban DT use case only</t>
  </si>
  <si>
    <t>Ellul, C et al. (2024)</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</si>
  <si>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04c-port]</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</si>
  <si>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</si>
  <si>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</si>
  <si>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Location-enabled twins georeference diverse data sources through CesiumJS and place them in Unreal Engine scenes, linking hazard boxes and asset inspection records to site coordinates.</t>
  </si>
  <si>
    <t>Step-1 note: Unreal Engine twins for H&amp;S and progress monitoring | Coded from Step-3 deep-read markdown (DfS-only scope), imported 2026-10-04</t>
  </si>
  <si>
    <t>Kaewunruen, S et al. (2021)</t>
  </si>
  <si>
    <t>Digital twin aided vulnerability assessment and risk-based maintenance planning of bridges (Birmingham, Sustainability 2021): case study of Zhongcheng Village Bridge (Zhejiang, China); DT applications for bridge model establishment, information collection/sharing, data processing and inspection/maintenance planning; integrates DT/BIM with a bridge risk inspection model as an information platform to mitigate risks from extreme weather over the life cycle. BIM/inspection-data platform without a live sensor loop; no actuation, no learning loop. [Full-text source: Endnote]</t>
  </si>
  <si>
    <t>Fills the inspection-efficiency gap in bridge management: the DT/BIM + risk-inspection-model platform (Zhongcheng Village Bridge case) enables risk-based inspection and maintenance planning over the life cycle, mitigating extreme-weather risks.</t>
  </si>
  <si>
    <t>BIM/inspection platform without live sensors; vulnerability assessment depends on inspection records and risk-model assumptions, and the platform is demonstrated on one bridge without quantified maintenance-cost outcomes.</t>
  </si>
  <si>
    <t>BIM model data and inspection/risk-model records are integrated into one bridge information platform for maintenance planning.</t>
  </si>
  <si>
    <t>Step-1 note: DT vulnerability assessment and risk-based bridge maintenance | Coded from Step-3 deep-read markdown (DfS-only scope), imported 2026-10-04</t>
  </si>
  <si>
    <t>Machaka, V et al. (2024)</t>
  </si>
  <si>
    <t>Step-1 note: SDN WWTP cyberattack detection; water ICS</t>
  </si>
  <si>
    <t>Milašinović, M et al. (2023)</t>
  </si>
  <si>
    <t>Fuzzy-logic failure scenario generator coupled with a system dynamics (SD) model for dam and reservoir system digital twins (Water Resources Management 2023): causal failure generation uses hazard severity and subsystem reliability as fuzzy inputs, producing failure magnitudes on a normalized scale; coupled failure-implementation framework is generic for any DRS; 10-year simulation of the Pirot DRS (Serbia) shows rare hazards + outdated infrastructure can cut performance by 50%, revealing hidden failure risks and supporting maintenance prioritization. Offline what-if simulation (no live data link). [Full-text source: browser-oa]</t>
  </si>
  <si>
    <t>Causal fuzzy failure generator overcomes random-failure practice in dam-reservoir DTs and exposes hidden failure risks (50% performance drop in the Pirot case).</t>
  </si>
  <si>
    <t>SD model fidelity not quantified; fuzzy rules expert-derived; only one DRS case and offline simulation.</t>
  </si>
  <si>
    <t>Hazard severity and subsystem reliability are fused via fuzzy logic into the SD model failure simulation.</t>
  </si>
  <si>
    <t>Step-1 note: DT failure assessment of dam and reservoir systems | Coded from Step-3 deep-read markdown (DfS-only scope), imported 2026-10-04</t>
  </si>
  <si>
    <t>Fang, Q et al. (2023)</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</si>
  <si>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04c-port]</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</si>
  <si>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</si>
  <si>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</si>
  <si>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Only questionnaire-calibrated agent parameters (84 valid questionnaires, Cronbach alpha 0.868) feed the AnyLogic hybrid simulation; no second measured data type exists.</t>
  </si>
  <si>
    <t>Step-1 note: Simulation DT model of workers unsafe behaviour intervention | Coded from Step-3 deep-read markdown (DfS-only scope), imported 2026-10-04</t>
  </si>
  <si>
    <t>Longo, G et al. (2023)</t>
  </si>
  <si>
    <t>Step-1 note: Maritime cybersecurity testbed; marine</t>
  </si>
  <si>
    <t>Zhu, X et al. (2023)</t>
  </si>
  <si>
    <t>Step-1 note: Electrical equipment electrothermal DT; power</t>
  </si>
  <si>
    <t>Kaji, M et al. (2020)</t>
  </si>
  <si>
    <t>Step-1 note: Bearing health indicator CAE; machinery</t>
  </si>
  <si>
    <t>Dañobeitia, J.J et al. (2023)</t>
  </si>
  <si>
    <t>Step-1 note: Marine research infrastructures; marine</t>
  </si>
  <si>
    <t>Zhao, H et al. (2024)</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</si>
  <si>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04c-port]</t>
  </si>
  <si>
    <t>Step-1 note: DT modeling for hidden risk diagnosis of urban lifelines | Stage-2 exclusion basis: P=No; R=No | Coded from Step-3 deep-read markdown (DfS-only scope), imported 2026-10-04</t>
  </si>
  <si>
    <t>Irfan, M et al. (2024)</t>
  </si>
  <si>
    <t>Step-1 note: Transportation DT review; transportation</t>
  </si>
  <si>
    <t>Levine, N.M et al. (2022)</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</si>
  <si>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04c-port]</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</si>
  <si>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</si>
  <si>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</si>
  <si>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BIM-guided UAV image selection, GrabCut pixel-to-component assignment (IoU 0.80-0.90) and pre/post 3D point-cloud change detection all operate on one shared BIM reference frame, with per-stage analyses.</t>
  </si>
  <si>
    <t>Step-1 note: BIM-based DT framework for post-earthquake building evaluation | Coded from Step-3 deep-read markdown (DfS-only scope), imported 2026-10-04</t>
  </si>
  <si>
    <t>Ruangpan, L et al. (2023)</t>
  </si>
  <si>
    <t>Step-1 note: Nature-based solutions RTC; hydrology</t>
  </si>
  <si>
    <t>Mao, G et al. (2022)</t>
  </si>
  <si>
    <t>Step-1 note: IoT smart roads roadmap; transportation</t>
  </si>
  <si>
    <t>Liu, A et al. (2024)</t>
  </si>
  <si>
    <t>Step-1 note: Hand gesture HRC DT; manufacturing robotics</t>
  </si>
  <si>
    <t>Akanmu, A.A et al. (2021)</t>
  </si>
  <si>
    <t>Step-1 note: Next-gen CPS/DT for construction position; not DfS focused</t>
  </si>
  <si>
    <t>Xie, L et al. (2024)</t>
  </si>
  <si>
    <t>Step-1 note: 3D city modeling CAD/VR; not DfS/DfQ</t>
  </si>
  <si>
    <t>Meschini, S et al. (2022)</t>
  </si>
  <si>
    <t>Step-1 note: Cognitive DT BIM-GIS campus asset management; not DfS</t>
  </si>
  <si>
    <t>Adeagbo, M.O et al. (2024)</t>
  </si>
  <si>
    <t>Comprehensive literature survey on digital shadows and digital twins for structural health monitoring of advanced rail transit systems (Advanced Engineering Informatics 2024): reviews enablers, capabilities, benefits and bottlenecks, and proposes a DT-based monitoring framework for ARTS, but builds/evaluates no DT itself. P=No, R=No -&gt; Stage-2 exclude. [Full-text source: browser-oa]</t>
  </si>
  <si>
    <t>Step-1 note: Digital shadows to DTs for rail transit SHM survey | Stage-2 exclusion basis: P=No; R=No | Coded from Step-3 deep-read markdown (DfS-only scope), imported 2026-10-04</t>
  </si>
  <si>
    <t>Qamsane, Y et al. (2022)</t>
  </si>
  <si>
    <t>Step-1 note: Process manufacturing DT performance; manufacturing</t>
  </si>
  <si>
    <t>Hagen, A et al. (2024)</t>
  </si>
  <si>
    <t>Stava bridge (E6, Norway) incident study (SAP/NPRA, SIE 2024): the bridge DT processing IoT sensor data alerted a rapidly developing structural defect, enabling online and offline diagnostics and virtual inspection; physics-based methods combined with machine learning for damage detection and diagnosis; positions SHM and DTs within risk- and condition-based maintenance; damage was detected in time to stop development though not to avoid closure. One-way monitoring-&gt;diagnostics-&gt;human maintenance decisions; no actuation, no learning loop. [Full-text source: Endnote]</t>
  </si>
  <si>
    <t>Fills the diagnostics gap in bridge asset management: the Stava bridge DT alerted a critical defect from IoT data in time to stop its development, and physics+ML diagnostics plus virtual inspection demonstrated risk/condition-based maintenance in practice.</t>
  </si>
  <si>
    <t>Single incident retrospective; the DT alerted but could not prevent the closure, ML damage detection details are partial, and a prospective operational deployment with quantified lead-time gains is not demonstrated.</t>
  </si>
  <si>
    <t>IoT sensor data, physics-based methods and ML are combined in one damage-detection and virtual-inspection pipeline for the bridge.</t>
  </si>
  <si>
    <t>Step-1 note: Stava bridge DT damage detection and virtual inspection | Coded from Step-3 deep-read markdown (DfS-only scope), imported 2026-10-04</t>
  </si>
  <si>
    <t>Abohassan, M et al. (2024)</t>
  </si>
  <si>
    <t>Step-1 note: Rural AV LiDAR simulations; vehicles</t>
  </si>
  <si>
    <t>Ji, S.Y (2021)</t>
  </si>
  <si>
    <t>Step-1 note: EEG smart space DT; emotion control not DfS</t>
  </si>
  <si>
    <t>Luo, J et al. (2025)</t>
  </si>
  <si>
    <t>Step-1 note: Perception-powered urban DT planning; not DfS</t>
  </si>
  <si>
    <t>Salvi, A et al. (2022)</t>
  </si>
  <si>
    <t>Step-1 note: Cyber-resilience electric power DT; energy</t>
  </si>
  <si>
    <t>Ji, C et al. (2024)</t>
  </si>
  <si>
    <t>Step-1 note: Smart grid cyber DL framework; energy</t>
  </si>
  <si>
    <t>Li, M et al. (2021)</t>
  </si>
  <si>
    <t>Step-1 note: Dredger virtual sensor DT; marine vessel</t>
  </si>
  <si>
    <t>Tang, X et al. (2024)</t>
  </si>
  <si>
    <t>AI-powered DT4ENG framework for sustainable/resilient engineering structures defines forward DT, backward DT and DT-informed decision making; the FOWT modular-energy-island case integrates wind-wave data, OpenFAST multi-physics simulation, material data and probabilistic corrosion-fatigue modelling to identify high-risk bolt failure modes and support proactive maintenance for structural integrity. Demonstration is analytical/simulation-based rather than live operational control. [Full-text source: browser-oa]</t>
  </si>
  <si>
    <t>Clarifies a DT4ENG lifecycle framework linking forward DT, backward DT and DT-informed decision making; the FOWT case shows how wind-wave data, OpenFAST simulation and probabilistic corrosion-fatigue modelling identify dominant bolt failure modes for proactive maintenance.</t>
  </si>
  <si>
    <t>The DT4ENG decision loop is mostly framework-level and the case study is analytical/simulation-based, not a deployed live twin; high setup cost, continuous data processing and data/model integration complexity are explicitly noted as challenges.</t>
  </si>
  <si>
    <t>Wind-wave data, material testing, OpenFAST multi-physics simulation and probabilistic corrosion-fatigue modelling are jointly used to estimate crack growth and failure-mode probabilities for FOWT bolts.</t>
  </si>
  <si>
    <t>Step-1 note: AI-powered DT4ENG framework for resilient engineering structures | Coded from Step-3 deep-read markdown (DfS-only scope), imported 2026-10-04</t>
  </si>
  <si>
    <t>Prajapat, S et al. (2025)</t>
  </si>
  <si>
    <t>Step-1 note: Quantum auth protocol transportation DT; transportation</t>
  </si>
  <si>
    <t>Wu, S et al. (2024)</t>
  </si>
  <si>
    <t>Step-1 note: Eye-tracking AR situation awareness; DT keyword only</t>
  </si>
  <si>
    <t>Guo, Y et al. (2024)</t>
  </si>
  <si>
    <t>Distributed association management of data-model-knowledge for digital twin railway (Int. J. Digital Earth 2024): tripartite DMK-Graph model associates temporal/spatial/interactive relationships; global-local graph index mechanism; prototype system validated via a high-temperature safety risk analysis case in railway tunnel engineering with multi-physics field coupling. Association/index infrastructure for DT services (one-way into analyses). [Full-text source: browser-oa]</t>
  </si>
  <si>
    <t>DMK-Graph tripartite model and global-local index give a unified data-model-knowledge association mechanism for digital twin railway, demonstrated on tunnel high-temperature safety analysis.</t>
  </si>
  <si>
    <t>Prototype-level demonstration; index performance at larger scales not reported; multi-physics coupling depth limited to one case.</t>
  </si>
  <si>
    <t>Railway data, models and knowledge are fused through the tripartite graph association index.</t>
  </si>
  <si>
    <t>Step-1 note: Digital twin railway data-model-knowledge association | Coded from Step-3 deep-read markdown (DfS-only scope), imported 2026-10-04</t>
  </si>
  <si>
    <t>Cheng, G et al. (2025)</t>
  </si>
  <si>
    <t>Step-1 note: Bridge horizontal rotation monitoring; Chinese journal</t>
  </si>
  <si>
    <t>Campolo, C et al. (2024)</t>
  </si>
  <si>
    <t>Step-1 note: Edge DT for CAVs; vehicles</t>
  </si>
  <si>
    <t>Ammar, A et al. (2024)</t>
  </si>
  <si>
    <t>Survey + case study on guiderail data management for a transportation agency: investigates current practices and proposes a data architecture for information-rich analytical models using DTs, but no DT is actually built or evaluated - P=No -&gt; Stage-2 exclude. [Full-text source: 04c-port]</t>
  </si>
  <si>
    <t>Step-1 note: DT for transportation safety hardware asset management | Stage-2 exclusion basis: P=No | Coded from Step-3 deep-read markdown (DfS-only scope), imported 2026-10-04</t>
  </si>
  <si>
    <t>Chauhan, H.S et al. (2023)</t>
  </si>
  <si>
    <t>Step-1 note: Vehicular edge caching DT; vehicles</t>
  </si>
  <si>
    <t>Ma, S et al. (2024)</t>
  </si>
  <si>
    <t>Step-1 note: Fast 3D site reconstruction; no DT</t>
  </si>
  <si>
    <t>Patel, P et al. (2024)</t>
  </si>
  <si>
    <t>Step-1 note: ASCE 75 standard for digital as-builts; DT downstream</t>
  </si>
  <si>
    <t>Asadi, A.R et al. (2025)</t>
  </si>
  <si>
    <t>Step-1 note: Criminal justice system DT; social domain</t>
  </si>
  <si>
    <t>Vrana, J (2020)</t>
  </si>
  <si>
    <t>Step-1 note: NDE 4.0 value extraction; generic industry</t>
  </si>
  <si>
    <t>Stergiopoulos, G et al. (2025)</t>
  </si>
  <si>
    <t>Step-1 note: Urban heatwave graph DT; health response not DfS</t>
  </si>
  <si>
    <t>Zhou, Y et al. (2025)</t>
  </si>
  <si>
    <t>Step-1 note: Steam turbine DEH DT; power generation</t>
  </si>
  <si>
    <t>Martinez, V.M.G et al. (2025)</t>
  </si>
  <si>
    <t>Step-1 note: Sustainable ITS via DTs survey; transportation</t>
  </si>
  <si>
    <t>Maheshwari, R.U et al. (2024)</t>
  </si>
  <si>
    <t>Step-1 note: Smart city DT cybersecurity risks; generic</t>
  </si>
  <si>
    <t>Ham, Y et al. (2020)</t>
  </si>
  <si>
    <t>Step-1 note: Participatory sensing toward DT city; step only</t>
  </si>
  <si>
    <t>Saini, G.S et al. (2022)</t>
  </si>
  <si>
    <t>Step-1 note: Well construction RL DT; oil drilling</t>
  </si>
  <si>
    <t>Zhang, A et al. (2024)</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</si>
  <si>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segmentation success ~51.5% higher than traditional methods; joint fitting accuracy &gt;99%); enables joint-deviation assessment. Static geometric DT - no live data link, no learning loop. [Full-text source: 04c-port]</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</si>
  <si>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</si>
  <si>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</si>
  <si>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Only point-cloud data drive the DS-gDT joint detection and topology reconstruction; no second measured data type exists.</t>
  </si>
  <si>
    <t>Step-1 note: Joint detection for geometric DT of cable dome structures | Methodology label normalised (source: "Perception / Computer Vision") | Coded from Step-3 deep-read markdown (DfS-only scope), imported 2026-10-04</t>
  </si>
  <si>
    <t>Xie, J et al. (2023)</t>
  </si>
  <si>
    <t>Step-1 note: Fully mechanized mining metaverse; mining + Chinese journal</t>
  </si>
  <si>
    <t>Ayobo-Abongo, D et al. (2025)</t>
  </si>
  <si>
    <t>Step-1 note: GenAI DT power asset management; energy</t>
  </si>
  <si>
    <t>Kampczyk, A et al. (2021)</t>
  </si>
  <si>
    <t>Fundamental approach to digital twins for railway turnouts with innovative weather monitoring (Sensors 2021): UbiBot WS1 WIFI logger with external DS18B20 sensor embedded in an S49 (49E1) rail (Tszyn WS1 WIFI) measures rail-head temperature, humidity, ambient temperature and light (Jan-May); confirms the TgCWRII second-temperature-difference indicator for turnout monitoring and positions rail-temperature data as a component of turnout DT condition data. Sensing/data-acquisition foundation only - no twin model built. [Full-text source: browser-oa]</t>
  </si>
  <si>
    <t>Rail-embedded wireless temperature sensing (Tszyn WS1 WIFI) provides the environmental data foundation for turnout digital twins and confirms the TgCWRII indicator.</t>
  </si>
  <si>
    <t>Sensing only - no turnout twin model or geometry integration demonstrated.</t>
  </si>
  <si>
    <t>Rail temperature, humidity, ambient temperature and light are fused into turnout condition monitoring data.</t>
  </si>
  <si>
    <t>Step-1 note: DT for railway turnouts with weather monitoring | Coded from Step-3 deep-read markdown (DfS-only scope), imported 2026-10-04</t>
  </si>
  <si>
    <t>Hoeft, M et al. (2022)</t>
  </si>
  <si>
    <t>Step-1 note: BIM OHS platforms; DT keyword only</t>
  </si>
  <si>
    <t>Park, S et al. (2023)</t>
  </si>
  <si>
    <t>Comparison of single-camera depth estimation for digital twin model synchronization of underground utility tunnels (KICT, Applied Sciences 2023): DenseDepth transfer learning vs floor-plan-projection coordinate conversion for locating changed objects from monocular CCTV; coordinate conversion shows 0.23-1.5 m error within 50 m versus 1-3 m for DenseDepth, so it is selected as the synchronization method for disaster-safety DT models. Enabling computer-vision study, no complete twin. [Full-text source: browser-oa]</t>
  </si>
  <si>
    <t>Rigorous comparison shows floor-plan coordinate conversion (0.23-1.5 m error) is suitable for single-CCTV depth estimation in utility tunnels, avoiding costly stereo/depth camera retrofits.</t>
  </si>
  <si>
    <t>Depth estimation alone; object detection/semantics and full DT synchronization not implemented.</t>
  </si>
  <si>
    <t>Monocular CCTV image data alone drives floor-plan-projection depth estimation for model synchronization.</t>
  </si>
  <si>
    <t>Step-1 note: DT model synchronization for underground utility tunnels | Coded from Step-3 deep-read markdown (DfS-only scope), imported 2026-10-04</t>
  </si>
  <si>
    <t>Fayyad, T.M et al. (2025)</t>
  </si>
  <si>
    <t>Step-1 note: Drone SHM scientometric; DT one link</t>
  </si>
  <si>
    <t>Kunkera, Z et al. (2022)</t>
  </si>
  <si>
    <t>Step-1 note: Shipbuilding DT; shipyard</t>
  </si>
  <si>
    <t>Gazzotti, S et al. (2021)</t>
  </si>
  <si>
    <t>Step-1 note: Fusion engineering VR/AR; nuclear fusion</t>
  </si>
  <si>
    <t>Steyn, W.J.M (2020)</t>
  </si>
  <si>
    <t>Step-1 note: Hyper-connected pavement discussion; DT one concept</t>
  </si>
  <si>
    <t>Johansen, K.W et al. (2024)</t>
  </si>
  <si>
    <t>Step-1 note: Falling object exposure via BIM/AI; DT keyword only</t>
  </si>
  <si>
    <t>Deep RL (Advantage Actor-Critic) integrated with a digital twin for railway maintenance efficiency (Birmingham, Sci Rep 2023): DT built from four years of real field data over 30 km; track geometry parameters, component defects and maintenance activities form states/actions; rewards from maintenance costs and occurring defects; trained policy reduces maintenance activities by 21% and occurring defects by 68%, improving safety and passenger comfort. Maintenance-policy recommendations to decision-makers (no automated track actuation); RL training loop implemented but no convergence criterion. [Full-text source: Endnote]</t>
  </si>
  <si>
    <t>Fills the efficiency gap of railway predictive maintenance: A2C reinforcement learning on a 30-km four-year field-data DT cuts maintenance activities by 21% and occurring defects by 68%, with track geometry treated per-parameter and seven independent actions.</t>
  </si>
  <si>
    <t>The RL policy is trained on historical four-year data and validated by simulation of maintenance policy, not by live closed-loop control of actual maintenance operations; convergence of A2C training is not analysed, and reward design (cost vs safety weighting) is not fully explored.</t>
  </si>
  <si>
    <t>Track geometry, component defects and maintenance activities are jointly encoded in the RL state/action/reward of one DT-trained policy.</t>
  </si>
  <si>
    <t>Step-1 note: DRL + DT for railway maintenance efficiency | Coded from Step-3 deep-read markdown (DfS-only scope), imported 2026-10-04</t>
  </si>
  <si>
    <t>Kang, N et al. (2025)</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</si>
  <si>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04c-port]</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</si>
  <si>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</si>
  <si>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</si>
  <si>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Only high-precision LiDAR scans of the underground utility tunnel feed the Unreal digital twin; the 4-DoF motion platform adds haptic actuation, not a second data type.</t>
  </si>
  <si>
    <t>Step-1 note: VR UUT training simulator integrating DTs; safety | Coded from Step-3 deep-read markdown (DfS-only scope), imported 2026-10-04</t>
  </si>
  <si>
    <t>Smagin, D.I et al. (2023)</t>
  </si>
  <si>
    <t>Step-1 note: Aircraft unit predictive failure; aerospace</t>
  </si>
  <si>
    <t>Pham, V.H.S et al. (2025)</t>
  </si>
  <si>
    <t>Step-1 note: Site layout dynamic optimization; DT keyword only</t>
  </si>
  <si>
    <t>Namuduri, K (2023)</t>
  </si>
  <si>
    <t>Step-1 note: Airspace management DT; aviation</t>
  </si>
  <si>
    <t>Hasan, S.M et al. (2022)</t>
  </si>
  <si>
    <t>Step-1 note: AR+DT construction machinery CPS; operations tracking</t>
  </si>
  <si>
    <t>Bosurgi, G et al. (2025)</t>
  </si>
  <si>
    <t>Step-1 note: Railway condition BIM framework; DT basis only</t>
  </si>
  <si>
    <t>Dille, M et al. (2025)</t>
  </si>
  <si>
    <t>Step-1 note: River flow UAV monitoring; hydrology</t>
  </si>
  <si>
    <t>Kliestik, T et al. (2024)</t>
  </si>
  <si>
    <t>Step-1 note: Fintech DT industrial metaverse; generic</t>
  </si>
  <si>
    <t>Koo, B et al. (2023)</t>
  </si>
  <si>
    <t>Step-1 note: Natural gas infrastructure DT; energy</t>
  </si>
  <si>
    <t>Kim, Y et al. (2024)</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</si>
  <si>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04c-port]</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</si>
  <si>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</si>
  <si>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</si>
  <si>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Weather-station variables (temperature, humidity, irradiance, wind) and the UAV-photogrammetry geometric site twin are jointly consumed by SOLWEIG microclimate simulation to produce site-wide heat-risk maps.</t>
  </si>
  <si>
    <t>Step-1 note: Construction site DT for spatio-temporal heat risk | Coded from Step-3 deep-read markdown (DfS-only scope), imported 2026-10-04</t>
  </si>
  <si>
    <t>Maftouh, J et al. (2025)</t>
  </si>
  <si>
    <t>Step-1 note: Smart mining review; mining</t>
  </si>
  <si>
    <t>Liu, Z et al. (2025)</t>
  </si>
  <si>
    <t>Step-1 note: Intelligent construction CiteSpace; DT keyword only</t>
  </si>
  <si>
    <t>Fialho, B.C et al. (2022)</t>
  </si>
  <si>
    <t>Step-1 note: BIM-IoT lighting maintenance; DT context only</t>
  </si>
  <si>
    <t>Baniqued, P.D.E et al. (2024)</t>
  </si>
  <si>
    <t>Step-1 note: Nuclear robot fleet DT; nuclear</t>
  </si>
  <si>
    <t>Li, L et al. (2022)</t>
  </si>
  <si>
    <t>Step-1 note: Aerospace DT introduction; aerospace</t>
  </si>
  <si>
    <t>Flammini, F (2021)</t>
  </si>
  <si>
    <t>Step-1 note: DT run-time CPS resilience conceptual; generic</t>
  </si>
  <si>
    <t>Bosso, N et al. (2023)</t>
  </si>
  <si>
    <t>Step-1 note: Train dynamics DT surrogates; rolling stock</t>
  </si>
  <si>
    <t>Gao, L et al. (2024)</t>
  </si>
  <si>
    <t>Step-1 note: Cooperative localization Transportation 5.0; traffic</t>
  </si>
  <si>
    <t>Kotlyarevskaya, A.V et al. (2024)</t>
  </si>
  <si>
    <t>Step-1 note: Building DT concept for smart city; not DfS</t>
  </si>
  <si>
    <t>Cruz, L et al. (2024)</t>
  </si>
  <si>
    <t>Step-1 note: SSI tall building seismic; no DT</t>
  </si>
  <si>
    <t>Chandrasekaran, M et al. (2024)</t>
  </si>
  <si>
    <t>Step-1 note: Vehicle mass estimation ANN; vehicles</t>
  </si>
  <si>
    <t>Casey, L et al. (2024)</t>
  </si>
  <si>
    <t>Step-1 note: Aircraft hangar active safety DT; aerospace ops</t>
  </si>
  <si>
    <t>Shubinsky, I.B et al. (2023)</t>
  </si>
  <si>
    <t>Functional-safety methods for train control systems (NIIAS/TUEV Rheinland, RT&amp;A 2023): a digital twin is defined as a mathematical model + software implementation performing all operating functions of the initial object + verification results; two same-type DTs form a dual external safety circuit so a SIL1/SIL2 control system reaches at least SIL3 (virtual second channels use information redundancy instead of hardware redundancy); evaluated analytically for an axle-counter-based train control system. The twin acts back on the control system as a safety channel -&gt; Tier 3 (analytical safety-case evaluation, no deployed test); no learning loop. [Full-text source: Endnote]</t>
  </si>
  <si>
    <t>Fills the cost/safety trade-off gap for train control: dual digital-twin external circuits (virtual second channels, information redundancy) analytically achieve at least SIL3 for a SIL1/SIL2 axle-counter system, reducing hardware while preserving functional safety.</t>
  </si>
  <si>
    <t>Analytical safety-case evaluation without deployed test or field data; the DT is a software replica of the controller rather than of the physical asset, and acceptability/verification effort for the additional software is delegated to the developer.</t>
  </si>
  <si>
    <t>Only control-system states/model outputs are used; no multi-modal data fusion.</t>
  </si>
  <si>
    <t>Step-1 note: DT-based functional safety method for train control systems | Coded from Step-3 deep-read markdown (DfS-only scope), imported 2026-10-04</t>
  </si>
  <si>
    <t>Anthi, E et al. (2025)</t>
  </si>
  <si>
    <t>Step-1 note: AI intelligent motorways; transportation</t>
  </si>
  <si>
    <t>Jacques, M.-B et al. (2025)</t>
  </si>
  <si>
    <t>Step-1 note: Nuclear dismantling DTs; nuclear</t>
  </si>
  <si>
    <t>Zhang, B et al. (2025)</t>
  </si>
  <si>
    <t>Step-1 note: 3D stratigraphic modeling; no DT</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</si>
  <si>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04c-port]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</si>
  <si>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</si>
  <si>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</si>
  <si>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Hydraulic-jack, temperature and stress sensor readings from the jacking process are fed together into an XGBoost model (with FE-guided sensor placement) predicting key-bar stress with 98% accuracy.</t>
  </si>
  <si>
    <t>Step-1 note: DT for terminal steel roof construction safety risk prediction | Coded from Step-3 deep-read markdown (DfS-only scope), imported 2026-10-04</t>
  </si>
  <si>
    <t>Lamba, S et al. (2025)</t>
  </si>
  <si>
    <t>IES digital city models for BHU Campus and Crossing Republik combine OSM/QGIS footprints and building attributes with Kobe, Bhuj and Nepal ground motions; simulated drift exceeds stated limits for vulnerable buildings. [Full-text source: browser-oa]</t>
  </si>
  <si>
    <t>Extends physics-based integrated earthquake simulation to two Indian urban sites, linking building attributes and ground motions to building-level seismic-risk indicators.</t>
  </si>
  <si>
    <t>The assessment is a pilot simulation using limited/inexact city attributes and hypothetical historical motions; observed earthquake damage validation and inventory completeness are needed.</t>
  </si>
  <si>
    <t>GIS footprints/building attributes and earthquake ground-motion inputs feed IES building-response simulations; results are mapped back to structures for risk comparison.</t>
  </si>
  <si>
    <t>Step-1 note: City-scale seismic risk assessment using digital twins | Coded from Step-3 deep-read markdown (DfS-only scope), imported 2026-10-04</t>
  </si>
  <si>
    <t>Tagharobi, M et al. (2025)</t>
  </si>
  <si>
    <t>Step-1 note: Construction progress prediction; no DT</t>
  </si>
  <si>
    <t>Step-1 note: Visual relationship detection; semantic DT enabling only</t>
  </si>
  <si>
    <t>Peng, C.-C et al. (2024)</t>
  </si>
  <si>
    <t>Step-1 note: UAV rotary engine anomaly DT; aerospace</t>
  </si>
  <si>
    <t>Clementi, M et al. (2024)</t>
  </si>
  <si>
    <t>Step-1 note: GIS DT solar radiation urban agriculture; not DfS</t>
  </si>
  <si>
    <t>Zhao, N et al. (2022)</t>
  </si>
  <si>
    <t>Step-1 note: Twin-crane trajectory ports; ports/factories</t>
  </si>
  <si>
    <t>Xiao, Y et al. (2023)</t>
  </si>
  <si>
    <t>Step-1 note: Smart home security DT; cybersecurity focus</t>
  </si>
  <si>
    <t>Lichte, D et al. (2022)</t>
  </si>
  <si>
    <t>Step-1 note: Operational resilience CI framework; generic CI</t>
  </si>
  <si>
    <t>González-Böhme, L.F et al. (2023)</t>
  </si>
  <si>
    <t>Step-1 note: MR timber frame HRC; DT keyword only</t>
  </si>
  <si>
    <t>Shcherba, D et al. (2018)</t>
  </si>
  <si>
    <t>Step-1 note: Automotive steel damage model SUV DT; vehicles</t>
  </si>
  <si>
    <t>Hu, B et al. (2023)</t>
  </si>
  <si>
    <t>Step-1 note: Cold chain logistics warehouse DT; logistics</t>
  </si>
  <si>
    <t>Jiang, F et al. (2022)</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</si>
  <si>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04c-port]</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</si>
  <si>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</si>
  <si>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</si>
  <si>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Online map layers (DSM, DEM and aerial photos) are jointly processed to reconstruct the existing road and underpass as one digital twin used for clearance checking.</t>
  </si>
  <si>
    <t>Step-1 note: Underpass clearance checking DT for highway widening PtD | Coded from Step-3 deep-read markdown (DfS-only scope), imported 2026-10-04</t>
  </si>
  <si>
    <t>Wei, Z et al. (2020)</t>
  </si>
  <si>
    <t>Step-1 note: Water network sampling GFT; DT modelling enabling</t>
  </si>
  <si>
    <t>Agool, Z.M et al. (2025)</t>
  </si>
  <si>
    <t>Step-1 note: High-speed elevator review; DT one tech</t>
  </si>
  <si>
    <t>Lin, L et al. (2025)</t>
  </si>
  <si>
    <t>Step-1 note: Wing stress field DL; aerospace + Chinese journal</t>
  </si>
  <si>
    <t>Chan, J.H et al. (2023)</t>
  </si>
  <si>
    <t>Step-1 note: Jaibot robot IoT safety; DT keyword only</t>
  </si>
  <si>
    <t>Park, S et al. (2019)</t>
  </si>
  <si>
    <t>Step-1 note: Smart energy city platform; energy</t>
  </si>
  <si>
    <t>Zhao, S et al. (2025)</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</si>
  <si>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04c-port]</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</si>
  <si>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</si>
  <si>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</si>
  <si>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RGB-D image+depth and IMU motion streams are fused and analysed by YOLOv5/Faster-RCNN/HRNet to drive the Unity virtual entity, whose rule model computes dangerous/warning/safe zones for collision warnings.</t>
  </si>
  <si>
    <t>Step-1 note: DT-enabled anti-collision system for smart construction sites | Coded from Step-3 deep-read markdown (DfS-only scope), imported 2026-10-04</t>
  </si>
  <si>
    <t>Khajavi, S.H et al. (2023)</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</si>
  <si>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04c-port]</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</si>
  <si>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</si>
  <si>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</si>
  <si>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Advanced sensor packages (thermal, RGB, UV, motion) plus LiDAR-derived 3D models are combined with stated real-time data fusion for fire/anomaly detection in two 17-month deployments.</t>
  </si>
  <si>
    <t>Step-1 note: DT for building safety and security lifecycle; fire | Coded from Step-3 deep-read markdown (DfS-only scope), imported 2026-10-04</t>
  </si>
  <si>
    <t>Liu, K et al. (2023)</t>
  </si>
  <si>
    <t>Step-1 note: MetaMining metaverse; mining</t>
  </si>
  <si>
    <t>Ybañez, R.S et al. (2023)</t>
  </si>
  <si>
    <t>Step-1 note: 5D model review oil/gas plants; energy</t>
  </si>
  <si>
    <t>Risco-Martín, J.L et al. (2023)</t>
  </si>
  <si>
    <t>Step-1 note: Harmful algal blooms DEVS; environment</t>
  </si>
  <si>
    <t>Cogswell, D et al. (2022)</t>
  </si>
  <si>
    <t>Step-1 note: Materials 4.0 component DT position; materials</t>
  </si>
  <si>
    <t>Wu, Z et al. (2021)</t>
  </si>
  <si>
    <t>Step-1 note: Inland waterway DT safety; waterway navigation</t>
  </si>
  <si>
    <t>Luo, W et al. (2024)</t>
  </si>
  <si>
    <t>Step-1 note: Process manufacturing metaverse survey; manufacturing</t>
  </si>
  <si>
    <t>Lindström, J et al. (2020)</t>
  </si>
  <si>
    <t>Step-1 note: Zero defect manufacturing DT; manufacturing</t>
  </si>
  <si>
    <t>Zeng, Q et al. (2025)</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</si>
  <si>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04c-port]</t>
  </si>
  <si>
    <t>Step-1 note: Dynamic DT health monitoring of steel structures | Stage-2 exclusion basis: Retracted article | Retracted article (auto reason shows P=No; true reason = retraction) | Coded from Step-3 deep-read markdown (DfS-only scope), imported 2026-10-04</t>
  </si>
  <si>
    <t>Mitchell, D et al. (2021)</t>
  </si>
  <si>
    <t>Step-1 note: Offshore wind farm robotics; energy</t>
  </si>
  <si>
    <t>Xu, J et al. (2023)</t>
  </si>
  <si>
    <t>Step-1 note: Material provenance blockchain; no DT</t>
  </si>
  <si>
    <t>Paché, G (2025)</t>
  </si>
  <si>
    <t>Step-1 note: Palletized citizen urban critique; not DT study</t>
  </si>
  <si>
    <t>Lozano-Galant, F et al. (2025)</t>
  </si>
  <si>
    <t>Step-1 note: GIS bridge inspection app; DT keyword only</t>
  </si>
  <si>
    <t>Zou, Y et al. (2024)</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</si>
  <si>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04c-port]</t>
  </si>
  <si>
    <t>Proposes a five-layer digital twin framework for building machine jacking operations, creating parametric twin models in Blender geometric node groups (98.48 percent auto-generation accuracy) and an RBF neural network for online stress and deformation prediction with relative errors within 0.1 percent and 6 percent respectively, verified on a 186.3 m Wuhan building where five major accidents were avoided and jacking efficiency rose 19.75 percent.</t>
  </si>
  <si>
    <t>Predicted structural performance and motion are only displayed on the platform without autonomous decision-making, and prediction correctness depends on sensor data accuracy. Future research will adopt deep learning for data correction, reinforcement learning for autonomous control, and cloud and blockchain strategies for data storage, cleaning, and security.</t>
  </si>
  <si>
    <t>Multi-sensor monitoring data and a Blender parametric twin feed an RBF neural network for online stress and deformation prediction, with a motion model for real-time state mapping.</t>
  </si>
  <si>
    <t>Step-1 note: DT monitoring of building machine jacking operation | Coded from Step-3 deep-read markdown (DfS-only scope), imported 2026-10-04</t>
  </si>
  <si>
    <t>Li, W et al. (2020)</t>
  </si>
  <si>
    <t>Step-1 note: Battery cloud DT; energy storage</t>
  </si>
  <si>
    <t>Espejo, F et al. (2024)</t>
  </si>
  <si>
    <t>Step-1 note: Irrigation reservoir flood buffer; hydrology</t>
  </si>
  <si>
    <t>Vairo, T et al. (2023)</t>
  </si>
  <si>
    <t>Step-1 note: Port complex systems vulnerability; ports</t>
  </si>
  <si>
    <t>Zhu, H et al. (2022)</t>
  </si>
  <si>
    <t>Key-component capture and safety intelligent analysis of beam string structures based on digital twins (Symmetry 2022): DT mapping-feedback framework fuses multi-source construction data; Dempster-Shafer evidence theory fuses mechanical parameters; temperature-induced parameter variation captured to identify key components; applied to a convention-and-exhibition-center string-supported beam roof during construction. One-way data fusion into safety analysis. [Full-text source: browser-oa]</t>
  </si>
  <si>
    <t>D-S evidence-theory fusion of multi-source mechanical parameters captures key components under temperature, improving construction safety analysis intelligence.</t>
  </si>
  <si>
    <t>Single construction case; D-S fusion parameter independence assumptions unverified.</t>
  </si>
  <si>
    <t>Multi-source mechanical parameters are fused with D-S evidence theory to capture key components.</t>
  </si>
  <si>
    <t>Step-1 note: DT key component capture and safety analysis of beam string | Coded from Step-3 deep-read markdown (DfS-only scope), imported 2026-10-04</t>
  </si>
  <si>
    <t>Lee, A et al. (2022)</t>
  </si>
  <si>
    <t>Step-1 note: Individual mobility geospatial UDT platform; not DfS</t>
  </si>
  <si>
    <t>Zhou, R et al. (2023)</t>
  </si>
  <si>
    <t>Step-1 note: Corrugated compensator DT; industrial piping</t>
  </si>
  <si>
    <t>Step-1 note: DT resource allocation IoV; vehicles</t>
  </si>
  <si>
    <t>Yadav, N et al. (2022)</t>
  </si>
  <si>
    <t>Step-1 note: VR distance perception study; generic</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</si>
  <si>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04c-port]</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</si>
  <si>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</si>
  <si>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</si>
  <si>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RFID, IMU, crane black-box and LoRa sensing data jointly feed a DEMATEL-ISM hierarchical risk model and Bayesian-network reasoning that computes key degrees of indirect inducement factors.</t>
  </si>
  <si>
    <t>Step-1 note: DT-based risk control of prefab hoisting operations | Coded from Step-3 deep-read markdown (DfS-only scope), imported 2026-10-04</t>
  </si>
  <si>
    <t>Hussain, M et al. (2024)</t>
  </si>
  <si>
    <t>Digital twin-driven prediction of degraded lifting capacity of aging tower cranes (PolyU, Advanced Engineering Informatics 2024): theoretical/numerical fatigue and degradation analysis combined with real-time vibration data from cyclic load scenarios; ML model predicts degraded LC (MSE 0.2253, R2 0.9973; k-5 cross-validation R2 0.9714); degraded load charts for each decade of usage (0-70 years) assist operators in applying safe loads. Scaled-down prototype demonstrator; prediction assists decisions, no actuation. [Full-text source: browser-oa]</t>
  </si>
  <si>
    <t>First DTD model predicting aging-induced degraded lifting capacity with high accuracy (R2 0.9973) and decadal degraded load charts for crane operators.</t>
  </si>
  <si>
    <t>Scaled-down prototype rather than in-service crane; vibration noise/uncertainty handling limited.</t>
  </si>
  <si>
    <t>Theoretical fatigue analysis and real-time vibration data are fused in the ML lifting-capacity predictor.</t>
  </si>
  <si>
    <t>Step-1 note: DT-driven prediction of tower crane degraded lifting capacity | Coded from Step-3 deep-read markdown (DfS-only scope), imported 2026-10-04</t>
  </si>
  <si>
    <t>Ai, Y et al. (2024)</t>
  </si>
  <si>
    <t>Step-1 note: Mining autonomous driving test platform; mining</t>
  </si>
  <si>
    <t>Lee, D.-G et al. (2023)</t>
  </si>
  <si>
    <t>Step-1 note: Retaining wall stability DE-ANN; DT keyword only</t>
  </si>
  <si>
    <t>Kivrak, H et al. (2024)</t>
  </si>
  <si>
    <t>Step-1 note: Industrial asset monitoring robot CPS; industrial</t>
  </si>
  <si>
    <t>Davila-Gonzalez, S et al. (2024)</t>
  </si>
  <si>
    <t>Step-1 note: Human DT worker safety oil/gas; energy</t>
  </si>
  <si>
    <t>Suhail, S et al. (2022)</t>
  </si>
  <si>
    <t>Step-1 note: Blockchain DT CPS security; generic/automotive</t>
  </si>
  <si>
    <t>Ye, Q et al. (2024)</t>
  </si>
  <si>
    <t>Step-1 note: Metaverse energy industry; energy</t>
  </si>
  <si>
    <t>Zhang, J et al. (2022)</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</si>
  <si>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04c-port]</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</si>
  <si>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</si>
  <si>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</si>
  <si>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A conceptual framework extending BIM LoDs to construction-site DTs is validated only through 31 questionnaires and 10 expert interviews; no DT is implemented or tested.</t>
  </si>
  <si>
    <t>Step-1 note: DTs for construction sites concepts and LoD; quality/safety | Coded from Step-3 deep-read markdown (DfS-only scope), imported 2026-10-04</t>
  </si>
  <si>
    <t>Ghosh, B et al. (2023)</t>
  </si>
  <si>
    <t>Step-1 note: Bridge construction tech adoption survey; DT one tech</t>
  </si>
  <si>
    <t>Werth, A.W et al. (2023)</t>
  </si>
  <si>
    <t>Step-1 note: PLC-internal DT IPS; industrial security</t>
  </si>
  <si>
    <t>Li, M et al. (2023)</t>
  </si>
  <si>
    <t>Step-1 note: Gear measurement DT; manufacturing</t>
  </si>
  <si>
    <t>Li, H et al. (2024)</t>
  </si>
  <si>
    <t>A five-dimensional LS-HSS O&amp;M platform fuses up-to-200-Hz gate vibration/stress/tilt sensing, FEM health assessment, maintenance records and knowledge-based control across multiple gate projects, improving anomaly response and inspection. [Full-text source: browser-oa]</t>
  </si>
  <si>
    <t>Integrates monitoring, FE updating, health assessment and control for hydro-steel gates across engineering projects, with reported improvements in response and inspection.</t>
  </si>
  <si>
    <t>The platform is validated on selected hydro-steel assets, but component-level error rates and causal attribution of reported gains need more transparent multi-site evaluation.</t>
  </si>
  <si>
    <t>Online gate vibration/stress/tilt data are compared with FE responses and maintenance/knowledge indicators to derive dynamic health states, warnings and control decisions.</t>
  </si>
  <si>
    <t>Step-1 note: DT-driven O&amp;M platform for hydro-steel structures | Coded from Step-3 deep-read markdown (DfS-only scope), imported 2026-10-04</t>
  </si>
  <si>
    <t>Lai, X et al. (2022)</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</si>
  <si>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04c-port]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</si>
  <si>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</si>
  <si>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</si>
  <si>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Low-fidelity and high-fidelity RBF surrogates are fused with live inclination and strain sensor inputs (18 test points) to predict stress and deformation in 0.035 s with Gaussian uncertainty quantification.</t>
  </si>
  <si>
    <t>Step-1 note: Lightweight DT of crane boom for structural safety | Coded from Step-3 deep-read markdown (DfS-only scope), imported 2026-10-04</t>
  </si>
  <si>
    <t>Qin, Z et al. (2022)</t>
  </si>
  <si>
    <t>Step-1 note: IT O&amp;M risk assessment; IT domain</t>
  </si>
  <si>
    <t>Rojek, I et al. (2024)</t>
  </si>
  <si>
    <t>Step-1 note: 3D printing DTs with AI; manufacturing</t>
  </si>
  <si>
    <t>Cavieres-Lagos, S et al. (2024)</t>
  </si>
  <si>
    <t>Step-1 note: BIM railway bridge FM; DT initial step only</t>
  </si>
  <si>
    <t>Samaro, N et al. (2025)</t>
  </si>
  <si>
    <t>Step-1 note: Heatwave cloud-BIM architecture; no DT</t>
  </si>
  <si>
    <t>Mu, J et al. (2023)</t>
  </si>
  <si>
    <t>Step-1 note: DT federated learning mobile networks; telecom</t>
  </si>
  <si>
    <t>Wu, W et al. (2023)</t>
  </si>
  <si>
    <t>Step-1 note: Cold chain logistics IoE DT; logistics</t>
  </si>
  <si>
    <t>Kabir, M.R et al. (2025)</t>
  </si>
  <si>
    <t>Step-1 note: DT vehicular prototyping survey; vehicles</t>
  </si>
  <si>
    <t>Kaveh, H et al. (2025)</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</si>
  <si>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04c-port]</t>
  </si>
  <si>
    <t>Step-1 note: Civil infrastructure DTs review; SHM and disaster response | Stage-2 exclusion basis: P=No; R=No | Coded from Step-3 deep-read markdown (DfS-only scope), imported 2026-10-04</t>
  </si>
  <si>
    <t>Luleci, F et al. (2024)</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</si>
  <si>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04c-port]</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</si>
  <si>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</si>
  <si>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</si>
  <si>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Real-world topography, infrastructure, traffic, transit and disaster data are manually integrated into one georeferenced Cities:Skylines simulation scene, with no automated calibration or live link.</t>
  </si>
  <si>
    <t>Step-1 note: Community twin ecosystem for disaster-resilient communities | Coded from Step-3 deep-read markdown (DfS-only scope), imported 2026-10-04</t>
  </si>
  <si>
    <t>Ge, Q et al. (2024)</t>
  </si>
  <si>
    <t>Step-1 note: Farmland diversion drainage; agriculture/hydrology</t>
  </si>
  <si>
    <t>Guo, J et al. (2021)</t>
  </si>
  <si>
    <t>Step-1 note: HV transmission live working DT; power</t>
  </si>
  <si>
    <t>Li, X et al. (2022)</t>
  </si>
  <si>
    <t>Step-1 note: Hazardous chemicals transport DT; transportation</t>
  </si>
  <si>
    <t>Newrzella, S.R et al. (2022)</t>
  </si>
  <si>
    <t>Step-1 note: Cross-industry DT reference architecture; generic</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</si>
  <si>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04c-port]</t>
  </si>
  <si>
    <t>Establishes a correlation mechanism between structural design parameters and mechanical parameters and fuses it with a four-level geometry-physics-behavior-rule digital twin, training a BP neural network on finite element samples to intelligently predict construction safety of a string beam. Predicted vertical displacement and lower-chord cable stress were verified against field measurements, providing a basis for safety control.</t>
  </si>
  <si>
    <t>The BP network is trained only on finite element simulation data, only two mechanical parameters are predicted, and validation covers a single string beam of one convention center roof; no online updating from live monitoring is implemented. Future research will combine mechanical with design parameters to find key safety factors and consider more realistic conditions.</t>
  </si>
  <si>
    <t>BP-network training samples come from FE working-condition simulation, and predicted displacement/stress are verified against on-site measurements, sharing the structural model frame without joint inference.</t>
  </si>
  <si>
    <t>Step-1 note: DTs + BP neural network for prestressed steel construction safety | Coded from Step-3 deep-read markdown (DfS-only scope), imported 2026-10-04</t>
  </si>
  <si>
    <t>Braik, A.M et al. (2023)</t>
  </si>
  <si>
    <t>Step-1 note: Electric power network DT hurricanes; energy</t>
  </si>
  <si>
    <t>Shi, G et al. (2024)</t>
  </si>
  <si>
    <t>DT evolution model for cable-structure demolition optimisation (BJUT, Structures 2024): virtual-real mapping of the demolition process via visual, simulation and data modelling; improved PSO-BPNN analyses mechanical properties across demolition steps to select the best construction scheme; a DT platform guides actual construction; verified on a cable-truss experimental model, accurately mapping the demolition process and improving visualisation and guidance. Experimental-model validation; one-way twin-&gt;guidance to construction crews; no actuation, no learning loop. [Full-text source: Endnote]</t>
  </si>
  <si>
    <t>Fills the scheme-optimisation gap in cable-structure demolition: the DT evolution model with improved PSO-BPNN mechanical-property analysis selects the best demolition scheme and the twin platform guides construction, verified on a cable-truss experimental model.</t>
  </si>
  <si>
    <t>Experimental cable-truss model rather than a real demolition project; PSO-BPNN generalisation and the live data feed from an actual site are not demonstrated, and quantitative safety gains are not reported.</t>
  </si>
  <si>
    <t>Visual, simulation and data models are integrated in the DT evolution model, and PSO-BPNN fuses demolition-step mechanical-property changes.</t>
  </si>
  <si>
    <t>Step-1 note: DT evolution model for cable structure demolition safety | Coded from Step-3 deep-read markdown (DfS-only scope), imported 2026-10-04</t>
  </si>
  <si>
    <t>Ban, X et al. (2024)</t>
  </si>
  <si>
    <t>Step-1 note: Smart home IoT fuzzing; security testing</t>
  </si>
  <si>
    <t>Khan, M et al. (2021)</t>
  </si>
  <si>
    <t>Step-1 note: PM exposure sensors; no DT</t>
  </si>
  <si>
    <t>Dedousis, P et al. (2023)</t>
  </si>
  <si>
    <t>Step-1 note: Chaos engineering CPS; generic</t>
  </si>
  <si>
    <t>Chen, J et al. (2024)</t>
  </si>
  <si>
    <t>IoT-based SHM using hierarchical digital twins for interoperable and scalable decentralized smart sensing systems (RWTH Aachen, Information 2024): organizational scheme scales monitoring from components via systems to clusters; conceptual framework addresses communication security, data sovereignty and interoperability; proof-of-concept implementation monitors a cantilever component with near-real-time deformation and strain data via an app. Prototype demonstrator. [Full-text source: browser-oa]</t>
  </si>
  <si>
    <t>Hierarchical DT scheme addresses interoperability, security and scalability for IoT-based SHM from component to cluster scales.</t>
  </si>
  <si>
    <t>Cantilever proof-of-concept; scaling to clusters untested; security evaluation not quantified.</t>
  </si>
  <si>
    <t>Deformation and strain sensor streams are fused into the near-real-time cantilever DT.</t>
  </si>
  <si>
    <t>Step-1 note: IoT SHM with DTs for decentralized smart sensing systems | Coded from Step-3 deep-read markdown (DfS-only scope), imported 2026-10-04</t>
  </si>
  <si>
    <t>Step-1 note: Parallel training autonomous driving; vehicles</t>
  </si>
  <si>
    <t>Step-1 note: Well construction DT scenario analysis; oil drilling</t>
  </si>
  <si>
    <t>Lv, Z et al. (2023)</t>
  </si>
  <si>
    <t>Step-1 note: Thermal energy storage DT building; energy focus</t>
  </si>
  <si>
    <t>Apolinário, F et al. (2024)</t>
  </si>
  <si>
    <t>Step-1 note: FingerCI baggage handling DT; industrial</t>
  </si>
  <si>
    <t>Guo, F et al. (2025)</t>
  </si>
  <si>
    <t>Step-1 note: Negotiation policies AVs; vehicles</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</si>
  <si>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04c-port]</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</si>
  <si>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</si>
  <si>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</si>
  <si>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LoRa IoT terminals (oxygen, CO, smoke, temperature, door/window sensors, camera people-counting) are jointly classified by SVM models into fire, illegal-intrusion and overcrowding dangers with danger-level grading.</t>
  </si>
  <si>
    <t>Step-1 note: DT framework for indoor building safety management | Coded from Step-3 deep-read markdown (DfS-only scope), imported 2026-10-04</t>
  </si>
  <si>
    <t>Kamari, M et al. (2022)</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</si>
  <si>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04c-port]</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</si>
  <si>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</si>
  <si>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</si>
  <si>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UAV photogrammetry, Street-View CNN segmentation and satellite terrain modelling are combined in one HAZUS-based reliability computation of nearby glazing systems under windborne-debris impact.</t>
  </si>
  <si>
    <t>Step-1 note: Geometric DTs for windborne debris risk to built environments | Methodology label normalised (source: "Perception / Computer Vision") | Coded from Step-3 deep-read markdown (DfS-only scope), imported 2026-10-04</t>
  </si>
  <si>
    <t>Step-1 note: SSI tall building seismic; DT keyword only</t>
  </si>
  <si>
    <t>Gordan, M et al. (2024)</t>
  </si>
  <si>
    <t>Step-1 note: PRECINCT CI cascading security; generic CI</t>
  </si>
  <si>
    <t>Wu, B et al. (2024)</t>
  </si>
  <si>
    <t>Step-1 note: Aircraft fireproof digital tech; aerospace</t>
  </si>
  <si>
    <t>Omer, K et al. (2025)</t>
  </si>
  <si>
    <t>Step-1 note: Robot navigation safety controller; DT keyword only</t>
  </si>
  <si>
    <t>Dang, J et al. (2023)</t>
  </si>
  <si>
    <t>Step-1 note: Stroke care DT DELPHI; healthcare</t>
  </si>
  <si>
    <t>Zhao, Y et al. (2022)</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</si>
  <si>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04c-port]</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</si>
  <si>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</si>
  <si>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</si>
  <si>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IoT multi-sensor project data are fused into BIM+Midas+LSTM twin models with black/gray/white-box processing levels, and the LSTM predicts vault settlement for dynamic safety grading.</t>
  </si>
  <si>
    <t>Step-1 note: DT modeling theory for tunnel construction safety assessment | Coded from Step-3 deep-read markdown (DfS-only scope), imported 2026-10-04</t>
  </si>
  <si>
    <t>Ghaffarian, S et al. (2023)</t>
  </si>
  <si>
    <t>Step-1 note: XAI disaster risk review; generic DRM</t>
  </si>
  <si>
    <t>Li, J et al. (2024)</t>
  </si>
  <si>
    <t>Slated-roof DT pipeline focuses on roof condition/defect monitoring and segmentation quality; no DfS outcome is evaluated. Q=No under DfS-only scope. [Full-text source: 04c-port]</t>
  </si>
  <si>
    <t>Step-1 note: Roof orthophoto pipeline for DT-based slated roof monitoring | Stage-2 exclusion basis: Q=No | Coded from Step-3 deep-read markdown (DfS-only scope), imported 2026-10-04</t>
  </si>
  <si>
    <t>Armijo, A et al. (2024)</t>
  </si>
  <si>
    <t>2-year in-service railway bridge pilot; unsupervised clustering of normal vibration + FEM-calibrated synthetic damage + LightGBM classifier (ROC-AUC 0.9999); periodic retraining of the model on accumulated data = implemented learning loop, but no convergence criterion/metric. [Full-text source: 04c-port]</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</si>
  <si>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</si>
  <si>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t>
  </si>
  <si>
    <t>Only ambient-vibration time series from wireless accelerometers feed the analytics; FEM-calibrated synthetic damage is model-generated training data, not a second measured data type.</t>
  </si>
  <si>
    <t>Step-1 note: Railway bridge SHM IoT with DT case study | Coded from Step-3 deep-read markdown (DfS-only scope), imported 2026-10-04</t>
  </si>
  <si>
    <t>Adamos, K et al. (2024)</t>
  </si>
  <si>
    <t>Step-1 note: CPS attack resilience graphs; generic CPS</t>
  </si>
  <si>
    <t>Wu, X et al. (2024)</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</si>
  <si>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04c-port]</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</si>
  <si>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</si>
  <si>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</si>
  <si>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Bayesian-optimised CatBoost maps 19 construction parameters to six attitude targets as one multi-input model, with SHAP identifying dominant factors and MOEAD multi-objective optimisation on the predictions.</t>
  </si>
  <si>
    <t>Step-1 note: DT framework for slurry shield attitude safety prediction | Coded from Step-3 deep-read markdown (DfS-only scope), imported 2026-10-04</t>
  </si>
  <si>
    <t>Lanin, D.G (2023)</t>
  </si>
  <si>
    <t>Step-1 note: AI in NPP design; nuclear</t>
  </si>
  <si>
    <t>Hu, Y et al. (2025)</t>
  </si>
  <si>
    <t>Step-1 note: Tunnel excavation deformation prediction; DT context only</t>
  </si>
  <si>
    <t>Step-1 note: GNSS+DT building O&amp;M control; not DfS</t>
  </si>
  <si>
    <t>Zheng, Z et al. (2022)</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</si>
  <si>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04c-port]</t>
  </si>
  <si>
    <t>Fills the gap between out-of-sync site investigation and simulation in collapse forensics: a digital twin built from BIM, finite element and physics engine models reconstructs the multistage life cycle of a seven-story hotel retrofitted from a four-story steel frame, reproduces the collapse and matches simulated wreckage with actual debris, showing welding-induced column buckling and plastic deformation caused the failure rather than local buckling alone.</t>
  </si>
  <si>
    <t>A retrospective forensic tool: the accident has already occurred and caused heavy losses, and the twin is built from drawings and records rather than live sensor data. Future research will establish digital twin models for important buildings in advance to perform multihazard simulations and continuously monitor key component mechanical states to prevent disasters.</t>
  </si>
  <si>
    <t>Real-world records (drawings, photos, investigation data) are mapped into BIM, FE and physics-engine models that reconstruct the collapse in stages, sharing one building frame while each model analyses its own domain.</t>
  </si>
  <si>
    <t>Step-1 note: DT-based investigation of building collapse accident | Coded from Step-3 deep-read markdown (DfS-only scope), imported 2026-10-04</t>
  </si>
  <si>
    <t>Creb, C et al. (2024)</t>
  </si>
  <si>
    <t>Step-1 note: ITS roadside infrastructure survey; transportation</t>
  </si>
  <si>
    <t>Zhang, Z et al. (2025)</t>
  </si>
  <si>
    <t>Step-1 note: Nuclear reactor O&amp;M DT; nuclear</t>
  </si>
  <si>
    <t>Bachelor, G et al. (2020)</t>
  </si>
  <si>
    <t>Step-1 note: Aeronautical MBD DT and thread; aerospace</t>
  </si>
  <si>
    <t>Intelligent safety assessment of prestressed steel structures based on digital twins (BJUT, Symmetry 2021): DT framework with physical and virtual space models; multidimensional spatiotemporal information fusion for structural safety performance analysis; Bow-tie model for maintenance modelling of unsafe construction events; applied to a wheel-spoke cable truss, validated by comparing theoretical and site-measured cable force. One-way fusion into assessment and maintenance. [Full-text source: browser-oa]</t>
  </si>
  <si>
    <t>DT framework with multidimensional spatiotemporal fusion and Bow-tie maintenance modelling, validated on a real wheel-spoke cable truss against site cable forces.</t>
  </si>
  <si>
    <t>Single case; Bow-tie maintenance model depth limited; assessment guidance depends on site crews.</t>
  </si>
  <si>
    <t>Multi-source construction information is fused across time and space for safety performance analysis.</t>
  </si>
  <si>
    <t>Step-1 note: DT-based intelligent safety assessment of prestressed steel | Coded from Step-3 deep-read markdown (DfS-only scope), imported 2026-10-04</t>
  </si>
  <si>
    <t>Schreiber, H et al. (2024)</t>
  </si>
  <si>
    <t>Step-1 note: Air surveillance radar DT; aviation</t>
  </si>
  <si>
    <t>Beheshti, M et al. (2023)</t>
  </si>
  <si>
    <t>Step-1 note: VIS4ION navigation wearable; healthcare</t>
  </si>
  <si>
    <t>Marra, A et al. (2021)</t>
  </si>
  <si>
    <t>Step-1 note: HBrIM bridge e-conservation; DT keyword only</t>
  </si>
  <si>
    <t>Lauria, M et al. (2024)</t>
  </si>
  <si>
    <t>DT4SEM digital twin for seismic safety in the building lifecycle (Mediterranean University of Reggio Calabria, Sustainability 2024): experimental application on a reinforced-concrete sample building synchronizing the physical building with its as-built digital model via IoT (2 gateways, 85 multi-sensor nodes) on a collaborative platform; first results support proactive seismic behaviour monitoring, maintenance scheduling and informed building management. Monitoring-oriented (no actuation). [Full-text source: browser-oa]</t>
  </si>
  <si>
    <t>Operational DT4SEM on a real building with 85 sensor nodes synchronizing an as-built model for seismic monitoring and maintenance scheduling.</t>
  </si>
  <si>
    <t>First results only; long-term sensor network reliability and decision workflows not yet quantified.</t>
  </si>
  <si>
    <t>85 multi-sensor streams are fused with the as-built model for seismic behaviour monitoring.</t>
  </si>
  <si>
    <t>Step-1 note: DT for seismic safety in building lifecycle | Coded from Step-3 deep-read markdown (DfS-only scope), imported 2026-10-04</t>
  </si>
  <si>
    <t>Gironimo, G et al. (2023)</t>
  </si>
  <si>
    <t>Step-1 note: DTT remote handling facility; nuclear fusion</t>
  </si>
  <si>
    <t>Danesi, L et al. (2025)</t>
  </si>
  <si>
    <t>Step-1 note: Damage indexes for DT RC buildings; DT future only</t>
  </si>
  <si>
    <t>Kim, Y.-J et al. (2024)</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</si>
  <si>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04c-port]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</si>
  <si>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</si>
  <si>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</si>
  <si>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Live sensor data are compared against a pre-simulated virtual-sensor fire knowledge base via online DTW similarity measurement, so fire recognition depends on real and simulated data streams simultaneously.</t>
  </si>
  <si>
    <t>Step-1 note: Informative DT for fire emergency management | Coded from Step-3 deep-read markdown (DfS-only scope), imported 2026-10-04</t>
  </si>
  <si>
    <t>Yu, C et al. (2024)</t>
  </si>
  <si>
    <t>Intelligent safety-monitoring DT system for large underground space construction (Shanghai Baoye/BJUT, Buildings 2024): BIM builds the physical construction model; IoT collects multi-source heterogeneous monitoring data in real time; virtual-physical information exchange enables real-time security analysis whose results are fed back to the application service layer; verified on an example project, obtaining parameter-index mapping for the orthogonal arch and reasonable control measures. One-way monitoring-&gt;analysis-&gt;feedback to managers; no actuation, no learning loop. [Full-text source: Endnote]</t>
  </si>
  <si>
    <t>Fills the fragmented-monitoring gap of underground-space construction: a BIM+IoT DT system centralises multi-source heterogeneous monitoring for real-time security analysis of large underground spaces, verified on an example project with parameter mapping and control measures.</t>
  </si>
  <si>
    <t>Single example project; the real-time security analysis algorithm and its accuracy are not detailed, and feedback to the service layer is for managers, not automated control.</t>
  </si>
  <si>
    <t>Multi-source heterogeneous IoT monitoring data are fused for real-time security analysis of the underground space.</t>
  </si>
  <si>
    <t>Step-1 note: DT safety analysis of large underground space construction | Coded from Step-3 deep-read markdown (DfS-only scope), imported 2026-10-04</t>
  </si>
  <si>
    <t>Ye, Z et al. (2023)</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</si>
  <si>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04c-port]</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</si>
  <si>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</si>
  <si>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</si>
  <si>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Multi-source sensors (safety, environmental, construction, auxiliary) are integrated into an OpenGL virtual tunnel with four-level early warnings, linked to the tunnel model while warnings fire per parameter.</t>
  </si>
  <si>
    <t>Step-1 note: DT platform for tunnel construction safety early warning | Coded from Step-3 deep-read markdown (DfS-only scope), imported 2026-10-04</t>
  </si>
  <si>
    <t>Zhu, Q et al. (2023)</t>
  </si>
  <si>
    <t>Step-1 note: Cloud/edge computing CAVs; vehicles</t>
  </si>
  <si>
    <t>Zeydan, E et al. (2025)</t>
  </si>
  <si>
    <t>Step-1 note: Mobile communications industrial automation; industrial</t>
  </si>
  <si>
    <t>Sun, A et al. (2025)</t>
  </si>
  <si>
    <t>Step-1 note: Construction site 3D reconstruction; no DT</t>
  </si>
  <si>
    <t>Chen, L et al. (2024)</t>
  </si>
  <si>
    <t>Step-1 note: Smart mining autonomous driving; mining</t>
  </si>
  <si>
    <t>Shimonishi, H et al. (2024)</t>
  </si>
  <si>
    <t>Step-1 note: Probabilistic DT representation; generic CPS</t>
  </si>
  <si>
    <t>Katzorke, N et al. (2023)</t>
  </si>
  <si>
    <t>Step-1 note: Digital proving ground twin; vehicles</t>
  </si>
  <si>
    <t>Step-1 note: Well construction MDP DT; oil drilling</t>
  </si>
  <si>
    <t>Mahmudah, H et al. (2025)</t>
  </si>
  <si>
    <t>Step-1 note: Road damage detection YOLO; DT context only</t>
  </si>
  <si>
    <t>Hao, X et al. (2024)</t>
  </si>
  <si>
    <t>Step-1 note: Roadheader MR DT monitoring; mining equipment</t>
  </si>
  <si>
    <t>Müller, J et al. (2024)</t>
  </si>
  <si>
    <t>Step-1 note: DED-Arc steel AM thermal cycles; manufacturing</t>
  </si>
  <si>
    <t>Almusaed, A et al. (2023)</t>
  </si>
  <si>
    <t>Step-1 note: AI simulation + DT smart building design concepts; not DfS</t>
  </si>
  <si>
    <t>Chandaluri, R et al. (2024)</t>
  </si>
  <si>
    <t>Mangalagiri station relay diagrams are translated into Boolean/HDL models for points, crank handles and level-crossing gates, then functionally simulated in Libero ModelSim; real FPGA/physical-twin synchronization is future work. [Full-text source: browser-oa]</t>
  </si>
  <si>
    <t>Formalizes point, crank-handle and level-crossing gate interlocking as Boolean/HDL digital elements and verifies their relay-state logic in simulation.</t>
  </si>
  <si>
    <t>Only software simulation is demonstrated; no FPGA, live relay data or physical interlocking integration is tested, so real-time fault detection and fail-safe behavior remain unverified.</t>
  </si>
  <si>
    <t>A single source type, relay/interlocking circuit logic, is converted into Boolean equations and simulated; no independent sensor or live operational stream is fused.</t>
  </si>
  <si>
    <t>Step-1 note: Railway interlocking DT simulation; safety devices | Coded from Step-3 deep-read markdown (DfS-only scope), imported 2026-10-04</t>
  </si>
  <si>
    <t>Yu, S et al. (2023)</t>
  </si>
  <si>
    <t>Urban earthquake disaster digital twin (Ningxia Earthquake Agency et al., Geomatics Natural Hazards and Risk 2023): oblique photogrammetry matched with LiDAR builds a high-precision 3D real-scene model; shortest-fault-distance intensity attenuation estimates seismic intensity from active faults and aftershock sequences; elastic-plastic time-history analysis computes building seismic response and visualizes damage levels; real-time sensors map dynamic disaster changes to support emergency rescue decision-making. One-way mapping into analysis/decision support. [Full-text source: browser-oa]</t>
  </si>
  <si>
    <t>High-precision urban real-scene twin combining oblique photogrammetry, LiDAR and elastoplastic time-history analysis for earthquake rescue decisions.</t>
  </si>
  <si>
    <t>Damage visualization rather than physical actuation; intensity model applicability constrained to known faults.</t>
  </si>
  <si>
    <t>Photogrammetry/LiDAR geometry, intensity estimates and real-time sensor data are fused in the city twin.</t>
  </si>
  <si>
    <t>Step-1 note: Urban earthquake disaster DT application | Coded from Step-3 deep-read markdown (DfS-only scope), imported 2026-10-04</t>
  </si>
  <si>
    <t>Wu, S et al. (2022)</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</si>
  <si>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04c-port]</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</si>
  <si>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</si>
  <si>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</si>
  <si>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YOLOv4-tiny + DeepSORT detections are anchored into the 4D BIM virtual construction site, so danger-zone computation and HoloLens overlays depend on live vision data and BIM geometry simultaneously.</t>
  </si>
  <si>
    <t>Step-1 note: MR visual warning DT for construction workforce safety | Methodology label normalised (source: "Perception / Computer Vision") | Coded from Step-3 deep-read markdown (DfS-only scope), imported 2026-10-04</t>
  </si>
  <si>
    <t>Li, H et al. (2025)</t>
  </si>
  <si>
    <t>Step-1 note: AI in AEC review; DT one theme</t>
  </si>
  <si>
    <t>Vila-Chã, E et al. (2023)</t>
  </si>
  <si>
    <t>Step-1 note: Monastery condition monitoring; DT first step only</t>
  </si>
  <si>
    <t>Li, X et al. (2023)</t>
  </si>
  <si>
    <t>At Laoying Tunnel, TSP wave data and newly exposed face/RMR hard data are sequentially fused by Bayesian updating/BME; revised support schemes and BIM/GIS models are returned to the construction workflow. [Full-text source: browser-oa]</t>
  </si>
  <si>
    <t>Automates the TSP-to-RMR-to-support workflow with Bayesian sequential updating and BIM aggregation; the Laoying case completes revised design in under two hours.</t>
  </si>
  <si>
    <t>The validation is one tunnel and omits numerical support analysis in the case study; other geology, outcome comparison and full machine feedback remain future work.</t>
  </si>
  <si>
    <t>TSP velocity-derived soft RMR estimates are fused with tunnel-face hard RMR through sequential Bayesian/BME inference, then aggregated with geology, support and BIM data.</t>
  </si>
  <si>
    <t>Step-1 note: DT-enabled JIT design of rock tunnel; low-risk | Coded from Step-3 deep-read markdown (DfS-only scope), imported 2026-10-04</t>
  </si>
  <si>
    <t>Step-1 note: Aircraft digital strength twins; aerospace + Chinese journal</t>
  </si>
  <si>
    <t>Braik, A.M et al. (2024)</t>
  </si>
  <si>
    <t>Step-1 note: Electric power restoration DT hurricanes; energy</t>
  </si>
  <si>
    <t>Gregorio, S et al. (2025)</t>
  </si>
  <si>
    <t>Step-1 note: Giampilieri debris flow DT; natural hazard</t>
  </si>
  <si>
    <t>Wei, W et al. (2023)</t>
  </si>
  <si>
    <t>Step-1 note: Soil-foundation progress monitoring SOLOv2; no DT</t>
  </si>
  <si>
    <t>Chen, Z et al. (2023)</t>
  </si>
  <si>
    <t>Step-1 note: AI environmental protection of buildings; no DT</t>
  </si>
  <si>
    <t>Lahnsteiner, L et al. (2024)</t>
  </si>
  <si>
    <t>Step-1 note: GPR railway object detection; no DT</t>
  </si>
  <si>
    <t>Zhao, L et al. (2022)</t>
  </si>
  <si>
    <t>Step-1 note: Public toilet ventilation DT; IAQ not DfS</t>
  </si>
  <si>
    <t>Łaziński, P et al. (2025)</t>
  </si>
  <si>
    <t>Step-1 note: Koszalin bridge reconstruction; DT future use</t>
  </si>
  <si>
    <t>Wu, K et al. (2025)</t>
  </si>
  <si>
    <t>Step-1 note: V2X connected corridor DT; transportation</t>
  </si>
  <si>
    <t>Wysocki, O et al. (2025)</t>
  </si>
  <si>
    <t>Step-1 note: Tram DT predictive maintenance; transit vehicles</t>
  </si>
  <si>
    <t>Huang, M et al. (2022)</t>
  </si>
  <si>
    <t>BIM-driven multi-module digital twin for underground stations (Monash/Nottingham, Australian Geomechanics 2022): IFC schema extension for station systems; parametric multi-LOD BIM instantiation (ground, excavation, station parts, support systems); automatic BIM-geotechnical-analysis information exchange bridging information and numerical modelling; preliminarily verified on Melbourne Metro Tunnel stations. Interoperability platform prototype without live data connection. [Full-text source: browser-oa]</t>
  </si>
  <si>
    <t>IFC extension plus automated BIM-to-geotechnical-analysis exchange verified on Melbourne Metro Tunnel stations.</t>
  </si>
  <si>
    <t>Preliminary verification; interoperability tested on selected use cases; live monitoring absent.</t>
  </si>
  <si>
    <t>GIS, geological interpretation, excavation modelling and multi-LOD BIM are fused via the interoperability platform.</t>
  </si>
  <si>
    <t>Step-1 note: DT for underground stations construction lifecycle; geotechnical safety | Coded from Step-3 deep-read markdown (DfS-only scope), imported 2026-10-04</t>
  </si>
  <si>
    <t>Korkmaz, M et al. (2024)</t>
  </si>
  <si>
    <t>Digital twin as a common operating picture for seismic disaster management (Gebze Technical University, ISPRS IJGI 2024): 3D core model of Kocaeli integrates BIM and seismic hazard assessments with real-time data from various sources; DT-COP framework enhances situational awareness and resource allocation during response; challenges in data accuracy, integration and interoperability acknowledged. Decision-support orientation, no actuation. [Full-text source: browser-oa]</t>
  </si>
  <si>
    <t>DT-COP integration for the Kocaeli case shows enhanced situational awareness and resource allocation for seismic response.</t>
  </si>
  <si>
    <t>Challenges in data accuracy/integration/interoperability acknowledged; quantitative evaluation limited.</t>
  </si>
  <si>
    <t>BIM models and seismic hazard assessments are fused with real-time sources in the COP twin.</t>
  </si>
  <si>
    <t>Step-1 note: DT common operating picture for seismic disaster response | Coded from Step-3 deep-read markdown (DfS-only scope), imported 2026-10-04</t>
  </si>
  <si>
    <t>Zhou, Y et al. (2021)</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</si>
  <si>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04c-port]</t>
  </si>
  <si>
    <t>Combines DT technology with prefabricated BIM to model prefabricated building construction, so measuring sensors monitor displacement and rotation torque during component production, transport, and assembly, and risk indicators are tracked in real time. Validation uses factor analysis on risk cases (130 valid cases, 100 percent effective, extraction values 0.75 to 0.86), filling the gap of few DT studies on prefabricated construction in smart cities.</t>
  </si>
  <si>
    <t>The index selection in the construction process is not comprehensive enough and the data collection area is narrow, which the authors state affects universality; the work remains a modelling study without a demonstrated live sensor-to-twin data link. Future work will select multilevel data, supplement research data, and reduce the deviation of research results.</t>
  </si>
  <si>
    <t>A modelling study of prefabricated-construction DTs describes measuring sensors and factor-analysed risk indicators, but the authors state the work lacks a demonstrated live sensor-to-twin data link.</t>
  </si>
  <si>
    <t>Step-1 note: DT modelling of prefab building construction; damage prediction | Coded from Step-3 deep-read markdown (DfS-only scope), imported 2026-10-04</t>
  </si>
  <si>
    <t>Wang, W et al. (2024)</t>
  </si>
  <si>
    <t>Step-1 note: BIPV DT review; energy performance focus</t>
  </si>
  <si>
    <t>Yuan, M et al. (2022)</t>
  </si>
  <si>
    <t>Step-1 note: BIM digital shadow foundation pit; not full DT</t>
  </si>
  <si>
    <t>Gao, L et al. (2025)</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</si>
  <si>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04c-port]</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</si>
  <si>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</si>
  <si>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</si>
  <si>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Only twin-generated structural-state samples (numerical 48 m steel roof under five working conditions) train the PSO-BP predictor; no live measured data exists.</t>
  </si>
  <si>
    <t>Step-1 note: DT vibration sensing and recognition for large structures | Coded from Step-3 deep-read markdown (DfS-only scope), imported 2026-10-04</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</si>
  <si>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04c-port]</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</si>
  <si>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</si>
  <si>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</si>
  <si>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BIM shop-drawing geometry, AprilTag vision localisation and sensed as-built data are combined in the robot motion-planning loop, whose adaptation output depends on all three simultaneously, with as-built data written back to BIM.</t>
  </si>
  <si>
    <t>Step-1 note: Closed-loop DT for BIM-driven human-robot construction | Coded from Step-3 deep-read markdown (DfS-only scope), imported 2026-10-04</t>
  </si>
  <si>
    <t>Vishnu, R.S et al. (2024)</t>
  </si>
  <si>
    <t>Step-1 note: Disaster risk assessment review; DT not core</t>
  </si>
  <si>
    <t>Wang, H et al. (2022)</t>
  </si>
  <si>
    <t>Step-1 note: Deep oil/gas well drilling; energy</t>
  </si>
  <si>
    <t>Jiang, H et al. (2022)</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</si>
  <si>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04c-port]</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</si>
  <si>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</si>
  <si>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</si>
  <si>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Settlement, stress and displacement sensors stream into IFC-extended Revit BIM models with parametric sensor attributes and time-history curves, linking sensors to BIM elements without joint inference.</t>
  </si>
  <si>
    <t>Step-1 note: DT + IoT monitoring of arch cover subway station | Coded from Step-3 deep-read markdown (DfS-only scope), imported 2026-10-04</t>
  </si>
  <si>
    <t>Step-1 note: DT survey automotive/aviation to maritime; vehicles</t>
  </si>
  <si>
    <t>Arya, V et al. (2025)</t>
  </si>
  <si>
    <t>DTSafe-O semantic digital twin ontology for construction safety (HKMU/Salerno, IJSWIS 2025): OWL 2 DL ontology with SWRL rules and SHACL constraints formalizes computable safety-critical requirements; integrates SSN/SOSA, ifcOWL, BRICK, IDS and ICDD to connect IoT sensors, BIM and regulatory documents; validation pipeline with reasoning, compliance checking and performance metrics on synthetic and field data; replicable materials in a public repository. Knowledge-graph layer for safety decisions, no physical twin. [Full-text source: browser-oa]</t>
  </si>
  <si>
    <t>Computable OWL/SWRL/SHACL formalization of safety regulations enables explainable, verifiable safety inferences with public replicability.</t>
  </si>
  <si>
    <t>Synthetic + field data validation; operational deployment on live sites not demonstrated; uncertainty management future work.</t>
  </si>
  <si>
    <t>IoT sensors, BIM and regulatory documents are fused in the semantic knowledge graph.</t>
  </si>
  <si>
    <t>Step-1 note: DTSafe-O semantic DT ontology for construction safety | Coded from Step-3 deep-read markdown (DfS-only scope), imported 2026-10-04</t>
  </si>
  <si>
    <t>Meng, F et al. (2024)</t>
  </si>
  <si>
    <t>The study builds a finite-element chord-supported dome model and estimates dynamic load/cable force by minimizing displacement-response loss; comparisons cover mesh displacement, support reactions and radial cable forces, but no field sensor deployment. [Full-text source: browser-oa]</t>
  </si>
  <si>
    <t>Presents an inverse-load route to predicting chord-supported dome cable forces from structural response, comparing circular, elliptical and rounded-square models.</t>
  </si>
  <si>
    <t>No field sensor dataset or deployed twin is reported, and validation errors are not clearly quantified; inferred cable forces need verification against measured construction data.</t>
  </si>
  <si>
    <t>Only displacement-response values are the stated inverse observations; the FEM model computes candidate responses and the loss selects the load vector, with no multi-sensor fusion.</t>
  </si>
  <si>
    <t>Step-1 note: DT cable force prediction of string-supported dome | Coded from Step-3 deep-read markdown (DfS-only scope), imported 2026-10-04</t>
  </si>
  <si>
    <t>Mufti, A.A et al. (2024)</t>
  </si>
  <si>
    <t>Step-1 note: Civionics CSHM review; DT keyword only</t>
  </si>
  <si>
    <t>Shin, Y et al. (2024)</t>
  </si>
  <si>
    <t>Step-1 note: Heavy equipment detection benchmark; no DT</t>
  </si>
  <si>
    <t>Dan, D et al. (2022)</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</si>
  <si>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04c-port]</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</si>
  <si>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</si>
  <si>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</si>
  <si>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Weigh-in-motion and multi-source machine-vision monitoring are fused to measure full-bridge traffic loads, which then drive the mechanical analysis models of a regional bridge group.</t>
  </si>
  <si>
    <t>Step-1 note: Bridges group DT with machine vision traffic load monitoring | Methodology label normalised (source: "Perception / Computer Vision") | Coded from Step-3 deep-read markdown (DfS-only scope), imported 2026-10-04</t>
  </si>
  <si>
    <t>Argyroudis, S.A et al. (2022)</t>
  </si>
  <si>
    <t>Step-1 note: Digital tech for climate resilience of CI; generic CI</t>
  </si>
  <si>
    <t>Salem, T et al. (2023)</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</si>
  <si>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04c-port]</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</si>
  <si>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</si>
  <si>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</si>
  <si>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A document-analysis-based risk systematisation for construction DTs proposes a ten-step risk-treatment procedure and custom risk matrix, with no implemented system or data integration.</t>
  </si>
  <si>
    <t>Step-1 note: DT risk systematization for construction projects | Coded from Step-3 deep-read markdown (DfS-only scope), imported 2026-10-04</t>
  </si>
  <si>
    <t>Miraj, P et al. (2025)</t>
  </si>
  <si>
    <t>Step-1 note: Organisational DT in AEC review; not DfS focused</t>
  </si>
  <si>
    <t>Foshati, A et al. (2025)</t>
  </si>
  <si>
    <t>Step-1 note: Vehicle cyber redundancy DT; vehicles</t>
  </si>
  <si>
    <t>Continuous dynamic analysis of cable structure construction based on digital twin (BJUT, Sustainability 2023): multidimensional DT model continuously corrected by real-time sensor data; constitution and equilibrium equations corrected to improve the FE method; a single FE model covers all stages from lifting to tension forming; intelligent simulation system applied to actual cable construction with average calculation accuracy above 97%. Sensor-to-model correction only. [Full-text source: browser-oa]</t>
  </si>
  <si>
    <t>Single continuously corrected FE model covering lifting-to-tensioning achieves &gt;97% accuracy, replacing discrete stage models.</t>
  </si>
  <si>
    <t>Accuracy measured against own FE model; sensor network scope and outlier handling not detailed.</t>
  </si>
  <si>
    <t>Real-time sensor data continuously correct the FE twin model equations.</t>
  </si>
  <si>
    <t>Step-1 note: Continuous dynamic analysis of cable structure via DT | Coded from Step-3 deep-read markdown (DfS-only scope), imported 2026-10-04</t>
  </si>
  <si>
    <t>Ozerov, A.V et al. (2025)</t>
  </si>
  <si>
    <t>Step-1 note: Railway diagnostics overview; DT keyword only</t>
  </si>
  <si>
    <t>Lei, Z et al. (2022)</t>
  </si>
  <si>
    <t>Step-1 note: FBG smart material SHM; DT in title only</t>
  </si>
  <si>
    <t>Chen, M et al. (2025)</t>
  </si>
  <si>
    <t>Step-1 note: AAV target tracking DT collision avoidance; UAV comms</t>
  </si>
  <si>
    <t>Fontanelli, G.A et al. (2024)</t>
  </si>
  <si>
    <t>Step-1 note: Fusion remote handling VR DT; nuclear fusion</t>
  </si>
  <si>
    <t>Liu, Z.-S et al. (2022)</t>
  </si>
  <si>
    <t>Digital twin-based intelligent safety risk prediction of prefabricated construction hoisting (BJUT, Sustainability 2022): multi-dimensional multi-scale DT model of the hoisting site; DT-SVM algorithm processes virtual-model and on-site data to predict hoisting risk in real time and deduce its spatiotemporal evolution; case study verifies prediction function; authors note future work towards automatic controls. Prediction/early-warning only. [Full-text source: browser-oa]</t>
  </si>
  <si>
    <t>DT-SVM predicts hoisting risk in real time and deduces its spatiotemporal evolution on a real prefabrication project.</t>
  </si>
  <si>
    <t>Prediction only (authors note future automatic controls); SVM interpretability limited.</t>
  </si>
  <si>
    <t>On-site hoisting data and virtual-model data are fused in the DT-SVM predictor.</t>
  </si>
  <si>
    <t>Step-1 note: DT-SVM prefab hoisting safety risk prediction | Coded from Step-3 deep-read markdown (DfS-only scope), imported 2026-10-04</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</si>
  <si>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04c-port]</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</si>
  <si>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</si>
  <si>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</si>
  <si>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BIM and the oblique-photogrammetry real-scene 3D model are fused by rigid-body SVD registration plus JSON semantic mapping, and 60 sensors (vibration, displacement, strain, temperature) are integrated into the fused model.</t>
  </si>
  <si>
    <t>Step-1 note: BIM + real-scene 3D DT model for building SHM | Coded from Step-3 deep-read markdown (DfS-only scope), imported 2026-10-04</t>
  </si>
  <si>
    <t>Song, Z et al. (2023)</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</si>
  <si>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04c-port]</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</si>
  <si>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</si>
  <si>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</si>
  <si>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Only vibration signals (plus auxiliary temperature on the test rig) drive the CycleGAN-augmented CNN-ResNet fault classifier; the gear-dynamics virtual entity generates training data, not a second measured type.</t>
  </si>
  <si>
    <t>Step-1 note: DT-assisted fault diagnosis of construction robot joints | Coded from Step-3 deep-read markdown (DfS-only scope), imported 2026-10-04</t>
  </si>
  <si>
    <t>Mutawa, A.M et al. (2023)</t>
  </si>
  <si>
    <t>Digital twin of a university data center (Kuwait University, Journal of Engineering Research 2023): temperature, humidity, smoke and water-leakage sensor streams analysed by an Extreme Learning Machine using the minimum ratio between successive real-time streams for abnormal event detection; outperforms LVQ and RBF classifiers; GSM alerts staff and, in urgent cases, actuators are activated via microcontrollers (server shutdown, fire extinguishing, standby AC). Virtual-to-physical actuation -&gt; Tier 3. [Full-text source: browser-oa]</t>
  </si>
  <si>
    <t>ELM-based abnormal event detection with actuator response (server shutdown, extinguishing, standby AC) in a working data center.</t>
  </si>
  <si>
    <t>Single data center; detection thresholds and false-alarm behaviour partially reported.</t>
  </si>
  <si>
    <t>Temperature/humidity/smoke/leakage streams are fused for ELM abnormal event detection.</t>
  </si>
  <si>
    <t>Step-1 note: Data center DT with smoke/leakage safety detection | Coded from Step-3 deep-read markdown (DfS-only scope), imported 2026-10-04</t>
  </si>
  <si>
    <t>Sayed, A.N et al. (2024)</t>
  </si>
  <si>
    <t>Step-1 note: UAV classification radar DT; UAV</t>
  </si>
  <si>
    <t>Ugliotti, F.M et al. (2025)</t>
  </si>
  <si>
    <t>Step-1 note: TERIMAAS multi-hazard BIM/GIS/IoT; DT keyword only</t>
  </si>
  <si>
    <t>Xiang, Y et al. (2025)</t>
  </si>
  <si>
    <t>Step-1 note: High dam underwater defect review; Chinese journal</t>
  </si>
  <si>
    <t>Omer, M et al. (2019)</t>
  </si>
  <si>
    <t>Step-1 note: Bridge inspection VR gaming; step toward DT only</t>
  </si>
  <si>
    <t>Rihm, S.D et al. (2024)</t>
  </si>
  <si>
    <t>Step-1 note: Digital lab manager; lab automation</t>
  </si>
  <si>
    <t>Park, D et al. (2023)</t>
  </si>
  <si>
    <t>K-Twin SJ digital twin dam and watershed management platform (K-water, Water 2023): GIS geospatial twin of the Sumjin dam/river system (4913 km2, 173 km, 91 infrastructures) synchronized with real-time rainfall, water levels, flow and CCTV; three hydraulic/hydrological simulation models; AI predicts river water level and suggests optimal dam discharge scenarios; plus levee geotechnical safety module, drone monitoring and AI CCTV surveillance. Supports decisions, does not auto-actuate. [Full-text source: browser-oa]</t>
  </si>
  <si>
    <t>Full-watershed real-time synchronized twin with AI discharge suggestions and levee/drone/CCTV safety modules for flood response.</t>
  </si>
  <si>
    <t>Platform-oriented paper; quantitative flood-reduction outcomes not yet reported.</t>
  </si>
  <si>
    <t>Rainfall, levels, flow and CCTV are fused with hydraulic/hydrological models and AI prediction.</t>
  </si>
  <si>
    <t>Step-1 note: K-Twin SJ dam and watershed management DT platform | Coded from Step-3 deep-read markdown (DfS-only scope), imported 2026-10-04</t>
  </si>
  <si>
    <t>Tran, C.A et al. (2025)</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</si>
  <si>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04c-port]</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</si>
  <si>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</si>
  <si>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</si>
  <si>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A review plus methodology proposal for physical digital twins of nuraghi masonry lists possible mechanical and multiphysical modelling roads, with no twin built or validated.</t>
  </si>
  <si>
    <t>Step-1 note: Physical DTs for ancient masonry structural safety | Coded from Step-3 deep-read markdown (DfS-only scope), imported 2026-10-04</t>
  </si>
  <si>
    <t>Chen, D et al. (2023)</t>
  </si>
  <si>
    <t>Step-1 note: City sensing base station; smart city infrastructure</t>
  </si>
  <si>
    <t>Xia, G et al. (2024)</t>
  </si>
  <si>
    <t>Step-1 note: Autonomous ship DT; marine</t>
  </si>
  <si>
    <t>Loggia, R et al. (2023)</t>
  </si>
  <si>
    <t>Step-1 note: Electrical substation safety BIM/SCADA/DT; energy</t>
  </si>
  <si>
    <t>Wang, Y et al. (2024)</t>
  </si>
  <si>
    <t>Digital twin approach for enhancing urban resilience as a virtual-real cycle (CEA/USTB/Tsinghua, Resilient Cities and Structures 2024): a comprehensive summary of the authors' research-group endeavors covering data acquisition into virtual space, disaster simulation, and translation of virtual insights into prevention strategies for earthquake/fire/wind; showcases prior techniques rather than building/evaluating a new DT. P=No, R=No -&gt; Stage-2 exclude. [Full-text source: browser-oa]</t>
  </si>
  <si>
    <t>Step-1 note: DT concepts for urban disaster resilience cycle | Stage-2 exclusion basis: P=No; R=No | Coded from Step-3 deep-read markdown (DfS-only scope), imported 2026-10-04</t>
  </si>
  <si>
    <t>Mehmood, A et al. (2023)</t>
  </si>
  <si>
    <t>Step-1 note: IoT cyber resilience energy management; energy/cyber</t>
  </si>
  <si>
    <t>Xu, H et al. (2022)</t>
  </si>
  <si>
    <t>Step-1 note: Radioactive waste repository DT; nuclear</t>
  </si>
  <si>
    <t>Wen, H et al. (2024)</t>
  </si>
  <si>
    <t>Step-1 note: Mine site rescue DT; mining</t>
  </si>
  <si>
    <t>Lan, H et al. (2024)</t>
  </si>
  <si>
    <t>Step-1 note: Urban waterlogging pedestrian risk; hydrology</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</si>
  <si>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04c-port]</t>
  </si>
  <si>
    <t>Extends the IFC schema with IfcDSMSystem, IfcMonitoringItem, and IfcSensorAssembly entities to integrate dam safety monitoring information into a dam digital twin, then automates continuous safety evaluation with multi-rule cloud reasoning, a multi-dimensional cloud model, and an improved CRITIC weighting method, demonstrated on the 131 m Jiangya gravity dam from January to September 2019.</t>
  </si>
  <si>
    <t>Evaluation baselines rely only on historical monitoring-data statistical models, without FEM simulation results, and the IFC schema still lacks dam-specific entities such as IfcDam and IfcDamFoundation; evaluation remains one-way with no actuation. Future work is integrating simulation results into the dam DT and combining both information sources.</t>
  </si>
  <si>
    <t>Deformation, seepage, stress and environmental monitoring information are aggregated by a multi-dimensional cloud model with improved CRITIC weighting into one five-grade dam safety status.</t>
  </si>
  <si>
    <t>Step-1 note: Dam digital twins for comprehensive safety evaluation | Coded from Step-3 deep-read markdown (DfS-only scope), imported 2026-10-04</t>
  </si>
  <si>
    <t>Sun, Z et al. (2023)</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</si>
  <si>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04c-port]</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</si>
  <si>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</si>
  <si>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</si>
  <si>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RFID, displacement, soil-pressure and environmental sensing are fused into an 850,141-cell FLAC3D model updated after each excavation step, with Markov-chain risk prediction and a bow-tie model selecting control measures.</t>
  </si>
  <si>
    <t>Step-1 note: DT-based risk prognosis and control of foundation pit excavation | Coded from Step-3 deep-read markdown (DfS-only scope), imported 2026-10-04</t>
  </si>
  <si>
    <t>Zhang, Y et al. (2023)</t>
  </si>
  <si>
    <t>Step-1 note: Deep excavation safety BN-DSM; DT keyword only</t>
  </si>
  <si>
    <t>Jeong, J et al. (2023)</t>
  </si>
  <si>
    <t>Step-1 note: EV eco-driving control; vehicles</t>
  </si>
  <si>
    <t>Vijayakumar, K et al. (2019)</t>
  </si>
  <si>
    <t>Step-1 note: Factory system simulation DT; manufacturing</t>
  </si>
  <si>
    <t>Jansky, A et al. (2022)</t>
  </si>
  <si>
    <t>Step-1 note: Nuclear CPDR data; nuclear</t>
  </si>
  <si>
    <t>Lin Y.-C., Prof. et al. (2020)</t>
  </si>
  <si>
    <t>Step-1 note: Parking garage WSN/BIM monitoring; DT application only</t>
  </si>
  <si>
    <t>Xu, H et al. (2023)</t>
  </si>
  <si>
    <t>Step-1 note: Chattanooga traffic DT; transportation</t>
  </si>
  <si>
    <t>Hu, S et al. (2023)</t>
  </si>
  <si>
    <t>Step-1 note: Underwater glider DT; marine</t>
  </si>
  <si>
    <t>Pan, Y et al. (2022)</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</si>
  <si>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04c-port]</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</si>
  <si>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</si>
  <si>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</si>
  <si>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Laser scanning and photogrammetry are fused, and Mask-RCNN detections are mapped into point clouds via COLMAP, ICP alignment and voxel raycasting to enrich the geometric twin with semantic and text information.</t>
  </si>
  <si>
    <t>Step-1 note: Enriching geometric DTs of buildings with safety elements | Methodology label normalised (source: "Perception / Computer Vision") | Coded from Step-3 deep-read markdown (DfS-only scope), imported 2026-10-04</t>
  </si>
  <si>
    <t>Jiang, W et al. (2024)</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</si>
  <si>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04c-port]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</si>
  <si>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</si>
  <si>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</si>
  <si>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Real-time multi-sensor states mirrored in the DT are jointly reasoned over by a standards-derived knowledge graph to identify unsafe hoisting operations and trigger early warnings.</t>
  </si>
  <si>
    <t>Step-1 note: DT + knowledge graph early warning of unsafe hoisting | Coded from Step-3 deep-read markdown (DfS-only scope), imported 2026-10-04</t>
  </si>
  <si>
    <t>Liu, XF et al. (2023)</t>
  </si>
  <si>
    <t>Step-1 note: Modular construction supply chain DT; logistics</t>
  </si>
  <si>
    <t>Farghaly, K et al. (2023)</t>
  </si>
  <si>
    <t>Step-1 note: Ontology in AEC review; DT context only</t>
  </si>
  <si>
    <t>Liu, Z et al. (2023)</t>
  </si>
  <si>
    <t>Step-1 note: Immersive technologies BIM metaverse review; not DT core</t>
  </si>
  <si>
    <t>El-Din, MN et al. (2022)</t>
  </si>
  <si>
    <t>Step-1 note: DT framework via BIM standards; not DfS focused</t>
  </si>
  <si>
    <t>Pauwels, P et al. (2026)</t>
  </si>
  <si>
    <t>Step-1 note: AI for built world special issue editorial</t>
  </si>
  <si>
    <t>Deng, HR et al. (2025)</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</si>
  <si>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04c-port]</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</si>
  <si>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</si>
  <si>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</si>
  <si>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 review-based RtBDM framework proposes BIM/DT integration with sensors and AI for real-time bridge disaster management, but no system is built or validated, so no integration mechanism is demonstrated.</t>
  </si>
  <si>
    <t>Step-1 note: Real-time bridge disaster management framework with DT | Coded from Step-3 deep-read markdown (DfS-only scope), imported 2026-10-04</t>
  </si>
  <si>
    <t>Bianco, F et al. (2027)</t>
  </si>
  <si>
    <t>Step-1 note: Rainwater treatment DT reliability; water systems</t>
  </si>
  <si>
    <t>Muñoz-La Rivera, F et al. (2025)</t>
  </si>
  <si>
    <t>Step-1 note: XR construction safety framework; DT keyword only</t>
  </si>
  <si>
    <t>Lin, SW et al. (2026)</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</si>
  <si>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1.3%/1.5%. One-way physical→virtual stage-by-stage update with prediction; no actuation and no learning loop (manual re-parameterisation). [Full-text source: 04c-port]</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</si>
  <si>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</si>
  <si>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</si>
  <si>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Previous-stage FEM results, construction-progress data and temperature data are jointly interpolated with multi-stage laser scans to build one continuous dynamic IFC model between scan stages.</t>
  </si>
  <si>
    <t>Step-1 note: Geometric DT for spatial cable structure construction | Coded from Step-3 deep-read markdown (DfS-only scope), imported 2026-10-04</t>
  </si>
  <si>
    <t>Kumar, NH et al. (2026)</t>
  </si>
  <si>
    <t>Step-1 note: PLS-SEM DT enabling factors; adoption study</t>
  </si>
  <si>
    <t>Jahangir, MF et al. (2024)</t>
  </si>
  <si>
    <t>Step-1 note: DT adoption drivers/barriers review; not DfS</t>
  </si>
  <si>
    <t>Ahmed, AH et al. (2026)</t>
  </si>
  <si>
    <t>Step-1 note: Multimodal ML AEC review; DT one aspect</t>
  </si>
  <si>
    <t>Banihashemi, S et al. (2024)</t>
  </si>
  <si>
    <t>Step-1 note: Circular economy construction review; DT one tool</t>
  </si>
  <si>
    <t>Naderi, H et al. (2024)</t>
  </si>
  <si>
    <t>Step-1 note: DT-NFT data ownership blockchain; not DfS</t>
  </si>
  <si>
    <t>Sepasgozar, SME et al. (2023)</t>
  </si>
  <si>
    <t>Step-1 note: BIM + DT convergence roadmap; technology roadmap</t>
  </si>
  <si>
    <t>Araújo, CS et al. (2025)</t>
  </si>
  <si>
    <t>Step-1 note: Conceptual DT model for construction sites; management</t>
  </si>
  <si>
    <t>Afaq, M et al. (2026)</t>
  </si>
  <si>
    <t>Step-1 note: Robotics AI steel prefab review; DT one tech</t>
  </si>
  <si>
    <t>Bucher, DF et al. (2024)</t>
  </si>
  <si>
    <t>Step-1 note: Construction informatics data management review</t>
  </si>
  <si>
    <t>Deng, B et al. (2025)</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</si>
  <si>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04c-port]</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</si>
  <si>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</si>
  <si>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</si>
  <si>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The five-layer DTCRAM risk model is built from a Delphi study and a case study in which sensor-fed simulation and feedback loops are described only conceptually, so no implemented integration mechanism can be identified.</t>
  </si>
  <si>
    <t>Step-1 note: DTCRAM digital twin construction risk assessment model | Coded from Step-3 deep-read markdown (DfS-only scope), imported 2026-10-04</t>
  </si>
  <si>
    <t>Sepasgozar, SME et al. (2021)</t>
  </si>
  <si>
    <t>Step-1 note: MRDT adoption metrics TAM; adoption study</t>
  </si>
  <si>
    <t>Baena-Miret, S et al. (2024)</t>
  </si>
  <si>
    <t>Step-1 note: Drinking water network DTs; water utility</t>
  </si>
  <si>
    <t>Oyediran, AO et al. (2025)</t>
  </si>
  <si>
    <t>Step-1 note: CPS application areas survey; DT keyword only</t>
  </si>
  <si>
    <t>Zhang, XN et al. (2024)</t>
  </si>
  <si>
    <t>AIoT-enabled digital twin system for smart tunnel fire safety management (PolyU/HKU, Developments in the Built Environment 2024): Transformer deep learning model trained on simulation data predicts real-time fire location and size from dynamic sensor data; integrated into a Unity 3D digital twin platform visualizing the 3D fire scene to support evacuation, firefighting and emergency rescue; demonstrated with numerical experiments and large-scale tunnel fire tests. Prediction + visualization, no actuation. [Full-text source: browser-oa]</t>
  </si>
  <si>
    <t>Transformer-based fire source prediction validated on large-scale tunnel fire tests and visualized in a Unity 3D twin.</t>
  </si>
  <si>
    <t>Numerical + large-scale tests but no continuous live tunnel deployment described.</t>
  </si>
  <si>
    <t>Dynamic sensor data and simulation-trained Transformer outputs are fused in the 3D fire twin.</t>
  </si>
  <si>
    <t>Step-1 note: AIoT digital twin for smart tunnel fire safety management | Coded from Step-3 deep-read markdown (DfS-only scope), imported 2026-10-04</t>
  </si>
  <si>
    <t>Wang, X et al. (2021)</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</si>
  <si>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04c-port]</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</si>
  <si>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</si>
  <si>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</si>
  <si>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Human VR task plans and the robot status are synchronised bidirectionally in the process-level DT, sharing one robot-state frame, while sensing, motion planning and execution run in their own stages.</t>
  </si>
  <si>
    <t>Step-1 note: Process-level DT for collaborative human-robot construction | Coded from Step-3 deep-read markdown (DfS-only scope), imported 2026-10-04</t>
  </si>
  <si>
    <t>Xu, L et al. (2025)</t>
  </si>
  <si>
    <t>Step-1 note: Industrialised construction automation review; DT one tech</t>
  </si>
  <si>
    <t>Gupta, A et al. (2026)</t>
  </si>
  <si>
    <t>Step-1 note: AI sustainability &amp; safety review; DT one technology</t>
  </si>
  <si>
    <t>Chou, JS et al. (2026)</t>
  </si>
  <si>
    <t>Step-1 note: AI earthquake engineering review; DT one paradigm</t>
  </si>
  <si>
    <t>Hou, YR et al. (2026)</t>
  </si>
  <si>
    <t>Step-1 note: DT construction management SLR; not DfS focused</t>
  </si>
  <si>
    <t>Li, MH et al. (2022)</t>
  </si>
  <si>
    <t>Brillouin fibre-optic sensors + mobile augmented reality digital twin for underground pipelines (Dalian UT, AutCon 2022): distributed BFOS networks measure unpredictable deformations (longitudinal bending, axial thermal strain); a joint data-physics driven model estimates structural stress states more accurately than common calculation models; MAR-based human-asset interface enables intuitive, efficient and automated O&amp;M; field experiments demonstrate quantitative safety assessment and prediction from the DT. One-way sensing-&gt;assessment/prediction; no actuation, no learning loop; in-line robotic systems left as future work. [Full-text source: Endnote]</t>
  </si>
  <si>
    <t>Fills the quantitative-assessment gap for invisible pipelines: BFOS distributed sensing plus a joint data-physics stress model and MAR interaction interface enable quantitative safety assessment and prediction from the DT, demonstrated in field experiments.</t>
  </si>
  <si>
    <t>Field experiments on a single pipeline; the joint data-physics model requires material/soil assumptions, and MAR interface benefits (efficiency gains) are qualitative; in-line robotic inspection and localised damage models are future work.</t>
  </si>
  <si>
    <t>BFOS bending/thermal-strain measurements and the physics model are fused into one joint data-physics stress-state estimator.</t>
  </si>
  <si>
    <t>Step-1 note: BFOS + MAR DT for underground pipeline safety assessment | Coded from Step-3 deep-read markdown (DfS-only scope), imported 2026-10-04</t>
  </si>
  <si>
    <t>Zhang, ZP et al. (2025)</t>
  </si>
  <si>
    <t>Literature review + bibliometric analysis (Structures 2025): systematically reviews digital-twin-enhanced health monitoring and condition assessment of cable-supported bridges and proposes a novel three-layer DT framework with seven challenge areas and future trends. No DT is built, evaluated or methodologically developed in this paper (framework proposal only). P=No, R=No -&gt; Stage-2 exclude. [Full-text source: Endnote]</t>
  </si>
  <si>
    <t>Step-1 note: DT-enhanced health monitoring of cable-supported bridges review | Stage-2 exclusion basis: P=No; R=No | Coded from Step-3 deep-read markdown (DfS-only scope), imported 2026-10-04</t>
  </si>
  <si>
    <t>Bao, XH et al. (2026)</t>
  </si>
  <si>
    <t>Step-1 note: Intelligent tunnel technologies review; DT one element</t>
  </si>
  <si>
    <t>Tian, FH et al. (2026)</t>
  </si>
  <si>
    <t>Construction DT identifies quality-defect triggers in prefabricated composite-slab installation; it is quality-only rather than DfS. Q=No under DfS-only scope. [Full-text source: 04c-port]</t>
  </si>
  <si>
    <t>Step-1 note: Quality defect triggers in construction digital twin | Stage-2 exclusion basis: Q=No | Coded from Step-3 deep-read markdown (DfS-only scope), imported 2026-10-04</t>
  </si>
  <si>
    <t>Bozeman, JF III et al. (2023)</t>
  </si>
  <si>
    <t>Step-1 note: Just sustainable urban systems perspective; urban policy</t>
  </si>
  <si>
    <t>Zhang, YH et al. (2027)</t>
  </si>
  <si>
    <t>Step-1 note: Power transformer Bayesian DT; energy</t>
  </si>
  <si>
    <t>Zhou, TF et al. (2026)</t>
  </si>
  <si>
    <t>Step-1 note: Decarbonization DTs industrial; energy/industry</t>
  </si>
  <si>
    <t>Nassereddine, H et al. (2025)</t>
  </si>
  <si>
    <t>Step-1 note: DataDOSE DOT asset management data framework</t>
  </si>
  <si>
    <t>Madubuike, OC et al. (2023)</t>
  </si>
  <si>
    <t>Step-1 note: Healthcare facilities management DT; maintenance focus</t>
  </si>
  <si>
    <t>Elmousalami, H et al. (2025)</t>
  </si>
  <si>
    <t>Step-1 note: AI sustainable construction review; DT one element</t>
  </si>
  <si>
    <t>Liu, Y et al. (2025)</t>
  </si>
  <si>
    <t>Step-1 note: Reservoir dam intelligent construction bibliometric</t>
  </si>
  <si>
    <t>Ali, Y et al. (2027)</t>
  </si>
  <si>
    <t>Step-1 note: PZTwin UAV zero-trust DT; UAV</t>
  </si>
  <si>
    <t>Liang, CJ et al. (2020)</t>
  </si>
  <si>
    <t>Step-1 note: Robot LfD construction tasks; DT component only</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</si>
  <si>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04c-port]</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</si>
  <si>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</si>
  <si>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</si>
  <si>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SfM/MVS photogrammetry reconstructs jobsite point clouds, ResNet50 semantic segmentation runs in 2D and a depth-aware projection fuses the two into 3D semantic segmentations (97.85 to 99.8% accuracy).</t>
  </si>
  <si>
    <t>Step-1 note: Vision-based DT for construction disaster preparedness | Methodology label normalised (source: "Perception / Computer Vision") | Coded from Step-3 deep-read markdown (DfS-only scope), imported 2026-10-04</t>
  </si>
  <si>
    <t>Di Marco, G (2026)</t>
  </si>
  <si>
    <t>Computational digital twin with material characterisation for robotic adaptive 3D concrete printing (XJTLU, Struct Control Health Monit 2026): Grasshopper parametric workflow implements a compressive-strength predictive model with Monte Carlo uncertainty propagation (1000 samples), optimising process parameters to maximise parallel strength and guarantee grade M20 at the 5th percentile (design-for-safety); variance in parallel structural strength reduced by 25% with 90% confidence of M20, reducing anisotropy; a pretrained LLM acting as high-level orchestrator for closed-loop control via few-shot in-context learning is proposed/PoC-described but the closed loop is not demonstrated on the physical cell (no test-bed experimental data). Virtual-testing validation; no live physical link; learning mechanism mentioned only. [Full-text source: Endnote]</t>
  </si>
  <si>
    <t>Fills the standardisation gap for 3DCP: a computational DT with material characterisation and Monte Carlo uncertainty propagation optimises process parameters to maximise parallel strength (variance -25%, 90% confidence of M20), prioritising the 5th-percentile design-for-safety criterion, with an LLM proposed as closed-loop orchestrator.</t>
  </si>
  <si>
    <t>No physical test-bed experiments: validation is virtual (Monte Carlo); the LLM closed-loop orchestration is proposed/PoC-described and not demonstrated on the robotic cell; few-shot prompt robustness and physical actuation safety are open questions.</t>
  </si>
  <si>
    <t>Material characterisation, process parameters and environmental factors with Monte Carlo uncertainty are fused in one strength-prediction model.</t>
  </si>
  <si>
    <t>Step-1 note: Computational DT for adaptive 3D concrete printing quality | Coded from Step-3 deep-read markdown (DfS-only scope), imported 2026-10-04</t>
  </si>
  <si>
    <t>Liu, KX et al. (2025)</t>
  </si>
  <si>
    <t>Step-1 note: Fire safety construction sites scoping review; DT not core</t>
  </si>
  <si>
    <t>Hu, YL et al. (2026)</t>
  </si>
  <si>
    <t>Step-1 note: Tunnel leakage AI review; DT keyword only</t>
  </si>
  <si>
    <t>Moe, SJS et al. (2026)</t>
  </si>
  <si>
    <t>Step-1 note: Federated HPO occupational risk; DT orchestration only</t>
  </si>
  <si>
    <t>Geng, ZH et al. (2025)</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</si>
  <si>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04c-port]</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</si>
  <si>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</si>
  <si>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</si>
  <si>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 Bayesian network fuses NBI inspection ratings, FDOT traffic monitoring and USGS river-gage data into one 6,478-node, 10,584-edge network that updates bridge failure risk through automated Bayesian inference.</t>
  </si>
  <si>
    <t>Step-1 note: System digital twin for bridge network life-cycle risk | Coded from Step-3 deep-read markdown (DfS-only scope), imported 2026-10-04</t>
  </si>
  <si>
    <t>Wang, J et al. (2026)</t>
  </si>
  <si>
    <t>Step-1 note: Rocket segment fault diagnosis DT; aerospace</t>
  </si>
  <si>
    <t>Bayat, M et al. (2026)</t>
  </si>
  <si>
    <t>Step-1 note: Off-system bridge maintenance digital shadow; not DT</t>
  </si>
  <si>
    <t>Zhang, F et al. (2025)</t>
  </si>
  <si>
    <t>Step-1 note: Power grid construction site safety video; energy</t>
  </si>
  <si>
    <t>Zhu, T et al. (2026)</t>
  </si>
  <si>
    <t>Step-1 note: AI for chemical innovation; chemistry</t>
  </si>
  <si>
    <t>Tung, PV et al. (2026)</t>
  </si>
  <si>
    <t>Step-1 note: Climate-resilient water systems review; water</t>
  </si>
  <si>
    <t>Kunchi, LS et al. (2026)</t>
  </si>
  <si>
    <t>Step-1 note: PeopleFlow evacuation framework; DT keyword only</t>
  </si>
  <si>
    <t>Shi, XM (2025)</t>
  </si>
  <si>
    <t>Step-1 note: Aging concrete infrastructure commentary; DT one element</t>
  </si>
  <si>
    <t>Kannari, L et al. (2025)</t>
  </si>
  <si>
    <t>Step-1 note: RL building control review; DT keyword only</t>
  </si>
  <si>
    <t>Hu, ZZ et al. (2026)</t>
  </si>
  <si>
    <t>Step-1 note: Ocean engineering digital disaster prevention; marine</t>
  </si>
  <si>
    <t>Zeng, SQ et al. (2025)</t>
  </si>
  <si>
    <t>Step-1 note: Pedestrian flows review; DT trend only</t>
  </si>
  <si>
    <t>Behún, M et al. (2026)</t>
  </si>
  <si>
    <t>Step-1 note: Calibration scheduling smart manufacturing; manufacturing</t>
  </si>
  <si>
    <t>Siahkouhi, M et al. (2026)</t>
  </si>
  <si>
    <t>Step-1 note: Fibre optic sensing railway review; no DT core</t>
  </si>
  <si>
    <t>Aryai, V et al. (2021)</t>
  </si>
  <si>
    <t>Step-1 note: Offshore MPOP reliability; marine</t>
  </si>
  <si>
    <t>Sambhavi, YV et al. (2026)</t>
  </si>
  <si>
    <t>Step-1 note: Hydrogen electric vehicles review; vehicles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</si>
  <si>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</si>
  <si>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</si>
  <si>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</si>
  <si>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</si>
  <si>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</si>
  <si>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</si>
  <si>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</si>
  <si>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</si>
  <si>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</si>
  <si>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</si>
  <si>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</si>
  <si>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</si>
  <si>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</si>
  <si>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</si>
  <si>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</si>
  <si>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</si>
  <si>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 / PtD focus</t>
  </si>
  <si>
    <t>Wrong publication type</t>
  </si>
  <si>
    <t>Non-English</t>
  </si>
  <si>
    <t>Total Stage-1 exclusions</t>
  </si>
  <si>
    <t>Stage-2 (full-text) exclusion reasons</t>
  </si>
  <si>
    <t>Digital Twin mentioned only, not the subject</t>
  </si>
  <si>
    <t>No Design for Safety focus in full text</t>
  </si>
  <si>
    <t>Methodology not codable</t>
  </si>
  <si>
    <t>Total Stage-2 exclusions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</si>
  <si>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</si>
  <si>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</si>
  <si>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</si>
  <si>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</si>
  <si>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</si>
  <si>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</si>
  <si>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</si>
  <si>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</si>
  <si>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</si>
  <si>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</si>
  <si>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</si>
  <si>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</si>
  <si>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</si>
  <si>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</si>
  <si>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</si>
  <si>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</si>
  <si>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</si>
  <si>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Shapes version. Rebuilt 2026-10-04 from Step-1 (956 records) and Step-3 DfS-only markdown. "Not retrieved" = Stage-1 includes whose full text is not yet coded. The hand-drawn PRISMA diagram shapes must be refreshed to these numbers.</t>
  </si>
  <si>
    <t>PanelModality</t>
  </si>
  <si>
    <t>PanelFusion</t>
  </si>
  <si>
    <t>FusionHeadline</t>
  </si>
  <si>
    <t>CUSTOM SHAPE FEED — matches the hand-styled wording of the diagram shapes (live formulas)</t>
  </si>
  <si>
    <t>Shape name</t>
  </si>
  <si>
    <t>Text pushed into shape (live formula)</t>
  </si>
  <si>
    <t>PR_Screened</t>
  </si>
  <si>
    <t>PR_Sought</t>
  </si>
  <si>
    <t>PR_Assessed</t>
  </si>
  <si>
    <t>PR_Included</t>
  </si>
  <si>
    <t>PR_Excluded1</t>
  </si>
  <si>
    <t>PR_NotRetrieved</t>
  </si>
  <si>
    <t>PR_Excluded2</t>
  </si>
  <si>
    <t>PR_PanelTier</t>
  </si>
  <si>
    <t>PR_PanelSelf</t>
  </si>
  <si>
    <t>PR_PanelValid</t>
  </si>
  <si>
    <t>PR_PanelPhase</t>
  </si>
  <si>
    <t>PR_PanelModality</t>
  </si>
  <si>
    <t>PR_PanelFusion</t>
  </si>
  <si>
    <t>PR_FusionHeadline</t>
  </si>
  <si>
    <t>PR_Title</t>
  </si>
  <si>
    <t>STEP 3 - deep-read synthesis tables (auto = findings section)</t>
  </si>
  <si>
    <t>Total included studies</t>
  </si>
  <si>
    <t>Digital Twin capability tier (Gap 1)</t>
  </si>
  <si>
    <t>Tier Level</t>
  </si>
  <si>
    <t>% of incl.</t>
  </si>
  <si>
    <t>Self-improvement / convergence (Gap 4 - core gap)</t>
  </si>
  <si>
    <t>Category</t>
  </si>
  <si>
    <t>Design-for-X target (scope = Design for Safety)</t>
  </si>
  <si>
    <t>Data modality (Gap 2)</t>
  </si>
  <si>
    <t>Validation level (Gap 5)</t>
  </si>
  <si>
    <t>Total (must equal included)</t>
  </si>
  <si>
    <t>Methodology (RQ2)</t>
  </si>
  <si>
    <t>Lifecycle phase coverage (Gap 3)</t>
  </si>
  <si>
    <t>Coverage</t>
  </si>
  <si>
    <t>Design (any)</t>
  </si>
  <si>
    <t>Construction (any)</t>
  </si>
  <si>
    <t>Operation (any)</t>
  </si>
  <si>
    <t>Single-phase</t>
  </si>
  <si>
    <t>Multi-phase (cross-phase)</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</si>
  <si>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</si>
  <si>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</si>
  <si>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</si>
  <si>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</si>
  <si>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</si>
  <si>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</si>
  <si>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</si>
  <si>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</si>
  <si>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</si>
  <si>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</si>
  <si>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</si>
  <si>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</si>
  <si>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</si>
  <si>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</si>
  <si>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</si>
  <si>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</si>
  <si>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Change type</t>
  </si>
  <si>
    <t>Field</t>
  </si>
  <si>
    <t>Previous (v260930)</t>
  </si>
  <si>
    <t>New (DfS-only Step 3)</t>
  </si>
  <si>
    <t>Coding changed</t>
  </si>
  <si>
    <t>DfX target</t>
  </si>
  <si>
    <t>Both</t>
  </si>
  <si>
    <t>Newly coded (full text now available)</t>
  </si>
  <si>
    <t>Stage-2 decision</t>
  </si>
  <si>
    <t>(not coded)</t>
  </si>
  <si>
    <t>INCLUDE</t>
  </si>
  <si>
    <t>Stage-2 decision changed</t>
  </si>
  <si>
    <t>EXCLUDE</t>
  </si>
  <si>
    <t>No longer 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</si>
</sst>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quot;Excl&quot;\ #"/>
    <numFmt numFmtId="178" formatCode="&quot;Yes&quot;\ #"/>
    <numFmt numFmtId="179" formatCode="&quot;No&quot;\ #"/>
    <numFmt numFmtId="180" formatCode="&quot;Excl.&quot;\ #"/>
    <numFmt numFmtId="181" formatCode="&quot;Incl.&quot;\ #"/>
  </numFmts>
  <fonts count="32" x14ac:knownFonts="1">
    <font>
      <sz val="11"/>
      <color theme="1"/>
      <name val="Calibri"/>
      <family val="2"/>
      <charset val="1"/>
    </font>
    <font>
      <b/>
      <sz val="14"/>
      <color rgb="FF1F4E5F"/>
      <name val="Arial"/>
      <family val="2"/>
    </font>
    <font>
      <i/>
      <sz val="10"/>
      <color rgb="FF595959"/>
      <name val="Arial"/>
      <family val="2"/>
    </font>
    <font>
      <b/>
      <sz val="12"/>
      <color rgb="FF1F4E5F"/>
      <name val="Arial"/>
      <family val="2"/>
    </font>
    <font>
      <b/>
      <sz val="10"/>
      <name val="Arial"/>
      <family val="2"/>
    </font>
    <font>
      <sz val="10"/>
      <name val="Arial"/>
      <family val="2"/>
    </font>
    <font>
      <b/>
      <sz val="9"/>
      <color rgb="FFFFFFFF"/>
      <name val="Arial"/>
      <family val="2"/>
    </font>
    <font>
      <sz val="9"/>
      <name val="Arial"/>
      <family val="2"/>
    </font>
    <font>
      <b/>
      <sz val="13"/>
      <color rgb="FF1F4E5F"/>
      <name val="Arial"/>
      <family val="2"/>
    </font>
    <font>
      <sz val="11"/>
      <name val="Arial"/>
      <family val="2"/>
    </font>
    <font>
      <b/>
      <sz val="11"/>
      <name val="Arial"/>
      <family val="2"/>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1"/>
      <color rgb="FF1F4E5F"/>
      <name val="Calibri"/>
      <family val="2"/>
      <charset val="1"/>
    </font>
    <font>
      <b/>
      <sz val="10"/>
      <color rgb="FFFFFFFF"/>
      <name val="Arial"/>
      <family val="2"/>
    </font>
    <font>
      <sz val="11"/>
      <color rgb="FFB04A4A"/>
      <name val="Calibri"/>
      <family val="2"/>
      <charset val="1"/>
    </font>
    <font>
      <sz val="11"/>
      <color rgb="FF1F4E5F"/>
      <name val="Calibri"/>
      <family val="2"/>
      <charset val="1"/>
    </font>
    <font>
      <b/>
      <sz val="12"/>
      <color rgb="FF1F4E5F"/>
      <name val="Arial"/>
      <family val="2"/>
    </font>
    <font>
      <b/>
      <sz val="10"/>
      <name val="Arial"/>
      <family val="2"/>
    </font>
    <font>
      <b/>
      <sz val="13"/>
      <color rgb="FF1F4E5F"/>
      <name val="Arial"/>
      <family val="2"/>
    </font>
    <font>
      <b/>
      <sz val="11"/>
      <name val="Arial"/>
      <family val="2"/>
    </font>
    <font>
      <b/>
      <i/>
      <sz val="11"/>
      <color theme="1"/>
      <name val="Calibri"/>
      <family val="2"/>
      <charset val="1"/>
    </font>
    <font>
      <sz val="12"/>
      <color rgb="FF1F4E5F"/>
      <name val="Arial"/>
      <family val="2"/>
    </font>
    <font>
      <sz val="9"/>
      <color rgb="FFFFFFFF"/>
      <name val="Arial"/>
      <family val="2"/>
    </font>
    <font>
      <sz val="10"/>
      <name val="Arial"/>
      <family val="2"/>
    </font>
    <font>
      <sz val="9"/>
      <name val="宋体"/>
      <family val="3"/>
      <charset val="134"/>
    </font>
    <font>
      <b/>
      <sz val="11"/>
      <color rgb="FFFFFFFF"/>
      <name val="Calibri"/>
      <family val="2"/>
    </font>
  </fonts>
  <fills count="17">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FF00"/>
        <bgColor rgb="FFEAF1F4"/>
      </patternFill>
    </fill>
    <fill>
      <patternFill patternType="solid">
        <fgColor rgb="FFFFFF00"/>
        <bgColor rgb="FFE7EEFC"/>
      </patternFill>
    </fill>
    <fill>
      <patternFill patternType="solid">
        <fgColor rgb="FF1F4E78"/>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left" vertical="top"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1" fillId="2" borderId="1" xfId="0" applyFont="1" applyFill="1" applyBorder="1" applyAlignment="1">
      <alignment horizontal="center" vertical="center" wrapText="1"/>
    </xf>
    <xf numFmtId="0" fontId="11" fillId="8" borderId="0" xfId="0" applyFont="1" applyFill="1" applyAlignment="1">
      <alignment horizontal="center" vertical="center" wrapText="1"/>
    </xf>
    <xf numFmtId="0" fontId="13" fillId="9" borderId="0" xfId="0" applyFont="1" applyFill="1" applyAlignment="1">
      <alignment horizontal="left" vertical="top" wrapText="1"/>
    </xf>
    <xf numFmtId="0" fontId="14" fillId="0" borderId="0" xfId="0" applyFont="1"/>
    <xf numFmtId="0" fontId="16" fillId="11" borderId="0" xfId="0" applyFont="1" applyFill="1"/>
    <xf numFmtId="0" fontId="15" fillId="0" borderId="0" xfId="0" applyFont="1" applyAlignment="1">
      <alignment vertical="center"/>
    </xf>
    <xf numFmtId="0" fontId="16" fillId="0" borderId="0" xfId="0" applyFont="1" applyAlignment="1">
      <alignment vertical="center"/>
    </xf>
    <xf numFmtId="0" fontId="17" fillId="11" borderId="0" xfId="0" applyFont="1" applyFill="1" applyAlignment="1">
      <alignment vertical="center"/>
    </xf>
    <xf numFmtId="0" fontId="16" fillId="11" borderId="0" xfId="0" applyFont="1" applyFill="1" applyAlignment="1">
      <alignment vertical="center"/>
    </xf>
    <xf numFmtId="0" fontId="18" fillId="0" borderId="0" xfId="0" applyFont="1"/>
    <xf numFmtId="0" fontId="14" fillId="0" borderId="4" xfId="0" applyFont="1" applyBorder="1"/>
    <xf numFmtId="0" fontId="18" fillId="0" borderId="4" xfId="0" applyFont="1" applyBorder="1"/>
    <xf numFmtId="0" fontId="14" fillId="0" borderId="2" xfId="0" applyFont="1" applyBorder="1"/>
    <xf numFmtId="0" fontId="19" fillId="8" borderId="5"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4" fillId="0" borderId="5" xfId="0" applyFont="1" applyBorder="1"/>
    <xf numFmtId="0" fontId="14" fillId="0" borderId="7" xfId="0" applyFont="1" applyBorder="1"/>
    <xf numFmtId="0" fontId="14" fillId="0" borderId="6" xfId="0" applyFont="1" applyBorder="1"/>
    <xf numFmtId="0" fontId="18" fillId="0" borderId="2" xfId="0" applyFont="1" applyBorder="1"/>
    <xf numFmtId="0" fontId="12" fillId="8" borderId="5" xfId="0" applyFont="1" applyFill="1" applyBorder="1" applyAlignment="1">
      <alignment horizontal="center" vertical="center" wrapText="1"/>
    </xf>
    <xf numFmtId="0" fontId="14" fillId="9" borderId="0" xfId="0" applyFont="1" applyFill="1" applyAlignment="1">
      <alignment wrapText="1"/>
    </xf>
    <xf numFmtId="0" fontId="14" fillId="10" borderId="0" xfId="0" applyFont="1" applyFill="1" applyAlignment="1">
      <alignment wrapText="1"/>
    </xf>
    <xf numFmtId="0" fontId="20" fillId="0" borderId="0" xfId="0" applyFont="1" applyAlignment="1">
      <alignment wrapText="1"/>
    </xf>
    <xf numFmtId="0" fontId="21" fillId="0" borderId="0" xfId="0" applyFont="1" applyAlignment="1">
      <alignment wrapText="1"/>
    </xf>
    <xf numFmtId="0" fontId="0" fillId="0" borderId="0" xfId="0" applyAlignment="1">
      <alignment wrapText="1"/>
    </xf>
    <xf numFmtId="176" fontId="14" fillId="0" borderId="6" xfId="0" applyNumberFormat="1" applyFont="1" applyBorder="1"/>
    <xf numFmtId="0" fontId="14" fillId="9" borderId="0" xfId="0" applyFont="1" applyFill="1" applyAlignment="1">
      <alignment horizontal="left" wrapText="1"/>
    </xf>
    <xf numFmtId="0" fontId="0" fillId="0" borderId="0" xfId="0" applyAlignment="1">
      <alignment horizontal="left"/>
    </xf>
    <xf numFmtId="0" fontId="22" fillId="0" borderId="0" xfId="0" applyFont="1"/>
    <xf numFmtId="0" fontId="24" fillId="0" borderId="0" xfId="0" applyFont="1"/>
    <xf numFmtId="0" fontId="23" fillId="0" borderId="0" xfId="0" applyFont="1"/>
    <xf numFmtId="0" fontId="25" fillId="7" borderId="0" xfId="0" applyFont="1" applyFill="1"/>
    <xf numFmtId="0" fontId="14" fillId="0" borderId="3" xfId="0" applyFont="1" applyBorder="1"/>
    <xf numFmtId="176" fontId="14" fillId="0" borderId="7" xfId="0" applyNumberFormat="1" applyFont="1" applyBorder="1"/>
    <xf numFmtId="0" fontId="26" fillId="0" borderId="0" xfId="0" applyFont="1"/>
    <xf numFmtId="0" fontId="27" fillId="0" borderId="0" xfId="0" applyFont="1"/>
    <xf numFmtId="0" fontId="28" fillId="2" borderId="1" xfId="0" applyFont="1" applyFill="1" applyBorder="1" applyAlignment="1">
      <alignment horizontal="center" vertical="center" wrapText="1"/>
    </xf>
    <xf numFmtId="0" fontId="29" fillId="0" borderId="1" xfId="0" applyFont="1" applyBorder="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176" fontId="0" fillId="0" borderId="0" xfId="0" applyNumberFormat="1" applyAlignment="1">
      <alignment horizontal="center" vertical="center" wrapText="1"/>
    </xf>
    <xf numFmtId="0" fontId="29"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76" fontId="0" fillId="12" borderId="1" xfId="0" applyNumberFormat="1" applyFill="1" applyBorder="1" applyAlignment="1">
      <alignment horizontal="center" vertical="center" wrapText="1"/>
    </xf>
    <xf numFmtId="177" fontId="7" fillId="4" borderId="1" xfId="0" applyNumberFormat="1" applyFont="1" applyFill="1" applyBorder="1" applyAlignment="1">
      <alignment horizontal="center" vertical="top" wrapText="1"/>
    </xf>
    <xf numFmtId="178" fontId="7" fillId="6" borderId="1" xfId="0" applyNumberFormat="1" applyFont="1" applyFill="1" applyBorder="1" applyAlignment="1">
      <alignment horizontal="center" vertical="top" wrapText="1"/>
    </xf>
    <xf numFmtId="179" fontId="7" fillId="6" borderId="1" xfId="0" applyNumberFormat="1" applyFont="1" applyFill="1" applyBorder="1" applyAlignment="1">
      <alignment horizontal="center" vertical="top" wrapText="1"/>
    </xf>
    <xf numFmtId="180" fontId="7" fillId="4" borderId="1" xfId="0" applyNumberFormat="1" applyFont="1" applyFill="1" applyBorder="1" applyAlignment="1">
      <alignment horizontal="center" vertical="top" wrapText="1"/>
    </xf>
    <xf numFmtId="0" fontId="0" fillId="13" borderId="0" xfId="0" applyFill="1"/>
    <xf numFmtId="0" fontId="7" fillId="14" borderId="1" xfId="0" applyFont="1" applyFill="1" applyBorder="1" applyAlignment="1">
      <alignment horizontal="center" vertical="top" wrapText="1"/>
    </xf>
    <xf numFmtId="181" fontId="7" fillId="15" borderId="1" xfId="0" applyNumberFormat="1" applyFont="1" applyFill="1" applyBorder="1" applyAlignment="1">
      <alignment horizontal="center" vertical="top" wrapText="1"/>
    </xf>
    <xf numFmtId="0" fontId="0" fillId="0" borderId="0" xfId="0" applyAlignment="1">
      <alignment vertical="top" wrapText="1"/>
    </xf>
    <xf numFmtId="0" fontId="31" fillId="16" borderId="0" xfId="0" applyFont="1" applyFill="1"/>
    <xf numFmtId="0" fontId="14" fillId="0" borderId="6" xfId="0" applyFont="1" applyBorder="1" applyAlignment="1">
      <alignment horizontal="center"/>
    </xf>
    <xf numFmtId="0" fontId="14" fillId="0" borderId="6" xfId="0" applyFont="1" applyBorder="1" applyAlignment="1">
      <alignment horizontal="center" vertical="center"/>
    </xf>
    <xf numFmtId="176" fontId="14" fillId="0" borderId="6"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prstDash val="solid"/>
        </a:ln>
      </c:spPr>
    </c:title>
    <c:autoTitleDeleted val="0"/>
    <c:plotArea>
      <c:layout>
        <c:manualLayout>
          <c:layoutTarget val="inner"/>
          <c:xMode val="edge"/>
          <c:yMode val="edge"/>
          <c:x val="0.22223937526711629"/>
          <c:y val="0.16527917349711441"/>
          <c:w val="0.7425413568378153"/>
          <c:h val="0.62941020019761518"/>
        </c:manualLayout>
      </c:layout>
      <c:barChart>
        <c:barDir val="bar"/>
        <c:grouping val="stacked"/>
        <c:varyColors val="0"/>
        <c:ser>
          <c:idx val="0"/>
          <c:order val="0"/>
          <c:tx>
            <c:strRef>
              <c:f>Step3_Report!$B$76</c:f>
              <c:strCache>
                <c:ptCount val="1"/>
                <c:pt idx="0">
                  <c:v>None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Step3_Report!$B$77:$B$78</c:f>
              <c:numCache>
                <c:formatCode>0.0%</c:formatCode>
                <c:ptCount val="2"/>
                <c:pt idx="0">
                  <c:v>0.89473684210526316</c:v>
                </c:pt>
                <c:pt idx="1">
                  <c:v>0.82758620689655171</c:v>
                </c:pt>
              </c:numCache>
            </c:numRef>
          </c:val>
          <c:extLst>
            <c:ext xmlns:c16="http://schemas.microsoft.com/office/drawing/2014/chart" uri="{C3380CC4-5D6E-409C-BE32-E72D297353CC}">
              <c16:uniqueId val="{00000000-0ACB-431B-983E-163FCA42A1C3}"/>
            </c:ext>
          </c:extLst>
        </c:ser>
        <c:ser>
          <c:idx val="1"/>
          <c:order val="1"/>
          <c:tx>
            <c:strRef>
              <c:f>Step3_Report!$C$76</c:f>
              <c:strCache>
                <c:ptCount val="1"/>
                <c:pt idx="0">
                  <c:v>Mentioned only</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Step3_Report!$C$77:$C$78</c:f>
              <c:numCache>
                <c:formatCode>0.0%</c:formatCode>
                <c:ptCount val="2"/>
                <c:pt idx="0">
                  <c:v>0</c:v>
                </c:pt>
                <c:pt idx="1">
                  <c:v>2.9556650246305417E-2</c:v>
                </c:pt>
              </c:numCache>
            </c:numRef>
          </c:val>
          <c:extLst>
            <c:ext xmlns:c16="http://schemas.microsoft.com/office/drawing/2014/chart" uri="{C3380CC4-5D6E-409C-BE32-E72D297353CC}">
              <c16:uniqueId val="{00000001-0ACB-431B-983E-163FCA42A1C3}"/>
            </c:ext>
          </c:extLst>
        </c:ser>
        <c:ser>
          <c:idx val="2"/>
          <c:order val="2"/>
          <c:tx>
            <c:strRef>
              <c:f>Step3_Report!$D$76</c:f>
              <c:strCache>
                <c:ptCount val="1"/>
                <c:pt idx="0">
                  <c:v>Implemented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Step3_Report!$D$77:$D$78</c:f>
              <c:numCache>
                <c:formatCode>0.0%</c:formatCode>
                <c:ptCount val="2"/>
                <c:pt idx="0">
                  <c:v>0.10526315789473684</c:v>
                </c:pt>
                <c:pt idx="1">
                  <c:v>0.14285714285714285</c:v>
                </c:pt>
              </c:numCache>
            </c:numRef>
          </c:val>
          <c:extLst>
            <c:ext xmlns:c16="http://schemas.microsoft.com/office/drawing/2014/chart" uri="{C3380CC4-5D6E-409C-BE32-E72D297353CC}">
              <c16:uniqueId val="{00000002-0ACB-431B-983E-163FCA42A1C3}"/>
            </c:ext>
          </c:extLst>
        </c:ser>
        <c:ser>
          <c:idx val="3"/>
          <c:order val="3"/>
          <c:tx>
            <c:strRef>
              <c:f>Step3_Report!$E$76</c:f>
              <c:strCache>
                <c:ptCount val="1"/>
                <c:pt idx="0">
                  <c:v>Convergence-characterised</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Step3_Report!$A$77:$A$78</c:f>
              <c:strCache>
                <c:ptCount val="2"/>
                <c:pt idx="0">
                  <c:v>Single (one data type)</c:v>
                </c:pt>
                <c:pt idx="1">
                  <c:v>Multi (two or more data types)</c:v>
                </c:pt>
              </c:strCache>
            </c:strRef>
          </c:cat>
          <c:val>
            <c:numRef>
              <c:f>Step3_Report!$E$77:$E$78</c:f>
              <c:numCache>
                <c:formatCode>0.0%</c:formatCode>
                <c:ptCount val="2"/>
                <c:pt idx="0">
                  <c:v>0</c:v>
                </c:pt>
                <c:pt idx="1">
                  <c:v>0</c:v>
                </c:pt>
              </c:numCache>
            </c:numRef>
          </c:val>
          <c:extLst>
            <c:ext xmlns:c16="http://schemas.microsoft.com/office/drawing/2014/chart" uri="{C3380CC4-5D6E-409C-BE32-E72D297353CC}">
              <c16:uniqueId val="{00000003-0ACB-431B-983E-163FCA42A1C3}"/>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prstDash val="solid"/>
        </a:ln>
      </c:spPr>
    </c:title>
    <c:autoTitleDeleted val="0"/>
    <c:plotArea>
      <c:layout/>
      <c:barChart>
        <c:barDir val="col"/>
        <c:grouping val="clustered"/>
        <c:varyColors val="0"/>
        <c:ser>
          <c:idx val="0"/>
          <c:order val="0"/>
          <c:tx>
            <c:strRef>
              <c:f>Step3_Report!$B$70</c:f>
              <c:strCache>
                <c:ptCount val="1"/>
                <c:pt idx="0">
                  <c:v>None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Step3_Report!$B$71:$B$72</c:f>
              <c:numCache>
                <c:formatCode>General</c:formatCode>
                <c:ptCount val="2"/>
                <c:pt idx="0">
                  <c:v>17</c:v>
                </c:pt>
                <c:pt idx="1">
                  <c:v>168</c:v>
                </c:pt>
              </c:numCache>
            </c:numRef>
          </c:val>
          <c:extLst>
            <c:ext xmlns:c16="http://schemas.microsoft.com/office/drawing/2014/chart" uri="{C3380CC4-5D6E-409C-BE32-E72D297353CC}">
              <c16:uniqueId val="{00000000-3327-458A-A116-234D90E4F023}"/>
            </c:ext>
          </c:extLst>
        </c:ser>
        <c:ser>
          <c:idx val="1"/>
          <c:order val="1"/>
          <c:tx>
            <c:strRef>
              <c:f>Step3_Report!$C$70</c:f>
              <c:strCache>
                <c:ptCount val="1"/>
                <c:pt idx="0">
                  <c:v>Mentioned only</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Step3_Report!$C$71:$C$72</c:f>
              <c:numCache>
                <c:formatCode>General</c:formatCode>
                <c:ptCount val="2"/>
                <c:pt idx="0">
                  <c:v>0</c:v>
                </c:pt>
                <c:pt idx="1">
                  <c:v>6</c:v>
                </c:pt>
              </c:numCache>
            </c:numRef>
          </c:val>
          <c:extLst>
            <c:ext xmlns:c16="http://schemas.microsoft.com/office/drawing/2014/chart" uri="{C3380CC4-5D6E-409C-BE32-E72D297353CC}">
              <c16:uniqueId val="{00000001-3327-458A-A116-234D90E4F023}"/>
            </c:ext>
          </c:extLst>
        </c:ser>
        <c:ser>
          <c:idx val="2"/>
          <c:order val="2"/>
          <c:tx>
            <c:strRef>
              <c:f>Step3_Report!$D$70</c:f>
              <c:strCache>
                <c:ptCount val="1"/>
                <c:pt idx="0">
                  <c:v>Implemented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Step3_Report!$D$71:$D$72</c:f>
              <c:numCache>
                <c:formatCode>General</c:formatCode>
                <c:ptCount val="2"/>
                <c:pt idx="0">
                  <c:v>2</c:v>
                </c:pt>
                <c:pt idx="1">
                  <c:v>29</c:v>
                </c:pt>
              </c:numCache>
            </c:numRef>
          </c:val>
          <c:extLst>
            <c:ext xmlns:c16="http://schemas.microsoft.com/office/drawing/2014/chart" uri="{C3380CC4-5D6E-409C-BE32-E72D297353CC}">
              <c16:uniqueId val="{00000002-3327-458A-A116-234D90E4F023}"/>
            </c:ext>
          </c:extLst>
        </c:ser>
        <c:ser>
          <c:idx val="3"/>
          <c:order val="3"/>
          <c:tx>
            <c:strRef>
              <c:f>Step3_Report!$E$70</c:f>
              <c:strCache>
                <c:ptCount val="1"/>
                <c:pt idx="0">
                  <c:v>Convergence-characterised</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Step3_Report!$A$71:$A$72</c:f>
              <c:strCache>
                <c:ptCount val="2"/>
                <c:pt idx="0">
                  <c:v>Single (one data type)</c:v>
                </c:pt>
                <c:pt idx="1">
                  <c:v>Multi (two or more data types)</c:v>
                </c:pt>
              </c:strCache>
            </c:strRef>
          </c:cat>
          <c:val>
            <c:numRef>
              <c:f>Step3_Report!$E$71:$E$72</c:f>
              <c:numCache>
                <c:formatCode>General</c:formatCode>
                <c:ptCount val="2"/>
                <c:pt idx="0">
                  <c:v>0</c:v>
                </c:pt>
                <c:pt idx="1">
                  <c:v>0</c:v>
                </c:pt>
              </c:numCache>
            </c:numRef>
          </c:val>
          <c:extLst>
            <c:ext xmlns:c16="http://schemas.microsoft.com/office/drawing/2014/chart" uri="{C3380CC4-5D6E-409C-BE32-E72D297353CC}">
              <c16:uniqueId val="{00000003-3327-458A-A116-234D90E4F023}"/>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prstDash val="solid"/>
        </a:ln>
      </c:spPr>
    </c:title>
    <c:autoTitleDeleted val="0"/>
    <c:plotArea>
      <c:layout/>
      <c:barChart>
        <c:barDir val="col"/>
        <c:grouping val="clustered"/>
        <c:varyColors val="0"/>
        <c:ser>
          <c:idx val="0"/>
          <c:order val="0"/>
          <c:tx>
            <c:strRef>
              <c:f>Step3_Report!$B$89</c:f>
              <c:strCache>
                <c:ptCount val="1"/>
                <c:pt idx="0">
                  <c:v>n</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Step3_Report!$A$90:$A$94</c:f>
              <c:strCache>
                <c:ptCount val="5"/>
                <c:pt idx="0">
                  <c:v>Single</c:v>
                </c:pt>
                <c:pt idx="1">
                  <c:v>Co-present</c:v>
                </c:pt>
                <c:pt idx="2">
                  <c:v>Aligned</c:v>
                </c:pt>
                <c:pt idx="3">
                  <c:v>Fused</c:v>
                </c:pt>
                <c:pt idx="4">
                  <c:v>Unclear</c:v>
                </c:pt>
              </c:strCache>
            </c:strRef>
          </c:cat>
          <c:val>
            <c:numRef>
              <c:f>Step3_Report!$B$90:$B$94</c:f>
              <c:numCache>
                <c:formatCode>General</c:formatCode>
                <c:ptCount val="5"/>
                <c:pt idx="0">
                  <c:v>20</c:v>
                </c:pt>
                <c:pt idx="1">
                  <c:v>2</c:v>
                </c:pt>
                <c:pt idx="2">
                  <c:v>34</c:v>
                </c:pt>
                <c:pt idx="3">
                  <c:v>152</c:v>
                </c:pt>
                <c:pt idx="4">
                  <c:v>14</c:v>
                </c:pt>
              </c:numCache>
            </c:numRef>
          </c:val>
          <c:extLst>
            <c:ext xmlns:c16="http://schemas.microsoft.com/office/drawing/2014/chart" uri="{C3380CC4-5D6E-409C-BE32-E72D297353CC}">
              <c16:uniqueId val="{00000000-8BCD-4CAE-B645-5019086D6BA8}"/>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prstDash val="solid"/>
        </a:ln>
      </c:spPr>
    </c:title>
    <c:autoTitleDeleted val="0"/>
    <c:plotArea>
      <c:layout/>
      <c:barChart>
        <c:barDir val="col"/>
        <c:grouping val="clustered"/>
        <c:varyColors val="0"/>
        <c:ser>
          <c:idx val="0"/>
          <c:order val="0"/>
          <c:tx>
            <c:strRef>
              <c:f>Step3_Report!$B$98</c:f>
              <c:strCache>
                <c:ptCount val="1"/>
                <c:pt idx="0">
                  <c:v>None</c:v>
                </c:pt>
              </c:strCache>
            </c:strRef>
          </c:tx>
          <c:spPr>
            <a:solidFill>
              <a:schemeClr val="accent1"/>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Step3_Report!$B$99:$B$103</c:f>
              <c:numCache>
                <c:formatCode>General</c:formatCode>
                <c:ptCount val="5"/>
                <c:pt idx="0">
                  <c:v>18</c:v>
                </c:pt>
                <c:pt idx="1">
                  <c:v>2</c:v>
                </c:pt>
                <c:pt idx="2">
                  <c:v>32</c:v>
                </c:pt>
                <c:pt idx="3">
                  <c:v>121</c:v>
                </c:pt>
                <c:pt idx="4">
                  <c:v>12</c:v>
                </c:pt>
              </c:numCache>
            </c:numRef>
          </c:val>
          <c:extLst>
            <c:ext xmlns:c16="http://schemas.microsoft.com/office/drawing/2014/chart" uri="{C3380CC4-5D6E-409C-BE32-E72D297353CC}">
              <c16:uniqueId val="{00000000-1FE4-4863-831C-62B4B378EFA2}"/>
            </c:ext>
          </c:extLst>
        </c:ser>
        <c:ser>
          <c:idx val="1"/>
          <c:order val="1"/>
          <c:tx>
            <c:strRef>
              <c:f>Step3_Report!$C$98</c:f>
              <c:strCache>
                <c:ptCount val="1"/>
                <c:pt idx="0">
                  <c:v>Mentioned only</c:v>
                </c:pt>
              </c:strCache>
            </c:strRef>
          </c:tx>
          <c:spPr>
            <a:solidFill>
              <a:schemeClr val="accent2"/>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Step3_Report!$C$99:$C$103</c:f>
              <c:numCache>
                <c:formatCode>General</c:formatCode>
                <c:ptCount val="5"/>
                <c:pt idx="0">
                  <c:v>0</c:v>
                </c:pt>
                <c:pt idx="1">
                  <c:v>0</c:v>
                </c:pt>
                <c:pt idx="2">
                  <c:v>1</c:v>
                </c:pt>
                <c:pt idx="3">
                  <c:v>3</c:v>
                </c:pt>
                <c:pt idx="4">
                  <c:v>2</c:v>
                </c:pt>
              </c:numCache>
            </c:numRef>
          </c:val>
          <c:extLst>
            <c:ext xmlns:c16="http://schemas.microsoft.com/office/drawing/2014/chart" uri="{C3380CC4-5D6E-409C-BE32-E72D297353CC}">
              <c16:uniqueId val="{00000001-1FE4-4863-831C-62B4B378EFA2}"/>
            </c:ext>
          </c:extLst>
        </c:ser>
        <c:ser>
          <c:idx val="2"/>
          <c:order val="2"/>
          <c:tx>
            <c:strRef>
              <c:f>Step3_Report!$D$98</c:f>
              <c:strCache>
                <c:ptCount val="1"/>
                <c:pt idx="0">
                  <c:v>Implemented</c:v>
                </c:pt>
              </c:strCache>
            </c:strRef>
          </c:tx>
          <c:spPr>
            <a:solidFill>
              <a:schemeClr val="accent3"/>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Step3_Report!$D$99:$D$103</c:f>
              <c:numCache>
                <c:formatCode>General</c:formatCode>
                <c:ptCount val="5"/>
                <c:pt idx="0">
                  <c:v>2</c:v>
                </c:pt>
                <c:pt idx="1">
                  <c:v>0</c:v>
                </c:pt>
                <c:pt idx="2">
                  <c:v>1</c:v>
                </c:pt>
                <c:pt idx="3">
                  <c:v>28</c:v>
                </c:pt>
                <c:pt idx="4">
                  <c:v>0</c:v>
                </c:pt>
              </c:numCache>
            </c:numRef>
          </c:val>
          <c:extLst>
            <c:ext xmlns:c16="http://schemas.microsoft.com/office/drawing/2014/chart" uri="{C3380CC4-5D6E-409C-BE32-E72D297353CC}">
              <c16:uniqueId val="{00000002-1FE4-4863-831C-62B4B378EFA2}"/>
            </c:ext>
          </c:extLst>
        </c:ser>
        <c:ser>
          <c:idx val="3"/>
          <c:order val="3"/>
          <c:tx>
            <c:strRef>
              <c:f>Step3_Report!$E$98</c:f>
              <c:strCache>
                <c:ptCount val="1"/>
                <c:pt idx="0">
                  <c:v>Convergence-characterised</c:v>
                </c:pt>
              </c:strCache>
            </c:strRef>
          </c:tx>
          <c:spPr>
            <a:solidFill>
              <a:schemeClr val="accent4"/>
            </a:solidFill>
            <a:ln>
              <a:noFill/>
              <a:prstDash val="solid"/>
            </a:ln>
          </c:spPr>
          <c:invertIfNegative val="0"/>
          <c:cat>
            <c:strRef>
              <c:f>Step3_Report!$A$99:$A$103</c:f>
              <c:strCache>
                <c:ptCount val="5"/>
                <c:pt idx="0">
                  <c:v>Single</c:v>
                </c:pt>
                <c:pt idx="1">
                  <c:v>Co-present</c:v>
                </c:pt>
                <c:pt idx="2">
                  <c:v>Aligned</c:v>
                </c:pt>
                <c:pt idx="3">
                  <c:v>Fused</c:v>
                </c:pt>
                <c:pt idx="4">
                  <c:v>Unclear</c:v>
                </c:pt>
              </c:strCache>
            </c:strRef>
          </c:cat>
          <c:val>
            <c:numRef>
              <c:f>Step3_Report!$E$99:$E$103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1FE4-4863-831C-62B4B378EFA2}"/>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344020</xdr:colOff>
      <xdr:row>3</xdr:row>
      <xdr:rowOff>112059</xdr:rowOff>
    </xdr:from>
    <xdr:to>
      <xdr:col>15</xdr:col>
      <xdr:colOff>696290</xdr:colOff>
      <xdr:row>18</xdr:row>
      <xdr:rowOff>166669</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344021</xdr:colOff>
      <xdr:row>20</xdr:row>
      <xdr:rowOff>56590</xdr:rowOff>
    </xdr:from>
    <xdr:to>
      <xdr:col>14</xdr:col>
      <xdr:colOff>603735</xdr:colOff>
      <xdr:row>35</xdr:row>
      <xdr:rowOff>101675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1315271</xdr:colOff>
      <xdr:row>3</xdr:row>
      <xdr:rowOff>169208</xdr:rowOff>
    </xdr:from>
    <xdr:to>
      <xdr:col>25</xdr:col>
      <xdr:colOff>274543</xdr:colOff>
      <xdr:row>20</xdr:row>
      <xdr:rowOff>113739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1315271</xdr:colOff>
      <xdr:row>22</xdr:row>
      <xdr:rowOff>1978</xdr:rowOff>
    </xdr:from>
    <xdr:to>
      <xdr:col>25</xdr:col>
      <xdr:colOff>274543</xdr:colOff>
      <xdr:row>38</xdr:row>
      <xdr:rowOff>124123</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8"/>
  <sheetViews>
    <sheetView showGridLines="0" tabSelected="1"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customHeight="1" x14ac:dyDescent="0.3">
      <c r="B2" s="1" t="s">
        <v>1913</v>
      </c>
    </row>
    <row r="3" spans="2:3" x14ac:dyDescent="0.3">
      <c r="B3" s="2" t="s">
        <v>1914</v>
      </c>
    </row>
    <row r="5" spans="2:3" ht="15.6" customHeight="1" x14ac:dyDescent="0.3">
      <c r="B5" s="3" t="s">
        <v>1915</v>
      </c>
    </row>
    <row r="6" spans="2:3" ht="26.4" customHeight="1" x14ac:dyDescent="0.3">
      <c r="B6" s="4" t="s">
        <v>1916</v>
      </c>
      <c r="C6" s="5" t="s">
        <v>1917</v>
      </c>
    </row>
    <row r="7" spans="2:3" ht="39.6" customHeight="1" x14ac:dyDescent="0.3">
      <c r="B7" s="4" t="s">
        <v>1918</v>
      </c>
      <c r="C7" s="5" t="s">
        <v>1919</v>
      </c>
    </row>
    <row r="8" spans="2:3" ht="39.6" customHeight="1" x14ac:dyDescent="0.3">
      <c r="B8" s="4" t="s">
        <v>1920</v>
      </c>
      <c r="C8" s="5" t="s">
        <v>1921</v>
      </c>
    </row>
    <row r="9" spans="2:3" ht="26.4" customHeight="1" x14ac:dyDescent="0.3">
      <c r="B9" s="4" t="s">
        <v>1922</v>
      </c>
      <c r="C9" s="5" t="s">
        <v>1923</v>
      </c>
    </row>
    <row r="10" spans="2:3" x14ac:dyDescent="0.3">
      <c r="B10" s="4" t="s">
        <v>1924</v>
      </c>
      <c r="C10" s="5" t="s">
        <v>1925</v>
      </c>
    </row>
    <row r="11" spans="2:3" ht="26.4" customHeight="1" x14ac:dyDescent="0.3">
      <c r="B11" s="4" t="s">
        <v>1926</v>
      </c>
      <c r="C11" s="5" t="s">
        <v>1927</v>
      </c>
    </row>
    <row r="12" spans="2:3" ht="26.4" customHeight="1" x14ac:dyDescent="0.3">
      <c r="B12" s="4" t="s">
        <v>1928</v>
      </c>
      <c r="C12" s="5" t="s">
        <v>1929</v>
      </c>
    </row>
    <row r="13" spans="2:3" ht="26.4" customHeight="1" x14ac:dyDescent="0.3">
      <c r="B13" s="4" t="s">
        <v>1930</v>
      </c>
      <c r="C13" s="5" t="s">
        <v>1931</v>
      </c>
    </row>
    <row r="14" spans="2:3" ht="26.4" customHeight="1" x14ac:dyDescent="0.3">
      <c r="B14" s="4" t="s">
        <v>1932</v>
      </c>
      <c r="C14" s="5" t="s">
        <v>1933</v>
      </c>
    </row>
    <row r="15" spans="2:3" ht="26.4" customHeight="1" x14ac:dyDescent="0.3">
      <c r="B15" s="4" t="s">
        <v>1934</v>
      </c>
      <c r="C15" s="5" t="s">
        <v>1935</v>
      </c>
    </row>
    <row r="17" spans="1:3" ht="15.6" customHeight="1" x14ac:dyDescent="0.3">
      <c r="B17" s="3" t="s">
        <v>1936</v>
      </c>
    </row>
    <row r="18" spans="1:3" ht="26.4" customHeight="1" x14ac:dyDescent="0.3">
      <c r="B18" s="4" t="s">
        <v>1937</v>
      </c>
      <c r="C18" s="5" t="s">
        <v>1938</v>
      </c>
    </row>
    <row r="19" spans="1:3" x14ac:dyDescent="0.3">
      <c r="B19" s="4" t="s">
        <v>1939</v>
      </c>
      <c r="C19" s="5" t="s">
        <v>1940</v>
      </c>
    </row>
    <row r="20" spans="1:3" ht="39.6" customHeight="1" x14ac:dyDescent="0.3">
      <c r="B20" s="4" t="s">
        <v>1941</v>
      </c>
      <c r="C20" s="5" t="s">
        <v>1942</v>
      </c>
    </row>
    <row r="21" spans="1:3" ht="26.4" customHeight="1" x14ac:dyDescent="0.3">
      <c r="B21" s="4" t="s">
        <v>1943</v>
      </c>
      <c r="C21" s="5" t="s">
        <v>1944</v>
      </c>
    </row>
    <row r="22" spans="1:3" ht="26.4" customHeight="1" x14ac:dyDescent="0.3">
      <c r="B22" s="4" t="s">
        <v>1945</v>
      </c>
      <c r="C22" s="5" t="s">
        <v>1946</v>
      </c>
    </row>
    <row r="24" spans="1:3" ht="15.6" customHeight="1" x14ac:dyDescent="0.3">
      <c r="B24" s="3" t="s">
        <v>1947</v>
      </c>
    </row>
    <row r="25" spans="1:3" ht="26.4" customHeight="1" x14ac:dyDescent="0.3">
      <c r="B25" s="4" t="s">
        <v>1948</v>
      </c>
      <c r="C25" s="5" t="s">
        <v>1949</v>
      </c>
    </row>
    <row r="26" spans="1:3" ht="26.4" customHeight="1" x14ac:dyDescent="0.3">
      <c r="B26" s="4" t="s">
        <v>1950</v>
      </c>
      <c r="C26" s="5" t="s">
        <v>1951</v>
      </c>
    </row>
    <row r="27" spans="1:3" x14ac:dyDescent="0.3">
      <c r="A27" t="s">
        <v>1952</v>
      </c>
      <c r="B27" t="s">
        <v>1953</v>
      </c>
    </row>
    <row r="28" spans="1:3" x14ac:dyDescent="0.3">
      <c r="A28" t="s">
        <v>1954</v>
      </c>
      <c r="B28" t="s">
        <v>1955</v>
      </c>
    </row>
  </sheetData>
  <phoneticPr fontId="30"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130" zoomScaleNormal="130" workbookViewId="0">
      <selection activeCell="C30" sqref="C30"/>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1956</v>
      </c>
      <c r="B1" s="6" t="s">
        <v>1957</v>
      </c>
      <c r="C1" s="6" t="s">
        <v>1958</v>
      </c>
      <c r="D1" s="6" t="s">
        <v>1959</v>
      </c>
      <c r="E1" s="6" t="s">
        <v>1960</v>
      </c>
      <c r="F1" s="6" t="s">
        <v>1961</v>
      </c>
      <c r="G1" s="6" t="s">
        <v>1962</v>
      </c>
      <c r="H1" s="6" t="s">
        <v>1963</v>
      </c>
      <c r="I1" s="6" t="s">
        <v>1964</v>
      </c>
      <c r="J1" s="6" t="s">
        <v>1965</v>
      </c>
      <c r="K1" s="30" t="s">
        <v>1966</v>
      </c>
      <c r="L1" s="30" t="s">
        <v>1967</v>
      </c>
    </row>
    <row r="2" spans="1:12" x14ac:dyDescent="0.3">
      <c r="A2" s="7" t="s">
        <v>1968</v>
      </c>
      <c r="B2" s="7" t="s">
        <v>1969</v>
      </c>
      <c r="C2" s="7" t="s">
        <v>1970</v>
      </c>
      <c r="D2" s="7" t="s">
        <v>1971</v>
      </c>
      <c r="E2" s="7" t="s">
        <v>1922</v>
      </c>
      <c r="F2" s="7" t="s">
        <v>1972</v>
      </c>
      <c r="G2" s="7" t="s">
        <v>1973</v>
      </c>
      <c r="H2" s="7" t="s">
        <v>1974</v>
      </c>
      <c r="I2" s="7" t="s">
        <v>1975</v>
      </c>
      <c r="J2" s="7" t="s">
        <v>1976</v>
      </c>
      <c r="K2" t="s">
        <v>1977</v>
      </c>
      <c r="L2" t="s">
        <v>1978</v>
      </c>
    </row>
    <row r="3" spans="1:12" x14ac:dyDescent="0.3">
      <c r="A3" s="7" t="s">
        <v>1979</v>
      </c>
      <c r="B3" s="7" t="s">
        <v>1980</v>
      </c>
      <c r="C3" s="7" t="s">
        <v>1981</v>
      </c>
      <c r="D3" s="7" t="s">
        <v>1982</v>
      </c>
      <c r="E3" s="7" t="s">
        <v>1983</v>
      </c>
      <c r="F3" s="7" t="s">
        <v>1984</v>
      </c>
      <c r="G3" s="7" t="s">
        <v>1985</v>
      </c>
      <c r="H3" s="7" t="s">
        <v>1986</v>
      </c>
      <c r="I3" s="7" t="s">
        <v>1987</v>
      </c>
      <c r="J3" s="7" t="s">
        <v>1988</v>
      </c>
      <c r="K3" t="s">
        <v>1989</v>
      </c>
      <c r="L3" t="s">
        <v>1990</v>
      </c>
    </row>
    <row r="4" spans="1:12" x14ac:dyDescent="0.3">
      <c r="B4" s="7" t="s">
        <v>1991</v>
      </c>
      <c r="D4" s="7" t="s">
        <v>1992</v>
      </c>
      <c r="E4" s="7"/>
      <c r="F4" s="7" t="s">
        <v>1993</v>
      </c>
      <c r="G4" s="7" t="s">
        <v>1994</v>
      </c>
      <c r="I4" s="7" t="s">
        <v>1995</v>
      </c>
      <c r="J4" s="7" t="s">
        <v>1996</v>
      </c>
      <c r="K4" t="s">
        <v>1997</v>
      </c>
      <c r="L4" t="s">
        <v>1998</v>
      </c>
    </row>
    <row r="5" spans="1:12" x14ac:dyDescent="0.3">
      <c r="B5" s="7" t="s">
        <v>1999</v>
      </c>
      <c r="D5" s="7" t="s">
        <v>2000</v>
      </c>
      <c r="E5" s="7"/>
      <c r="F5" s="7" t="s">
        <v>2001</v>
      </c>
      <c r="G5" s="7" t="s">
        <v>2002</v>
      </c>
      <c r="I5" s="7" t="s">
        <v>2003</v>
      </c>
      <c r="J5" s="7" t="s">
        <v>2004</v>
      </c>
      <c r="K5" t="s">
        <v>2005</v>
      </c>
    </row>
    <row r="6" spans="1:12" x14ac:dyDescent="0.3">
      <c r="B6" s="7" t="s">
        <v>2006</v>
      </c>
      <c r="D6" s="7" t="s">
        <v>2007</v>
      </c>
      <c r="G6" s="7" t="s">
        <v>2008</v>
      </c>
      <c r="I6" t="s">
        <v>2009</v>
      </c>
      <c r="J6" s="7" t="s">
        <v>2010</v>
      </c>
      <c r="K6" t="s">
        <v>2007</v>
      </c>
    </row>
    <row r="7" spans="1:12" x14ac:dyDescent="0.3">
      <c r="G7" s="7" t="s">
        <v>2011</v>
      </c>
      <c r="J7" s="7" t="s">
        <v>2012</v>
      </c>
    </row>
    <row r="8" spans="1:12" x14ac:dyDescent="0.3">
      <c r="G8" s="7" t="s">
        <v>2013</v>
      </c>
      <c r="J8" s="7" t="s">
        <v>1983</v>
      </c>
    </row>
    <row r="9" spans="1:12" x14ac:dyDescent="0.3">
      <c r="G9" s="7" t="s">
        <v>2014</v>
      </c>
    </row>
    <row r="10" spans="1:12" x14ac:dyDescent="0.3">
      <c r="G10" s="7" t="s">
        <v>2015</v>
      </c>
    </row>
    <row r="11" spans="1:12" x14ac:dyDescent="0.3">
      <c r="G11" s="7" t="s">
        <v>2016</v>
      </c>
    </row>
    <row r="12" spans="1:12" x14ac:dyDescent="0.3">
      <c r="G12" s="7" t="s">
        <v>2017</v>
      </c>
    </row>
    <row r="13" spans="1:12" x14ac:dyDescent="0.3">
      <c r="G13" s="7" t="s">
        <v>2018</v>
      </c>
    </row>
  </sheetData>
  <phoneticPr fontId="30"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O960"/>
  <sheetViews>
    <sheetView showGridLines="0" zoomScale="85" zoomScaleNormal="85" workbookViewId="0">
      <pane xSplit="6" ySplit="4" topLeftCell="N214" activePane="bottomRight" state="frozen"/>
      <selection pane="topRight" activeCell="G1" sqref="G1"/>
      <selection pane="bottomLeft" activeCell="A2" sqref="A2"/>
      <selection pane="bottomRight" activeCell="O229" sqref="O229"/>
    </sheetView>
  </sheetViews>
  <sheetFormatPr defaultColWidth="8.6640625" defaultRowHeight="14.4" x14ac:dyDescent="0.3"/>
  <cols>
    <col min="1" max="1" width="5.33203125" bestFit="1" customWidth="1"/>
    <col min="2" max="2" width="10.109375" customWidth="1"/>
    <col min="3" max="3" width="7.44140625" customWidth="1"/>
    <col min="4" max="4" width="7.109375" customWidth="1"/>
    <col min="5" max="5" width="19.44140625" style="52"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15.5546875"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33203125" customWidth="1"/>
    <col min="36" max="36" width="20.33203125" customWidth="1"/>
    <col min="37" max="37" width="55.5546875" style="52" customWidth="1"/>
    <col min="38" max="38" width="13.33203125" bestFit="1" customWidth="1"/>
    <col min="39" max="39" width="33.33203125" style="52" customWidth="1"/>
    <col min="40" max="40" width="48.109375" style="52" customWidth="1"/>
    <col min="41" max="41" width="43.33203125" style="55" bestFit="1" customWidth="1"/>
  </cols>
  <sheetData>
    <row r="1" spans="1:41" x14ac:dyDescent="0.3">
      <c r="P1" s="72" t="s">
        <v>2019</v>
      </c>
      <c r="Q1" s="72" t="s">
        <v>2020</v>
      </c>
      <c r="R1" s="72" t="s">
        <v>2021</v>
      </c>
      <c r="S1" s="72"/>
      <c r="T1" s="72" t="s">
        <v>2022</v>
      </c>
    </row>
    <row r="2" spans="1:41" x14ac:dyDescent="0.3">
      <c r="G2" s="21" t="s">
        <v>2019</v>
      </c>
      <c r="H2" s="21" t="s">
        <v>2020</v>
      </c>
      <c r="I2" s="21" t="s">
        <v>2021</v>
      </c>
      <c r="J2" s="21"/>
      <c r="K2" s="21" t="s">
        <v>2023</v>
      </c>
      <c r="L2" s="74">
        <f>COUNTIF(L4:L960,"Exclude")</f>
        <v>712</v>
      </c>
      <c r="N2" s="23">
        <f>COUNTIF(N4:N960,"No")</f>
        <v>4</v>
      </c>
      <c r="O2" s="23">
        <f>COUNTIF(O4:O960,"No")</f>
        <v>4</v>
      </c>
      <c r="P2" s="76">
        <f>COUNTIF(P4:P960,"No")</f>
        <v>14</v>
      </c>
      <c r="Q2" s="76">
        <f>COUNTIF(Q4:Q960,"No")</f>
        <v>6</v>
      </c>
      <c r="R2" s="76">
        <f>COUNTIF(R4:R960,"No")</f>
        <v>13</v>
      </c>
      <c r="S2" s="77">
        <f>COUNTIF(S4:S960,"Exclude")</f>
        <v>18</v>
      </c>
      <c r="T2" s="22">
        <v>0</v>
      </c>
    </row>
    <row r="3" spans="1:41" s="72" customFormat="1" x14ac:dyDescent="0.3">
      <c r="A3" s="72">
        <f>COUNTA(A5:A960)</f>
        <v>956</v>
      </c>
      <c r="G3" s="21">
        <f>COUNTIF(G4:G960,"No")</f>
        <v>415</v>
      </c>
      <c r="H3" s="21">
        <f>COUNTIF(H4:H960,"No")</f>
        <v>268</v>
      </c>
      <c r="I3" s="21">
        <f>COUNTIF(I4:I960,"No")</f>
        <v>166</v>
      </c>
      <c r="J3" s="21">
        <f>COUNTIF(J4:J960,"No")</f>
        <v>1</v>
      </c>
      <c r="K3" s="21">
        <f>COUNTIF(K4:K960,"No")</f>
        <v>20</v>
      </c>
      <c r="L3" s="80">
        <f>COUNTIF(L4:L960,"Include")</f>
        <v>244</v>
      </c>
      <c r="M3" s="22"/>
      <c r="N3" s="79">
        <f>COUNTIF(N4:N960,"Yes")</f>
        <v>240</v>
      </c>
      <c r="O3" s="23">
        <f>COUNTIF(O4:O960,"Yes")</f>
        <v>240</v>
      </c>
      <c r="P3" s="75">
        <f>COUNTIF(P4:P960,"Yes")</f>
        <v>226</v>
      </c>
      <c r="Q3" s="75">
        <f>COUNTIF(Q4:Q960,"Yes")</f>
        <v>234</v>
      </c>
      <c r="R3" s="75">
        <f>COUNTIF(R4:R960,"Yes")</f>
        <v>227</v>
      </c>
      <c r="S3" s="80">
        <f>COUNTIF(S4:S960,"Include")-T2</f>
        <v>222</v>
      </c>
      <c r="T3" s="80"/>
      <c r="AK3" s="70"/>
      <c r="AM3" s="70"/>
      <c r="AN3" s="70"/>
    </row>
    <row r="4" spans="1:41" ht="57.75" customHeight="1" x14ac:dyDescent="0.3">
      <c r="A4" s="6" t="s">
        <v>0</v>
      </c>
      <c r="B4" s="6" t="s">
        <v>2024</v>
      </c>
      <c r="C4" s="6" t="s">
        <v>2025</v>
      </c>
      <c r="D4" s="6" t="s">
        <v>2026</v>
      </c>
      <c r="E4" s="6" t="s">
        <v>2027</v>
      </c>
      <c r="F4" s="6" t="s">
        <v>2028</v>
      </c>
      <c r="G4" s="6" t="s">
        <v>2029</v>
      </c>
      <c r="H4" s="6" t="s">
        <v>2030</v>
      </c>
      <c r="I4" s="6" t="s">
        <v>2031</v>
      </c>
      <c r="J4" s="6" t="s">
        <v>2032</v>
      </c>
      <c r="K4" s="6" t="s">
        <v>2033</v>
      </c>
      <c r="L4" s="6" t="s">
        <v>2034</v>
      </c>
      <c r="M4" s="6" t="s">
        <v>2035</v>
      </c>
      <c r="N4" s="6" t="s">
        <v>2036</v>
      </c>
      <c r="O4" s="6" t="s">
        <v>2037</v>
      </c>
      <c r="P4" s="6" t="s">
        <v>2038</v>
      </c>
      <c r="Q4" s="6" t="s">
        <v>2039</v>
      </c>
      <c r="R4" s="6" t="s">
        <v>2040</v>
      </c>
      <c r="S4" s="6" t="s">
        <v>2041</v>
      </c>
      <c r="T4" s="6" t="s">
        <v>2042</v>
      </c>
      <c r="U4" s="27" t="s">
        <v>2043</v>
      </c>
      <c r="V4" s="6" t="s">
        <v>2044</v>
      </c>
      <c r="W4" s="6" t="s">
        <v>2045</v>
      </c>
      <c r="X4" s="6" t="s">
        <v>2046</v>
      </c>
      <c r="Y4" s="6" t="s">
        <v>2047</v>
      </c>
      <c r="Z4" s="6" t="s">
        <v>2048</v>
      </c>
      <c r="AA4" s="6" t="s">
        <v>2049</v>
      </c>
      <c r="AB4" s="27" t="s">
        <v>2050</v>
      </c>
      <c r="AC4" s="6" t="s">
        <v>2051</v>
      </c>
      <c r="AD4" s="6" t="s">
        <v>2052</v>
      </c>
      <c r="AE4" s="6" t="s">
        <v>2053</v>
      </c>
      <c r="AF4" s="6" t="s">
        <v>2054</v>
      </c>
      <c r="AG4" s="6" t="s">
        <v>2055</v>
      </c>
      <c r="AH4" s="28" t="s">
        <v>2056</v>
      </c>
      <c r="AI4" s="28" t="s">
        <v>2057</v>
      </c>
      <c r="AJ4" s="48" t="s">
        <v>2058</v>
      </c>
      <c r="AK4" s="48" t="s">
        <v>2059</v>
      </c>
      <c r="AL4" s="48" t="s">
        <v>2060</v>
      </c>
      <c r="AM4" s="48" t="s">
        <v>2061</v>
      </c>
      <c r="AN4" s="49" t="s">
        <v>2062</v>
      </c>
      <c r="AO4" s="54" t="s">
        <v>1</v>
      </c>
    </row>
    <row r="5" spans="1:41" ht="57" hidden="1" customHeight="1" x14ac:dyDescent="0.3">
      <c r="A5" s="20">
        <v>1</v>
      </c>
      <c r="B5" s="8" t="s">
        <v>2063</v>
      </c>
      <c r="C5" s="26">
        <v>2026</v>
      </c>
      <c r="D5" s="8"/>
      <c r="E5" s="8" t="s">
        <v>7</v>
      </c>
      <c r="F5" s="20" t="s">
        <v>1969</v>
      </c>
      <c r="G5" s="21" t="s">
        <v>1968</v>
      </c>
      <c r="H5" s="21" t="s">
        <v>1979</v>
      </c>
      <c r="I5" s="21" t="s">
        <v>1979</v>
      </c>
      <c r="J5" s="21" t="s">
        <v>1968</v>
      </c>
      <c r="K5" s="21" t="s">
        <v>1968</v>
      </c>
      <c r="L5" s="22" t="str">
        <f t="shared" ref="L5:L68" si="0">IF(COUNTBLANK(G5:K5)=5,"",IF(COUNTIF(G5:K5,"No")&gt;0,"EXCLUDE","INCLUDE"))</f>
        <v>EXCLUDE</v>
      </c>
      <c r="M5" s="22" t="str">
        <f t="shared" ref="M5:M68" si="1">IF(L5&lt;&gt;"EXCLUDE","",IF(G5="No","Wrong domain (non-AECO)",IF(H5="No","Digital Twin not core / buzzword",IF(I5="No","No Design for Safety / PtD focus",IF(J5="No","Wrong publication type",IF(K5="No","Non-English",""))))))</f>
        <v>Digital Twin not core / buzzword</v>
      </c>
      <c r="N5" s="23"/>
      <c r="O5" s="23"/>
      <c r="P5" s="24"/>
      <c r="Q5" s="24"/>
      <c r="R5" s="24"/>
      <c r="S5" s="22" t="str">
        <f t="shared" ref="S5:S68" si="2">IF(N5&lt;&gt;"Yes","",IF(COUNTBLANK(P5:R5)=3,"",IF(COUNTIF(P5:R5,"No")&gt;0,"EXCLUDE","INCLUDE")))</f>
        <v/>
      </c>
      <c r="T5" s="22" t="str">
        <f t="shared" ref="T5:T68" si="3">IF(S5&lt;&gt;"EXCLUDE","",IF(P5="No","Digital Twin mentioned only, not the subject",IF(Q5="No","No Design for Safety focus in full text",IF(R5="No","Methodology not codable",""))))</f>
        <v/>
      </c>
      <c r="U5" s="25"/>
      <c r="V5" s="25"/>
      <c r="W5" s="25"/>
      <c r="X5" s="25"/>
      <c r="Y5" s="22" t="str">
        <f t="shared" ref="Y5:Y68" si="4">IF(SUM(V5:X5)=0,"",IF(SUM(V5:X5)&gt;=2,"Multi","Single"))</f>
        <v/>
      </c>
      <c r="Z5" s="25"/>
      <c r="AA5" s="25"/>
      <c r="AB5" s="25"/>
      <c r="AC5" s="25"/>
      <c r="AD5" s="25"/>
      <c r="AE5" s="25"/>
      <c r="AF5" s="25"/>
      <c r="AG5" s="9"/>
      <c r="AH5" s="29"/>
      <c r="AI5" s="29"/>
      <c r="AM5" s="50"/>
      <c r="AN5" s="51" t="s">
        <v>2064</v>
      </c>
      <c r="AO5" s="55" t="s">
        <v>5</v>
      </c>
    </row>
    <row r="6" spans="1:41" ht="57" hidden="1" customHeight="1" x14ac:dyDescent="0.3">
      <c r="A6" s="20">
        <v>2</v>
      </c>
      <c r="B6" s="8" t="s">
        <v>2065</v>
      </c>
      <c r="C6" s="26">
        <v>2026</v>
      </c>
      <c r="D6" s="8"/>
      <c r="E6" s="8" t="s">
        <v>9</v>
      </c>
      <c r="F6" s="20" t="s">
        <v>1969</v>
      </c>
      <c r="G6" s="21" t="s">
        <v>1979</v>
      </c>
      <c r="H6" s="21" t="s">
        <v>1968</v>
      </c>
      <c r="I6" s="21" t="s">
        <v>1979</v>
      </c>
      <c r="J6" s="21" t="s">
        <v>1968</v>
      </c>
      <c r="K6" s="21" t="s">
        <v>1968</v>
      </c>
      <c r="L6" s="22" t="str">
        <f t="shared" si="0"/>
        <v>EXCLUDE</v>
      </c>
      <c r="M6" s="22" t="str">
        <f t="shared" si="1"/>
        <v>Wrong domain (non-AECO)</v>
      </c>
      <c r="N6" s="23"/>
      <c r="O6" s="23"/>
      <c r="P6" s="24"/>
      <c r="Q6" s="24"/>
      <c r="R6" s="24"/>
      <c r="S6" s="22" t="str">
        <f t="shared" si="2"/>
        <v/>
      </c>
      <c r="T6" s="22" t="str">
        <f t="shared" si="3"/>
        <v/>
      </c>
      <c r="U6" s="25"/>
      <c r="V6" s="25"/>
      <c r="W6" s="25"/>
      <c r="X6" s="25"/>
      <c r="Y6" s="22" t="str">
        <f t="shared" si="4"/>
        <v/>
      </c>
      <c r="Z6" s="25"/>
      <c r="AA6" s="25"/>
      <c r="AB6" s="25"/>
      <c r="AC6" s="25"/>
      <c r="AD6" s="25"/>
      <c r="AE6" s="25"/>
      <c r="AF6" s="25"/>
      <c r="AG6" s="9"/>
      <c r="AH6" s="29"/>
      <c r="AI6" s="29"/>
      <c r="AM6" s="50"/>
      <c r="AN6" s="51" t="s">
        <v>2066</v>
      </c>
      <c r="AO6" s="55" t="s">
        <v>8</v>
      </c>
    </row>
    <row r="7" spans="1:41" ht="57" hidden="1" customHeight="1" x14ac:dyDescent="0.3">
      <c r="A7" s="20">
        <v>3</v>
      </c>
      <c r="B7" s="8" t="s">
        <v>2067</v>
      </c>
      <c r="C7" s="26">
        <v>2025</v>
      </c>
      <c r="D7" s="8"/>
      <c r="E7" s="8" t="s">
        <v>11</v>
      </c>
      <c r="F7" s="20" t="s">
        <v>1969</v>
      </c>
      <c r="G7" s="21" t="s">
        <v>1979</v>
      </c>
      <c r="H7" s="21" t="s">
        <v>1968</v>
      </c>
      <c r="I7" s="21" t="s">
        <v>1968</v>
      </c>
      <c r="J7" s="21" t="s">
        <v>1968</v>
      </c>
      <c r="K7" s="21" t="s">
        <v>1968</v>
      </c>
      <c r="L7" s="22" t="str">
        <f t="shared" si="0"/>
        <v>EXCLUDE</v>
      </c>
      <c r="M7" s="22" t="str">
        <f t="shared" si="1"/>
        <v>Wrong domain (non-AECO)</v>
      </c>
      <c r="N7" s="23"/>
      <c r="O7" s="23"/>
      <c r="P7" s="24"/>
      <c r="Q7" s="24"/>
      <c r="R7" s="24"/>
      <c r="S7" s="22" t="str">
        <f t="shared" si="2"/>
        <v/>
      </c>
      <c r="T7" s="22" t="str">
        <f t="shared" si="3"/>
        <v/>
      </c>
      <c r="U7" s="25"/>
      <c r="V7" s="25"/>
      <c r="W7" s="25"/>
      <c r="X7" s="25"/>
      <c r="Y7" s="22" t="str">
        <f t="shared" si="4"/>
        <v/>
      </c>
      <c r="Z7" s="25"/>
      <c r="AA7" s="25"/>
      <c r="AB7" s="25"/>
      <c r="AC7" s="25"/>
      <c r="AD7" s="25"/>
      <c r="AE7" s="25"/>
      <c r="AF7" s="25"/>
      <c r="AG7" s="9"/>
      <c r="AH7" s="29"/>
      <c r="AI7" s="29"/>
      <c r="AM7" s="50"/>
      <c r="AN7" s="51" t="s">
        <v>2068</v>
      </c>
      <c r="AO7" s="55" t="s">
        <v>10</v>
      </c>
    </row>
    <row r="8" spans="1:41" ht="34.200000000000003" hidden="1" customHeight="1" x14ac:dyDescent="0.3">
      <c r="A8" s="20">
        <v>4</v>
      </c>
      <c r="B8" s="8" t="s">
        <v>2069</v>
      </c>
      <c r="C8" s="26">
        <v>2026</v>
      </c>
      <c r="D8" s="8"/>
      <c r="E8" s="8" t="s">
        <v>13</v>
      </c>
      <c r="F8" s="20" t="s">
        <v>1969</v>
      </c>
      <c r="G8" s="21" t="s">
        <v>1968</v>
      </c>
      <c r="H8" s="21" t="s">
        <v>1968</v>
      </c>
      <c r="I8" s="21" t="s">
        <v>1979</v>
      </c>
      <c r="J8" s="21" t="s">
        <v>1968</v>
      </c>
      <c r="K8" s="21" t="s">
        <v>1968</v>
      </c>
      <c r="L8" s="22" t="str">
        <f t="shared" si="0"/>
        <v>EXCLUDE</v>
      </c>
      <c r="M8" s="22" t="str">
        <f t="shared" si="1"/>
        <v>No Design for Safety / PtD focus</v>
      </c>
      <c r="N8" s="23"/>
      <c r="O8" s="23"/>
      <c r="P8" s="24"/>
      <c r="Q8" s="24"/>
      <c r="R8" s="24"/>
      <c r="S8" s="22" t="str">
        <f t="shared" si="2"/>
        <v/>
      </c>
      <c r="T8" s="22" t="str">
        <f t="shared" si="3"/>
        <v/>
      </c>
      <c r="U8" s="25"/>
      <c r="V8" s="25"/>
      <c r="W8" s="25"/>
      <c r="X8" s="25"/>
      <c r="Y8" s="22" t="str">
        <f t="shared" si="4"/>
        <v/>
      </c>
      <c r="Z8" s="25"/>
      <c r="AA8" s="25"/>
      <c r="AB8" s="25"/>
      <c r="AC8" s="25"/>
      <c r="AD8" s="25"/>
      <c r="AE8" s="25"/>
      <c r="AF8" s="25"/>
      <c r="AG8" s="9"/>
      <c r="AH8" s="29"/>
      <c r="AI8" s="29"/>
      <c r="AM8" s="50"/>
      <c r="AN8" s="51" t="s">
        <v>2070</v>
      </c>
      <c r="AO8" s="55" t="s">
        <v>12</v>
      </c>
    </row>
    <row r="9" spans="1:41" ht="57" hidden="1" customHeight="1" x14ac:dyDescent="0.3">
      <c r="A9" s="20">
        <v>5</v>
      </c>
      <c r="B9" s="8" t="s">
        <v>2071</v>
      </c>
      <c r="C9" s="26">
        <v>2026</v>
      </c>
      <c r="D9" s="8"/>
      <c r="E9" s="8" t="s">
        <v>15</v>
      </c>
      <c r="F9" s="20" t="s">
        <v>1969</v>
      </c>
      <c r="G9" s="21" t="s">
        <v>1979</v>
      </c>
      <c r="H9" s="21" t="s">
        <v>1968</v>
      </c>
      <c r="I9" s="21" t="s">
        <v>1979</v>
      </c>
      <c r="J9" s="21" t="s">
        <v>1968</v>
      </c>
      <c r="K9" s="21" t="s">
        <v>1968</v>
      </c>
      <c r="L9" s="22" t="str">
        <f t="shared" si="0"/>
        <v>EXCLUDE</v>
      </c>
      <c r="M9" s="22" t="str">
        <f t="shared" si="1"/>
        <v>Wrong domain (non-AECO)</v>
      </c>
      <c r="N9" s="23"/>
      <c r="O9" s="23"/>
      <c r="P9" s="24"/>
      <c r="Q9" s="24"/>
      <c r="R9" s="24"/>
      <c r="S9" s="22" t="str">
        <f t="shared" si="2"/>
        <v/>
      </c>
      <c r="T9" s="22" t="str">
        <f t="shared" si="3"/>
        <v/>
      </c>
      <c r="U9" s="25"/>
      <c r="V9" s="25"/>
      <c r="W9" s="25"/>
      <c r="X9" s="25"/>
      <c r="Y9" s="22" t="str">
        <f t="shared" si="4"/>
        <v/>
      </c>
      <c r="Z9" s="25"/>
      <c r="AA9" s="25"/>
      <c r="AB9" s="25"/>
      <c r="AC9" s="25"/>
      <c r="AD9" s="25"/>
      <c r="AE9" s="25"/>
      <c r="AF9" s="25"/>
      <c r="AG9" s="9"/>
      <c r="AH9" s="29"/>
      <c r="AI9" s="29"/>
      <c r="AM9" s="50"/>
      <c r="AN9" s="51" t="s">
        <v>2072</v>
      </c>
      <c r="AO9" s="55" t="s">
        <v>14</v>
      </c>
    </row>
    <row r="10" spans="1:41" ht="129.6" customHeight="1" x14ac:dyDescent="0.3">
      <c r="A10" s="20">
        <v>6</v>
      </c>
      <c r="B10" s="8" t="s">
        <v>2073</v>
      </c>
      <c r="C10" s="26">
        <v>2026</v>
      </c>
      <c r="D10" s="8"/>
      <c r="E10" s="8" t="s">
        <v>17</v>
      </c>
      <c r="F10" s="20" t="s">
        <v>1969</v>
      </c>
      <c r="G10" s="21" t="s">
        <v>1979</v>
      </c>
      <c r="H10" s="21" t="s">
        <v>1968</v>
      </c>
      <c r="I10" s="21" t="s">
        <v>1979</v>
      </c>
      <c r="J10" s="21" t="s">
        <v>1968</v>
      </c>
      <c r="K10" s="21" t="s">
        <v>1968</v>
      </c>
      <c r="L10" s="22" t="str">
        <f t="shared" si="0"/>
        <v>EXCLUDE</v>
      </c>
      <c r="M10" s="22" t="str">
        <f t="shared" si="1"/>
        <v>Wrong domain (non-AECO)</v>
      </c>
      <c r="N10" s="23"/>
      <c r="O10" s="23"/>
      <c r="P10" s="24"/>
      <c r="Q10" s="24"/>
      <c r="R10" s="24"/>
      <c r="S10" s="22" t="str">
        <f t="shared" si="2"/>
        <v/>
      </c>
      <c r="T10" s="22" t="str">
        <f t="shared" si="3"/>
        <v/>
      </c>
      <c r="U10" s="25"/>
      <c r="V10" s="25"/>
      <c r="W10" s="25"/>
      <c r="X10" s="25"/>
      <c r="Y10" s="22" t="str">
        <f t="shared" si="4"/>
        <v/>
      </c>
      <c r="Z10" s="25"/>
      <c r="AA10" s="25"/>
      <c r="AB10" s="25"/>
      <c r="AC10" s="25"/>
      <c r="AD10" s="25"/>
      <c r="AE10" s="25"/>
      <c r="AF10" s="25"/>
      <c r="AG10" s="9"/>
      <c r="AH10" s="29"/>
      <c r="AI10" s="29"/>
      <c r="AM10" s="50"/>
      <c r="AN10" s="51" t="s">
        <v>2074</v>
      </c>
      <c r="AO10" s="55" t="s">
        <v>16</v>
      </c>
    </row>
    <row r="11" spans="1:41" ht="86.4" customHeight="1" x14ac:dyDescent="0.3">
      <c r="A11" s="20">
        <v>7</v>
      </c>
      <c r="B11" s="8" t="s">
        <v>2075</v>
      </c>
      <c r="C11" s="26">
        <v>2026</v>
      </c>
      <c r="D11" s="8"/>
      <c r="E11" s="8" t="s">
        <v>19</v>
      </c>
      <c r="F11" s="20" t="s">
        <v>1969</v>
      </c>
      <c r="G11" s="21" t="s">
        <v>1979</v>
      </c>
      <c r="H11" s="21" t="s">
        <v>1968</v>
      </c>
      <c r="I11" s="21" t="s">
        <v>1979</v>
      </c>
      <c r="J11" s="21" t="s">
        <v>1968</v>
      </c>
      <c r="K11" s="21" t="s">
        <v>1968</v>
      </c>
      <c r="L11" s="22" t="str">
        <f t="shared" si="0"/>
        <v>EXCLUDE</v>
      </c>
      <c r="M11" s="22" t="str">
        <f t="shared" si="1"/>
        <v>Wrong domain (non-AECO)</v>
      </c>
      <c r="N11" s="23"/>
      <c r="O11" s="23"/>
      <c r="P11" s="24"/>
      <c r="Q11" s="24"/>
      <c r="R11" s="24"/>
      <c r="S11" s="22" t="str">
        <f t="shared" si="2"/>
        <v/>
      </c>
      <c r="T11" s="22" t="str">
        <f t="shared" si="3"/>
        <v/>
      </c>
      <c r="U11" s="25"/>
      <c r="V11" s="25"/>
      <c r="W11" s="25"/>
      <c r="X11" s="25"/>
      <c r="Y11" s="22" t="str">
        <f t="shared" si="4"/>
        <v/>
      </c>
      <c r="Z11" s="25"/>
      <c r="AA11" s="25"/>
      <c r="AB11" s="25"/>
      <c r="AC11" s="25"/>
      <c r="AD11" s="25"/>
      <c r="AE11" s="25"/>
      <c r="AF11" s="25"/>
      <c r="AG11" s="9"/>
      <c r="AH11" s="29"/>
      <c r="AI11" s="29"/>
      <c r="AM11" s="50"/>
      <c r="AN11" s="51" t="s">
        <v>2076</v>
      </c>
      <c r="AO11" s="55" t="s">
        <v>18</v>
      </c>
    </row>
    <row r="12" spans="1:41" ht="57" hidden="1" customHeight="1" x14ac:dyDescent="0.3">
      <c r="A12" s="20">
        <v>8</v>
      </c>
      <c r="B12" s="8" t="s">
        <v>2077</v>
      </c>
      <c r="C12" s="26">
        <v>2025</v>
      </c>
      <c r="D12" s="8"/>
      <c r="E12" s="8" t="s">
        <v>21</v>
      </c>
      <c r="F12" s="20" t="s">
        <v>1969</v>
      </c>
      <c r="G12" s="21" t="s">
        <v>1968</v>
      </c>
      <c r="H12" s="21" t="s">
        <v>1968</v>
      </c>
      <c r="I12" s="21" t="s">
        <v>1968</v>
      </c>
      <c r="J12" s="21" t="s">
        <v>1968</v>
      </c>
      <c r="K12" s="21" t="s">
        <v>1968</v>
      </c>
      <c r="L12" s="22" t="str">
        <f t="shared" si="0"/>
        <v>INCLUDE</v>
      </c>
      <c r="M12" s="22" t="str">
        <f t="shared" si="1"/>
        <v/>
      </c>
      <c r="N12" s="23" t="s">
        <v>1968</v>
      </c>
      <c r="O12" s="23" t="s">
        <v>1968</v>
      </c>
      <c r="P12" s="24" t="s">
        <v>1968</v>
      </c>
      <c r="Q12" s="24" t="s">
        <v>1968</v>
      </c>
      <c r="R12" s="24" t="s">
        <v>1968</v>
      </c>
      <c r="S12" s="22" t="str">
        <f t="shared" si="2"/>
        <v>INCLUDE</v>
      </c>
      <c r="T12" s="22" t="str">
        <f t="shared" si="3"/>
        <v/>
      </c>
      <c r="U12" s="25" t="s">
        <v>1982</v>
      </c>
      <c r="V12" s="25">
        <v>0</v>
      </c>
      <c r="W12" s="25">
        <v>1</v>
      </c>
      <c r="X12" s="25">
        <v>0</v>
      </c>
      <c r="Y12" s="22" t="str">
        <f t="shared" si="4"/>
        <v>Single</v>
      </c>
      <c r="Z12" s="25" t="s">
        <v>1922</v>
      </c>
      <c r="AA12" s="25" t="s">
        <v>1972</v>
      </c>
      <c r="AB12" s="25" t="s">
        <v>2017</v>
      </c>
      <c r="AC12" s="25" t="s">
        <v>1974</v>
      </c>
      <c r="AD12" s="25" t="s">
        <v>2003</v>
      </c>
      <c r="AE12" s="25">
        <v>4</v>
      </c>
      <c r="AF12" s="25" t="s">
        <v>2004</v>
      </c>
      <c r="AG12" s="9" t="s">
        <v>2078</v>
      </c>
      <c r="AH12" s="29" t="s">
        <v>2079</v>
      </c>
      <c r="AI12" s="29" t="s">
        <v>2080</v>
      </c>
      <c r="AJ12" t="s">
        <v>1977</v>
      </c>
      <c r="AK12" t="s">
        <v>2081</v>
      </c>
      <c r="AL12" t="s">
        <v>1978</v>
      </c>
      <c r="AM12" s="50"/>
      <c r="AN12" s="51" t="s">
        <v>2082</v>
      </c>
      <c r="AO12" s="55" t="s">
        <v>20</v>
      </c>
    </row>
    <row r="13" spans="1:41" ht="57" hidden="1" customHeight="1" x14ac:dyDescent="0.3">
      <c r="A13" s="20">
        <v>9</v>
      </c>
      <c r="B13" s="8" t="s">
        <v>2083</v>
      </c>
      <c r="C13" s="26">
        <v>2025</v>
      </c>
      <c r="D13" s="8"/>
      <c r="E13" s="8" t="s">
        <v>23</v>
      </c>
      <c r="F13" s="20" t="s">
        <v>1969</v>
      </c>
      <c r="G13" s="21" t="s">
        <v>1968</v>
      </c>
      <c r="H13" s="21" t="s">
        <v>1979</v>
      </c>
      <c r="I13" s="21" t="s">
        <v>1979</v>
      </c>
      <c r="J13" s="21" t="s">
        <v>1968</v>
      </c>
      <c r="K13" s="21" t="s">
        <v>1968</v>
      </c>
      <c r="L13" s="22" t="str">
        <f t="shared" si="0"/>
        <v>EXCLUDE</v>
      </c>
      <c r="M13" s="22" t="str">
        <f t="shared" si="1"/>
        <v>Digital Twin not core / buzzword</v>
      </c>
      <c r="N13" s="23"/>
      <c r="O13" s="23"/>
      <c r="P13" s="24"/>
      <c r="Q13" s="24"/>
      <c r="R13" s="24"/>
      <c r="S13" s="22" t="str">
        <f t="shared" si="2"/>
        <v/>
      </c>
      <c r="T13" s="22" t="str">
        <f t="shared" si="3"/>
        <v/>
      </c>
      <c r="U13" s="25"/>
      <c r="V13" s="25"/>
      <c r="W13" s="25"/>
      <c r="X13" s="25"/>
      <c r="Y13" s="22" t="str">
        <f t="shared" si="4"/>
        <v/>
      </c>
      <c r="Z13" s="25"/>
      <c r="AA13" s="25"/>
      <c r="AB13" s="25"/>
      <c r="AC13" s="25"/>
      <c r="AD13" s="25"/>
      <c r="AE13" s="25"/>
      <c r="AF13" s="25"/>
      <c r="AG13" s="9"/>
      <c r="AH13" s="29"/>
      <c r="AI13" s="29"/>
      <c r="AM13" s="50"/>
      <c r="AN13" s="51" t="s">
        <v>2084</v>
      </c>
      <c r="AO13" s="55" t="s">
        <v>22</v>
      </c>
    </row>
    <row r="14" spans="1:41" ht="57" hidden="1" customHeight="1" x14ac:dyDescent="0.3">
      <c r="A14" s="20">
        <v>10</v>
      </c>
      <c r="B14" s="8" t="s">
        <v>2085</v>
      </c>
      <c r="C14" s="26">
        <v>2026</v>
      </c>
      <c r="D14" s="8"/>
      <c r="E14" s="8" t="s">
        <v>25</v>
      </c>
      <c r="F14" s="20" t="s">
        <v>1969</v>
      </c>
      <c r="G14" s="21" t="s">
        <v>1968</v>
      </c>
      <c r="H14" s="21" t="s">
        <v>1979</v>
      </c>
      <c r="I14" s="21" t="s">
        <v>1968</v>
      </c>
      <c r="J14" s="21" t="s">
        <v>1968</v>
      </c>
      <c r="K14" s="21" t="s">
        <v>1968</v>
      </c>
      <c r="L14" s="22" t="str">
        <f t="shared" si="0"/>
        <v>EXCLUDE</v>
      </c>
      <c r="M14" s="22" t="str">
        <f t="shared" si="1"/>
        <v>Digital Twin not core / buzzword</v>
      </c>
      <c r="N14" s="23"/>
      <c r="O14" s="23"/>
      <c r="P14" s="24"/>
      <c r="Q14" s="24"/>
      <c r="R14" s="24"/>
      <c r="S14" s="22" t="str">
        <f t="shared" si="2"/>
        <v/>
      </c>
      <c r="T14" s="22" t="str">
        <f t="shared" si="3"/>
        <v/>
      </c>
      <c r="U14" s="25"/>
      <c r="V14" s="25"/>
      <c r="W14" s="25"/>
      <c r="X14" s="25"/>
      <c r="Y14" s="22" t="str">
        <f t="shared" si="4"/>
        <v/>
      </c>
      <c r="Z14" s="25"/>
      <c r="AA14" s="25"/>
      <c r="AB14" s="25"/>
      <c r="AC14" s="25"/>
      <c r="AD14" s="25"/>
      <c r="AE14" s="25"/>
      <c r="AF14" s="25"/>
      <c r="AG14" s="9"/>
      <c r="AH14" s="29"/>
      <c r="AI14" s="29"/>
      <c r="AM14" s="50"/>
      <c r="AN14" s="51" t="s">
        <v>2086</v>
      </c>
      <c r="AO14" s="55" t="s">
        <v>24</v>
      </c>
    </row>
    <row r="15" spans="1:41" ht="45.6" hidden="1" customHeight="1" x14ac:dyDescent="0.3">
      <c r="A15" s="20">
        <v>11</v>
      </c>
      <c r="B15" s="8" t="s">
        <v>2087</v>
      </c>
      <c r="C15" s="26">
        <v>2025</v>
      </c>
      <c r="D15" s="8"/>
      <c r="E15" s="8" t="s">
        <v>27</v>
      </c>
      <c r="F15" s="20" t="s">
        <v>1969</v>
      </c>
      <c r="G15" s="21" t="s">
        <v>1968</v>
      </c>
      <c r="H15" s="21" t="s">
        <v>1979</v>
      </c>
      <c r="I15" s="21" t="s">
        <v>1979</v>
      </c>
      <c r="J15" s="21" t="s">
        <v>1968</v>
      </c>
      <c r="K15" s="21" t="s">
        <v>1968</v>
      </c>
      <c r="L15" s="22" t="str">
        <f t="shared" si="0"/>
        <v>EXCLUDE</v>
      </c>
      <c r="M15" s="22" t="str">
        <f t="shared" si="1"/>
        <v>Digital Twin not core / buzzword</v>
      </c>
      <c r="N15" s="23"/>
      <c r="O15" s="23"/>
      <c r="P15" s="24"/>
      <c r="Q15" s="24"/>
      <c r="R15" s="24"/>
      <c r="S15" s="22" t="str">
        <f t="shared" si="2"/>
        <v/>
      </c>
      <c r="T15" s="22" t="str">
        <f t="shared" si="3"/>
        <v/>
      </c>
      <c r="U15" s="25"/>
      <c r="V15" s="25"/>
      <c r="W15" s="25"/>
      <c r="X15" s="25"/>
      <c r="Y15" s="22" t="str">
        <f t="shared" si="4"/>
        <v/>
      </c>
      <c r="Z15" s="25"/>
      <c r="AA15" s="25"/>
      <c r="AB15" s="25"/>
      <c r="AC15" s="25"/>
      <c r="AD15" s="25"/>
      <c r="AE15" s="25"/>
      <c r="AF15" s="25"/>
      <c r="AG15" s="9"/>
      <c r="AH15" s="29"/>
      <c r="AI15" s="29"/>
      <c r="AM15" s="50"/>
      <c r="AN15" s="51" t="s">
        <v>2088</v>
      </c>
      <c r="AO15" s="55" t="s">
        <v>26</v>
      </c>
    </row>
    <row r="16" spans="1:41" ht="68.400000000000006" hidden="1" customHeight="1" x14ac:dyDescent="0.3">
      <c r="A16" s="20">
        <v>12</v>
      </c>
      <c r="B16" s="8" t="s">
        <v>2089</v>
      </c>
      <c r="C16" s="26">
        <v>2026</v>
      </c>
      <c r="D16" s="8"/>
      <c r="E16" s="8" t="s">
        <v>29</v>
      </c>
      <c r="F16" s="20" t="s">
        <v>1969</v>
      </c>
      <c r="G16" s="21" t="s">
        <v>1968</v>
      </c>
      <c r="H16" s="21" t="s">
        <v>1979</v>
      </c>
      <c r="I16" s="21" t="s">
        <v>1979</v>
      </c>
      <c r="J16" s="21" t="s">
        <v>1968</v>
      </c>
      <c r="K16" s="21" t="s">
        <v>1968</v>
      </c>
      <c r="L16" s="22" t="str">
        <f t="shared" si="0"/>
        <v>EXCLUDE</v>
      </c>
      <c r="M16" s="22" t="str">
        <f t="shared" si="1"/>
        <v>Digital Twin not core / buzzword</v>
      </c>
      <c r="N16" s="23"/>
      <c r="O16" s="23"/>
      <c r="P16" s="24"/>
      <c r="Q16" s="24"/>
      <c r="R16" s="24"/>
      <c r="S16" s="22" t="str">
        <f t="shared" si="2"/>
        <v/>
      </c>
      <c r="T16" s="22" t="str">
        <f t="shared" si="3"/>
        <v/>
      </c>
      <c r="U16" s="25"/>
      <c r="V16" s="25"/>
      <c r="W16" s="25"/>
      <c r="X16" s="25"/>
      <c r="Y16" s="22" t="str">
        <f t="shared" si="4"/>
        <v/>
      </c>
      <c r="Z16" s="25"/>
      <c r="AA16" s="25"/>
      <c r="AB16" s="25"/>
      <c r="AC16" s="25"/>
      <c r="AD16" s="25"/>
      <c r="AE16" s="25"/>
      <c r="AF16" s="25"/>
      <c r="AG16" s="9"/>
      <c r="AH16" s="29"/>
      <c r="AI16" s="29"/>
      <c r="AM16" s="50"/>
      <c r="AN16" s="51" t="s">
        <v>2090</v>
      </c>
      <c r="AO16" s="55" t="s">
        <v>28</v>
      </c>
    </row>
    <row r="17" spans="1:41" ht="86.4" customHeight="1" x14ac:dyDescent="0.3">
      <c r="A17" s="20">
        <v>13</v>
      </c>
      <c r="B17" s="8" t="s">
        <v>2091</v>
      </c>
      <c r="C17" s="26">
        <v>2025</v>
      </c>
      <c r="D17" s="8"/>
      <c r="E17" s="8" t="s">
        <v>31</v>
      </c>
      <c r="F17" s="20" t="s">
        <v>1969</v>
      </c>
      <c r="G17" s="21" t="s">
        <v>1979</v>
      </c>
      <c r="H17" s="21" t="s">
        <v>1979</v>
      </c>
      <c r="I17" s="21" t="s">
        <v>1968</v>
      </c>
      <c r="J17" s="21" t="s">
        <v>1968</v>
      </c>
      <c r="K17" s="21" t="s">
        <v>1968</v>
      </c>
      <c r="L17" s="22" t="str">
        <f t="shared" si="0"/>
        <v>EXCLUDE</v>
      </c>
      <c r="M17" s="22" t="str">
        <f t="shared" si="1"/>
        <v>Wrong domain (non-AECO)</v>
      </c>
      <c r="N17" s="23"/>
      <c r="O17" s="23"/>
      <c r="P17" s="24"/>
      <c r="Q17" s="24"/>
      <c r="R17" s="24"/>
      <c r="S17" s="22" t="str">
        <f t="shared" si="2"/>
        <v/>
      </c>
      <c r="T17" s="22" t="str">
        <f t="shared" si="3"/>
        <v/>
      </c>
      <c r="U17" s="25"/>
      <c r="V17" s="25"/>
      <c r="W17" s="25"/>
      <c r="X17" s="25"/>
      <c r="Y17" s="22" t="str">
        <f t="shared" si="4"/>
        <v/>
      </c>
      <c r="Z17" s="25"/>
      <c r="AA17" s="25"/>
      <c r="AB17" s="25"/>
      <c r="AC17" s="25"/>
      <c r="AD17" s="25"/>
      <c r="AE17" s="25"/>
      <c r="AF17" s="25"/>
      <c r="AG17" s="9"/>
      <c r="AH17" s="29"/>
      <c r="AI17" s="29"/>
      <c r="AM17" s="50"/>
      <c r="AN17" s="51" t="s">
        <v>2092</v>
      </c>
      <c r="AO17" s="55" t="s">
        <v>30</v>
      </c>
    </row>
    <row r="18" spans="1:41" ht="72" customHeight="1" x14ac:dyDescent="0.3">
      <c r="A18" s="20">
        <v>14</v>
      </c>
      <c r="B18" s="8" t="s">
        <v>2093</v>
      </c>
      <c r="C18" s="26">
        <v>2026</v>
      </c>
      <c r="D18" s="8"/>
      <c r="E18" s="8" t="s">
        <v>33</v>
      </c>
      <c r="F18" s="20" t="s">
        <v>1969</v>
      </c>
      <c r="G18" s="21" t="s">
        <v>1968</v>
      </c>
      <c r="H18" s="21" t="s">
        <v>1968</v>
      </c>
      <c r="I18" s="21" t="s">
        <v>1968</v>
      </c>
      <c r="J18" s="21" t="s">
        <v>1968</v>
      </c>
      <c r="K18" s="21" t="s">
        <v>1968</v>
      </c>
      <c r="L18" s="22" t="str">
        <f t="shared" si="0"/>
        <v>INCLUDE</v>
      </c>
      <c r="M18" s="22" t="str">
        <f t="shared" si="1"/>
        <v/>
      </c>
      <c r="N18" s="23" t="s">
        <v>1968</v>
      </c>
      <c r="O18" s="23" t="s">
        <v>1968</v>
      </c>
      <c r="P18" s="24" t="s">
        <v>1968</v>
      </c>
      <c r="Q18" s="24" t="s">
        <v>1968</v>
      </c>
      <c r="R18" s="24" t="s">
        <v>1968</v>
      </c>
      <c r="S18" s="22" t="str">
        <f t="shared" si="2"/>
        <v>INCLUDE</v>
      </c>
      <c r="T18" s="22" t="str">
        <f t="shared" si="3"/>
        <v/>
      </c>
      <c r="U18" s="25" t="s">
        <v>1982</v>
      </c>
      <c r="V18" s="25">
        <v>0</v>
      </c>
      <c r="W18" s="25">
        <v>1</v>
      </c>
      <c r="X18" s="25">
        <v>0</v>
      </c>
      <c r="Y18" s="22" t="str">
        <f t="shared" si="4"/>
        <v>Single</v>
      </c>
      <c r="Z18" s="25" t="s">
        <v>1922</v>
      </c>
      <c r="AA18" s="25" t="s">
        <v>1972</v>
      </c>
      <c r="AB18" s="25" t="s">
        <v>1973</v>
      </c>
      <c r="AC18" s="25" t="s">
        <v>1986</v>
      </c>
      <c r="AD18" s="25" t="s">
        <v>1975</v>
      </c>
      <c r="AE18" s="25">
        <v>2</v>
      </c>
      <c r="AF18" s="25" t="s">
        <v>1996</v>
      </c>
      <c r="AG18" s="9" t="s">
        <v>2094</v>
      </c>
      <c r="AH18" s="29" t="s">
        <v>2095</v>
      </c>
      <c r="AI18" s="29" t="s">
        <v>2096</v>
      </c>
      <c r="AJ18" t="s">
        <v>2007</v>
      </c>
      <c r="AK18" t="s">
        <v>2097</v>
      </c>
      <c r="AL18" t="s">
        <v>1998</v>
      </c>
      <c r="AM18" s="50" t="s">
        <v>2098</v>
      </c>
      <c r="AN18" s="51" t="s">
        <v>2099</v>
      </c>
      <c r="AO18" s="55" t="s">
        <v>32</v>
      </c>
    </row>
    <row r="19" spans="1:41" ht="86.4" hidden="1" customHeight="1" x14ac:dyDescent="0.3">
      <c r="A19" s="20">
        <v>15</v>
      </c>
      <c r="B19" s="8" t="s">
        <v>2100</v>
      </c>
      <c r="C19" s="26">
        <v>2026</v>
      </c>
      <c r="D19" s="8"/>
      <c r="E19" s="8" t="s">
        <v>35</v>
      </c>
      <c r="F19" s="20" t="s">
        <v>1969</v>
      </c>
      <c r="G19" s="21" t="s">
        <v>1979</v>
      </c>
      <c r="H19" s="21" t="s">
        <v>1968</v>
      </c>
      <c r="I19" s="21" t="s">
        <v>1968</v>
      </c>
      <c r="J19" s="21" t="s">
        <v>1968</v>
      </c>
      <c r="K19" s="21" t="s">
        <v>1968</v>
      </c>
      <c r="L19" s="22" t="str">
        <f t="shared" si="0"/>
        <v>EXCLUDE</v>
      </c>
      <c r="M19" s="22" t="str">
        <f t="shared" si="1"/>
        <v>Wrong domain (non-AECO)</v>
      </c>
      <c r="N19" s="23"/>
      <c r="O19" s="23"/>
      <c r="P19" s="24"/>
      <c r="Q19" s="24"/>
      <c r="R19" s="24"/>
      <c r="S19" s="22" t="str">
        <f t="shared" si="2"/>
        <v/>
      </c>
      <c r="T19" s="22" t="str">
        <f t="shared" si="3"/>
        <v/>
      </c>
      <c r="U19" s="25"/>
      <c r="V19" s="25"/>
      <c r="W19" s="25"/>
      <c r="X19" s="25"/>
      <c r="Y19" s="22" t="str">
        <f t="shared" si="4"/>
        <v/>
      </c>
      <c r="Z19" s="25"/>
      <c r="AA19" s="25"/>
      <c r="AB19" s="25"/>
      <c r="AC19" s="25"/>
      <c r="AD19" s="25"/>
      <c r="AE19" s="25"/>
      <c r="AF19" s="25"/>
      <c r="AG19" s="9"/>
      <c r="AH19" s="29"/>
      <c r="AI19" s="29"/>
      <c r="AM19" s="50"/>
      <c r="AN19" s="51" t="s">
        <v>2101</v>
      </c>
      <c r="AO19" s="55" t="s">
        <v>34</v>
      </c>
    </row>
    <row r="20" spans="1:41" ht="45.6" hidden="1" customHeight="1" x14ac:dyDescent="0.3">
      <c r="A20" s="20">
        <v>16</v>
      </c>
      <c r="B20" s="8" t="s">
        <v>2102</v>
      </c>
      <c r="C20" s="26">
        <v>2026</v>
      </c>
      <c r="D20" s="8"/>
      <c r="E20" s="8" t="s">
        <v>37</v>
      </c>
      <c r="F20" s="20" t="s">
        <v>1969</v>
      </c>
      <c r="G20" s="21" t="s">
        <v>1968</v>
      </c>
      <c r="H20" s="21" t="s">
        <v>1979</v>
      </c>
      <c r="I20" s="21" t="s">
        <v>1968</v>
      </c>
      <c r="J20" s="21" t="s">
        <v>1968</v>
      </c>
      <c r="K20" s="21" t="s">
        <v>1968</v>
      </c>
      <c r="L20" s="22" t="str">
        <f t="shared" si="0"/>
        <v>EXCLUDE</v>
      </c>
      <c r="M20" s="22" t="str">
        <f t="shared" si="1"/>
        <v>Digital Twin not core / buzzword</v>
      </c>
      <c r="N20" s="23"/>
      <c r="O20" s="23"/>
      <c r="P20" s="24"/>
      <c r="Q20" s="24"/>
      <c r="R20" s="24"/>
      <c r="S20" s="22" t="str">
        <f t="shared" si="2"/>
        <v/>
      </c>
      <c r="T20" s="22" t="str">
        <f t="shared" si="3"/>
        <v/>
      </c>
      <c r="U20" s="25"/>
      <c r="V20" s="25"/>
      <c r="W20" s="25"/>
      <c r="X20" s="25"/>
      <c r="Y20" s="22" t="str">
        <f t="shared" si="4"/>
        <v/>
      </c>
      <c r="Z20" s="25"/>
      <c r="AA20" s="25"/>
      <c r="AB20" s="25"/>
      <c r="AC20" s="25"/>
      <c r="AD20" s="25"/>
      <c r="AE20" s="25"/>
      <c r="AF20" s="25"/>
      <c r="AG20" s="9"/>
      <c r="AH20" s="29"/>
      <c r="AI20" s="29"/>
      <c r="AM20" s="50"/>
      <c r="AN20" s="51" t="s">
        <v>2103</v>
      </c>
      <c r="AO20" s="55" t="s">
        <v>36</v>
      </c>
    </row>
    <row r="21" spans="1:41" ht="68.400000000000006" hidden="1" customHeight="1" x14ac:dyDescent="0.3">
      <c r="A21" s="20">
        <v>17</v>
      </c>
      <c r="B21" s="8" t="s">
        <v>2104</v>
      </c>
      <c r="C21" s="26">
        <v>2026</v>
      </c>
      <c r="D21" s="8"/>
      <c r="E21" s="8" t="s">
        <v>39</v>
      </c>
      <c r="F21" s="20" t="s">
        <v>1969</v>
      </c>
      <c r="G21" s="21" t="s">
        <v>1979</v>
      </c>
      <c r="H21" s="21" t="s">
        <v>1968</v>
      </c>
      <c r="I21" s="21" t="s">
        <v>1979</v>
      </c>
      <c r="J21" s="21" t="s">
        <v>1968</v>
      </c>
      <c r="K21" s="21" t="s">
        <v>1968</v>
      </c>
      <c r="L21" s="22" t="str">
        <f t="shared" si="0"/>
        <v>EXCLUDE</v>
      </c>
      <c r="M21" s="22" t="str">
        <f t="shared" si="1"/>
        <v>Wrong domain (non-AECO)</v>
      </c>
      <c r="N21" s="23"/>
      <c r="O21" s="23"/>
      <c r="P21" s="24"/>
      <c r="Q21" s="24"/>
      <c r="R21" s="24"/>
      <c r="S21" s="22" t="str">
        <f t="shared" si="2"/>
        <v/>
      </c>
      <c r="T21" s="22" t="str">
        <f t="shared" si="3"/>
        <v/>
      </c>
      <c r="U21" s="25"/>
      <c r="V21" s="25"/>
      <c r="W21" s="25"/>
      <c r="X21" s="25"/>
      <c r="Y21" s="22" t="str">
        <f t="shared" si="4"/>
        <v/>
      </c>
      <c r="Z21" s="25"/>
      <c r="AA21" s="25"/>
      <c r="AB21" s="25"/>
      <c r="AC21" s="25"/>
      <c r="AD21" s="25"/>
      <c r="AE21" s="25"/>
      <c r="AF21" s="25"/>
      <c r="AG21" s="9"/>
      <c r="AH21" s="29"/>
      <c r="AI21" s="29"/>
      <c r="AM21" s="50"/>
      <c r="AN21" s="51" t="s">
        <v>2105</v>
      </c>
      <c r="AO21" s="55" t="s">
        <v>38</v>
      </c>
    </row>
    <row r="22" spans="1:41" ht="45.6" hidden="1" customHeight="1" x14ac:dyDescent="0.3">
      <c r="A22" s="20">
        <v>18</v>
      </c>
      <c r="B22" s="8" t="s">
        <v>2106</v>
      </c>
      <c r="C22" s="26">
        <v>2026</v>
      </c>
      <c r="D22" s="8"/>
      <c r="E22" s="8" t="s">
        <v>41</v>
      </c>
      <c r="F22" s="20" t="s">
        <v>1969</v>
      </c>
      <c r="G22" s="21" t="s">
        <v>1979</v>
      </c>
      <c r="H22" s="21" t="s">
        <v>1968</v>
      </c>
      <c r="I22" s="21" t="s">
        <v>1968</v>
      </c>
      <c r="J22" s="21" t="s">
        <v>1968</v>
      </c>
      <c r="K22" s="21" t="s">
        <v>1968</v>
      </c>
      <c r="L22" s="22" t="str">
        <f t="shared" si="0"/>
        <v>EXCLUDE</v>
      </c>
      <c r="M22" s="22" t="str">
        <f t="shared" si="1"/>
        <v>Wrong domain (non-AECO)</v>
      </c>
      <c r="N22" s="23"/>
      <c r="O22" s="23"/>
      <c r="P22" s="24"/>
      <c r="Q22" s="24"/>
      <c r="R22" s="24"/>
      <c r="S22" s="22" t="str">
        <f t="shared" si="2"/>
        <v/>
      </c>
      <c r="T22" s="22" t="str">
        <f t="shared" si="3"/>
        <v/>
      </c>
      <c r="U22" s="25"/>
      <c r="V22" s="25"/>
      <c r="W22" s="25"/>
      <c r="X22" s="25"/>
      <c r="Y22" s="22" t="str">
        <f t="shared" si="4"/>
        <v/>
      </c>
      <c r="Z22" s="25"/>
      <c r="AA22" s="25"/>
      <c r="AB22" s="25"/>
      <c r="AC22" s="25"/>
      <c r="AD22" s="25"/>
      <c r="AE22" s="25"/>
      <c r="AF22" s="25"/>
      <c r="AG22" s="9"/>
      <c r="AH22" s="29"/>
      <c r="AI22" s="29"/>
      <c r="AM22" s="50"/>
      <c r="AN22" s="51" t="s">
        <v>2107</v>
      </c>
      <c r="AO22" s="55" t="s">
        <v>40</v>
      </c>
    </row>
    <row r="23" spans="1:41" ht="100.95" customHeight="1" x14ac:dyDescent="0.3">
      <c r="A23" s="20">
        <v>19</v>
      </c>
      <c r="B23" s="8" t="s">
        <v>2108</v>
      </c>
      <c r="C23" s="26">
        <v>2025</v>
      </c>
      <c r="D23" s="8"/>
      <c r="E23" s="8" t="s">
        <v>43</v>
      </c>
      <c r="F23" s="20" t="s">
        <v>1969</v>
      </c>
      <c r="G23" s="21" t="s">
        <v>1979</v>
      </c>
      <c r="H23" s="21" t="s">
        <v>1968</v>
      </c>
      <c r="I23" s="21" t="s">
        <v>1968</v>
      </c>
      <c r="J23" s="21" t="s">
        <v>1968</v>
      </c>
      <c r="K23" s="21" t="s">
        <v>1968</v>
      </c>
      <c r="L23" s="22" t="str">
        <f t="shared" si="0"/>
        <v>EXCLUDE</v>
      </c>
      <c r="M23" s="22" t="str">
        <f t="shared" si="1"/>
        <v>Wrong domain (non-AECO)</v>
      </c>
      <c r="N23" s="23"/>
      <c r="O23" s="23"/>
      <c r="P23" s="24"/>
      <c r="Q23" s="24"/>
      <c r="R23" s="24"/>
      <c r="S23" s="22" t="str">
        <f t="shared" si="2"/>
        <v/>
      </c>
      <c r="T23" s="22" t="str">
        <f t="shared" si="3"/>
        <v/>
      </c>
      <c r="U23" s="25"/>
      <c r="V23" s="25"/>
      <c r="W23" s="25"/>
      <c r="X23" s="25"/>
      <c r="Y23" s="22" t="str">
        <f t="shared" si="4"/>
        <v/>
      </c>
      <c r="Z23" s="25"/>
      <c r="AA23" s="25"/>
      <c r="AB23" s="25"/>
      <c r="AC23" s="25"/>
      <c r="AD23" s="25"/>
      <c r="AE23" s="25"/>
      <c r="AF23" s="25"/>
      <c r="AG23" s="9"/>
      <c r="AH23" s="29"/>
      <c r="AI23" s="29"/>
      <c r="AM23" s="50"/>
      <c r="AN23" s="51" t="s">
        <v>2109</v>
      </c>
      <c r="AO23" s="55" t="s">
        <v>42</v>
      </c>
    </row>
    <row r="24" spans="1:41" ht="100.95" customHeight="1" x14ac:dyDescent="0.3">
      <c r="A24" s="20">
        <v>20</v>
      </c>
      <c r="B24" s="8" t="s">
        <v>2110</v>
      </c>
      <c r="C24" s="26">
        <v>2026</v>
      </c>
      <c r="D24" s="8"/>
      <c r="E24" s="8" t="s">
        <v>45</v>
      </c>
      <c r="F24" s="20" t="s">
        <v>1969</v>
      </c>
      <c r="G24" s="21" t="s">
        <v>1979</v>
      </c>
      <c r="H24" s="21" t="s">
        <v>1979</v>
      </c>
      <c r="I24" s="21" t="s">
        <v>1979</v>
      </c>
      <c r="J24" s="21" t="s">
        <v>1968</v>
      </c>
      <c r="K24" s="21" t="s">
        <v>1968</v>
      </c>
      <c r="L24" s="22" t="str">
        <f t="shared" si="0"/>
        <v>EXCLUDE</v>
      </c>
      <c r="M24" s="22" t="str">
        <f t="shared" si="1"/>
        <v>Wrong domain (non-AECO)</v>
      </c>
      <c r="N24" s="23"/>
      <c r="O24" s="23"/>
      <c r="P24" s="24"/>
      <c r="Q24" s="24"/>
      <c r="R24" s="24"/>
      <c r="S24" s="22" t="str">
        <f t="shared" si="2"/>
        <v/>
      </c>
      <c r="T24" s="22" t="str">
        <f t="shared" si="3"/>
        <v/>
      </c>
      <c r="U24" s="25"/>
      <c r="V24" s="25"/>
      <c r="W24" s="25"/>
      <c r="X24" s="25"/>
      <c r="Y24" s="22" t="str">
        <f t="shared" si="4"/>
        <v/>
      </c>
      <c r="Z24" s="25"/>
      <c r="AA24" s="25"/>
      <c r="AB24" s="25"/>
      <c r="AC24" s="25"/>
      <c r="AD24" s="25"/>
      <c r="AE24" s="25"/>
      <c r="AF24" s="25"/>
      <c r="AG24" s="9"/>
      <c r="AH24" s="29"/>
      <c r="AI24" s="29"/>
      <c r="AM24" s="50"/>
      <c r="AN24" s="51" t="s">
        <v>2111</v>
      </c>
      <c r="AO24" s="55" t="s">
        <v>44</v>
      </c>
    </row>
    <row r="25" spans="1:41" ht="144" customHeight="1" x14ac:dyDescent="0.3">
      <c r="A25" s="20">
        <v>21</v>
      </c>
      <c r="B25" s="8" t="s">
        <v>2112</v>
      </c>
      <c r="C25" s="26">
        <v>2025</v>
      </c>
      <c r="D25" s="8"/>
      <c r="E25" s="8" t="s">
        <v>47</v>
      </c>
      <c r="F25" s="20" t="s">
        <v>1969</v>
      </c>
      <c r="G25" s="21" t="s">
        <v>1968</v>
      </c>
      <c r="H25" s="21" t="s">
        <v>1979</v>
      </c>
      <c r="I25" s="21" t="s">
        <v>1979</v>
      </c>
      <c r="J25" s="21" t="s">
        <v>1968</v>
      </c>
      <c r="K25" s="21" t="s">
        <v>1968</v>
      </c>
      <c r="L25" s="22" t="str">
        <f t="shared" si="0"/>
        <v>EXCLUDE</v>
      </c>
      <c r="M25" s="22" t="str">
        <f t="shared" si="1"/>
        <v>Digital Twin not core / buzzword</v>
      </c>
      <c r="N25" s="23"/>
      <c r="O25" s="23"/>
      <c r="P25" s="24"/>
      <c r="Q25" s="24"/>
      <c r="R25" s="24"/>
      <c r="S25" s="22" t="str">
        <f t="shared" si="2"/>
        <v/>
      </c>
      <c r="T25" s="22" t="str">
        <f t="shared" si="3"/>
        <v/>
      </c>
      <c r="U25" s="25"/>
      <c r="V25" s="25"/>
      <c r="W25" s="25"/>
      <c r="X25" s="25"/>
      <c r="Y25" s="22" t="str">
        <f t="shared" si="4"/>
        <v/>
      </c>
      <c r="Z25" s="25"/>
      <c r="AA25" s="25"/>
      <c r="AB25" s="25"/>
      <c r="AC25" s="25"/>
      <c r="AD25" s="25"/>
      <c r="AE25" s="25"/>
      <c r="AF25" s="25"/>
      <c r="AG25" s="9"/>
      <c r="AH25" s="29"/>
      <c r="AI25" s="29"/>
      <c r="AM25" s="50"/>
      <c r="AN25" s="51" t="s">
        <v>2113</v>
      </c>
      <c r="AO25" s="55" t="s">
        <v>46</v>
      </c>
    </row>
    <row r="26" spans="1:41" ht="216" customHeight="1" x14ac:dyDescent="0.3">
      <c r="A26" s="20">
        <v>22</v>
      </c>
      <c r="B26" s="8" t="s">
        <v>2114</v>
      </c>
      <c r="C26" s="26">
        <v>2025</v>
      </c>
      <c r="D26" s="8"/>
      <c r="E26" s="8" t="s">
        <v>49</v>
      </c>
      <c r="F26" s="20" t="s">
        <v>1969</v>
      </c>
      <c r="G26" s="21" t="s">
        <v>1968</v>
      </c>
      <c r="H26" s="21" t="s">
        <v>1979</v>
      </c>
      <c r="I26" s="21" t="s">
        <v>1979</v>
      </c>
      <c r="J26" s="21" t="s">
        <v>1968</v>
      </c>
      <c r="K26" s="21" t="s">
        <v>1968</v>
      </c>
      <c r="L26" s="22" t="str">
        <f t="shared" si="0"/>
        <v>EXCLUDE</v>
      </c>
      <c r="M26" s="22" t="str">
        <f t="shared" si="1"/>
        <v>Digital Twin not core / buzzword</v>
      </c>
      <c r="N26" s="23"/>
      <c r="O26" s="23"/>
      <c r="P26" s="24"/>
      <c r="Q26" s="24"/>
      <c r="R26" s="24"/>
      <c r="S26" s="22" t="str">
        <f t="shared" si="2"/>
        <v/>
      </c>
      <c r="T26" s="22" t="str">
        <f t="shared" si="3"/>
        <v/>
      </c>
      <c r="U26" s="25"/>
      <c r="V26" s="25"/>
      <c r="W26" s="25"/>
      <c r="X26" s="25"/>
      <c r="Y26" s="22" t="str">
        <f t="shared" si="4"/>
        <v/>
      </c>
      <c r="Z26" s="25"/>
      <c r="AA26" s="25"/>
      <c r="AB26" s="25"/>
      <c r="AC26" s="25"/>
      <c r="AD26" s="25"/>
      <c r="AE26" s="25"/>
      <c r="AF26" s="25"/>
      <c r="AG26" s="9"/>
      <c r="AH26" s="29"/>
      <c r="AI26" s="29"/>
      <c r="AM26" s="50"/>
      <c r="AN26" s="51" t="s">
        <v>2115</v>
      </c>
      <c r="AO26" s="55" t="s">
        <v>48</v>
      </c>
    </row>
    <row r="27" spans="1:41" ht="115.2" customHeight="1" x14ac:dyDescent="0.3">
      <c r="A27" s="20">
        <v>23</v>
      </c>
      <c r="B27" s="8" t="s">
        <v>2116</v>
      </c>
      <c r="C27" s="26">
        <v>2026</v>
      </c>
      <c r="D27" s="8"/>
      <c r="E27" s="8" t="s">
        <v>51</v>
      </c>
      <c r="F27" s="20" t="s">
        <v>1969</v>
      </c>
      <c r="G27" s="21" t="s">
        <v>1968</v>
      </c>
      <c r="H27" s="21" t="s">
        <v>1979</v>
      </c>
      <c r="I27" s="21" t="s">
        <v>1968</v>
      </c>
      <c r="J27" s="21" t="s">
        <v>1968</v>
      </c>
      <c r="K27" s="21" t="s">
        <v>1968</v>
      </c>
      <c r="L27" s="22" t="str">
        <f t="shared" si="0"/>
        <v>EXCLUDE</v>
      </c>
      <c r="M27" s="22" t="str">
        <f t="shared" si="1"/>
        <v>Digital Twin not core / buzzword</v>
      </c>
      <c r="N27" s="23"/>
      <c r="O27" s="23"/>
      <c r="P27" s="24"/>
      <c r="Q27" s="24"/>
      <c r="R27" s="24"/>
      <c r="S27" s="22" t="str">
        <f t="shared" si="2"/>
        <v/>
      </c>
      <c r="T27" s="22" t="str">
        <f t="shared" si="3"/>
        <v/>
      </c>
      <c r="U27" s="25"/>
      <c r="V27" s="25"/>
      <c r="W27" s="25"/>
      <c r="X27" s="25"/>
      <c r="Y27" s="22" t="str">
        <f t="shared" si="4"/>
        <v/>
      </c>
      <c r="Z27" s="25"/>
      <c r="AA27" s="25"/>
      <c r="AB27" s="25"/>
      <c r="AC27" s="25"/>
      <c r="AD27" s="25"/>
      <c r="AE27" s="25"/>
      <c r="AF27" s="25"/>
      <c r="AG27" s="9"/>
      <c r="AH27" s="29"/>
      <c r="AI27" s="29"/>
      <c r="AM27" s="50"/>
      <c r="AN27" s="51" t="s">
        <v>2117</v>
      </c>
      <c r="AO27" s="55" t="s">
        <v>50</v>
      </c>
    </row>
    <row r="28" spans="1:41" ht="72" hidden="1" customHeight="1" x14ac:dyDescent="0.3">
      <c r="A28" s="20">
        <v>24</v>
      </c>
      <c r="B28" s="8" t="s">
        <v>2118</v>
      </c>
      <c r="C28" s="26">
        <v>2025</v>
      </c>
      <c r="D28" s="8"/>
      <c r="E28" s="8" t="s">
        <v>53</v>
      </c>
      <c r="F28" s="20" t="s">
        <v>1969</v>
      </c>
      <c r="G28" s="21" t="s">
        <v>1968</v>
      </c>
      <c r="H28" s="21" t="s">
        <v>1979</v>
      </c>
      <c r="I28" s="21" t="s">
        <v>1968</v>
      </c>
      <c r="J28" s="21" t="s">
        <v>1968</v>
      </c>
      <c r="K28" s="21" t="s">
        <v>1968</v>
      </c>
      <c r="L28" s="22" t="str">
        <f t="shared" si="0"/>
        <v>EXCLUDE</v>
      </c>
      <c r="M28" s="22" t="str">
        <f t="shared" si="1"/>
        <v>Digital Twin not core / buzzword</v>
      </c>
      <c r="N28" s="23"/>
      <c r="O28" s="23"/>
      <c r="P28" s="24"/>
      <c r="Q28" s="24"/>
      <c r="R28" s="24"/>
      <c r="S28" s="22" t="str">
        <f t="shared" si="2"/>
        <v/>
      </c>
      <c r="T28" s="22" t="str">
        <f t="shared" si="3"/>
        <v/>
      </c>
      <c r="U28" s="25"/>
      <c r="V28" s="25"/>
      <c r="W28" s="25"/>
      <c r="X28" s="25"/>
      <c r="Y28" s="22" t="str">
        <f t="shared" si="4"/>
        <v/>
      </c>
      <c r="Z28" s="25"/>
      <c r="AA28" s="25"/>
      <c r="AB28" s="25"/>
      <c r="AC28" s="25"/>
      <c r="AD28" s="25"/>
      <c r="AE28" s="25"/>
      <c r="AF28" s="25"/>
      <c r="AG28" s="9"/>
      <c r="AH28" s="29"/>
      <c r="AI28" s="29"/>
      <c r="AM28" s="50"/>
      <c r="AN28" s="51" t="s">
        <v>2119</v>
      </c>
      <c r="AO28" s="55" t="s">
        <v>52</v>
      </c>
    </row>
    <row r="29" spans="1:41" ht="45.6" hidden="1" customHeight="1" x14ac:dyDescent="0.3">
      <c r="A29" s="20">
        <v>25</v>
      </c>
      <c r="B29" s="8" t="s">
        <v>2120</v>
      </c>
      <c r="C29" s="26">
        <v>2025</v>
      </c>
      <c r="D29" s="8"/>
      <c r="E29" s="8" t="s">
        <v>55</v>
      </c>
      <c r="F29" s="20" t="s">
        <v>1969</v>
      </c>
      <c r="G29" s="21" t="s">
        <v>1979</v>
      </c>
      <c r="H29" s="21" t="s">
        <v>1979</v>
      </c>
      <c r="I29" s="21" t="s">
        <v>1968</v>
      </c>
      <c r="J29" s="21" t="s">
        <v>1968</v>
      </c>
      <c r="K29" s="21" t="s">
        <v>1968</v>
      </c>
      <c r="L29" s="22" t="str">
        <f t="shared" si="0"/>
        <v>EXCLUDE</v>
      </c>
      <c r="M29" s="22" t="str">
        <f t="shared" si="1"/>
        <v>Wrong domain (non-AECO)</v>
      </c>
      <c r="N29" s="23"/>
      <c r="O29" s="23"/>
      <c r="P29" s="24"/>
      <c r="Q29" s="24"/>
      <c r="R29" s="24"/>
      <c r="S29" s="22" t="str">
        <f t="shared" si="2"/>
        <v/>
      </c>
      <c r="T29" s="22" t="str">
        <f t="shared" si="3"/>
        <v/>
      </c>
      <c r="U29" s="25"/>
      <c r="V29" s="25"/>
      <c r="W29" s="25"/>
      <c r="X29" s="25"/>
      <c r="Y29" s="22" t="str">
        <f t="shared" si="4"/>
        <v/>
      </c>
      <c r="Z29" s="25"/>
      <c r="AA29" s="25"/>
      <c r="AB29" s="25"/>
      <c r="AC29" s="25"/>
      <c r="AD29" s="25"/>
      <c r="AE29" s="25"/>
      <c r="AF29" s="25"/>
      <c r="AG29" s="9"/>
      <c r="AH29" s="29"/>
      <c r="AI29" s="29"/>
      <c r="AM29" s="50"/>
      <c r="AN29" s="51" t="s">
        <v>2121</v>
      </c>
      <c r="AO29" s="55" t="s">
        <v>54</v>
      </c>
    </row>
    <row r="30" spans="1:41" ht="68.400000000000006" hidden="1" customHeight="1" x14ac:dyDescent="0.3">
      <c r="A30" s="20">
        <v>26</v>
      </c>
      <c r="B30" s="8" t="s">
        <v>2122</v>
      </c>
      <c r="C30" s="26">
        <v>2026</v>
      </c>
      <c r="D30" s="8"/>
      <c r="E30" s="8" t="s">
        <v>57</v>
      </c>
      <c r="F30" s="20" t="s">
        <v>1969</v>
      </c>
      <c r="G30" s="21" t="s">
        <v>1968</v>
      </c>
      <c r="H30" s="21" t="s">
        <v>1968</v>
      </c>
      <c r="I30" s="21" t="s">
        <v>1968</v>
      </c>
      <c r="J30" s="21" t="s">
        <v>1968</v>
      </c>
      <c r="K30" s="21" t="s">
        <v>1968</v>
      </c>
      <c r="L30" s="22" t="str">
        <f t="shared" si="0"/>
        <v>INCLUDE</v>
      </c>
      <c r="M30" s="22" t="str">
        <f t="shared" si="1"/>
        <v/>
      </c>
      <c r="N30" s="23" t="s">
        <v>1968</v>
      </c>
      <c r="O30" s="23" t="s">
        <v>1968</v>
      </c>
      <c r="P30" s="24" t="s">
        <v>1968</v>
      </c>
      <c r="Q30" s="24" t="s">
        <v>1968</v>
      </c>
      <c r="R30" s="24" t="s">
        <v>1968</v>
      </c>
      <c r="S30" s="22" t="str">
        <f t="shared" si="2"/>
        <v>INCLUDE</v>
      </c>
      <c r="T30" s="22" t="str">
        <f t="shared" si="3"/>
        <v/>
      </c>
      <c r="U30" s="25" t="s">
        <v>1982</v>
      </c>
      <c r="V30" s="25">
        <v>1</v>
      </c>
      <c r="W30" s="25">
        <v>1</v>
      </c>
      <c r="X30" s="25">
        <v>1</v>
      </c>
      <c r="Y30" s="22" t="str">
        <f t="shared" si="4"/>
        <v>Multi</v>
      </c>
      <c r="Z30" s="25" t="s">
        <v>1922</v>
      </c>
      <c r="AA30" s="25" t="s">
        <v>1972</v>
      </c>
      <c r="AB30" s="25" t="s">
        <v>2018</v>
      </c>
      <c r="AC30" s="25" t="s">
        <v>1986</v>
      </c>
      <c r="AD30" s="25" t="s">
        <v>2003</v>
      </c>
      <c r="AE30" s="25">
        <v>4</v>
      </c>
      <c r="AF30" s="25" t="s">
        <v>2012</v>
      </c>
      <c r="AG30" s="9" t="s">
        <v>2123</v>
      </c>
      <c r="AH30" s="29" t="s">
        <v>2124</v>
      </c>
      <c r="AI30" s="29" t="s">
        <v>2125</v>
      </c>
      <c r="AJ30" t="s">
        <v>1997</v>
      </c>
      <c r="AK30" t="s">
        <v>2126</v>
      </c>
      <c r="AL30" t="s">
        <v>1990</v>
      </c>
      <c r="AM30" s="50"/>
      <c r="AN30" s="51" t="s">
        <v>2127</v>
      </c>
      <c r="AO30" s="55" t="s">
        <v>56</v>
      </c>
    </row>
    <row r="31" spans="1:41" ht="45.6" hidden="1" customHeight="1" x14ac:dyDescent="0.3">
      <c r="A31" s="20">
        <v>27</v>
      </c>
      <c r="B31" s="8" t="s">
        <v>2128</v>
      </c>
      <c r="C31" s="26">
        <v>2025</v>
      </c>
      <c r="D31" s="8"/>
      <c r="E31" s="8" t="s">
        <v>59</v>
      </c>
      <c r="F31" s="20" t="s">
        <v>1969</v>
      </c>
      <c r="G31" s="21" t="s">
        <v>1968</v>
      </c>
      <c r="H31" s="21" t="s">
        <v>1979</v>
      </c>
      <c r="I31" s="21" t="s">
        <v>1968</v>
      </c>
      <c r="J31" s="21" t="s">
        <v>1968</v>
      </c>
      <c r="K31" s="21" t="s">
        <v>1968</v>
      </c>
      <c r="L31" s="22" t="str">
        <f t="shared" si="0"/>
        <v>EXCLUDE</v>
      </c>
      <c r="M31" s="22" t="str">
        <f t="shared" si="1"/>
        <v>Digital Twin not core / buzzword</v>
      </c>
      <c r="N31" s="23"/>
      <c r="O31" s="23"/>
      <c r="P31" s="24"/>
      <c r="Q31" s="24"/>
      <c r="R31" s="24"/>
      <c r="S31" s="22" t="str">
        <f t="shared" si="2"/>
        <v/>
      </c>
      <c r="T31" s="22" t="str">
        <f t="shared" si="3"/>
        <v/>
      </c>
      <c r="U31" s="25"/>
      <c r="V31" s="25"/>
      <c r="W31" s="25"/>
      <c r="X31" s="25"/>
      <c r="Y31" s="22" t="str">
        <f t="shared" si="4"/>
        <v/>
      </c>
      <c r="Z31" s="25"/>
      <c r="AA31" s="25"/>
      <c r="AB31" s="25"/>
      <c r="AC31" s="25"/>
      <c r="AD31" s="25"/>
      <c r="AE31" s="25"/>
      <c r="AF31" s="25"/>
      <c r="AG31" s="9"/>
      <c r="AH31" s="29"/>
      <c r="AI31" s="29"/>
      <c r="AM31" s="50"/>
      <c r="AN31" s="51" t="s">
        <v>2129</v>
      </c>
      <c r="AO31" s="55" t="s">
        <v>58</v>
      </c>
    </row>
    <row r="32" spans="1:41" ht="72" hidden="1" customHeight="1" x14ac:dyDescent="0.3">
      <c r="A32" s="20">
        <v>28</v>
      </c>
      <c r="B32" s="8" t="s">
        <v>2130</v>
      </c>
      <c r="C32" s="26">
        <v>2026</v>
      </c>
      <c r="D32" s="8"/>
      <c r="E32" s="8" t="s">
        <v>61</v>
      </c>
      <c r="F32" s="20" t="s">
        <v>1969</v>
      </c>
      <c r="G32" s="21" t="s">
        <v>1968</v>
      </c>
      <c r="H32" s="21" t="s">
        <v>1979</v>
      </c>
      <c r="I32" s="21" t="s">
        <v>1968</v>
      </c>
      <c r="J32" s="21" t="s">
        <v>1968</v>
      </c>
      <c r="K32" s="21" t="s">
        <v>1968</v>
      </c>
      <c r="L32" s="22" t="str">
        <f t="shared" si="0"/>
        <v>EXCLUDE</v>
      </c>
      <c r="M32" s="22" t="str">
        <f t="shared" si="1"/>
        <v>Digital Twin not core / buzzword</v>
      </c>
      <c r="N32" s="23"/>
      <c r="O32" s="23"/>
      <c r="P32" s="24"/>
      <c r="Q32" s="24"/>
      <c r="R32" s="24"/>
      <c r="S32" s="22" t="str">
        <f t="shared" si="2"/>
        <v/>
      </c>
      <c r="T32" s="22" t="str">
        <f t="shared" si="3"/>
        <v/>
      </c>
      <c r="U32" s="25"/>
      <c r="V32" s="25"/>
      <c r="W32" s="25"/>
      <c r="X32" s="25"/>
      <c r="Y32" s="22" t="str">
        <f t="shared" si="4"/>
        <v/>
      </c>
      <c r="Z32" s="25"/>
      <c r="AA32" s="25"/>
      <c r="AB32" s="25"/>
      <c r="AC32" s="25"/>
      <c r="AD32" s="25"/>
      <c r="AE32" s="25"/>
      <c r="AF32" s="25"/>
      <c r="AG32" s="9"/>
      <c r="AH32" s="29"/>
      <c r="AI32" s="29"/>
      <c r="AM32" s="50"/>
      <c r="AN32" s="51" t="s">
        <v>2131</v>
      </c>
      <c r="AO32" s="55" t="s">
        <v>60</v>
      </c>
    </row>
    <row r="33" spans="1:41" ht="45.6" hidden="1" customHeight="1" x14ac:dyDescent="0.3">
      <c r="A33" s="20">
        <v>29</v>
      </c>
      <c r="B33" s="8" t="s">
        <v>2132</v>
      </c>
      <c r="C33" s="26">
        <v>2026</v>
      </c>
      <c r="D33" s="8"/>
      <c r="E33" s="8" t="s">
        <v>63</v>
      </c>
      <c r="F33" s="20" t="s">
        <v>1969</v>
      </c>
      <c r="G33" s="21" t="s">
        <v>1979</v>
      </c>
      <c r="H33" s="21" t="s">
        <v>1968</v>
      </c>
      <c r="I33" s="21" t="s">
        <v>1979</v>
      </c>
      <c r="J33" s="21" t="s">
        <v>1968</v>
      </c>
      <c r="K33" s="21" t="s">
        <v>1968</v>
      </c>
      <c r="L33" s="22" t="str">
        <f t="shared" si="0"/>
        <v>EXCLUDE</v>
      </c>
      <c r="M33" s="22" t="str">
        <f t="shared" si="1"/>
        <v>Wrong domain (non-AECO)</v>
      </c>
      <c r="N33" s="23"/>
      <c r="O33" s="23"/>
      <c r="P33" s="24"/>
      <c r="Q33" s="24"/>
      <c r="R33" s="24"/>
      <c r="S33" s="22" t="str">
        <f t="shared" si="2"/>
        <v/>
      </c>
      <c r="T33" s="22" t="str">
        <f t="shared" si="3"/>
        <v/>
      </c>
      <c r="U33" s="25"/>
      <c r="V33" s="25"/>
      <c r="W33" s="25"/>
      <c r="X33" s="25"/>
      <c r="Y33" s="22" t="str">
        <f t="shared" si="4"/>
        <v/>
      </c>
      <c r="Z33" s="25"/>
      <c r="AA33" s="25"/>
      <c r="AB33" s="25"/>
      <c r="AC33" s="25"/>
      <c r="AD33" s="25"/>
      <c r="AE33" s="25"/>
      <c r="AF33" s="25"/>
      <c r="AG33" s="9"/>
      <c r="AH33" s="29"/>
      <c r="AI33" s="29"/>
      <c r="AM33" s="50"/>
      <c r="AN33" s="51" t="s">
        <v>2133</v>
      </c>
      <c r="AO33" s="55" t="s">
        <v>62</v>
      </c>
    </row>
    <row r="34" spans="1:41" ht="79.95" hidden="1" customHeight="1" x14ac:dyDescent="0.3">
      <c r="A34" s="20">
        <v>30</v>
      </c>
      <c r="B34" s="8" t="s">
        <v>2134</v>
      </c>
      <c r="C34" s="26">
        <v>2026</v>
      </c>
      <c r="D34" s="8"/>
      <c r="E34" s="8" t="s">
        <v>65</v>
      </c>
      <c r="F34" s="20" t="s">
        <v>1969</v>
      </c>
      <c r="G34" s="21" t="s">
        <v>1979</v>
      </c>
      <c r="H34" s="21" t="s">
        <v>1968</v>
      </c>
      <c r="I34" s="21" t="s">
        <v>1968</v>
      </c>
      <c r="J34" s="21" t="s">
        <v>1968</v>
      </c>
      <c r="K34" s="21" t="s">
        <v>1968</v>
      </c>
      <c r="L34" s="22" t="str">
        <f t="shared" si="0"/>
        <v>EXCLUDE</v>
      </c>
      <c r="M34" s="22" t="str">
        <f t="shared" si="1"/>
        <v>Wrong domain (non-AECO)</v>
      </c>
      <c r="N34" s="23"/>
      <c r="O34" s="23"/>
      <c r="P34" s="24"/>
      <c r="Q34" s="24"/>
      <c r="R34" s="24"/>
      <c r="S34" s="22" t="str">
        <f t="shared" si="2"/>
        <v/>
      </c>
      <c r="T34" s="22" t="str">
        <f t="shared" si="3"/>
        <v/>
      </c>
      <c r="U34" s="25"/>
      <c r="V34" s="25"/>
      <c r="W34" s="25"/>
      <c r="X34" s="25"/>
      <c r="Y34" s="22" t="str">
        <f t="shared" si="4"/>
        <v/>
      </c>
      <c r="Z34" s="25"/>
      <c r="AA34" s="25"/>
      <c r="AB34" s="25"/>
      <c r="AC34" s="25"/>
      <c r="AD34" s="25"/>
      <c r="AE34" s="25"/>
      <c r="AF34" s="25"/>
      <c r="AG34" s="9"/>
      <c r="AH34" s="29"/>
      <c r="AI34" s="29"/>
      <c r="AM34" s="50"/>
      <c r="AN34" s="51" t="s">
        <v>2135</v>
      </c>
      <c r="AO34" s="55" t="s">
        <v>64</v>
      </c>
    </row>
    <row r="35" spans="1:41" ht="34.200000000000003" hidden="1" customHeight="1" x14ac:dyDescent="0.3">
      <c r="A35" s="20">
        <v>31</v>
      </c>
      <c r="B35" s="8" t="s">
        <v>2136</v>
      </c>
      <c r="C35" s="26">
        <v>2025</v>
      </c>
      <c r="D35" s="8"/>
      <c r="E35" s="8" t="s">
        <v>67</v>
      </c>
      <c r="F35" s="20" t="s">
        <v>1969</v>
      </c>
      <c r="G35" s="21" t="s">
        <v>1968</v>
      </c>
      <c r="H35" s="21" t="s">
        <v>1968</v>
      </c>
      <c r="I35" s="21" t="s">
        <v>1968</v>
      </c>
      <c r="J35" s="21" t="s">
        <v>1968</v>
      </c>
      <c r="K35" s="21" t="s">
        <v>1968</v>
      </c>
      <c r="L35" s="22" t="str">
        <f t="shared" si="0"/>
        <v>INCLUDE</v>
      </c>
      <c r="M35" s="22" t="str">
        <f t="shared" si="1"/>
        <v/>
      </c>
      <c r="N35" s="23" t="s">
        <v>1968</v>
      </c>
      <c r="O35" s="23" t="s">
        <v>1968</v>
      </c>
      <c r="P35" s="24" t="s">
        <v>1968</v>
      </c>
      <c r="Q35" s="24" t="s">
        <v>1968</v>
      </c>
      <c r="R35" s="24" t="s">
        <v>1968</v>
      </c>
      <c r="S35" s="22" t="str">
        <f t="shared" si="2"/>
        <v>INCLUDE</v>
      </c>
      <c r="T35" s="22" t="str">
        <f t="shared" si="3"/>
        <v/>
      </c>
      <c r="U35" s="25" t="s">
        <v>1982</v>
      </c>
      <c r="V35" s="25">
        <v>0</v>
      </c>
      <c r="W35" s="25">
        <v>0</v>
      </c>
      <c r="X35" s="25">
        <v>1</v>
      </c>
      <c r="Y35" s="22" t="str">
        <f t="shared" si="4"/>
        <v>Single</v>
      </c>
      <c r="Z35" s="25" t="s">
        <v>1922</v>
      </c>
      <c r="AA35" s="25" t="s">
        <v>1993</v>
      </c>
      <c r="AB35" s="25" t="s">
        <v>2011</v>
      </c>
      <c r="AC35" s="25" t="s">
        <v>1986</v>
      </c>
      <c r="AD35" s="25" t="s">
        <v>2003</v>
      </c>
      <c r="AE35" s="25">
        <v>4</v>
      </c>
      <c r="AF35" s="25" t="s">
        <v>2010</v>
      </c>
      <c r="AG35" s="9" t="s">
        <v>2137</v>
      </c>
      <c r="AH35" s="29" t="s">
        <v>2138</v>
      </c>
      <c r="AI35" s="29" t="s">
        <v>2139</v>
      </c>
      <c r="AJ35" t="s">
        <v>2005</v>
      </c>
      <c r="AK35" t="s">
        <v>2140</v>
      </c>
      <c r="AL35" t="s">
        <v>1978</v>
      </c>
      <c r="AM35" s="50"/>
      <c r="AN35" s="51" t="s">
        <v>2141</v>
      </c>
      <c r="AO35" s="55" t="s">
        <v>66</v>
      </c>
    </row>
    <row r="36" spans="1:41" ht="79.95" hidden="1" customHeight="1" x14ac:dyDescent="0.3">
      <c r="A36" s="20">
        <v>32</v>
      </c>
      <c r="B36" s="8" t="s">
        <v>2142</v>
      </c>
      <c r="C36" s="26">
        <v>2026</v>
      </c>
      <c r="D36" s="8"/>
      <c r="E36" s="8" t="s">
        <v>69</v>
      </c>
      <c r="F36" s="20" t="s">
        <v>1969</v>
      </c>
      <c r="G36" s="21" t="s">
        <v>1979</v>
      </c>
      <c r="H36" s="21" t="s">
        <v>1968</v>
      </c>
      <c r="I36" s="21" t="s">
        <v>1968</v>
      </c>
      <c r="J36" s="21" t="s">
        <v>1968</v>
      </c>
      <c r="K36" s="21" t="s">
        <v>1968</v>
      </c>
      <c r="L36" s="22" t="str">
        <f t="shared" si="0"/>
        <v>EXCLUDE</v>
      </c>
      <c r="M36" s="22" t="str">
        <f t="shared" si="1"/>
        <v>Wrong domain (non-AECO)</v>
      </c>
      <c r="N36" s="23"/>
      <c r="O36" s="23"/>
      <c r="P36" s="24"/>
      <c r="Q36" s="24"/>
      <c r="R36" s="24"/>
      <c r="S36" s="22" t="str">
        <f t="shared" si="2"/>
        <v/>
      </c>
      <c r="T36" s="22" t="str">
        <f t="shared" si="3"/>
        <v/>
      </c>
      <c r="U36" s="25"/>
      <c r="V36" s="25"/>
      <c r="W36" s="25"/>
      <c r="X36" s="25"/>
      <c r="Y36" s="22" t="str">
        <f t="shared" si="4"/>
        <v/>
      </c>
      <c r="Z36" s="25"/>
      <c r="AA36" s="25"/>
      <c r="AB36" s="25"/>
      <c r="AC36" s="25"/>
      <c r="AD36" s="25"/>
      <c r="AE36" s="25"/>
      <c r="AF36" s="25"/>
      <c r="AG36" s="9"/>
      <c r="AH36" s="29"/>
      <c r="AI36" s="29"/>
      <c r="AM36" s="50"/>
      <c r="AN36" s="51" t="s">
        <v>2143</v>
      </c>
      <c r="AO36" s="55" t="s">
        <v>68</v>
      </c>
    </row>
    <row r="37" spans="1:41" ht="57" hidden="1" customHeight="1" x14ac:dyDescent="0.3">
      <c r="A37" s="20">
        <v>33</v>
      </c>
      <c r="B37" s="8" t="s">
        <v>2144</v>
      </c>
      <c r="C37" s="26">
        <v>2025</v>
      </c>
      <c r="D37" s="8"/>
      <c r="E37" s="8" t="s">
        <v>71</v>
      </c>
      <c r="F37" s="20" t="s">
        <v>1969</v>
      </c>
      <c r="G37" s="21" t="s">
        <v>1979</v>
      </c>
      <c r="H37" s="21" t="s">
        <v>1968</v>
      </c>
      <c r="I37" s="21" t="s">
        <v>1968</v>
      </c>
      <c r="J37" s="21" t="s">
        <v>1968</v>
      </c>
      <c r="K37" s="21" t="s">
        <v>1968</v>
      </c>
      <c r="L37" s="22" t="str">
        <f t="shared" si="0"/>
        <v>EXCLUDE</v>
      </c>
      <c r="M37" s="22" t="str">
        <f t="shared" si="1"/>
        <v>Wrong domain (non-AECO)</v>
      </c>
      <c r="N37" s="23"/>
      <c r="O37" s="23"/>
      <c r="P37" s="24"/>
      <c r="Q37" s="24"/>
      <c r="R37" s="24"/>
      <c r="S37" s="22" t="str">
        <f t="shared" si="2"/>
        <v/>
      </c>
      <c r="T37" s="22" t="str">
        <f t="shared" si="3"/>
        <v/>
      </c>
      <c r="U37" s="25"/>
      <c r="V37" s="25"/>
      <c r="W37" s="25"/>
      <c r="X37" s="25"/>
      <c r="Y37" s="22" t="str">
        <f t="shared" si="4"/>
        <v/>
      </c>
      <c r="Z37" s="25"/>
      <c r="AA37" s="25"/>
      <c r="AB37" s="25"/>
      <c r="AC37" s="25"/>
      <c r="AD37" s="25"/>
      <c r="AE37" s="25"/>
      <c r="AF37" s="25"/>
      <c r="AG37" s="9"/>
      <c r="AH37" s="29"/>
      <c r="AI37" s="29"/>
      <c r="AM37" s="50"/>
      <c r="AN37" s="51" t="s">
        <v>2145</v>
      </c>
      <c r="AO37" s="55" t="s">
        <v>70</v>
      </c>
    </row>
    <row r="38" spans="1:41" ht="45.6" hidden="1" customHeight="1" x14ac:dyDescent="0.3">
      <c r="A38" s="20">
        <v>34</v>
      </c>
      <c r="B38" s="8" t="s">
        <v>2146</v>
      </c>
      <c r="C38" s="26">
        <v>2025</v>
      </c>
      <c r="D38" s="8"/>
      <c r="E38" s="8" t="s">
        <v>73</v>
      </c>
      <c r="F38" s="20" t="s">
        <v>1969</v>
      </c>
      <c r="G38" s="21" t="s">
        <v>1968</v>
      </c>
      <c r="H38" s="21" t="s">
        <v>1979</v>
      </c>
      <c r="I38" s="21" t="s">
        <v>1979</v>
      </c>
      <c r="J38" s="21" t="s">
        <v>1968</v>
      </c>
      <c r="K38" s="21" t="s">
        <v>1968</v>
      </c>
      <c r="L38" s="22" t="str">
        <f t="shared" si="0"/>
        <v>EXCLUDE</v>
      </c>
      <c r="M38" s="22" t="str">
        <f t="shared" si="1"/>
        <v>Digital Twin not core / buzzword</v>
      </c>
      <c r="N38" s="23"/>
      <c r="O38" s="23"/>
      <c r="P38" s="24"/>
      <c r="Q38" s="24"/>
      <c r="R38" s="24"/>
      <c r="S38" s="22" t="str">
        <f t="shared" si="2"/>
        <v/>
      </c>
      <c r="T38" s="22" t="str">
        <f t="shared" si="3"/>
        <v/>
      </c>
      <c r="U38" s="25"/>
      <c r="V38" s="25"/>
      <c r="W38" s="25"/>
      <c r="X38" s="25"/>
      <c r="Y38" s="22" t="str">
        <f t="shared" si="4"/>
        <v/>
      </c>
      <c r="Z38" s="25"/>
      <c r="AA38" s="25"/>
      <c r="AB38" s="25"/>
      <c r="AC38" s="25"/>
      <c r="AD38" s="25"/>
      <c r="AE38" s="25"/>
      <c r="AF38" s="25"/>
      <c r="AG38" s="9"/>
      <c r="AH38" s="29"/>
      <c r="AI38" s="29"/>
      <c r="AM38" s="50"/>
      <c r="AN38" s="51" t="s">
        <v>2147</v>
      </c>
      <c r="AO38" s="55" t="s">
        <v>72</v>
      </c>
    </row>
    <row r="39" spans="1:41" ht="79.95" customHeight="1" x14ac:dyDescent="0.3">
      <c r="A39" s="20">
        <v>35</v>
      </c>
      <c r="B39" s="8" t="s">
        <v>2148</v>
      </c>
      <c r="C39" s="26">
        <v>2026</v>
      </c>
      <c r="D39" s="8"/>
      <c r="E39" s="8" t="s">
        <v>75</v>
      </c>
      <c r="F39" s="20" t="s">
        <v>1969</v>
      </c>
      <c r="G39" s="21" t="s">
        <v>1979</v>
      </c>
      <c r="H39" s="21" t="s">
        <v>1979</v>
      </c>
      <c r="I39" s="21" t="s">
        <v>1968</v>
      </c>
      <c r="J39" s="21" t="s">
        <v>1968</v>
      </c>
      <c r="K39" s="21" t="s">
        <v>1968</v>
      </c>
      <c r="L39" s="22" t="str">
        <f t="shared" si="0"/>
        <v>EXCLUDE</v>
      </c>
      <c r="M39" s="22" t="str">
        <f t="shared" si="1"/>
        <v>Wrong domain (non-AECO)</v>
      </c>
      <c r="N39" s="23"/>
      <c r="O39" s="23"/>
      <c r="P39" s="24"/>
      <c r="Q39" s="24"/>
      <c r="R39" s="24"/>
      <c r="S39" s="22" t="str">
        <f t="shared" si="2"/>
        <v/>
      </c>
      <c r="T39" s="22" t="str">
        <f t="shared" si="3"/>
        <v/>
      </c>
      <c r="U39" s="25"/>
      <c r="V39" s="25"/>
      <c r="W39" s="25"/>
      <c r="X39" s="25"/>
      <c r="Y39" s="22" t="str">
        <f t="shared" si="4"/>
        <v/>
      </c>
      <c r="Z39" s="25"/>
      <c r="AA39" s="25"/>
      <c r="AB39" s="25"/>
      <c r="AC39" s="25"/>
      <c r="AD39" s="25"/>
      <c r="AE39" s="25"/>
      <c r="AF39" s="25"/>
      <c r="AG39" s="9"/>
      <c r="AH39" s="29"/>
      <c r="AI39" s="29"/>
      <c r="AM39" s="50"/>
      <c r="AN39" s="51" t="s">
        <v>2149</v>
      </c>
      <c r="AO39" s="55" t="s">
        <v>74</v>
      </c>
    </row>
    <row r="40" spans="1:41" ht="79.95" hidden="1" customHeight="1" x14ac:dyDescent="0.3">
      <c r="A40" s="20">
        <v>36</v>
      </c>
      <c r="B40" s="8" t="s">
        <v>2150</v>
      </c>
      <c r="C40" s="26">
        <v>2026</v>
      </c>
      <c r="D40" s="8"/>
      <c r="E40" s="8" t="s">
        <v>77</v>
      </c>
      <c r="F40" s="20" t="s">
        <v>1969</v>
      </c>
      <c r="G40" s="21" t="s">
        <v>1968</v>
      </c>
      <c r="H40" s="21" t="s">
        <v>1979</v>
      </c>
      <c r="I40" s="21" t="s">
        <v>1968</v>
      </c>
      <c r="J40" s="21" t="s">
        <v>1968</v>
      </c>
      <c r="K40" s="21" t="s">
        <v>1968</v>
      </c>
      <c r="L40" s="22" t="str">
        <f t="shared" si="0"/>
        <v>EXCLUDE</v>
      </c>
      <c r="M40" s="22" t="str">
        <f t="shared" si="1"/>
        <v>Digital Twin not core / buzzword</v>
      </c>
      <c r="N40" s="23"/>
      <c r="O40" s="23"/>
      <c r="P40" s="24"/>
      <c r="Q40" s="24"/>
      <c r="R40" s="24"/>
      <c r="S40" s="22" t="str">
        <f t="shared" si="2"/>
        <v/>
      </c>
      <c r="T40" s="22" t="str">
        <f t="shared" si="3"/>
        <v/>
      </c>
      <c r="U40" s="25"/>
      <c r="V40" s="25"/>
      <c r="W40" s="25"/>
      <c r="X40" s="25"/>
      <c r="Y40" s="22" t="str">
        <f t="shared" si="4"/>
        <v/>
      </c>
      <c r="Z40" s="25"/>
      <c r="AA40" s="25"/>
      <c r="AB40" s="25"/>
      <c r="AC40" s="25"/>
      <c r="AD40" s="25"/>
      <c r="AE40" s="25"/>
      <c r="AF40" s="25"/>
      <c r="AG40" s="9"/>
      <c r="AH40" s="29"/>
      <c r="AI40" s="29"/>
      <c r="AM40" s="50"/>
      <c r="AN40" s="51" t="s">
        <v>2151</v>
      </c>
      <c r="AO40" s="55" t="s">
        <v>76</v>
      </c>
    </row>
    <row r="41" spans="1:41" ht="68.400000000000006" hidden="1" customHeight="1" x14ac:dyDescent="0.3">
      <c r="A41" s="20">
        <v>37</v>
      </c>
      <c r="B41" s="8" t="s">
        <v>2152</v>
      </c>
      <c r="C41" s="26">
        <v>2025</v>
      </c>
      <c r="D41" s="8"/>
      <c r="E41" s="8" t="s">
        <v>79</v>
      </c>
      <c r="F41" s="20" t="s">
        <v>1969</v>
      </c>
      <c r="G41" s="21" t="s">
        <v>1968</v>
      </c>
      <c r="H41" s="21" t="s">
        <v>1979</v>
      </c>
      <c r="I41" s="21" t="s">
        <v>1968</v>
      </c>
      <c r="J41" s="21" t="s">
        <v>1968</v>
      </c>
      <c r="K41" s="21" t="s">
        <v>1968</v>
      </c>
      <c r="L41" s="22" t="str">
        <f t="shared" si="0"/>
        <v>EXCLUDE</v>
      </c>
      <c r="M41" s="22" t="str">
        <f t="shared" si="1"/>
        <v>Digital Twin not core / buzzword</v>
      </c>
      <c r="N41" s="23"/>
      <c r="O41" s="23"/>
      <c r="P41" s="24"/>
      <c r="Q41" s="24"/>
      <c r="R41" s="24"/>
      <c r="S41" s="22" t="str">
        <f t="shared" si="2"/>
        <v/>
      </c>
      <c r="T41" s="22" t="str">
        <f t="shared" si="3"/>
        <v/>
      </c>
      <c r="U41" s="25"/>
      <c r="V41" s="25"/>
      <c r="W41" s="25"/>
      <c r="X41" s="25"/>
      <c r="Y41" s="22" t="str">
        <f t="shared" si="4"/>
        <v/>
      </c>
      <c r="Z41" s="25"/>
      <c r="AA41" s="25"/>
      <c r="AB41" s="25"/>
      <c r="AC41" s="25"/>
      <c r="AD41" s="25"/>
      <c r="AE41" s="25"/>
      <c r="AF41" s="25"/>
      <c r="AG41" s="9"/>
      <c r="AH41" s="29"/>
      <c r="AI41" s="29"/>
      <c r="AM41" s="50"/>
      <c r="AN41" s="51" t="s">
        <v>2153</v>
      </c>
      <c r="AO41" s="55" t="s">
        <v>78</v>
      </c>
    </row>
    <row r="42" spans="1:41" ht="68.400000000000006" hidden="1" customHeight="1" x14ac:dyDescent="0.3">
      <c r="A42" s="20">
        <v>38</v>
      </c>
      <c r="B42" s="8" t="s">
        <v>2154</v>
      </c>
      <c r="C42" s="26">
        <v>2026</v>
      </c>
      <c r="D42" s="8"/>
      <c r="E42" s="8" t="s">
        <v>81</v>
      </c>
      <c r="F42" s="20" t="s">
        <v>1969</v>
      </c>
      <c r="G42" s="21" t="s">
        <v>1979</v>
      </c>
      <c r="H42" s="21" t="s">
        <v>1979</v>
      </c>
      <c r="I42" s="21" t="s">
        <v>1968</v>
      </c>
      <c r="J42" s="21" t="s">
        <v>1968</v>
      </c>
      <c r="K42" s="21" t="s">
        <v>1968</v>
      </c>
      <c r="L42" s="22" t="str">
        <f t="shared" si="0"/>
        <v>EXCLUDE</v>
      </c>
      <c r="M42" s="22" t="str">
        <f t="shared" si="1"/>
        <v>Wrong domain (non-AECO)</v>
      </c>
      <c r="N42" s="23"/>
      <c r="O42" s="23"/>
      <c r="P42" s="24"/>
      <c r="Q42" s="24"/>
      <c r="R42" s="24"/>
      <c r="S42" s="22" t="str">
        <f t="shared" si="2"/>
        <v/>
      </c>
      <c r="T42" s="22" t="str">
        <f t="shared" si="3"/>
        <v/>
      </c>
      <c r="U42" s="25"/>
      <c r="V42" s="25"/>
      <c r="W42" s="25"/>
      <c r="X42" s="25"/>
      <c r="Y42" s="22" t="str">
        <f t="shared" si="4"/>
        <v/>
      </c>
      <c r="Z42" s="25"/>
      <c r="AA42" s="25"/>
      <c r="AB42" s="25"/>
      <c r="AC42" s="25"/>
      <c r="AD42" s="25"/>
      <c r="AE42" s="25"/>
      <c r="AF42" s="25"/>
      <c r="AG42" s="9"/>
      <c r="AH42" s="29"/>
      <c r="AI42" s="29"/>
      <c r="AM42" s="50"/>
      <c r="AN42" s="51" t="s">
        <v>2155</v>
      </c>
      <c r="AO42" s="55" t="s">
        <v>80</v>
      </c>
    </row>
    <row r="43" spans="1:41" ht="57" hidden="1" customHeight="1" x14ac:dyDescent="0.3">
      <c r="A43" s="20">
        <v>39</v>
      </c>
      <c r="B43" s="8" t="s">
        <v>2156</v>
      </c>
      <c r="C43" s="26">
        <v>2026</v>
      </c>
      <c r="D43" s="8"/>
      <c r="E43" s="8" t="s">
        <v>83</v>
      </c>
      <c r="F43" s="20" t="s">
        <v>1969</v>
      </c>
      <c r="G43" s="21" t="s">
        <v>1979</v>
      </c>
      <c r="H43" s="21" t="s">
        <v>1968</v>
      </c>
      <c r="I43" s="21" t="s">
        <v>1968</v>
      </c>
      <c r="J43" s="21" t="s">
        <v>1968</v>
      </c>
      <c r="K43" s="21" t="s">
        <v>1968</v>
      </c>
      <c r="L43" s="22" t="str">
        <f t="shared" si="0"/>
        <v>EXCLUDE</v>
      </c>
      <c r="M43" s="22" t="str">
        <f t="shared" si="1"/>
        <v>Wrong domain (non-AECO)</v>
      </c>
      <c r="N43" s="23"/>
      <c r="O43" s="23"/>
      <c r="P43" s="24"/>
      <c r="Q43" s="24"/>
      <c r="R43" s="24"/>
      <c r="S43" s="22" t="str">
        <f t="shared" si="2"/>
        <v/>
      </c>
      <c r="T43" s="22" t="str">
        <f t="shared" si="3"/>
        <v/>
      </c>
      <c r="U43" s="25"/>
      <c r="V43" s="25"/>
      <c r="W43" s="25"/>
      <c r="X43" s="25"/>
      <c r="Y43" s="22" t="str">
        <f t="shared" si="4"/>
        <v/>
      </c>
      <c r="Z43" s="25"/>
      <c r="AA43" s="25"/>
      <c r="AB43" s="25"/>
      <c r="AC43" s="25"/>
      <c r="AD43" s="25"/>
      <c r="AE43" s="25"/>
      <c r="AF43" s="25"/>
      <c r="AG43" s="9"/>
      <c r="AH43" s="29"/>
      <c r="AI43" s="29"/>
      <c r="AM43" s="50"/>
      <c r="AN43" s="51" t="s">
        <v>2157</v>
      </c>
      <c r="AO43" s="55" t="s">
        <v>82</v>
      </c>
    </row>
    <row r="44" spans="1:41" ht="45.6" hidden="1" customHeight="1" x14ac:dyDescent="0.3">
      <c r="A44" s="20">
        <v>40</v>
      </c>
      <c r="B44" s="8" t="s">
        <v>2158</v>
      </c>
      <c r="C44" s="26">
        <v>2026</v>
      </c>
      <c r="D44" s="8"/>
      <c r="E44" s="8" t="s">
        <v>85</v>
      </c>
      <c r="F44" s="20" t="s">
        <v>1969</v>
      </c>
      <c r="G44" s="21" t="s">
        <v>1979</v>
      </c>
      <c r="H44" s="21" t="s">
        <v>1968</v>
      </c>
      <c r="I44" s="21" t="s">
        <v>1968</v>
      </c>
      <c r="J44" s="21" t="s">
        <v>1968</v>
      </c>
      <c r="K44" s="21" t="s">
        <v>1968</v>
      </c>
      <c r="L44" s="22" t="str">
        <f t="shared" si="0"/>
        <v>EXCLUDE</v>
      </c>
      <c r="M44" s="22" t="str">
        <f t="shared" si="1"/>
        <v>Wrong domain (non-AECO)</v>
      </c>
      <c r="N44" s="23"/>
      <c r="O44" s="23"/>
      <c r="P44" s="24"/>
      <c r="Q44" s="24"/>
      <c r="R44" s="24"/>
      <c r="S44" s="22" t="str">
        <f t="shared" si="2"/>
        <v/>
      </c>
      <c r="T44" s="22" t="str">
        <f t="shared" si="3"/>
        <v/>
      </c>
      <c r="U44" s="25"/>
      <c r="V44" s="25"/>
      <c r="W44" s="25"/>
      <c r="X44" s="25"/>
      <c r="Y44" s="22" t="str">
        <f t="shared" si="4"/>
        <v/>
      </c>
      <c r="Z44" s="25"/>
      <c r="AA44" s="25"/>
      <c r="AB44" s="25"/>
      <c r="AC44" s="25"/>
      <c r="AD44" s="25"/>
      <c r="AE44" s="25"/>
      <c r="AF44" s="25"/>
      <c r="AG44" s="9"/>
      <c r="AH44" s="29"/>
      <c r="AI44" s="29"/>
      <c r="AM44" s="50"/>
      <c r="AN44" s="51" t="s">
        <v>2159</v>
      </c>
      <c r="AO44" s="55" t="s">
        <v>84</v>
      </c>
    </row>
    <row r="45" spans="1:41" ht="45.6" hidden="1" customHeight="1" x14ac:dyDescent="0.3">
      <c r="A45" s="20">
        <v>41</v>
      </c>
      <c r="B45" s="8" t="s">
        <v>2160</v>
      </c>
      <c r="C45" s="26">
        <v>2026</v>
      </c>
      <c r="D45" s="8"/>
      <c r="E45" s="8" t="s">
        <v>87</v>
      </c>
      <c r="F45" s="20" t="s">
        <v>1969</v>
      </c>
      <c r="G45" s="21" t="s">
        <v>1968</v>
      </c>
      <c r="H45" s="21" t="s">
        <v>1979</v>
      </c>
      <c r="I45" s="21" t="s">
        <v>1968</v>
      </c>
      <c r="J45" s="21" t="s">
        <v>1968</v>
      </c>
      <c r="K45" s="21" t="s">
        <v>1968</v>
      </c>
      <c r="L45" s="22" t="str">
        <f t="shared" si="0"/>
        <v>EXCLUDE</v>
      </c>
      <c r="M45" s="22" t="str">
        <f t="shared" si="1"/>
        <v>Digital Twin not core / buzzword</v>
      </c>
      <c r="N45" s="23"/>
      <c r="O45" s="23"/>
      <c r="P45" s="24"/>
      <c r="Q45" s="24"/>
      <c r="R45" s="24"/>
      <c r="S45" s="22" t="str">
        <f t="shared" si="2"/>
        <v/>
      </c>
      <c r="T45" s="22" t="str">
        <f t="shared" si="3"/>
        <v/>
      </c>
      <c r="U45" s="25"/>
      <c r="V45" s="25"/>
      <c r="W45" s="25"/>
      <c r="X45" s="25"/>
      <c r="Y45" s="22" t="str">
        <f t="shared" si="4"/>
        <v/>
      </c>
      <c r="Z45" s="25"/>
      <c r="AA45" s="25"/>
      <c r="AB45" s="25"/>
      <c r="AC45" s="25"/>
      <c r="AD45" s="25"/>
      <c r="AE45" s="25"/>
      <c r="AF45" s="25"/>
      <c r="AG45" s="9"/>
      <c r="AH45" s="29"/>
      <c r="AI45" s="29"/>
      <c r="AM45" s="50"/>
      <c r="AN45" s="51" t="s">
        <v>2161</v>
      </c>
      <c r="AO45" s="55" t="s">
        <v>86</v>
      </c>
    </row>
    <row r="46" spans="1:41" ht="102.6" customHeight="1" x14ac:dyDescent="0.3">
      <c r="A46" s="20">
        <v>42</v>
      </c>
      <c r="B46" s="8" t="s">
        <v>2162</v>
      </c>
      <c r="C46" s="26">
        <v>2026</v>
      </c>
      <c r="D46" s="8"/>
      <c r="E46" s="8" t="s">
        <v>89</v>
      </c>
      <c r="F46" s="20" t="s">
        <v>1969</v>
      </c>
      <c r="G46" s="21" t="s">
        <v>1968</v>
      </c>
      <c r="H46" s="21" t="s">
        <v>1979</v>
      </c>
      <c r="I46" s="21" t="s">
        <v>1979</v>
      </c>
      <c r="J46" s="21" t="s">
        <v>1968</v>
      </c>
      <c r="K46" s="21" t="s">
        <v>1968</v>
      </c>
      <c r="L46" s="22" t="str">
        <f t="shared" si="0"/>
        <v>EXCLUDE</v>
      </c>
      <c r="M46" s="22" t="str">
        <f t="shared" si="1"/>
        <v>Digital Twin not core / buzzword</v>
      </c>
      <c r="N46" s="23"/>
      <c r="O46" s="23"/>
      <c r="P46" s="24"/>
      <c r="Q46" s="24"/>
      <c r="R46" s="24"/>
      <c r="S46" s="22" t="str">
        <f t="shared" si="2"/>
        <v/>
      </c>
      <c r="T46" s="22" t="str">
        <f t="shared" si="3"/>
        <v/>
      </c>
      <c r="U46" s="25"/>
      <c r="V46" s="25"/>
      <c r="W46" s="25"/>
      <c r="X46" s="25"/>
      <c r="Y46" s="22" t="str">
        <f t="shared" si="4"/>
        <v/>
      </c>
      <c r="Z46" s="25"/>
      <c r="AA46" s="25"/>
      <c r="AB46" s="25"/>
      <c r="AC46" s="25"/>
      <c r="AD46" s="25"/>
      <c r="AE46" s="25"/>
      <c r="AF46" s="25"/>
      <c r="AG46" s="9"/>
      <c r="AH46" s="29"/>
      <c r="AI46" s="29"/>
      <c r="AM46" s="50"/>
      <c r="AN46" s="51" t="s">
        <v>2163</v>
      </c>
      <c r="AO46" s="55" t="s">
        <v>88</v>
      </c>
    </row>
    <row r="47" spans="1:41" ht="45.6" hidden="1" customHeight="1" x14ac:dyDescent="0.3">
      <c r="A47" s="20">
        <v>43</v>
      </c>
      <c r="B47" s="8" t="s">
        <v>2164</v>
      </c>
      <c r="C47" s="26">
        <v>2026</v>
      </c>
      <c r="D47" s="8"/>
      <c r="E47" s="8" t="s">
        <v>91</v>
      </c>
      <c r="F47" s="20" t="s">
        <v>1969</v>
      </c>
      <c r="G47" s="21" t="s">
        <v>1979</v>
      </c>
      <c r="H47" s="21" t="s">
        <v>1968</v>
      </c>
      <c r="I47" s="21" t="s">
        <v>1979</v>
      </c>
      <c r="J47" s="21" t="s">
        <v>1968</v>
      </c>
      <c r="K47" s="21" t="s">
        <v>1968</v>
      </c>
      <c r="L47" s="22" t="str">
        <f t="shared" si="0"/>
        <v>EXCLUDE</v>
      </c>
      <c r="M47" s="22" t="str">
        <f t="shared" si="1"/>
        <v>Wrong domain (non-AECO)</v>
      </c>
      <c r="N47" s="23"/>
      <c r="O47" s="23"/>
      <c r="P47" s="24"/>
      <c r="Q47" s="24"/>
      <c r="R47" s="24"/>
      <c r="S47" s="22" t="str">
        <f t="shared" si="2"/>
        <v/>
      </c>
      <c r="T47" s="22" t="str">
        <f t="shared" si="3"/>
        <v/>
      </c>
      <c r="U47" s="25"/>
      <c r="V47" s="25"/>
      <c r="W47" s="25"/>
      <c r="X47" s="25"/>
      <c r="Y47" s="22" t="str">
        <f t="shared" si="4"/>
        <v/>
      </c>
      <c r="Z47" s="25"/>
      <c r="AA47" s="25"/>
      <c r="AB47" s="25"/>
      <c r="AC47" s="25"/>
      <c r="AD47" s="25"/>
      <c r="AE47" s="25"/>
      <c r="AF47" s="25"/>
      <c r="AG47" s="9"/>
      <c r="AH47" s="29"/>
      <c r="AI47" s="29"/>
      <c r="AM47" s="50"/>
      <c r="AN47" s="51" t="s">
        <v>2165</v>
      </c>
      <c r="AO47" s="55" t="s">
        <v>90</v>
      </c>
    </row>
    <row r="48" spans="1:41" ht="100.95" customHeight="1" x14ac:dyDescent="0.3">
      <c r="A48" s="20">
        <v>44</v>
      </c>
      <c r="B48" s="8" t="s">
        <v>2166</v>
      </c>
      <c r="C48" s="26">
        <v>2026</v>
      </c>
      <c r="D48" s="8"/>
      <c r="E48" s="8" t="s">
        <v>93</v>
      </c>
      <c r="F48" s="20" t="s">
        <v>1969</v>
      </c>
      <c r="G48" s="21" t="s">
        <v>1968</v>
      </c>
      <c r="H48" s="21" t="s">
        <v>1968</v>
      </c>
      <c r="I48" s="21" t="s">
        <v>1968</v>
      </c>
      <c r="J48" s="21" t="s">
        <v>1968</v>
      </c>
      <c r="K48" s="21" t="s">
        <v>1968</v>
      </c>
      <c r="L48" s="22" t="str">
        <f t="shared" si="0"/>
        <v>INCLUDE</v>
      </c>
      <c r="M48" s="22" t="str">
        <f t="shared" si="1"/>
        <v/>
      </c>
      <c r="N48" s="23" t="s">
        <v>1968</v>
      </c>
      <c r="O48" s="23" t="s">
        <v>1968</v>
      </c>
      <c r="P48" s="24" t="s">
        <v>1968</v>
      </c>
      <c r="Q48" s="24" t="s">
        <v>1968</v>
      </c>
      <c r="R48" s="24" t="s">
        <v>1968</v>
      </c>
      <c r="S48" s="22" t="str">
        <f t="shared" si="2"/>
        <v>INCLUDE</v>
      </c>
      <c r="T48" s="22" t="str">
        <f t="shared" si="3"/>
        <v/>
      </c>
      <c r="U48" s="25" t="s">
        <v>1971</v>
      </c>
      <c r="V48" s="25">
        <v>1</v>
      </c>
      <c r="W48" s="25">
        <v>0</v>
      </c>
      <c r="X48" s="25">
        <v>1</v>
      </c>
      <c r="Y48" s="22" t="str">
        <f t="shared" si="4"/>
        <v>Multi</v>
      </c>
      <c r="Z48" s="25" t="s">
        <v>1922</v>
      </c>
      <c r="AA48" s="25" t="s">
        <v>1972</v>
      </c>
      <c r="AB48" s="25" t="s">
        <v>2013</v>
      </c>
      <c r="AC48" s="25" t="s">
        <v>1986</v>
      </c>
      <c r="AD48" s="25" t="s">
        <v>1987</v>
      </c>
      <c r="AE48" s="25">
        <v>4</v>
      </c>
      <c r="AF48" s="25" t="s">
        <v>2004</v>
      </c>
      <c r="AG48" s="9" t="s">
        <v>2167</v>
      </c>
      <c r="AH48" s="29" t="s">
        <v>2168</v>
      </c>
      <c r="AI48" s="29" t="s">
        <v>2169</v>
      </c>
      <c r="AJ48" t="s">
        <v>2005</v>
      </c>
      <c r="AK48" t="s">
        <v>2170</v>
      </c>
      <c r="AL48" t="s">
        <v>1990</v>
      </c>
      <c r="AM48" s="50"/>
      <c r="AN48" s="51" t="s">
        <v>2171</v>
      </c>
      <c r="AO48" s="55" t="s">
        <v>92</v>
      </c>
    </row>
    <row r="49" spans="1:41" ht="72" customHeight="1" x14ac:dyDescent="0.3">
      <c r="A49" s="20">
        <v>45</v>
      </c>
      <c r="B49" s="8" t="s">
        <v>2172</v>
      </c>
      <c r="C49" s="26">
        <v>2025</v>
      </c>
      <c r="D49" s="8"/>
      <c r="E49" s="8" t="s">
        <v>95</v>
      </c>
      <c r="F49" s="20" t="s">
        <v>1969</v>
      </c>
      <c r="G49" s="21" t="s">
        <v>1979</v>
      </c>
      <c r="H49" s="21" t="s">
        <v>1968</v>
      </c>
      <c r="I49" s="21" t="s">
        <v>1968</v>
      </c>
      <c r="J49" s="21" t="s">
        <v>1968</v>
      </c>
      <c r="K49" s="21" t="s">
        <v>1968</v>
      </c>
      <c r="L49" s="22" t="str">
        <f t="shared" si="0"/>
        <v>EXCLUDE</v>
      </c>
      <c r="M49" s="22" t="str">
        <f t="shared" si="1"/>
        <v>Wrong domain (non-AECO)</v>
      </c>
      <c r="N49" s="23"/>
      <c r="O49" s="23"/>
      <c r="P49" s="24"/>
      <c r="Q49" s="24"/>
      <c r="R49" s="24"/>
      <c r="S49" s="22" t="str">
        <f t="shared" si="2"/>
        <v/>
      </c>
      <c r="T49" s="22" t="str">
        <f t="shared" si="3"/>
        <v/>
      </c>
      <c r="U49" s="25"/>
      <c r="V49" s="25"/>
      <c r="W49" s="25"/>
      <c r="X49" s="25"/>
      <c r="Y49" s="22" t="str">
        <f t="shared" si="4"/>
        <v/>
      </c>
      <c r="Z49" s="25"/>
      <c r="AA49" s="25"/>
      <c r="AB49" s="25"/>
      <c r="AC49" s="25"/>
      <c r="AD49" s="25"/>
      <c r="AE49" s="25"/>
      <c r="AF49" s="25"/>
      <c r="AG49" s="9"/>
      <c r="AH49" s="29"/>
      <c r="AI49" s="29"/>
      <c r="AM49" s="50"/>
      <c r="AN49" s="51" t="s">
        <v>2173</v>
      </c>
      <c r="AO49" s="55" t="s">
        <v>94</v>
      </c>
    </row>
    <row r="50" spans="1:41" ht="102.6" customHeight="1" x14ac:dyDescent="0.3">
      <c r="A50" s="20">
        <v>46</v>
      </c>
      <c r="B50" s="8" t="s">
        <v>2174</v>
      </c>
      <c r="C50" s="26">
        <v>2026</v>
      </c>
      <c r="D50" s="8"/>
      <c r="E50" s="8" t="s">
        <v>97</v>
      </c>
      <c r="F50" s="20" t="s">
        <v>1969</v>
      </c>
      <c r="G50" s="21" t="s">
        <v>1968</v>
      </c>
      <c r="H50" s="21" t="s">
        <v>1979</v>
      </c>
      <c r="I50" s="21" t="s">
        <v>1979</v>
      </c>
      <c r="J50" s="21" t="s">
        <v>1968</v>
      </c>
      <c r="K50" s="21" t="s">
        <v>1968</v>
      </c>
      <c r="L50" s="22" t="str">
        <f t="shared" si="0"/>
        <v>EXCLUDE</v>
      </c>
      <c r="M50" s="22" t="str">
        <f t="shared" si="1"/>
        <v>Digital Twin not core / buzzword</v>
      </c>
      <c r="N50" s="23"/>
      <c r="O50" s="23"/>
      <c r="P50" s="24"/>
      <c r="Q50" s="24"/>
      <c r="R50" s="24"/>
      <c r="S50" s="22" t="str">
        <f t="shared" si="2"/>
        <v/>
      </c>
      <c r="T50" s="22" t="str">
        <f t="shared" si="3"/>
        <v/>
      </c>
      <c r="U50" s="25"/>
      <c r="V50" s="25"/>
      <c r="W50" s="25"/>
      <c r="X50" s="25"/>
      <c r="Y50" s="22" t="str">
        <f t="shared" si="4"/>
        <v/>
      </c>
      <c r="Z50" s="25"/>
      <c r="AA50" s="25"/>
      <c r="AB50" s="25"/>
      <c r="AC50" s="25"/>
      <c r="AD50" s="25"/>
      <c r="AE50" s="25"/>
      <c r="AF50" s="25"/>
      <c r="AG50" s="9"/>
      <c r="AH50" s="29"/>
      <c r="AI50" s="29"/>
      <c r="AM50" s="50"/>
      <c r="AN50" s="51" t="s">
        <v>2175</v>
      </c>
      <c r="AO50" s="55" t="s">
        <v>96</v>
      </c>
    </row>
    <row r="51" spans="1:41" ht="388.95" customHeight="1" x14ac:dyDescent="0.3">
      <c r="A51" s="20">
        <v>47</v>
      </c>
      <c r="B51" s="8" t="s">
        <v>2176</v>
      </c>
      <c r="C51" s="26">
        <v>2025</v>
      </c>
      <c r="D51" s="8"/>
      <c r="E51" s="8" t="s">
        <v>99</v>
      </c>
      <c r="F51" s="20" t="s">
        <v>1969</v>
      </c>
      <c r="G51" s="21" t="s">
        <v>1968</v>
      </c>
      <c r="H51" s="21" t="s">
        <v>1979</v>
      </c>
      <c r="I51" s="21" t="s">
        <v>1968</v>
      </c>
      <c r="J51" s="21" t="s">
        <v>1968</v>
      </c>
      <c r="K51" s="21" t="s">
        <v>1968</v>
      </c>
      <c r="L51" s="22" t="str">
        <f t="shared" si="0"/>
        <v>EXCLUDE</v>
      </c>
      <c r="M51" s="22" t="str">
        <f t="shared" si="1"/>
        <v>Digital Twin not core / buzzword</v>
      </c>
      <c r="N51" s="23"/>
      <c r="O51" s="23"/>
      <c r="P51" s="24"/>
      <c r="Q51" s="24"/>
      <c r="R51" s="24"/>
      <c r="S51" s="22" t="str">
        <f t="shared" si="2"/>
        <v/>
      </c>
      <c r="T51" s="22" t="str">
        <f t="shared" si="3"/>
        <v/>
      </c>
      <c r="U51" s="25"/>
      <c r="V51" s="25"/>
      <c r="W51" s="25"/>
      <c r="X51" s="25"/>
      <c r="Y51" s="22" t="str">
        <f t="shared" si="4"/>
        <v/>
      </c>
      <c r="Z51" s="25"/>
      <c r="AA51" s="25"/>
      <c r="AB51" s="25"/>
      <c r="AC51" s="25"/>
      <c r="AD51" s="25"/>
      <c r="AE51" s="25"/>
      <c r="AF51" s="25"/>
      <c r="AG51" s="9"/>
      <c r="AH51" s="29"/>
      <c r="AI51" s="29"/>
      <c r="AM51" s="50"/>
      <c r="AN51" s="51" t="s">
        <v>2177</v>
      </c>
      <c r="AO51" s="55" t="s">
        <v>98</v>
      </c>
    </row>
    <row r="52" spans="1:41" ht="45.6" hidden="1" customHeight="1" x14ac:dyDescent="0.3">
      <c r="A52" s="20">
        <v>48</v>
      </c>
      <c r="B52" s="8" t="s">
        <v>2178</v>
      </c>
      <c r="C52" s="26">
        <v>2025</v>
      </c>
      <c r="D52" s="8"/>
      <c r="E52" s="8" t="s">
        <v>101</v>
      </c>
      <c r="F52" s="20" t="s">
        <v>1969</v>
      </c>
      <c r="G52" s="21" t="s">
        <v>1979</v>
      </c>
      <c r="H52" s="21" t="s">
        <v>1968</v>
      </c>
      <c r="I52" s="21" t="s">
        <v>1968</v>
      </c>
      <c r="J52" s="21" t="s">
        <v>1968</v>
      </c>
      <c r="K52" s="21" t="s">
        <v>1968</v>
      </c>
      <c r="L52" s="22" t="str">
        <f t="shared" si="0"/>
        <v>EXCLUDE</v>
      </c>
      <c r="M52" s="22" t="str">
        <f t="shared" si="1"/>
        <v>Wrong domain (non-AECO)</v>
      </c>
      <c r="N52" s="23"/>
      <c r="O52" s="23"/>
      <c r="P52" s="24"/>
      <c r="Q52" s="24"/>
      <c r="R52" s="24"/>
      <c r="S52" s="22" t="str">
        <f t="shared" si="2"/>
        <v/>
      </c>
      <c r="T52" s="22" t="str">
        <f t="shared" si="3"/>
        <v/>
      </c>
      <c r="U52" s="25"/>
      <c r="V52" s="25"/>
      <c r="W52" s="25"/>
      <c r="X52" s="25"/>
      <c r="Y52" s="22" t="str">
        <f t="shared" si="4"/>
        <v/>
      </c>
      <c r="Z52" s="25"/>
      <c r="AA52" s="25"/>
      <c r="AB52" s="25"/>
      <c r="AC52" s="25"/>
      <c r="AD52" s="25"/>
      <c r="AE52" s="25"/>
      <c r="AF52" s="25"/>
      <c r="AG52" s="9"/>
      <c r="AH52" s="29"/>
      <c r="AI52" s="29"/>
      <c r="AM52" s="50"/>
      <c r="AN52" s="51" t="s">
        <v>2179</v>
      </c>
      <c r="AO52" s="55" t="s">
        <v>100</v>
      </c>
    </row>
    <row r="53" spans="1:41" ht="100.95" customHeight="1" x14ac:dyDescent="0.3">
      <c r="A53" s="20">
        <v>49</v>
      </c>
      <c r="B53" s="8" t="s">
        <v>2180</v>
      </c>
      <c r="C53" s="26">
        <v>2026</v>
      </c>
      <c r="D53" s="8"/>
      <c r="E53" s="8" t="s">
        <v>103</v>
      </c>
      <c r="F53" s="20" t="s">
        <v>1969</v>
      </c>
      <c r="G53" s="21" t="s">
        <v>1979</v>
      </c>
      <c r="H53" s="21" t="s">
        <v>1968</v>
      </c>
      <c r="I53" s="21" t="s">
        <v>1968</v>
      </c>
      <c r="J53" s="21" t="s">
        <v>1968</v>
      </c>
      <c r="K53" s="21" t="s">
        <v>1968</v>
      </c>
      <c r="L53" s="22" t="str">
        <f t="shared" si="0"/>
        <v>EXCLUDE</v>
      </c>
      <c r="M53" s="22" t="str">
        <f t="shared" si="1"/>
        <v>Wrong domain (non-AECO)</v>
      </c>
      <c r="N53" s="23"/>
      <c r="O53" s="23"/>
      <c r="P53" s="24"/>
      <c r="Q53" s="24"/>
      <c r="R53" s="24"/>
      <c r="S53" s="22" t="str">
        <f t="shared" si="2"/>
        <v/>
      </c>
      <c r="T53" s="22" t="str">
        <f t="shared" si="3"/>
        <v/>
      </c>
      <c r="U53" s="25"/>
      <c r="V53" s="25"/>
      <c r="W53" s="25"/>
      <c r="X53" s="25"/>
      <c r="Y53" s="22" t="str">
        <f t="shared" si="4"/>
        <v/>
      </c>
      <c r="Z53" s="25"/>
      <c r="AA53" s="25"/>
      <c r="AB53" s="25"/>
      <c r="AC53" s="25"/>
      <c r="AD53" s="25"/>
      <c r="AE53" s="25"/>
      <c r="AF53" s="25"/>
      <c r="AG53" s="9"/>
      <c r="AH53" s="29"/>
      <c r="AI53" s="29"/>
      <c r="AM53" s="50"/>
      <c r="AN53" s="51" t="s">
        <v>2181</v>
      </c>
      <c r="AO53" s="55" t="s">
        <v>102</v>
      </c>
    </row>
    <row r="54" spans="1:41" ht="144" customHeight="1" x14ac:dyDescent="0.3">
      <c r="A54" s="20">
        <v>50</v>
      </c>
      <c r="B54" s="8" t="s">
        <v>2182</v>
      </c>
      <c r="C54" s="26">
        <v>2026</v>
      </c>
      <c r="D54" s="8"/>
      <c r="E54" s="8" t="s">
        <v>105</v>
      </c>
      <c r="F54" s="20" t="s">
        <v>1969</v>
      </c>
      <c r="G54" s="21" t="s">
        <v>1968</v>
      </c>
      <c r="H54" s="21" t="s">
        <v>1979</v>
      </c>
      <c r="I54" s="21" t="s">
        <v>1968</v>
      </c>
      <c r="J54" s="21" t="s">
        <v>1968</v>
      </c>
      <c r="K54" s="21" t="s">
        <v>1968</v>
      </c>
      <c r="L54" s="22" t="str">
        <f t="shared" si="0"/>
        <v>EXCLUDE</v>
      </c>
      <c r="M54" s="22" t="str">
        <f t="shared" si="1"/>
        <v>Digital Twin not core / buzzword</v>
      </c>
      <c r="N54" s="23"/>
      <c r="O54" s="23"/>
      <c r="P54" s="24"/>
      <c r="Q54" s="24"/>
      <c r="R54" s="24"/>
      <c r="S54" s="22" t="str">
        <f t="shared" si="2"/>
        <v/>
      </c>
      <c r="T54" s="22" t="str">
        <f t="shared" si="3"/>
        <v/>
      </c>
      <c r="U54" s="25"/>
      <c r="V54" s="25"/>
      <c r="W54" s="25"/>
      <c r="X54" s="25"/>
      <c r="Y54" s="22" t="str">
        <f t="shared" si="4"/>
        <v/>
      </c>
      <c r="Z54" s="25"/>
      <c r="AA54" s="25"/>
      <c r="AB54" s="25"/>
      <c r="AC54" s="25"/>
      <c r="AD54" s="25"/>
      <c r="AE54" s="25"/>
      <c r="AF54" s="25"/>
      <c r="AG54" s="9"/>
      <c r="AH54" s="29"/>
      <c r="AI54" s="29"/>
      <c r="AM54" s="50"/>
      <c r="AN54" s="51" t="s">
        <v>2183</v>
      </c>
      <c r="AO54" s="55" t="s">
        <v>104</v>
      </c>
    </row>
    <row r="55" spans="1:41" ht="34.200000000000003" hidden="1" customHeight="1" x14ac:dyDescent="0.3">
      <c r="A55" s="20">
        <v>51</v>
      </c>
      <c r="B55" s="8" t="s">
        <v>2184</v>
      </c>
      <c r="C55" s="26">
        <v>2026</v>
      </c>
      <c r="D55" s="8"/>
      <c r="E55" s="8" t="s">
        <v>107</v>
      </c>
      <c r="F55" s="20" t="s">
        <v>1969</v>
      </c>
      <c r="G55" s="21" t="s">
        <v>1979</v>
      </c>
      <c r="H55" s="21" t="s">
        <v>1968</v>
      </c>
      <c r="I55" s="21" t="s">
        <v>1979</v>
      </c>
      <c r="J55" s="21" t="s">
        <v>1968</v>
      </c>
      <c r="K55" s="21" t="s">
        <v>1968</v>
      </c>
      <c r="L55" s="22" t="str">
        <f t="shared" si="0"/>
        <v>EXCLUDE</v>
      </c>
      <c r="M55" s="22" t="str">
        <f t="shared" si="1"/>
        <v>Wrong domain (non-AECO)</v>
      </c>
      <c r="N55" s="23"/>
      <c r="O55" s="23"/>
      <c r="P55" s="24"/>
      <c r="Q55" s="24"/>
      <c r="R55" s="24"/>
      <c r="S55" s="22" t="str">
        <f t="shared" si="2"/>
        <v/>
      </c>
      <c r="T55" s="22" t="str">
        <f t="shared" si="3"/>
        <v/>
      </c>
      <c r="U55" s="25"/>
      <c r="V55" s="25"/>
      <c r="W55" s="25"/>
      <c r="X55" s="25"/>
      <c r="Y55" s="22" t="str">
        <f t="shared" si="4"/>
        <v/>
      </c>
      <c r="Z55" s="25"/>
      <c r="AA55" s="25"/>
      <c r="AB55" s="25"/>
      <c r="AC55" s="25"/>
      <c r="AD55" s="25"/>
      <c r="AE55" s="25"/>
      <c r="AF55" s="25"/>
      <c r="AG55" s="9"/>
      <c r="AH55" s="29"/>
      <c r="AI55" s="29"/>
      <c r="AM55" s="50"/>
      <c r="AN55" s="51" t="s">
        <v>2185</v>
      </c>
      <c r="AO55" s="55" t="s">
        <v>106</v>
      </c>
    </row>
    <row r="56" spans="1:41" ht="57" hidden="1" customHeight="1" x14ac:dyDescent="0.3">
      <c r="A56" s="20">
        <v>52</v>
      </c>
      <c r="B56" s="8" t="s">
        <v>2186</v>
      </c>
      <c r="C56" s="26">
        <v>2026</v>
      </c>
      <c r="D56" s="8"/>
      <c r="E56" s="8" t="s">
        <v>109</v>
      </c>
      <c r="F56" s="20" t="s">
        <v>1969</v>
      </c>
      <c r="G56" s="21" t="s">
        <v>1968</v>
      </c>
      <c r="H56" s="21" t="s">
        <v>1968</v>
      </c>
      <c r="I56" s="21" t="s">
        <v>1979</v>
      </c>
      <c r="J56" s="21" t="s">
        <v>1968</v>
      </c>
      <c r="K56" s="21" t="s">
        <v>1968</v>
      </c>
      <c r="L56" s="22" t="str">
        <f t="shared" si="0"/>
        <v>EXCLUDE</v>
      </c>
      <c r="M56" s="22" t="str">
        <f t="shared" si="1"/>
        <v>No Design for Safety / PtD focus</v>
      </c>
      <c r="N56" s="23"/>
      <c r="O56" s="23"/>
      <c r="P56" s="24"/>
      <c r="Q56" s="24"/>
      <c r="R56" s="24"/>
      <c r="S56" s="22" t="str">
        <f t="shared" si="2"/>
        <v/>
      </c>
      <c r="T56" s="22" t="str">
        <f t="shared" si="3"/>
        <v/>
      </c>
      <c r="U56" s="25"/>
      <c r="V56" s="25"/>
      <c r="W56" s="25"/>
      <c r="X56" s="25"/>
      <c r="Y56" s="22" t="str">
        <f t="shared" si="4"/>
        <v/>
      </c>
      <c r="Z56" s="25"/>
      <c r="AA56" s="25"/>
      <c r="AB56" s="25"/>
      <c r="AC56" s="25"/>
      <c r="AD56" s="25"/>
      <c r="AE56" s="25"/>
      <c r="AF56" s="25"/>
      <c r="AG56" s="9"/>
      <c r="AH56" s="29"/>
      <c r="AI56" s="29"/>
      <c r="AM56" s="50"/>
      <c r="AN56" s="51" t="s">
        <v>2187</v>
      </c>
      <c r="AO56" s="55" t="s">
        <v>108</v>
      </c>
    </row>
    <row r="57" spans="1:41" ht="57" hidden="1" customHeight="1" x14ac:dyDescent="0.3">
      <c r="A57" s="20">
        <v>53</v>
      </c>
      <c r="B57" s="8" t="s">
        <v>2188</v>
      </c>
      <c r="C57" s="26">
        <v>2026</v>
      </c>
      <c r="D57" s="8"/>
      <c r="E57" s="8" t="s">
        <v>111</v>
      </c>
      <c r="F57" s="20" t="s">
        <v>1969</v>
      </c>
      <c r="G57" s="21" t="s">
        <v>1979</v>
      </c>
      <c r="H57" s="21" t="s">
        <v>1968</v>
      </c>
      <c r="I57" s="21" t="s">
        <v>1968</v>
      </c>
      <c r="J57" s="21" t="s">
        <v>1968</v>
      </c>
      <c r="K57" s="21" t="s">
        <v>1968</v>
      </c>
      <c r="L57" s="22" t="str">
        <f t="shared" si="0"/>
        <v>EXCLUDE</v>
      </c>
      <c r="M57" s="22" t="str">
        <f t="shared" si="1"/>
        <v>Wrong domain (non-AECO)</v>
      </c>
      <c r="N57" s="23"/>
      <c r="O57" s="23"/>
      <c r="P57" s="24"/>
      <c r="Q57" s="24"/>
      <c r="R57" s="24"/>
      <c r="S57" s="22" t="str">
        <f t="shared" si="2"/>
        <v/>
      </c>
      <c r="T57" s="22" t="str">
        <f t="shared" si="3"/>
        <v/>
      </c>
      <c r="U57" s="25"/>
      <c r="V57" s="25"/>
      <c r="W57" s="25"/>
      <c r="X57" s="25"/>
      <c r="Y57" s="22" t="str">
        <f t="shared" si="4"/>
        <v/>
      </c>
      <c r="Z57" s="25"/>
      <c r="AA57" s="25"/>
      <c r="AB57" s="25"/>
      <c r="AC57" s="25"/>
      <c r="AD57" s="25"/>
      <c r="AE57" s="25"/>
      <c r="AF57" s="25"/>
      <c r="AG57" s="9"/>
      <c r="AH57" s="29"/>
      <c r="AI57" s="29"/>
      <c r="AM57" s="50"/>
      <c r="AN57" s="51" t="s">
        <v>2189</v>
      </c>
      <c r="AO57" s="55" t="s">
        <v>110</v>
      </c>
    </row>
    <row r="58" spans="1:41" ht="34.200000000000003" hidden="1" customHeight="1" x14ac:dyDescent="0.3">
      <c r="A58" s="20">
        <v>54</v>
      </c>
      <c r="B58" s="8" t="s">
        <v>2190</v>
      </c>
      <c r="C58" s="26">
        <v>2026</v>
      </c>
      <c r="D58" s="8"/>
      <c r="E58" s="8" t="s">
        <v>113</v>
      </c>
      <c r="F58" s="20" t="s">
        <v>1969</v>
      </c>
      <c r="G58" s="21" t="s">
        <v>1979</v>
      </c>
      <c r="H58" s="21" t="s">
        <v>1968</v>
      </c>
      <c r="I58" s="21" t="s">
        <v>1968</v>
      </c>
      <c r="J58" s="21" t="s">
        <v>1968</v>
      </c>
      <c r="K58" s="21" t="s">
        <v>1968</v>
      </c>
      <c r="L58" s="22" t="str">
        <f t="shared" si="0"/>
        <v>EXCLUDE</v>
      </c>
      <c r="M58" s="22" t="str">
        <f t="shared" si="1"/>
        <v>Wrong domain (non-AECO)</v>
      </c>
      <c r="N58" s="23"/>
      <c r="O58" s="23"/>
      <c r="P58" s="24"/>
      <c r="Q58" s="24"/>
      <c r="R58" s="24"/>
      <c r="S58" s="22" t="str">
        <f t="shared" si="2"/>
        <v/>
      </c>
      <c r="T58" s="22" t="str">
        <f t="shared" si="3"/>
        <v/>
      </c>
      <c r="U58" s="25"/>
      <c r="V58" s="25"/>
      <c r="W58" s="25"/>
      <c r="X58" s="25"/>
      <c r="Y58" s="22" t="str">
        <f t="shared" si="4"/>
        <v/>
      </c>
      <c r="Z58" s="25"/>
      <c r="AA58" s="25"/>
      <c r="AB58" s="25"/>
      <c r="AC58" s="25"/>
      <c r="AD58" s="25"/>
      <c r="AE58" s="25"/>
      <c r="AF58" s="25"/>
      <c r="AG58" s="9"/>
      <c r="AH58" s="29"/>
      <c r="AI58" s="29"/>
      <c r="AM58" s="50"/>
      <c r="AN58" s="51" t="s">
        <v>2191</v>
      </c>
      <c r="AO58" s="55" t="s">
        <v>112</v>
      </c>
    </row>
    <row r="59" spans="1:41" ht="68.400000000000006" hidden="1" customHeight="1" x14ac:dyDescent="0.3">
      <c r="A59" s="20">
        <v>55</v>
      </c>
      <c r="B59" s="8" t="s">
        <v>2192</v>
      </c>
      <c r="C59" s="26">
        <v>2026</v>
      </c>
      <c r="D59" s="8"/>
      <c r="E59" s="8" t="s">
        <v>115</v>
      </c>
      <c r="F59" s="20" t="s">
        <v>1969</v>
      </c>
      <c r="G59" s="21" t="s">
        <v>1968</v>
      </c>
      <c r="H59" s="21" t="s">
        <v>1968</v>
      </c>
      <c r="I59" s="21" t="s">
        <v>1968</v>
      </c>
      <c r="J59" s="21" t="s">
        <v>1968</v>
      </c>
      <c r="K59" s="21" t="s">
        <v>1968</v>
      </c>
      <c r="L59" s="22" t="str">
        <f t="shared" si="0"/>
        <v>INCLUDE</v>
      </c>
      <c r="M59" s="22" t="str">
        <f t="shared" si="1"/>
        <v/>
      </c>
      <c r="N59" s="23" t="s">
        <v>1968</v>
      </c>
      <c r="O59" s="23" t="s">
        <v>1968</v>
      </c>
      <c r="P59" s="24" t="s">
        <v>1968</v>
      </c>
      <c r="Q59" s="24" t="s">
        <v>1968</v>
      </c>
      <c r="R59" s="24" t="s">
        <v>1968</v>
      </c>
      <c r="S59" s="22" t="str">
        <f t="shared" si="2"/>
        <v>INCLUDE</v>
      </c>
      <c r="T59" s="22" t="str">
        <f t="shared" si="3"/>
        <v/>
      </c>
      <c r="U59" s="25" t="s">
        <v>1982</v>
      </c>
      <c r="V59" s="25">
        <v>0</v>
      </c>
      <c r="W59" s="25">
        <v>1</v>
      </c>
      <c r="X59" s="25">
        <v>0</v>
      </c>
      <c r="Y59" s="22" t="str">
        <f t="shared" si="4"/>
        <v>Single</v>
      </c>
      <c r="Z59" s="25" t="s">
        <v>1922</v>
      </c>
      <c r="AA59" s="25" t="s">
        <v>1993</v>
      </c>
      <c r="AB59" s="25" t="s">
        <v>2018</v>
      </c>
      <c r="AC59" s="25" t="s">
        <v>1986</v>
      </c>
      <c r="AD59" s="25" t="s">
        <v>2003</v>
      </c>
      <c r="AE59" s="25">
        <v>4</v>
      </c>
      <c r="AF59" s="25" t="s">
        <v>2010</v>
      </c>
      <c r="AG59" s="9" t="s">
        <v>2193</v>
      </c>
      <c r="AH59" s="29" t="s">
        <v>2194</v>
      </c>
      <c r="AI59" s="29" t="s">
        <v>2195</v>
      </c>
      <c r="AJ59" t="s">
        <v>2005</v>
      </c>
      <c r="AK59" t="s">
        <v>2196</v>
      </c>
      <c r="AL59" t="s">
        <v>1990</v>
      </c>
      <c r="AM59" s="50"/>
      <c r="AN59" s="51" t="s">
        <v>2197</v>
      </c>
      <c r="AO59" s="55" t="s">
        <v>114</v>
      </c>
    </row>
    <row r="60" spans="1:41" ht="68.400000000000006" hidden="1" customHeight="1" x14ac:dyDescent="0.3">
      <c r="A60" s="20">
        <v>56</v>
      </c>
      <c r="B60" s="8" t="s">
        <v>2198</v>
      </c>
      <c r="C60" s="26">
        <v>2026</v>
      </c>
      <c r="D60" s="8"/>
      <c r="E60" s="8" t="s">
        <v>117</v>
      </c>
      <c r="F60" s="20" t="s">
        <v>1969</v>
      </c>
      <c r="G60" s="21" t="s">
        <v>1979</v>
      </c>
      <c r="H60" s="21" t="s">
        <v>1979</v>
      </c>
      <c r="I60" s="21" t="s">
        <v>1968</v>
      </c>
      <c r="J60" s="21" t="s">
        <v>1968</v>
      </c>
      <c r="K60" s="21" t="s">
        <v>1968</v>
      </c>
      <c r="L60" s="22" t="str">
        <f t="shared" si="0"/>
        <v>EXCLUDE</v>
      </c>
      <c r="M60" s="22" t="str">
        <f t="shared" si="1"/>
        <v>Wrong domain (non-AECO)</v>
      </c>
      <c r="N60" s="23"/>
      <c r="O60" s="23"/>
      <c r="P60" s="24"/>
      <c r="Q60" s="24"/>
      <c r="R60" s="24"/>
      <c r="S60" s="22" t="str">
        <f t="shared" si="2"/>
        <v/>
      </c>
      <c r="T60" s="22" t="str">
        <f t="shared" si="3"/>
        <v/>
      </c>
      <c r="U60" s="25"/>
      <c r="V60" s="25"/>
      <c r="W60" s="25"/>
      <c r="X60" s="25"/>
      <c r="Y60" s="22" t="str">
        <f t="shared" si="4"/>
        <v/>
      </c>
      <c r="Z60" s="25"/>
      <c r="AA60" s="25"/>
      <c r="AB60" s="25"/>
      <c r="AC60" s="25"/>
      <c r="AD60" s="25"/>
      <c r="AE60" s="25"/>
      <c r="AF60" s="25"/>
      <c r="AG60" s="9"/>
      <c r="AH60" s="29"/>
      <c r="AI60" s="29"/>
      <c r="AM60" s="50"/>
      <c r="AN60" s="51" t="s">
        <v>2199</v>
      </c>
      <c r="AO60" s="55" t="s">
        <v>116</v>
      </c>
    </row>
    <row r="61" spans="1:41" ht="45.6" hidden="1" customHeight="1" x14ac:dyDescent="0.3">
      <c r="A61" s="20">
        <v>57</v>
      </c>
      <c r="B61" s="8" t="s">
        <v>2200</v>
      </c>
      <c r="C61" s="26">
        <v>2026</v>
      </c>
      <c r="D61" s="8"/>
      <c r="E61" s="8" t="s">
        <v>119</v>
      </c>
      <c r="F61" s="20" t="s">
        <v>1969</v>
      </c>
      <c r="G61" s="21" t="s">
        <v>1968</v>
      </c>
      <c r="H61" s="21" t="s">
        <v>1968</v>
      </c>
      <c r="I61" s="21" t="s">
        <v>1968</v>
      </c>
      <c r="J61" s="21" t="s">
        <v>1968</v>
      </c>
      <c r="K61" s="21" t="s">
        <v>1968</v>
      </c>
      <c r="L61" s="22" t="str">
        <f t="shared" si="0"/>
        <v>INCLUDE</v>
      </c>
      <c r="M61" s="22" t="str">
        <f t="shared" si="1"/>
        <v/>
      </c>
      <c r="N61" s="23" t="s">
        <v>1968</v>
      </c>
      <c r="O61" s="23" t="s">
        <v>1968</v>
      </c>
      <c r="P61" s="24" t="s">
        <v>1968</v>
      </c>
      <c r="Q61" s="24" t="s">
        <v>1968</v>
      </c>
      <c r="R61" s="24" t="s">
        <v>1968</v>
      </c>
      <c r="S61" s="22" t="str">
        <f t="shared" si="2"/>
        <v>INCLUDE</v>
      </c>
      <c r="T61" s="22" t="str">
        <f t="shared" si="3"/>
        <v/>
      </c>
      <c r="U61" s="25" t="s">
        <v>1982</v>
      </c>
      <c r="V61" s="25">
        <v>0</v>
      </c>
      <c r="W61" s="25">
        <v>0</v>
      </c>
      <c r="X61" s="25">
        <v>1</v>
      </c>
      <c r="Y61" s="22" t="str">
        <f t="shared" si="4"/>
        <v>Single</v>
      </c>
      <c r="Z61" s="25" t="s">
        <v>1922</v>
      </c>
      <c r="AA61" s="25" t="s">
        <v>1993</v>
      </c>
      <c r="AB61" s="25" t="s">
        <v>2008</v>
      </c>
      <c r="AC61" s="25" t="s">
        <v>1986</v>
      </c>
      <c r="AD61" s="25" t="s">
        <v>2009</v>
      </c>
      <c r="AE61" s="25">
        <v>4</v>
      </c>
      <c r="AF61" s="25" t="s">
        <v>2010</v>
      </c>
      <c r="AG61" s="9" t="s">
        <v>2201</v>
      </c>
      <c r="AH61" s="29" t="s">
        <v>2202</v>
      </c>
      <c r="AI61" s="29" t="s">
        <v>2203</v>
      </c>
      <c r="AJ61" t="s">
        <v>2005</v>
      </c>
      <c r="AK61" t="s">
        <v>2204</v>
      </c>
      <c r="AL61" t="s">
        <v>1978</v>
      </c>
      <c r="AM61" s="50"/>
      <c r="AN61" s="51" t="s">
        <v>2205</v>
      </c>
      <c r="AO61" s="55" t="s">
        <v>118</v>
      </c>
    </row>
    <row r="62" spans="1:41" ht="57" hidden="1" customHeight="1" x14ac:dyDescent="0.3">
      <c r="A62" s="20">
        <v>58</v>
      </c>
      <c r="B62" s="8" t="s">
        <v>2206</v>
      </c>
      <c r="C62" s="26">
        <v>2025</v>
      </c>
      <c r="D62" s="8"/>
      <c r="E62" s="8" t="s">
        <v>121</v>
      </c>
      <c r="F62" s="20" t="s">
        <v>1969</v>
      </c>
      <c r="G62" s="21" t="s">
        <v>1968</v>
      </c>
      <c r="H62" s="21" t="s">
        <v>1979</v>
      </c>
      <c r="I62" s="21" t="s">
        <v>1979</v>
      </c>
      <c r="J62" s="21" t="s">
        <v>1968</v>
      </c>
      <c r="K62" s="21" t="s">
        <v>1968</v>
      </c>
      <c r="L62" s="22" t="str">
        <f t="shared" si="0"/>
        <v>EXCLUDE</v>
      </c>
      <c r="M62" s="22" t="str">
        <f t="shared" si="1"/>
        <v>Digital Twin not core / buzzword</v>
      </c>
      <c r="N62" s="23"/>
      <c r="O62" s="23"/>
      <c r="P62" s="24"/>
      <c r="Q62" s="24"/>
      <c r="R62" s="24"/>
      <c r="S62" s="22" t="str">
        <f t="shared" si="2"/>
        <v/>
      </c>
      <c r="T62" s="22" t="str">
        <f t="shared" si="3"/>
        <v/>
      </c>
      <c r="U62" s="25"/>
      <c r="V62" s="25"/>
      <c r="W62" s="25"/>
      <c r="X62" s="25"/>
      <c r="Y62" s="22" t="str">
        <f t="shared" si="4"/>
        <v/>
      </c>
      <c r="Z62" s="25"/>
      <c r="AA62" s="25"/>
      <c r="AB62" s="25"/>
      <c r="AC62" s="25"/>
      <c r="AD62" s="25"/>
      <c r="AE62" s="25"/>
      <c r="AF62" s="25"/>
      <c r="AG62" s="9"/>
      <c r="AH62" s="29"/>
      <c r="AI62" s="29"/>
      <c r="AM62" s="50"/>
      <c r="AN62" s="51" t="s">
        <v>2207</v>
      </c>
      <c r="AO62" s="55" t="s">
        <v>120</v>
      </c>
    </row>
    <row r="63" spans="1:41" ht="68.400000000000006" hidden="1" customHeight="1" x14ac:dyDescent="0.3">
      <c r="A63" s="20">
        <v>59</v>
      </c>
      <c r="B63" s="8" t="s">
        <v>2208</v>
      </c>
      <c r="C63" s="26">
        <v>2026</v>
      </c>
      <c r="D63" s="8"/>
      <c r="E63" s="8" t="s">
        <v>123</v>
      </c>
      <c r="F63" s="20" t="s">
        <v>1969</v>
      </c>
      <c r="G63" s="21" t="s">
        <v>1979</v>
      </c>
      <c r="H63" s="21" t="s">
        <v>1968</v>
      </c>
      <c r="I63" s="21" t="s">
        <v>1968</v>
      </c>
      <c r="J63" s="21" t="s">
        <v>1968</v>
      </c>
      <c r="K63" s="21" t="s">
        <v>1968</v>
      </c>
      <c r="L63" s="22" t="str">
        <f t="shared" si="0"/>
        <v>EXCLUDE</v>
      </c>
      <c r="M63" s="22" t="str">
        <f t="shared" si="1"/>
        <v>Wrong domain (non-AECO)</v>
      </c>
      <c r="N63" s="23"/>
      <c r="O63" s="23"/>
      <c r="P63" s="24"/>
      <c r="Q63" s="24"/>
      <c r="R63" s="24"/>
      <c r="S63" s="22" t="str">
        <f t="shared" si="2"/>
        <v/>
      </c>
      <c r="T63" s="22" t="str">
        <f t="shared" si="3"/>
        <v/>
      </c>
      <c r="U63" s="25"/>
      <c r="V63" s="25"/>
      <c r="W63" s="25"/>
      <c r="X63" s="25"/>
      <c r="Y63" s="22" t="str">
        <f t="shared" si="4"/>
        <v/>
      </c>
      <c r="Z63" s="25"/>
      <c r="AA63" s="25"/>
      <c r="AB63" s="25"/>
      <c r="AC63" s="25"/>
      <c r="AD63" s="25"/>
      <c r="AE63" s="25"/>
      <c r="AF63" s="25"/>
      <c r="AG63" s="9"/>
      <c r="AH63" s="29"/>
      <c r="AI63" s="29"/>
      <c r="AM63" s="50"/>
      <c r="AN63" s="51" t="s">
        <v>2209</v>
      </c>
      <c r="AO63" s="55" t="s">
        <v>122</v>
      </c>
    </row>
    <row r="64" spans="1:41" ht="57" hidden="1" customHeight="1" x14ac:dyDescent="0.3">
      <c r="A64" s="20">
        <v>60</v>
      </c>
      <c r="B64" s="8" t="s">
        <v>2210</v>
      </c>
      <c r="C64" s="26">
        <v>2025</v>
      </c>
      <c r="D64" s="8"/>
      <c r="E64" s="8" t="s">
        <v>125</v>
      </c>
      <c r="F64" s="20" t="s">
        <v>1969</v>
      </c>
      <c r="G64" s="21" t="s">
        <v>1979</v>
      </c>
      <c r="H64" s="21" t="s">
        <v>1968</v>
      </c>
      <c r="I64" s="21" t="s">
        <v>1968</v>
      </c>
      <c r="J64" s="21" t="s">
        <v>1968</v>
      </c>
      <c r="K64" s="21" t="s">
        <v>1968</v>
      </c>
      <c r="L64" s="22" t="str">
        <f t="shared" si="0"/>
        <v>EXCLUDE</v>
      </c>
      <c r="M64" s="22" t="str">
        <f t="shared" si="1"/>
        <v>Wrong domain (non-AECO)</v>
      </c>
      <c r="N64" s="23"/>
      <c r="O64" s="23"/>
      <c r="P64" s="24"/>
      <c r="Q64" s="24"/>
      <c r="R64" s="24"/>
      <c r="S64" s="22" t="str">
        <f t="shared" si="2"/>
        <v/>
      </c>
      <c r="T64" s="22" t="str">
        <f t="shared" si="3"/>
        <v/>
      </c>
      <c r="U64" s="25"/>
      <c r="V64" s="25"/>
      <c r="W64" s="25"/>
      <c r="X64" s="25"/>
      <c r="Y64" s="22" t="str">
        <f t="shared" si="4"/>
        <v/>
      </c>
      <c r="Z64" s="25"/>
      <c r="AA64" s="25"/>
      <c r="AB64" s="25"/>
      <c r="AC64" s="25"/>
      <c r="AD64" s="25"/>
      <c r="AE64" s="25"/>
      <c r="AF64" s="25"/>
      <c r="AG64" s="9"/>
      <c r="AH64" s="29"/>
      <c r="AI64" s="29"/>
      <c r="AM64" s="50"/>
      <c r="AN64" s="51" t="s">
        <v>2211</v>
      </c>
      <c r="AO64" s="55" t="s">
        <v>124</v>
      </c>
    </row>
    <row r="65" spans="1:41" ht="91.2" customHeight="1" x14ac:dyDescent="0.3">
      <c r="A65" s="20">
        <v>61</v>
      </c>
      <c r="B65" s="8" t="s">
        <v>2212</v>
      </c>
      <c r="C65" s="26">
        <v>2026</v>
      </c>
      <c r="D65" s="8"/>
      <c r="E65" s="8" t="s">
        <v>127</v>
      </c>
      <c r="F65" s="20" t="s">
        <v>1969</v>
      </c>
      <c r="G65" s="21" t="s">
        <v>1968</v>
      </c>
      <c r="H65" s="21" t="s">
        <v>1979</v>
      </c>
      <c r="I65" s="21" t="s">
        <v>1979</v>
      </c>
      <c r="J65" s="21" t="s">
        <v>1968</v>
      </c>
      <c r="K65" s="21" t="s">
        <v>1968</v>
      </c>
      <c r="L65" s="22" t="str">
        <f t="shared" si="0"/>
        <v>EXCLUDE</v>
      </c>
      <c r="M65" s="22" t="str">
        <f t="shared" si="1"/>
        <v>Digital Twin not core / buzzword</v>
      </c>
      <c r="N65" s="23"/>
      <c r="O65" s="23"/>
      <c r="P65" s="24"/>
      <c r="Q65" s="24"/>
      <c r="R65" s="24"/>
      <c r="S65" s="22" t="str">
        <f t="shared" si="2"/>
        <v/>
      </c>
      <c r="T65" s="22" t="str">
        <f t="shared" si="3"/>
        <v/>
      </c>
      <c r="U65" s="25"/>
      <c r="V65" s="25"/>
      <c r="W65" s="25"/>
      <c r="X65" s="25"/>
      <c r="Y65" s="22" t="str">
        <f t="shared" si="4"/>
        <v/>
      </c>
      <c r="Z65" s="25"/>
      <c r="AA65" s="25"/>
      <c r="AB65" s="25"/>
      <c r="AC65" s="25"/>
      <c r="AD65" s="25"/>
      <c r="AE65" s="25"/>
      <c r="AF65" s="25"/>
      <c r="AG65" s="9"/>
      <c r="AH65" s="29"/>
      <c r="AI65" s="29"/>
      <c r="AM65" s="50"/>
      <c r="AN65" s="51" t="s">
        <v>2213</v>
      </c>
      <c r="AO65" s="55" t="s">
        <v>126</v>
      </c>
    </row>
    <row r="66" spans="1:41" ht="68.400000000000006" hidden="1" customHeight="1" x14ac:dyDescent="0.3">
      <c r="A66" s="20">
        <v>62</v>
      </c>
      <c r="B66" s="8" t="s">
        <v>2214</v>
      </c>
      <c r="C66" s="26">
        <v>2025</v>
      </c>
      <c r="D66" s="8"/>
      <c r="E66" s="8" t="s">
        <v>129</v>
      </c>
      <c r="F66" s="20" t="s">
        <v>1969</v>
      </c>
      <c r="G66" s="21" t="s">
        <v>1968</v>
      </c>
      <c r="H66" s="21" t="s">
        <v>1968</v>
      </c>
      <c r="I66" s="21" t="s">
        <v>1968</v>
      </c>
      <c r="J66" s="21" t="s">
        <v>1968</v>
      </c>
      <c r="K66" s="21" t="s">
        <v>1968</v>
      </c>
      <c r="L66" s="22" t="str">
        <f t="shared" si="0"/>
        <v>INCLUDE</v>
      </c>
      <c r="M66" s="22" t="str">
        <f t="shared" si="1"/>
        <v/>
      </c>
      <c r="N66" s="23" t="s">
        <v>1968</v>
      </c>
      <c r="O66" s="23" t="s">
        <v>1968</v>
      </c>
      <c r="P66" s="24" t="s">
        <v>1968</v>
      </c>
      <c r="Q66" s="24" t="s">
        <v>1968</v>
      </c>
      <c r="R66" s="24" t="s">
        <v>1968</v>
      </c>
      <c r="S66" s="22" t="str">
        <f t="shared" si="2"/>
        <v>INCLUDE</v>
      </c>
      <c r="T66" s="22" t="str">
        <f t="shared" si="3"/>
        <v/>
      </c>
      <c r="U66" s="25" t="s">
        <v>1971</v>
      </c>
      <c r="V66" s="25">
        <v>0</v>
      </c>
      <c r="W66" s="25">
        <v>0</v>
      </c>
      <c r="X66" s="25">
        <v>1</v>
      </c>
      <c r="Y66" s="22" t="str">
        <f t="shared" si="4"/>
        <v>Single</v>
      </c>
      <c r="Z66" s="25" t="s">
        <v>1922</v>
      </c>
      <c r="AA66" s="25" t="s">
        <v>1972</v>
      </c>
      <c r="AB66" s="25" t="s">
        <v>2018</v>
      </c>
      <c r="AC66" s="25" t="s">
        <v>1986</v>
      </c>
      <c r="AD66" s="25" t="s">
        <v>1987</v>
      </c>
      <c r="AE66" s="25">
        <v>3</v>
      </c>
      <c r="AF66" s="25" t="s">
        <v>2010</v>
      </c>
      <c r="AG66" s="9" t="s">
        <v>2215</v>
      </c>
      <c r="AH66" s="29" t="s">
        <v>2216</v>
      </c>
      <c r="AI66" s="29" t="s">
        <v>2217</v>
      </c>
      <c r="AJ66" t="s">
        <v>2005</v>
      </c>
      <c r="AK66" t="s">
        <v>2218</v>
      </c>
      <c r="AL66" t="s">
        <v>1990</v>
      </c>
      <c r="AM66" s="50"/>
      <c r="AN66" s="51" t="s">
        <v>2219</v>
      </c>
      <c r="AO66" s="55" t="s">
        <v>128</v>
      </c>
    </row>
    <row r="67" spans="1:41" ht="68.400000000000006" hidden="1" customHeight="1" x14ac:dyDescent="0.3">
      <c r="A67" s="20">
        <v>63</v>
      </c>
      <c r="B67" s="8" t="s">
        <v>2220</v>
      </c>
      <c r="C67" s="26">
        <v>2025</v>
      </c>
      <c r="D67" s="8"/>
      <c r="E67" s="8" t="s">
        <v>131</v>
      </c>
      <c r="F67" s="20" t="s">
        <v>1969</v>
      </c>
      <c r="G67" s="21" t="s">
        <v>1968</v>
      </c>
      <c r="H67" s="21" t="s">
        <v>1968</v>
      </c>
      <c r="I67" s="21" t="s">
        <v>1968</v>
      </c>
      <c r="J67" s="21" t="s">
        <v>1968</v>
      </c>
      <c r="K67" s="21" t="s">
        <v>1968</v>
      </c>
      <c r="L67" s="22" t="str">
        <f t="shared" si="0"/>
        <v>INCLUDE</v>
      </c>
      <c r="M67" s="22" t="str">
        <f t="shared" si="1"/>
        <v/>
      </c>
      <c r="N67" s="23" t="s">
        <v>1968</v>
      </c>
      <c r="O67" s="23" t="s">
        <v>1968</v>
      </c>
      <c r="P67" s="24" t="s">
        <v>1968</v>
      </c>
      <c r="Q67" s="24" t="s">
        <v>1968</v>
      </c>
      <c r="R67" s="24" t="s">
        <v>1968</v>
      </c>
      <c r="S67" s="22" t="str">
        <f t="shared" si="2"/>
        <v>INCLUDE</v>
      </c>
      <c r="T67" s="22" t="str">
        <f t="shared" si="3"/>
        <v/>
      </c>
      <c r="U67" s="25" t="s">
        <v>1982</v>
      </c>
      <c r="V67" s="25">
        <v>0</v>
      </c>
      <c r="W67" s="25">
        <v>0</v>
      </c>
      <c r="X67" s="25">
        <v>1</v>
      </c>
      <c r="Y67" s="22" t="str">
        <f t="shared" si="4"/>
        <v>Single</v>
      </c>
      <c r="Z67" s="25" t="s">
        <v>1922</v>
      </c>
      <c r="AA67" s="25" t="s">
        <v>1972</v>
      </c>
      <c r="AB67" s="25" t="s">
        <v>2017</v>
      </c>
      <c r="AC67" s="25" t="s">
        <v>1986</v>
      </c>
      <c r="AD67" s="25" t="s">
        <v>2003</v>
      </c>
      <c r="AE67" s="25">
        <v>3</v>
      </c>
      <c r="AF67" s="25" t="s">
        <v>1976</v>
      </c>
      <c r="AG67" s="9" t="s">
        <v>2221</v>
      </c>
      <c r="AH67" s="29" t="s">
        <v>2222</v>
      </c>
      <c r="AI67" s="29" t="s">
        <v>2223</v>
      </c>
      <c r="AJ67" t="s">
        <v>2005</v>
      </c>
      <c r="AK67" t="s">
        <v>2224</v>
      </c>
      <c r="AL67" t="s">
        <v>1990</v>
      </c>
      <c r="AM67" s="50"/>
      <c r="AN67" s="51" t="s">
        <v>2225</v>
      </c>
      <c r="AO67" s="55" t="s">
        <v>130</v>
      </c>
    </row>
    <row r="68" spans="1:41" ht="57" hidden="1" customHeight="1" x14ac:dyDescent="0.3">
      <c r="A68" s="20">
        <v>64</v>
      </c>
      <c r="B68" s="8" t="s">
        <v>2226</v>
      </c>
      <c r="C68" s="26">
        <v>2026</v>
      </c>
      <c r="D68" s="8"/>
      <c r="E68" s="8" t="s">
        <v>133</v>
      </c>
      <c r="F68" s="20" t="s">
        <v>1969</v>
      </c>
      <c r="G68" s="21" t="s">
        <v>1968</v>
      </c>
      <c r="H68" s="21" t="s">
        <v>1979</v>
      </c>
      <c r="I68" s="21" t="s">
        <v>1968</v>
      </c>
      <c r="J68" s="21" t="s">
        <v>1968</v>
      </c>
      <c r="K68" s="21" t="s">
        <v>1968</v>
      </c>
      <c r="L68" s="22" t="str">
        <f t="shared" si="0"/>
        <v>EXCLUDE</v>
      </c>
      <c r="M68" s="22" t="str">
        <f t="shared" si="1"/>
        <v>Digital Twin not core / buzzword</v>
      </c>
      <c r="N68" s="23"/>
      <c r="O68" s="23"/>
      <c r="P68" s="24"/>
      <c r="Q68" s="24"/>
      <c r="R68" s="24"/>
      <c r="S68" s="22" t="str">
        <f t="shared" si="2"/>
        <v/>
      </c>
      <c r="T68" s="22" t="str">
        <f t="shared" si="3"/>
        <v/>
      </c>
      <c r="U68" s="25"/>
      <c r="V68" s="25"/>
      <c r="W68" s="25"/>
      <c r="X68" s="25"/>
      <c r="Y68" s="22" t="str">
        <f t="shared" si="4"/>
        <v/>
      </c>
      <c r="Z68" s="25"/>
      <c r="AA68" s="25"/>
      <c r="AB68" s="25"/>
      <c r="AC68" s="25"/>
      <c r="AD68" s="25"/>
      <c r="AE68" s="25"/>
      <c r="AF68" s="25"/>
      <c r="AG68" s="9"/>
      <c r="AH68" s="29"/>
      <c r="AI68" s="29"/>
      <c r="AM68" s="50"/>
      <c r="AN68" s="51" t="s">
        <v>2227</v>
      </c>
      <c r="AO68" s="55" t="s">
        <v>132</v>
      </c>
    </row>
    <row r="69" spans="1:41" ht="91.2" customHeight="1" x14ac:dyDescent="0.3">
      <c r="A69" s="20">
        <v>65</v>
      </c>
      <c r="B69" s="8" t="s">
        <v>2228</v>
      </c>
      <c r="C69" s="26">
        <v>2026</v>
      </c>
      <c r="D69" s="8"/>
      <c r="E69" s="8" t="s">
        <v>135</v>
      </c>
      <c r="F69" s="20" t="s">
        <v>1969</v>
      </c>
      <c r="G69" s="21" t="s">
        <v>1968</v>
      </c>
      <c r="H69" s="21" t="s">
        <v>1968</v>
      </c>
      <c r="I69" s="21" t="s">
        <v>1968</v>
      </c>
      <c r="J69" s="21" t="s">
        <v>1968</v>
      </c>
      <c r="K69" s="21" t="s">
        <v>1968</v>
      </c>
      <c r="L69" s="22" t="str">
        <f t="shared" ref="L69:L132" si="5">IF(COUNTBLANK(G69:K69)=5,"",IF(COUNTIF(G69:K69,"No")&gt;0,"EXCLUDE","INCLUDE"))</f>
        <v>INCLUDE</v>
      </c>
      <c r="M69" s="22" t="str">
        <f t="shared" ref="M69:M132" si="6">IF(L69&lt;&gt;"EXCLUDE","",IF(G69="No","Wrong domain (non-AECO)",IF(H69="No","Digital Twin not core / buzzword",IF(I69="No","No Design for Safety / PtD focus",IF(J69="No","Wrong publication type",IF(K69="No","Non-English",""))))))</f>
        <v/>
      </c>
      <c r="N69" s="23" t="s">
        <v>1968</v>
      </c>
      <c r="O69" s="23" t="s">
        <v>1968</v>
      </c>
      <c r="P69" s="24" t="s">
        <v>1968</v>
      </c>
      <c r="Q69" s="24" t="s">
        <v>1968</v>
      </c>
      <c r="R69" s="24" t="s">
        <v>1968</v>
      </c>
      <c r="S69" s="22" t="str">
        <f t="shared" ref="S69:S132" si="7">IF(N69&lt;&gt;"Yes","",IF(COUNTBLANK(P69:R69)=3,"",IF(COUNTIF(P69:R69,"No")&gt;0,"EXCLUDE","INCLUDE")))</f>
        <v>INCLUDE</v>
      </c>
      <c r="T69" s="22" t="str">
        <f t="shared" ref="T69:T132" si="8">IF(S69&lt;&gt;"EXCLUDE","",IF(P69="No","Digital Twin mentioned only, not the subject",IF(Q69="No","No Design for Safety focus in full text",IF(R69="No","Methodology not codable",""))))</f>
        <v/>
      </c>
      <c r="U69" s="25" t="s">
        <v>1971</v>
      </c>
      <c r="V69" s="25">
        <v>0</v>
      </c>
      <c r="W69" s="25">
        <v>0</v>
      </c>
      <c r="X69" s="25">
        <v>1</v>
      </c>
      <c r="Y69" s="22" t="str">
        <f t="shared" ref="Y69:Y132" si="9">IF(SUM(V69:X69)=0,"",IF(SUM(V69:X69)&gt;=2,"Multi","Single"))</f>
        <v>Single</v>
      </c>
      <c r="Z69" s="25" t="s">
        <v>1922</v>
      </c>
      <c r="AA69" s="25" t="s">
        <v>1972</v>
      </c>
      <c r="AB69" s="25" t="s">
        <v>2014</v>
      </c>
      <c r="AC69" s="25" t="s">
        <v>1986</v>
      </c>
      <c r="AD69" s="25" t="s">
        <v>2003</v>
      </c>
      <c r="AE69" s="25">
        <v>4</v>
      </c>
      <c r="AF69" s="25" t="s">
        <v>2010</v>
      </c>
      <c r="AG69" s="9" t="s">
        <v>2229</v>
      </c>
      <c r="AH69" s="29" t="s">
        <v>2230</v>
      </c>
      <c r="AI69" s="29" t="s">
        <v>2231</v>
      </c>
      <c r="AJ69" t="s">
        <v>2005</v>
      </c>
      <c r="AK69" t="s">
        <v>2232</v>
      </c>
      <c r="AL69" t="s">
        <v>1978</v>
      </c>
      <c r="AM69" s="50"/>
      <c r="AN69" s="51" t="s">
        <v>2233</v>
      </c>
      <c r="AO69" s="55" t="s">
        <v>134</v>
      </c>
    </row>
    <row r="70" spans="1:41" ht="91.2" customHeight="1" x14ac:dyDescent="0.3">
      <c r="A70" s="20">
        <v>66</v>
      </c>
      <c r="B70" s="8" t="s">
        <v>2234</v>
      </c>
      <c r="C70" s="26">
        <v>2026</v>
      </c>
      <c r="D70" s="8"/>
      <c r="E70" s="8" t="s">
        <v>137</v>
      </c>
      <c r="F70" s="20" t="s">
        <v>1969</v>
      </c>
      <c r="G70" s="21" t="s">
        <v>1979</v>
      </c>
      <c r="H70" s="21" t="s">
        <v>1968</v>
      </c>
      <c r="I70" s="21" t="s">
        <v>1979</v>
      </c>
      <c r="J70" s="21" t="s">
        <v>1968</v>
      </c>
      <c r="K70" s="21" t="s">
        <v>1968</v>
      </c>
      <c r="L70" s="22" t="str">
        <f t="shared" si="5"/>
        <v>EXCLUDE</v>
      </c>
      <c r="M70" s="22" t="str">
        <f t="shared" si="6"/>
        <v>Wrong domain (non-AECO)</v>
      </c>
      <c r="N70" s="23"/>
      <c r="O70" s="23"/>
      <c r="P70" s="24"/>
      <c r="Q70" s="24"/>
      <c r="R70" s="24"/>
      <c r="S70" s="22" t="str">
        <f t="shared" si="7"/>
        <v/>
      </c>
      <c r="T70" s="22" t="str">
        <f t="shared" si="8"/>
        <v/>
      </c>
      <c r="U70" s="25"/>
      <c r="V70" s="25"/>
      <c r="W70" s="25"/>
      <c r="X70" s="25"/>
      <c r="Y70" s="22" t="str">
        <f t="shared" si="9"/>
        <v/>
      </c>
      <c r="Z70" s="25"/>
      <c r="AA70" s="25"/>
      <c r="AB70" s="25"/>
      <c r="AC70" s="25"/>
      <c r="AD70" s="25"/>
      <c r="AE70" s="25"/>
      <c r="AF70" s="25"/>
      <c r="AG70" s="9"/>
      <c r="AH70" s="29"/>
      <c r="AI70" s="29"/>
      <c r="AM70" s="50"/>
      <c r="AN70" s="51" t="s">
        <v>2235</v>
      </c>
      <c r="AO70" s="55" t="s">
        <v>136</v>
      </c>
    </row>
    <row r="71" spans="1:41" ht="86.4" customHeight="1" x14ac:dyDescent="0.3">
      <c r="A71" s="20">
        <v>67</v>
      </c>
      <c r="B71" s="8" t="s">
        <v>2236</v>
      </c>
      <c r="C71" s="26">
        <v>2026</v>
      </c>
      <c r="D71" s="8"/>
      <c r="E71" s="8" t="s">
        <v>139</v>
      </c>
      <c r="F71" s="20" t="s">
        <v>1969</v>
      </c>
      <c r="G71" s="21" t="s">
        <v>1968</v>
      </c>
      <c r="H71" s="21" t="s">
        <v>1968</v>
      </c>
      <c r="I71" s="21" t="s">
        <v>1968</v>
      </c>
      <c r="J71" s="21" t="s">
        <v>1968</v>
      </c>
      <c r="K71" s="21" t="s">
        <v>1968</v>
      </c>
      <c r="L71" s="22" t="str">
        <f t="shared" si="5"/>
        <v>INCLUDE</v>
      </c>
      <c r="M71" s="22" t="str">
        <f t="shared" si="6"/>
        <v/>
      </c>
      <c r="N71" s="23" t="s">
        <v>1968</v>
      </c>
      <c r="O71" s="23" t="s">
        <v>1968</v>
      </c>
      <c r="P71" s="24" t="s">
        <v>1968</v>
      </c>
      <c r="Q71" s="24" t="s">
        <v>1968</v>
      </c>
      <c r="R71" s="24" t="s">
        <v>1968</v>
      </c>
      <c r="S71" s="22" t="str">
        <f t="shared" si="7"/>
        <v>INCLUDE</v>
      </c>
      <c r="T71" s="22" t="str">
        <f t="shared" si="8"/>
        <v/>
      </c>
      <c r="U71" s="25" t="s">
        <v>1982</v>
      </c>
      <c r="V71" s="25">
        <v>0</v>
      </c>
      <c r="W71" s="25">
        <v>0</v>
      </c>
      <c r="X71" s="25">
        <v>1</v>
      </c>
      <c r="Y71" s="22" t="str">
        <f t="shared" si="9"/>
        <v>Single</v>
      </c>
      <c r="Z71" s="25" t="s">
        <v>1922</v>
      </c>
      <c r="AA71" s="25" t="s">
        <v>1972</v>
      </c>
      <c r="AB71" s="25" t="s">
        <v>1973</v>
      </c>
      <c r="AC71" s="25" t="s">
        <v>1986</v>
      </c>
      <c r="AD71" s="25" t="s">
        <v>2003</v>
      </c>
      <c r="AE71" s="25">
        <v>4</v>
      </c>
      <c r="AF71" s="25" t="s">
        <v>2010</v>
      </c>
      <c r="AG71" s="9" t="s">
        <v>2237</v>
      </c>
      <c r="AH71" s="29" t="s">
        <v>2238</v>
      </c>
      <c r="AI71" s="29" t="s">
        <v>2239</v>
      </c>
      <c r="AJ71" t="s">
        <v>1989</v>
      </c>
      <c r="AK71" t="s">
        <v>2240</v>
      </c>
      <c r="AL71" t="s">
        <v>1990</v>
      </c>
      <c r="AM71" s="50"/>
      <c r="AN71" s="51" t="s">
        <v>2241</v>
      </c>
      <c r="AO71" s="55" t="s">
        <v>138</v>
      </c>
    </row>
    <row r="72" spans="1:41" ht="114" customHeight="1" x14ac:dyDescent="0.3">
      <c r="A72" s="20">
        <v>68</v>
      </c>
      <c r="B72" s="8" t="s">
        <v>2242</v>
      </c>
      <c r="C72" s="26">
        <v>2025</v>
      </c>
      <c r="D72" s="8"/>
      <c r="E72" s="8" t="s">
        <v>141</v>
      </c>
      <c r="F72" s="20" t="s">
        <v>1969</v>
      </c>
      <c r="G72" s="21" t="s">
        <v>1968</v>
      </c>
      <c r="H72" s="21" t="s">
        <v>1968</v>
      </c>
      <c r="I72" s="21" t="s">
        <v>1968</v>
      </c>
      <c r="J72" s="21" t="s">
        <v>1968</v>
      </c>
      <c r="K72" s="21" t="s">
        <v>1968</v>
      </c>
      <c r="L72" s="22" t="str">
        <f t="shared" si="5"/>
        <v>INCLUDE</v>
      </c>
      <c r="M72" s="22" t="str">
        <f t="shared" si="6"/>
        <v/>
      </c>
      <c r="N72" s="23" t="s">
        <v>1968</v>
      </c>
      <c r="O72" s="23" t="s">
        <v>1968</v>
      </c>
      <c r="P72" s="24" t="s">
        <v>1968</v>
      </c>
      <c r="Q72" s="24" t="s">
        <v>1968</v>
      </c>
      <c r="R72" s="24" t="s">
        <v>1968</v>
      </c>
      <c r="S72" s="22" t="str">
        <f t="shared" si="7"/>
        <v>INCLUDE</v>
      </c>
      <c r="T72" s="22" t="str">
        <f t="shared" si="8"/>
        <v/>
      </c>
      <c r="U72" s="25" t="s">
        <v>1982</v>
      </c>
      <c r="V72" s="25">
        <v>0</v>
      </c>
      <c r="W72" s="25">
        <v>0</v>
      </c>
      <c r="X72" s="25">
        <v>1</v>
      </c>
      <c r="Y72" s="22" t="str">
        <f t="shared" si="9"/>
        <v>Single</v>
      </c>
      <c r="Z72" s="25" t="s">
        <v>1922</v>
      </c>
      <c r="AA72" s="25" t="s">
        <v>1972</v>
      </c>
      <c r="AB72" s="25" t="s">
        <v>2018</v>
      </c>
      <c r="AC72" s="25" t="s">
        <v>1986</v>
      </c>
      <c r="AD72" s="25" t="s">
        <v>2003</v>
      </c>
      <c r="AE72" s="25">
        <v>3</v>
      </c>
      <c r="AF72" s="25" t="s">
        <v>2010</v>
      </c>
      <c r="AG72" s="9" t="s">
        <v>2243</v>
      </c>
      <c r="AH72" s="29" t="s">
        <v>2244</v>
      </c>
      <c r="AI72" s="29" t="s">
        <v>2245</v>
      </c>
      <c r="AJ72" t="s">
        <v>2005</v>
      </c>
      <c r="AK72" t="s">
        <v>2246</v>
      </c>
      <c r="AL72" t="s">
        <v>1990</v>
      </c>
      <c r="AM72" s="50"/>
      <c r="AN72" s="51" t="s">
        <v>2247</v>
      </c>
      <c r="AO72" s="55" t="s">
        <v>140</v>
      </c>
    </row>
    <row r="73" spans="1:41" ht="68.400000000000006" hidden="1" customHeight="1" x14ac:dyDescent="0.3">
      <c r="A73" s="20">
        <v>69</v>
      </c>
      <c r="B73" s="8" t="s">
        <v>2248</v>
      </c>
      <c r="C73" s="26">
        <v>2025</v>
      </c>
      <c r="D73" s="8"/>
      <c r="E73" s="8" t="s">
        <v>143</v>
      </c>
      <c r="F73" s="20" t="s">
        <v>1969</v>
      </c>
      <c r="G73" s="21" t="s">
        <v>1968</v>
      </c>
      <c r="H73" s="21" t="s">
        <v>1968</v>
      </c>
      <c r="I73" s="21" t="s">
        <v>1979</v>
      </c>
      <c r="J73" s="21" t="s">
        <v>1968</v>
      </c>
      <c r="K73" s="21" t="s">
        <v>1968</v>
      </c>
      <c r="L73" s="22" t="str">
        <f t="shared" si="5"/>
        <v>EXCLUDE</v>
      </c>
      <c r="M73" s="22" t="str">
        <f t="shared" si="6"/>
        <v>No Design for Safety / PtD focus</v>
      </c>
      <c r="N73" s="23"/>
      <c r="O73" s="23"/>
      <c r="P73" s="24"/>
      <c r="Q73" s="24"/>
      <c r="R73" s="24"/>
      <c r="S73" s="22" t="str">
        <f t="shared" si="7"/>
        <v/>
      </c>
      <c r="T73" s="22" t="str">
        <f t="shared" si="8"/>
        <v/>
      </c>
      <c r="U73" s="25"/>
      <c r="V73" s="25"/>
      <c r="W73" s="25"/>
      <c r="X73" s="25"/>
      <c r="Y73" s="22" t="str">
        <f t="shared" si="9"/>
        <v/>
      </c>
      <c r="Z73" s="25"/>
      <c r="AA73" s="25"/>
      <c r="AB73" s="25"/>
      <c r="AC73" s="25"/>
      <c r="AD73" s="25"/>
      <c r="AE73" s="25"/>
      <c r="AF73" s="25"/>
      <c r="AG73" s="9"/>
      <c r="AH73" s="29"/>
      <c r="AI73" s="29"/>
      <c r="AM73" s="50"/>
      <c r="AN73" s="51" t="s">
        <v>2249</v>
      </c>
      <c r="AO73" s="55" t="s">
        <v>142</v>
      </c>
    </row>
    <row r="74" spans="1:41" ht="45.6" hidden="1" customHeight="1" x14ac:dyDescent="0.3">
      <c r="A74" s="20">
        <v>70</v>
      </c>
      <c r="B74" s="8" t="s">
        <v>2250</v>
      </c>
      <c r="C74" s="26">
        <v>2026</v>
      </c>
      <c r="D74" s="8"/>
      <c r="E74" s="8" t="s">
        <v>145</v>
      </c>
      <c r="F74" s="20" t="s">
        <v>1969</v>
      </c>
      <c r="G74" s="21" t="s">
        <v>1979</v>
      </c>
      <c r="H74" s="21" t="s">
        <v>1968</v>
      </c>
      <c r="I74" s="21" t="s">
        <v>1979</v>
      </c>
      <c r="J74" s="21" t="s">
        <v>1968</v>
      </c>
      <c r="K74" s="21" t="s">
        <v>1968</v>
      </c>
      <c r="L74" s="22" t="str">
        <f t="shared" si="5"/>
        <v>EXCLUDE</v>
      </c>
      <c r="M74" s="22" t="str">
        <f t="shared" si="6"/>
        <v>Wrong domain (non-AECO)</v>
      </c>
      <c r="N74" s="23"/>
      <c r="O74" s="23"/>
      <c r="P74" s="24"/>
      <c r="Q74" s="24"/>
      <c r="R74" s="24"/>
      <c r="S74" s="22" t="str">
        <f t="shared" si="7"/>
        <v/>
      </c>
      <c r="T74" s="22" t="str">
        <f t="shared" si="8"/>
        <v/>
      </c>
      <c r="U74" s="25"/>
      <c r="V74" s="25"/>
      <c r="W74" s="25"/>
      <c r="X74" s="25"/>
      <c r="Y74" s="22" t="str">
        <f t="shared" si="9"/>
        <v/>
      </c>
      <c r="Z74" s="25"/>
      <c r="AA74" s="25"/>
      <c r="AB74" s="25"/>
      <c r="AC74" s="25"/>
      <c r="AD74" s="25"/>
      <c r="AE74" s="25"/>
      <c r="AF74" s="25"/>
      <c r="AG74" s="9"/>
      <c r="AH74" s="29"/>
      <c r="AI74" s="29"/>
      <c r="AM74" s="50"/>
      <c r="AN74" s="51" t="s">
        <v>2251</v>
      </c>
      <c r="AO74" s="55" t="s">
        <v>144</v>
      </c>
    </row>
    <row r="75" spans="1:41" ht="57" hidden="1" customHeight="1" x14ac:dyDescent="0.3">
      <c r="A75" s="20">
        <v>71</v>
      </c>
      <c r="B75" s="8" t="s">
        <v>2252</v>
      </c>
      <c r="C75" s="26">
        <v>2026</v>
      </c>
      <c r="D75" s="8"/>
      <c r="E75" s="8" t="s">
        <v>147</v>
      </c>
      <c r="F75" s="20" t="s">
        <v>1969</v>
      </c>
      <c r="G75" s="21" t="s">
        <v>1968</v>
      </c>
      <c r="H75" s="21" t="s">
        <v>1968</v>
      </c>
      <c r="I75" s="21" t="s">
        <v>1968</v>
      </c>
      <c r="J75" s="21" t="s">
        <v>1968</v>
      </c>
      <c r="K75" s="21" t="s">
        <v>1968</v>
      </c>
      <c r="L75" s="22" t="str">
        <f t="shared" si="5"/>
        <v>INCLUDE</v>
      </c>
      <c r="M75" s="22" t="str">
        <f t="shared" si="6"/>
        <v/>
      </c>
      <c r="N75" s="23" t="s">
        <v>1968</v>
      </c>
      <c r="O75" s="23" t="s">
        <v>1968</v>
      </c>
      <c r="P75" s="24" t="s">
        <v>1968</v>
      </c>
      <c r="Q75" s="24" t="s">
        <v>1968</v>
      </c>
      <c r="R75" s="24" t="s">
        <v>1968</v>
      </c>
      <c r="S75" s="22" t="str">
        <f t="shared" si="7"/>
        <v>INCLUDE</v>
      </c>
      <c r="T75" s="22" t="str">
        <f t="shared" si="8"/>
        <v/>
      </c>
      <c r="U75" s="25" t="s">
        <v>1982</v>
      </c>
      <c r="V75" s="25">
        <v>0</v>
      </c>
      <c r="W75" s="25">
        <v>1</v>
      </c>
      <c r="X75" s="25">
        <v>0</v>
      </c>
      <c r="Y75" s="22" t="str">
        <f t="shared" si="9"/>
        <v>Single</v>
      </c>
      <c r="Z75" s="25" t="s">
        <v>1922</v>
      </c>
      <c r="AA75" s="25" t="s">
        <v>1972</v>
      </c>
      <c r="AB75" s="25" t="s">
        <v>2016</v>
      </c>
      <c r="AC75" s="25" t="s">
        <v>1986</v>
      </c>
      <c r="AD75" s="25" t="s">
        <v>1987</v>
      </c>
      <c r="AE75" s="25">
        <v>3</v>
      </c>
      <c r="AF75" s="25" t="s">
        <v>2010</v>
      </c>
      <c r="AG75" s="9" t="s">
        <v>2253</v>
      </c>
      <c r="AH75" s="29" t="s">
        <v>2254</v>
      </c>
      <c r="AI75" s="29" t="s">
        <v>2255</v>
      </c>
      <c r="AJ75" t="s">
        <v>2005</v>
      </c>
      <c r="AK75" t="s">
        <v>2256</v>
      </c>
      <c r="AL75" t="s">
        <v>1990</v>
      </c>
      <c r="AM75" s="50"/>
      <c r="AN75" s="51" t="s">
        <v>2257</v>
      </c>
      <c r="AO75" s="55" t="s">
        <v>146</v>
      </c>
    </row>
    <row r="76" spans="1:41" ht="79.95" customHeight="1" x14ac:dyDescent="0.3">
      <c r="A76" s="20">
        <v>72</v>
      </c>
      <c r="B76" s="8" t="s">
        <v>2258</v>
      </c>
      <c r="C76" s="26">
        <v>2025</v>
      </c>
      <c r="D76" s="8"/>
      <c r="E76" s="8" t="s">
        <v>149</v>
      </c>
      <c r="F76" s="20" t="s">
        <v>1969</v>
      </c>
      <c r="G76" s="21" t="s">
        <v>1968</v>
      </c>
      <c r="H76" s="21" t="s">
        <v>1968</v>
      </c>
      <c r="I76" s="21" t="s">
        <v>1968</v>
      </c>
      <c r="J76" s="21" t="s">
        <v>1968</v>
      </c>
      <c r="K76" s="21" t="s">
        <v>1968</v>
      </c>
      <c r="L76" s="22" t="str">
        <f t="shared" si="5"/>
        <v>INCLUDE</v>
      </c>
      <c r="M76" s="22" t="str">
        <f t="shared" si="6"/>
        <v/>
      </c>
      <c r="N76" s="23" t="s">
        <v>1968</v>
      </c>
      <c r="O76" s="23" t="s">
        <v>1968</v>
      </c>
      <c r="P76" s="24" t="s">
        <v>1968</v>
      </c>
      <c r="Q76" s="24" t="s">
        <v>1968</v>
      </c>
      <c r="R76" s="24" t="s">
        <v>1968</v>
      </c>
      <c r="S76" s="22" t="str">
        <f t="shared" si="7"/>
        <v>INCLUDE</v>
      </c>
      <c r="T76" s="22" t="str">
        <f t="shared" si="8"/>
        <v/>
      </c>
      <c r="U76" s="25" t="s">
        <v>1982</v>
      </c>
      <c r="V76" s="25">
        <v>0</v>
      </c>
      <c r="W76" s="25">
        <v>0</v>
      </c>
      <c r="X76" s="25">
        <v>1</v>
      </c>
      <c r="Y76" s="22" t="str">
        <f t="shared" si="9"/>
        <v>Single</v>
      </c>
      <c r="Z76" s="25" t="s">
        <v>1922</v>
      </c>
      <c r="AA76" s="25" t="s">
        <v>1993</v>
      </c>
      <c r="AB76" s="25" t="s">
        <v>2014</v>
      </c>
      <c r="AC76" s="25" t="s">
        <v>1986</v>
      </c>
      <c r="AD76" s="25" t="s">
        <v>2003</v>
      </c>
      <c r="AE76" s="25">
        <v>4</v>
      </c>
      <c r="AF76" s="25" t="s">
        <v>2010</v>
      </c>
      <c r="AG76" s="9" t="s">
        <v>2259</v>
      </c>
      <c r="AH76" s="29" t="s">
        <v>2260</v>
      </c>
      <c r="AI76" s="29" t="s">
        <v>2261</v>
      </c>
      <c r="AJ76" t="s">
        <v>2005</v>
      </c>
      <c r="AK76" t="s">
        <v>2262</v>
      </c>
      <c r="AL76" t="s">
        <v>1978</v>
      </c>
      <c r="AM76" s="50"/>
      <c r="AN76" s="51" t="s">
        <v>2263</v>
      </c>
      <c r="AO76" s="55" t="s">
        <v>148</v>
      </c>
    </row>
    <row r="77" spans="1:41" ht="45.6" hidden="1" customHeight="1" x14ac:dyDescent="0.3">
      <c r="A77" s="20">
        <v>73</v>
      </c>
      <c r="B77" s="8" t="s">
        <v>2264</v>
      </c>
      <c r="C77" s="26">
        <v>2026</v>
      </c>
      <c r="D77" s="8"/>
      <c r="E77" s="8" t="s">
        <v>151</v>
      </c>
      <c r="F77" s="20" t="s">
        <v>1969</v>
      </c>
      <c r="G77" s="21" t="s">
        <v>1968</v>
      </c>
      <c r="H77" s="21" t="s">
        <v>1979</v>
      </c>
      <c r="I77" s="21" t="s">
        <v>1968</v>
      </c>
      <c r="J77" s="21" t="s">
        <v>1968</v>
      </c>
      <c r="K77" s="21" t="s">
        <v>1968</v>
      </c>
      <c r="L77" s="22" t="str">
        <f t="shared" si="5"/>
        <v>EXCLUDE</v>
      </c>
      <c r="M77" s="22" t="str">
        <f t="shared" si="6"/>
        <v>Digital Twin not core / buzzword</v>
      </c>
      <c r="N77" s="23"/>
      <c r="O77" s="23"/>
      <c r="P77" s="24"/>
      <c r="Q77" s="24"/>
      <c r="R77" s="24"/>
      <c r="S77" s="22" t="str">
        <f t="shared" si="7"/>
        <v/>
      </c>
      <c r="T77" s="22" t="str">
        <f t="shared" si="8"/>
        <v/>
      </c>
      <c r="U77" s="25"/>
      <c r="V77" s="25"/>
      <c r="W77" s="25"/>
      <c r="X77" s="25"/>
      <c r="Y77" s="22" t="str">
        <f t="shared" si="9"/>
        <v/>
      </c>
      <c r="Z77" s="25"/>
      <c r="AA77" s="25"/>
      <c r="AB77" s="25"/>
      <c r="AC77" s="25"/>
      <c r="AD77" s="25"/>
      <c r="AE77" s="25"/>
      <c r="AF77" s="25"/>
      <c r="AG77" s="9"/>
      <c r="AH77" s="29"/>
      <c r="AI77" s="29"/>
      <c r="AM77" s="50"/>
      <c r="AN77" s="51" t="s">
        <v>2265</v>
      </c>
      <c r="AO77" s="55" t="s">
        <v>150</v>
      </c>
    </row>
    <row r="78" spans="1:41" ht="72" customHeight="1" x14ac:dyDescent="0.3">
      <c r="A78" s="20">
        <v>74</v>
      </c>
      <c r="B78" s="8" t="s">
        <v>2266</v>
      </c>
      <c r="C78" s="26">
        <v>2026</v>
      </c>
      <c r="D78" s="8"/>
      <c r="E78" s="8" t="s">
        <v>153</v>
      </c>
      <c r="F78" s="20" t="s">
        <v>1969</v>
      </c>
      <c r="G78" s="21" t="s">
        <v>1968</v>
      </c>
      <c r="H78" s="21" t="s">
        <v>1979</v>
      </c>
      <c r="I78" s="21" t="s">
        <v>1968</v>
      </c>
      <c r="J78" s="21" t="s">
        <v>1968</v>
      </c>
      <c r="K78" s="21" t="s">
        <v>1968</v>
      </c>
      <c r="L78" s="22" t="str">
        <f t="shared" si="5"/>
        <v>EXCLUDE</v>
      </c>
      <c r="M78" s="22" t="str">
        <f t="shared" si="6"/>
        <v>Digital Twin not core / buzzword</v>
      </c>
      <c r="N78" s="23"/>
      <c r="O78" s="23"/>
      <c r="P78" s="24"/>
      <c r="Q78" s="24"/>
      <c r="R78" s="24"/>
      <c r="S78" s="22" t="str">
        <f t="shared" si="7"/>
        <v/>
      </c>
      <c r="T78" s="22" t="str">
        <f t="shared" si="8"/>
        <v/>
      </c>
      <c r="U78" s="25"/>
      <c r="V78" s="25"/>
      <c r="W78" s="25"/>
      <c r="X78" s="25"/>
      <c r="Y78" s="22" t="str">
        <f t="shared" si="9"/>
        <v/>
      </c>
      <c r="Z78" s="25"/>
      <c r="AA78" s="25"/>
      <c r="AB78" s="25"/>
      <c r="AC78" s="25"/>
      <c r="AD78" s="25"/>
      <c r="AE78" s="25"/>
      <c r="AF78" s="25"/>
      <c r="AG78" s="9"/>
      <c r="AH78" s="29"/>
      <c r="AI78" s="29"/>
      <c r="AM78" s="50"/>
      <c r="AN78" s="51" t="s">
        <v>2267</v>
      </c>
      <c r="AO78" s="55" t="s">
        <v>152</v>
      </c>
    </row>
    <row r="79" spans="1:41" ht="45.6" hidden="1" customHeight="1" x14ac:dyDescent="0.3">
      <c r="A79" s="20">
        <v>75</v>
      </c>
      <c r="B79" s="8" t="s">
        <v>2268</v>
      </c>
      <c r="C79" s="26">
        <v>2026</v>
      </c>
      <c r="D79" s="8"/>
      <c r="E79" s="8" t="s">
        <v>155</v>
      </c>
      <c r="F79" s="20" t="s">
        <v>1969</v>
      </c>
      <c r="G79" s="21" t="s">
        <v>1979</v>
      </c>
      <c r="H79" s="21" t="s">
        <v>1968</v>
      </c>
      <c r="I79" s="21" t="s">
        <v>1979</v>
      </c>
      <c r="J79" s="21" t="s">
        <v>1968</v>
      </c>
      <c r="K79" s="21" t="s">
        <v>1968</v>
      </c>
      <c r="L79" s="22" t="str">
        <f t="shared" si="5"/>
        <v>EXCLUDE</v>
      </c>
      <c r="M79" s="22" t="str">
        <f t="shared" si="6"/>
        <v>Wrong domain (non-AECO)</v>
      </c>
      <c r="N79" s="23"/>
      <c r="O79" s="23"/>
      <c r="P79" s="24"/>
      <c r="Q79" s="24"/>
      <c r="R79" s="24"/>
      <c r="S79" s="22" t="str">
        <f t="shared" si="7"/>
        <v/>
      </c>
      <c r="T79" s="22" t="str">
        <f t="shared" si="8"/>
        <v/>
      </c>
      <c r="U79" s="25"/>
      <c r="V79" s="25"/>
      <c r="W79" s="25"/>
      <c r="X79" s="25"/>
      <c r="Y79" s="22" t="str">
        <f t="shared" si="9"/>
        <v/>
      </c>
      <c r="Z79" s="25"/>
      <c r="AA79" s="25"/>
      <c r="AB79" s="25"/>
      <c r="AC79" s="25"/>
      <c r="AD79" s="25"/>
      <c r="AE79" s="25"/>
      <c r="AF79" s="25"/>
      <c r="AG79" s="9"/>
      <c r="AH79" s="29"/>
      <c r="AI79" s="29"/>
      <c r="AM79" s="50"/>
      <c r="AN79" s="51" t="s">
        <v>2269</v>
      </c>
      <c r="AO79" s="55" t="s">
        <v>154</v>
      </c>
    </row>
    <row r="80" spans="1:41" ht="144" customHeight="1" x14ac:dyDescent="0.3">
      <c r="A80" s="20">
        <v>76</v>
      </c>
      <c r="B80" s="8" t="s">
        <v>2270</v>
      </c>
      <c r="C80" s="26">
        <v>2025</v>
      </c>
      <c r="D80" s="8"/>
      <c r="E80" s="8" t="s">
        <v>157</v>
      </c>
      <c r="F80" s="20" t="s">
        <v>1969</v>
      </c>
      <c r="G80" s="21" t="s">
        <v>1979</v>
      </c>
      <c r="H80" s="21" t="s">
        <v>1979</v>
      </c>
      <c r="I80" s="21" t="s">
        <v>1968</v>
      </c>
      <c r="J80" s="21" t="s">
        <v>1968</v>
      </c>
      <c r="K80" s="21" t="s">
        <v>1968</v>
      </c>
      <c r="L80" s="22" t="str">
        <f t="shared" si="5"/>
        <v>EXCLUDE</v>
      </c>
      <c r="M80" s="22" t="str">
        <f t="shared" si="6"/>
        <v>Wrong domain (non-AECO)</v>
      </c>
      <c r="N80" s="23"/>
      <c r="O80" s="23"/>
      <c r="P80" s="24"/>
      <c r="Q80" s="24"/>
      <c r="R80" s="24"/>
      <c r="S80" s="22" t="str">
        <f t="shared" si="7"/>
        <v/>
      </c>
      <c r="T80" s="22" t="str">
        <f t="shared" si="8"/>
        <v/>
      </c>
      <c r="U80" s="25"/>
      <c r="V80" s="25"/>
      <c r="W80" s="25"/>
      <c r="X80" s="25"/>
      <c r="Y80" s="22" t="str">
        <f t="shared" si="9"/>
        <v/>
      </c>
      <c r="Z80" s="25"/>
      <c r="AA80" s="25"/>
      <c r="AB80" s="25"/>
      <c r="AC80" s="25"/>
      <c r="AD80" s="25"/>
      <c r="AE80" s="25"/>
      <c r="AF80" s="25"/>
      <c r="AG80" s="9"/>
      <c r="AH80" s="29"/>
      <c r="AI80" s="29"/>
      <c r="AM80" s="50"/>
      <c r="AN80" s="51" t="s">
        <v>2271</v>
      </c>
      <c r="AO80" s="55" t="s">
        <v>156</v>
      </c>
    </row>
    <row r="81" spans="1:41" ht="68.400000000000006" hidden="1" customHeight="1" x14ac:dyDescent="0.3">
      <c r="A81" s="20">
        <v>77</v>
      </c>
      <c r="B81" s="8" t="s">
        <v>2272</v>
      </c>
      <c r="C81" s="26">
        <v>2026</v>
      </c>
      <c r="D81" s="8"/>
      <c r="E81" s="8" t="s">
        <v>159</v>
      </c>
      <c r="F81" s="20" t="s">
        <v>1969</v>
      </c>
      <c r="G81" s="21" t="s">
        <v>1968</v>
      </c>
      <c r="H81" s="21" t="s">
        <v>1979</v>
      </c>
      <c r="I81" s="21" t="s">
        <v>1968</v>
      </c>
      <c r="J81" s="21" t="s">
        <v>1968</v>
      </c>
      <c r="K81" s="21" t="s">
        <v>1968</v>
      </c>
      <c r="L81" s="22" t="str">
        <f t="shared" si="5"/>
        <v>EXCLUDE</v>
      </c>
      <c r="M81" s="22" t="str">
        <f t="shared" si="6"/>
        <v>Digital Twin not core / buzzword</v>
      </c>
      <c r="N81" s="23"/>
      <c r="O81" s="23"/>
      <c r="P81" s="24"/>
      <c r="Q81" s="24"/>
      <c r="R81" s="24"/>
      <c r="S81" s="22" t="str">
        <f t="shared" si="7"/>
        <v/>
      </c>
      <c r="T81" s="22" t="str">
        <f t="shared" si="8"/>
        <v/>
      </c>
      <c r="U81" s="25"/>
      <c r="V81" s="25"/>
      <c r="W81" s="25"/>
      <c r="X81" s="25"/>
      <c r="Y81" s="22" t="str">
        <f t="shared" si="9"/>
        <v/>
      </c>
      <c r="Z81" s="25"/>
      <c r="AA81" s="25"/>
      <c r="AB81" s="25"/>
      <c r="AC81" s="25"/>
      <c r="AD81" s="25"/>
      <c r="AE81" s="25"/>
      <c r="AF81" s="25"/>
      <c r="AG81" s="9"/>
      <c r="AH81" s="29"/>
      <c r="AI81" s="29"/>
      <c r="AM81" s="50"/>
      <c r="AN81" s="51" t="s">
        <v>2273</v>
      </c>
      <c r="AO81" s="55" t="s">
        <v>158</v>
      </c>
    </row>
    <row r="82" spans="1:41" ht="100.95" customHeight="1" x14ac:dyDescent="0.3">
      <c r="A82" s="20">
        <v>78</v>
      </c>
      <c r="B82" s="8" t="s">
        <v>2274</v>
      </c>
      <c r="C82" s="26">
        <v>2025</v>
      </c>
      <c r="D82" s="8"/>
      <c r="E82" s="8" t="s">
        <v>161</v>
      </c>
      <c r="F82" s="20" t="s">
        <v>1969</v>
      </c>
      <c r="G82" s="21" t="s">
        <v>1968</v>
      </c>
      <c r="H82" s="21" t="s">
        <v>1968</v>
      </c>
      <c r="I82" s="21" t="s">
        <v>1968</v>
      </c>
      <c r="J82" s="21" t="s">
        <v>1968</v>
      </c>
      <c r="K82" s="21" t="s">
        <v>1968</v>
      </c>
      <c r="L82" s="22" t="str">
        <f t="shared" si="5"/>
        <v>INCLUDE</v>
      </c>
      <c r="M82" s="22" t="str">
        <f t="shared" si="6"/>
        <v/>
      </c>
      <c r="N82" s="23" t="s">
        <v>1968</v>
      </c>
      <c r="O82" s="23" t="s">
        <v>1968</v>
      </c>
      <c r="P82" s="24" t="s">
        <v>1968</v>
      </c>
      <c r="Q82" s="24" t="s">
        <v>1968</v>
      </c>
      <c r="R82" s="24" t="s">
        <v>1968</v>
      </c>
      <c r="S82" s="22" t="str">
        <f t="shared" si="7"/>
        <v>INCLUDE</v>
      </c>
      <c r="T82" s="22" t="str">
        <f t="shared" si="8"/>
        <v/>
      </c>
      <c r="U82" s="25" t="s">
        <v>1982</v>
      </c>
      <c r="V82" s="25">
        <v>0</v>
      </c>
      <c r="W82" s="25">
        <v>0</v>
      </c>
      <c r="X82" s="25">
        <v>1</v>
      </c>
      <c r="Y82" s="22" t="str">
        <f t="shared" si="9"/>
        <v>Single</v>
      </c>
      <c r="Z82" s="25" t="s">
        <v>1922</v>
      </c>
      <c r="AA82" s="25" t="s">
        <v>1972</v>
      </c>
      <c r="AB82" s="25" t="s">
        <v>2018</v>
      </c>
      <c r="AC82" s="25" t="s">
        <v>1986</v>
      </c>
      <c r="AD82" s="25" t="s">
        <v>2003</v>
      </c>
      <c r="AE82" s="25">
        <v>3</v>
      </c>
      <c r="AF82" s="25" t="s">
        <v>2004</v>
      </c>
      <c r="AG82" s="9" t="s">
        <v>2275</v>
      </c>
      <c r="AH82" s="29" t="s">
        <v>2276</v>
      </c>
      <c r="AI82" s="29" t="s">
        <v>2277</v>
      </c>
      <c r="AJ82" t="s">
        <v>2005</v>
      </c>
      <c r="AK82" t="s">
        <v>2278</v>
      </c>
      <c r="AL82" t="s">
        <v>1990</v>
      </c>
      <c r="AM82" s="50"/>
      <c r="AN82" s="51" t="s">
        <v>2279</v>
      </c>
      <c r="AO82" s="55" t="s">
        <v>160</v>
      </c>
    </row>
    <row r="83" spans="1:41" ht="45.6" hidden="1" customHeight="1" x14ac:dyDescent="0.3">
      <c r="A83" s="20">
        <v>79</v>
      </c>
      <c r="B83" s="8" t="s">
        <v>2280</v>
      </c>
      <c r="C83" s="26">
        <v>2026</v>
      </c>
      <c r="D83" s="8"/>
      <c r="E83" s="8" t="s">
        <v>163</v>
      </c>
      <c r="F83" s="20" t="s">
        <v>1969</v>
      </c>
      <c r="G83" s="21" t="s">
        <v>1968</v>
      </c>
      <c r="H83" s="21" t="s">
        <v>1968</v>
      </c>
      <c r="I83" s="21" t="s">
        <v>1968</v>
      </c>
      <c r="J83" s="21" t="s">
        <v>1968</v>
      </c>
      <c r="K83" s="21" t="s">
        <v>1968</v>
      </c>
      <c r="L83" s="22" t="str">
        <f t="shared" si="5"/>
        <v>INCLUDE</v>
      </c>
      <c r="M83" s="22" t="str">
        <f t="shared" si="6"/>
        <v/>
      </c>
      <c r="N83" s="23" t="s">
        <v>1968</v>
      </c>
      <c r="O83" s="23" t="s">
        <v>1968</v>
      </c>
      <c r="P83" s="24" t="s">
        <v>1968</v>
      </c>
      <c r="Q83" s="24" t="s">
        <v>1968</v>
      </c>
      <c r="R83" s="24" t="s">
        <v>1968</v>
      </c>
      <c r="S83" s="22" t="str">
        <f t="shared" si="7"/>
        <v>INCLUDE</v>
      </c>
      <c r="T83" s="22" t="str">
        <f t="shared" si="8"/>
        <v/>
      </c>
      <c r="U83" s="25" t="s">
        <v>1982</v>
      </c>
      <c r="V83" s="25">
        <v>0</v>
      </c>
      <c r="W83" s="25">
        <v>1</v>
      </c>
      <c r="X83" s="25">
        <v>0</v>
      </c>
      <c r="Y83" s="22" t="str">
        <f t="shared" si="9"/>
        <v>Single</v>
      </c>
      <c r="Z83" s="25" t="s">
        <v>1922</v>
      </c>
      <c r="AA83" s="25" t="s">
        <v>1972</v>
      </c>
      <c r="AB83" s="25" t="s">
        <v>2018</v>
      </c>
      <c r="AC83" s="25" t="s">
        <v>1986</v>
      </c>
      <c r="AD83" s="25" t="s">
        <v>1987</v>
      </c>
      <c r="AE83" s="25">
        <v>4</v>
      </c>
      <c r="AF83" s="25" t="s">
        <v>1996</v>
      </c>
      <c r="AG83" s="9" t="s">
        <v>2281</v>
      </c>
      <c r="AH83" s="29" t="s">
        <v>2282</v>
      </c>
      <c r="AI83" s="29" t="s">
        <v>2283</v>
      </c>
      <c r="AJ83" t="s">
        <v>2005</v>
      </c>
      <c r="AK83" t="s">
        <v>2284</v>
      </c>
      <c r="AL83" t="s">
        <v>1990</v>
      </c>
      <c r="AM83" s="50"/>
      <c r="AN83" s="51" t="s">
        <v>2285</v>
      </c>
      <c r="AO83" s="55" t="s">
        <v>162</v>
      </c>
    </row>
    <row r="84" spans="1:41" ht="57" hidden="1" customHeight="1" x14ac:dyDescent="0.3">
      <c r="A84" s="20">
        <v>80</v>
      </c>
      <c r="B84" s="8" t="s">
        <v>2286</v>
      </c>
      <c r="C84" s="26">
        <v>2026</v>
      </c>
      <c r="D84" s="8"/>
      <c r="E84" s="8" t="s">
        <v>165</v>
      </c>
      <c r="F84" s="20" t="s">
        <v>1969</v>
      </c>
      <c r="G84" s="21" t="s">
        <v>1979</v>
      </c>
      <c r="H84" s="21" t="s">
        <v>1968</v>
      </c>
      <c r="I84" s="21" t="s">
        <v>1979</v>
      </c>
      <c r="J84" s="21" t="s">
        <v>1968</v>
      </c>
      <c r="K84" s="21" t="s">
        <v>1968</v>
      </c>
      <c r="L84" s="22" t="str">
        <f t="shared" si="5"/>
        <v>EXCLUDE</v>
      </c>
      <c r="M84" s="22" t="str">
        <f t="shared" si="6"/>
        <v>Wrong domain (non-AECO)</v>
      </c>
      <c r="N84" s="23"/>
      <c r="O84" s="23"/>
      <c r="P84" s="24"/>
      <c r="Q84" s="24"/>
      <c r="R84" s="24"/>
      <c r="S84" s="22" t="str">
        <f t="shared" si="7"/>
        <v/>
      </c>
      <c r="T84" s="22" t="str">
        <f t="shared" si="8"/>
        <v/>
      </c>
      <c r="U84" s="25"/>
      <c r="V84" s="25"/>
      <c r="W84" s="25"/>
      <c r="X84" s="25"/>
      <c r="Y84" s="22" t="str">
        <f t="shared" si="9"/>
        <v/>
      </c>
      <c r="Z84" s="25"/>
      <c r="AA84" s="25"/>
      <c r="AB84" s="25"/>
      <c r="AC84" s="25"/>
      <c r="AD84" s="25"/>
      <c r="AE84" s="25"/>
      <c r="AF84" s="25"/>
      <c r="AG84" s="9"/>
      <c r="AH84" s="29"/>
      <c r="AI84" s="29"/>
      <c r="AM84" s="50"/>
      <c r="AN84" s="51" t="s">
        <v>2287</v>
      </c>
      <c r="AO84" s="55" t="s">
        <v>164</v>
      </c>
    </row>
    <row r="85" spans="1:41" ht="34.200000000000003" hidden="1" customHeight="1" x14ac:dyDescent="0.3">
      <c r="A85" s="20">
        <v>81</v>
      </c>
      <c r="B85" s="8" t="s">
        <v>2288</v>
      </c>
      <c r="C85" s="26">
        <v>2026</v>
      </c>
      <c r="D85" s="8"/>
      <c r="E85" s="8" t="s">
        <v>167</v>
      </c>
      <c r="F85" s="20" t="s">
        <v>1969</v>
      </c>
      <c r="G85" s="21" t="s">
        <v>1968</v>
      </c>
      <c r="H85" s="21" t="s">
        <v>1979</v>
      </c>
      <c r="I85" s="21" t="s">
        <v>1968</v>
      </c>
      <c r="J85" s="21" t="s">
        <v>1968</v>
      </c>
      <c r="K85" s="21" t="s">
        <v>1968</v>
      </c>
      <c r="L85" s="22" t="str">
        <f t="shared" si="5"/>
        <v>EXCLUDE</v>
      </c>
      <c r="M85" s="22" t="str">
        <f t="shared" si="6"/>
        <v>Digital Twin not core / buzzword</v>
      </c>
      <c r="N85" s="23"/>
      <c r="O85" s="23"/>
      <c r="P85" s="24"/>
      <c r="Q85" s="24"/>
      <c r="R85" s="24"/>
      <c r="S85" s="22" t="str">
        <f t="shared" si="7"/>
        <v/>
      </c>
      <c r="T85" s="22" t="str">
        <f t="shared" si="8"/>
        <v/>
      </c>
      <c r="U85" s="25"/>
      <c r="V85" s="25"/>
      <c r="W85" s="25"/>
      <c r="X85" s="25"/>
      <c r="Y85" s="22" t="str">
        <f t="shared" si="9"/>
        <v/>
      </c>
      <c r="Z85" s="25"/>
      <c r="AA85" s="25"/>
      <c r="AB85" s="25"/>
      <c r="AC85" s="25"/>
      <c r="AD85" s="25"/>
      <c r="AE85" s="25"/>
      <c r="AF85" s="25"/>
      <c r="AG85" s="9"/>
      <c r="AH85" s="29"/>
      <c r="AI85" s="29"/>
      <c r="AM85" s="50"/>
      <c r="AN85" s="51" t="s">
        <v>2289</v>
      </c>
      <c r="AO85" s="55" t="s">
        <v>166</v>
      </c>
    </row>
    <row r="86" spans="1:41" ht="45.6" hidden="1" customHeight="1" x14ac:dyDescent="0.3">
      <c r="A86" s="20">
        <v>82</v>
      </c>
      <c r="B86" s="8" t="s">
        <v>2290</v>
      </c>
      <c r="C86" s="26">
        <v>2025</v>
      </c>
      <c r="D86" s="8"/>
      <c r="E86" s="8" t="s">
        <v>169</v>
      </c>
      <c r="F86" s="20" t="s">
        <v>1969</v>
      </c>
      <c r="G86" s="21" t="s">
        <v>1979</v>
      </c>
      <c r="H86" s="21" t="s">
        <v>1968</v>
      </c>
      <c r="I86" s="21" t="s">
        <v>1968</v>
      </c>
      <c r="J86" s="21" t="s">
        <v>1968</v>
      </c>
      <c r="K86" s="21" t="s">
        <v>1968</v>
      </c>
      <c r="L86" s="22" t="str">
        <f t="shared" si="5"/>
        <v>EXCLUDE</v>
      </c>
      <c r="M86" s="22" t="str">
        <f t="shared" si="6"/>
        <v>Wrong domain (non-AECO)</v>
      </c>
      <c r="N86" s="23"/>
      <c r="O86" s="23"/>
      <c r="P86" s="24"/>
      <c r="Q86" s="24"/>
      <c r="R86" s="24"/>
      <c r="S86" s="22" t="str">
        <f t="shared" si="7"/>
        <v/>
      </c>
      <c r="T86" s="22" t="str">
        <f t="shared" si="8"/>
        <v/>
      </c>
      <c r="U86" s="25"/>
      <c r="V86" s="25"/>
      <c r="W86" s="25"/>
      <c r="X86" s="25"/>
      <c r="Y86" s="22" t="str">
        <f t="shared" si="9"/>
        <v/>
      </c>
      <c r="Z86" s="25"/>
      <c r="AA86" s="25"/>
      <c r="AB86" s="25"/>
      <c r="AC86" s="25"/>
      <c r="AD86" s="25"/>
      <c r="AE86" s="25"/>
      <c r="AF86" s="25"/>
      <c r="AG86" s="9"/>
      <c r="AH86" s="29"/>
      <c r="AI86" s="29"/>
      <c r="AM86" s="50"/>
      <c r="AN86" s="51" t="s">
        <v>2291</v>
      </c>
      <c r="AO86" s="55" t="s">
        <v>168</v>
      </c>
    </row>
    <row r="87" spans="1:41" ht="79.95" hidden="1" customHeight="1" x14ac:dyDescent="0.3">
      <c r="A87" s="20">
        <v>83</v>
      </c>
      <c r="B87" s="8" t="s">
        <v>2292</v>
      </c>
      <c r="C87" s="26">
        <v>2026</v>
      </c>
      <c r="D87" s="8"/>
      <c r="E87" s="8" t="s">
        <v>171</v>
      </c>
      <c r="F87" s="20" t="s">
        <v>1969</v>
      </c>
      <c r="G87" s="21" t="s">
        <v>1979</v>
      </c>
      <c r="H87" s="21" t="s">
        <v>1968</v>
      </c>
      <c r="I87" s="21" t="s">
        <v>1979</v>
      </c>
      <c r="J87" s="21" t="s">
        <v>1968</v>
      </c>
      <c r="K87" s="21" t="s">
        <v>1968</v>
      </c>
      <c r="L87" s="22" t="str">
        <f t="shared" si="5"/>
        <v>EXCLUDE</v>
      </c>
      <c r="M87" s="22" t="str">
        <f t="shared" si="6"/>
        <v>Wrong domain (non-AECO)</v>
      </c>
      <c r="N87" s="23"/>
      <c r="O87" s="23"/>
      <c r="P87" s="24"/>
      <c r="Q87" s="24"/>
      <c r="R87" s="24"/>
      <c r="S87" s="22" t="str">
        <f t="shared" si="7"/>
        <v/>
      </c>
      <c r="T87" s="22" t="str">
        <f t="shared" si="8"/>
        <v/>
      </c>
      <c r="U87" s="25"/>
      <c r="V87" s="25"/>
      <c r="W87" s="25"/>
      <c r="X87" s="25"/>
      <c r="Y87" s="22" t="str">
        <f t="shared" si="9"/>
        <v/>
      </c>
      <c r="Z87" s="25"/>
      <c r="AA87" s="25"/>
      <c r="AB87" s="25"/>
      <c r="AC87" s="25"/>
      <c r="AD87" s="25"/>
      <c r="AE87" s="25"/>
      <c r="AF87" s="25"/>
      <c r="AG87" s="9"/>
      <c r="AH87" s="29"/>
      <c r="AI87" s="29"/>
      <c r="AM87" s="50"/>
      <c r="AN87" s="51" t="s">
        <v>2293</v>
      </c>
      <c r="AO87" s="55" t="s">
        <v>170</v>
      </c>
    </row>
    <row r="88" spans="1:41" ht="91.2" customHeight="1" x14ac:dyDescent="0.3">
      <c r="A88" s="20">
        <v>84</v>
      </c>
      <c r="B88" s="8" t="s">
        <v>2294</v>
      </c>
      <c r="C88" s="26">
        <v>2026</v>
      </c>
      <c r="D88" s="8"/>
      <c r="E88" s="8" t="s">
        <v>173</v>
      </c>
      <c r="F88" s="20" t="s">
        <v>1969</v>
      </c>
      <c r="G88" s="21" t="s">
        <v>1979</v>
      </c>
      <c r="H88" s="21" t="s">
        <v>1979</v>
      </c>
      <c r="I88" s="21" t="s">
        <v>1979</v>
      </c>
      <c r="J88" s="21" t="s">
        <v>1968</v>
      </c>
      <c r="K88" s="21" t="s">
        <v>1968</v>
      </c>
      <c r="L88" s="22" t="str">
        <f t="shared" si="5"/>
        <v>EXCLUDE</v>
      </c>
      <c r="M88" s="22" t="str">
        <f t="shared" si="6"/>
        <v>Wrong domain (non-AECO)</v>
      </c>
      <c r="N88" s="23"/>
      <c r="O88" s="23"/>
      <c r="P88" s="24"/>
      <c r="Q88" s="24"/>
      <c r="R88" s="24"/>
      <c r="S88" s="22" t="str">
        <f t="shared" si="7"/>
        <v/>
      </c>
      <c r="T88" s="22" t="str">
        <f t="shared" si="8"/>
        <v/>
      </c>
      <c r="U88" s="25"/>
      <c r="V88" s="25"/>
      <c r="W88" s="25"/>
      <c r="X88" s="25"/>
      <c r="Y88" s="22" t="str">
        <f t="shared" si="9"/>
        <v/>
      </c>
      <c r="Z88" s="25"/>
      <c r="AA88" s="25"/>
      <c r="AB88" s="25"/>
      <c r="AC88" s="25"/>
      <c r="AD88" s="25"/>
      <c r="AE88" s="25"/>
      <c r="AF88" s="25"/>
      <c r="AG88" s="9"/>
      <c r="AH88" s="29"/>
      <c r="AI88" s="29"/>
      <c r="AM88" s="50"/>
      <c r="AN88" s="51" t="s">
        <v>2295</v>
      </c>
      <c r="AO88" s="55" t="s">
        <v>172</v>
      </c>
    </row>
    <row r="89" spans="1:41" ht="79.95" hidden="1" customHeight="1" x14ac:dyDescent="0.3">
      <c r="A89" s="20">
        <v>85</v>
      </c>
      <c r="B89" s="8" t="s">
        <v>2296</v>
      </c>
      <c r="C89" s="26">
        <v>2026</v>
      </c>
      <c r="D89" s="8"/>
      <c r="E89" s="8" t="s">
        <v>175</v>
      </c>
      <c r="F89" s="20" t="s">
        <v>1969</v>
      </c>
      <c r="G89" s="21" t="s">
        <v>1979</v>
      </c>
      <c r="H89" s="21" t="s">
        <v>1968</v>
      </c>
      <c r="I89" s="21" t="s">
        <v>1968</v>
      </c>
      <c r="J89" s="21" t="s">
        <v>1968</v>
      </c>
      <c r="K89" s="21" t="s">
        <v>1968</v>
      </c>
      <c r="L89" s="22" t="str">
        <f t="shared" si="5"/>
        <v>EXCLUDE</v>
      </c>
      <c r="M89" s="22" t="str">
        <f t="shared" si="6"/>
        <v>Wrong domain (non-AECO)</v>
      </c>
      <c r="N89" s="23"/>
      <c r="O89" s="23"/>
      <c r="P89" s="24"/>
      <c r="Q89" s="24"/>
      <c r="R89" s="24"/>
      <c r="S89" s="22" t="str">
        <f t="shared" si="7"/>
        <v/>
      </c>
      <c r="T89" s="22" t="str">
        <f t="shared" si="8"/>
        <v/>
      </c>
      <c r="U89" s="25"/>
      <c r="V89" s="25"/>
      <c r="W89" s="25"/>
      <c r="X89" s="25"/>
      <c r="Y89" s="22" t="str">
        <f t="shared" si="9"/>
        <v/>
      </c>
      <c r="Z89" s="25"/>
      <c r="AA89" s="25"/>
      <c r="AB89" s="25"/>
      <c r="AC89" s="25"/>
      <c r="AD89" s="25"/>
      <c r="AE89" s="25"/>
      <c r="AF89" s="25"/>
      <c r="AG89" s="9"/>
      <c r="AH89" s="29"/>
      <c r="AI89" s="29"/>
      <c r="AM89" s="50"/>
      <c r="AN89" s="51" t="s">
        <v>2297</v>
      </c>
      <c r="AO89" s="55" t="s">
        <v>174</v>
      </c>
    </row>
    <row r="90" spans="1:41" ht="79.95" customHeight="1" x14ac:dyDescent="0.3">
      <c r="A90" s="20">
        <v>86</v>
      </c>
      <c r="B90" s="8" t="s">
        <v>2298</v>
      </c>
      <c r="C90" s="26">
        <v>2026</v>
      </c>
      <c r="D90" s="8"/>
      <c r="E90" s="8" t="s">
        <v>177</v>
      </c>
      <c r="F90" s="20" t="s">
        <v>1969</v>
      </c>
      <c r="G90" s="21" t="s">
        <v>1968</v>
      </c>
      <c r="H90" s="21" t="s">
        <v>1979</v>
      </c>
      <c r="I90" s="21" t="s">
        <v>1968</v>
      </c>
      <c r="J90" s="21" t="s">
        <v>1968</v>
      </c>
      <c r="K90" s="21" t="s">
        <v>1968</v>
      </c>
      <c r="L90" s="22" t="str">
        <f t="shared" si="5"/>
        <v>EXCLUDE</v>
      </c>
      <c r="M90" s="22" t="str">
        <f t="shared" si="6"/>
        <v>Digital Twin not core / buzzword</v>
      </c>
      <c r="N90" s="23"/>
      <c r="O90" s="23"/>
      <c r="P90" s="24"/>
      <c r="Q90" s="24"/>
      <c r="R90" s="24"/>
      <c r="S90" s="22" t="str">
        <f t="shared" si="7"/>
        <v/>
      </c>
      <c r="T90" s="22" t="str">
        <f t="shared" si="8"/>
        <v/>
      </c>
      <c r="U90" s="25"/>
      <c r="V90" s="25"/>
      <c r="W90" s="25"/>
      <c r="X90" s="25"/>
      <c r="Y90" s="22" t="str">
        <f t="shared" si="9"/>
        <v/>
      </c>
      <c r="Z90" s="25"/>
      <c r="AA90" s="25"/>
      <c r="AB90" s="25"/>
      <c r="AC90" s="25"/>
      <c r="AD90" s="25"/>
      <c r="AE90" s="25"/>
      <c r="AF90" s="25"/>
      <c r="AG90" s="9"/>
      <c r="AH90" s="29"/>
      <c r="AI90" s="29"/>
      <c r="AM90" s="50"/>
      <c r="AN90" s="51" t="s">
        <v>2299</v>
      </c>
      <c r="AO90" s="55" t="s">
        <v>176</v>
      </c>
    </row>
    <row r="91" spans="1:41" ht="22.95" hidden="1" customHeight="1" x14ac:dyDescent="0.3">
      <c r="A91" s="20">
        <v>87</v>
      </c>
      <c r="B91" s="8" t="s">
        <v>2300</v>
      </c>
      <c r="C91" s="26">
        <v>2026</v>
      </c>
      <c r="D91" s="8"/>
      <c r="E91" s="8" t="s">
        <v>179</v>
      </c>
      <c r="F91" s="20" t="s">
        <v>1969</v>
      </c>
      <c r="G91" s="21" t="s">
        <v>1968</v>
      </c>
      <c r="H91" s="21" t="s">
        <v>1968</v>
      </c>
      <c r="I91" s="21" t="s">
        <v>1968</v>
      </c>
      <c r="J91" s="21" t="s">
        <v>1968</v>
      </c>
      <c r="K91" s="21" t="s">
        <v>1968</v>
      </c>
      <c r="L91" s="22" t="str">
        <f t="shared" si="5"/>
        <v>INCLUDE</v>
      </c>
      <c r="M91" s="22" t="str">
        <f t="shared" si="6"/>
        <v/>
      </c>
      <c r="N91" s="23" t="s">
        <v>1968</v>
      </c>
      <c r="O91" s="23" t="s">
        <v>1968</v>
      </c>
      <c r="P91" s="24" t="s">
        <v>1968</v>
      </c>
      <c r="Q91" s="24" t="s">
        <v>1968</v>
      </c>
      <c r="R91" s="24" t="s">
        <v>1968</v>
      </c>
      <c r="S91" s="22" t="str">
        <f t="shared" si="7"/>
        <v>INCLUDE</v>
      </c>
      <c r="T91" s="22" t="str">
        <f t="shared" si="8"/>
        <v/>
      </c>
      <c r="U91" s="25" t="s">
        <v>1982</v>
      </c>
      <c r="V91" s="25">
        <v>0</v>
      </c>
      <c r="W91" s="25">
        <v>1</v>
      </c>
      <c r="X91" s="25">
        <v>0</v>
      </c>
      <c r="Y91" s="22" t="str">
        <f t="shared" si="9"/>
        <v>Single</v>
      </c>
      <c r="Z91" s="25" t="s">
        <v>1922</v>
      </c>
      <c r="AA91" s="25" t="s">
        <v>1972</v>
      </c>
      <c r="AB91" s="25" t="s">
        <v>2002</v>
      </c>
      <c r="AC91" s="25" t="s">
        <v>1986</v>
      </c>
      <c r="AD91" s="25" t="s">
        <v>2003</v>
      </c>
      <c r="AE91" s="25">
        <v>4</v>
      </c>
      <c r="AF91" s="25" t="s">
        <v>2010</v>
      </c>
      <c r="AG91" s="9" t="s">
        <v>2301</v>
      </c>
      <c r="AH91" s="29" t="s">
        <v>2302</v>
      </c>
      <c r="AI91" s="29" t="s">
        <v>2303</v>
      </c>
      <c r="AJ91" t="s">
        <v>2005</v>
      </c>
      <c r="AK91" t="s">
        <v>2304</v>
      </c>
      <c r="AL91" t="s">
        <v>1978</v>
      </c>
      <c r="AM91" s="50"/>
      <c r="AN91" s="51" t="s">
        <v>2305</v>
      </c>
      <c r="AO91" s="55" t="s">
        <v>178</v>
      </c>
    </row>
    <row r="92" spans="1:41" ht="102.6" customHeight="1" x14ac:dyDescent="0.3">
      <c r="A92" s="20">
        <v>88</v>
      </c>
      <c r="B92" s="8" t="s">
        <v>2306</v>
      </c>
      <c r="C92" s="26">
        <v>2025</v>
      </c>
      <c r="D92" s="8"/>
      <c r="E92" s="8" t="s">
        <v>181</v>
      </c>
      <c r="F92" s="20" t="s">
        <v>1969</v>
      </c>
      <c r="G92" s="21" t="s">
        <v>1968</v>
      </c>
      <c r="H92" s="21" t="s">
        <v>1968</v>
      </c>
      <c r="I92" s="21" t="s">
        <v>1968</v>
      </c>
      <c r="J92" s="21" t="s">
        <v>1968</v>
      </c>
      <c r="K92" s="21" t="s">
        <v>1968</v>
      </c>
      <c r="L92" s="22" t="str">
        <f t="shared" si="5"/>
        <v>INCLUDE</v>
      </c>
      <c r="M92" s="22" t="str">
        <f t="shared" si="6"/>
        <v/>
      </c>
      <c r="N92" s="23" t="s">
        <v>1968</v>
      </c>
      <c r="O92" s="23" t="s">
        <v>1968</v>
      </c>
      <c r="P92" s="24" t="s">
        <v>1968</v>
      </c>
      <c r="Q92" s="24" t="s">
        <v>1968</v>
      </c>
      <c r="R92" s="24" t="s">
        <v>1968</v>
      </c>
      <c r="S92" s="22" t="str">
        <f t="shared" si="7"/>
        <v>INCLUDE</v>
      </c>
      <c r="T92" s="22" t="str">
        <f t="shared" si="8"/>
        <v/>
      </c>
      <c r="U92" s="25" t="s">
        <v>1992</v>
      </c>
      <c r="V92" s="25">
        <v>0</v>
      </c>
      <c r="W92" s="25">
        <v>1</v>
      </c>
      <c r="X92" s="25">
        <v>0</v>
      </c>
      <c r="Y92" s="22" t="str">
        <f t="shared" si="9"/>
        <v>Single</v>
      </c>
      <c r="Z92" s="25" t="s">
        <v>1922</v>
      </c>
      <c r="AA92" s="25" t="s">
        <v>1972</v>
      </c>
      <c r="AB92" s="25" t="s">
        <v>2018</v>
      </c>
      <c r="AC92" s="25" t="s">
        <v>1986</v>
      </c>
      <c r="AD92" s="25" t="s">
        <v>2003</v>
      </c>
      <c r="AE92" s="25">
        <v>4</v>
      </c>
      <c r="AF92" s="25" t="s">
        <v>2010</v>
      </c>
      <c r="AG92" s="9" t="s">
        <v>2307</v>
      </c>
      <c r="AH92" s="29" t="s">
        <v>2308</v>
      </c>
      <c r="AI92" s="29" t="s">
        <v>2309</v>
      </c>
      <c r="AJ92" t="s">
        <v>2005</v>
      </c>
      <c r="AK92" t="s">
        <v>2310</v>
      </c>
      <c r="AL92" t="s">
        <v>1978</v>
      </c>
      <c r="AM92" s="50"/>
      <c r="AN92" s="51" t="s">
        <v>2311</v>
      </c>
      <c r="AO92" s="55" t="s">
        <v>180</v>
      </c>
    </row>
    <row r="93" spans="1:41" ht="45.6" hidden="1" customHeight="1" x14ac:dyDescent="0.3">
      <c r="A93" s="20">
        <v>89</v>
      </c>
      <c r="B93" s="8" t="s">
        <v>2312</v>
      </c>
      <c r="C93" s="26">
        <v>2026</v>
      </c>
      <c r="D93" s="8"/>
      <c r="E93" s="8" t="s">
        <v>183</v>
      </c>
      <c r="F93" s="20" t="s">
        <v>1969</v>
      </c>
      <c r="G93" s="21" t="s">
        <v>1968</v>
      </c>
      <c r="H93" s="21" t="s">
        <v>1968</v>
      </c>
      <c r="I93" s="21" t="s">
        <v>1968</v>
      </c>
      <c r="J93" s="21" t="s">
        <v>1968</v>
      </c>
      <c r="K93" s="21" t="s">
        <v>1968</v>
      </c>
      <c r="L93" s="22" t="str">
        <f t="shared" si="5"/>
        <v>INCLUDE</v>
      </c>
      <c r="M93" s="22" t="str">
        <f t="shared" si="6"/>
        <v/>
      </c>
      <c r="N93" s="23" t="s">
        <v>1968</v>
      </c>
      <c r="O93" s="23" t="s">
        <v>1968</v>
      </c>
      <c r="P93" s="24" t="s">
        <v>1968</v>
      </c>
      <c r="Q93" s="24" t="s">
        <v>1968</v>
      </c>
      <c r="R93" s="24" t="s">
        <v>1968</v>
      </c>
      <c r="S93" s="22" t="str">
        <f t="shared" si="7"/>
        <v>INCLUDE</v>
      </c>
      <c r="T93" s="22" t="str">
        <f t="shared" si="8"/>
        <v/>
      </c>
      <c r="U93" s="25" t="s">
        <v>1982</v>
      </c>
      <c r="V93" s="25">
        <v>0</v>
      </c>
      <c r="W93" s="25">
        <v>0</v>
      </c>
      <c r="X93" s="25">
        <v>1</v>
      </c>
      <c r="Y93" s="22" t="str">
        <f t="shared" si="9"/>
        <v>Single</v>
      </c>
      <c r="Z93" s="25" t="s">
        <v>1922</v>
      </c>
      <c r="AA93" s="25" t="s">
        <v>1972</v>
      </c>
      <c r="AB93" s="25" t="s">
        <v>2017</v>
      </c>
      <c r="AC93" s="25" t="s">
        <v>1986</v>
      </c>
      <c r="AD93" s="25" t="s">
        <v>2003</v>
      </c>
      <c r="AE93" s="25">
        <v>3</v>
      </c>
      <c r="AF93" s="25" t="s">
        <v>2012</v>
      </c>
      <c r="AG93" s="9" t="s">
        <v>2313</v>
      </c>
      <c r="AH93" s="29" t="s">
        <v>2314</v>
      </c>
      <c r="AI93" s="29" t="s">
        <v>2315</v>
      </c>
      <c r="AJ93" t="s">
        <v>2007</v>
      </c>
      <c r="AK93" t="s">
        <v>2316</v>
      </c>
      <c r="AL93" t="s">
        <v>1998</v>
      </c>
      <c r="AM93" s="50" t="s">
        <v>2098</v>
      </c>
      <c r="AN93" s="51" t="s">
        <v>2317</v>
      </c>
      <c r="AO93" s="55" t="s">
        <v>182</v>
      </c>
    </row>
    <row r="94" spans="1:41" ht="45.6" hidden="1" customHeight="1" x14ac:dyDescent="0.3">
      <c r="A94" s="20">
        <v>90</v>
      </c>
      <c r="B94" s="8" t="s">
        <v>2318</v>
      </c>
      <c r="C94" s="26">
        <v>2026</v>
      </c>
      <c r="D94" s="8"/>
      <c r="E94" s="8" t="s">
        <v>185</v>
      </c>
      <c r="F94" s="20" t="s">
        <v>1969</v>
      </c>
      <c r="G94" s="21" t="s">
        <v>1968</v>
      </c>
      <c r="H94" s="21" t="s">
        <v>1979</v>
      </c>
      <c r="I94" s="21" t="s">
        <v>1968</v>
      </c>
      <c r="J94" s="21" t="s">
        <v>1968</v>
      </c>
      <c r="K94" s="21" t="s">
        <v>1968</v>
      </c>
      <c r="L94" s="22" t="str">
        <f t="shared" si="5"/>
        <v>EXCLUDE</v>
      </c>
      <c r="M94" s="22" t="str">
        <f t="shared" si="6"/>
        <v>Digital Twin not core / buzzword</v>
      </c>
      <c r="N94" s="23"/>
      <c r="O94" s="23"/>
      <c r="P94" s="24"/>
      <c r="Q94" s="24"/>
      <c r="R94" s="24"/>
      <c r="S94" s="22" t="str">
        <f t="shared" si="7"/>
        <v/>
      </c>
      <c r="T94" s="22" t="str">
        <f t="shared" si="8"/>
        <v/>
      </c>
      <c r="U94" s="25"/>
      <c r="V94" s="25"/>
      <c r="W94" s="25"/>
      <c r="X94" s="25"/>
      <c r="Y94" s="22" t="str">
        <f t="shared" si="9"/>
        <v/>
      </c>
      <c r="Z94" s="25"/>
      <c r="AA94" s="25"/>
      <c r="AB94" s="25"/>
      <c r="AC94" s="25"/>
      <c r="AD94" s="25"/>
      <c r="AE94" s="25"/>
      <c r="AF94" s="25"/>
      <c r="AG94" s="9"/>
      <c r="AH94" s="29"/>
      <c r="AI94" s="29"/>
      <c r="AM94" s="50"/>
      <c r="AN94" s="51" t="s">
        <v>2319</v>
      </c>
      <c r="AO94" s="55" t="s">
        <v>184</v>
      </c>
    </row>
    <row r="95" spans="1:41" ht="79.95" hidden="1" customHeight="1" x14ac:dyDescent="0.3">
      <c r="A95" s="20">
        <v>91</v>
      </c>
      <c r="B95" s="8" t="s">
        <v>2320</v>
      </c>
      <c r="C95" s="26">
        <v>2026</v>
      </c>
      <c r="D95" s="8"/>
      <c r="E95" s="8" t="s">
        <v>187</v>
      </c>
      <c r="F95" s="20" t="s">
        <v>1969</v>
      </c>
      <c r="G95" s="21" t="s">
        <v>1979</v>
      </c>
      <c r="H95" s="21" t="s">
        <v>1968</v>
      </c>
      <c r="I95" s="21" t="s">
        <v>1968</v>
      </c>
      <c r="J95" s="21" t="s">
        <v>1968</v>
      </c>
      <c r="K95" s="21" t="s">
        <v>1968</v>
      </c>
      <c r="L95" s="22" t="str">
        <f t="shared" si="5"/>
        <v>EXCLUDE</v>
      </c>
      <c r="M95" s="22" t="str">
        <f t="shared" si="6"/>
        <v>Wrong domain (non-AECO)</v>
      </c>
      <c r="N95" s="23"/>
      <c r="O95" s="23"/>
      <c r="P95" s="24"/>
      <c r="Q95" s="24"/>
      <c r="R95" s="24"/>
      <c r="S95" s="22" t="str">
        <f t="shared" si="7"/>
        <v/>
      </c>
      <c r="T95" s="22" t="str">
        <f t="shared" si="8"/>
        <v/>
      </c>
      <c r="U95" s="25"/>
      <c r="V95" s="25"/>
      <c r="W95" s="25"/>
      <c r="X95" s="25"/>
      <c r="Y95" s="22" t="str">
        <f t="shared" si="9"/>
        <v/>
      </c>
      <c r="Z95" s="25"/>
      <c r="AA95" s="25"/>
      <c r="AB95" s="25"/>
      <c r="AC95" s="25"/>
      <c r="AD95" s="25"/>
      <c r="AE95" s="25"/>
      <c r="AF95" s="25"/>
      <c r="AG95" s="9"/>
      <c r="AH95" s="29"/>
      <c r="AI95" s="29"/>
      <c r="AM95" s="50"/>
      <c r="AN95" s="51" t="s">
        <v>2321</v>
      </c>
      <c r="AO95" s="55" t="s">
        <v>186</v>
      </c>
    </row>
    <row r="96" spans="1:41" ht="316.95" customHeight="1" x14ac:dyDescent="0.3">
      <c r="A96" s="20">
        <v>92</v>
      </c>
      <c r="B96" s="8" t="s">
        <v>2322</v>
      </c>
      <c r="C96" s="26">
        <v>2026</v>
      </c>
      <c r="D96" s="8"/>
      <c r="E96" s="8" t="s">
        <v>189</v>
      </c>
      <c r="F96" s="20" t="s">
        <v>1969</v>
      </c>
      <c r="G96" s="21" t="s">
        <v>1979</v>
      </c>
      <c r="H96" s="21" t="s">
        <v>1968</v>
      </c>
      <c r="I96" s="21" t="s">
        <v>1968</v>
      </c>
      <c r="J96" s="21" t="s">
        <v>1968</v>
      </c>
      <c r="K96" s="21" t="s">
        <v>1968</v>
      </c>
      <c r="L96" s="22" t="str">
        <f t="shared" si="5"/>
        <v>EXCLUDE</v>
      </c>
      <c r="M96" s="22" t="str">
        <f t="shared" si="6"/>
        <v>Wrong domain (non-AECO)</v>
      </c>
      <c r="N96" s="23"/>
      <c r="O96" s="23"/>
      <c r="P96" s="24"/>
      <c r="Q96" s="24"/>
      <c r="R96" s="24"/>
      <c r="S96" s="22" t="str">
        <f t="shared" si="7"/>
        <v/>
      </c>
      <c r="T96" s="22" t="str">
        <f t="shared" si="8"/>
        <v/>
      </c>
      <c r="U96" s="25"/>
      <c r="V96" s="25"/>
      <c r="W96" s="25"/>
      <c r="X96" s="25"/>
      <c r="Y96" s="22" t="str">
        <f t="shared" si="9"/>
        <v/>
      </c>
      <c r="Z96" s="25"/>
      <c r="AA96" s="25"/>
      <c r="AB96" s="25"/>
      <c r="AC96" s="25"/>
      <c r="AD96" s="25"/>
      <c r="AE96" s="25"/>
      <c r="AF96" s="25"/>
      <c r="AG96" s="9"/>
      <c r="AH96" s="29"/>
      <c r="AI96" s="29"/>
      <c r="AM96" s="50"/>
      <c r="AN96" s="51" t="s">
        <v>2323</v>
      </c>
      <c r="AO96" s="55" t="s">
        <v>188</v>
      </c>
    </row>
    <row r="97" spans="1:41" ht="45.6" hidden="1" customHeight="1" x14ac:dyDescent="0.3">
      <c r="A97" s="20">
        <v>93</v>
      </c>
      <c r="B97" s="8" t="s">
        <v>2324</v>
      </c>
      <c r="C97" s="26">
        <v>2026</v>
      </c>
      <c r="D97" s="8"/>
      <c r="E97" s="8" t="s">
        <v>191</v>
      </c>
      <c r="F97" s="20" t="s">
        <v>1969</v>
      </c>
      <c r="G97" s="21" t="s">
        <v>1968</v>
      </c>
      <c r="H97" s="21" t="s">
        <v>1968</v>
      </c>
      <c r="I97" s="21" t="s">
        <v>1968</v>
      </c>
      <c r="J97" s="21" t="s">
        <v>1968</v>
      </c>
      <c r="K97" s="21" t="s">
        <v>1968</v>
      </c>
      <c r="L97" s="22" t="str">
        <f t="shared" si="5"/>
        <v>INCLUDE</v>
      </c>
      <c r="M97" s="22" t="str">
        <f t="shared" si="6"/>
        <v/>
      </c>
      <c r="N97" s="23" t="s">
        <v>1979</v>
      </c>
      <c r="O97" s="23" t="s">
        <v>1979</v>
      </c>
      <c r="P97" s="24"/>
      <c r="Q97" s="24"/>
      <c r="R97" s="24"/>
      <c r="S97" s="22" t="str">
        <f t="shared" si="7"/>
        <v/>
      </c>
      <c r="T97" s="22" t="str">
        <f t="shared" si="8"/>
        <v/>
      </c>
      <c r="U97" s="25"/>
      <c r="V97" s="25"/>
      <c r="W97" s="25"/>
      <c r="X97" s="25"/>
      <c r="Y97" s="22" t="str">
        <f t="shared" si="9"/>
        <v/>
      </c>
      <c r="Z97" s="25"/>
      <c r="AA97" s="25"/>
      <c r="AB97" s="25"/>
      <c r="AC97" s="25"/>
      <c r="AD97" s="25"/>
      <c r="AE97" s="25"/>
      <c r="AF97" s="25"/>
      <c r="AG97" s="9"/>
      <c r="AH97" s="29"/>
      <c r="AI97" s="29"/>
      <c r="AM97" s="50"/>
      <c r="AN97" s="51" t="s">
        <v>2325</v>
      </c>
      <c r="AO97" s="55" t="s">
        <v>190</v>
      </c>
    </row>
    <row r="98" spans="1:41" ht="68.400000000000006" hidden="1" customHeight="1" x14ac:dyDescent="0.3">
      <c r="A98" s="20">
        <v>94</v>
      </c>
      <c r="B98" s="8" t="s">
        <v>2326</v>
      </c>
      <c r="C98" s="26">
        <v>2025</v>
      </c>
      <c r="D98" s="8"/>
      <c r="E98" s="8" t="s">
        <v>193</v>
      </c>
      <c r="F98" s="20" t="s">
        <v>1969</v>
      </c>
      <c r="G98" s="21" t="s">
        <v>1979</v>
      </c>
      <c r="H98" s="21" t="s">
        <v>1979</v>
      </c>
      <c r="I98" s="21" t="s">
        <v>1979</v>
      </c>
      <c r="J98" s="21" t="s">
        <v>1968</v>
      </c>
      <c r="K98" s="21" t="s">
        <v>1968</v>
      </c>
      <c r="L98" s="22" t="str">
        <f t="shared" si="5"/>
        <v>EXCLUDE</v>
      </c>
      <c r="M98" s="22" t="str">
        <f t="shared" si="6"/>
        <v>Wrong domain (non-AECO)</v>
      </c>
      <c r="N98" s="23"/>
      <c r="O98" s="23"/>
      <c r="P98" s="24"/>
      <c r="Q98" s="24"/>
      <c r="R98" s="24"/>
      <c r="S98" s="22" t="str">
        <f t="shared" si="7"/>
        <v/>
      </c>
      <c r="T98" s="22" t="str">
        <f t="shared" si="8"/>
        <v/>
      </c>
      <c r="U98" s="25"/>
      <c r="V98" s="25"/>
      <c r="W98" s="25"/>
      <c r="X98" s="25"/>
      <c r="Y98" s="22" t="str">
        <f t="shared" si="9"/>
        <v/>
      </c>
      <c r="Z98" s="25"/>
      <c r="AA98" s="25"/>
      <c r="AB98" s="25"/>
      <c r="AC98" s="25"/>
      <c r="AD98" s="25"/>
      <c r="AE98" s="25"/>
      <c r="AF98" s="25"/>
      <c r="AG98" s="9"/>
      <c r="AH98" s="29"/>
      <c r="AI98" s="29"/>
      <c r="AM98" s="50"/>
      <c r="AN98" s="51" t="s">
        <v>2327</v>
      </c>
      <c r="AO98" s="55" t="s">
        <v>192</v>
      </c>
    </row>
    <row r="99" spans="1:41" ht="91.2" hidden="1" customHeight="1" x14ac:dyDescent="0.3">
      <c r="A99" s="20">
        <v>95</v>
      </c>
      <c r="B99" s="8" t="s">
        <v>2328</v>
      </c>
      <c r="C99" s="26">
        <v>2026</v>
      </c>
      <c r="D99" s="8"/>
      <c r="E99" s="8" t="s">
        <v>195</v>
      </c>
      <c r="F99" s="20" t="s">
        <v>1969</v>
      </c>
      <c r="G99" s="21" t="s">
        <v>1979</v>
      </c>
      <c r="H99" s="21" t="s">
        <v>1968</v>
      </c>
      <c r="I99" s="21" t="s">
        <v>1979</v>
      </c>
      <c r="J99" s="21" t="s">
        <v>1968</v>
      </c>
      <c r="K99" s="21" t="s">
        <v>1968</v>
      </c>
      <c r="L99" s="22" t="str">
        <f t="shared" si="5"/>
        <v>EXCLUDE</v>
      </c>
      <c r="M99" s="22" t="str">
        <f t="shared" si="6"/>
        <v>Wrong domain (non-AECO)</v>
      </c>
      <c r="N99" s="23"/>
      <c r="O99" s="23"/>
      <c r="P99" s="24"/>
      <c r="Q99" s="24"/>
      <c r="R99" s="24"/>
      <c r="S99" s="22" t="str">
        <f t="shared" si="7"/>
        <v/>
      </c>
      <c r="T99" s="22" t="str">
        <f t="shared" si="8"/>
        <v/>
      </c>
      <c r="U99" s="25"/>
      <c r="V99" s="25"/>
      <c r="W99" s="25"/>
      <c r="X99" s="25"/>
      <c r="Y99" s="22" t="str">
        <f t="shared" si="9"/>
        <v/>
      </c>
      <c r="Z99" s="25"/>
      <c r="AA99" s="25"/>
      <c r="AB99" s="25"/>
      <c r="AC99" s="25"/>
      <c r="AD99" s="25"/>
      <c r="AE99" s="25"/>
      <c r="AF99" s="25"/>
      <c r="AG99" s="9"/>
      <c r="AH99" s="29"/>
      <c r="AI99" s="29"/>
      <c r="AM99" s="50"/>
      <c r="AN99" s="51" t="s">
        <v>2329</v>
      </c>
      <c r="AO99" s="55" t="s">
        <v>194</v>
      </c>
    </row>
    <row r="100" spans="1:41" ht="45.6" hidden="1" customHeight="1" x14ac:dyDescent="0.3">
      <c r="A100" s="20">
        <v>96</v>
      </c>
      <c r="B100" s="8" t="s">
        <v>2330</v>
      </c>
      <c r="C100" s="26">
        <v>2025</v>
      </c>
      <c r="D100" s="8"/>
      <c r="E100" s="8" t="s">
        <v>197</v>
      </c>
      <c r="F100" s="20" t="s">
        <v>1969</v>
      </c>
      <c r="G100" s="21" t="s">
        <v>1979</v>
      </c>
      <c r="H100" s="21" t="s">
        <v>1968</v>
      </c>
      <c r="I100" s="21" t="s">
        <v>1979</v>
      </c>
      <c r="J100" s="21" t="s">
        <v>1968</v>
      </c>
      <c r="K100" s="21" t="s">
        <v>1968</v>
      </c>
      <c r="L100" s="22" t="str">
        <f t="shared" si="5"/>
        <v>EXCLUDE</v>
      </c>
      <c r="M100" s="22" t="str">
        <f t="shared" si="6"/>
        <v>Wrong domain (non-AECO)</v>
      </c>
      <c r="N100" s="23"/>
      <c r="O100" s="23"/>
      <c r="P100" s="24"/>
      <c r="Q100" s="24"/>
      <c r="R100" s="24"/>
      <c r="S100" s="22" t="str">
        <f t="shared" si="7"/>
        <v/>
      </c>
      <c r="T100" s="22" t="str">
        <f t="shared" si="8"/>
        <v/>
      </c>
      <c r="U100" s="25"/>
      <c r="V100" s="25"/>
      <c r="W100" s="25"/>
      <c r="X100" s="25"/>
      <c r="Y100" s="22" t="str">
        <f t="shared" si="9"/>
        <v/>
      </c>
      <c r="Z100" s="25"/>
      <c r="AA100" s="25"/>
      <c r="AB100" s="25"/>
      <c r="AC100" s="25"/>
      <c r="AD100" s="25"/>
      <c r="AE100" s="25"/>
      <c r="AF100" s="25"/>
      <c r="AG100" s="9"/>
      <c r="AH100" s="29"/>
      <c r="AI100" s="29"/>
      <c r="AM100" s="50"/>
      <c r="AN100" s="51" t="s">
        <v>2331</v>
      </c>
      <c r="AO100" s="55" t="s">
        <v>196</v>
      </c>
    </row>
    <row r="101" spans="1:41" ht="102.6" customHeight="1" x14ac:dyDescent="0.3">
      <c r="A101" s="20">
        <v>97</v>
      </c>
      <c r="B101" s="8" t="s">
        <v>2332</v>
      </c>
      <c r="C101" s="26">
        <v>2026</v>
      </c>
      <c r="D101" s="8"/>
      <c r="E101" s="8" t="s">
        <v>199</v>
      </c>
      <c r="F101" s="20" t="s">
        <v>1969</v>
      </c>
      <c r="G101" s="21" t="s">
        <v>1968</v>
      </c>
      <c r="H101" s="21" t="s">
        <v>1979</v>
      </c>
      <c r="I101" s="21" t="s">
        <v>1968</v>
      </c>
      <c r="J101" s="21" t="s">
        <v>1968</v>
      </c>
      <c r="K101" s="21" t="s">
        <v>1968</v>
      </c>
      <c r="L101" s="22" t="str">
        <f t="shared" si="5"/>
        <v>EXCLUDE</v>
      </c>
      <c r="M101" s="22" t="str">
        <f t="shared" si="6"/>
        <v>Digital Twin not core / buzzword</v>
      </c>
      <c r="N101" s="23"/>
      <c r="O101" s="23"/>
      <c r="P101" s="24"/>
      <c r="Q101" s="24"/>
      <c r="R101" s="24"/>
      <c r="S101" s="22" t="str">
        <f t="shared" si="7"/>
        <v/>
      </c>
      <c r="T101" s="22" t="str">
        <f t="shared" si="8"/>
        <v/>
      </c>
      <c r="U101" s="25"/>
      <c r="V101" s="25"/>
      <c r="W101" s="25"/>
      <c r="X101" s="25"/>
      <c r="Y101" s="22" t="str">
        <f t="shared" si="9"/>
        <v/>
      </c>
      <c r="Z101" s="25"/>
      <c r="AA101" s="25"/>
      <c r="AB101" s="25"/>
      <c r="AC101" s="25"/>
      <c r="AD101" s="25"/>
      <c r="AE101" s="25"/>
      <c r="AF101" s="25"/>
      <c r="AG101" s="9"/>
      <c r="AH101" s="29"/>
      <c r="AI101" s="29"/>
      <c r="AM101" s="50"/>
      <c r="AN101" s="51" t="s">
        <v>2333</v>
      </c>
      <c r="AO101" s="55" t="s">
        <v>198</v>
      </c>
    </row>
    <row r="102" spans="1:41" ht="45.6" hidden="1" customHeight="1" x14ac:dyDescent="0.3">
      <c r="A102" s="20">
        <v>98</v>
      </c>
      <c r="B102" s="8" t="s">
        <v>2334</v>
      </c>
      <c r="C102" s="26">
        <v>2025</v>
      </c>
      <c r="D102" s="8"/>
      <c r="E102" s="8" t="s">
        <v>201</v>
      </c>
      <c r="F102" s="20" t="s">
        <v>1969</v>
      </c>
      <c r="G102" s="21" t="s">
        <v>1979</v>
      </c>
      <c r="H102" s="21" t="s">
        <v>1968</v>
      </c>
      <c r="I102" s="21" t="s">
        <v>1968</v>
      </c>
      <c r="J102" s="21" t="s">
        <v>1968</v>
      </c>
      <c r="K102" s="21" t="s">
        <v>1968</v>
      </c>
      <c r="L102" s="22" t="str">
        <f t="shared" si="5"/>
        <v>EXCLUDE</v>
      </c>
      <c r="M102" s="22" t="str">
        <f t="shared" si="6"/>
        <v>Wrong domain (non-AECO)</v>
      </c>
      <c r="N102" s="23"/>
      <c r="O102" s="23"/>
      <c r="P102" s="24"/>
      <c r="Q102" s="24"/>
      <c r="R102" s="24"/>
      <c r="S102" s="22" t="str">
        <f t="shared" si="7"/>
        <v/>
      </c>
      <c r="T102" s="22" t="str">
        <f t="shared" si="8"/>
        <v/>
      </c>
      <c r="U102" s="25"/>
      <c r="V102" s="25"/>
      <c r="W102" s="25"/>
      <c r="X102" s="25"/>
      <c r="Y102" s="22" t="str">
        <f t="shared" si="9"/>
        <v/>
      </c>
      <c r="Z102" s="25"/>
      <c r="AA102" s="25"/>
      <c r="AB102" s="25"/>
      <c r="AC102" s="25"/>
      <c r="AD102" s="25"/>
      <c r="AE102" s="25"/>
      <c r="AF102" s="25"/>
      <c r="AG102" s="9"/>
      <c r="AH102" s="29"/>
      <c r="AI102" s="29"/>
      <c r="AM102" s="50"/>
      <c r="AN102" s="51" t="s">
        <v>2335</v>
      </c>
      <c r="AO102" s="55" t="s">
        <v>200</v>
      </c>
    </row>
    <row r="103" spans="1:41" ht="34.200000000000003" hidden="1" customHeight="1" x14ac:dyDescent="0.3">
      <c r="A103" s="20">
        <v>99</v>
      </c>
      <c r="B103" s="8" t="s">
        <v>2336</v>
      </c>
      <c r="C103" s="26">
        <v>2025</v>
      </c>
      <c r="D103" s="8"/>
      <c r="E103" s="8" t="s">
        <v>203</v>
      </c>
      <c r="F103" s="20" t="s">
        <v>1969</v>
      </c>
      <c r="G103" s="21" t="s">
        <v>1968</v>
      </c>
      <c r="H103" s="21" t="s">
        <v>1968</v>
      </c>
      <c r="I103" s="21" t="s">
        <v>1968</v>
      </c>
      <c r="J103" s="21" t="s">
        <v>1968</v>
      </c>
      <c r="K103" s="21" t="s">
        <v>1968</v>
      </c>
      <c r="L103" s="22" t="str">
        <f t="shared" si="5"/>
        <v>INCLUDE</v>
      </c>
      <c r="M103" s="22" t="str">
        <f t="shared" si="6"/>
        <v/>
      </c>
      <c r="N103" s="23" t="s">
        <v>1968</v>
      </c>
      <c r="O103" s="23" t="s">
        <v>1968</v>
      </c>
      <c r="P103" s="24" t="s">
        <v>1968</v>
      </c>
      <c r="Q103" s="24" t="s">
        <v>1968</v>
      </c>
      <c r="R103" s="24" t="s">
        <v>1968</v>
      </c>
      <c r="S103" s="22" t="str">
        <f t="shared" si="7"/>
        <v>INCLUDE</v>
      </c>
      <c r="T103" s="22" t="str">
        <f t="shared" si="8"/>
        <v/>
      </c>
      <c r="U103" s="25" t="s">
        <v>1971</v>
      </c>
      <c r="V103" s="25">
        <v>0</v>
      </c>
      <c r="W103" s="25">
        <v>0</v>
      </c>
      <c r="X103" s="25">
        <v>1</v>
      </c>
      <c r="Y103" s="22" t="str">
        <f t="shared" si="9"/>
        <v>Single</v>
      </c>
      <c r="Z103" s="25" t="s">
        <v>1922</v>
      </c>
      <c r="AA103" s="25" t="s">
        <v>1972</v>
      </c>
      <c r="AB103" s="25" t="s">
        <v>2018</v>
      </c>
      <c r="AC103" s="25" t="s">
        <v>1986</v>
      </c>
      <c r="AD103" s="25" t="s">
        <v>2003</v>
      </c>
      <c r="AE103" s="25">
        <v>4</v>
      </c>
      <c r="AF103" s="25" t="s">
        <v>1996</v>
      </c>
      <c r="AG103" s="9" t="s">
        <v>2337</v>
      </c>
      <c r="AH103" s="29" t="s">
        <v>2338</v>
      </c>
      <c r="AI103" s="29" t="s">
        <v>2339</v>
      </c>
      <c r="AJ103" t="s">
        <v>1977</v>
      </c>
      <c r="AK103" t="s">
        <v>2340</v>
      </c>
      <c r="AL103" t="s">
        <v>1978</v>
      </c>
      <c r="AM103" s="50" t="s">
        <v>2341</v>
      </c>
      <c r="AN103" s="51" t="s">
        <v>2342</v>
      </c>
      <c r="AO103" s="55" t="s">
        <v>202</v>
      </c>
    </row>
    <row r="104" spans="1:41" ht="114" customHeight="1" x14ac:dyDescent="0.3">
      <c r="A104" s="20">
        <v>100</v>
      </c>
      <c r="B104" s="8" t="s">
        <v>2343</v>
      </c>
      <c r="C104" s="26">
        <v>2025</v>
      </c>
      <c r="D104" s="8"/>
      <c r="E104" s="8" t="s">
        <v>205</v>
      </c>
      <c r="F104" s="20" t="s">
        <v>1969</v>
      </c>
      <c r="G104" s="21" t="s">
        <v>1979</v>
      </c>
      <c r="H104" s="21" t="s">
        <v>1968</v>
      </c>
      <c r="I104" s="21" t="s">
        <v>1968</v>
      </c>
      <c r="J104" s="21" t="s">
        <v>1968</v>
      </c>
      <c r="K104" s="21" t="s">
        <v>1968</v>
      </c>
      <c r="L104" s="22" t="str">
        <f t="shared" si="5"/>
        <v>EXCLUDE</v>
      </c>
      <c r="M104" s="22" t="str">
        <f t="shared" si="6"/>
        <v>Wrong domain (non-AECO)</v>
      </c>
      <c r="N104" s="23"/>
      <c r="O104" s="23"/>
      <c r="P104" s="24"/>
      <c r="Q104" s="24"/>
      <c r="R104" s="24"/>
      <c r="S104" s="22" t="str">
        <f t="shared" si="7"/>
        <v/>
      </c>
      <c r="T104" s="22" t="str">
        <f t="shared" si="8"/>
        <v/>
      </c>
      <c r="U104" s="25"/>
      <c r="V104" s="25"/>
      <c r="W104" s="25"/>
      <c r="X104" s="25"/>
      <c r="Y104" s="22" t="str">
        <f t="shared" si="9"/>
        <v/>
      </c>
      <c r="Z104" s="25"/>
      <c r="AA104" s="25"/>
      <c r="AB104" s="25"/>
      <c r="AC104" s="25"/>
      <c r="AD104" s="25"/>
      <c r="AE104" s="25"/>
      <c r="AF104" s="25"/>
      <c r="AG104" s="9"/>
      <c r="AH104" s="29"/>
      <c r="AI104" s="29"/>
      <c r="AM104" s="50"/>
      <c r="AN104" s="51" t="s">
        <v>2344</v>
      </c>
      <c r="AO104" s="55" t="s">
        <v>204</v>
      </c>
    </row>
    <row r="105" spans="1:41" ht="45.6" hidden="1" customHeight="1" x14ac:dyDescent="0.3">
      <c r="A105" s="20">
        <v>101</v>
      </c>
      <c r="B105" s="8" t="s">
        <v>2345</v>
      </c>
      <c r="C105" s="26">
        <v>2026</v>
      </c>
      <c r="D105" s="8"/>
      <c r="E105" s="8" t="s">
        <v>207</v>
      </c>
      <c r="F105" s="20" t="s">
        <v>1969</v>
      </c>
      <c r="G105" s="21" t="s">
        <v>1968</v>
      </c>
      <c r="H105" s="21" t="s">
        <v>1968</v>
      </c>
      <c r="I105" s="21" t="s">
        <v>1968</v>
      </c>
      <c r="J105" s="21" t="s">
        <v>1968</v>
      </c>
      <c r="K105" s="21" t="s">
        <v>1968</v>
      </c>
      <c r="L105" s="22" t="str">
        <f t="shared" si="5"/>
        <v>INCLUDE</v>
      </c>
      <c r="M105" s="22" t="str">
        <f t="shared" si="6"/>
        <v/>
      </c>
      <c r="N105" s="23" t="s">
        <v>1968</v>
      </c>
      <c r="O105" s="23" t="s">
        <v>1968</v>
      </c>
      <c r="P105" s="24" t="s">
        <v>1968</v>
      </c>
      <c r="Q105" s="24" t="s">
        <v>1968</v>
      </c>
      <c r="R105" s="24" t="s">
        <v>1968</v>
      </c>
      <c r="S105" s="22" t="str">
        <f t="shared" si="7"/>
        <v>INCLUDE</v>
      </c>
      <c r="T105" s="22" t="str">
        <f t="shared" si="8"/>
        <v/>
      </c>
      <c r="U105" s="25" t="s">
        <v>1982</v>
      </c>
      <c r="V105" s="25">
        <v>0</v>
      </c>
      <c r="W105" s="25">
        <v>0</v>
      </c>
      <c r="X105" s="25">
        <v>1</v>
      </c>
      <c r="Y105" s="22" t="str">
        <f t="shared" si="9"/>
        <v>Single</v>
      </c>
      <c r="Z105" s="25" t="s">
        <v>1922</v>
      </c>
      <c r="AA105" s="25" t="s">
        <v>1993</v>
      </c>
      <c r="AB105" s="25" t="s">
        <v>2018</v>
      </c>
      <c r="AC105" s="25" t="s">
        <v>1974</v>
      </c>
      <c r="AD105" s="25" t="s">
        <v>1987</v>
      </c>
      <c r="AE105" s="25">
        <v>4</v>
      </c>
      <c r="AF105" s="25" t="s">
        <v>2010</v>
      </c>
      <c r="AG105" s="9" t="s">
        <v>2346</v>
      </c>
      <c r="AH105" s="29" t="s">
        <v>2347</v>
      </c>
      <c r="AI105" s="29" t="s">
        <v>2348</v>
      </c>
      <c r="AJ105" t="s">
        <v>1977</v>
      </c>
      <c r="AK105" t="s">
        <v>2349</v>
      </c>
      <c r="AL105" t="s">
        <v>1978</v>
      </c>
      <c r="AM105" s="50"/>
      <c r="AN105" s="51" t="s">
        <v>2350</v>
      </c>
      <c r="AO105" s="55" t="s">
        <v>206</v>
      </c>
    </row>
    <row r="106" spans="1:41" ht="91.2" customHeight="1" x14ac:dyDescent="0.3">
      <c r="A106" s="20">
        <v>102</v>
      </c>
      <c r="B106" s="8" t="s">
        <v>2351</v>
      </c>
      <c r="C106" s="26">
        <v>2025</v>
      </c>
      <c r="D106" s="8"/>
      <c r="E106" s="8" t="s">
        <v>209</v>
      </c>
      <c r="F106" s="20" t="s">
        <v>1969</v>
      </c>
      <c r="G106" s="21" t="s">
        <v>1968</v>
      </c>
      <c r="H106" s="21" t="s">
        <v>1968</v>
      </c>
      <c r="I106" s="21" t="s">
        <v>1968</v>
      </c>
      <c r="J106" s="21" t="s">
        <v>1968</v>
      </c>
      <c r="K106" s="21" t="s">
        <v>1968</v>
      </c>
      <c r="L106" s="22" t="str">
        <f t="shared" si="5"/>
        <v>INCLUDE</v>
      </c>
      <c r="M106" s="22" t="str">
        <f t="shared" si="6"/>
        <v/>
      </c>
      <c r="N106" s="23" t="s">
        <v>1968</v>
      </c>
      <c r="O106" s="23" t="s">
        <v>1968</v>
      </c>
      <c r="P106" s="24" t="s">
        <v>1968</v>
      </c>
      <c r="Q106" s="24" t="s">
        <v>1968</v>
      </c>
      <c r="R106" s="24" t="s">
        <v>1968</v>
      </c>
      <c r="S106" s="22" t="str">
        <f t="shared" si="7"/>
        <v>INCLUDE</v>
      </c>
      <c r="T106" s="22" t="str">
        <f t="shared" si="8"/>
        <v/>
      </c>
      <c r="U106" s="25" t="s">
        <v>1982</v>
      </c>
      <c r="V106" s="25">
        <v>0</v>
      </c>
      <c r="W106" s="25">
        <v>0</v>
      </c>
      <c r="X106" s="25">
        <v>1</v>
      </c>
      <c r="Y106" s="22" t="str">
        <f t="shared" si="9"/>
        <v>Single</v>
      </c>
      <c r="Z106" s="25" t="s">
        <v>1922</v>
      </c>
      <c r="AA106" s="25" t="s">
        <v>1972</v>
      </c>
      <c r="AB106" s="25" t="s">
        <v>2018</v>
      </c>
      <c r="AC106" s="25" t="s">
        <v>1986</v>
      </c>
      <c r="AD106" s="25" t="s">
        <v>2003</v>
      </c>
      <c r="AE106" s="25">
        <v>4</v>
      </c>
      <c r="AF106" s="25" t="s">
        <v>2004</v>
      </c>
      <c r="AG106" s="9" t="s">
        <v>2352</v>
      </c>
      <c r="AH106" s="29" t="s">
        <v>2353</v>
      </c>
      <c r="AI106" s="29" t="s">
        <v>2354</v>
      </c>
      <c r="AJ106" t="s">
        <v>1997</v>
      </c>
      <c r="AK106" t="s">
        <v>2355</v>
      </c>
      <c r="AL106" t="s">
        <v>1978</v>
      </c>
      <c r="AM106" s="50"/>
      <c r="AN106" s="51" t="s">
        <v>2356</v>
      </c>
      <c r="AO106" s="55" t="s">
        <v>208</v>
      </c>
    </row>
    <row r="107" spans="1:41" ht="68.400000000000006" hidden="1" customHeight="1" x14ac:dyDescent="0.3">
      <c r="A107" s="20">
        <v>103</v>
      </c>
      <c r="B107" s="8" t="s">
        <v>2357</v>
      </c>
      <c r="C107" s="26">
        <v>2025</v>
      </c>
      <c r="D107" s="8"/>
      <c r="E107" s="8" t="s">
        <v>211</v>
      </c>
      <c r="F107" s="20" t="s">
        <v>1969</v>
      </c>
      <c r="G107" s="21" t="s">
        <v>1968</v>
      </c>
      <c r="H107" s="21" t="s">
        <v>1979</v>
      </c>
      <c r="I107" s="21" t="s">
        <v>1979</v>
      </c>
      <c r="J107" s="21" t="s">
        <v>1968</v>
      </c>
      <c r="K107" s="21" t="s">
        <v>1968</v>
      </c>
      <c r="L107" s="22" t="str">
        <f t="shared" si="5"/>
        <v>EXCLUDE</v>
      </c>
      <c r="M107" s="22" t="str">
        <f t="shared" si="6"/>
        <v>Digital Twin not core / buzzword</v>
      </c>
      <c r="N107" s="23"/>
      <c r="O107" s="23"/>
      <c r="P107" s="24"/>
      <c r="Q107" s="24"/>
      <c r="R107" s="24"/>
      <c r="S107" s="22" t="str">
        <f t="shared" si="7"/>
        <v/>
      </c>
      <c r="T107" s="22" t="str">
        <f t="shared" si="8"/>
        <v/>
      </c>
      <c r="U107" s="25"/>
      <c r="V107" s="25"/>
      <c r="W107" s="25"/>
      <c r="X107" s="25"/>
      <c r="Y107" s="22" t="str">
        <f t="shared" si="9"/>
        <v/>
      </c>
      <c r="Z107" s="25"/>
      <c r="AA107" s="25"/>
      <c r="AB107" s="25"/>
      <c r="AC107" s="25"/>
      <c r="AD107" s="25"/>
      <c r="AE107" s="25"/>
      <c r="AF107" s="25"/>
      <c r="AG107" s="9"/>
      <c r="AH107" s="29"/>
      <c r="AI107" s="29"/>
      <c r="AM107" s="50"/>
      <c r="AN107" s="51" t="s">
        <v>2358</v>
      </c>
      <c r="AO107" s="55" t="s">
        <v>210</v>
      </c>
    </row>
    <row r="108" spans="1:41" ht="115.2" customHeight="1" x14ac:dyDescent="0.3">
      <c r="A108" s="20">
        <v>104</v>
      </c>
      <c r="B108" s="8" t="s">
        <v>2359</v>
      </c>
      <c r="C108" s="26">
        <v>2026</v>
      </c>
      <c r="D108" s="8"/>
      <c r="E108" s="8" t="s">
        <v>213</v>
      </c>
      <c r="F108" s="20" t="s">
        <v>1969</v>
      </c>
      <c r="G108" s="21" t="s">
        <v>1979</v>
      </c>
      <c r="H108" s="21" t="s">
        <v>1968</v>
      </c>
      <c r="I108" s="21" t="s">
        <v>1979</v>
      </c>
      <c r="J108" s="21" t="s">
        <v>1968</v>
      </c>
      <c r="K108" s="21" t="s">
        <v>1968</v>
      </c>
      <c r="L108" s="22" t="str">
        <f t="shared" si="5"/>
        <v>EXCLUDE</v>
      </c>
      <c r="M108" s="22" t="str">
        <f t="shared" si="6"/>
        <v>Wrong domain (non-AECO)</v>
      </c>
      <c r="N108" s="23"/>
      <c r="O108" s="23"/>
      <c r="P108" s="24"/>
      <c r="Q108" s="24"/>
      <c r="R108" s="24"/>
      <c r="S108" s="22" t="str">
        <f t="shared" si="7"/>
        <v/>
      </c>
      <c r="T108" s="22" t="str">
        <f t="shared" si="8"/>
        <v/>
      </c>
      <c r="U108" s="25"/>
      <c r="V108" s="25"/>
      <c r="W108" s="25"/>
      <c r="X108" s="25"/>
      <c r="Y108" s="22" t="str">
        <f t="shared" si="9"/>
        <v/>
      </c>
      <c r="Z108" s="25"/>
      <c r="AA108" s="25"/>
      <c r="AB108" s="25"/>
      <c r="AC108" s="25"/>
      <c r="AD108" s="25"/>
      <c r="AE108" s="25"/>
      <c r="AF108" s="25"/>
      <c r="AG108" s="9"/>
      <c r="AH108" s="29"/>
      <c r="AI108" s="29"/>
      <c r="AM108" s="50"/>
      <c r="AN108" s="51" t="s">
        <v>2360</v>
      </c>
      <c r="AO108" s="55" t="s">
        <v>212</v>
      </c>
    </row>
    <row r="109" spans="1:41" ht="57" hidden="1" customHeight="1" x14ac:dyDescent="0.3">
      <c r="A109" s="20">
        <v>105</v>
      </c>
      <c r="B109" s="8" t="s">
        <v>2361</v>
      </c>
      <c r="C109" s="26">
        <v>2026</v>
      </c>
      <c r="D109" s="8"/>
      <c r="E109" s="8" t="s">
        <v>215</v>
      </c>
      <c r="F109" s="20" t="s">
        <v>1969</v>
      </c>
      <c r="G109" s="21" t="s">
        <v>1968</v>
      </c>
      <c r="H109" s="21" t="s">
        <v>1979</v>
      </c>
      <c r="I109" s="21" t="s">
        <v>1968</v>
      </c>
      <c r="J109" s="21" t="s">
        <v>1968</v>
      </c>
      <c r="K109" s="21" t="s">
        <v>1968</v>
      </c>
      <c r="L109" s="22" t="str">
        <f t="shared" si="5"/>
        <v>EXCLUDE</v>
      </c>
      <c r="M109" s="22" t="str">
        <f t="shared" si="6"/>
        <v>Digital Twin not core / buzzword</v>
      </c>
      <c r="N109" s="23"/>
      <c r="O109" s="23"/>
      <c r="P109" s="24"/>
      <c r="Q109" s="24"/>
      <c r="R109" s="24"/>
      <c r="S109" s="22" t="str">
        <f t="shared" si="7"/>
        <v/>
      </c>
      <c r="T109" s="22" t="str">
        <f t="shared" si="8"/>
        <v/>
      </c>
      <c r="U109" s="25"/>
      <c r="V109" s="25"/>
      <c r="W109" s="25"/>
      <c r="X109" s="25"/>
      <c r="Y109" s="22" t="str">
        <f t="shared" si="9"/>
        <v/>
      </c>
      <c r="Z109" s="25"/>
      <c r="AA109" s="25"/>
      <c r="AB109" s="25"/>
      <c r="AC109" s="25"/>
      <c r="AD109" s="25"/>
      <c r="AE109" s="25"/>
      <c r="AF109" s="25"/>
      <c r="AG109" s="9"/>
      <c r="AH109" s="29"/>
      <c r="AI109" s="29"/>
      <c r="AM109" s="50"/>
      <c r="AN109" s="51" t="s">
        <v>2362</v>
      </c>
      <c r="AO109" s="55" t="s">
        <v>214</v>
      </c>
    </row>
    <row r="110" spans="1:41" ht="148.19999999999999" customHeight="1" x14ac:dyDescent="0.3">
      <c r="A110" s="20">
        <v>106</v>
      </c>
      <c r="B110" s="8" t="s">
        <v>2363</v>
      </c>
      <c r="C110" s="26">
        <v>2026</v>
      </c>
      <c r="D110" s="8"/>
      <c r="E110" s="8" t="s">
        <v>217</v>
      </c>
      <c r="F110" s="20" t="s">
        <v>1969</v>
      </c>
      <c r="G110" s="21" t="s">
        <v>1968</v>
      </c>
      <c r="H110" s="21" t="s">
        <v>1968</v>
      </c>
      <c r="I110" s="21" t="s">
        <v>1968</v>
      </c>
      <c r="J110" s="21" t="s">
        <v>1968</v>
      </c>
      <c r="K110" s="21" t="s">
        <v>1968</v>
      </c>
      <c r="L110" s="22" t="str">
        <f t="shared" si="5"/>
        <v>INCLUDE</v>
      </c>
      <c r="M110" s="22" t="str">
        <f t="shared" si="6"/>
        <v/>
      </c>
      <c r="N110" s="23" t="s">
        <v>1968</v>
      </c>
      <c r="O110" s="23" t="s">
        <v>1968</v>
      </c>
      <c r="P110" s="24" t="s">
        <v>1968</v>
      </c>
      <c r="Q110" s="24" t="s">
        <v>1968</v>
      </c>
      <c r="R110" s="24" t="s">
        <v>1968</v>
      </c>
      <c r="S110" s="22" t="str">
        <f t="shared" si="7"/>
        <v>INCLUDE</v>
      </c>
      <c r="T110" s="22" t="str">
        <f t="shared" si="8"/>
        <v/>
      </c>
      <c r="U110" s="25" t="s">
        <v>1992</v>
      </c>
      <c r="V110" s="25">
        <v>0</v>
      </c>
      <c r="W110" s="25">
        <v>1</v>
      </c>
      <c r="X110" s="25">
        <v>0</v>
      </c>
      <c r="Y110" s="22" t="str">
        <f t="shared" si="9"/>
        <v>Single</v>
      </c>
      <c r="Z110" s="25" t="s">
        <v>1922</v>
      </c>
      <c r="AA110" s="25" t="s">
        <v>1993</v>
      </c>
      <c r="AB110" s="25" t="s">
        <v>2018</v>
      </c>
      <c r="AC110" s="25" t="s">
        <v>1986</v>
      </c>
      <c r="AD110" s="25" t="s">
        <v>2003</v>
      </c>
      <c r="AE110" s="25">
        <v>4</v>
      </c>
      <c r="AF110" s="25" t="s">
        <v>2004</v>
      </c>
      <c r="AG110" s="9" t="s">
        <v>2364</v>
      </c>
      <c r="AH110" s="29" t="s">
        <v>2365</v>
      </c>
      <c r="AI110" s="29" t="s">
        <v>2366</v>
      </c>
      <c r="AJ110" t="s">
        <v>2005</v>
      </c>
      <c r="AK110" t="s">
        <v>2367</v>
      </c>
      <c r="AL110" t="s">
        <v>1978</v>
      </c>
      <c r="AM110" s="50"/>
      <c r="AN110" s="51" t="s">
        <v>2368</v>
      </c>
      <c r="AO110" s="55" t="s">
        <v>216</v>
      </c>
    </row>
    <row r="111" spans="1:41" ht="79.95" hidden="1" customHeight="1" x14ac:dyDescent="0.3">
      <c r="A111" s="20">
        <v>107</v>
      </c>
      <c r="B111" s="8" t="s">
        <v>2369</v>
      </c>
      <c r="C111" s="26">
        <v>2026</v>
      </c>
      <c r="D111" s="8"/>
      <c r="E111" s="8" t="s">
        <v>219</v>
      </c>
      <c r="F111" s="20" t="s">
        <v>1969</v>
      </c>
      <c r="G111" s="21" t="s">
        <v>1968</v>
      </c>
      <c r="H111" s="21" t="s">
        <v>1968</v>
      </c>
      <c r="I111" s="21" t="s">
        <v>1968</v>
      </c>
      <c r="J111" s="21" t="s">
        <v>1968</v>
      </c>
      <c r="K111" s="21" t="s">
        <v>1968</v>
      </c>
      <c r="L111" s="22" t="str">
        <f t="shared" si="5"/>
        <v>INCLUDE</v>
      </c>
      <c r="M111" s="22" t="str">
        <f t="shared" si="6"/>
        <v/>
      </c>
      <c r="N111" s="23" t="s">
        <v>1968</v>
      </c>
      <c r="O111" s="23" t="s">
        <v>1968</v>
      </c>
      <c r="P111" s="24" t="s">
        <v>1968</v>
      </c>
      <c r="Q111" s="24" t="s">
        <v>1968</v>
      </c>
      <c r="R111" s="24" t="s">
        <v>1968</v>
      </c>
      <c r="S111" s="22" t="str">
        <f t="shared" si="7"/>
        <v>INCLUDE</v>
      </c>
      <c r="T111" s="22" t="str">
        <f t="shared" si="8"/>
        <v/>
      </c>
      <c r="U111" s="25" t="s">
        <v>1992</v>
      </c>
      <c r="V111" s="25">
        <v>0</v>
      </c>
      <c r="W111" s="25">
        <v>1</v>
      </c>
      <c r="X111" s="25">
        <v>0</v>
      </c>
      <c r="Y111" s="22" t="str">
        <f t="shared" si="9"/>
        <v>Single</v>
      </c>
      <c r="Z111" s="25" t="s">
        <v>1922</v>
      </c>
      <c r="AA111" s="25" t="s">
        <v>1972</v>
      </c>
      <c r="AB111" s="25" t="s">
        <v>2002</v>
      </c>
      <c r="AC111" s="25" t="s">
        <v>1986</v>
      </c>
      <c r="AD111" s="25" t="s">
        <v>2003</v>
      </c>
      <c r="AE111" s="25">
        <v>4</v>
      </c>
      <c r="AF111" s="25" t="s">
        <v>2004</v>
      </c>
      <c r="AG111" s="9" t="s">
        <v>2370</v>
      </c>
      <c r="AH111" s="29" t="s">
        <v>2371</v>
      </c>
      <c r="AI111" s="29" t="s">
        <v>2372</v>
      </c>
      <c r="AJ111" t="s">
        <v>2005</v>
      </c>
      <c r="AK111" t="s">
        <v>2373</v>
      </c>
      <c r="AL111" t="s">
        <v>1978</v>
      </c>
      <c r="AM111" s="50"/>
      <c r="AN111" s="51" t="s">
        <v>2374</v>
      </c>
      <c r="AO111" s="55" t="s">
        <v>218</v>
      </c>
    </row>
    <row r="112" spans="1:41" ht="79.95" hidden="1" customHeight="1" x14ac:dyDescent="0.3">
      <c r="A112" s="20">
        <v>108</v>
      </c>
      <c r="B112" s="8" t="s">
        <v>2375</v>
      </c>
      <c r="C112" s="26">
        <v>2026</v>
      </c>
      <c r="D112" s="8"/>
      <c r="E112" s="8" t="s">
        <v>221</v>
      </c>
      <c r="F112" s="20" t="s">
        <v>1969</v>
      </c>
      <c r="G112" s="21" t="s">
        <v>1968</v>
      </c>
      <c r="H112" s="21" t="s">
        <v>1968</v>
      </c>
      <c r="I112" s="21" t="s">
        <v>1968</v>
      </c>
      <c r="J112" s="21" t="s">
        <v>1968</v>
      </c>
      <c r="K112" s="21" t="s">
        <v>1968</v>
      </c>
      <c r="L112" s="22" t="str">
        <f t="shared" si="5"/>
        <v>INCLUDE</v>
      </c>
      <c r="M112" s="22" t="str">
        <f t="shared" si="6"/>
        <v/>
      </c>
      <c r="N112" s="23" t="s">
        <v>1968</v>
      </c>
      <c r="O112" s="23" t="s">
        <v>1968</v>
      </c>
      <c r="P112" s="24" t="s">
        <v>1968</v>
      </c>
      <c r="Q112" s="24" t="s">
        <v>1968</v>
      </c>
      <c r="R112" s="24" t="s">
        <v>1968</v>
      </c>
      <c r="S112" s="22" t="str">
        <f t="shared" si="7"/>
        <v>INCLUDE</v>
      </c>
      <c r="T112" s="22" t="str">
        <f t="shared" si="8"/>
        <v/>
      </c>
      <c r="U112" s="25" t="s">
        <v>1982</v>
      </c>
      <c r="V112" s="25">
        <v>0</v>
      </c>
      <c r="W112" s="25">
        <v>0</v>
      </c>
      <c r="X112" s="25">
        <v>1</v>
      </c>
      <c r="Y112" s="22" t="str">
        <f t="shared" si="9"/>
        <v>Single</v>
      </c>
      <c r="Z112" s="25" t="s">
        <v>1922</v>
      </c>
      <c r="AA112" s="25" t="s">
        <v>1972</v>
      </c>
      <c r="AB112" s="25" t="s">
        <v>2002</v>
      </c>
      <c r="AC112" s="25" t="s">
        <v>1986</v>
      </c>
      <c r="AD112" s="25" t="s">
        <v>1987</v>
      </c>
      <c r="AE112" s="25">
        <v>3</v>
      </c>
      <c r="AF112" s="25" t="s">
        <v>2010</v>
      </c>
      <c r="AG112" s="9" t="s">
        <v>2376</v>
      </c>
      <c r="AH112" s="29" t="s">
        <v>2377</v>
      </c>
      <c r="AI112" s="29" t="s">
        <v>2378</v>
      </c>
      <c r="AJ112" t="s">
        <v>2005</v>
      </c>
      <c r="AK112" t="s">
        <v>2379</v>
      </c>
      <c r="AL112" t="s">
        <v>1990</v>
      </c>
      <c r="AM112" s="50"/>
      <c r="AN112" s="51" t="s">
        <v>2380</v>
      </c>
      <c r="AO112" s="55" t="s">
        <v>220</v>
      </c>
    </row>
    <row r="113" spans="1:41" ht="79.95" customHeight="1" x14ac:dyDescent="0.3">
      <c r="A113" s="20">
        <v>109</v>
      </c>
      <c r="B113" s="8" t="s">
        <v>2381</v>
      </c>
      <c r="C113" s="26">
        <v>2025</v>
      </c>
      <c r="D113" s="8"/>
      <c r="E113" s="8" t="s">
        <v>223</v>
      </c>
      <c r="F113" s="20" t="s">
        <v>1969</v>
      </c>
      <c r="G113" s="21" t="s">
        <v>1979</v>
      </c>
      <c r="H113" s="21" t="s">
        <v>1968</v>
      </c>
      <c r="I113" s="21" t="s">
        <v>1968</v>
      </c>
      <c r="J113" s="21" t="s">
        <v>1968</v>
      </c>
      <c r="K113" s="21" t="s">
        <v>1968</v>
      </c>
      <c r="L113" s="22" t="str">
        <f t="shared" si="5"/>
        <v>EXCLUDE</v>
      </c>
      <c r="M113" s="22" t="str">
        <f t="shared" si="6"/>
        <v>Wrong domain (non-AECO)</v>
      </c>
      <c r="N113" s="23"/>
      <c r="O113" s="23"/>
      <c r="P113" s="24"/>
      <c r="Q113" s="24"/>
      <c r="R113" s="24"/>
      <c r="S113" s="22" t="str">
        <f t="shared" si="7"/>
        <v/>
      </c>
      <c r="T113" s="22" t="str">
        <f t="shared" si="8"/>
        <v/>
      </c>
      <c r="U113" s="25"/>
      <c r="V113" s="25"/>
      <c r="W113" s="25"/>
      <c r="X113" s="25"/>
      <c r="Y113" s="22" t="str">
        <f t="shared" si="9"/>
        <v/>
      </c>
      <c r="Z113" s="25"/>
      <c r="AA113" s="25"/>
      <c r="AB113" s="25"/>
      <c r="AC113" s="25"/>
      <c r="AD113" s="25"/>
      <c r="AE113" s="25"/>
      <c r="AF113" s="25"/>
      <c r="AG113" s="9"/>
      <c r="AH113" s="29"/>
      <c r="AI113" s="29"/>
      <c r="AM113" s="50"/>
      <c r="AN113" s="51" t="s">
        <v>2382</v>
      </c>
      <c r="AO113" s="55" t="s">
        <v>222</v>
      </c>
    </row>
    <row r="114" spans="1:41" ht="100.95" customHeight="1" x14ac:dyDescent="0.3">
      <c r="A114" s="20">
        <v>110</v>
      </c>
      <c r="B114" s="8" t="s">
        <v>2383</v>
      </c>
      <c r="C114" s="26">
        <v>2026</v>
      </c>
      <c r="D114" s="8"/>
      <c r="E114" s="8" t="s">
        <v>225</v>
      </c>
      <c r="F114" s="20" t="s">
        <v>1969</v>
      </c>
      <c r="G114" s="21" t="s">
        <v>1979</v>
      </c>
      <c r="H114" s="21" t="s">
        <v>1968</v>
      </c>
      <c r="I114" s="21" t="s">
        <v>1968</v>
      </c>
      <c r="J114" s="21" t="s">
        <v>1968</v>
      </c>
      <c r="K114" s="21" t="s">
        <v>1968</v>
      </c>
      <c r="L114" s="22" t="str">
        <f t="shared" si="5"/>
        <v>EXCLUDE</v>
      </c>
      <c r="M114" s="22" t="str">
        <f t="shared" si="6"/>
        <v>Wrong domain (non-AECO)</v>
      </c>
      <c r="N114" s="23"/>
      <c r="O114" s="23"/>
      <c r="P114" s="24"/>
      <c r="Q114" s="24"/>
      <c r="R114" s="24"/>
      <c r="S114" s="22" t="str">
        <f t="shared" si="7"/>
        <v/>
      </c>
      <c r="T114" s="22" t="str">
        <f t="shared" si="8"/>
        <v/>
      </c>
      <c r="U114" s="25"/>
      <c r="V114" s="25"/>
      <c r="W114" s="25"/>
      <c r="X114" s="25"/>
      <c r="Y114" s="22" t="str">
        <f t="shared" si="9"/>
        <v/>
      </c>
      <c r="Z114" s="25"/>
      <c r="AA114" s="25"/>
      <c r="AB114" s="25"/>
      <c r="AC114" s="25"/>
      <c r="AD114" s="25"/>
      <c r="AE114" s="25"/>
      <c r="AF114" s="25"/>
      <c r="AG114" s="9"/>
      <c r="AH114" s="29"/>
      <c r="AI114" s="29"/>
      <c r="AM114" s="50"/>
      <c r="AN114" s="51" t="s">
        <v>2384</v>
      </c>
      <c r="AO114" s="55" t="s">
        <v>224</v>
      </c>
    </row>
    <row r="115" spans="1:41" ht="345.6" customHeight="1" x14ac:dyDescent="0.3">
      <c r="A115" s="20">
        <v>111</v>
      </c>
      <c r="B115" s="8" t="s">
        <v>2385</v>
      </c>
      <c r="C115" s="26">
        <v>2026</v>
      </c>
      <c r="D115" s="8"/>
      <c r="E115" s="8" t="s">
        <v>227</v>
      </c>
      <c r="F115" s="20" t="s">
        <v>1969</v>
      </c>
      <c r="G115" s="21" t="s">
        <v>1968</v>
      </c>
      <c r="H115" s="21" t="s">
        <v>1968</v>
      </c>
      <c r="I115" s="21" t="s">
        <v>1968</v>
      </c>
      <c r="J115" s="21" t="s">
        <v>1968</v>
      </c>
      <c r="K115" s="21" t="s">
        <v>1968</v>
      </c>
      <c r="L115" s="22" t="str">
        <f t="shared" si="5"/>
        <v>INCLUDE</v>
      </c>
      <c r="M115" s="22" t="str">
        <f t="shared" si="6"/>
        <v/>
      </c>
      <c r="N115" s="23" t="s">
        <v>1968</v>
      </c>
      <c r="O115" s="23" t="s">
        <v>1968</v>
      </c>
      <c r="P115" s="24" t="s">
        <v>1968</v>
      </c>
      <c r="Q115" s="24" t="s">
        <v>1968</v>
      </c>
      <c r="R115" s="24" t="s">
        <v>1968</v>
      </c>
      <c r="S115" s="22" t="str">
        <f t="shared" si="7"/>
        <v>INCLUDE</v>
      </c>
      <c r="T115" s="22" t="str">
        <f t="shared" si="8"/>
        <v/>
      </c>
      <c r="U115" s="25" t="s">
        <v>1971</v>
      </c>
      <c r="V115" s="25">
        <v>0</v>
      </c>
      <c r="W115" s="25">
        <v>0</v>
      </c>
      <c r="X115" s="25">
        <v>1</v>
      </c>
      <c r="Y115" s="22" t="str">
        <f t="shared" si="9"/>
        <v>Single</v>
      </c>
      <c r="Z115" s="25" t="s">
        <v>1922</v>
      </c>
      <c r="AA115" s="25" t="s">
        <v>1972</v>
      </c>
      <c r="AB115" s="25" t="s">
        <v>1973</v>
      </c>
      <c r="AC115" s="25" t="s">
        <v>1986</v>
      </c>
      <c r="AD115" s="25" t="s">
        <v>2003</v>
      </c>
      <c r="AE115" s="25">
        <v>4</v>
      </c>
      <c r="AF115" s="25" t="s">
        <v>1996</v>
      </c>
      <c r="AG115" s="9" t="s">
        <v>2386</v>
      </c>
      <c r="AH115" s="29" t="s">
        <v>2387</v>
      </c>
      <c r="AI115" s="29" t="s">
        <v>2388</v>
      </c>
      <c r="AJ115" t="s">
        <v>2005</v>
      </c>
      <c r="AK115" t="s">
        <v>2389</v>
      </c>
      <c r="AL115" t="s">
        <v>1978</v>
      </c>
      <c r="AM115" s="50"/>
      <c r="AN115" s="51" t="s">
        <v>2390</v>
      </c>
      <c r="AO115" s="55" t="s">
        <v>226</v>
      </c>
    </row>
    <row r="116" spans="1:41" ht="114" customHeight="1" x14ac:dyDescent="0.3">
      <c r="A116" s="20">
        <v>112</v>
      </c>
      <c r="B116" s="8" t="s">
        <v>2391</v>
      </c>
      <c r="C116" s="26">
        <v>2026</v>
      </c>
      <c r="D116" s="8"/>
      <c r="E116" s="8" t="s">
        <v>229</v>
      </c>
      <c r="F116" s="20" t="s">
        <v>1969</v>
      </c>
      <c r="G116" s="21" t="s">
        <v>1968</v>
      </c>
      <c r="H116" s="21" t="s">
        <v>1979</v>
      </c>
      <c r="I116" s="21" t="s">
        <v>1968</v>
      </c>
      <c r="J116" s="21" t="s">
        <v>1968</v>
      </c>
      <c r="K116" s="21" t="s">
        <v>1968</v>
      </c>
      <c r="L116" s="22" t="str">
        <f t="shared" si="5"/>
        <v>EXCLUDE</v>
      </c>
      <c r="M116" s="22" t="str">
        <f t="shared" si="6"/>
        <v>Digital Twin not core / buzzword</v>
      </c>
      <c r="N116" s="23"/>
      <c r="O116" s="23"/>
      <c r="P116" s="24"/>
      <c r="Q116" s="24"/>
      <c r="R116" s="24"/>
      <c r="S116" s="22" t="str">
        <f t="shared" si="7"/>
        <v/>
      </c>
      <c r="T116" s="22" t="str">
        <f t="shared" si="8"/>
        <v/>
      </c>
      <c r="U116" s="25"/>
      <c r="V116" s="25"/>
      <c r="W116" s="25"/>
      <c r="X116" s="25"/>
      <c r="Y116" s="22" t="str">
        <f t="shared" si="9"/>
        <v/>
      </c>
      <c r="Z116" s="25"/>
      <c r="AA116" s="25"/>
      <c r="AB116" s="25"/>
      <c r="AC116" s="25"/>
      <c r="AD116" s="25"/>
      <c r="AE116" s="25"/>
      <c r="AF116" s="25"/>
      <c r="AG116" s="9"/>
      <c r="AH116" s="29"/>
      <c r="AI116" s="29"/>
      <c r="AM116" s="50"/>
      <c r="AN116" s="51" t="s">
        <v>2392</v>
      </c>
      <c r="AO116" s="55" t="s">
        <v>228</v>
      </c>
    </row>
    <row r="117" spans="1:41" ht="45.6" hidden="1" customHeight="1" x14ac:dyDescent="0.3">
      <c r="A117" s="20">
        <v>113</v>
      </c>
      <c r="B117" s="8" t="s">
        <v>2393</v>
      </c>
      <c r="C117" s="26">
        <v>2026</v>
      </c>
      <c r="D117" s="8"/>
      <c r="E117" s="8" t="s">
        <v>231</v>
      </c>
      <c r="F117" s="20" t="s">
        <v>1969</v>
      </c>
      <c r="G117" s="21" t="s">
        <v>1968</v>
      </c>
      <c r="H117" s="21" t="s">
        <v>1979</v>
      </c>
      <c r="I117" s="21" t="s">
        <v>1968</v>
      </c>
      <c r="J117" s="21" t="s">
        <v>1968</v>
      </c>
      <c r="K117" s="21" t="s">
        <v>1968</v>
      </c>
      <c r="L117" s="22" t="str">
        <f t="shared" si="5"/>
        <v>EXCLUDE</v>
      </c>
      <c r="M117" s="22" t="str">
        <f t="shared" si="6"/>
        <v>Digital Twin not core / buzzword</v>
      </c>
      <c r="N117" s="23"/>
      <c r="O117" s="23"/>
      <c r="P117" s="24"/>
      <c r="Q117" s="24"/>
      <c r="R117" s="24"/>
      <c r="S117" s="22" t="str">
        <f t="shared" si="7"/>
        <v/>
      </c>
      <c r="T117" s="22" t="str">
        <f t="shared" si="8"/>
        <v/>
      </c>
      <c r="U117" s="25"/>
      <c r="V117" s="25"/>
      <c r="W117" s="25"/>
      <c r="X117" s="25"/>
      <c r="Y117" s="22" t="str">
        <f t="shared" si="9"/>
        <v/>
      </c>
      <c r="Z117" s="25"/>
      <c r="AA117" s="25"/>
      <c r="AB117" s="25"/>
      <c r="AC117" s="25"/>
      <c r="AD117" s="25"/>
      <c r="AE117" s="25"/>
      <c r="AF117" s="25"/>
      <c r="AG117" s="9"/>
      <c r="AH117" s="29"/>
      <c r="AI117" s="29"/>
      <c r="AM117" s="50"/>
      <c r="AN117" s="51" t="s">
        <v>2394</v>
      </c>
      <c r="AO117" s="55" t="s">
        <v>230</v>
      </c>
    </row>
    <row r="118" spans="1:41" ht="68.400000000000006" hidden="1" customHeight="1" x14ac:dyDescent="0.3">
      <c r="A118" s="20">
        <v>114</v>
      </c>
      <c r="B118" s="8" t="s">
        <v>2395</v>
      </c>
      <c r="C118" s="26">
        <v>2025</v>
      </c>
      <c r="D118" s="8"/>
      <c r="E118" s="8" t="s">
        <v>233</v>
      </c>
      <c r="F118" s="20" t="s">
        <v>1969</v>
      </c>
      <c r="G118" s="21" t="s">
        <v>1968</v>
      </c>
      <c r="H118" s="21" t="s">
        <v>1968</v>
      </c>
      <c r="I118" s="21" t="s">
        <v>1979</v>
      </c>
      <c r="J118" s="21" t="s">
        <v>1968</v>
      </c>
      <c r="K118" s="21" t="s">
        <v>1968</v>
      </c>
      <c r="L118" s="22" t="str">
        <f t="shared" si="5"/>
        <v>EXCLUDE</v>
      </c>
      <c r="M118" s="22" t="str">
        <f t="shared" si="6"/>
        <v>No Design for Safety / PtD focus</v>
      </c>
      <c r="N118" s="23"/>
      <c r="O118" s="23"/>
      <c r="P118" s="24"/>
      <c r="Q118" s="24"/>
      <c r="R118" s="24"/>
      <c r="S118" s="22" t="str">
        <f t="shared" si="7"/>
        <v/>
      </c>
      <c r="T118" s="22" t="str">
        <f t="shared" si="8"/>
        <v/>
      </c>
      <c r="U118" s="25"/>
      <c r="V118" s="25"/>
      <c r="W118" s="25"/>
      <c r="X118" s="25"/>
      <c r="Y118" s="22" t="str">
        <f t="shared" si="9"/>
        <v/>
      </c>
      <c r="Z118" s="25"/>
      <c r="AA118" s="25"/>
      <c r="AB118" s="25"/>
      <c r="AC118" s="25"/>
      <c r="AD118" s="25"/>
      <c r="AE118" s="25"/>
      <c r="AF118" s="25"/>
      <c r="AG118" s="9"/>
      <c r="AH118" s="29"/>
      <c r="AI118" s="29"/>
      <c r="AM118" s="50"/>
      <c r="AN118" s="51" t="s">
        <v>2396</v>
      </c>
      <c r="AO118" s="55" t="s">
        <v>232</v>
      </c>
    </row>
    <row r="119" spans="1:41" ht="86.4" customHeight="1" x14ac:dyDescent="0.3">
      <c r="A119" s="20">
        <v>115</v>
      </c>
      <c r="B119" s="8" t="s">
        <v>2397</v>
      </c>
      <c r="C119" s="26">
        <v>2026</v>
      </c>
      <c r="D119" s="8"/>
      <c r="E119" s="8" t="s">
        <v>235</v>
      </c>
      <c r="F119" s="20" t="s">
        <v>1969</v>
      </c>
      <c r="G119" s="21" t="s">
        <v>1979</v>
      </c>
      <c r="H119" s="21" t="s">
        <v>1968</v>
      </c>
      <c r="I119" s="21" t="s">
        <v>1979</v>
      </c>
      <c r="J119" s="21" t="s">
        <v>1968</v>
      </c>
      <c r="K119" s="21" t="s">
        <v>1968</v>
      </c>
      <c r="L119" s="22" t="str">
        <f t="shared" si="5"/>
        <v>EXCLUDE</v>
      </c>
      <c r="M119" s="22" t="str">
        <f t="shared" si="6"/>
        <v>Wrong domain (non-AECO)</v>
      </c>
      <c r="N119" s="23"/>
      <c r="O119" s="23"/>
      <c r="P119" s="24"/>
      <c r="Q119" s="24"/>
      <c r="R119" s="24"/>
      <c r="S119" s="22" t="str">
        <f t="shared" si="7"/>
        <v/>
      </c>
      <c r="T119" s="22" t="str">
        <f t="shared" si="8"/>
        <v/>
      </c>
      <c r="U119" s="25"/>
      <c r="V119" s="25"/>
      <c r="W119" s="25"/>
      <c r="X119" s="25"/>
      <c r="Y119" s="22" t="str">
        <f t="shared" si="9"/>
        <v/>
      </c>
      <c r="Z119" s="25"/>
      <c r="AA119" s="25"/>
      <c r="AB119" s="25"/>
      <c r="AC119" s="25"/>
      <c r="AD119" s="25"/>
      <c r="AE119" s="25"/>
      <c r="AF119" s="25"/>
      <c r="AG119" s="9"/>
      <c r="AH119" s="29"/>
      <c r="AI119" s="29"/>
      <c r="AM119" s="50"/>
      <c r="AN119" s="51" t="s">
        <v>2398</v>
      </c>
      <c r="AO119" s="55" t="s">
        <v>234</v>
      </c>
    </row>
    <row r="120" spans="1:41" ht="45.6" hidden="1" customHeight="1" x14ac:dyDescent="0.3">
      <c r="A120" s="20">
        <v>116</v>
      </c>
      <c r="B120" s="8" t="s">
        <v>2399</v>
      </c>
      <c r="C120" s="26">
        <v>2026</v>
      </c>
      <c r="D120" s="8"/>
      <c r="E120" s="8" t="s">
        <v>237</v>
      </c>
      <c r="F120" s="20" t="s">
        <v>1969</v>
      </c>
      <c r="G120" s="21" t="s">
        <v>1968</v>
      </c>
      <c r="H120" s="21" t="s">
        <v>1979</v>
      </c>
      <c r="I120" s="21" t="s">
        <v>1968</v>
      </c>
      <c r="J120" s="21" t="s">
        <v>1968</v>
      </c>
      <c r="K120" s="21" t="s">
        <v>1968</v>
      </c>
      <c r="L120" s="22" t="str">
        <f t="shared" si="5"/>
        <v>EXCLUDE</v>
      </c>
      <c r="M120" s="22" t="str">
        <f t="shared" si="6"/>
        <v>Digital Twin not core / buzzword</v>
      </c>
      <c r="N120" s="23"/>
      <c r="O120" s="23"/>
      <c r="P120" s="24"/>
      <c r="Q120" s="24"/>
      <c r="R120" s="24"/>
      <c r="S120" s="22" t="str">
        <f t="shared" si="7"/>
        <v/>
      </c>
      <c r="T120" s="22" t="str">
        <f t="shared" si="8"/>
        <v/>
      </c>
      <c r="U120" s="25"/>
      <c r="V120" s="25"/>
      <c r="W120" s="25"/>
      <c r="X120" s="25"/>
      <c r="Y120" s="22" t="str">
        <f t="shared" si="9"/>
        <v/>
      </c>
      <c r="Z120" s="25"/>
      <c r="AA120" s="25"/>
      <c r="AB120" s="25"/>
      <c r="AC120" s="25"/>
      <c r="AD120" s="25"/>
      <c r="AE120" s="25"/>
      <c r="AF120" s="25"/>
      <c r="AG120" s="9"/>
      <c r="AH120" s="29"/>
      <c r="AI120" s="29"/>
      <c r="AM120" s="50"/>
      <c r="AN120" s="51" t="s">
        <v>2400</v>
      </c>
      <c r="AO120" s="55" t="s">
        <v>236</v>
      </c>
    </row>
    <row r="121" spans="1:41" ht="57" hidden="1" customHeight="1" x14ac:dyDescent="0.3">
      <c r="A121" s="20">
        <v>117</v>
      </c>
      <c r="B121" s="8" t="s">
        <v>2401</v>
      </c>
      <c r="C121" s="26">
        <v>2026</v>
      </c>
      <c r="D121" s="8"/>
      <c r="E121" s="8" t="s">
        <v>239</v>
      </c>
      <c r="F121" s="20" t="s">
        <v>1969</v>
      </c>
      <c r="G121" s="21" t="s">
        <v>1979</v>
      </c>
      <c r="H121" s="21" t="s">
        <v>1968</v>
      </c>
      <c r="I121" s="21" t="s">
        <v>1968</v>
      </c>
      <c r="J121" s="21" t="s">
        <v>1968</v>
      </c>
      <c r="K121" s="21" t="s">
        <v>1968</v>
      </c>
      <c r="L121" s="22" t="str">
        <f t="shared" si="5"/>
        <v>EXCLUDE</v>
      </c>
      <c r="M121" s="22" t="str">
        <f t="shared" si="6"/>
        <v>Wrong domain (non-AECO)</v>
      </c>
      <c r="N121" s="23"/>
      <c r="O121" s="23"/>
      <c r="P121" s="24"/>
      <c r="Q121" s="24"/>
      <c r="R121" s="24"/>
      <c r="S121" s="22" t="str">
        <f t="shared" si="7"/>
        <v/>
      </c>
      <c r="T121" s="22" t="str">
        <f t="shared" si="8"/>
        <v/>
      </c>
      <c r="U121" s="25"/>
      <c r="V121" s="25"/>
      <c r="W121" s="25"/>
      <c r="X121" s="25"/>
      <c r="Y121" s="22" t="str">
        <f t="shared" si="9"/>
        <v/>
      </c>
      <c r="Z121" s="25"/>
      <c r="AA121" s="25"/>
      <c r="AB121" s="25"/>
      <c r="AC121" s="25"/>
      <c r="AD121" s="25"/>
      <c r="AE121" s="25"/>
      <c r="AF121" s="25"/>
      <c r="AG121" s="9"/>
      <c r="AH121" s="29"/>
      <c r="AI121" s="29"/>
      <c r="AM121" s="50"/>
      <c r="AN121" s="51" t="s">
        <v>2402</v>
      </c>
      <c r="AO121" s="55" t="s">
        <v>238</v>
      </c>
    </row>
    <row r="122" spans="1:41" ht="158.4" customHeight="1" x14ac:dyDescent="0.3">
      <c r="A122" s="20">
        <v>118</v>
      </c>
      <c r="B122" s="8" t="s">
        <v>2403</v>
      </c>
      <c r="C122" s="26">
        <v>2026</v>
      </c>
      <c r="D122" s="8"/>
      <c r="E122" s="8" t="s">
        <v>241</v>
      </c>
      <c r="F122" s="20" t="s">
        <v>1969</v>
      </c>
      <c r="G122" s="21" t="s">
        <v>1979</v>
      </c>
      <c r="H122" s="21" t="s">
        <v>1979</v>
      </c>
      <c r="I122" s="21" t="s">
        <v>1979</v>
      </c>
      <c r="J122" s="21" t="s">
        <v>1968</v>
      </c>
      <c r="K122" s="21" t="s">
        <v>1968</v>
      </c>
      <c r="L122" s="22" t="str">
        <f t="shared" si="5"/>
        <v>EXCLUDE</v>
      </c>
      <c r="M122" s="22" t="str">
        <f t="shared" si="6"/>
        <v>Wrong domain (non-AECO)</v>
      </c>
      <c r="N122" s="23"/>
      <c r="O122" s="23"/>
      <c r="P122" s="24"/>
      <c r="Q122" s="24"/>
      <c r="R122" s="24"/>
      <c r="S122" s="22" t="str">
        <f t="shared" si="7"/>
        <v/>
      </c>
      <c r="T122" s="22" t="str">
        <f t="shared" si="8"/>
        <v/>
      </c>
      <c r="U122" s="25"/>
      <c r="V122" s="25"/>
      <c r="W122" s="25"/>
      <c r="X122" s="25"/>
      <c r="Y122" s="22" t="str">
        <f t="shared" si="9"/>
        <v/>
      </c>
      <c r="Z122" s="25"/>
      <c r="AA122" s="25"/>
      <c r="AB122" s="25"/>
      <c r="AC122" s="25"/>
      <c r="AD122" s="25"/>
      <c r="AE122" s="25"/>
      <c r="AF122" s="25"/>
      <c r="AG122" s="9"/>
      <c r="AH122" s="29"/>
      <c r="AI122" s="29"/>
      <c r="AM122" s="50"/>
      <c r="AN122" s="51" t="s">
        <v>2404</v>
      </c>
      <c r="AO122" s="55" t="s">
        <v>240</v>
      </c>
    </row>
    <row r="123" spans="1:41" s="78" customFormat="1" ht="114" customHeight="1" x14ac:dyDescent="0.3">
      <c r="A123" s="20">
        <v>119</v>
      </c>
      <c r="B123" s="8" t="s">
        <v>2405</v>
      </c>
      <c r="C123" s="26">
        <v>2026</v>
      </c>
      <c r="D123" s="8"/>
      <c r="E123" s="8" t="s">
        <v>243</v>
      </c>
      <c r="F123" s="20" t="s">
        <v>1969</v>
      </c>
      <c r="G123" s="21" t="s">
        <v>1968</v>
      </c>
      <c r="H123" s="21" t="s">
        <v>1979</v>
      </c>
      <c r="I123" s="21" t="s">
        <v>1968</v>
      </c>
      <c r="J123" s="21" t="s">
        <v>1968</v>
      </c>
      <c r="K123" s="21" t="s">
        <v>1968</v>
      </c>
      <c r="L123" s="22" t="str">
        <f t="shared" si="5"/>
        <v>EXCLUDE</v>
      </c>
      <c r="M123" s="22" t="str">
        <f t="shared" si="6"/>
        <v>Digital Twin not core / buzzword</v>
      </c>
      <c r="N123" s="23"/>
      <c r="O123" s="23"/>
      <c r="P123" s="24"/>
      <c r="Q123" s="24"/>
      <c r="R123" s="24"/>
      <c r="S123" s="22" t="str">
        <f t="shared" si="7"/>
        <v/>
      </c>
      <c r="T123" s="22" t="str">
        <f t="shared" si="8"/>
        <v/>
      </c>
      <c r="U123" s="25"/>
      <c r="V123" s="25"/>
      <c r="W123" s="25"/>
      <c r="X123" s="25"/>
      <c r="Y123" s="22" t="str">
        <f t="shared" si="9"/>
        <v/>
      </c>
      <c r="Z123" s="25"/>
      <c r="AA123" s="25"/>
      <c r="AB123" s="25"/>
      <c r="AC123" s="25"/>
      <c r="AD123" s="25"/>
      <c r="AE123" s="25"/>
      <c r="AF123" s="25"/>
      <c r="AG123" s="9"/>
      <c r="AH123" s="29"/>
      <c r="AI123" s="29"/>
      <c r="AM123" s="50"/>
      <c r="AN123" s="51" t="s">
        <v>2406</v>
      </c>
      <c r="AO123" s="55" t="s">
        <v>242</v>
      </c>
    </row>
    <row r="124" spans="1:41" ht="79.95" hidden="1" customHeight="1" x14ac:dyDescent="0.3">
      <c r="A124" s="20">
        <v>120</v>
      </c>
      <c r="B124" s="8" t="s">
        <v>2407</v>
      </c>
      <c r="C124" s="26">
        <v>2025</v>
      </c>
      <c r="D124" s="8"/>
      <c r="E124" s="8" t="s">
        <v>245</v>
      </c>
      <c r="F124" s="20" t="s">
        <v>1969</v>
      </c>
      <c r="G124" s="21" t="s">
        <v>1979</v>
      </c>
      <c r="H124" s="21" t="s">
        <v>1968</v>
      </c>
      <c r="I124" s="21" t="s">
        <v>1968</v>
      </c>
      <c r="J124" s="21" t="s">
        <v>1968</v>
      </c>
      <c r="K124" s="21" t="s">
        <v>1968</v>
      </c>
      <c r="L124" s="22" t="str">
        <f t="shared" si="5"/>
        <v>EXCLUDE</v>
      </c>
      <c r="M124" s="22" t="str">
        <f t="shared" si="6"/>
        <v>Wrong domain (non-AECO)</v>
      </c>
      <c r="N124" s="23"/>
      <c r="O124" s="23"/>
      <c r="P124" s="24"/>
      <c r="Q124" s="24"/>
      <c r="R124" s="24"/>
      <c r="S124" s="22" t="str">
        <f t="shared" si="7"/>
        <v/>
      </c>
      <c r="T124" s="22" t="str">
        <f t="shared" si="8"/>
        <v/>
      </c>
      <c r="U124" s="25"/>
      <c r="V124" s="25"/>
      <c r="W124" s="25"/>
      <c r="X124" s="25"/>
      <c r="Y124" s="22" t="str">
        <f t="shared" si="9"/>
        <v/>
      </c>
      <c r="Z124" s="25"/>
      <c r="AA124" s="25"/>
      <c r="AB124" s="25"/>
      <c r="AC124" s="25"/>
      <c r="AD124" s="25"/>
      <c r="AE124" s="25"/>
      <c r="AF124" s="25"/>
      <c r="AG124" s="9"/>
      <c r="AH124" s="29"/>
      <c r="AI124" s="29"/>
      <c r="AM124" s="50"/>
      <c r="AN124" s="51" t="s">
        <v>2408</v>
      </c>
      <c r="AO124" s="55" t="s">
        <v>244</v>
      </c>
    </row>
    <row r="125" spans="1:41" ht="125.4" customHeight="1" x14ac:dyDescent="0.3">
      <c r="A125" s="20">
        <v>121</v>
      </c>
      <c r="B125" s="8" t="s">
        <v>2409</v>
      </c>
      <c r="C125" s="26">
        <v>2026</v>
      </c>
      <c r="D125" s="8"/>
      <c r="E125" s="8" t="s">
        <v>247</v>
      </c>
      <c r="F125" s="20" t="s">
        <v>1969</v>
      </c>
      <c r="G125" s="21" t="s">
        <v>1968</v>
      </c>
      <c r="H125" s="21" t="s">
        <v>1968</v>
      </c>
      <c r="I125" s="21" t="s">
        <v>1968</v>
      </c>
      <c r="J125" s="21" t="s">
        <v>1968</v>
      </c>
      <c r="K125" s="21" t="s">
        <v>1968</v>
      </c>
      <c r="L125" s="22" t="str">
        <f t="shared" si="5"/>
        <v>INCLUDE</v>
      </c>
      <c r="M125" s="22" t="str">
        <f t="shared" si="6"/>
        <v/>
      </c>
      <c r="N125" s="23" t="s">
        <v>1968</v>
      </c>
      <c r="O125" s="23" t="s">
        <v>1968</v>
      </c>
      <c r="P125" s="24" t="s">
        <v>1968</v>
      </c>
      <c r="Q125" s="24" t="s">
        <v>1968</v>
      </c>
      <c r="R125" s="24" t="s">
        <v>1968</v>
      </c>
      <c r="S125" s="22" t="str">
        <f t="shared" si="7"/>
        <v>INCLUDE</v>
      </c>
      <c r="T125" s="22" t="str">
        <f t="shared" si="8"/>
        <v/>
      </c>
      <c r="U125" s="25" t="s">
        <v>1982</v>
      </c>
      <c r="V125" s="25">
        <v>0</v>
      </c>
      <c r="W125" s="25">
        <v>0</v>
      </c>
      <c r="X125" s="25">
        <v>1</v>
      </c>
      <c r="Y125" s="22" t="str">
        <f t="shared" si="9"/>
        <v>Single</v>
      </c>
      <c r="Z125" s="25" t="s">
        <v>1922</v>
      </c>
      <c r="AA125" s="25" t="s">
        <v>1972</v>
      </c>
      <c r="AB125" s="25" t="s">
        <v>2002</v>
      </c>
      <c r="AC125" s="25" t="s">
        <v>1986</v>
      </c>
      <c r="AD125" s="25" t="s">
        <v>2003</v>
      </c>
      <c r="AE125" s="25">
        <v>4</v>
      </c>
      <c r="AF125" s="25" t="s">
        <v>2010</v>
      </c>
      <c r="AG125" s="9" t="s">
        <v>2410</v>
      </c>
      <c r="AH125" s="29" t="s">
        <v>2411</v>
      </c>
      <c r="AI125" s="29" t="s">
        <v>2412</v>
      </c>
      <c r="AJ125" t="s">
        <v>2005</v>
      </c>
      <c r="AK125" t="s">
        <v>2413</v>
      </c>
      <c r="AL125" t="s">
        <v>1978</v>
      </c>
      <c r="AM125" s="50"/>
      <c r="AN125" s="51" t="s">
        <v>2414</v>
      </c>
      <c r="AO125" s="55" t="s">
        <v>246</v>
      </c>
    </row>
    <row r="126" spans="1:41" ht="159.6" customHeight="1" x14ac:dyDescent="0.3">
      <c r="A126" s="20">
        <v>122</v>
      </c>
      <c r="B126" s="8" t="s">
        <v>2415</v>
      </c>
      <c r="C126" s="26">
        <v>2026</v>
      </c>
      <c r="D126" s="8"/>
      <c r="E126" s="8" t="s">
        <v>249</v>
      </c>
      <c r="F126" s="20" t="s">
        <v>1969</v>
      </c>
      <c r="G126" s="21" t="s">
        <v>1979</v>
      </c>
      <c r="H126" s="21" t="s">
        <v>1968</v>
      </c>
      <c r="I126" s="21" t="s">
        <v>1979</v>
      </c>
      <c r="J126" s="21" t="s">
        <v>1968</v>
      </c>
      <c r="K126" s="21" t="s">
        <v>1968</v>
      </c>
      <c r="L126" s="22" t="str">
        <f t="shared" si="5"/>
        <v>EXCLUDE</v>
      </c>
      <c r="M126" s="22" t="str">
        <f t="shared" si="6"/>
        <v>Wrong domain (non-AECO)</v>
      </c>
      <c r="N126" s="23"/>
      <c r="O126" s="23"/>
      <c r="P126" s="24"/>
      <c r="Q126" s="24"/>
      <c r="R126" s="24"/>
      <c r="S126" s="22" t="str">
        <f t="shared" si="7"/>
        <v/>
      </c>
      <c r="T126" s="22" t="str">
        <f t="shared" si="8"/>
        <v/>
      </c>
      <c r="U126" s="25"/>
      <c r="V126" s="25"/>
      <c r="W126" s="25"/>
      <c r="X126" s="25"/>
      <c r="Y126" s="22" t="str">
        <f t="shared" si="9"/>
        <v/>
      </c>
      <c r="Z126" s="25"/>
      <c r="AA126" s="25"/>
      <c r="AB126" s="25"/>
      <c r="AC126" s="25"/>
      <c r="AD126" s="25"/>
      <c r="AE126" s="25"/>
      <c r="AF126" s="25"/>
      <c r="AG126" s="9"/>
      <c r="AH126" s="29"/>
      <c r="AI126" s="29"/>
      <c r="AM126" s="50"/>
      <c r="AN126" s="51" t="s">
        <v>2416</v>
      </c>
      <c r="AO126" s="55" t="s">
        <v>248</v>
      </c>
    </row>
    <row r="127" spans="1:41" ht="79.95" hidden="1" customHeight="1" x14ac:dyDescent="0.3">
      <c r="A127" s="20">
        <v>123</v>
      </c>
      <c r="B127" s="8" t="s">
        <v>2417</v>
      </c>
      <c r="C127" s="26">
        <v>2026</v>
      </c>
      <c r="D127" s="8"/>
      <c r="E127" s="8" t="s">
        <v>251</v>
      </c>
      <c r="F127" s="20" t="s">
        <v>1969</v>
      </c>
      <c r="G127" s="21" t="s">
        <v>1968</v>
      </c>
      <c r="H127" s="21" t="s">
        <v>1968</v>
      </c>
      <c r="I127" s="21" t="s">
        <v>1968</v>
      </c>
      <c r="J127" s="21" t="s">
        <v>1968</v>
      </c>
      <c r="K127" s="21" t="s">
        <v>1968</v>
      </c>
      <c r="L127" s="22" t="str">
        <f t="shared" si="5"/>
        <v>INCLUDE</v>
      </c>
      <c r="M127" s="22" t="str">
        <f t="shared" si="6"/>
        <v/>
      </c>
      <c r="N127" s="23" t="s">
        <v>1968</v>
      </c>
      <c r="O127" s="23" t="s">
        <v>1968</v>
      </c>
      <c r="P127" s="24" t="s">
        <v>1968</v>
      </c>
      <c r="Q127" s="24" t="s">
        <v>1968</v>
      </c>
      <c r="R127" s="24" t="s">
        <v>1968</v>
      </c>
      <c r="S127" s="22" t="str">
        <f t="shared" si="7"/>
        <v>INCLUDE</v>
      </c>
      <c r="T127" s="22" t="str">
        <f t="shared" si="8"/>
        <v/>
      </c>
      <c r="U127" s="25" t="s">
        <v>1982</v>
      </c>
      <c r="V127" s="25">
        <v>0</v>
      </c>
      <c r="W127" s="25">
        <v>0</v>
      </c>
      <c r="X127" s="25">
        <v>1</v>
      </c>
      <c r="Y127" s="22" t="str">
        <f t="shared" si="9"/>
        <v>Single</v>
      </c>
      <c r="Z127" s="25" t="s">
        <v>1922</v>
      </c>
      <c r="AA127" s="25" t="s">
        <v>1993</v>
      </c>
      <c r="AB127" s="25" t="s">
        <v>2018</v>
      </c>
      <c r="AC127" s="25" t="s">
        <v>1986</v>
      </c>
      <c r="AD127" s="25" t="s">
        <v>2003</v>
      </c>
      <c r="AE127" s="25">
        <v>4</v>
      </c>
      <c r="AF127" s="25" t="s">
        <v>2010</v>
      </c>
      <c r="AG127" s="9" t="s">
        <v>2418</v>
      </c>
      <c r="AH127" s="29" t="s">
        <v>2419</v>
      </c>
      <c r="AI127" s="29" t="s">
        <v>2420</v>
      </c>
      <c r="AJ127" t="s">
        <v>2005</v>
      </c>
      <c r="AK127" t="s">
        <v>2421</v>
      </c>
      <c r="AL127" t="s">
        <v>1978</v>
      </c>
      <c r="AM127" s="50"/>
      <c r="AN127" s="51" t="s">
        <v>2422</v>
      </c>
      <c r="AO127" s="55" t="s">
        <v>250</v>
      </c>
    </row>
    <row r="128" spans="1:41" ht="45.6" hidden="1" customHeight="1" x14ac:dyDescent="0.3">
      <c r="A128" s="20">
        <v>124</v>
      </c>
      <c r="B128" s="8" t="s">
        <v>2423</v>
      </c>
      <c r="C128" s="26">
        <v>2026</v>
      </c>
      <c r="D128" s="8"/>
      <c r="E128" s="8" t="s">
        <v>253</v>
      </c>
      <c r="F128" s="20" t="s">
        <v>1969</v>
      </c>
      <c r="G128" s="21" t="s">
        <v>1979</v>
      </c>
      <c r="H128" s="21" t="s">
        <v>1968</v>
      </c>
      <c r="I128" s="21" t="s">
        <v>1979</v>
      </c>
      <c r="J128" s="21" t="s">
        <v>1968</v>
      </c>
      <c r="K128" s="21" t="s">
        <v>1968</v>
      </c>
      <c r="L128" s="22" t="str">
        <f t="shared" si="5"/>
        <v>EXCLUDE</v>
      </c>
      <c r="M128" s="22" t="str">
        <f t="shared" si="6"/>
        <v>Wrong domain (non-AECO)</v>
      </c>
      <c r="N128" s="23"/>
      <c r="O128" s="23"/>
      <c r="P128" s="24"/>
      <c r="Q128" s="24"/>
      <c r="R128" s="24"/>
      <c r="S128" s="22" t="str">
        <f t="shared" si="7"/>
        <v/>
      </c>
      <c r="T128" s="22" t="str">
        <f t="shared" si="8"/>
        <v/>
      </c>
      <c r="U128" s="25"/>
      <c r="V128" s="25"/>
      <c r="W128" s="25"/>
      <c r="X128" s="25"/>
      <c r="Y128" s="22" t="str">
        <f t="shared" si="9"/>
        <v/>
      </c>
      <c r="Z128" s="25"/>
      <c r="AA128" s="25"/>
      <c r="AB128" s="25"/>
      <c r="AC128" s="25"/>
      <c r="AD128" s="25"/>
      <c r="AE128" s="25"/>
      <c r="AF128" s="25"/>
      <c r="AG128" s="9"/>
      <c r="AH128" s="29"/>
      <c r="AI128" s="29"/>
      <c r="AM128" s="50"/>
      <c r="AN128" s="51" t="s">
        <v>2424</v>
      </c>
      <c r="AO128" s="55" t="s">
        <v>252</v>
      </c>
    </row>
    <row r="129" spans="1:41" ht="136.94999999999999" customHeight="1" x14ac:dyDescent="0.3">
      <c r="A129" s="20">
        <v>125</v>
      </c>
      <c r="B129" s="8" t="s">
        <v>2425</v>
      </c>
      <c r="C129" s="26">
        <v>2026</v>
      </c>
      <c r="D129" s="8"/>
      <c r="E129" s="8" t="s">
        <v>255</v>
      </c>
      <c r="F129" s="20" t="s">
        <v>1969</v>
      </c>
      <c r="G129" s="21" t="s">
        <v>1979</v>
      </c>
      <c r="H129" s="21" t="s">
        <v>1968</v>
      </c>
      <c r="I129" s="21" t="s">
        <v>1979</v>
      </c>
      <c r="J129" s="21" t="s">
        <v>1968</v>
      </c>
      <c r="K129" s="21" t="s">
        <v>1968</v>
      </c>
      <c r="L129" s="22" t="str">
        <f t="shared" si="5"/>
        <v>EXCLUDE</v>
      </c>
      <c r="M129" s="22" t="str">
        <f t="shared" si="6"/>
        <v>Wrong domain (non-AECO)</v>
      </c>
      <c r="N129" s="23"/>
      <c r="O129" s="23"/>
      <c r="P129" s="24"/>
      <c r="Q129" s="24"/>
      <c r="R129" s="24"/>
      <c r="S129" s="22" t="str">
        <f t="shared" si="7"/>
        <v/>
      </c>
      <c r="T129" s="22" t="str">
        <f t="shared" si="8"/>
        <v/>
      </c>
      <c r="U129" s="25"/>
      <c r="V129" s="25"/>
      <c r="W129" s="25"/>
      <c r="X129" s="25"/>
      <c r="Y129" s="22" t="str">
        <f t="shared" si="9"/>
        <v/>
      </c>
      <c r="Z129" s="25"/>
      <c r="AA129" s="25"/>
      <c r="AB129" s="25"/>
      <c r="AC129" s="25"/>
      <c r="AD129" s="25"/>
      <c r="AE129" s="25"/>
      <c r="AF129" s="25"/>
      <c r="AG129" s="9"/>
      <c r="AH129" s="29"/>
      <c r="AI129" s="29"/>
      <c r="AM129" s="50"/>
      <c r="AN129" s="51" t="s">
        <v>2426</v>
      </c>
      <c r="AO129" s="55" t="s">
        <v>254</v>
      </c>
    </row>
    <row r="130" spans="1:41" ht="45.6" hidden="1" customHeight="1" x14ac:dyDescent="0.3">
      <c r="A130" s="20">
        <v>126</v>
      </c>
      <c r="B130" s="8" t="s">
        <v>2427</v>
      </c>
      <c r="C130" s="26">
        <v>2026</v>
      </c>
      <c r="D130" s="8"/>
      <c r="E130" s="8" t="s">
        <v>257</v>
      </c>
      <c r="F130" s="20" t="s">
        <v>1969</v>
      </c>
      <c r="G130" s="21" t="s">
        <v>1968</v>
      </c>
      <c r="H130" s="21" t="s">
        <v>1979</v>
      </c>
      <c r="I130" s="21" t="s">
        <v>1968</v>
      </c>
      <c r="J130" s="21" t="s">
        <v>1968</v>
      </c>
      <c r="K130" s="21" t="s">
        <v>1968</v>
      </c>
      <c r="L130" s="22" t="str">
        <f t="shared" si="5"/>
        <v>EXCLUDE</v>
      </c>
      <c r="M130" s="22" t="str">
        <f t="shared" si="6"/>
        <v>Digital Twin not core / buzzword</v>
      </c>
      <c r="N130" s="23"/>
      <c r="O130" s="23"/>
      <c r="P130" s="24"/>
      <c r="Q130" s="24"/>
      <c r="R130" s="24"/>
      <c r="S130" s="22" t="str">
        <f t="shared" si="7"/>
        <v/>
      </c>
      <c r="T130" s="22" t="str">
        <f t="shared" si="8"/>
        <v/>
      </c>
      <c r="U130" s="25"/>
      <c r="V130" s="25"/>
      <c r="W130" s="25"/>
      <c r="X130" s="25"/>
      <c r="Y130" s="22" t="str">
        <f t="shared" si="9"/>
        <v/>
      </c>
      <c r="Z130" s="25"/>
      <c r="AA130" s="25"/>
      <c r="AB130" s="25"/>
      <c r="AC130" s="25"/>
      <c r="AD130" s="25"/>
      <c r="AE130" s="25"/>
      <c r="AF130" s="25"/>
      <c r="AG130" s="9"/>
      <c r="AH130" s="29"/>
      <c r="AI130" s="29"/>
      <c r="AM130" s="50"/>
      <c r="AN130" s="51" t="s">
        <v>2428</v>
      </c>
      <c r="AO130" s="55" t="s">
        <v>256</v>
      </c>
    </row>
    <row r="131" spans="1:41" ht="68.400000000000006" hidden="1" customHeight="1" x14ac:dyDescent="0.3">
      <c r="A131" s="20">
        <v>127</v>
      </c>
      <c r="B131" s="8" t="s">
        <v>2429</v>
      </c>
      <c r="C131" s="26">
        <v>2026</v>
      </c>
      <c r="D131" s="8"/>
      <c r="E131" s="8" t="s">
        <v>259</v>
      </c>
      <c r="F131" s="20" t="s">
        <v>1969</v>
      </c>
      <c r="G131" s="21" t="s">
        <v>1979</v>
      </c>
      <c r="H131" s="21" t="s">
        <v>1979</v>
      </c>
      <c r="I131" s="21" t="s">
        <v>1968</v>
      </c>
      <c r="J131" s="21" t="s">
        <v>1968</v>
      </c>
      <c r="K131" s="21" t="s">
        <v>1968</v>
      </c>
      <c r="L131" s="22" t="str">
        <f t="shared" si="5"/>
        <v>EXCLUDE</v>
      </c>
      <c r="M131" s="22" t="str">
        <f t="shared" si="6"/>
        <v>Wrong domain (non-AECO)</v>
      </c>
      <c r="N131" s="23"/>
      <c r="O131" s="23"/>
      <c r="P131" s="24"/>
      <c r="Q131" s="24"/>
      <c r="R131" s="24"/>
      <c r="S131" s="22" t="str">
        <f t="shared" si="7"/>
        <v/>
      </c>
      <c r="T131" s="22" t="str">
        <f t="shared" si="8"/>
        <v/>
      </c>
      <c r="U131" s="25"/>
      <c r="V131" s="25"/>
      <c r="W131" s="25"/>
      <c r="X131" s="25"/>
      <c r="Y131" s="22" t="str">
        <f t="shared" si="9"/>
        <v/>
      </c>
      <c r="Z131" s="25"/>
      <c r="AA131" s="25"/>
      <c r="AB131" s="25"/>
      <c r="AC131" s="25"/>
      <c r="AD131" s="25"/>
      <c r="AE131" s="25"/>
      <c r="AF131" s="25"/>
      <c r="AG131" s="9"/>
      <c r="AH131" s="29"/>
      <c r="AI131" s="29"/>
      <c r="AM131" s="50"/>
      <c r="AN131" s="51" t="s">
        <v>2430</v>
      </c>
      <c r="AO131" s="55" t="s">
        <v>258</v>
      </c>
    </row>
    <row r="132" spans="1:41" ht="91.2" customHeight="1" x14ac:dyDescent="0.3">
      <c r="A132" s="20">
        <v>128</v>
      </c>
      <c r="B132" s="8" t="s">
        <v>2431</v>
      </c>
      <c r="C132" s="26">
        <v>2026</v>
      </c>
      <c r="D132" s="8"/>
      <c r="E132" s="8" t="s">
        <v>261</v>
      </c>
      <c r="F132" s="20" t="s">
        <v>1969</v>
      </c>
      <c r="G132" s="21" t="s">
        <v>1968</v>
      </c>
      <c r="H132" s="21" t="s">
        <v>1968</v>
      </c>
      <c r="I132" s="21" t="s">
        <v>1968</v>
      </c>
      <c r="J132" s="21" t="s">
        <v>1968</v>
      </c>
      <c r="K132" s="21" t="s">
        <v>1968</v>
      </c>
      <c r="L132" s="22" t="str">
        <f t="shared" si="5"/>
        <v>INCLUDE</v>
      </c>
      <c r="M132" s="22" t="str">
        <f t="shared" si="6"/>
        <v/>
      </c>
      <c r="N132" s="23" t="s">
        <v>1968</v>
      </c>
      <c r="O132" s="23" t="s">
        <v>1968</v>
      </c>
      <c r="P132" s="24" t="s">
        <v>1968</v>
      </c>
      <c r="Q132" s="24" t="s">
        <v>1968</v>
      </c>
      <c r="R132" s="24" t="s">
        <v>1968</v>
      </c>
      <c r="S132" s="22" t="str">
        <f t="shared" si="7"/>
        <v>INCLUDE</v>
      </c>
      <c r="T132" s="22" t="str">
        <f t="shared" si="8"/>
        <v/>
      </c>
      <c r="U132" s="25" t="s">
        <v>1971</v>
      </c>
      <c r="V132" s="25">
        <v>0</v>
      </c>
      <c r="W132" s="25">
        <v>0</v>
      </c>
      <c r="X132" s="25">
        <v>1</v>
      </c>
      <c r="Y132" s="22" t="str">
        <f t="shared" si="9"/>
        <v>Single</v>
      </c>
      <c r="Z132" s="25" t="s">
        <v>1922</v>
      </c>
      <c r="AA132" s="25" t="s">
        <v>1972</v>
      </c>
      <c r="AB132" s="25" t="s">
        <v>2014</v>
      </c>
      <c r="AC132" s="25" t="s">
        <v>1986</v>
      </c>
      <c r="AD132" s="25" t="s">
        <v>2003</v>
      </c>
      <c r="AE132" s="25">
        <v>3</v>
      </c>
      <c r="AF132" s="25" t="s">
        <v>2004</v>
      </c>
      <c r="AG132" s="9" t="s">
        <v>2432</v>
      </c>
      <c r="AH132" s="29" t="s">
        <v>2433</v>
      </c>
      <c r="AI132" s="29" t="s">
        <v>2434</v>
      </c>
      <c r="AJ132" t="s">
        <v>1997</v>
      </c>
      <c r="AK132" t="s">
        <v>2435</v>
      </c>
      <c r="AL132" t="s">
        <v>1978</v>
      </c>
      <c r="AM132" s="50"/>
      <c r="AN132" s="51" t="s">
        <v>2436</v>
      </c>
      <c r="AO132" s="55" t="s">
        <v>260</v>
      </c>
    </row>
    <row r="133" spans="1:41" ht="102.6" customHeight="1" x14ac:dyDescent="0.3">
      <c r="A133" s="20">
        <v>129</v>
      </c>
      <c r="B133" s="8" t="s">
        <v>2437</v>
      </c>
      <c r="C133" s="26">
        <v>2026</v>
      </c>
      <c r="D133" s="8"/>
      <c r="E133" s="8" t="s">
        <v>263</v>
      </c>
      <c r="F133" s="20" t="s">
        <v>1969</v>
      </c>
      <c r="G133" s="21" t="s">
        <v>1968</v>
      </c>
      <c r="H133" s="21" t="s">
        <v>1968</v>
      </c>
      <c r="I133" s="21" t="s">
        <v>1968</v>
      </c>
      <c r="J133" s="21" t="s">
        <v>1968</v>
      </c>
      <c r="K133" s="21" t="s">
        <v>1968</v>
      </c>
      <c r="L133" s="22" t="str">
        <f t="shared" ref="L133:L196" si="10">IF(COUNTBLANK(G133:K133)=5,"",IF(COUNTIF(G133:K133,"No")&gt;0,"EXCLUDE","INCLUDE"))</f>
        <v>INCLUDE</v>
      </c>
      <c r="M133" s="22" t="str">
        <f t="shared" ref="M133:M196" si="11">IF(L133&lt;&gt;"EXCLUDE","",IF(G133="No","Wrong domain (non-AECO)",IF(H133="No","Digital Twin not core / buzzword",IF(I133="No","No Design for Safety / PtD focus",IF(J133="No","Wrong publication type",IF(K133="No","Non-English",""))))))</f>
        <v/>
      </c>
      <c r="N133" s="23" t="s">
        <v>1968</v>
      </c>
      <c r="O133" s="23" t="s">
        <v>1968</v>
      </c>
      <c r="P133" s="24" t="s">
        <v>1968</v>
      </c>
      <c r="Q133" s="24" t="s">
        <v>1968</v>
      </c>
      <c r="R133" s="24" t="s">
        <v>1968</v>
      </c>
      <c r="S133" s="22" t="str">
        <f t="shared" ref="S133:S196" si="12">IF(N133&lt;&gt;"Yes","",IF(COUNTBLANK(P133:R133)=3,"",IF(COUNTIF(P133:R133,"No")&gt;0,"EXCLUDE","INCLUDE")))</f>
        <v>INCLUDE</v>
      </c>
      <c r="T133" s="22" t="str">
        <f t="shared" ref="T133:T196" si="13">IF(S133&lt;&gt;"EXCLUDE","",IF(P133="No","Digital Twin mentioned only, not the subject",IF(Q133="No","No Design for Safety focus in full text",IF(R133="No","Methodology not codable",""))))</f>
        <v/>
      </c>
      <c r="U133" s="25" t="s">
        <v>1982</v>
      </c>
      <c r="V133" s="25">
        <v>0</v>
      </c>
      <c r="W133" s="25">
        <v>0</v>
      </c>
      <c r="X133" s="25">
        <v>1</v>
      </c>
      <c r="Y133" s="22" t="str">
        <f t="shared" ref="Y133:Y196" si="14">IF(SUM(V133:X133)=0,"",IF(SUM(V133:X133)&gt;=2,"Multi","Single"))</f>
        <v>Single</v>
      </c>
      <c r="Z133" s="25" t="s">
        <v>1922</v>
      </c>
      <c r="AA133" s="25" t="s">
        <v>1972</v>
      </c>
      <c r="AB133" s="25" t="s">
        <v>1973</v>
      </c>
      <c r="AC133" s="25" t="s">
        <v>1986</v>
      </c>
      <c r="AD133" s="25" t="s">
        <v>2003</v>
      </c>
      <c r="AE133" s="25">
        <v>4</v>
      </c>
      <c r="AF133" s="25" t="s">
        <v>2004</v>
      </c>
      <c r="AG133" s="9" t="s">
        <v>2438</v>
      </c>
      <c r="AH133" s="29" t="s">
        <v>2439</v>
      </c>
      <c r="AI133" s="29" t="s">
        <v>2440</v>
      </c>
      <c r="AJ133" t="s">
        <v>1997</v>
      </c>
      <c r="AK133" t="s">
        <v>2441</v>
      </c>
      <c r="AL133" t="s">
        <v>1990</v>
      </c>
      <c r="AM133" s="50"/>
      <c r="AN133" s="51" t="s">
        <v>2442</v>
      </c>
      <c r="AO133" s="55" t="s">
        <v>262</v>
      </c>
    </row>
    <row r="134" spans="1:41" ht="57" hidden="1" customHeight="1" x14ac:dyDescent="0.3">
      <c r="A134" s="20">
        <v>130</v>
      </c>
      <c r="B134" s="8" t="s">
        <v>2443</v>
      </c>
      <c r="C134" s="26">
        <v>2026</v>
      </c>
      <c r="D134" s="8"/>
      <c r="E134" s="8" t="s">
        <v>265</v>
      </c>
      <c r="F134" s="20" t="s">
        <v>1969</v>
      </c>
      <c r="G134" s="21" t="s">
        <v>1968</v>
      </c>
      <c r="H134" s="21" t="s">
        <v>1968</v>
      </c>
      <c r="I134" s="21" t="s">
        <v>1979</v>
      </c>
      <c r="J134" s="21" t="s">
        <v>1968</v>
      </c>
      <c r="K134" s="21" t="s">
        <v>1968</v>
      </c>
      <c r="L134" s="22" t="str">
        <f t="shared" si="10"/>
        <v>EXCLUDE</v>
      </c>
      <c r="M134" s="22" t="str">
        <f t="shared" si="11"/>
        <v>No Design for Safety / PtD focus</v>
      </c>
      <c r="N134" s="23"/>
      <c r="O134" s="23"/>
      <c r="P134" s="24"/>
      <c r="Q134" s="24"/>
      <c r="R134" s="24"/>
      <c r="S134" s="22" t="str">
        <f t="shared" si="12"/>
        <v/>
      </c>
      <c r="T134" s="22" t="str">
        <f t="shared" si="13"/>
        <v/>
      </c>
      <c r="U134" s="25"/>
      <c r="V134" s="25"/>
      <c r="W134" s="25"/>
      <c r="X134" s="25"/>
      <c r="Y134" s="22" t="str">
        <f t="shared" si="14"/>
        <v/>
      </c>
      <c r="Z134" s="25"/>
      <c r="AA134" s="25"/>
      <c r="AB134" s="25"/>
      <c r="AC134" s="25"/>
      <c r="AD134" s="25"/>
      <c r="AE134" s="25"/>
      <c r="AF134" s="25"/>
      <c r="AG134" s="9"/>
      <c r="AH134" s="29"/>
      <c r="AI134" s="29"/>
      <c r="AM134" s="50"/>
      <c r="AN134" s="51" t="s">
        <v>2444</v>
      </c>
      <c r="AO134" s="55" t="s">
        <v>264</v>
      </c>
    </row>
    <row r="135" spans="1:41" ht="34.200000000000003" hidden="1" customHeight="1" x14ac:dyDescent="0.3">
      <c r="A135" s="20">
        <v>131</v>
      </c>
      <c r="B135" s="8" t="s">
        <v>2445</v>
      </c>
      <c r="C135" s="26">
        <v>2026</v>
      </c>
      <c r="D135" s="8"/>
      <c r="E135" s="8" t="s">
        <v>267</v>
      </c>
      <c r="F135" s="20" t="s">
        <v>1969</v>
      </c>
      <c r="G135" s="21" t="s">
        <v>1979</v>
      </c>
      <c r="H135" s="21" t="s">
        <v>1968</v>
      </c>
      <c r="I135" s="21" t="s">
        <v>1968</v>
      </c>
      <c r="J135" s="21" t="s">
        <v>1968</v>
      </c>
      <c r="K135" s="21" t="s">
        <v>1968</v>
      </c>
      <c r="L135" s="22" t="str">
        <f t="shared" si="10"/>
        <v>EXCLUDE</v>
      </c>
      <c r="M135" s="22" t="str">
        <f t="shared" si="11"/>
        <v>Wrong domain (non-AECO)</v>
      </c>
      <c r="N135" s="23"/>
      <c r="O135" s="23"/>
      <c r="P135" s="24"/>
      <c r="Q135" s="24"/>
      <c r="R135" s="24"/>
      <c r="S135" s="22" t="str">
        <f t="shared" si="12"/>
        <v/>
      </c>
      <c r="T135" s="22" t="str">
        <f t="shared" si="13"/>
        <v/>
      </c>
      <c r="U135" s="25"/>
      <c r="V135" s="25"/>
      <c r="W135" s="25"/>
      <c r="X135" s="25"/>
      <c r="Y135" s="22" t="str">
        <f t="shared" si="14"/>
        <v/>
      </c>
      <c r="Z135" s="25"/>
      <c r="AA135" s="25"/>
      <c r="AB135" s="25"/>
      <c r="AC135" s="25"/>
      <c r="AD135" s="25"/>
      <c r="AE135" s="25"/>
      <c r="AF135" s="25"/>
      <c r="AG135" s="9"/>
      <c r="AH135" s="29"/>
      <c r="AI135" s="29"/>
      <c r="AM135" s="50"/>
      <c r="AN135" s="51" t="s">
        <v>2446</v>
      </c>
      <c r="AO135" s="55" t="s">
        <v>266</v>
      </c>
    </row>
    <row r="136" spans="1:41" ht="45.6" hidden="1" customHeight="1" x14ac:dyDescent="0.3">
      <c r="A136" s="20">
        <v>132</v>
      </c>
      <c r="B136" s="8" t="s">
        <v>2447</v>
      </c>
      <c r="C136" s="26">
        <v>2026</v>
      </c>
      <c r="D136" s="8"/>
      <c r="E136" s="8" t="s">
        <v>269</v>
      </c>
      <c r="F136" s="20" t="s">
        <v>1969</v>
      </c>
      <c r="G136" s="21" t="s">
        <v>1979</v>
      </c>
      <c r="H136" s="21" t="s">
        <v>1968</v>
      </c>
      <c r="I136" s="21" t="s">
        <v>1968</v>
      </c>
      <c r="J136" s="21" t="s">
        <v>1968</v>
      </c>
      <c r="K136" s="21" t="s">
        <v>1968</v>
      </c>
      <c r="L136" s="22" t="str">
        <f t="shared" si="10"/>
        <v>EXCLUDE</v>
      </c>
      <c r="M136" s="22" t="str">
        <f t="shared" si="11"/>
        <v>Wrong domain (non-AECO)</v>
      </c>
      <c r="N136" s="23"/>
      <c r="O136" s="23"/>
      <c r="P136" s="24"/>
      <c r="Q136" s="24"/>
      <c r="R136" s="24"/>
      <c r="S136" s="22" t="str">
        <f t="shared" si="12"/>
        <v/>
      </c>
      <c r="T136" s="22" t="str">
        <f t="shared" si="13"/>
        <v/>
      </c>
      <c r="U136" s="25"/>
      <c r="V136" s="25"/>
      <c r="W136" s="25"/>
      <c r="X136" s="25"/>
      <c r="Y136" s="22" t="str">
        <f t="shared" si="14"/>
        <v/>
      </c>
      <c r="Z136" s="25"/>
      <c r="AA136" s="25"/>
      <c r="AB136" s="25"/>
      <c r="AC136" s="25"/>
      <c r="AD136" s="25"/>
      <c r="AE136" s="25"/>
      <c r="AF136" s="25"/>
      <c r="AG136" s="9"/>
      <c r="AH136" s="29"/>
      <c r="AI136" s="29"/>
      <c r="AM136" s="50"/>
      <c r="AN136" s="51" t="s">
        <v>2448</v>
      </c>
      <c r="AO136" s="55" t="s">
        <v>268</v>
      </c>
    </row>
    <row r="137" spans="1:41" ht="79.95" hidden="1" customHeight="1" x14ac:dyDescent="0.3">
      <c r="A137" s="20">
        <v>133</v>
      </c>
      <c r="B137" s="8" t="s">
        <v>2449</v>
      </c>
      <c r="C137" s="26">
        <v>2026</v>
      </c>
      <c r="D137" s="8"/>
      <c r="E137" s="8" t="s">
        <v>271</v>
      </c>
      <c r="F137" s="20" t="s">
        <v>1969</v>
      </c>
      <c r="G137" s="21" t="s">
        <v>1968</v>
      </c>
      <c r="H137" s="21" t="s">
        <v>1968</v>
      </c>
      <c r="I137" s="21" t="s">
        <v>1968</v>
      </c>
      <c r="J137" s="21" t="s">
        <v>1968</v>
      </c>
      <c r="K137" s="21" t="s">
        <v>1968</v>
      </c>
      <c r="L137" s="22" t="str">
        <f t="shared" si="10"/>
        <v>INCLUDE</v>
      </c>
      <c r="M137" s="22" t="str">
        <f t="shared" si="11"/>
        <v/>
      </c>
      <c r="N137" s="23" t="s">
        <v>1968</v>
      </c>
      <c r="O137" s="23" t="s">
        <v>1968</v>
      </c>
      <c r="P137" s="24" t="s">
        <v>1968</v>
      </c>
      <c r="Q137" s="24" t="s">
        <v>1968</v>
      </c>
      <c r="R137" s="24" t="s">
        <v>1968</v>
      </c>
      <c r="S137" s="22" t="str">
        <f t="shared" si="12"/>
        <v>INCLUDE</v>
      </c>
      <c r="T137" s="22" t="str">
        <f t="shared" si="13"/>
        <v/>
      </c>
      <c r="U137" s="25" t="s">
        <v>1982</v>
      </c>
      <c r="V137" s="25">
        <v>0</v>
      </c>
      <c r="W137" s="25">
        <v>0</v>
      </c>
      <c r="X137" s="25">
        <v>1</v>
      </c>
      <c r="Y137" s="22" t="str">
        <f t="shared" si="14"/>
        <v>Single</v>
      </c>
      <c r="Z137" s="25" t="s">
        <v>1922</v>
      </c>
      <c r="AA137" s="25" t="s">
        <v>1993</v>
      </c>
      <c r="AB137" s="25" t="s">
        <v>2011</v>
      </c>
      <c r="AC137" s="25" t="s">
        <v>1986</v>
      </c>
      <c r="AD137" s="25" t="s">
        <v>2003</v>
      </c>
      <c r="AE137" s="25">
        <v>4</v>
      </c>
      <c r="AF137" s="25" t="s">
        <v>2010</v>
      </c>
      <c r="AG137" s="9" t="s">
        <v>2450</v>
      </c>
      <c r="AH137" s="29" t="s">
        <v>2451</v>
      </c>
      <c r="AI137" s="29" t="s">
        <v>2452</v>
      </c>
      <c r="AJ137" t="s">
        <v>2005</v>
      </c>
      <c r="AK137" t="s">
        <v>2453</v>
      </c>
      <c r="AL137" t="s">
        <v>1978</v>
      </c>
      <c r="AM137" s="50"/>
      <c r="AN137" s="51" t="s">
        <v>2454</v>
      </c>
      <c r="AO137" s="55" t="s">
        <v>270</v>
      </c>
    </row>
    <row r="138" spans="1:41" ht="91.2" hidden="1" customHeight="1" x14ac:dyDescent="0.3">
      <c r="A138" s="20">
        <v>134</v>
      </c>
      <c r="B138" s="8" t="s">
        <v>2455</v>
      </c>
      <c r="C138" s="26">
        <v>2026</v>
      </c>
      <c r="D138" s="8"/>
      <c r="E138" s="8" t="s">
        <v>273</v>
      </c>
      <c r="F138" s="20" t="s">
        <v>1969</v>
      </c>
      <c r="G138" s="21" t="s">
        <v>1968</v>
      </c>
      <c r="H138" s="21" t="s">
        <v>1979</v>
      </c>
      <c r="I138" s="21" t="s">
        <v>1968</v>
      </c>
      <c r="J138" s="21" t="s">
        <v>1968</v>
      </c>
      <c r="K138" s="21" t="s">
        <v>1968</v>
      </c>
      <c r="L138" s="22" t="str">
        <f t="shared" si="10"/>
        <v>EXCLUDE</v>
      </c>
      <c r="M138" s="22" t="str">
        <f t="shared" si="11"/>
        <v>Digital Twin not core / buzzword</v>
      </c>
      <c r="N138" s="23"/>
      <c r="O138" s="23"/>
      <c r="P138" s="24"/>
      <c r="Q138" s="24"/>
      <c r="R138" s="24"/>
      <c r="S138" s="22" t="str">
        <f t="shared" si="12"/>
        <v/>
      </c>
      <c r="T138" s="22" t="str">
        <f t="shared" si="13"/>
        <v/>
      </c>
      <c r="U138" s="25"/>
      <c r="V138" s="25"/>
      <c r="W138" s="25"/>
      <c r="X138" s="25"/>
      <c r="Y138" s="22" t="str">
        <f t="shared" si="14"/>
        <v/>
      </c>
      <c r="Z138" s="25"/>
      <c r="AA138" s="25"/>
      <c r="AB138" s="25"/>
      <c r="AC138" s="25"/>
      <c r="AD138" s="25"/>
      <c r="AE138" s="25"/>
      <c r="AF138" s="25"/>
      <c r="AG138" s="9"/>
      <c r="AH138" s="29"/>
      <c r="AI138" s="29"/>
      <c r="AM138" s="50"/>
      <c r="AN138" s="51" t="s">
        <v>2456</v>
      </c>
      <c r="AO138" s="55" t="s">
        <v>272</v>
      </c>
    </row>
    <row r="139" spans="1:41" ht="79.95" hidden="1" customHeight="1" x14ac:dyDescent="0.3">
      <c r="A139" s="20">
        <v>135</v>
      </c>
      <c r="B139" s="8" t="s">
        <v>2457</v>
      </c>
      <c r="C139" s="26">
        <v>2026</v>
      </c>
      <c r="D139" s="8"/>
      <c r="E139" s="8" t="s">
        <v>275</v>
      </c>
      <c r="F139" s="20" t="s">
        <v>1969</v>
      </c>
      <c r="G139" s="21" t="s">
        <v>1968</v>
      </c>
      <c r="H139" s="21" t="s">
        <v>1979</v>
      </c>
      <c r="I139" s="21" t="s">
        <v>1968</v>
      </c>
      <c r="J139" s="21" t="s">
        <v>1968</v>
      </c>
      <c r="K139" s="21" t="s">
        <v>1968</v>
      </c>
      <c r="L139" s="22" t="str">
        <f t="shared" si="10"/>
        <v>EXCLUDE</v>
      </c>
      <c r="M139" s="22" t="str">
        <f t="shared" si="11"/>
        <v>Digital Twin not core / buzzword</v>
      </c>
      <c r="N139" s="23"/>
      <c r="O139" s="23"/>
      <c r="P139" s="24"/>
      <c r="Q139" s="24"/>
      <c r="R139" s="24"/>
      <c r="S139" s="22" t="str">
        <f t="shared" si="12"/>
        <v/>
      </c>
      <c r="T139" s="22" t="str">
        <f t="shared" si="13"/>
        <v/>
      </c>
      <c r="U139" s="25"/>
      <c r="V139" s="25"/>
      <c r="W139" s="25"/>
      <c r="X139" s="25"/>
      <c r="Y139" s="22" t="str">
        <f t="shared" si="14"/>
        <v/>
      </c>
      <c r="Z139" s="25"/>
      <c r="AA139" s="25"/>
      <c r="AB139" s="25"/>
      <c r="AC139" s="25"/>
      <c r="AD139" s="25"/>
      <c r="AE139" s="25"/>
      <c r="AF139" s="25"/>
      <c r="AG139" s="9"/>
      <c r="AH139" s="29"/>
      <c r="AI139" s="29"/>
      <c r="AM139" s="50"/>
      <c r="AN139" s="51" t="s">
        <v>2458</v>
      </c>
      <c r="AO139" s="55" t="s">
        <v>274</v>
      </c>
    </row>
    <row r="140" spans="1:41" ht="45.6" hidden="1" customHeight="1" x14ac:dyDescent="0.3">
      <c r="A140" s="20">
        <v>136</v>
      </c>
      <c r="B140" s="8" t="s">
        <v>2459</v>
      </c>
      <c r="C140" s="26">
        <v>2026</v>
      </c>
      <c r="D140" s="8"/>
      <c r="E140" s="8" t="s">
        <v>277</v>
      </c>
      <c r="F140" s="20" t="s">
        <v>1969</v>
      </c>
      <c r="G140" s="21" t="s">
        <v>1979</v>
      </c>
      <c r="H140" s="21" t="s">
        <v>1979</v>
      </c>
      <c r="I140" s="21" t="s">
        <v>1979</v>
      </c>
      <c r="J140" s="21" t="s">
        <v>1968</v>
      </c>
      <c r="K140" s="21" t="s">
        <v>1979</v>
      </c>
      <c r="L140" s="22" t="str">
        <f t="shared" si="10"/>
        <v>EXCLUDE</v>
      </c>
      <c r="M140" s="22" t="str">
        <f t="shared" si="11"/>
        <v>Wrong domain (non-AECO)</v>
      </c>
      <c r="N140" s="23"/>
      <c r="O140" s="23"/>
      <c r="P140" s="24"/>
      <c r="Q140" s="24"/>
      <c r="R140" s="24"/>
      <c r="S140" s="22" t="str">
        <f t="shared" si="12"/>
        <v/>
      </c>
      <c r="T140" s="22" t="str">
        <f t="shared" si="13"/>
        <v/>
      </c>
      <c r="U140" s="25"/>
      <c r="V140" s="25"/>
      <c r="W140" s="25"/>
      <c r="X140" s="25"/>
      <c r="Y140" s="22" t="str">
        <f t="shared" si="14"/>
        <v/>
      </c>
      <c r="Z140" s="25"/>
      <c r="AA140" s="25"/>
      <c r="AB140" s="25"/>
      <c r="AC140" s="25"/>
      <c r="AD140" s="25"/>
      <c r="AE140" s="25"/>
      <c r="AF140" s="25"/>
      <c r="AG140" s="9"/>
      <c r="AH140" s="29"/>
      <c r="AI140" s="29"/>
      <c r="AM140" s="50"/>
      <c r="AN140" s="51" t="s">
        <v>2460</v>
      </c>
      <c r="AO140" s="55" t="s">
        <v>276</v>
      </c>
    </row>
    <row r="141" spans="1:41" ht="86.4" customHeight="1" x14ac:dyDescent="0.3">
      <c r="A141" s="20">
        <v>137</v>
      </c>
      <c r="B141" s="8" t="s">
        <v>2461</v>
      </c>
      <c r="C141" s="26">
        <v>2025</v>
      </c>
      <c r="D141" s="8"/>
      <c r="E141" s="8" t="s">
        <v>279</v>
      </c>
      <c r="F141" s="20" t="s">
        <v>1969</v>
      </c>
      <c r="G141" s="21" t="s">
        <v>1979</v>
      </c>
      <c r="H141" s="21" t="s">
        <v>1979</v>
      </c>
      <c r="I141" s="21" t="s">
        <v>1968</v>
      </c>
      <c r="J141" s="21" t="s">
        <v>1968</v>
      </c>
      <c r="K141" s="21" t="s">
        <v>1968</v>
      </c>
      <c r="L141" s="22" t="str">
        <f t="shared" si="10"/>
        <v>EXCLUDE</v>
      </c>
      <c r="M141" s="22" t="str">
        <f t="shared" si="11"/>
        <v>Wrong domain (non-AECO)</v>
      </c>
      <c r="N141" s="23"/>
      <c r="O141" s="23"/>
      <c r="P141" s="24"/>
      <c r="Q141" s="24"/>
      <c r="R141" s="24"/>
      <c r="S141" s="22" t="str">
        <f t="shared" si="12"/>
        <v/>
      </c>
      <c r="T141" s="22" t="str">
        <f t="shared" si="13"/>
        <v/>
      </c>
      <c r="U141" s="25"/>
      <c r="V141" s="25"/>
      <c r="W141" s="25"/>
      <c r="X141" s="25"/>
      <c r="Y141" s="22" t="str">
        <f t="shared" si="14"/>
        <v/>
      </c>
      <c r="Z141" s="25"/>
      <c r="AA141" s="25"/>
      <c r="AB141" s="25"/>
      <c r="AC141" s="25"/>
      <c r="AD141" s="25"/>
      <c r="AE141" s="25"/>
      <c r="AF141" s="25"/>
      <c r="AG141" s="9"/>
      <c r="AH141" s="29"/>
      <c r="AI141" s="29"/>
      <c r="AM141" s="50"/>
      <c r="AN141" s="51" t="s">
        <v>2462</v>
      </c>
      <c r="AO141" s="55" t="s">
        <v>278</v>
      </c>
    </row>
    <row r="142" spans="1:41" ht="91.2" customHeight="1" x14ac:dyDescent="0.3">
      <c r="A142" s="20">
        <v>138</v>
      </c>
      <c r="B142" s="8" t="s">
        <v>2463</v>
      </c>
      <c r="C142" s="26">
        <v>2026</v>
      </c>
      <c r="D142" s="8"/>
      <c r="E142" s="8" t="s">
        <v>281</v>
      </c>
      <c r="F142" s="20" t="s">
        <v>1969</v>
      </c>
      <c r="G142" s="21" t="s">
        <v>1968</v>
      </c>
      <c r="H142" s="21" t="s">
        <v>1968</v>
      </c>
      <c r="I142" s="21" t="s">
        <v>1968</v>
      </c>
      <c r="J142" s="21" t="s">
        <v>1968</v>
      </c>
      <c r="K142" s="21" t="s">
        <v>1968</v>
      </c>
      <c r="L142" s="22" t="str">
        <f t="shared" si="10"/>
        <v>INCLUDE</v>
      </c>
      <c r="M142" s="22" t="str">
        <f t="shared" si="11"/>
        <v/>
      </c>
      <c r="N142" s="23" t="s">
        <v>1968</v>
      </c>
      <c r="O142" s="23" t="s">
        <v>1968</v>
      </c>
      <c r="P142" s="24" t="s">
        <v>1968</v>
      </c>
      <c r="Q142" s="24" t="s">
        <v>1968</v>
      </c>
      <c r="R142" s="24" t="s">
        <v>1968</v>
      </c>
      <c r="S142" s="22" t="str">
        <f t="shared" si="12"/>
        <v>INCLUDE</v>
      </c>
      <c r="T142" s="22" t="str">
        <f t="shared" si="13"/>
        <v/>
      </c>
      <c r="U142" s="25" t="s">
        <v>1971</v>
      </c>
      <c r="V142" s="25">
        <v>1</v>
      </c>
      <c r="W142" s="25">
        <v>0</v>
      </c>
      <c r="X142" s="25">
        <v>1</v>
      </c>
      <c r="Y142" s="22" t="str">
        <f t="shared" si="14"/>
        <v>Multi</v>
      </c>
      <c r="Z142" s="25" t="s">
        <v>1922</v>
      </c>
      <c r="AA142" s="25" t="s">
        <v>1972</v>
      </c>
      <c r="AB142" s="25" t="s">
        <v>2013</v>
      </c>
      <c r="AC142" s="25" t="s">
        <v>1986</v>
      </c>
      <c r="AD142" s="25" t="s">
        <v>1987</v>
      </c>
      <c r="AE142" s="25">
        <v>4</v>
      </c>
      <c r="AF142" s="25" t="s">
        <v>2004</v>
      </c>
      <c r="AG142" s="9" t="s">
        <v>2464</v>
      </c>
      <c r="AH142" s="29" t="s">
        <v>2465</v>
      </c>
      <c r="AI142" s="29" t="s">
        <v>2466</v>
      </c>
      <c r="AJ142" t="s">
        <v>2005</v>
      </c>
      <c r="AK142" t="s">
        <v>2467</v>
      </c>
      <c r="AL142" t="s">
        <v>1990</v>
      </c>
      <c r="AM142" s="50"/>
      <c r="AN142" s="51" t="s">
        <v>2468</v>
      </c>
      <c r="AO142" s="55" t="s">
        <v>280</v>
      </c>
    </row>
    <row r="143" spans="1:41" ht="57" hidden="1" customHeight="1" x14ac:dyDescent="0.3">
      <c r="A143" s="20">
        <v>139</v>
      </c>
      <c r="B143" s="8" t="s">
        <v>2469</v>
      </c>
      <c r="C143" s="26">
        <v>2025</v>
      </c>
      <c r="D143" s="8"/>
      <c r="E143" s="8" t="s">
        <v>283</v>
      </c>
      <c r="F143" s="20" t="s">
        <v>1969</v>
      </c>
      <c r="G143" s="21" t="s">
        <v>1968</v>
      </c>
      <c r="H143" s="21" t="s">
        <v>1979</v>
      </c>
      <c r="I143" s="21" t="s">
        <v>1968</v>
      </c>
      <c r="J143" s="21" t="s">
        <v>1968</v>
      </c>
      <c r="K143" s="21" t="s">
        <v>1968</v>
      </c>
      <c r="L143" s="22" t="str">
        <f t="shared" si="10"/>
        <v>EXCLUDE</v>
      </c>
      <c r="M143" s="22" t="str">
        <f t="shared" si="11"/>
        <v>Digital Twin not core / buzzword</v>
      </c>
      <c r="N143" s="23"/>
      <c r="O143" s="23"/>
      <c r="P143" s="24"/>
      <c r="Q143" s="24"/>
      <c r="R143" s="24"/>
      <c r="S143" s="22" t="str">
        <f t="shared" si="12"/>
        <v/>
      </c>
      <c r="T143" s="22" t="str">
        <f t="shared" si="13"/>
        <v/>
      </c>
      <c r="U143" s="25"/>
      <c r="V143" s="25"/>
      <c r="W143" s="25"/>
      <c r="X143" s="25"/>
      <c r="Y143" s="22" t="str">
        <f t="shared" si="14"/>
        <v/>
      </c>
      <c r="Z143" s="25"/>
      <c r="AA143" s="25"/>
      <c r="AB143" s="25"/>
      <c r="AC143" s="25"/>
      <c r="AD143" s="25"/>
      <c r="AE143" s="25"/>
      <c r="AF143" s="25"/>
      <c r="AG143" s="9"/>
      <c r="AH143" s="29"/>
      <c r="AI143" s="29"/>
      <c r="AM143" s="50"/>
      <c r="AN143" s="51" t="s">
        <v>2470</v>
      </c>
      <c r="AO143" s="55" t="s">
        <v>282</v>
      </c>
    </row>
    <row r="144" spans="1:41" ht="68.400000000000006" hidden="1" customHeight="1" x14ac:dyDescent="0.3">
      <c r="A144" s="20">
        <v>140</v>
      </c>
      <c r="B144" s="8" t="s">
        <v>2443</v>
      </c>
      <c r="C144" s="26">
        <v>2026</v>
      </c>
      <c r="D144" s="8"/>
      <c r="E144" s="8" t="s">
        <v>285</v>
      </c>
      <c r="F144" s="20" t="s">
        <v>1969</v>
      </c>
      <c r="G144" s="21" t="s">
        <v>1979</v>
      </c>
      <c r="H144" s="21" t="s">
        <v>1968</v>
      </c>
      <c r="I144" s="21" t="s">
        <v>1979</v>
      </c>
      <c r="J144" s="21" t="s">
        <v>1968</v>
      </c>
      <c r="K144" s="21" t="s">
        <v>1968</v>
      </c>
      <c r="L144" s="22" t="str">
        <f t="shared" si="10"/>
        <v>EXCLUDE</v>
      </c>
      <c r="M144" s="22" t="str">
        <f t="shared" si="11"/>
        <v>Wrong domain (non-AECO)</v>
      </c>
      <c r="N144" s="23"/>
      <c r="O144" s="23"/>
      <c r="P144" s="24"/>
      <c r="Q144" s="24"/>
      <c r="R144" s="24"/>
      <c r="S144" s="22" t="str">
        <f t="shared" si="12"/>
        <v/>
      </c>
      <c r="T144" s="22" t="str">
        <f t="shared" si="13"/>
        <v/>
      </c>
      <c r="U144" s="25"/>
      <c r="V144" s="25"/>
      <c r="W144" s="25"/>
      <c r="X144" s="25"/>
      <c r="Y144" s="22" t="str">
        <f t="shared" si="14"/>
        <v/>
      </c>
      <c r="Z144" s="25"/>
      <c r="AA144" s="25"/>
      <c r="AB144" s="25"/>
      <c r="AC144" s="25"/>
      <c r="AD144" s="25"/>
      <c r="AE144" s="25"/>
      <c r="AF144" s="25"/>
      <c r="AG144" s="9"/>
      <c r="AH144" s="29"/>
      <c r="AI144" s="29"/>
      <c r="AM144" s="50"/>
      <c r="AN144" s="51" t="s">
        <v>2471</v>
      </c>
      <c r="AO144" s="55" t="s">
        <v>284</v>
      </c>
    </row>
    <row r="145" spans="1:41" ht="102.6" customHeight="1" x14ac:dyDescent="0.3">
      <c r="A145" s="20">
        <v>141</v>
      </c>
      <c r="B145" s="8" t="s">
        <v>2472</v>
      </c>
      <c r="C145" s="26">
        <v>2026</v>
      </c>
      <c r="D145" s="8"/>
      <c r="E145" s="8" t="s">
        <v>287</v>
      </c>
      <c r="F145" s="20" t="s">
        <v>1969</v>
      </c>
      <c r="G145" s="21" t="s">
        <v>1979</v>
      </c>
      <c r="H145" s="21" t="s">
        <v>1968</v>
      </c>
      <c r="I145" s="21" t="s">
        <v>1968</v>
      </c>
      <c r="J145" s="21" t="s">
        <v>1968</v>
      </c>
      <c r="K145" s="21" t="s">
        <v>1968</v>
      </c>
      <c r="L145" s="22" t="str">
        <f t="shared" si="10"/>
        <v>EXCLUDE</v>
      </c>
      <c r="M145" s="22" t="str">
        <f t="shared" si="11"/>
        <v>Wrong domain (non-AECO)</v>
      </c>
      <c r="N145" s="23"/>
      <c r="O145" s="23"/>
      <c r="P145" s="24"/>
      <c r="Q145" s="24"/>
      <c r="R145" s="24"/>
      <c r="S145" s="22" t="str">
        <f t="shared" si="12"/>
        <v/>
      </c>
      <c r="T145" s="22" t="str">
        <f t="shared" si="13"/>
        <v/>
      </c>
      <c r="U145" s="25"/>
      <c r="V145" s="25"/>
      <c r="W145" s="25"/>
      <c r="X145" s="25"/>
      <c r="Y145" s="22" t="str">
        <f t="shared" si="14"/>
        <v/>
      </c>
      <c r="Z145" s="25"/>
      <c r="AA145" s="25"/>
      <c r="AB145" s="25"/>
      <c r="AC145" s="25"/>
      <c r="AD145" s="25"/>
      <c r="AE145" s="25"/>
      <c r="AF145" s="25"/>
      <c r="AG145" s="9"/>
      <c r="AH145" s="29"/>
      <c r="AI145" s="29"/>
      <c r="AM145" s="50"/>
      <c r="AN145" s="51" t="s">
        <v>2473</v>
      </c>
      <c r="AO145" s="55" t="s">
        <v>286</v>
      </c>
    </row>
    <row r="146" spans="1:41" ht="45.6" hidden="1" customHeight="1" x14ac:dyDescent="0.3">
      <c r="A146" s="20">
        <v>142</v>
      </c>
      <c r="B146" s="8" t="s">
        <v>2474</v>
      </c>
      <c r="C146" s="26">
        <v>2026</v>
      </c>
      <c r="D146" s="8"/>
      <c r="E146" s="8" t="s">
        <v>289</v>
      </c>
      <c r="F146" s="20" t="s">
        <v>1969</v>
      </c>
      <c r="G146" s="21" t="s">
        <v>1968</v>
      </c>
      <c r="H146" s="21" t="s">
        <v>1968</v>
      </c>
      <c r="I146" s="21" t="s">
        <v>1968</v>
      </c>
      <c r="J146" s="21" t="s">
        <v>1968</v>
      </c>
      <c r="K146" s="21" t="s">
        <v>1968</v>
      </c>
      <c r="L146" s="22" t="str">
        <f t="shared" si="10"/>
        <v>INCLUDE</v>
      </c>
      <c r="M146" s="22" t="str">
        <f t="shared" si="11"/>
        <v/>
      </c>
      <c r="N146" s="23" t="s">
        <v>1968</v>
      </c>
      <c r="O146" s="23" t="s">
        <v>1968</v>
      </c>
      <c r="P146" s="24" t="s">
        <v>1979</v>
      </c>
      <c r="Q146" s="24" t="s">
        <v>1968</v>
      </c>
      <c r="R146" s="24" t="s">
        <v>1979</v>
      </c>
      <c r="S146" s="22" t="str">
        <f t="shared" si="12"/>
        <v>EXCLUDE</v>
      </c>
      <c r="T146" s="22" t="str">
        <f t="shared" si="13"/>
        <v>Digital Twin mentioned only, not the subject</v>
      </c>
      <c r="U146" s="25"/>
      <c r="V146" s="25"/>
      <c r="W146" s="25"/>
      <c r="X146" s="25"/>
      <c r="Y146" s="22" t="str">
        <f t="shared" si="14"/>
        <v/>
      </c>
      <c r="Z146" s="25"/>
      <c r="AA146" s="25"/>
      <c r="AB146" s="25"/>
      <c r="AC146" s="25"/>
      <c r="AD146" s="25"/>
      <c r="AE146" s="25"/>
      <c r="AF146" s="25"/>
      <c r="AG146" s="9" t="s">
        <v>2475</v>
      </c>
      <c r="AH146" s="29"/>
      <c r="AI146" s="29"/>
      <c r="AM146" s="50"/>
      <c r="AN146" s="51" t="s">
        <v>2476</v>
      </c>
      <c r="AO146" s="55" t="s">
        <v>288</v>
      </c>
    </row>
    <row r="147" spans="1:41" ht="102.6" customHeight="1" x14ac:dyDescent="0.3">
      <c r="A147" s="20">
        <v>143</v>
      </c>
      <c r="B147" s="8" t="s">
        <v>2477</v>
      </c>
      <c r="C147" s="26">
        <v>2026</v>
      </c>
      <c r="D147" s="8"/>
      <c r="E147" s="8" t="s">
        <v>291</v>
      </c>
      <c r="F147" s="20" t="s">
        <v>1969</v>
      </c>
      <c r="G147" s="21" t="s">
        <v>1968</v>
      </c>
      <c r="H147" s="21" t="s">
        <v>1968</v>
      </c>
      <c r="I147" s="21" t="s">
        <v>1968</v>
      </c>
      <c r="J147" s="21" t="s">
        <v>1968</v>
      </c>
      <c r="K147" s="21" t="s">
        <v>1968</v>
      </c>
      <c r="L147" s="22" t="str">
        <f t="shared" si="10"/>
        <v>INCLUDE</v>
      </c>
      <c r="M147" s="22" t="str">
        <f t="shared" si="11"/>
        <v/>
      </c>
      <c r="N147" s="23" t="s">
        <v>1968</v>
      </c>
      <c r="O147" s="23" t="s">
        <v>1968</v>
      </c>
      <c r="P147" s="24" t="s">
        <v>1968</v>
      </c>
      <c r="Q147" s="24" t="s">
        <v>1968</v>
      </c>
      <c r="R147" s="24" t="s">
        <v>1968</v>
      </c>
      <c r="S147" s="22" t="str">
        <f t="shared" si="12"/>
        <v>INCLUDE</v>
      </c>
      <c r="T147" s="22" t="str">
        <f t="shared" si="13"/>
        <v/>
      </c>
      <c r="U147" s="25" t="s">
        <v>1992</v>
      </c>
      <c r="V147" s="25">
        <v>0</v>
      </c>
      <c r="W147" s="25">
        <v>1</v>
      </c>
      <c r="X147" s="25">
        <v>0</v>
      </c>
      <c r="Y147" s="22" t="str">
        <f t="shared" si="14"/>
        <v>Single</v>
      </c>
      <c r="Z147" s="25" t="s">
        <v>1922</v>
      </c>
      <c r="AA147" s="25" t="s">
        <v>1972</v>
      </c>
      <c r="AB147" s="25" t="s">
        <v>2018</v>
      </c>
      <c r="AC147" s="25" t="s">
        <v>1986</v>
      </c>
      <c r="AD147" s="25" t="s">
        <v>2003</v>
      </c>
      <c r="AE147" s="25">
        <v>4</v>
      </c>
      <c r="AF147" s="25" t="s">
        <v>2010</v>
      </c>
      <c r="AG147" s="9" t="s">
        <v>2478</v>
      </c>
      <c r="AH147" s="29" t="s">
        <v>2479</v>
      </c>
      <c r="AI147" s="29" t="s">
        <v>2480</v>
      </c>
      <c r="AJ147" t="s">
        <v>2005</v>
      </c>
      <c r="AK147" t="s">
        <v>2481</v>
      </c>
      <c r="AL147" t="s">
        <v>1990</v>
      </c>
      <c r="AM147" s="50"/>
      <c r="AN147" s="51" t="s">
        <v>2482</v>
      </c>
      <c r="AO147" s="55" t="s">
        <v>290</v>
      </c>
    </row>
    <row r="148" spans="1:41" ht="115.2" customHeight="1" x14ac:dyDescent="0.3">
      <c r="A148" s="20">
        <v>144</v>
      </c>
      <c r="B148" s="8" t="s">
        <v>2483</v>
      </c>
      <c r="C148" s="26">
        <v>2026</v>
      </c>
      <c r="D148" s="8"/>
      <c r="E148" s="8" t="s">
        <v>293</v>
      </c>
      <c r="F148" s="20" t="s">
        <v>1969</v>
      </c>
      <c r="G148" s="21" t="s">
        <v>1979</v>
      </c>
      <c r="H148" s="21" t="s">
        <v>1968</v>
      </c>
      <c r="I148" s="21" t="s">
        <v>1979</v>
      </c>
      <c r="J148" s="21" t="s">
        <v>1968</v>
      </c>
      <c r="K148" s="21" t="s">
        <v>1968</v>
      </c>
      <c r="L148" s="22" t="str">
        <f t="shared" si="10"/>
        <v>EXCLUDE</v>
      </c>
      <c r="M148" s="22" t="str">
        <f t="shared" si="11"/>
        <v>Wrong domain (non-AECO)</v>
      </c>
      <c r="N148" s="23"/>
      <c r="O148" s="23"/>
      <c r="P148" s="24"/>
      <c r="Q148" s="24"/>
      <c r="R148" s="24"/>
      <c r="S148" s="22" t="str">
        <f t="shared" si="12"/>
        <v/>
      </c>
      <c r="T148" s="22" t="str">
        <f t="shared" si="13"/>
        <v/>
      </c>
      <c r="U148" s="25"/>
      <c r="V148" s="25"/>
      <c r="W148" s="25"/>
      <c r="X148" s="25"/>
      <c r="Y148" s="22" t="str">
        <f t="shared" si="14"/>
        <v/>
      </c>
      <c r="Z148" s="25"/>
      <c r="AA148" s="25"/>
      <c r="AB148" s="25"/>
      <c r="AC148" s="25"/>
      <c r="AD148" s="25"/>
      <c r="AE148" s="25"/>
      <c r="AF148" s="25"/>
      <c r="AG148" s="9"/>
      <c r="AH148" s="29"/>
      <c r="AI148" s="29"/>
      <c r="AM148" s="50"/>
      <c r="AN148" s="51" t="s">
        <v>2484</v>
      </c>
      <c r="AO148" s="55" t="s">
        <v>292</v>
      </c>
    </row>
    <row r="149" spans="1:41" ht="57" hidden="1" customHeight="1" x14ac:dyDescent="0.3">
      <c r="A149" s="20">
        <v>145</v>
      </c>
      <c r="B149" s="8" t="s">
        <v>2485</v>
      </c>
      <c r="C149" s="26">
        <v>2026</v>
      </c>
      <c r="D149" s="8"/>
      <c r="E149" s="8" t="s">
        <v>295</v>
      </c>
      <c r="F149" s="20" t="s">
        <v>1969</v>
      </c>
      <c r="G149" s="21" t="s">
        <v>1968</v>
      </c>
      <c r="H149" s="21" t="s">
        <v>1968</v>
      </c>
      <c r="I149" s="21" t="s">
        <v>1968</v>
      </c>
      <c r="J149" s="21" t="s">
        <v>1968</v>
      </c>
      <c r="K149" s="21" t="s">
        <v>1968</v>
      </c>
      <c r="L149" s="22" t="str">
        <f t="shared" si="10"/>
        <v>INCLUDE</v>
      </c>
      <c r="M149" s="22" t="str">
        <f t="shared" si="11"/>
        <v/>
      </c>
      <c r="N149" s="23" t="s">
        <v>1968</v>
      </c>
      <c r="O149" s="23" t="s">
        <v>1968</v>
      </c>
      <c r="P149" s="24" t="s">
        <v>1968</v>
      </c>
      <c r="Q149" s="24" t="s">
        <v>1968</v>
      </c>
      <c r="R149" s="24" t="s">
        <v>1968</v>
      </c>
      <c r="S149" s="22" t="str">
        <f t="shared" si="12"/>
        <v>INCLUDE</v>
      </c>
      <c r="T149" s="22" t="str">
        <f t="shared" si="13"/>
        <v/>
      </c>
      <c r="U149" s="25" t="s">
        <v>1992</v>
      </c>
      <c r="V149" s="25">
        <v>0</v>
      </c>
      <c r="W149" s="25">
        <v>1</v>
      </c>
      <c r="X149" s="25">
        <v>0</v>
      </c>
      <c r="Y149" s="22" t="str">
        <f t="shared" si="14"/>
        <v>Single</v>
      </c>
      <c r="Z149" s="25" t="s">
        <v>1922</v>
      </c>
      <c r="AA149" s="25" t="s">
        <v>1993</v>
      </c>
      <c r="AB149" s="25" t="s">
        <v>2008</v>
      </c>
      <c r="AC149" s="25" t="s">
        <v>1986</v>
      </c>
      <c r="AD149" s="25" t="s">
        <v>1987</v>
      </c>
      <c r="AE149" s="25">
        <v>4</v>
      </c>
      <c r="AF149" s="25" t="s">
        <v>2004</v>
      </c>
      <c r="AG149" s="9" t="s">
        <v>2486</v>
      </c>
      <c r="AH149" s="29" t="s">
        <v>2487</v>
      </c>
      <c r="AI149" s="29" t="s">
        <v>2488</v>
      </c>
      <c r="AJ149" t="s">
        <v>2005</v>
      </c>
      <c r="AK149" t="s">
        <v>2489</v>
      </c>
      <c r="AL149" t="s">
        <v>1978</v>
      </c>
      <c r="AM149" s="50"/>
      <c r="AN149" s="51" t="s">
        <v>2490</v>
      </c>
      <c r="AO149" s="55" t="s">
        <v>294</v>
      </c>
    </row>
    <row r="150" spans="1:41" ht="57" hidden="1" customHeight="1" x14ac:dyDescent="0.3">
      <c r="A150" s="20">
        <v>146</v>
      </c>
      <c r="B150" s="8" t="s">
        <v>2491</v>
      </c>
      <c r="C150" s="26">
        <v>2026</v>
      </c>
      <c r="D150" s="8"/>
      <c r="E150" s="8" t="s">
        <v>297</v>
      </c>
      <c r="F150" s="20" t="s">
        <v>1969</v>
      </c>
      <c r="G150" s="21" t="s">
        <v>1968</v>
      </c>
      <c r="H150" s="21" t="s">
        <v>1968</v>
      </c>
      <c r="I150" s="21" t="s">
        <v>1968</v>
      </c>
      <c r="J150" s="21" t="s">
        <v>1968</v>
      </c>
      <c r="K150" s="21" t="s">
        <v>1968</v>
      </c>
      <c r="L150" s="22" t="str">
        <f t="shared" si="10"/>
        <v>INCLUDE</v>
      </c>
      <c r="M150" s="22" t="str">
        <f t="shared" si="11"/>
        <v/>
      </c>
      <c r="N150" s="23" t="s">
        <v>1968</v>
      </c>
      <c r="O150" s="23" t="s">
        <v>1968</v>
      </c>
      <c r="P150" s="24" t="s">
        <v>1968</v>
      </c>
      <c r="Q150" s="24" t="s">
        <v>1968</v>
      </c>
      <c r="R150" s="24" t="s">
        <v>1968</v>
      </c>
      <c r="S150" s="22" t="str">
        <f t="shared" si="12"/>
        <v>INCLUDE</v>
      </c>
      <c r="T150" s="22" t="str">
        <f t="shared" si="13"/>
        <v/>
      </c>
      <c r="U150" s="25" t="s">
        <v>1982</v>
      </c>
      <c r="V150" s="25">
        <v>0</v>
      </c>
      <c r="W150" s="25">
        <v>0</v>
      </c>
      <c r="X150" s="25">
        <v>1</v>
      </c>
      <c r="Y150" s="22" t="str">
        <f t="shared" si="14"/>
        <v>Single</v>
      </c>
      <c r="Z150" s="25" t="s">
        <v>1922</v>
      </c>
      <c r="AA150" s="25" t="s">
        <v>1993</v>
      </c>
      <c r="AB150" s="25" t="s">
        <v>2016</v>
      </c>
      <c r="AC150" s="25" t="s">
        <v>1986</v>
      </c>
      <c r="AD150" s="25" t="s">
        <v>2003</v>
      </c>
      <c r="AE150" s="25">
        <v>4</v>
      </c>
      <c r="AF150" s="25" t="s">
        <v>2010</v>
      </c>
      <c r="AG150" s="9" t="s">
        <v>2492</v>
      </c>
      <c r="AH150" s="29" t="s">
        <v>2493</v>
      </c>
      <c r="AI150" s="29" t="s">
        <v>2494</v>
      </c>
      <c r="AJ150" t="s">
        <v>1997</v>
      </c>
      <c r="AK150" t="s">
        <v>2495</v>
      </c>
      <c r="AL150" t="s">
        <v>1990</v>
      </c>
      <c r="AM150" s="50"/>
      <c r="AN150" s="51" t="s">
        <v>2496</v>
      </c>
      <c r="AO150" s="55" t="s">
        <v>296</v>
      </c>
    </row>
    <row r="151" spans="1:41" ht="45.6" hidden="1" customHeight="1" x14ac:dyDescent="0.3">
      <c r="A151" s="20">
        <v>147</v>
      </c>
      <c r="B151" s="8" t="s">
        <v>2497</v>
      </c>
      <c r="C151" s="26">
        <v>2025</v>
      </c>
      <c r="D151" s="8"/>
      <c r="E151" s="8" t="s">
        <v>299</v>
      </c>
      <c r="F151" s="20" t="s">
        <v>1969</v>
      </c>
      <c r="G151" s="21" t="s">
        <v>1968</v>
      </c>
      <c r="H151" s="21" t="s">
        <v>1968</v>
      </c>
      <c r="I151" s="21" t="s">
        <v>1968</v>
      </c>
      <c r="J151" s="21" t="s">
        <v>1968</v>
      </c>
      <c r="K151" s="21" t="s">
        <v>1968</v>
      </c>
      <c r="L151" s="22" t="str">
        <f t="shared" si="10"/>
        <v>INCLUDE</v>
      </c>
      <c r="M151" s="22" t="str">
        <f t="shared" si="11"/>
        <v/>
      </c>
      <c r="N151" s="23" t="s">
        <v>1968</v>
      </c>
      <c r="O151" s="23" t="s">
        <v>1968</v>
      </c>
      <c r="P151" s="24" t="s">
        <v>1968</v>
      </c>
      <c r="Q151" s="24" t="s">
        <v>1979</v>
      </c>
      <c r="R151" s="24" t="s">
        <v>1968</v>
      </c>
      <c r="S151" s="22" t="str">
        <f t="shared" si="12"/>
        <v>EXCLUDE</v>
      </c>
      <c r="T151" s="22" t="str">
        <f t="shared" si="13"/>
        <v>No Design for Safety focus in full text</v>
      </c>
      <c r="U151" s="25"/>
      <c r="V151" s="25"/>
      <c r="W151" s="25"/>
      <c r="X151" s="25"/>
      <c r="Y151" s="22" t="str">
        <f t="shared" si="14"/>
        <v/>
      </c>
      <c r="Z151" s="25"/>
      <c r="AA151" s="25"/>
      <c r="AB151" s="25"/>
      <c r="AC151" s="25"/>
      <c r="AD151" s="25"/>
      <c r="AE151" s="25"/>
      <c r="AF151" s="25"/>
      <c r="AG151" s="9" t="s">
        <v>2498</v>
      </c>
      <c r="AH151" s="29"/>
      <c r="AI151" s="29"/>
      <c r="AM151" s="50"/>
      <c r="AN151" s="51" t="s">
        <v>2499</v>
      </c>
      <c r="AO151" s="55" t="s">
        <v>298</v>
      </c>
    </row>
    <row r="152" spans="1:41" ht="100.95" customHeight="1" x14ac:dyDescent="0.3">
      <c r="A152" s="20">
        <v>148</v>
      </c>
      <c r="B152" s="8" t="s">
        <v>2500</v>
      </c>
      <c r="C152" s="26">
        <v>2025</v>
      </c>
      <c r="D152" s="8"/>
      <c r="E152" s="8" t="s">
        <v>301</v>
      </c>
      <c r="F152" s="20" t="s">
        <v>1969</v>
      </c>
      <c r="G152" s="21" t="s">
        <v>1979</v>
      </c>
      <c r="H152" s="21" t="s">
        <v>1968</v>
      </c>
      <c r="I152" s="21" t="s">
        <v>1968</v>
      </c>
      <c r="J152" s="21" t="s">
        <v>1968</v>
      </c>
      <c r="K152" s="21" t="s">
        <v>1968</v>
      </c>
      <c r="L152" s="22" t="str">
        <f t="shared" si="10"/>
        <v>EXCLUDE</v>
      </c>
      <c r="M152" s="22" t="str">
        <f t="shared" si="11"/>
        <v>Wrong domain (non-AECO)</v>
      </c>
      <c r="N152" s="23"/>
      <c r="O152" s="23"/>
      <c r="P152" s="24"/>
      <c r="Q152" s="24"/>
      <c r="R152" s="24"/>
      <c r="S152" s="22" t="str">
        <f t="shared" si="12"/>
        <v/>
      </c>
      <c r="T152" s="22" t="str">
        <f t="shared" si="13"/>
        <v/>
      </c>
      <c r="U152" s="25"/>
      <c r="V152" s="25"/>
      <c r="W152" s="25"/>
      <c r="X152" s="25"/>
      <c r="Y152" s="22" t="str">
        <f t="shared" si="14"/>
        <v/>
      </c>
      <c r="Z152" s="25"/>
      <c r="AA152" s="25"/>
      <c r="AB152" s="25"/>
      <c r="AC152" s="25"/>
      <c r="AD152" s="25"/>
      <c r="AE152" s="25"/>
      <c r="AF152" s="25"/>
      <c r="AG152" s="9"/>
      <c r="AH152" s="29"/>
      <c r="AI152" s="29"/>
      <c r="AM152" s="50"/>
      <c r="AN152" s="51" t="s">
        <v>2501</v>
      </c>
      <c r="AO152" s="55" t="s">
        <v>300</v>
      </c>
    </row>
    <row r="153" spans="1:41" ht="45.6" hidden="1" customHeight="1" x14ac:dyDescent="0.3">
      <c r="A153" s="20">
        <v>149</v>
      </c>
      <c r="B153" s="8" t="s">
        <v>2502</v>
      </c>
      <c r="C153" s="26">
        <v>2026</v>
      </c>
      <c r="D153" s="8"/>
      <c r="E153" s="8" t="s">
        <v>303</v>
      </c>
      <c r="F153" s="20" t="s">
        <v>1969</v>
      </c>
      <c r="G153" s="21" t="s">
        <v>1968</v>
      </c>
      <c r="H153" s="21" t="s">
        <v>1968</v>
      </c>
      <c r="I153" s="21" t="s">
        <v>1968</v>
      </c>
      <c r="J153" s="21" t="s">
        <v>1968</v>
      </c>
      <c r="K153" s="21" t="s">
        <v>1968</v>
      </c>
      <c r="L153" s="22" t="str">
        <f t="shared" si="10"/>
        <v>INCLUDE</v>
      </c>
      <c r="M153" s="22" t="str">
        <f t="shared" si="11"/>
        <v/>
      </c>
      <c r="N153" s="23" t="s">
        <v>1968</v>
      </c>
      <c r="O153" s="23" t="s">
        <v>1968</v>
      </c>
      <c r="P153" s="24" t="s">
        <v>1968</v>
      </c>
      <c r="Q153" s="24" t="s">
        <v>1968</v>
      </c>
      <c r="R153" s="24" t="s">
        <v>1968</v>
      </c>
      <c r="S153" s="22" t="str">
        <f t="shared" si="12"/>
        <v>INCLUDE</v>
      </c>
      <c r="T153" s="22" t="str">
        <f t="shared" si="13"/>
        <v/>
      </c>
      <c r="U153" s="25" t="s">
        <v>1982</v>
      </c>
      <c r="V153" s="25">
        <v>0</v>
      </c>
      <c r="W153" s="25">
        <v>0</v>
      </c>
      <c r="X153" s="25">
        <v>1</v>
      </c>
      <c r="Y153" s="22" t="str">
        <f t="shared" si="14"/>
        <v>Single</v>
      </c>
      <c r="Z153" s="25" t="s">
        <v>1922</v>
      </c>
      <c r="AA153" s="25" t="s">
        <v>1972</v>
      </c>
      <c r="AB153" s="25" t="s">
        <v>2018</v>
      </c>
      <c r="AC153" s="25" t="s">
        <v>1986</v>
      </c>
      <c r="AD153" s="25" t="s">
        <v>2003</v>
      </c>
      <c r="AE153" s="25">
        <v>4</v>
      </c>
      <c r="AF153" s="25" t="s">
        <v>2010</v>
      </c>
      <c r="AG153" s="9" t="s">
        <v>2503</v>
      </c>
      <c r="AH153" s="29" t="s">
        <v>2504</v>
      </c>
      <c r="AI153" s="29" t="s">
        <v>2505</v>
      </c>
      <c r="AJ153" t="s">
        <v>2005</v>
      </c>
      <c r="AK153" t="s">
        <v>2506</v>
      </c>
      <c r="AL153" t="s">
        <v>1978</v>
      </c>
      <c r="AM153" s="50"/>
      <c r="AN153" s="51" t="s">
        <v>2507</v>
      </c>
      <c r="AO153" s="55" t="s">
        <v>302</v>
      </c>
    </row>
    <row r="154" spans="1:41" ht="45.6" hidden="1" customHeight="1" x14ac:dyDescent="0.3">
      <c r="A154" s="20">
        <v>150</v>
      </c>
      <c r="B154" s="8" t="s">
        <v>2508</v>
      </c>
      <c r="C154" s="26">
        <v>2026</v>
      </c>
      <c r="D154" s="8"/>
      <c r="E154" s="8" t="s">
        <v>305</v>
      </c>
      <c r="F154" s="20" t="s">
        <v>1969</v>
      </c>
      <c r="G154" s="21" t="s">
        <v>1979</v>
      </c>
      <c r="H154" s="21" t="s">
        <v>1979</v>
      </c>
      <c r="I154" s="21" t="s">
        <v>1968</v>
      </c>
      <c r="J154" s="21" t="s">
        <v>1968</v>
      </c>
      <c r="K154" s="21" t="s">
        <v>1968</v>
      </c>
      <c r="L154" s="22" t="str">
        <f t="shared" si="10"/>
        <v>EXCLUDE</v>
      </c>
      <c r="M154" s="22" t="str">
        <f t="shared" si="11"/>
        <v>Wrong domain (non-AECO)</v>
      </c>
      <c r="N154" s="23"/>
      <c r="O154" s="23"/>
      <c r="P154" s="24"/>
      <c r="Q154" s="24"/>
      <c r="R154" s="24"/>
      <c r="S154" s="22" t="str">
        <f t="shared" si="12"/>
        <v/>
      </c>
      <c r="T154" s="22" t="str">
        <f t="shared" si="13"/>
        <v/>
      </c>
      <c r="U154" s="25"/>
      <c r="V154" s="25"/>
      <c r="W154" s="25"/>
      <c r="X154" s="25"/>
      <c r="Y154" s="22" t="str">
        <f t="shared" si="14"/>
        <v/>
      </c>
      <c r="Z154" s="25"/>
      <c r="AA154" s="25"/>
      <c r="AB154" s="25"/>
      <c r="AC154" s="25"/>
      <c r="AD154" s="25"/>
      <c r="AE154" s="25"/>
      <c r="AF154" s="25"/>
      <c r="AG154" s="9"/>
      <c r="AH154" s="29"/>
      <c r="AI154" s="29"/>
      <c r="AM154" s="50"/>
      <c r="AN154" s="51" t="s">
        <v>2509</v>
      </c>
      <c r="AO154" s="55" t="s">
        <v>304</v>
      </c>
    </row>
    <row r="155" spans="1:41" ht="79.95" hidden="1" customHeight="1" x14ac:dyDescent="0.3">
      <c r="A155" s="20">
        <v>151</v>
      </c>
      <c r="B155" s="8" t="s">
        <v>2210</v>
      </c>
      <c r="C155" s="26">
        <v>2025</v>
      </c>
      <c r="D155" s="8"/>
      <c r="E155" s="8" t="s">
        <v>307</v>
      </c>
      <c r="F155" s="20" t="s">
        <v>1969</v>
      </c>
      <c r="G155" s="21" t="s">
        <v>1979</v>
      </c>
      <c r="H155" s="21" t="s">
        <v>1968</v>
      </c>
      <c r="I155" s="21" t="s">
        <v>1968</v>
      </c>
      <c r="J155" s="21" t="s">
        <v>1968</v>
      </c>
      <c r="K155" s="21" t="s">
        <v>1968</v>
      </c>
      <c r="L155" s="22" t="str">
        <f t="shared" si="10"/>
        <v>EXCLUDE</v>
      </c>
      <c r="M155" s="22" t="str">
        <f t="shared" si="11"/>
        <v>Wrong domain (non-AECO)</v>
      </c>
      <c r="N155" s="23"/>
      <c r="O155" s="23"/>
      <c r="P155" s="24"/>
      <c r="Q155" s="24"/>
      <c r="R155" s="24"/>
      <c r="S155" s="22" t="str">
        <f t="shared" si="12"/>
        <v/>
      </c>
      <c r="T155" s="22" t="str">
        <f t="shared" si="13"/>
        <v/>
      </c>
      <c r="U155" s="25"/>
      <c r="V155" s="25"/>
      <c r="W155" s="25"/>
      <c r="X155" s="25"/>
      <c r="Y155" s="22" t="str">
        <f t="shared" si="14"/>
        <v/>
      </c>
      <c r="Z155" s="25"/>
      <c r="AA155" s="25"/>
      <c r="AB155" s="25"/>
      <c r="AC155" s="25"/>
      <c r="AD155" s="25"/>
      <c r="AE155" s="25"/>
      <c r="AF155" s="25"/>
      <c r="AG155" s="9"/>
      <c r="AH155" s="29"/>
      <c r="AI155" s="29"/>
      <c r="AM155" s="50"/>
      <c r="AN155" s="51" t="s">
        <v>2510</v>
      </c>
      <c r="AO155" s="55" t="s">
        <v>306</v>
      </c>
    </row>
    <row r="156" spans="1:41" ht="68.400000000000006" hidden="1" customHeight="1" x14ac:dyDescent="0.3">
      <c r="A156" s="20">
        <v>152</v>
      </c>
      <c r="B156" s="8" t="s">
        <v>2511</v>
      </c>
      <c r="C156" s="26">
        <v>2026</v>
      </c>
      <c r="D156" s="8"/>
      <c r="E156" s="8" t="s">
        <v>309</v>
      </c>
      <c r="F156" s="20" t="s">
        <v>1969</v>
      </c>
      <c r="G156" s="21" t="s">
        <v>1979</v>
      </c>
      <c r="H156" s="21" t="s">
        <v>1979</v>
      </c>
      <c r="I156" s="21" t="s">
        <v>1979</v>
      </c>
      <c r="J156" s="21" t="s">
        <v>1968</v>
      </c>
      <c r="K156" s="21" t="s">
        <v>1968</v>
      </c>
      <c r="L156" s="22" t="str">
        <f t="shared" si="10"/>
        <v>EXCLUDE</v>
      </c>
      <c r="M156" s="22" t="str">
        <f t="shared" si="11"/>
        <v>Wrong domain (non-AECO)</v>
      </c>
      <c r="N156" s="23"/>
      <c r="O156" s="23"/>
      <c r="P156" s="24"/>
      <c r="Q156" s="24"/>
      <c r="R156" s="24"/>
      <c r="S156" s="22" t="str">
        <f t="shared" si="12"/>
        <v/>
      </c>
      <c r="T156" s="22" t="str">
        <f t="shared" si="13"/>
        <v/>
      </c>
      <c r="U156" s="25"/>
      <c r="V156" s="25"/>
      <c r="W156" s="25"/>
      <c r="X156" s="25"/>
      <c r="Y156" s="22" t="str">
        <f t="shared" si="14"/>
        <v/>
      </c>
      <c r="Z156" s="25"/>
      <c r="AA156" s="25"/>
      <c r="AB156" s="25"/>
      <c r="AC156" s="25"/>
      <c r="AD156" s="25"/>
      <c r="AE156" s="25"/>
      <c r="AF156" s="25"/>
      <c r="AG156" s="9"/>
      <c r="AH156" s="29"/>
      <c r="AI156" s="29"/>
      <c r="AM156" s="50"/>
      <c r="AN156" s="51" t="s">
        <v>2512</v>
      </c>
      <c r="AO156" s="55" t="s">
        <v>308</v>
      </c>
    </row>
    <row r="157" spans="1:41" ht="57" hidden="1" customHeight="1" x14ac:dyDescent="0.3">
      <c r="A157" s="20">
        <v>153</v>
      </c>
      <c r="B157" s="8" t="s">
        <v>2513</v>
      </c>
      <c r="C157" s="26">
        <v>2026</v>
      </c>
      <c r="D157" s="8"/>
      <c r="E157" s="8" t="s">
        <v>311</v>
      </c>
      <c r="F157" s="20" t="s">
        <v>1969</v>
      </c>
      <c r="G157" s="21" t="s">
        <v>1979</v>
      </c>
      <c r="H157" s="21" t="s">
        <v>1968</v>
      </c>
      <c r="I157" s="21" t="s">
        <v>1979</v>
      </c>
      <c r="J157" s="21" t="s">
        <v>1968</v>
      </c>
      <c r="K157" s="21" t="s">
        <v>1968</v>
      </c>
      <c r="L157" s="22" t="str">
        <f t="shared" si="10"/>
        <v>EXCLUDE</v>
      </c>
      <c r="M157" s="22" t="str">
        <f t="shared" si="11"/>
        <v>Wrong domain (non-AECO)</v>
      </c>
      <c r="N157" s="23"/>
      <c r="O157" s="23"/>
      <c r="P157" s="24"/>
      <c r="Q157" s="24"/>
      <c r="R157" s="24"/>
      <c r="S157" s="22" t="str">
        <f t="shared" si="12"/>
        <v/>
      </c>
      <c r="T157" s="22" t="str">
        <f t="shared" si="13"/>
        <v/>
      </c>
      <c r="U157" s="25"/>
      <c r="V157" s="25"/>
      <c r="W157" s="25"/>
      <c r="X157" s="25"/>
      <c r="Y157" s="22" t="str">
        <f t="shared" si="14"/>
        <v/>
      </c>
      <c r="Z157" s="25"/>
      <c r="AA157" s="25"/>
      <c r="AB157" s="25"/>
      <c r="AC157" s="25"/>
      <c r="AD157" s="25"/>
      <c r="AE157" s="25"/>
      <c r="AF157" s="25"/>
      <c r="AG157" s="9"/>
      <c r="AH157" s="29"/>
      <c r="AI157" s="29"/>
      <c r="AM157" s="50"/>
      <c r="AN157" s="51" t="s">
        <v>2514</v>
      </c>
      <c r="AO157" s="55" t="s">
        <v>310</v>
      </c>
    </row>
    <row r="158" spans="1:41" ht="86.4" customHeight="1" x14ac:dyDescent="0.3">
      <c r="A158" s="20">
        <v>154</v>
      </c>
      <c r="B158" s="8" t="s">
        <v>2515</v>
      </c>
      <c r="C158" s="26">
        <v>2026</v>
      </c>
      <c r="D158" s="8"/>
      <c r="E158" s="8" t="s">
        <v>313</v>
      </c>
      <c r="F158" s="20" t="s">
        <v>1969</v>
      </c>
      <c r="G158" s="21" t="s">
        <v>1968</v>
      </c>
      <c r="H158" s="21" t="s">
        <v>1968</v>
      </c>
      <c r="I158" s="21" t="s">
        <v>1968</v>
      </c>
      <c r="J158" s="21" t="s">
        <v>1968</v>
      </c>
      <c r="K158" s="21" t="s">
        <v>1968</v>
      </c>
      <c r="L158" s="22" t="str">
        <f t="shared" si="10"/>
        <v>INCLUDE</v>
      </c>
      <c r="M158" s="22" t="str">
        <f t="shared" si="11"/>
        <v/>
      </c>
      <c r="N158" s="23" t="s">
        <v>1968</v>
      </c>
      <c r="O158" s="23" t="s">
        <v>1968</v>
      </c>
      <c r="P158" s="24" t="s">
        <v>1968</v>
      </c>
      <c r="Q158" s="24" t="s">
        <v>1968</v>
      </c>
      <c r="R158" s="24" t="s">
        <v>1968</v>
      </c>
      <c r="S158" s="22" t="str">
        <f t="shared" si="12"/>
        <v>INCLUDE</v>
      </c>
      <c r="T158" s="22" t="str">
        <f t="shared" si="13"/>
        <v/>
      </c>
      <c r="U158" s="25" t="s">
        <v>1982</v>
      </c>
      <c r="V158" s="25">
        <v>0</v>
      </c>
      <c r="W158" s="25">
        <v>1</v>
      </c>
      <c r="X158" s="25">
        <v>0</v>
      </c>
      <c r="Y158" s="22" t="str">
        <f t="shared" si="14"/>
        <v>Single</v>
      </c>
      <c r="Z158" s="25" t="s">
        <v>1922</v>
      </c>
      <c r="AA158" s="25" t="s">
        <v>1972</v>
      </c>
      <c r="AB158" s="25" t="s">
        <v>2018</v>
      </c>
      <c r="AC158" s="25" t="s">
        <v>1986</v>
      </c>
      <c r="AD158" s="25" t="s">
        <v>2003</v>
      </c>
      <c r="AE158" s="25">
        <v>4</v>
      </c>
      <c r="AF158" s="25" t="s">
        <v>2010</v>
      </c>
      <c r="AG158" s="9" t="s">
        <v>2516</v>
      </c>
      <c r="AH158" s="29" t="s">
        <v>2517</v>
      </c>
      <c r="AI158" s="29" t="s">
        <v>2518</v>
      </c>
      <c r="AJ158" t="s">
        <v>2005</v>
      </c>
      <c r="AK158" t="s">
        <v>2519</v>
      </c>
      <c r="AL158" t="s">
        <v>1990</v>
      </c>
      <c r="AM158" s="50"/>
      <c r="AN158" s="51" t="s">
        <v>2520</v>
      </c>
      <c r="AO158" s="55" t="s">
        <v>312</v>
      </c>
    </row>
    <row r="159" spans="1:41" ht="91.2" customHeight="1" x14ac:dyDescent="0.3">
      <c r="A159" s="20">
        <v>155</v>
      </c>
      <c r="B159" s="8" t="s">
        <v>2521</v>
      </c>
      <c r="C159" s="26">
        <v>2026</v>
      </c>
      <c r="D159" s="8"/>
      <c r="E159" s="8" t="s">
        <v>315</v>
      </c>
      <c r="F159" s="20" t="s">
        <v>1969</v>
      </c>
      <c r="G159" s="21" t="s">
        <v>1979</v>
      </c>
      <c r="H159" s="21" t="s">
        <v>1968</v>
      </c>
      <c r="I159" s="21" t="s">
        <v>1968</v>
      </c>
      <c r="J159" s="21" t="s">
        <v>1968</v>
      </c>
      <c r="K159" s="21" t="s">
        <v>1968</v>
      </c>
      <c r="L159" s="22" t="str">
        <f t="shared" si="10"/>
        <v>EXCLUDE</v>
      </c>
      <c r="M159" s="22" t="str">
        <f t="shared" si="11"/>
        <v>Wrong domain (non-AECO)</v>
      </c>
      <c r="N159" s="23"/>
      <c r="O159" s="23"/>
      <c r="P159" s="24"/>
      <c r="Q159" s="24"/>
      <c r="R159" s="24"/>
      <c r="S159" s="22" t="str">
        <f t="shared" si="12"/>
        <v/>
      </c>
      <c r="T159" s="22" t="str">
        <f t="shared" si="13"/>
        <v/>
      </c>
      <c r="U159" s="25"/>
      <c r="V159" s="25"/>
      <c r="W159" s="25"/>
      <c r="X159" s="25"/>
      <c r="Y159" s="22" t="str">
        <f t="shared" si="14"/>
        <v/>
      </c>
      <c r="Z159" s="25"/>
      <c r="AA159" s="25"/>
      <c r="AB159" s="25"/>
      <c r="AC159" s="25"/>
      <c r="AD159" s="25"/>
      <c r="AE159" s="25"/>
      <c r="AF159" s="25"/>
      <c r="AG159" s="9"/>
      <c r="AH159" s="29"/>
      <c r="AI159" s="29"/>
      <c r="AM159" s="50"/>
      <c r="AN159" s="51" t="s">
        <v>2522</v>
      </c>
      <c r="AO159" s="55" t="s">
        <v>314</v>
      </c>
    </row>
    <row r="160" spans="1:41" ht="68.400000000000006" hidden="1" customHeight="1" x14ac:dyDescent="0.3">
      <c r="A160" s="20">
        <v>156</v>
      </c>
      <c r="B160" s="8" t="s">
        <v>2523</v>
      </c>
      <c r="C160" s="26">
        <v>2026</v>
      </c>
      <c r="D160" s="8"/>
      <c r="E160" s="8" t="s">
        <v>317</v>
      </c>
      <c r="F160" s="20" t="s">
        <v>1969</v>
      </c>
      <c r="G160" s="21" t="s">
        <v>1979</v>
      </c>
      <c r="H160" s="21" t="s">
        <v>1979</v>
      </c>
      <c r="I160" s="21" t="s">
        <v>1979</v>
      </c>
      <c r="J160" s="21" t="s">
        <v>1968</v>
      </c>
      <c r="K160" s="21" t="s">
        <v>1968</v>
      </c>
      <c r="L160" s="22" t="str">
        <f t="shared" si="10"/>
        <v>EXCLUDE</v>
      </c>
      <c r="M160" s="22" t="str">
        <f t="shared" si="11"/>
        <v>Wrong domain (non-AECO)</v>
      </c>
      <c r="N160" s="23"/>
      <c r="O160" s="23"/>
      <c r="P160" s="24"/>
      <c r="Q160" s="24"/>
      <c r="R160" s="24"/>
      <c r="S160" s="22" t="str">
        <f t="shared" si="12"/>
        <v/>
      </c>
      <c r="T160" s="22" t="str">
        <f t="shared" si="13"/>
        <v/>
      </c>
      <c r="U160" s="25"/>
      <c r="V160" s="25"/>
      <c r="W160" s="25"/>
      <c r="X160" s="25"/>
      <c r="Y160" s="22" t="str">
        <f t="shared" si="14"/>
        <v/>
      </c>
      <c r="Z160" s="25"/>
      <c r="AA160" s="25"/>
      <c r="AB160" s="25"/>
      <c r="AC160" s="25"/>
      <c r="AD160" s="25"/>
      <c r="AE160" s="25"/>
      <c r="AF160" s="25"/>
      <c r="AG160" s="9"/>
      <c r="AH160" s="29"/>
      <c r="AI160" s="29"/>
      <c r="AM160" s="50"/>
      <c r="AN160" s="51" t="s">
        <v>2524</v>
      </c>
      <c r="AO160" s="55" t="s">
        <v>316</v>
      </c>
    </row>
    <row r="161" spans="1:41" ht="45.6" hidden="1" customHeight="1" x14ac:dyDescent="0.3">
      <c r="A161" s="20">
        <v>157</v>
      </c>
      <c r="B161" s="8" t="s">
        <v>2525</v>
      </c>
      <c r="C161" s="26">
        <v>2025</v>
      </c>
      <c r="D161" s="8"/>
      <c r="E161" s="8" t="s">
        <v>319</v>
      </c>
      <c r="F161" s="20" t="s">
        <v>1969</v>
      </c>
      <c r="G161" s="21" t="s">
        <v>1979</v>
      </c>
      <c r="H161" s="21" t="s">
        <v>1968</v>
      </c>
      <c r="I161" s="21" t="s">
        <v>1979</v>
      </c>
      <c r="J161" s="21" t="s">
        <v>1968</v>
      </c>
      <c r="K161" s="21" t="s">
        <v>1968</v>
      </c>
      <c r="L161" s="22" t="str">
        <f t="shared" si="10"/>
        <v>EXCLUDE</v>
      </c>
      <c r="M161" s="22" t="str">
        <f t="shared" si="11"/>
        <v>Wrong domain (non-AECO)</v>
      </c>
      <c r="N161" s="23"/>
      <c r="O161" s="23"/>
      <c r="P161" s="24"/>
      <c r="Q161" s="24"/>
      <c r="R161" s="24"/>
      <c r="S161" s="22" t="str">
        <f t="shared" si="12"/>
        <v/>
      </c>
      <c r="T161" s="22" t="str">
        <f t="shared" si="13"/>
        <v/>
      </c>
      <c r="U161" s="25"/>
      <c r="V161" s="25"/>
      <c r="W161" s="25"/>
      <c r="X161" s="25"/>
      <c r="Y161" s="22" t="str">
        <f t="shared" si="14"/>
        <v/>
      </c>
      <c r="Z161" s="25"/>
      <c r="AA161" s="25"/>
      <c r="AB161" s="25"/>
      <c r="AC161" s="25"/>
      <c r="AD161" s="25"/>
      <c r="AE161" s="25"/>
      <c r="AF161" s="25"/>
      <c r="AG161" s="9"/>
      <c r="AH161" s="29"/>
      <c r="AI161" s="29"/>
      <c r="AM161" s="50"/>
      <c r="AN161" s="51" t="s">
        <v>2526</v>
      </c>
      <c r="AO161" s="55" t="s">
        <v>318</v>
      </c>
    </row>
    <row r="162" spans="1:41" ht="91.2" customHeight="1" x14ac:dyDescent="0.3">
      <c r="A162" s="20">
        <v>158</v>
      </c>
      <c r="B162" s="8" t="s">
        <v>2527</v>
      </c>
      <c r="C162" s="26">
        <v>2026</v>
      </c>
      <c r="D162" s="8"/>
      <c r="E162" s="8" t="s">
        <v>321</v>
      </c>
      <c r="F162" s="20" t="s">
        <v>1969</v>
      </c>
      <c r="G162" s="21" t="s">
        <v>1979</v>
      </c>
      <c r="H162" s="21" t="s">
        <v>1968</v>
      </c>
      <c r="I162" s="21" t="s">
        <v>1968</v>
      </c>
      <c r="J162" s="21" t="s">
        <v>1968</v>
      </c>
      <c r="K162" s="21" t="s">
        <v>1979</v>
      </c>
      <c r="L162" s="22" t="str">
        <f t="shared" si="10"/>
        <v>EXCLUDE</v>
      </c>
      <c r="M162" s="22" t="str">
        <f t="shared" si="11"/>
        <v>Wrong domain (non-AECO)</v>
      </c>
      <c r="N162" s="23"/>
      <c r="O162" s="23"/>
      <c r="P162" s="24"/>
      <c r="Q162" s="24"/>
      <c r="R162" s="24"/>
      <c r="S162" s="22" t="str">
        <f t="shared" si="12"/>
        <v/>
      </c>
      <c r="T162" s="22" t="str">
        <f t="shared" si="13"/>
        <v/>
      </c>
      <c r="U162" s="25"/>
      <c r="V162" s="25"/>
      <c r="W162" s="25"/>
      <c r="X162" s="25"/>
      <c r="Y162" s="22" t="str">
        <f t="shared" si="14"/>
        <v/>
      </c>
      <c r="Z162" s="25"/>
      <c r="AA162" s="25"/>
      <c r="AB162" s="25"/>
      <c r="AC162" s="25"/>
      <c r="AD162" s="25"/>
      <c r="AE162" s="25"/>
      <c r="AF162" s="25"/>
      <c r="AG162" s="9"/>
      <c r="AH162" s="29"/>
      <c r="AI162" s="29"/>
      <c r="AM162" s="50"/>
      <c r="AN162" s="51" t="s">
        <v>2528</v>
      </c>
      <c r="AO162" s="55" t="s">
        <v>320</v>
      </c>
    </row>
    <row r="163" spans="1:41" ht="79.95" hidden="1" customHeight="1" x14ac:dyDescent="0.3">
      <c r="A163" s="20">
        <v>159</v>
      </c>
      <c r="B163" s="8" t="s">
        <v>2529</v>
      </c>
      <c r="C163" s="26">
        <v>2026</v>
      </c>
      <c r="D163" s="8"/>
      <c r="E163" s="8" t="s">
        <v>323</v>
      </c>
      <c r="F163" s="20" t="s">
        <v>1969</v>
      </c>
      <c r="G163" s="21" t="s">
        <v>1968</v>
      </c>
      <c r="H163" s="21" t="s">
        <v>1968</v>
      </c>
      <c r="I163" s="21" t="s">
        <v>1979</v>
      </c>
      <c r="J163" s="21" t="s">
        <v>1968</v>
      </c>
      <c r="K163" s="21" t="s">
        <v>1968</v>
      </c>
      <c r="L163" s="22" t="str">
        <f t="shared" si="10"/>
        <v>EXCLUDE</v>
      </c>
      <c r="M163" s="22" t="str">
        <f t="shared" si="11"/>
        <v>No Design for Safety / PtD focus</v>
      </c>
      <c r="N163" s="23"/>
      <c r="O163" s="23"/>
      <c r="P163" s="24"/>
      <c r="Q163" s="24"/>
      <c r="R163" s="24"/>
      <c r="S163" s="22" t="str">
        <f t="shared" si="12"/>
        <v/>
      </c>
      <c r="T163" s="22" t="str">
        <f t="shared" si="13"/>
        <v/>
      </c>
      <c r="U163" s="25"/>
      <c r="V163" s="25"/>
      <c r="W163" s="25"/>
      <c r="X163" s="25"/>
      <c r="Y163" s="22" t="str">
        <f t="shared" si="14"/>
        <v/>
      </c>
      <c r="Z163" s="25"/>
      <c r="AA163" s="25"/>
      <c r="AB163" s="25"/>
      <c r="AC163" s="25"/>
      <c r="AD163" s="25"/>
      <c r="AE163" s="25"/>
      <c r="AF163" s="25"/>
      <c r="AG163" s="9"/>
      <c r="AH163" s="29"/>
      <c r="AI163" s="29"/>
      <c r="AM163" s="50"/>
      <c r="AN163" s="51" t="s">
        <v>2530</v>
      </c>
      <c r="AO163" s="55" t="s">
        <v>322</v>
      </c>
    </row>
    <row r="164" spans="1:41" ht="68.400000000000006" hidden="1" customHeight="1" x14ac:dyDescent="0.3">
      <c r="A164" s="20">
        <v>160</v>
      </c>
      <c r="B164" s="8" t="s">
        <v>2531</v>
      </c>
      <c r="C164" s="26">
        <v>2026</v>
      </c>
      <c r="D164" s="8"/>
      <c r="E164" s="8" t="s">
        <v>325</v>
      </c>
      <c r="F164" s="20" t="s">
        <v>1969</v>
      </c>
      <c r="G164" s="21" t="s">
        <v>1979</v>
      </c>
      <c r="H164" s="21" t="s">
        <v>1979</v>
      </c>
      <c r="I164" s="21" t="s">
        <v>1979</v>
      </c>
      <c r="J164" s="21" t="s">
        <v>1968</v>
      </c>
      <c r="K164" s="21" t="s">
        <v>1968</v>
      </c>
      <c r="L164" s="22" t="str">
        <f t="shared" si="10"/>
        <v>EXCLUDE</v>
      </c>
      <c r="M164" s="22" t="str">
        <f t="shared" si="11"/>
        <v>Wrong domain (non-AECO)</v>
      </c>
      <c r="N164" s="23"/>
      <c r="O164" s="23"/>
      <c r="P164" s="24"/>
      <c r="Q164" s="24"/>
      <c r="R164" s="24"/>
      <c r="S164" s="22" t="str">
        <f t="shared" si="12"/>
        <v/>
      </c>
      <c r="T164" s="22" t="str">
        <f t="shared" si="13"/>
        <v/>
      </c>
      <c r="U164" s="25"/>
      <c r="V164" s="25"/>
      <c r="W164" s="25"/>
      <c r="X164" s="25"/>
      <c r="Y164" s="22" t="str">
        <f t="shared" si="14"/>
        <v/>
      </c>
      <c r="Z164" s="25"/>
      <c r="AA164" s="25"/>
      <c r="AB164" s="25"/>
      <c r="AC164" s="25"/>
      <c r="AD164" s="25"/>
      <c r="AE164" s="25"/>
      <c r="AF164" s="25"/>
      <c r="AG164" s="9"/>
      <c r="AH164" s="29"/>
      <c r="AI164" s="29"/>
      <c r="AM164" s="50"/>
      <c r="AN164" s="51" t="s">
        <v>2532</v>
      </c>
      <c r="AO164" s="55" t="s">
        <v>324</v>
      </c>
    </row>
    <row r="165" spans="1:41" ht="57" hidden="1" customHeight="1" x14ac:dyDescent="0.3">
      <c r="A165" s="20">
        <v>161</v>
      </c>
      <c r="B165" s="8" t="s">
        <v>2533</v>
      </c>
      <c r="C165" s="26">
        <v>2026</v>
      </c>
      <c r="D165" s="8"/>
      <c r="E165" s="8" t="s">
        <v>327</v>
      </c>
      <c r="F165" s="20" t="s">
        <v>1969</v>
      </c>
      <c r="G165" s="21" t="s">
        <v>1979</v>
      </c>
      <c r="H165" s="21" t="s">
        <v>1979</v>
      </c>
      <c r="I165" s="21" t="s">
        <v>1968</v>
      </c>
      <c r="J165" s="21" t="s">
        <v>1968</v>
      </c>
      <c r="K165" s="21" t="s">
        <v>1968</v>
      </c>
      <c r="L165" s="22" t="str">
        <f t="shared" si="10"/>
        <v>EXCLUDE</v>
      </c>
      <c r="M165" s="22" t="str">
        <f t="shared" si="11"/>
        <v>Wrong domain (non-AECO)</v>
      </c>
      <c r="N165" s="23"/>
      <c r="O165" s="23"/>
      <c r="P165" s="24"/>
      <c r="Q165" s="24"/>
      <c r="R165" s="24"/>
      <c r="S165" s="22" t="str">
        <f t="shared" si="12"/>
        <v/>
      </c>
      <c r="T165" s="22" t="str">
        <f t="shared" si="13"/>
        <v/>
      </c>
      <c r="U165" s="25"/>
      <c r="V165" s="25"/>
      <c r="W165" s="25"/>
      <c r="X165" s="25"/>
      <c r="Y165" s="22" t="str">
        <f t="shared" si="14"/>
        <v/>
      </c>
      <c r="Z165" s="25"/>
      <c r="AA165" s="25"/>
      <c r="AB165" s="25"/>
      <c r="AC165" s="25"/>
      <c r="AD165" s="25"/>
      <c r="AE165" s="25"/>
      <c r="AF165" s="25"/>
      <c r="AG165" s="9"/>
      <c r="AH165" s="29"/>
      <c r="AI165" s="29"/>
      <c r="AM165" s="50"/>
      <c r="AN165" s="51" t="s">
        <v>2534</v>
      </c>
      <c r="AO165" s="55" t="s">
        <v>326</v>
      </c>
    </row>
    <row r="166" spans="1:41" ht="72" hidden="1" customHeight="1" x14ac:dyDescent="0.3">
      <c r="A166" s="20">
        <v>162</v>
      </c>
      <c r="B166" s="8" t="s">
        <v>2535</v>
      </c>
      <c r="C166" s="26">
        <v>2025</v>
      </c>
      <c r="D166" s="8"/>
      <c r="E166" s="8" t="s">
        <v>329</v>
      </c>
      <c r="F166" s="20" t="s">
        <v>1969</v>
      </c>
      <c r="G166" s="21" t="s">
        <v>1968</v>
      </c>
      <c r="H166" s="21" t="s">
        <v>1979</v>
      </c>
      <c r="I166" s="21" t="s">
        <v>1968</v>
      </c>
      <c r="J166" s="21" t="s">
        <v>1968</v>
      </c>
      <c r="K166" s="21" t="s">
        <v>1968</v>
      </c>
      <c r="L166" s="22" t="str">
        <f t="shared" si="10"/>
        <v>EXCLUDE</v>
      </c>
      <c r="M166" s="22" t="str">
        <f t="shared" si="11"/>
        <v>Digital Twin not core / buzzword</v>
      </c>
      <c r="N166" s="23"/>
      <c r="O166" s="23"/>
      <c r="P166" s="24"/>
      <c r="Q166" s="24"/>
      <c r="R166" s="24"/>
      <c r="S166" s="22" t="str">
        <f t="shared" si="12"/>
        <v/>
      </c>
      <c r="T166" s="22" t="str">
        <f t="shared" si="13"/>
        <v/>
      </c>
      <c r="U166" s="25"/>
      <c r="V166" s="25"/>
      <c r="W166" s="25"/>
      <c r="X166" s="25"/>
      <c r="Y166" s="22" t="str">
        <f t="shared" si="14"/>
        <v/>
      </c>
      <c r="Z166" s="25"/>
      <c r="AA166" s="25"/>
      <c r="AB166" s="25"/>
      <c r="AC166" s="25"/>
      <c r="AD166" s="25"/>
      <c r="AE166" s="25"/>
      <c r="AF166" s="25"/>
      <c r="AG166" s="9"/>
      <c r="AH166" s="29"/>
      <c r="AI166" s="29"/>
      <c r="AM166" s="50"/>
      <c r="AN166" s="51" t="s">
        <v>2536</v>
      </c>
      <c r="AO166" s="55" t="s">
        <v>328</v>
      </c>
    </row>
    <row r="167" spans="1:41" ht="91.2" customHeight="1" x14ac:dyDescent="0.3">
      <c r="A167" s="20">
        <v>163</v>
      </c>
      <c r="B167" s="8" t="s">
        <v>2537</v>
      </c>
      <c r="C167" s="26">
        <v>2025</v>
      </c>
      <c r="D167" s="8"/>
      <c r="E167" s="8" t="s">
        <v>331</v>
      </c>
      <c r="F167" s="20" t="s">
        <v>1969</v>
      </c>
      <c r="G167" s="21" t="s">
        <v>1968</v>
      </c>
      <c r="H167" s="21" t="s">
        <v>1968</v>
      </c>
      <c r="I167" s="21" t="s">
        <v>1968</v>
      </c>
      <c r="J167" s="21" t="s">
        <v>1968</v>
      </c>
      <c r="K167" s="21" t="s">
        <v>1968</v>
      </c>
      <c r="L167" s="22" t="str">
        <f t="shared" si="10"/>
        <v>INCLUDE</v>
      </c>
      <c r="M167" s="22" t="str">
        <f t="shared" si="11"/>
        <v/>
      </c>
      <c r="N167" s="23" t="s">
        <v>1968</v>
      </c>
      <c r="O167" s="23" t="s">
        <v>1968</v>
      </c>
      <c r="P167" s="24" t="s">
        <v>1968</v>
      </c>
      <c r="Q167" s="24" t="s">
        <v>1968</v>
      </c>
      <c r="R167" s="24" t="s">
        <v>1968</v>
      </c>
      <c r="S167" s="22" t="str">
        <f t="shared" si="12"/>
        <v>INCLUDE</v>
      </c>
      <c r="T167" s="22" t="str">
        <f t="shared" si="13"/>
        <v/>
      </c>
      <c r="U167" s="25" t="s">
        <v>1982</v>
      </c>
      <c r="V167" s="25">
        <v>0</v>
      </c>
      <c r="W167" s="25">
        <v>0</v>
      </c>
      <c r="X167" s="25">
        <v>1</v>
      </c>
      <c r="Y167" s="22" t="str">
        <f t="shared" si="14"/>
        <v>Single</v>
      </c>
      <c r="Z167" s="25" t="s">
        <v>1922</v>
      </c>
      <c r="AA167" s="25" t="s">
        <v>1972</v>
      </c>
      <c r="AB167" s="25" t="s">
        <v>2017</v>
      </c>
      <c r="AC167" s="25" t="s">
        <v>1986</v>
      </c>
      <c r="AD167" s="25" t="s">
        <v>2003</v>
      </c>
      <c r="AE167" s="25">
        <v>4</v>
      </c>
      <c r="AF167" s="25" t="s">
        <v>1976</v>
      </c>
      <c r="AG167" s="9" t="s">
        <v>2538</v>
      </c>
      <c r="AH167" s="29" t="s">
        <v>2539</v>
      </c>
      <c r="AI167" s="29" t="s">
        <v>2540</v>
      </c>
      <c r="AJ167" t="s">
        <v>1997</v>
      </c>
      <c r="AK167" t="s">
        <v>2541</v>
      </c>
      <c r="AL167" t="s">
        <v>1978</v>
      </c>
      <c r="AM167" s="50"/>
      <c r="AN167" s="51" t="s">
        <v>2542</v>
      </c>
      <c r="AO167" s="55" t="s">
        <v>330</v>
      </c>
    </row>
    <row r="168" spans="1:41" ht="68.400000000000006" hidden="1" customHeight="1" x14ac:dyDescent="0.3">
      <c r="A168" s="20">
        <v>164</v>
      </c>
      <c r="B168" s="8" t="s">
        <v>2543</v>
      </c>
      <c r="C168" s="26">
        <v>2025</v>
      </c>
      <c r="D168" s="8"/>
      <c r="E168" s="8" t="s">
        <v>333</v>
      </c>
      <c r="F168" s="20" t="s">
        <v>1969</v>
      </c>
      <c r="G168" s="21" t="s">
        <v>1979</v>
      </c>
      <c r="H168" s="21" t="s">
        <v>1968</v>
      </c>
      <c r="I168" s="21" t="s">
        <v>1968</v>
      </c>
      <c r="J168" s="21" t="s">
        <v>1968</v>
      </c>
      <c r="K168" s="21" t="s">
        <v>1968</v>
      </c>
      <c r="L168" s="22" t="str">
        <f t="shared" si="10"/>
        <v>EXCLUDE</v>
      </c>
      <c r="M168" s="22" t="str">
        <f t="shared" si="11"/>
        <v>Wrong domain (non-AECO)</v>
      </c>
      <c r="N168" s="23"/>
      <c r="O168" s="23"/>
      <c r="P168" s="24"/>
      <c r="Q168" s="24"/>
      <c r="R168" s="24"/>
      <c r="S168" s="22" t="str">
        <f t="shared" si="12"/>
        <v/>
      </c>
      <c r="T168" s="22" t="str">
        <f t="shared" si="13"/>
        <v/>
      </c>
      <c r="U168" s="25"/>
      <c r="V168" s="25"/>
      <c r="W168" s="25"/>
      <c r="X168" s="25"/>
      <c r="Y168" s="22" t="str">
        <f t="shared" si="14"/>
        <v/>
      </c>
      <c r="Z168" s="25"/>
      <c r="AA168" s="25"/>
      <c r="AB168" s="25"/>
      <c r="AC168" s="25"/>
      <c r="AD168" s="25"/>
      <c r="AE168" s="25"/>
      <c r="AF168" s="25"/>
      <c r="AG168" s="9"/>
      <c r="AH168" s="29"/>
      <c r="AI168" s="29"/>
      <c r="AM168" s="50"/>
      <c r="AN168" s="51" t="s">
        <v>2544</v>
      </c>
      <c r="AO168" s="55" t="s">
        <v>332</v>
      </c>
    </row>
    <row r="169" spans="1:41" ht="91.2" customHeight="1" x14ac:dyDescent="0.3">
      <c r="A169" s="20">
        <v>165</v>
      </c>
      <c r="B169" s="8" t="s">
        <v>2545</v>
      </c>
      <c r="C169" s="26">
        <v>2026</v>
      </c>
      <c r="D169" s="8"/>
      <c r="E169" s="8" t="s">
        <v>335</v>
      </c>
      <c r="F169" s="20" t="s">
        <v>1969</v>
      </c>
      <c r="G169" s="21" t="s">
        <v>1979</v>
      </c>
      <c r="H169" s="21" t="s">
        <v>1979</v>
      </c>
      <c r="I169" s="21" t="s">
        <v>1968</v>
      </c>
      <c r="J169" s="21" t="s">
        <v>1968</v>
      </c>
      <c r="K169" s="21" t="s">
        <v>1968</v>
      </c>
      <c r="L169" s="22" t="str">
        <f t="shared" si="10"/>
        <v>EXCLUDE</v>
      </c>
      <c r="M169" s="22" t="str">
        <f t="shared" si="11"/>
        <v>Wrong domain (non-AECO)</v>
      </c>
      <c r="N169" s="23"/>
      <c r="O169" s="23"/>
      <c r="P169" s="24"/>
      <c r="Q169" s="24"/>
      <c r="R169" s="24"/>
      <c r="S169" s="22" t="str">
        <f t="shared" si="12"/>
        <v/>
      </c>
      <c r="T169" s="22" t="str">
        <f t="shared" si="13"/>
        <v/>
      </c>
      <c r="U169" s="25"/>
      <c r="V169" s="25"/>
      <c r="W169" s="25"/>
      <c r="X169" s="25"/>
      <c r="Y169" s="22" t="str">
        <f t="shared" si="14"/>
        <v/>
      </c>
      <c r="Z169" s="25"/>
      <c r="AA169" s="25"/>
      <c r="AB169" s="25"/>
      <c r="AC169" s="25"/>
      <c r="AD169" s="25"/>
      <c r="AE169" s="25"/>
      <c r="AF169" s="25"/>
      <c r="AG169" s="9"/>
      <c r="AH169" s="29"/>
      <c r="AI169" s="29"/>
      <c r="AM169" s="50"/>
      <c r="AN169" s="51" t="s">
        <v>2546</v>
      </c>
      <c r="AO169" s="55" t="s">
        <v>334</v>
      </c>
    </row>
    <row r="170" spans="1:41" ht="57" hidden="1" customHeight="1" x14ac:dyDescent="0.3">
      <c r="A170" s="20">
        <v>166</v>
      </c>
      <c r="B170" s="8" t="s">
        <v>2547</v>
      </c>
      <c r="C170" s="26">
        <v>2025</v>
      </c>
      <c r="D170" s="8"/>
      <c r="E170" s="8" t="s">
        <v>337</v>
      </c>
      <c r="F170" s="20" t="s">
        <v>1969</v>
      </c>
      <c r="G170" s="21" t="s">
        <v>1968</v>
      </c>
      <c r="H170" s="21" t="s">
        <v>1979</v>
      </c>
      <c r="I170" s="21" t="s">
        <v>1968</v>
      </c>
      <c r="J170" s="21" t="s">
        <v>1968</v>
      </c>
      <c r="K170" s="21" t="s">
        <v>1968</v>
      </c>
      <c r="L170" s="22" t="str">
        <f t="shared" si="10"/>
        <v>EXCLUDE</v>
      </c>
      <c r="M170" s="22" t="str">
        <f t="shared" si="11"/>
        <v>Digital Twin not core / buzzword</v>
      </c>
      <c r="N170" s="23"/>
      <c r="O170" s="23"/>
      <c r="P170" s="24"/>
      <c r="Q170" s="24"/>
      <c r="R170" s="24"/>
      <c r="S170" s="22" t="str">
        <f t="shared" si="12"/>
        <v/>
      </c>
      <c r="T170" s="22" t="str">
        <f t="shared" si="13"/>
        <v/>
      </c>
      <c r="U170" s="25"/>
      <c r="V170" s="25"/>
      <c r="W170" s="25"/>
      <c r="X170" s="25"/>
      <c r="Y170" s="22" t="str">
        <f t="shared" si="14"/>
        <v/>
      </c>
      <c r="Z170" s="25"/>
      <c r="AA170" s="25"/>
      <c r="AB170" s="25"/>
      <c r="AC170" s="25"/>
      <c r="AD170" s="25"/>
      <c r="AE170" s="25"/>
      <c r="AF170" s="25"/>
      <c r="AG170" s="9"/>
      <c r="AH170" s="29"/>
      <c r="AI170" s="29"/>
      <c r="AM170" s="50"/>
      <c r="AN170" s="51" t="s">
        <v>2548</v>
      </c>
      <c r="AO170" s="55" t="s">
        <v>336</v>
      </c>
    </row>
    <row r="171" spans="1:41" ht="86.4" customHeight="1" x14ac:dyDescent="0.3">
      <c r="A171" s="20">
        <v>167</v>
      </c>
      <c r="B171" s="8" t="s">
        <v>2549</v>
      </c>
      <c r="C171" s="26">
        <v>2025</v>
      </c>
      <c r="D171" s="8"/>
      <c r="E171" s="8" t="s">
        <v>339</v>
      </c>
      <c r="F171" s="20" t="s">
        <v>1969</v>
      </c>
      <c r="G171" s="21" t="s">
        <v>1979</v>
      </c>
      <c r="H171" s="21" t="s">
        <v>1968</v>
      </c>
      <c r="I171" s="21" t="s">
        <v>1968</v>
      </c>
      <c r="J171" s="21" t="s">
        <v>1968</v>
      </c>
      <c r="K171" s="21" t="s">
        <v>1968</v>
      </c>
      <c r="L171" s="22" t="str">
        <f t="shared" si="10"/>
        <v>EXCLUDE</v>
      </c>
      <c r="M171" s="22" t="str">
        <f t="shared" si="11"/>
        <v>Wrong domain (non-AECO)</v>
      </c>
      <c r="N171" s="23"/>
      <c r="O171" s="23"/>
      <c r="P171" s="24"/>
      <c r="Q171" s="24"/>
      <c r="R171" s="24"/>
      <c r="S171" s="22" t="str">
        <f t="shared" si="12"/>
        <v/>
      </c>
      <c r="T171" s="22" t="str">
        <f t="shared" si="13"/>
        <v/>
      </c>
      <c r="U171" s="25"/>
      <c r="V171" s="25"/>
      <c r="W171" s="25"/>
      <c r="X171" s="25"/>
      <c r="Y171" s="22" t="str">
        <f t="shared" si="14"/>
        <v/>
      </c>
      <c r="Z171" s="25"/>
      <c r="AA171" s="25"/>
      <c r="AB171" s="25"/>
      <c r="AC171" s="25"/>
      <c r="AD171" s="25"/>
      <c r="AE171" s="25"/>
      <c r="AF171" s="25"/>
      <c r="AG171" s="9"/>
      <c r="AH171" s="29"/>
      <c r="AI171" s="29"/>
      <c r="AM171" s="50"/>
      <c r="AN171" s="51" t="s">
        <v>2550</v>
      </c>
      <c r="AO171" s="55" t="s">
        <v>338</v>
      </c>
    </row>
    <row r="172" spans="1:41" ht="91.2" customHeight="1" x14ac:dyDescent="0.3">
      <c r="A172" s="20">
        <v>168</v>
      </c>
      <c r="B172" s="8" t="s">
        <v>2551</v>
      </c>
      <c r="C172" s="26">
        <v>2026</v>
      </c>
      <c r="D172" s="8"/>
      <c r="E172" s="8" t="s">
        <v>341</v>
      </c>
      <c r="F172" s="20" t="s">
        <v>1969</v>
      </c>
      <c r="G172" s="21" t="s">
        <v>1968</v>
      </c>
      <c r="H172" s="21" t="s">
        <v>1968</v>
      </c>
      <c r="I172" s="21" t="s">
        <v>1979</v>
      </c>
      <c r="J172" s="21" t="s">
        <v>1968</v>
      </c>
      <c r="K172" s="21" t="s">
        <v>1968</v>
      </c>
      <c r="L172" s="22" t="str">
        <f t="shared" si="10"/>
        <v>EXCLUDE</v>
      </c>
      <c r="M172" s="22" t="str">
        <f t="shared" si="11"/>
        <v>No Design for Safety / PtD focus</v>
      </c>
      <c r="N172" s="23"/>
      <c r="O172" s="23"/>
      <c r="P172" s="24"/>
      <c r="Q172" s="24"/>
      <c r="R172" s="24"/>
      <c r="S172" s="22" t="str">
        <f t="shared" si="12"/>
        <v/>
      </c>
      <c r="T172" s="22" t="str">
        <f t="shared" si="13"/>
        <v/>
      </c>
      <c r="U172" s="25"/>
      <c r="V172" s="25"/>
      <c r="W172" s="25"/>
      <c r="X172" s="25"/>
      <c r="Y172" s="22" t="str">
        <f t="shared" si="14"/>
        <v/>
      </c>
      <c r="Z172" s="25"/>
      <c r="AA172" s="25"/>
      <c r="AB172" s="25"/>
      <c r="AC172" s="25"/>
      <c r="AD172" s="25"/>
      <c r="AE172" s="25"/>
      <c r="AF172" s="25"/>
      <c r="AG172" s="9"/>
      <c r="AH172" s="29"/>
      <c r="AI172" s="29"/>
      <c r="AM172" s="50"/>
      <c r="AN172" s="51" t="s">
        <v>2552</v>
      </c>
      <c r="AO172" s="55" t="s">
        <v>340</v>
      </c>
    </row>
    <row r="173" spans="1:41" ht="68.400000000000006" hidden="1" customHeight="1" x14ac:dyDescent="0.3">
      <c r="A173" s="20">
        <v>169</v>
      </c>
      <c r="B173" s="8" t="s">
        <v>2553</v>
      </c>
      <c r="C173" s="26">
        <v>2026</v>
      </c>
      <c r="D173" s="8"/>
      <c r="E173" s="8" t="s">
        <v>343</v>
      </c>
      <c r="F173" s="20" t="s">
        <v>1969</v>
      </c>
      <c r="G173" s="21" t="s">
        <v>1968</v>
      </c>
      <c r="H173" s="21" t="s">
        <v>1968</v>
      </c>
      <c r="I173" s="21" t="s">
        <v>1968</v>
      </c>
      <c r="J173" s="21" t="s">
        <v>1968</v>
      </c>
      <c r="K173" s="21" t="s">
        <v>1968</v>
      </c>
      <c r="L173" s="22" t="str">
        <f t="shared" si="10"/>
        <v>INCLUDE</v>
      </c>
      <c r="M173" s="22" t="str">
        <f t="shared" si="11"/>
        <v/>
      </c>
      <c r="N173" s="23" t="s">
        <v>1968</v>
      </c>
      <c r="O173" s="23" t="s">
        <v>1968</v>
      </c>
      <c r="P173" s="24" t="s">
        <v>1979</v>
      </c>
      <c r="Q173" s="24" t="s">
        <v>1979</v>
      </c>
      <c r="R173" s="24" t="s">
        <v>1979</v>
      </c>
      <c r="S173" s="22" t="str">
        <f t="shared" si="12"/>
        <v>EXCLUDE</v>
      </c>
      <c r="T173" s="22" t="str">
        <f t="shared" si="13"/>
        <v>Digital Twin mentioned only, not the subject</v>
      </c>
      <c r="U173" s="25"/>
      <c r="V173" s="25"/>
      <c r="W173" s="25"/>
      <c r="X173" s="25"/>
      <c r="Y173" s="22" t="str">
        <f t="shared" si="14"/>
        <v/>
      </c>
      <c r="Z173" s="25"/>
      <c r="AA173" s="25"/>
      <c r="AB173" s="25"/>
      <c r="AC173" s="25"/>
      <c r="AD173" s="25"/>
      <c r="AE173" s="25"/>
      <c r="AF173" s="25"/>
      <c r="AG173" s="9" t="s">
        <v>2554</v>
      </c>
      <c r="AH173" s="29"/>
      <c r="AI173" s="29"/>
      <c r="AM173" s="50"/>
      <c r="AN173" s="51" t="s">
        <v>2555</v>
      </c>
      <c r="AO173" s="55" t="s">
        <v>342</v>
      </c>
    </row>
    <row r="174" spans="1:41" ht="57" hidden="1" customHeight="1" x14ac:dyDescent="0.3">
      <c r="A174" s="20">
        <v>170</v>
      </c>
      <c r="B174" s="8" t="s">
        <v>2556</v>
      </c>
      <c r="C174" s="26">
        <v>2026</v>
      </c>
      <c r="D174" s="8"/>
      <c r="E174" s="8" t="s">
        <v>345</v>
      </c>
      <c r="F174" s="20" t="s">
        <v>1969</v>
      </c>
      <c r="G174" s="21" t="s">
        <v>1968</v>
      </c>
      <c r="H174" s="21" t="s">
        <v>1979</v>
      </c>
      <c r="I174" s="21" t="s">
        <v>1968</v>
      </c>
      <c r="J174" s="21" t="s">
        <v>1968</v>
      </c>
      <c r="K174" s="21" t="s">
        <v>1968</v>
      </c>
      <c r="L174" s="22" t="str">
        <f t="shared" si="10"/>
        <v>EXCLUDE</v>
      </c>
      <c r="M174" s="22" t="str">
        <f t="shared" si="11"/>
        <v>Digital Twin not core / buzzword</v>
      </c>
      <c r="N174" s="23"/>
      <c r="O174" s="23"/>
      <c r="P174" s="24"/>
      <c r="Q174" s="24"/>
      <c r="R174" s="24"/>
      <c r="S174" s="22" t="str">
        <f t="shared" si="12"/>
        <v/>
      </c>
      <c r="T174" s="22" t="str">
        <f t="shared" si="13"/>
        <v/>
      </c>
      <c r="U174" s="25"/>
      <c r="V174" s="25"/>
      <c r="W174" s="25"/>
      <c r="X174" s="25"/>
      <c r="Y174" s="22" t="str">
        <f t="shared" si="14"/>
        <v/>
      </c>
      <c r="Z174" s="25"/>
      <c r="AA174" s="25"/>
      <c r="AB174" s="25"/>
      <c r="AC174" s="25"/>
      <c r="AD174" s="25"/>
      <c r="AE174" s="25"/>
      <c r="AF174" s="25"/>
      <c r="AG174" s="9"/>
      <c r="AH174" s="29"/>
      <c r="AI174" s="29"/>
      <c r="AM174" s="50"/>
      <c r="AN174" s="51" t="s">
        <v>2557</v>
      </c>
      <c r="AO174" s="55" t="s">
        <v>344</v>
      </c>
    </row>
    <row r="175" spans="1:41" ht="79.95" hidden="1" customHeight="1" x14ac:dyDescent="0.3">
      <c r="A175" s="20">
        <v>171</v>
      </c>
      <c r="B175" s="8" t="s">
        <v>2558</v>
      </c>
      <c r="C175" s="26">
        <v>2026</v>
      </c>
      <c r="D175" s="8"/>
      <c r="E175" s="8" t="s">
        <v>347</v>
      </c>
      <c r="F175" s="20" t="s">
        <v>1969</v>
      </c>
      <c r="G175" s="21" t="s">
        <v>1968</v>
      </c>
      <c r="H175" s="21" t="s">
        <v>1979</v>
      </c>
      <c r="I175" s="21" t="s">
        <v>1968</v>
      </c>
      <c r="J175" s="21" t="s">
        <v>1968</v>
      </c>
      <c r="K175" s="21" t="s">
        <v>1968</v>
      </c>
      <c r="L175" s="22" t="str">
        <f t="shared" si="10"/>
        <v>EXCLUDE</v>
      </c>
      <c r="M175" s="22" t="str">
        <f t="shared" si="11"/>
        <v>Digital Twin not core / buzzword</v>
      </c>
      <c r="N175" s="23"/>
      <c r="O175" s="23"/>
      <c r="P175" s="24"/>
      <c r="Q175" s="24"/>
      <c r="R175" s="24"/>
      <c r="S175" s="22" t="str">
        <f t="shared" si="12"/>
        <v/>
      </c>
      <c r="T175" s="22" t="str">
        <f t="shared" si="13"/>
        <v/>
      </c>
      <c r="U175" s="25"/>
      <c r="V175" s="25"/>
      <c r="W175" s="25"/>
      <c r="X175" s="25"/>
      <c r="Y175" s="22" t="str">
        <f t="shared" si="14"/>
        <v/>
      </c>
      <c r="Z175" s="25"/>
      <c r="AA175" s="25"/>
      <c r="AB175" s="25"/>
      <c r="AC175" s="25"/>
      <c r="AD175" s="25"/>
      <c r="AE175" s="25"/>
      <c r="AF175" s="25"/>
      <c r="AG175" s="9"/>
      <c r="AH175" s="29"/>
      <c r="AI175" s="29"/>
      <c r="AM175" s="50"/>
      <c r="AN175" s="51" t="s">
        <v>2559</v>
      </c>
      <c r="AO175" s="55" t="s">
        <v>346</v>
      </c>
    </row>
    <row r="176" spans="1:41" ht="68.400000000000006" hidden="1" customHeight="1" x14ac:dyDescent="0.3">
      <c r="A176" s="20">
        <v>172</v>
      </c>
      <c r="B176" s="8" t="s">
        <v>2560</v>
      </c>
      <c r="C176" s="26">
        <v>2026</v>
      </c>
      <c r="D176" s="8"/>
      <c r="E176" s="8" t="s">
        <v>349</v>
      </c>
      <c r="F176" s="20" t="s">
        <v>1969</v>
      </c>
      <c r="G176" s="21" t="s">
        <v>1968</v>
      </c>
      <c r="H176" s="21" t="s">
        <v>1968</v>
      </c>
      <c r="I176" s="21" t="s">
        <v>1968</v>
      </c>
      <c r="J176" s="21" t="s">
        <v>1968</v>
      </c>
      <c r="K176" s="21" t="s">
        <v>1968</v>
      </c>
      <c r="L176" s="22" t="str">
        <f t="shared" si="10"/>
        <v>INCLUDE</v>
      </c>
      <c r="M176" s="22" t="str">
        <f t="shared" si="11"/>
        <v/>
      </c>
      <c r="N176" s="23" t="s">
        <v>1968</v>
      </c>
      <c r="O176" s="23" t="s">
        <v>1968</v>
      </c>
      <c r="P176" s="24" t="s">
        <v>1968</v>
      </c>
      <c r="Q176" s="24" t="s">
        <v>1968</v>
      </c>
      <c r="R176" s="24" t="s">
        <v>1968</v>
      </c>
      <c r="S176" s="22" t="str">
        <f t="shared" si="12"/>
        <v>INCLUDE</v>
      </c>
      <c r="T176" s="22" t="str">
        <f t="shared" si="13"/>
        <v/>
      </c>
      <c r="U176" s="25" t="s">
        <v>1971</v>
      </c>
      <c r="V176" s="25">
        <v>0</v>
      </c>
      <c r="W176" s="25">
        <v>0</v>
      </c>
      <c r="X176" s="25">
        <v>1</v>
      </c>
      <c r="Y176" s="22" t="str">
        <f t="shared" si="14"/>
        <v>Single</v>
      </c>
      <c r="Z176" s="25" t="s">
        <v>1922</v>
      </c>
      <c r="AA176" s="25" t="s">
        <v>1972</v>
      </c>
      <c r="AB176" s="25" t="s">
        <v>2011</v>
      </c>
      <c r="AC176" s="25" t="s">
        <v>1986</v>
      </c>
      <c r="AD176" s="25" t="s">
        <v>2003</v>
      </c>
      <c r="AE176" s="25">
        <v>3</v>
      </c>
      <c r="AF176" s="25" t="s">
        <v>2010</v>
      </c>
      <c r="AG176" s="9" t="s">
        <v>2561</v>
      </c>
      <c r="AH176" s="29" t="s">
        <v>2562</v>
      </c>
      <c r="AI176" s="29" t="s">
        <v>2563</v>
      </c>
      <c r="AJ176" t="s">
        <v>1997</v>
      </c>
      <c r="AK176" t="s">
        <v>2564</v>
      </c>
      <c r="AL176" t="s">
        <v>1998</v>
      </c>
      <c r="AM176" s="50" t="s">
        <v>2098</v>
      </c>
      <c r="AN176" s="51" t="s">
        <v>2565</v>
      </c>
      <c r="AO176" s="55" t="s">
        <v>348</v>
      </c>
    </row>
    <row r="177" spans="1:41" ht="91.2" hidden="1" customHeight="1" x14ac:dyDescent="0.3">
      <c r="A177" s="20">
        <v>173</v>
      </c>
      <c r="B177" s="8" t="s">
        <v>2566</v>
      </c>
      <c r="C177" s="26">
        <v>2026</v>
      </c>
      <c r="D177" s="8"/>
      <c r="E177" s="8" t="s">
        <v>351</v>
      </c>
      <c r="F177" s="20" t="s">
        <v>1969</v>
      </c>
      <c r="G177" s="21" t="s">
        <v>1979</v>
      </c>
      <c r="H177" s="21" t="s">
        <v>1968</v>
      </c>
      <c r="I177" s="21" t="s">
        <v>1979</v>
      </c>
      <c r="J177" s="21" t="s">
        <v>1968</v>
      </c>
      <c r="K177" s="21" t="s">
        <v>1968</v>
      </c>
      <c r="L177" s="22" t="str">
        <f t="shared" si="10"/>
        <v>EXCLUDE</v>
      </c>
      <c r="M177" s="22" t="str">
        <f t="shared" si="11"/>
        <v>Wrong domain (non-AECO)</v>
      </c>
      <c r="N177" s="23"/>
      <c r="O177" s="23"/>
      <c r="P177" s="24"/>
      <c r="Q177" s="24"/>
      <c r="R177" s="24"/>
      <c r="S177" s="22" t="str">
        <f t="shared" si="12"/>
        <v/>
      </c>
      <c r="T177" s="22" t="str">
        <f t="shared" si="13"/>
        <v/>
      </c>
      <c r="U177" s="25"/>
      <c r="V177" s="25"/>
      <c r="W177" s="25"/>
      <c r="X177" s="25"/>
      <c r="Y177" s="22" t="str">
        <f t="shared" si="14"/>
        <v/>
      </c>
      <c r="Z177" s="25"/>
      <c r="AA177" s="25"/>
      <c r="AB177" s="25"/>
      <c r="AC177" s="25"/>
      <c r="AD177" s="25"/>
      <c r="AE177" s="25"/>
      <c r="AF177" s="25"/>
      <c r="AG177" s="9"/>
      <c r="AH177" s="29"/>
      <c r="AI177" s="29"/>
      <c r="AM177" s="50"/>
      <c r="AN177" s="51" t="s">
        <v>2567</v>
      </c>
      <c r="AO177" s="55" t="s">
        <v>350</v>
      </c>
    </row>
    <row r="178" spans="1:41" ht="34.200000000000003" hidden="1" customHeight="1" x14ac:dyDescent="0.3">
      <c r="A178" s="20">
        <v>174</v>
      </c>
      <c r="B178" s="8" t="s">
        <v>2568</v>
      </c>
      <c r="C178" s="26">
        <v>2026</v>
      </c>
      <c r="D178" s="8"/>
      <c r="E178" s="8" t="s">
        <v>353</v>
      </c>
      <c r="F178" s="20" t="s">
        <v>1969</v>
      </c>
      <c r="G178" s="21" t="s">
        <v>1979</v>
      </c>
      <c r="H178" s="21" t="s">
        <v>1979</v>
      </c>
      <c r="I178" s="21" t="s">
        <v>1968</v>
      </c>
      <c r="J178" s="21" t="s">
        <v>1968</v>
      </c>
      <c r="K178" s="21" t="s">
        <v>1968</v>
      </c>
      <c r="L178" s="22" t="str">
        <f t="shared" si="10"/>
        <v>EXCLUDE</v>
      </c>
      <c r="M178" s="22" t="str">
        <f t="shared" si="11"/>
        <v>Wrong domain (non-AECO)</v>
      </c>
      <c r="N178" s="23"/>
      <c r="O178" s="23"/>
      <c r="P178" s="24"/>
      <c r="Q178" s="24"/>
      <c r="R178" s="24"/>
      <c r="S178" s="22" t="str">
        <f t="shared" si="12"/>
        <v/>
      </c>
      <c r="T178" s="22" t="str">
        <f t="shared" si="13"/>
        <v/>
      </c>
      <c r="U178" s="25"/>
      <c r="V178" s="25"/>
      <c r="W178" s="25"/>
      <c r="X178" s="25"/>
      <c r="Y178" s="22" t="str">
        <f t="shared" si="14"/>
        <v/>
      </c>
      <c r="Z178" s="25"/>
      <c r="AA178" s="25"/>
      <c r="AB178" s="25"/>
      <c r="AC178" s="25"/>
      <c r="AD178" s="25"/>
      <c r="AE178" s="25"/>
      <c r="AF178" s="25"/>
      <c r="AG178" s="9"/>
      <c r="AH178" s="29"/>
      <c r="AI178" s="29"/>
      <c r="AM178" s="50"/>
      <c r="AN178" s="51" t="s">
        <v>2569</v>
      </c>
      <c r="AO178" s="55" t="s">
        <v>352</v>
      </c>
    </row>
    <row r="179" spans="1:41" ht="79.95" hidden="1" customHeight="1" x14ac:dyDescent="0.3">
      <c r="A179" s="20">
        <v>175</v>
      </c>
      <c r="B179" s="8" t="s">
        <v>2570</v>
      </c>
      <c r="C179" s="26">
        <v>2025</v>
      </c>
      <c r="D179" s="8"/>
      <c r="E179" s="8" t="s">
        <v>355</v>
      </c>
      <c r="F179" s="20" t="s">
        <v>1969</v>
      </c>
      <c r="G179" s="21" t="s">
        <v>1968</v>
      </c>
      <c r="H179" s="21" t="s">
        <v>1979</v>
      </c>
      <c r="I179" s="21" t="s">
        <v>1968</v>
      </c>
      <c r="J179" s="21" t="s">
        <v>1968</v>
      </c>
      <c r="K179" s="21" t="s">
        <v>1968</v>
      </c>
      <c r="L179" s="22" t="str">
        <f t="shared" si="10"/>
        <v>EXCLUDE</v>
      </c>
      <c r="M179" s="22" t="str">
        <f t="shared" si="11"/>
        <v>Digital Twin not core / buzzword</v>
      </c>
      <c r="N179" s="23"/>
      <c r="O179" s="23"/>
      <c r="P179" s="24"/>
      <c r="Q179" s="24"/>
      <c r="R179" s="24"/>
      <c r="S179" s="22" t="str">
        <f t="shared" si="12"/>
        <v/>
      </c>
      <c r="T179" s="22" t="str">
        <f t="shared" si="13"/>
        <v/>
      </c>
      <c r="U179" s="25"/>
      <c r="V179" s="25"/>
      <c r="W179" s="25"/>
      <c r="X179" s="25"/>
      <c r="Y179" s="22" t="str">
        <f t="shared" si="14"/>
        <v/>
      </c>
      <c r="Z179" s="25"/>
      <c r="AA179" s="25"/>
      <c r="AB179" s="25"/>
      <c r="AC179" s="25"/>
      <c r="AD179" s="25"/>
      <c r="AE179" s="25"/>
      <c r="AF179" s="25"/>
      <c r="AG179" s="9"/>
      <c r="AH179" s="29"/>
      <c r="AI179" s="29"/>
      <c r="AM179" s="50"/>
      <c r="AN179" s="51" t="s">
        <v>2571</v>
      </c>
      <c r="AO179" s="55" t="s">
        <v>354</v>
      </c>
    </row>
    <row r="180" spans="1:41" ht="102.6" customHeight="1" x14ac:dyDescent="0.3">
      <c r="A180" s="20">
        <v>176</v>
      </c>
      <c r="B180" s="8" t="s">
        <v>2572</v>
      </c>
      <c r="C180" s="26">
        <v>2025</v>
      </c>
      <c r="D180" s="8"/>
      <c r="E180" s="8" t="s">
        <v>357</v>
      </c>
      <c r="F180" s="20" t="s">
        <v>1969</v>
      </c>
      <c r="G180" s="21" t="s">
        <v>1979</v>
      </c>
      <c r="H180" s="21" t="s">
        <v>1968</v>
      </c>
      <c r="I180" s="21" t="s">
        <v>1968</v>
      </c>
      <c r="J180" s="21" t="s">
        <v>1968</v>
      </c>
      <c r="K180" s="21" t="s">
        <v>1968</v>
      </c>
      <c r="L180" s="22" t="str">
        <f t="shared" si="10"/>
        <v>EXCLUDE</v>
      </c>
      <c r="M180" s="22" t="str">
        <f t="shared" si="11"/>
        <v>Wrong domain (non-AECO)</v>
      </c>
      <c r="N180" s="23"/>
      <c r="O180" s="23"/>
      <c r="P180" s="24"/>
      <c r="Q180" s="24"/>
      <c r="R180" s="24"/>
      <c r="S180" s="22" t="str">
        <f t="shared" si="12"/>
        <v/>
      </c>
      <c r="T180" s="22" t="str">
        <f t="shared" si="13"/>
        <v/>
      </c>
      <c r="U180" s="25"/>
      <c r="V180" s="25"/>
      <c r="W180" s="25"/>
      <c r="X180" s="25"/>
      <c r="Y180" s="22" t="str">
        <f t="shared" si="14"/>
        <v/>
      </c>
      <c r="Z180" s="25"/>
      <c r="AA180" s="25"/>
      <c r="AB180" s="25"/>
      <c r="AC180" s="25"/>
      <c r="AD180" s="25"/>
      <c r="AE180" s="25"/>
      <c r="AF180" s="25"/>
      <c r="AG180" s="9"/>
      <c r="AH180" s="29"/>
      <c r="AI180" s="29"/>
      <c r="AM180" s="50"/>
      <c r="AN180" s="51" t="s">
        <v>2573</v>
      </c>
      <c r="AO180" s="55" t="s">
        <v>356</v>
      </c>
    </row>
    <row r="181" spans="1:41" ht="45.6" hidden="1" customHeight="1" x14ac:dyDescent="0.3">
      <c r="A181" s="20">
        <v>177</v>
      </c>
      <c r="B181" s="8" t="s">
        <v>2574</v>
      </c>
      <c r="C181" s="26">
        <v>2026</v>
      </c>
      <c r="D181" s="8"/>
      <c r="E181" s="8" t="s">
        <v>359</v>
      </c>
      <c r="F181" s="20" t="s">
        <v>1969</v>
      </c>
      <c r="G181" s="21" t="s">
        <v>1979</v>
      </c>
      <c r="H181" s="21" t="s">
        <v>1968</v>
      </c>
      <c r="I181" s="21" t="s">
        <v>1979</v>
      </c>
      <c r="J181" s="21" t="s">
        <v>1968</v>
      </c>
      <c r="K181" s="21" t="s">
        <v>1968</v>
      </c>
      <c r="L181" s="22" t="str">
        <f t="shared" si="10"/>
        <v>EXCLUDE</v>
      </c>
      <c r="M181" s="22" t="str">
        <f t="shared" si="11"/>
        <v>Wrong domain (non-AECO)</v>
      </c>
      <c r="N181" s="23"/>
      <c r="O181" s="23"/>
      <c r="P181" s="24"/>
      <c r="Q181" s="24"/>
      <c r="R181" s="24"/>
      <c r="S181" s="22" t="str">
        <f t="shared" si="12"/>
        <v/>
      </c>
      <c r="T181" s="22" t="str">
        <f t="shared" si="13"/>
        <v/>
      </c>
      <c r="U181" s="25"/>
      <c r="V181" s="25"/>
      <c r="W181" s="25"/>
      <c r="X181" s="25"/>
      <c r="Y181" s="22" t="str">
        <f t="shared" si="14"/>
        <v/>
      </c>
      <c r="Z181" s="25"/>
      <c r="AA181" s="25"/>
      <c r="AB181" s="25"/>
      <c r="AC181" s="25"/>
      <c r="AD181" s="25"/>
      <c r="AE181" s="25"/>
      <c r="AF181" s="25"/>
      <c r="AG181" s="9"/>
      <c r="AH181" s="29"/>
      <c r="AI181" s="29"/>
      <c r="AM181" s="50"/>
      <c r="AN181" s="51" t="s">
        <v>2575</v>
      </c>
      <c r="AO181" s="55" t="s">
        <v>358</v>
      </c>
    </row>
    <row r="182" spans="1:41" ht="114" customHeight="1" x14ac:dyDescent="0.3">
      <c r="A182" s="20">
        <v>178</v>
      </c>
      <c r="B182" s="8" t="s">
        <v>2576</v>
      </c>
      <c r="C182" s="26">
        <v>2026</v>
      </c>
      <c r="D182" s="8"/>
      <c r="E182" s="8" t="s">
        <v>361</v>
      </c>
      <c r="F182" s="20" t="s">
        <v>1969</v>
      </c>
      <c r="G182" s="21" t="s">
        <v>1968</v>
      </c>
      <c r="H182" s="21" t="s">
        <v>1979</v>
      </c>
      <c r="I182" s="21" t="s">
        <v>1968</v>
      </c>
      <c r="J182" s="21" t="s">
        <v>1968</v>
      </c>
      <c r="K182" s="21" t="s">
        <v>1968</v>
      </c>
      <c r="L182" s="22" t="str">
        <f t="shared" si="10"/>
        <v>EXCLUDE</v>
      </c>
      <c r="M182" s="22" t="str">
        <f t="shared" si="11"/>
        <v>Digital Twin not core / buzzword</v>
      </c>
      <c r="N182" s="23"/>
      <c r="O182" s="23"/>
      <c r="P182" s="24"/>
      <c r="Q182" s="24"/>
      <c r="R182" s="24"/>
      <c r="S182" s="22" t="str">
        <f t="shared" si="12"/>
        <v/>
      </c>
      <c r="T182" s="22" t="str">
        <f t="shared" si="13"/>
        <v/>
      </c>
      <c r="U182" s="25"/>
      <c r="V182" s="25"/>
      <c r="W182" s="25"/>
      <c r="X182" s="25"/>
      <c r="Y182" s="22" t="str">
        <f t="shared" si="14"/>
        <v/>
      </c>
      <c r="Z182" s="25"/>
      <c r="AA182" s="25"/>
      <c r="AB182" s="25"/>
      <c r="AC182" s="25"/>
      <c r="AD182" s="25"/>
      <c r="AE182" s="25"/>
      <c r="AF182" s="25"/>
      <c r="AG182" s="9"/>
      <c r="AH182" s="29"/>
      <c r="AI182" s="29"/>
      <c r="AM182" s="50"/>
      <c r="AN182" s="51" t="s">
        <v>2577</v>
      </c>
      <c r="AO182" s="55" t="s">
        <v>360</v>
      </c>
    </row>
    <row r="183" spans="1:41" ht="57" hidden="1" customHeight="1" x14ac:dyDescent="0.3">
      <c r="A183" s="20">
        <v>179</v>
      </c>
      <c r="B183" s="8" t="s">
        <v>2578</v>
      </c>
      <c r="C183" s="26">
        <v>2026</v>
      </c>
      <c r="D183" s="8"/>
      <c r="E183" s="8" t="s">
        <v>363</v>
      </c>
      <c r="F183" s="20" t="s">
        <v>1969</v>
      </c>
      <c r="G183" s="21" t="s">
        <v>1979</v>
      </c>
      <c r="H183" s="21" t="s">
        <v>1968</v>
      </c>
      <c r="I183" s="21" t="s">
        <v>1968</v>
      </c>
      <c r="J183" s="21" t="s">
        <v>1968</v>
      </c>
      <c r="K183" s="21" t="s">
        <v>1968</v>
      </c>
      <c r="L183" s="22" t="str">
        <f t="shared" si="10"/>
        <v>EXCLUDE</v>
      </c>
      <c r="M183" s="22" t="str">
        <f t="shared" si="11"/>
        <v>Wrong domain (non-AECO)</v>
      </c>
      <c r="N183" s="23"/>
      <c r="O183" s="23"/>
      <c r="P183" s="24"/>
      <c r="Q183" s="24"/>
      <c r="R183" s="24"/>
      <c r="S183" s="22" t="str">
        <f t="shared" si="12"/>
        <v/>
      </c>
      <c r="T183" s="22" t="str">
        <f t="shared" si="13"/>
        <v/>
      </c>
      <c r="U183" s="25"/>
      <c r="V183" s="25"/>
      <c r="W183" s="25"/>
      <c r="X183" s="25"/>
      <c r="Y183" s="22" t="str">
        <f t="shared" si="14"/>
        <v/>
      </c>
      <c r="Z183" s="25"/>
      <c r="AA183" s="25"/>
      <c r="AB183" s="25"/>
      <c r="AC183" s="25"/>
      <c r="AD183" s="25"/>
      <c r="AE183" s="25"/>
      <c r="AF183" s="25"/>
      <c r="AG183" s="9"/>
      <c r="AH183" s="29"/>
      <c r="AI183" s="29"/>
      <c r="AM183" s="50"/>
      <c r="AN183" s="51" t="s">
        <v>2579</v>
      </c>
      <c r="AO183" s="55" t="s">
        <v>362</v>
      </c>
    </row>
    <row r="184" spans="1:41" ht="45.6" hidden="1" customHeight="1" x14ac:dyDescent="0.3">
      <c r="A184" s="20">
        <v>180</v>
      </c>
      <c r="B184" s="8" t="s">
        <v>2580</v>
      </c>
      <c r="C184" s="26">
        <v>2026</v>
      </c>
      <c r="D184" s="8"/>
      <c r="E184" s="8" t="s">
        <v>365</v>
      </c>
      <c r="F184" s="20" t="s">
        <v>1969</v>
      </c>
      <c r="G184" s="21" t="s">
        <v>1968</v>
      </c>
      <c r="H184" s="21" t="s">
        <v>1968</v>
      </c>
      <c r="I184" s="21" t="s">
        <v>1968</v>
      </c>
      <c r="J184" s="21" t="s">
        <v>1968</v>
      </c>
      <c r="K184" s="21" t="s">
        <v>1968</v>
      </c>
      <c r="L184" s="22" t="str">
        <f t="shared" si="10"/>
        <v>INCLUDE</v>
      </c>
      <c r="M184" s="22" t="str">
        <f t="shared" si="11"/>
        <v/>
      </c>
      <c r="N184" s="23" t="s">
        <v>1968</v>
      </c>
      <c r="O184" s="23" t="s">
        <v>1968</v>
      </c>
      <c r="P184" s="24" t="s">
        <v>1968</v>
      </c>
      <c r="Q184" s="24" t="s">
        <v>1968</v>
      </c>
      <c r="R184" s="24" t="s">
        <v>1968</v>
      </c>
      <c r="S184" s="22" t="str">
        <f t="shared" si="12"/>
        <v>INCLUDE</v>
      </c>
      <c r="T184" s="22" t="str">
        <f t="shared" si="13"/>
        <v/>
      </c>
      <c r="U184" s="25" t="s">
        <v>1982</v>
      </c>
      <c r="V184" s="25">
        <v>0</v>
      </c>
      <c r="W184" s="25">
        <v>0</v>
      </c>
      <c r="X184" s="25">
        <v>1</v>
      </c>
      <c r="Y184" s="22" t="str">
        <f t="shared" si="14"/>
        <v>Single</v>
      </c>
      <c r="Z184" s="25" t="s">
        <v>1922</v>
      </c>
      <c r="AA184" s="25" t="s">
        <v>1972</v>
      </c>
      <c r="AB184" s="25" t="s">
        <v>2018</v>
      </c>
      <c r="AC184" s="25" t="s">
        <v>1986</v>
      </c>
      <c r="AD184" s="25" t="s">
        <v>2003</v>
      </c>
      <c r="AE184" s="25">
        <v>4</v>
      </c>
      <c r="AF184" s="25" t="s">
        <v>2010</v>
      </c>
      <c r="AG184" s="9" t="s">
        <v>2581</v>
      </c>
      <c r="AH184" s="29" t="s">
        <v>2582</v>
      </c>
      <c r="AI184" s="29" t="s">
        <v>2583</v>
      </c>
      <c r="AJ184" t="s">
        <v>2005</v>
      </c>
      <c r="AK184" t="s">
        <v>2584</v>
      </c>
      <c r="AL184" t="s">
        <v>1978</v>
      </c>
      <c r="AM184" s="50"/>
      <c r="AN184" s="51" t="s">
        <v>2585</v>
      </c>
      <c r="AO184" s="55" t="s">
        <v>364</v>
      </c>
    </row>
    <row r="185" spans="1:41" ht="102.6" customHeight="1" x14ac:dyDescent="0.3">
      <c r="A185" s="20">
        <v>181</v>
      </c>
      <c r="B185" s="8" t="s">
        <v>2586</v>
      </c>
      <c r="C185" s="26">
        <v>2026</v>
      </c>
      <c r="D185" s="8"/>
      <c r="E185" s="8" t="s">
        <v>367</v>
      </c>
      <c r="F185" s="20" t="s">
        <v>1969</v>
      </c>
      <c r="G185" s="21" t="s">
        <v>1968</v>
      </c>
      <c r="H185" s="21" t="s">
        <v>1979</v>
      </c>
      <c r="I185" s="21" t="s">
        <v>1968</v>
      </c>
      <c r="J185" s="21" t="s">
        <v>1968</v>
      </c>
      <c r="K185" s="21" t="s">
        <v>1968</v>
      </c>
      <c r="L185" s="22" t="str">
        <f t="shared" si="10"/>
        <v>EXCLUDE</v>
      </c>
      <c r="M185" s="22" t="str">
        <f t="shared" si="11"/>
        <v>Digital Twin not core / buzzword</v>
      </c>
      <c r="N185" s="23"/>
      <c r="O185" s="23"/>
      <c r="P185" s="24"/>
      <c r="Q185" s="24"/>
      <c r="R185" s="24"/>
      <c r="S185" s="22" t="str">
        <f t="shared" si="12"/>
        <v/>
      </c>
      <c r="T185" s="22" t="str">
        <f t="shared" si="13"/>
        <v/>
      </c>
      <c r="U185" s="25"/>
      <c r="V185" s="25"/>
      <c r="W185" s="25"/>
      <c r="X185" s="25"/>
      <c r="Y185" s="22" t="str">
        <f t="shared" si="14"/>
        <v/>
      </c>
      <c r="Z185" s="25"/>
      <c r="AA185" s="25"/>
      <c r="AB185" s="25"/>
      <c r="AC185" s="25"/>
      <c r="AD185" s="25"/>
      <c r="AE185" s="25"/>
      <c r="AF185" s="25"/>
      <c r="AG185" s="9"/>
      <c r="AH185" s="29"/>
      <c r="AI185" s="29"/>
      <c r="AM185" s="50"/>
      <c r="AN185" s="51" t="s">
        <v>2587</v>
      </c>
      <c r="AO185" s="55" t="s">
        <v>366</v>
      </c>
    </row>
    <row r="186" spans="1:41" ht="57" hidden="1" customHeight="1" x14ac:dyDescent="0.3">
      <c r="A186" s="20">
        <v>182</v>
      </c>
      <c r="B186" s="8" t="s">
        <v>2588</v>
      </c>
      <c r="C186" s="26">
        <v>2026</v>
      </c>
      <c r="D186" s="8"/>
      <c r="E186" s="8" t="s">
        <v>369</v>
      </c>
      <c r="F186" s="20" t="s">
        <v>1969</v>
      </c>
      <c r="G186" s="21" t="s">
        <v>1968</v>
      </c>
      <c r="H186" s="21" t="s">
        <v>1979</v>
      </c>
      <c r="I186" s="21" t="s">
        <v>1968</v>
      </c>
      <c r="J186" s="21" t="s">
        <v>1968</v>
      </c>
      <c r="K186" s="21" t="s">
        <v>1968</v>
      </c>
      <c r="L186" s="22" t="str">
        <f t="shared" si="10"/>
        <v>EXCLUDE</v>
      </c>
      <c r="M186" s="22" t="str">
        <f t="shared" si="11"/>
        <v>Digital Twin not core / buzzword</v>
      </c>
      <c r="N186" s="23"/>
      <c r="O186" s="23"/>
      <c r="P186" s="24"/>
      <c r="Q186" s="24"/>
      <c r="R186" s="24"/>
      <c r="S186" s="22" t="str">
        <f t="shared" si="12"/>
        <v/>
      </c>
      <c r="T186" s="22" t="str">
        <f t="shared" si="13"/>
        <v/>
      </c>
      <c r="U186" s="25"/>
      <c r="V186" s="25"/>
      <c r="W186" s="25"/>
      <c r="X186" s="25"/>
      <c r="Y186" s="22" t="str">
        <f t="shared" si="14"/>
        <v/>
      </c>
      <c r="Z186" s="25"/>
      <c r="AA186" s="25"/>
      <c r="AB186" s="25"/>
      <c r="AC186" s="25"/>
      <c r="AD186" s="25"/>
      <c r="AE186" s="25"/>
      <c r="AF186" s="25"/>
      <c r="AG186" s="9"/>
      <c r="AH186" s="29"/>
      <c r="AI186" s="29"/>
      <c r="AM186" s="50"/>
      <c r="AN186" s="51" t="s">
        <v>2589</v>
      </c>
      <c r="AO186" s="55" t="s">
        <v>368</v>
      </c>
    </row>
    <row r="187" spans="1:41" ht="86.4" customHeight="1" x14ac:dyDescent="0.3">
      <c r="A187" s="20">
        <v>183</v>
      </c>
      <c r="B187" s="8" t="s">
        <v>2590</v>
      </c>
      <c r="C187" s="26">
        <v>2026</v>
      </c>
      <c r="D187" s="8"/>
      <c r="E187" s="8" t="s">
        <v>371</v>
      </c>
      <c r="F187" s="20" t="s">
        <v>1969</v>
      </c>
      <c r="G187" s="21" t="s">
        <v>1968</v>
      </c>
      <c r="H187" s="21" t="s">
        <v>1968</v>
      </c>
      <c r="I187" s="21" t="s">
        <v>1979</v>
      </c>
      <c r="J187" s="21" t="s">
        <v>1968</v>
      </c>
      <c r="K187" s="21" t="s">
        <v>1968</v>
      </c>
      <c r="L187" s="22" t="str">
        <f t="shared" si="10"/>
        <v>EXCLUDE</v>
      </c>
      <c r="M187" s="22" t="str">
        <f t="shared" si="11"/>
        <v>No Design for Safety / PtD focus</v>
      </c>
      <c r="N187" s="23"/>
      <c r="O187" s="23"/>
      <c r="P187" s="24"/>
      <c r="Q187" s="24"/>
      <c r="R187" s="24"/>
      <c r="S187" s="22" t="str">
        <f t="shared" si="12"/>
        <v/>
      </c>
      <c r="T187" s="22" t="str">
        <f t="shared" si="13"/>
        <v/>
      </c>
      <c r="U187" s="25"/>
      <c r="V187" s="25"/>
      <c r="W187" s="25"/>
      <c r="X187" s="25"/>
      <c r="Y187" s="22" t="str">
        <f t="shared" si="14"/>
        <v/>
      </c>
      <c r="Z187" s="25"/>
      <c r="AA187" s="25"/>
      <c r="AB187" s="25"/>
      <c r="AC187" s="25"/>
      <c r="AD187" s="25"/>
      <c r="AE187" s="25"/>
      <c r="AF187" s="25"/>
      <c r="AG187" s="9"/>
      <c r="AH187" s="29"/>
      <c r="AI187" s="29"/>
      <c r="AM187" s="50"/>
      <c r="AN187" s="51" t="s">
        <v>2591</v>
      </c>
      <c r="AO187" s="55" t="s">
        <v>370</v>
      </c>
    </row>
    <row r="188" spans="1:41" ht="57" hidden="1" customHeight="1" x14ac:dyDescent="0.3">
      <c r="A188" s="20">
        <v>184</v>
      </c>
      <c r="B188" s="8" t="s">
        <v>2592</v>
      </c>
      <c r="C188" s="26">
        <v>2025</v>
      </c>
      <c r="D188" s="8"/>
      <c r="E188" s="8" t="s">
        <v>373</v>
      </c>
      <c r="F188" s="20" t="s">
        <v>1969</v>
      </c>
      <c r="G188" s="21" t="s">
        <v>1968</v>
      </c>
      <c r="H188" s="21" t="s">
        <v>1968</v>
      </c>
      <c r="I188" s="21" t="s">
        <v>1968</v>
      </c>
      <c r="J188" s="21" t="s">
        <v>1968</v>
      </c>
      <c r="K188" s="21" t="s">
        <v>1968</v>
      </c>
      <c r="L188" s="22" t="str">
        <f t="shared" si="10"/>
        <v>INCLUDE</v>
      </c>
      <c r="M188" s="22" t="str">
        <f t="shared" si="11"/>
        <v/>
      </c>
      <c r="N188" s="23" t="s">
        <v>1968</v>
      </c>
      <c r="O188" s="23" t="s">
        <v>1968</v>
      </c>
      <c r="P188" s="24" t="s">
        <v>1968</v>
      </c>
      <c r="Q188" s="24" t="s">
        <v>1968</v>
      </c>
      <c r="R188" s="24" t="s">
        <v>1968</v>
      </c>
      <c r="S188" s="22" t="str">
        <f t="shared" si="12"/>
        <v>INCLUDE</v>
      </c>
      <c r="T188" s="22" t="str">
        <f t="shared" si="13"/>
        <v/>
      </c>
      <c r="U188" s="25" t="s">
        <v>1982</v>
      </c>
      <c r="V188" s="25">
        <v>0</v>
      </c>
      <c r="W188" s="25">
        <v>0</v>
      </c>
      <c r="X188" s="25">
        <v>1</v>
      </c>
      <c r="Y188" s="22" t="str">
        <f t="shared" si="14"/>
        <v>Single</v>
      </c>
      <c r="Z188" s="25" t="s">
        <v>1922</v>
      </c>
      <c r="AA188" s="25" t="s">
        <v>1972</v>
      </c>
      <c r="AB188" s="25" t="s">
        <v>2014</v>
      </c>
      <c r="AC188" s="25" t="s">
        <v>1986</v>
      </c>
      <c r="AD188" s="25" t="s">
        <v>2003</v>
      </c>
      <c r="AE188" s="25">
        <v>4</v>
      </c>
      <c r="AF188" s="25" t="s">
        <v>2004</v>
      </c>
      <c r="AG188" s="9" t="s">
        <v>2593</v>
      </c>
      <c r="AH188" s="29" t="s">
        <v>2594</v>
      </c>
      <c r="AI188" s="29" t="s">
        <v>2595</v>
      </c>
      <c r="AJ188" t="s">
        <v>1997</v>
      </c>
      <c r="AK188" t="s">
        <v>2596</v>
      </c>
      <c r="AL188" t="s">
        <v>1978</v>
      </c>
      <c r="AM188" s="50"/>
      <c r="AN188" s="51" t="s">
        <v>2597</v>
      </c>
      <c r="AO188" s="55" t="s">
        <v>372</v>
      </c>
    </row>
    <row r="189" spans="1:41" ht="114" customHeight="1" x14ac:dyDescent="0.3">
      <c r="A189" s="20">
        <v>185</v>
      </c>
      <c r="B189" s="8" t="s">
        <v>2598</v>
      </c>
      <c r="C189" s="26">
        <v>2025</v>
      </c>
      <c r="D189" s="8"/>
      <c r="E189" s="8" t="s">
        <v>375</v>
      </c>
      <c r="F189" s="20" t="s">
        <v>1969</v>
      </c>
      <c r="G189" s="21" t="s">
        <v>1968</v>
      </c>
      <c r="H189" s="21" t="s">
        <v>1968</v>
      </c>
      <c r="I189" s="21" t="s">
        <v>1968</v>
      </c>
      <c r="J189" s="21" t="s">
        <v>1968</v>
      </c>
      <c r="K189" s="21" t="s">
        <v>1968</v>
      </c>
      <c r="L189" s="22" t="str">
        <f t="shared" si="10"/>
        <v>INCLUDE</v>
      </c>
      <c r="M189" s="22" t="str">
        <f t="shared" si="11"/>
        <v/>
      </c>
      <c r="N189" s="23" t="s">
        <v>1968</v>
      </c>
      <c r="O189" s="23" t="s">
        <v>1968</v>
      </c>
      <c r="P189" s="24" t="s">
        <v>1968</v>
      </c>
      <c r="Q189" s="24" t="s">
        <v>1968</v>
      </c>
      <c r="R189" s="24" t="s">
        <v>1968</v>
      </c>
      <c r="S189" s="22" t="str">
        <f t="shared" si="12"/>
        <v>INCLUDE</v>
      </c>
      <c r="T189" s="22" t="str">
        <f t="shared" si="13"/>
        <v/>
      </c>
      <c r="U189" s="25" t="s">
        <v>1971</v>
      </c>
      <c r="V189" s="25">
        <v>0</v>
      </c>
      <c r="W189" s="25">
        <v>0</v>
      </c>
      <c r="X189" s="25">
        <v>1</v>
      </c>
      <c r="Y189" s="22" t="str">
        <f t="shared" si="14"/>
        <v>Single</v>
      </c>
      <c r="Z189" s="25" t="s">
        <v>1922</v>
      </c>
      <c r="AA189" s="25" t="s">
        <v>1972</v>
      </c>
      <c r="AB189" s="25" t="s">
        <v>2017</v>
      </c>
      <c r="AC189" s="25" t="s">
        <v>1986</v>
      </c>
      <c r="AD189" s="25" t="s">
        <v>1975</v>
      </c>
      <c r="AE189" s="25">
        <v>3</v>
      </c>
      <c r="AF189" s="25" t="s">
        <v>2012</v>
      </c>
      <c r="AG189" s="9" t="s">
        <v>2599</v>
      </c>
      <c r="AH189" s="29" t="s">
        <v>2600</v>
      </c>
      <c r="AI189" s="29" t="s">
        <v>2601</v>
      </c>
      <c r="AJ189" t="s">
        <v>1997</v>
      </c>
      <c r="AK189" t="s">
        <v>2602</v>
      </c>
      <c r="AL189" t="s">
        <v>1990</v>
      </c>
      <c r="AM189" s="50"/>
      <c r="AN189" s="51" t="s">
        <v>2603</v>
      </c>
      <c r="AO189" s="55" t="s">
        <v>374</v>
      </c>
    </row>
    <row r="190" spans="1:41" ht="68.400000000000006" hidden="1" customHeight="1" x14ac:dyDescent="0.3">
      <c r="A190" s="20">
        <v>186</v>
      </c>
      <c r="B190" s="8" t="s">
        <v>2604</v>
      </c>
      <c r="C190" s="26">
        <v>2026</v>
      </c>
      <c r="D190" s="8"/>
      <c r="E190" s="8" t="s">
        <v>377</v>
      </c>
      <c r="F190" s="20" t="s">
        <v>1969</v>
      </c>
      <c r="G190" s="21" t="s">
        <v>1968</v>
      </c>
      <c r="H190" s="21" t="s">
        <v>1968</v>
      </c>
      <c r="I190" s="21" t="s">
        <v>1968</v>
      </c>
      <c r="J190" s="21" t="s">
        <v>1968</v>
      </c>
      <c r="K190" s="21" t="s">
        <v>1968</v>
      </c>
      <c r="L190" s="22" t="str">
        <f t="shared" si="10"/>
        <v>INCLUDE</v>
      </c>
      <c r="M190" s="22" t="str">
        <f t="shared" si="11"/>
        <v/>
      </c>
      <c r="N190" s="23" t="s">
        <v>1968</v>
      </c>
      <c r="O190" s="23" t="s">
        <v>1968</v>
      </c>
      <c r="P190" s="24" t="s">
        <v>1968</v>
      </c>
      <c r="Q190" s="24" t="s">
        <v>1968</v>
      </c>
      <c r="R190" s="24" t="s">
        <v>1968</v>
      </c>
      <c r="S190" s="22" t="str">
        <f t="shared" si="12"/>
        <v>INCLUDE</v>
      </c>
      <c r="T190" s="22" t="str">
        <f t="shared" si="13"/>
        <v/>
      </c>
      <c r="U190" s="25" t="s">
        <v>1982</v>
      </c>
      <c r="V190" s="25">
        <v>0</v>
      </c>
      <c r="W190" s="25">
        <v>1</v>
      </c>
      <c r="X190" s="25">
        <v>0</v>
      </c>
      <c r="Y190" s="22" t="str">
        <f t="shared" si="14"/>
        <v>Single</v>
      </c>
      <c r="Z190" s="25" t="s">
        <v>1922</v>
      </c>
      <c r="AA190" s="25" t="s">
        <v>1972</v>
      </c>
      <c r="AB190" s="25" t="s">
        <v>1985</v>
      </c>
      <c r="AC190" s="25" t="s">
        <v>1986</v>
      </c>
      <c r="AD190" s="25" t="s">
        <v>1987</v>
      </c>
      <c r="AE190" s="25">
        <v>4</v>
      </c>
      <c r="AF190" s="25" t="s">
        <v>2010</v>
      </c>
      <c r="AG190" s="9" t="s">
        <v>2605</v>
      </c>
      <c r="AH190" s="29" t="s">
        <v>2606</v>
      </c>
      <c r="AI190" s="29" t="s">
        <v>2607</v>
      </c>
      <c r="AJ190" t="s">
        <v>2005</v>
      </c>
      <c r="AK190" t="s">
        <v>2608</v>
      </c>
      <c r="AL190" t="s">
        <v>1978</v>
      </c>
      <c r="AM190" s="50"/>
      <c r="AN190" s="51" t="s">
        <v>2609</v>
      </c>
      <c r="AO190" s="55" t="s">
        <v>376</v>
      </c>
    </row>
    <row r="191" spans="1:41" ht="57" hidden="1" customHeight="1" x14ac:dyDescent="0.3">
      <c r="A191" s="20">
        <v>187</v>
      </c>
      <c r="B191" s="8" t="s">
        <v>2610</v>
      </c>
      <c r="C191" s="26">
        <v>2026</v>
      </c>
      <c r="D191" s="8"/>
      <c r="E191" s="8" t="s">
        <v>379</v>
      </c>
      <c r="F191" s="20" t="s">
        <v>1969</v>
      </c>
      <c r="G191" s="21" t="s">
        <v>1968</v>
      </c>
      <c r="H191" s="21" t="s">
        <v>1979</v>
      </c>
      <c r="I191" s="21" t="s">
        <v>1968</v>
      </c>
      <c r="J191" s="21" t="s">
        <v>1968</v>
      </c>
      <c r="K191" s="21" t="s">
        <v>1968</v>
      </c>
      <c r="L191" s="22" t="str">
        <f t="shared" si="10"/>
        <v>EXCLUDE</v>
      </c>
      <c r="M191" s="22" t="str">
        <f t="shared" si="11"/>
        <v>Digital Twin not core / buzzword</v>
      </c>
      <c r="N191" s="23"/>
      <c r="O191" s="23"/>
      <c r="P191" s="24"/>
      <c r="Q191" s="24"/>
      <c r="R191" s="24"/>
      <c r="S191" s="22" t="str">
        <f t="shared" si="12"/>
        <v/>
      </c>
      <c r="T191" s="22" t="str">
        <f t="shared" si="13"/>
        <v/>
      </c>
      <c r="U191" s="25"/>
      <c r="V191" s="25"/>
      <c r="W191" s="25"/>
      <c r="X191" s="25"/>
      <c r="Y191" s="22" t="str">
        <f t="shared" si="14"/>
        <v/>
      </c>
      <c r="Z191" s="25"/>
      <c r="AA191" s="25"/>
      <c r="AB191" s="25"/>
      <c r="AC191" s="25"/>
      <c r="AD191" s="25"/>
      <c r="AE191" s="25"/>
      <c r="AF191" s="25"/>
      <c r="AG191" s="9"/>
      <c r="AH191" s="29"/>
      <c r="AI191" s="29"/>
      <c r="AM191" s="50"/>
      <c r="AN191" s="51" t="s">
        <v>2611</v>
      </c>
      <c r="AO191" s="55" t="s">
        <v>378</v>
      </c>
    </row>
    <row r="192" spans="1:41" ht="68.400000000000006" hidden="1" customHeight="1" x14ac:dyDescent="0.3">
      <c r="A192" s="20">
        <v>188</v>
      </c>
      <c r="B192" s="8" t="s">
        <v>2612</v>
      </c>
      <c r="C192" s="26">
        <v>2025</v>
      </c>
      <c r="D192" s="8"/>
      <c r="E192" s="8" t="s">
        <v>381</v>
      </c>
      <c r="F192" s="20" t="s">
        <v>1969</v>
      </c>
      <c r="G192" s="21" t="s">
        <v>1968</v>
      </c>
      <c r="H192" s="21" t="s">
        <v>1979</v>
      </c>
      <c r="I192" s="21" t="s">
        <v>1968</v>
      </c>
      <c r="J192" s="21" t="s">
        <v>1968</v>
      </c>
      <c r="K192" s="21" t="s">
        <v>1968</v>
      </c>
      <c r="L192" s="22" t="str">
        <f t="shared" si="10"/>
        <v>EXCLUDE</v>
      </c>
      <c r="M192" s="22" t="str">
        <f t="shared" si="11"/>
        <v>Digital Twin not core / buzzword</v>
      </c>
      <c r="N192" s="23"/>
      <c r="O192" s="23"/>
      <c r="P192" s="24"/>
      <c r="Q192" s="24"/>
      <c r="R192" s="24"/>
      <c r="S192" s="22" t="str">
        <f t="shared" si="12"/>
        <v/>
      </c>
      <c r="T192" s="22" t="str">
        <f t="shared" si="13"/>
        <v/>
      </c>
      <c r="U192" s="25"/>
      <c r="V192" s="25"/>
      <c r="W192" s="25"/>
      <c r="X192" s="25"/>
      <c r="Y192" s="22" t="str">
        <f t="shared" si="14"/>
        <v/>
      </c>
      <c r="Z192" s="25"/>
      <c r="AA192" s="25"/>
      <c r="AB192" s="25"/>
      <c r="AC192" s="25"/>
      <c r="AD192" s="25"/>
      <c r="AE192" s="25"/>
      <c r="AF192" s="25"/>
      <c r="AG192" s="9"/>
      <c r="AH192" s="29"/>
      <c r="AI192" s="29"/>
      <c r="AM192" s="50"/>
      <c r="AN192" s="51" t="s">
        <v>2613</v>
      </c>
      <c r="AO192" s="55" t="s">
        <v>380</v>
      </c>
    </row>
    <row r="193" spans="1:41" ht="57" hidden="1" customHeight="1" x14ac:dyDescent="0.3">
      <c r="A193" s="20">
        <v>189</v>
      </c>
      <c r="B193" s="8" t="s">
        <v>2614</v>
      </c>
      <c r="C193" s="26">
        <v>2025</v>
      </c>
      <c r="D193" s="8"/>
      <c r="E193" s="8" t="s">
        <v>383</v>
      </c>
      <c r="F193" s="20" t="s">
        <v>1969</v>
      </c>
      <c r="G193" s="21" t="s">
        <v>1979</v>
      </c>
      <c r="H193" s="21" t="s">
        <v>1968</v>
      </c>
      <c r="I193" s="21" t="s">
        <v>1968</v>
      </c>
      <c r="J193" s="21" t="s">
        <v>1968</v>
      </c>
      <c r="K193" s="21" t="s">
        <v>1968</v>
      </c>
      <c r="L193" s="22" t="str">
        <f t="shared" si="10"/>
        <v>EXCLUDE</v>
      </c>
      <c r="M193" s="22" t="str">
        <f t="shared" si="11"/>
        <v>Wrong domain (non-AECO)</v>
      </c>
      <c r="N193" s="23"/>
      <c r="O193" s="23"/>
      <c r="P193" s="24"/>
      <c r="Q193" s="24"/>
      <c r="R193" s="24"/>
      <c r="S193" s="22" t="str">
        <f t="shared" si="12"/>
        <v/>
      </c>
      <c r="T193" s="22" t="str">
        <f t="shared" si="13"/>
        <v/>
      </c>
      <c r="U193" s="25"/>
      <c r="V193" s="25"/>
      <c r="W193" s="25"/>
      <c r="X193" s="25"/>
      <c r="Y193" s="22" t="str">
        <f t="shared" si="14"/>
        <v/>
      </c>
      <c r="Z193" s="25"/>
      <c r="AA193" s="25"/>
      <c r="AB193" s="25"/>
      <c r="AC193" s="25"/>
      <c r="AD193" s="25"/>
      <c r="AE193" s="25"/>
      <c r="AF193" s="25"/>
      <c r="AG193" s="9"/>
      <c r="AH193" s="29"/>
      <c r="AI193" s="29"/>
      <c r="AM193" s="50"/>
      <c r="AN193" s="51" t="s">
        <v>2615</v>
      </c>
      <c r="AO193" s="55" t="s">
        <v>382</v>
      </c>
    </row>
    <row r="194" spans="1:41" ht="57" hidden="1" customHeight="1" x14ac:dyDescent="0.3">
      <c r="A194" s="20">
        <v>190</v>
      </c>
      <c r="B194" s="8" t="s">
        <v>2616</v>
      </c>
      <c r="C194" s="26">
        <v>2025</v>
      </c>
      <c r="D194" s="8"/>
      <c r="E194" s="8" t="s">
        <v>385</v>
      </c>
      <c r="F194" s="20" t="s">
        <v>1969</v>
      </c>
      <c r="G194" s="21" t="s">
        <v>1968</v>
      </c>
      <c r="H194" s="21" t="s">
        <v>1968</v>
      </c>
      <c r="I194" s="21" t="s">
        <v>1979</v>
      </c>
      <c r="J194" s="21" t="s">
        <v>1968</v>
      </c>
      <c r="K194" s="21" t="s">
        <v>1968</v>
      </c>
      <c r="L194" s="22" t="str">
        <f t="shared" si="10"/>
        <v>EXCLUDE</v>
      </c>
      <c r="M194" s="22" t="str">
        <f t="shared" si="11"/>
        <v>No Design for Safety / PtD focus</v>
      </c>
      <c r="N194" s="23"/>
      <c r="O194" s="23"/>
      <c r="P194" s="24"/>
      <c r="Q194" s="24"/>
      <c r="R194" s="24"/>
      <c r="S194" s="22" t="str">
        <f t="shared" si="12"/>
        <v/>
      </c>
      <c r="T194" s="22" t="str">
        <f t="shared" si="13"/>
        <v/>
      </c>
      <c r="U194" s="25"/>
      <c r="V194" s="25"/>
      <c r="W194" s="25"/>
      <c r="X194" s="25"/>
      <c r="Y194" s="22" t="str">
        <f t="shared" si="14"/>
        <v/>
      </c>
      <c r="Z194" s="25"/>
      <c r="AA194" s="25"/>
      <c r="AB194" s="25"/>
      <c r="AC194" s="25"/>
      <c r="AD194" s="25"/>
      <c r="AE194" s="25"/>
      <c r="AF194" s="25"/>
      <c r="AG194" s="9"/>
      <c r="AH194" s="29"/>
      <c r="AI194" s="29"/>
      <c r="AM194" s="50"/>
      <c r="AN194" s="51" t="s">
        <v>2617</v>
      </c>
      <c r="AO194" s="55" t="s">
        <v>384</v>
      </c>
    </row>
    <row r="195" spans="1:41" ht="57" hidden="1" customHeight="1" x14ac:dyDescent="0.3">
      <c r="A195" s="20">
        <v>191</v>
      </c>
      <c r="B195" s="8" t="s">
        <v>2618</v>
      </c>
      <c r="C195" s="26">
        <v>2026</v>
      </c>
      <c r="D195" s="8"/>
      <c r="E195" s="8" t="s">
        <v>387</v>
      </c>
      <c r="F195" s="20" t="s">
        <v>1969</v>
      </c>
      <c r="G195" s="21" t="s">
        <v>1979</v>
      </c>
      <c r="H195" s="21" t="s">
        <v>1968</v>
      </c>
      <c r="I195" s="21" t="s">
        <v>1979</v>
      </c>
      <c r="J195" s="21" t="s">
        <v>1968</v>
      </c>
      <c r="K195" s="21" t="s">
        <v>1968</v>
      </c>
      <c r="L195" s="22" t="str">
        <f t="shared" si="10"/>
        <v>EXCLUDE</v>
      </c>
      <c r="M195" s="22" t="str">
        <f t="shared" si="11"/>
        <v>Wrong domain (non-AECO)</v>
      </c>
      <c r="N195" s="23"/>
      <c r="O195" s="23"/>
      <c r="P195" s="24"/>
      <c r="Q195" s="24"/>
      <c r="R195" s="24"/>
      <c r="S195" s="22" t="str">
        <f t="shared" si="12"/>
        <v/>
      </c>
      <c r="T195" s="22" t="str">
        <f t="shared" si="13"/>
        <v/>
      </c>
      <c r="U195" s="25"/>
      <c r="V195" s="25"/>
      <c r="W195" s="25"/>
      <c r="X195" s="25"/>
      <c r="Y195" s="22" t="str">
        <f t="shared" si="14"/>
        <v/>
      </c>
      <c r="Z195" s="25"/>
      <c r="AA195" s="25"/>
      <c r="AB195" s="25"/>
      <c r="AC195" s="25"/>
      <c r="AD195" s="25"/>
      <c r="AE195" s="25"/>
      <c r="AF195" s="25"/>
      <c r="AG195" s="9"/>
      <c r="AH195" s="29"/>
      <c r="AI195" s="29"/>
      <c r="AM195" s="50"/>
      <c r="AN195" s="51" t="s">
        <v>2619</v>
      </c>
      <c r="AO195" s="55" t="s">
        <v>386</v>
      </c>
    </row>
    <row r="196" spans="1:41" ht="45.6" hidden="1" customHeight="1" x14ac:dyDescent="0.3">
      <c r="A196" s="20">
        <v>192</v>
      </c>
      <c r="B196" s="8" t="s">
        <v>2620</v>
      </c>
      <c r="C196" s="26">
        <v>2026</v>
      </c>
      <c r="D196" s="8"/>
      <c r="E196" s="8" t="s">
        <v>389</v>
      </c>
      <c r="F196" s="20" t="s">
        <v>1969</v>
      </c>
      <c r="G196" s="21" t="s">
        <v>1979</v>
      </c>
      <c r="H196" s="21" t="s">
        <v>1968</v>
      </c>
      <c r="I196" s="21" t="s">
        <v>1968</v>
      </c>
      <c r="J196" s="21" t="s">
        <v>1968</v>
      </c>
      <c r="K196" s="21" t="s">
        <v>1968</v>
      </c>
      <c r="L196" s="22" t="str">
        <f t="shared" si="10"/>
        <v>EXCLUDE</v>
      </c>
      <c r="M196" s="22" t="str">
        <f t="shared" si="11"/>
        <v>Wrong domain (non-AECO)</v>
      </c>
      <c r="N196" s="23"/>
      <c r="O196" s="23"/>
      <c r="P196" s="24"/>
      <c r="Q196" s="24"/>
      <c r="R196" s="24"/>
      <c r="S196" s="22" t="str">
        <f t="shared" si="12"/>
        <v/>
      </c>
      <c r="T196" s="22" t="str">
        <f t="shared" si="13"/>
        <v/>
      </c>
      <c r="U196" s="25"/>
      <c r="V196" s="25"/>
      <c r="W196" s="25"/>
      <c r="X196" s="25"/>
      <c r="Y196" s="22" t="str">
        <f t="shared" si="14"/>
        <v/>
      </c>
      <c r="Z196" s="25"/>
      <c r="AA196" s="25"/>
      <c r="AB196" s="25"/>
      <c r="AC196" s="25"/>
      <c r="AD196" s="25"/>
      <c r="AE196" s="25"/>
      <c r="AF196" s="25"/>
      <c r="AG196" s="9"/>
      <c r="AH196" s="29"/>
      <c r="AI196" s="29"/>
      <c r="AM196" s="50"/>
      <c r="AN196" s="51" t="s">
        <v>2621</v>
      </c>
      <c r="AO196" s="55" t="s">
        <v>388</v>
      </c>
    </row>
    <row r="197" spans="1:41" ht="57" hidden="1" customHeight="1" x14ac:dyDescent="0.3">
      <c r="A197" s="20">
        <v>193</v>
      </c>
      <c r="B197" s="8" t="s">
        <v>2622</v>
      </c>
      <c r="C197" s="26">
        <v>2025</v>
      </c>
      <c r="D197" s="8"/>
      <c r="E197" s="8" t="s">
        <v>391</v>
      </c>
      <c r="F197" s="20" t="s">
        <v>1969</v>
      </c>
      <c r="G197" s="21" t="s">
        <v>1979</v>
      </c>
      <c r="H197" s="21" t="s">
        <v>1979</v>
      </c>
      <c r="I197" s="21" t="s">
        <v>1968</v>
      </c>
      <c r="J197" s="21" t="s">
        <v>1968</v>
      </c>
      <c r="K197" s="21" t="s">
        <v>1968</v>
      </c>
      <c r="L197" s="22" t="str">
        <f t="shared" ref="L197:L260" si="15">IF(COUNTBLANK(G197:K197)=5,"",IF(COUNTIF(G197:K197,"No")&gt;0,"EXCLUDE","INCLUDE"))</f>
        <v>EXCLUDE</v>
      </c>
      <c r="M197" s="22" t="str">
        <f t="shared" ref="M197:M260" si="16">IF(L197&lt;&gt;"EXCLUDE","",IF(G197="No","Wrong domain (non-AECO)",IF(H197="No","Digital Twin not core / buzzword",IF(I197="No","No Design for Safety / PtD focus",IF(J197="No","Wrong publication type",IF(K197="No","Non-English",""))))))</f>
        <v>Wrong domain (non-AECO)</v>
      </c>
      <c r="N197" s="23"/>
      <c r="O197" s="23"/>
      <c r="P197" s="24"/>
      <c r="Q197" s="24"/>
      <c r="R197" s="24"/>
      <c r="S197" s="22" t="str">
        <f t="shared" ref="S197:S260" si="17">IF(N197&lt;&gt;"Yes","",IF(COUNTBLANK(P197:R197)=3,"",IF(COUNTIF(P197:R197,"No")&gt;0,"EXCLUDE","INCLUDE")))</f>
        <v/>
      </c>
      <c r="T197" s="22" t="str">
        <f t="shared" ref="T197:T260" si="18">IF(S197&lt;&gt;"EXCLUDE","",IF(P197="No","Digital Twin mentioned only, not the subject",IF(Q197="No","No Design for Safety focus in full text",IF(R197="No","Methodology not codable",""))))</f>
        <v/>
      </c>
      <c r="U197" s="25"/>
      <c r="V197" s="25"/>
      <c r="W197" s="25"/>
      <c r="X197" s="25"/>
      <c r="Y197" s="22" t="str">
        <f t="shared" ref="Y197:Y260" si="19">IF(SUM(V197:X197)=0,"",IF(SUM(V197:X197)&gt;=2,"Multi","Single"))</f>
        <v/>
      </c>
      <c r="Z197" s="25"/>
      <c r="AA197" s="25"/>
      <c r="AB197" s="25"/>
      <c r="AC197" s="25"/>
      <c r="AD197" s="25"/>
      <c r="AE197" s="25"/>
      <c r="AF197" s="25"/>
      <c r="AG197" s="9"/>
      <c r="AH197" s="29"/>
      <c r="AI197" s="29"/>
      <c r="AM197" s="50"/>
      <c r="AN197" s="51" t="s">
        <v>2623</v>
      </c>
      <c r="AO197" s="55" t="s">
        <v>390</v>
      </c>
    </row>
    <row r="198" spans="1:41" ht="102.6" customHeight="1" x14ac:dyDescent="0.3">
      <c r="A198" s="20">
        <v>194</v>
      </c>
      <c r="B198" s="8" t="s">
        <v>2624</v>
      </c>
      <c r="C198" s="26">
        <v>2026</v>
      </c>
      <c r="D198" s="8"/>
      <c r="E198" s="8" t="s">
        <v>393</v>
      </c>
      <c r="F198" s="20" t="s">
        <v>1969</v>
      </c>
      <c r="G198" s="21" t="s">
        <v>1968</v>
      </c>
      <c r="H198" s="21" t="s">
        <v>1979</v>
      </c>
      <c r="I198" s="21" t="s">
        <v>1979</v>
      </c>
      <c r="J198" s="21" t="s">
        <v>1968</v>
      </c>
      <c r="K198" s="21" t="s">
        <v>1968</v>
      </c>
      <c r="L198" s="22" t="str">
        <f t="shared" si="15"/>
        <v>EXCLUDE</v>
      </c>
      <c r="M198" s="22" t="str">
        <f t="shared" si="16"/>
        <v>Digital Twin not core / buzzword</v>
      </c>
      <c r="N198" s="23"/>
      <c r="O198" s="23"/>
      <c r="P198" s="24"/>
      <c r="Q198" s="24"/>
      <c r="R198" s="24"/>
      <c r="S198" s="22" t="str">
        <f t="shared" si="17"/>
        <v/>
      </c>
      <c r="T198" s="22" t="str">
        <f t="shared" si="18"/>
        <v/>
      </c>
      <c r="U198" s="25"/>
      <c r="V198" s="25"/>
      <c r="W198" s="25"/>
      <c r="X198" s="25"/>
      <c r="Y198" s="22" t="str">
        <f t="shared" si="19"/>
        <v/>
      </c>
      <c r="Z198" s="25"/>
      <c r="AA198" s="25"/>
      <c r="AB198" s="25"/>
      <c r="AC198" s="25"/>
      <c r="AD198" s="25"/>
      <c r="AE198" s="25"/>
      <c r="AF198" s="25"/>
      <c r="AG198" s="9"/>
      <c r="AH198" s="29"/>
      <c r="AI198" s="29"/>
      <c r="AM198" s="50"/>
      <c r="AN198" s="51" t="s">
        <v>2625</v>
      </c>
      <c r="AO198" s="55" t="s">
        <v>392</v>
      </c>
    </row>
    <row r="199" spans="1:41" ht="115.2" customHeight="1" x14ac:dyDescent="0.3">
      <c r="A199" s="20">
        <v>195</v>
      </c>
      <c r="B199" s="8" t="s">
        <v>2626</v>
      </c>
      <c r="C199" s="26">
        <v>2025</v>
      </c>
      <c r="D199" s="8"/>
      <c r="E199" s="8" t="s">
        <v>395</v>
      </c>
      <c r="F199" s="20" t="s">
        <v>1969</v>
      </c>
      <c r="G199" s="21" t="s">
        <v>1968</v>
      </c>
      <c r="H199" s="21" t="s">
        <v>1968</v>
      </c>
      <c r="I199" s="21" t="s">
        <v>1968</v>
      </c>
      <c r="J199" s="21" t="s">
        <v>1968</v>
      </c>
      <c r="K199" s="21" t="s">
        <v>1968</v>
      </c>
      <c r="L199" s="22" t="str">
        <f t="shared" si="15"/>
        <v>INCLUDE</v>
      </c>
      <c r="M199" s="22" t="str">
        <f t="shared" si="16"/>
        <v/>
      </c>
      <c r="N199" s="23" t="s">
        <v>1968</v>
      </c>
      <c r="O199" s="23" t="s">
        <v>1968</v>
      </c>
      <c r="P199" s="24" t="s">
        <v>1968</v>
      </c>
      <c r="Q199" s="24" t="s">
        <v>1968</v>
      </c>
      <c r="R199" s="24" t="s">
        <v>1968</v>
      </c>
      <c r="S199" s="22" t="str">
        <f t="shared" si="17"/>
        <v>INCLUDE</v>
      </c>
      <c r="T199" s="22" t="str">
        <f t="shared" si="18"/>
        <v/>
      </c>
      <c r="U199" s="25" t="s">
        <v>1971</v>
      </c>
      <c r="V199" s="25">
        <v>0</v>
      </c>
      <c r="W199" s="25">
        <v>0</v>
      </c>
      <c r="X199" s="25">
        <v>1</v>
      </c>
      <c r="Y199" s="22" t="str">
        <f t="shared" si="19"/>
        <v>Single</v>
      </c>
      <c r="Z199" s="25" t="s">
        <v>1922</v>
      </c>
      <c r="AA199" s="25" t="s">
        <v>1972</v>
      </c>
      <c r="AB199" s="25" t="s">
        <v>2014</v>
      </c>
      <c r="AC199" s="25" t="s">
        <v>1986</v>
      </c>
      <c r="AD199" s="25" t="s">
        <v>2003</v>
      </c>
      <c r="AE199" s="25">
        <v>4</v>
      </c>
      <c r="AF199" s="25" t="s">
        <v>2010</v>
      </c>
      <c r="AG199" s="9" t="s">
        <v>2627</v>
      </c>
      <c r="AH199" s="29" t="s">
        <v>2628</v>
      </c>
      <c r="AI199" s="29" t="s">
        <v>2629</v>
      </c>
      <c r="AJ199" t="s">
        <v>2005</v>
      </c>
      <c r="AK199" t="s">
        <v>2630</v>
      </c>
      <c r="AL199" t="s">
        <v>1978</v>
      </c>
      <c r="AM199" s="50"/>
      <c r="AN199" s="51" t="s">
        <v>2631</v>
      </c>
      <c r="AO199" s="55" t="s">
        <v>394</v>
      </c>
    </row>
    <row r="200" spans="1:41" ht="115.2" customHeight="1" x14ac:dyDescent="0.3">
      <c r="A200" s="20">
        <v>196</v>
      </c>
      <c r="B200" s="8" t="s">
        <v>2632</v>
      </c>
      <c r="C200" s="26">
        <v>2026</v>
      </c>
      <c r="D200" s="8"/>
      <c r="E200" s="8" t="s">
        <v>397</v>
      </c>
      <c r="F200" s="20" t="s">
        <v>1969</v>
      </c>
      <c r="G200" s="21" t="s">
        <v>1979</v>
      </c>
      <c r="H200" s="21" t="s">
        <v>1968</v>
      </c>
      <c r="I200" s="21" t="s">
        <v>1968</v>
      </c>
      <c r="J200" s="21" t="s">
        <v>1968</v>
      </c>
      <c r="K200" s="21" t="s">
        <v>1968</v>
      </c>
      <c r="L200" s="22" t="str">
        <f t="shared" si="15"/>
        <v>EXCLUDE</v>
      </c>
      <c r="M200" s="22" t="str">
        <f t="shared" si="16"/>
        <v>Wrong domain (non-AECO)</v>
      </c>
      <c r="N200" s="23"/>
      <c r="O200" s="23"/>
      <c r="P200" s="24"/>
      <c r="Q200" s="24"/>
      <c r="R200" s="24"/>
      <c r="S200" s="22" t="str">
        <f t="shared" si="17"/>
        <v/>
      </c>
      <c r="T200" s="22" t="str">
        <f t="shared" si="18"/>
        <v/>
      </c>
      <c r="U200" s="25"/>
      <c r="V200" s="25"/>
      <c r="W200" s="25"/>
      <c r="X200" s="25"/>
      <c r="Y200" s="22" t="str">
        <f t="shared" si="19"/>
        <v/>
      </c>
      <c r="Z200" s="25"/>
      <c r="AA200" s="25"/>
      <c r="AB200" s="25"/>
      <c r="AC200" s="25"/>
      <c r="AD200" s="25"/>
      <c r="AE200" s="25"/>
      <c r="AF200" s="25"/>
      <c r="AG200" s="9"/>
      <c r="AH200" s="29"/>
      <c r="AI200" s="29"/>
      <c r="AM200" s="50"/>
      <c r="AN200" s="51" t="s">
        <v>2633</v>
      </c>
      <c r="AO200" s="55" t="s">
        <v>396</v>
      </c>
    </row>
    <row r="201" spans="1:41" ht="68.400000000000006" hidden="1" customHeight="1" x14ac:dyDescent="0.3">
      <c r="A201" s="20">
        <v>197</v>
      </c>
      <c r="B201" s="8" t="s">
        <v>2634</v>
      </c>
      <c r="C201" s="26">
        <v>2026</v>
      </c>
      <c r="D201" s="8"/>
      <c r="E201" s="8" t="s">
        <v>399</v>
      </c>
      <c r="F201" s="20" t="s">
        <v>1969</v>
      </c>
      <c r="G201" s="21" t="s">
        <v>1968</v>
      </c>
      <c r="H201" s="21" t="s">
        <v>1979</v>
      </c>
      <c r="I201" s="21" t="s">
        <v>1979</v>
      </c>
      <c r="J201" s="21" t="s">
        <v>1968</v>
      </c>
      <c r="K201" s="21" t="s">
        <v>1968</v>
      </c>
      <c r="L201" s="22" t="str">
        <f t="shared" si="15"/>
        <v>EXCLUDE</v>
      </c>
      <c r="M201" s="22" t="str">
        <f t="shared" si="16"/>
        <v>Digital Twin not core / buzzword</v>
      </c>
      <c r="N201" s="23"/>
      <c r="O201" s="23"/>
      <c r="P201" s="24"/>
      <c r="Q201" s="24"/>
      <c r="R201" s="24"/>
      <c r="S201" s="22" t="str">
        <f t="shared" si="17"/>
        <v/>
      </c>
      <c r="T201" s="22" t="str">
        <f t="shared" si="18"/>
        <v/>
      </c>
      <c r="U201" s="25"/>
      <c r="V201" s="25"/>
      <c r="W201" s="25"/>
      <c r="X201" s="25"/>
      <c r="Y201" s="22" t="str">
        <f t="shared" si="19"/>
        <v/>
      </c>
      <c r="Z201" s="25"/>
      <c r="AA201" s="25"/>
      <c r="AB201" s="25"/>
      <c r="AC201" s="25"/>
      <c r="AD201" s="25"/>
      <c r="AE201" s="25"/>
      <c r="AF201" s="25"/>
      <c r="AG201" s="9"/>
      <c r="AH201" s="29"/>
      <c r="AI201" s="29"/>
      <c r="AM201" s="50"/>
      <c r="AN201" s="51" t="s">
        <v>2635</v>
      </c>
      <c r="AO201" s="55" t="s">
        <v>398</v>
      </c>
    </row>
    <row r="202" spans="1:41" ht="45.6" hidden="1" customHeight="1" x14ac:dyDescent="0.3">
      <c r="A202" s="20">
        <v>198</v>
      </c>
      <c r="B202" s="8" t="s">
        <v>2636</v>
      </c>
      <c r="C202" s="26">
        <v>2025</v>
      </c>
      <c r="D202" s="8"/>
      <c r="E202" s="8" t="s">
        <v>401</v>
      </c>
      <c r="F202" s="20" t="s">
        <v>1969</v>
      </c>
      <c r="G202" s="21" t="s">
        <v>1968</v>
      </c>
      <c r="H202" s="21" t="s">
        <v>1968</v>
      </c>
      <c r="I202" s="21" t="s">
        <v>1968</v>
      </c>
      <c r="J202" s="21" t="s">
        <v>1968</v>
      </c>
      <c r="K202" s="21" t="s">
        <v>1968</v>
      </c>
      <c r="L202" s="22" t="str">
        <f t="shared" si="15"/>
        <v>INCLUDE</v>
      </c>
      <c r="M202" s="22" t="str">
        <f t="shared" si="16"/>
        <v/>
      </c>
      <c r="N202" s="23" t="s">
        <v>1968</v>
      </c>
      <c r="O202" s="23" t="s">
        <v>1968</v>
      </c>
      <c r="P202" s="24" t="s">
        <v>1968</v>
      </c>
      <c r="Q202" s="24" t="s">
        <v>1968</v>
      </c>
      <c r="R202" s="24" t="s">
        <v>1968</v>
      </c>
      <c r="S202" s="22" t="str">
        <f t="shared" si="17"/>
        <v>INCLUDE</v>
      </c>
      <c r="T202" s="22" t="str">
        <f t="shared" si="18"/>
        <v/>
      </c>
      <c r="U202" s="25" t="s">
        <v>1982</v>
      </c>
      <c r="V202" s="25">
        <v>0</v>
      </c>
      <c r="W202" s="25">
        <v>0</v>
      </c>
      <c r="X202" s="25">
        <v>1</v>
      </c>
      <c r="Y202" s="22" t="str">
        <f t="shared" si="19"/>
        <v>Single</v>
      </c>
      <c r="Z202" s="25" t="s">
        <v>1922</v>
      </c>
      <c r="AA202" s="25" t="s">
        <v>1972</v>
      </c>
      <c r="AB202" s="25" t="s">
        <v>2014</v>
      </c>
      <c r="AC202" s="25" t="s">
        <v>1986</v>
      </c>
      <c r="AD202" s="25" t="s">
        <v>2003</v>
      </c>
      <c r="AE202" s="25">
        <v>4</v>
      </c>
      <c r="AF202" s="25" t="s">
        <v>2004</v>
      </c>
      <c r="AG202" s="9" t="s">
        <v>2637</v>
      </c>
      <c r="AH202" s="29" t="s">
        <v>2638</v>
      </c>
      <c r="AI202" s="29" t="s">
        <v>2639</v>
      </c>
      <c r="AJ202" t="s">
        <v>1997</v>
      </c>
      <c r="AK202" t="s">
        <v>2640</v>
      </c>
      <c r="AL202" t="s">
        <v>1990</v>
      </c>
      <c r="AM202" s="50"/>
      <c r="AN202" s="51" t="s">
        <v>2641</v>
      </c>
      <c r="AO202" s="55" t="s">
        <v>400</v>
      </c>
    </row>
    <row r="203" spans="1:41" ht="57" hidden="1" customHeight="1" x14ac:dyDescent="0.3">
      <c r="A203" s="20">
        <v>199</v>
      </c>
      <c r="B203" s="8" t="s">
        <v>2642</v>
      </c>
      <c r="C203" s="26">
        <v>2026</v>
      </c>
      <c r="D203" s="8"/>
      <c r="E203" s="8" t="s">
        <v>403</v>
      </c>
      <c r="F203" s="20" t="s">
        <v>1969</v>
      </c>
      <c r="G203" s="21" t="s">
        <v>1968</v>
      </c>
      <c r="H203" s="21" t="s">
        <v>1979</v>
      </c>
      <c r="I203" s="21" t="s">
        <v>1968</v>
      </c>
      <c r="J203" s="21" t="s">
        <v>1968</v>
      </c>
      <c r="K203" s="21" t="s">
        <v>1968</v>
      </c>
      <c r="L203" s="22" t="str">
        <f t="shared" si="15"/>
        <v>EXCLUDE</v>
      </c>
      <c r="M203" s="22" t="str">
        <f t="shared" si="16"/>
        <v>Digital Twin not core / buzzword</v>
      </c>
      <c r="N203" s="23"/>
      <c r="O203" s="23"/>
      <c r="P203" s="24"/>
      <c r="Q203" s="24"/>
      <c r="R203" s="24"/>
      <c r="S203" s="22" t="str">
        <f t="shared" si="17"/>
        <v/>
      </c>
      <c r="T203" s="22" t="str">
        <f t="shared" si="18"/>
        <v/>
      </c>
      <c r="U203" s="25"/>
      <c r="V203" s="25"/>
      <c r="W203" s="25"/>
      <c r="X203" s="25"/>
      <c r="Y203" s="22" t="str">
        <f t="shared" si="19"/>
        <v/>
      </c>
      <c r="Z203" s="25"/>
      <c r="AA203" s="25"/>
      <c r="AB203" s="25"/>
      <c r="AC203" s="25"/>
      <c r="AD203" s="25"/>
      <c r="AE203" s="25"/>
      <c r="AF203" s="25"/>
      <c r="AG203" s="9"/>
      <c r="AH203" s="29"/>
      <c r="AI203" s="29"/>
      <c r="AM203" s="50"/>
      <c r="AN203" s="51" t="s">
        <v>2643</v>
      </c>
      <c r="AO203" s="55" t="s">
        <v>402</v>
      </c>
    </row>
    <row r="204" spans="1:41" ht="79.95" hidden="1" customHeight="1" x14ac:dyDescent="0.3">
      <c r="A204" s="20">
        <v>200</v>
      </c>
      <c r="B204" s="8" t="s">
        <v>2644</v>
      </c>
      <c r="C204" s="26">
        <v>2026</v>
      </c>
      <c r="D204" s="8"/>
      <c r="E204" s="8" t="s">
        <v>405</v>
      </c>
      <c r="F204" s="20" t="s">
        <v>1969</v>
      </c>
      <c r="G204" s="21" t="s">
        <v>1979</v>
      </c>
      <c r="H204" s="21" t="s">
        <v>1968</v>
      </c>
      <c r="I204" s="21" t="s">
        <v>1979</v>
      </c>
      <c r="J204" s="21" t="s">
        <v>1968</v>
      </c>
      <c r="K204" s="21" t="s">
        <v>1968</v>
      </c>
      <c r="L204" s="22" t="str">
        <f t="shared" si="15"/>
        <v>EXCLUDE</v>
      </c>
      <c r="M204" s="22" t="str">
        <f t="shared" si="16"/>
        <v>Wrong domain (non-AECO)</v>
      </c>
      <c r="N204" s="23"/>
      <c r="O204" s="23"/>
      <c r="P204" s="24"/>
      <c r="Q204" s="24"/>
      <c r="R204" s="24"/>
      <c r="S204" s="22" t="str">
        <f t="shared" si="17"/>
        <v/>
      </c>
      <c r="T204" s="22" t="str">
        <f t="shared" si="18"/>
        <v/>
      </c>
      <c r="U204" s="25"/>
      <c r="V204" s="25"/>
      <c r="W204" s="25"/>
      <c r="X204" s="25"/>
      <c r="Y204" s="22" t="str">
        <f t="shared" si="19"/>
        <v/>
      </c>
      <c r="Z204" s="25"/>
      <c r="AA204" s="25"/>
      <c r="AB204" s="25"/>
      <c r="AC204" s="25"/>
      <c r="AD204" s="25"/>
      <c r="AE204" s="25"/>
      <c r="AF204" s="25"/>
      <c r="AG204" s="9"/>
      <c r="AH204" s="29"/>
      <c r="AI204" s="29"/>
      <c r="AM204" s="50"/>
      <c r="AN204" s="51" t="s">
        <v>2645</v>
      </c>
      <c r="AO204" s="55" t="s">
        <v>404</v>
      </c>
    </row>
    <row r="205" spans="1:41" ht="57" hidden="1" customHeight="1" x14ac:dyDescent="0.3">
      <c r="A205" s="20">
        <v>201</v>
      </c>
      <c r="B205" s="8" t="s">
        <v>2646</v>
      </c>
      <c r="C205" s="26">
        <v>2025</v>
      </c>
      <c r="D205" s="8"/>
      <c r="E205" s="8" t="s">
        <v>407</v>
      </c>
      <c r="F205" s="20" t="s">
        <v>1969</v>
      </c>
      <c r="G205" s="21" t="s">
        <v>1979</v>
      </c>
      <c r="H205" s="21" t="s">
        <v>1968</v>
      </c>
      <c r="I205" s="21" t="s">
        <v>1968</v>
      </c>
      <c r="J205" s="21" t="s">
        <v>1968</v>
      </c>
      <c r="K205" s="21" t="s">
        <v>1968</v>
      </c>
      <c r="L205" s="22" t="str">
        <f t="shared" si="15"/>
        <v>EXCLUDE</v>
      </c>
      <c r="M205" s="22" t="str">
        <f t="shared" si="16"/>
        <v>Wrong domain (non-AECO)</v>
      </c>
      <c r="N205" s="23"/>
      <c r="O205" s="23"/>
      <c r="P205" s="24"/>
      <c r="Q205" s="24"/>
      <c r="R205" s="24"/>
      <c r="S205" s="22" t="str">
        <f t="shared" si="17"/>
        <v/>
      </c>
      <c r="T205" s="22" t="str">
        <f t="shared" si="18"/>
        <v/>
      </c>
      <c r="U205" s="25"/>
      <c r="V205" s="25"/>
      <c r="W205" s="25"/>
      <c r="X205" s="25"/>
      <c r="Y205" s="22" t="str">
        <f t="shared" si="19"/>
        <v/>
      </c>
      <c r="Z205" s="25"/>
      <c r="AA205" s="25"/>
      <c r="AB205" s="25"/>
      <c r="AC205" s="25"/>
      <c r="AD205" s="25"/>
      <c r="AE205" s="25"/>
      <c r="AF205" s="25"/>
      <c r="AG205" s="9"/>
      <c r="AH205" s="29"/>
      <c r="AI205" s="29"/>
      <c r="AM205" s="50"/>
      <c r="AN205" s="51" t="s">
        <v>2647</v>
      </c>
      <c r="AO205" s="55" t="s">
        <v>406</v>
      </c>
    </row>
    <row r="206" spans="1:41" ht="57" hidden="1" customHeight="1" x14ac:dyDescent="0.3">
      <c r="A206" s="20">
        <v>202</v>
      </c>
      <c r="B206" s="8" t="s">
        <v>2648</v>
      </c>
      <c r="C206" s="26">
        <v>2026</v>
      </c>
      <c r="D206" s="8"/>
      <c r="E206" s="8" t="s">
        <v>409</v>
      </c>
      <c r="F206" s="20" t="s">
        <v>1969</v>
      </c>
      <c r="G206" s="21" t="s">
        <v>1968</v>
      </c>
      <c r="H206" s="21" t="s">
        <v>1979</v>
      </c>
      <c r="I206" s="21" t="s">
        <v>1968</v>
      </c>
      <c r="J206" s="21" t="s">
        <v>1968</v>
      </c>
      <c r="K206" s="21" t="s">
        <v>1968</v>
      </c>
      <c r="L206" s="22" t="str">
        <f t="shared" si="15"/>
        <v>EXCLUDE</v>
      </c>
      <c r="M206" s="22" t="str">
        <f t="shared" si="16"/>
        <v>Digital Twin not core / buzzword</v>
      </c>
      <c r="N206" s="23"/>
      <c r="O206" s="23"/>
      <c r="P206" s="24"/>
      <c r="Q206" s="24"/>
      <c r="R206" s="24"/>
      <c r="S206" s="22" t="str">
        <f t="shared" si="17"/>
        <v/>
      </c>
      <c r="T206" s="22" t="str">
        <f t="shared" si="18"/>
        <v/>
      </c>
      <c r="U206" s="25"/>
      <c r="V206" s="25"/>
      <c r="W206" s="25"/>
      <c r="X206" s="25"/>
      <c r="Y206" s="22" t="str">
        <f t="shared" si="19"/>
        <v/>
      </c>
      <c r="Z206" s="25"/>
      <c r="AA206" s="25"/>
      <c r="AB206" s="25"/>
      <c r="AC206" s="25"/>
      <c r="AD206" s="25"/>
      <c r="AE206" s="25"/>
      <c r="AF206" s="25"/>
      <c r="AG206" s="9"/>
      <c r="AH206" s="29"/>
      <c r="AI206" s="29"/>
      <c r="AM206" s="50"/>
      <c r="AN206" s="51" t="s">
        <v>2649</v>
      </c>
      <c r="AO206" s="55" t="s">
        <v>408</v>
      </c>
    </row>
    <row r="207" spans="1:41" ht="91.2" customHeight="1" x14ac:dyDescent="0.3">
      <c r="A207" s="20">
        <v>203</v>
      </c>
      <c r="B207" s="8" t="s">
        <v>2650</v>
      </c>
      <c r="C207" s="26">
        <v>2026</v>
      </c>
      <c r="D207" s="8"/>
      <c r="E207" s="8" t="s">
        <v>411</v>
      </c>
      <c r="F207" s="20" t="s">
        <v>1969</v>
      </c>
      <c r="G207" s="21" t="s">
        <v>1968</v>
      </c>
      <c r="H207" s="21" t="s">
        <v>1979</v>
      </c>
      <c r="I207" s="21" t="s">
        <v>1968</v>
      </c>
      <c r="J207" s="21" t="s">
        <v>1968</v>
      </c>
      <c r="K207" s="21" t="s">
        <v>1968</v>
      </c>
      <c r="L207" s="22" t="str">
        <f t="shared" si="15"/>
        <v>EXCLUDE</v>
      </c>
      <c r="M207" s="22" t="str">
        <f t="shared" si="16"/>
        <v>Digital Twin not core / buzzword</v>
      </c>
      <c r="N207" s="23"/>
      <c r="O207" s="23"/>
      <c r="P207" s="24"/>
      <c r="Q207" s="24"/>
      <c r="R207" s="24"/>
      <c r="S207" s="22" t="str">
        <f t="shared" si="17"/>
        <v/>
      </c>
      <c r="T207" s="22" t="str">
        <f t="shared" si="18"/>
        <v/>
      </c>
      <c r="U207" s="25"/>
      <c r="V207" s="25"/>
      <c r="W207" s="25"/>
      <c r="X207" s="25"/>
      <c r="Y207" s="22" t="str">
        <f t="shared" si="19"/>
        <v/>
      </c>
      <c r="Z207" s="25"/>
      <c r="AA207" s="25"/>
      <c r="AB207" s="25"/>
      <c r="AC207" s="25"/>
      <c r="AD207" s="25"/>
      <c r="AE207" s="25"/>
      <c r="AF207" s="25"/>
      <c r="AG207" s="9"/>
      <c r="AH207" s="29"/>
      <c r="AI207" s="29"/>
      <c r="AM207" s="50"/>
      <c r="AN207" s="51" t="s">
        <v>2651</v>
      </c>
      <c r="AO207" s="55" t="s">
        <v>410</v>
      </c>
    </row>
    <row r="208" spans="1:41" ht="102.6" customHeight="1" x14ac:dyDescent="0.3">
      <c r="A208" s="20">
        <v>204</v>
      </c>
      <c r="B208" s="8" t="s">
        <v>2652</v>
      </c>
      <c r="C208" s="26">
        <v>2026</v>
      </c>
      <c r="D208" s="8"/>
      <c r="E208" s="8" t="s">
        <v>413</v>
      </c>
      <c r="F208" s="20" t="s">
        <v>1969</v>
      </c>
      <c r="G208" s="21" t="s">
        <v>1968</v>
      </c>
      <c r="H208" s="21" t="s">
        <v>1979</v>
      </c>
      <c r="I208" s="21" t="s">
        <v>1968</v>
      </c>
      <c r="J208" s="21" t="s">
        <v>1968</v>
      </c>
      <c r="K208" s="21" t="s">
        <v>1968</v>
      </c>
      <c r="L208" s="22" t="str">
        <f t="shared" si="15"/>
        <v>EXCLUDE</v>
      </c>
      <c r="M208" s="22" t="str">
        <f t="shared" si="16"/>
        <v>Digital Twin not core / buzzword</v>
      </c>
      <c r="N208" s="23"/>
      <c r="O208" s="23"/>
      <c r="P208" s="24"/>
      <c r="Q208" s="24"/>
      <c r="R208" s="24"/>
      <c r="S208" s="22" t="str">
        <f t="shared" si="17"/>
        <v/>
      </c>
      <c r="T208" s="22" t="str">
        <f t="shared" si="18"/>
        <v/>
      </c>
      <c r="U208" s="25"/>
      <c r="V208" s="25"/>
      <c r="W208" s="25"/>
      <c r="X208" s="25"/>
      <c r="Y208" s="22" t="str">
        <f t="shared" si="19"/>
        <v/>
      </c>
      <c r="Z208" s="25"/>
      <c r="AA208" s="25"/>
      <c r="AB208" s="25"/>
      <c r="AC208" s="25"/>
      <c r="AD208" s="25"/>
      <c r="AE208" s="25"/>
      <c r="AF208" s="25"/>
      <c r="AG208" s="9"/>
      <c r="AH208" s="29"/>
      <c r="AI208" s="29"/>
      <c r="AM208" s="50"/>
      <c r="AN208" s="51" t="s">
        <v>2653</v>
      </c>
      <c r="AO208" s="55" t="s">
        <v>412</v>
      </c>
    </row>
    <row r="209" spans="1:41" ht="115.2" customHeight="1" x14ac:dyDescent="0.3">
      <c r="A209" s="20">
        <v>205</v>
      </c>
      <c r="B209" s="8" t="s">
        <v>2654</v>
      </c>
      <c r="C209" s="26">
        <v>2026</v>
      </c>
      <c r="D209" s="8"/>
      <c r="E209" s="8" t="s">
        <v>415</v>
      </c>
      <c r="F209" s="20" t="s">
        <v>1969</v>
      </c>
      <c r="G209" s="21" t="s">
        <v>1979</v>
      </c>
      <c r="H209" s="21" t="s">
        <v>1979</v>
      </c>
      <c r="I209" s="21" t="s">
        <v>1979</v>
      </c>
      <c r="J209" s="21" t="s">
        <v>1968</v>
      </c>
      <c r="K209" s="21" t="s">
        <v>1968</v>
      </c>
      <c r="L209" s="22" t="str">
        <f t="shared" si="15"/>
        <v>EXCLUDE</v>
      </c>
      <c r="M209" s="22" t="str">
        <f t="shared" si="16"/>
        <v>Wrong domain (non-AECO)</v>
      </c>
      <c r="N209" s="23"/>
      <c r="O209" s="23"/>
      <c r="P209" s="24"/>
      <c r="Q209" s="24"/>
      <c r="R209" s="24"/>
      <c r="S209" s="22" t="str">
        <f t="shared" si="17"/>
        <v/>
      </c>
      <c r="T209" s="22" t="str">
        <f t="shared" si="18"/>
        <v/>
      </c>
      <c r="U209" s="25"/>
      <c r="V209" s="25"/>
      <c r="W209" s="25"/>
      <c r="X209" s="25"/>
      <c r="Y209" s="22" t="str">
        <f t="shared" si="19"/>
        <v/>
      </c>
      <c r="Z209" s="25"/>
      <c r="AA209" s="25"/>
      <c r="AB209" s="25"/>
      <c r="AC209" s="25"/>
      <c r="AD209" s="25"/>
      <c r="AE209" s="25"/>
      <c r="AF209" s="25"/>
      <c r="AG209" s="9"/>
      <c r="AH209" s="29"/>
      <c r="AI209" s="29"/>
      <c r="AM209" s="50"/>
      <c r="AN209" s="51" t="s">
        <v>2655</v>
      </c>
      <c r="AO209" s="55" t="s">
        <v>414</v>
      </c>
    </row>
    <row r="210" spans="1:41" ht="45.6" hidden="1" customHeight="1" x14ac:dyDescent="0.3">
      <c r="A210" s="20">
        <v>206</v>
      </c>
      <c r="B210" s="8" t="s">
        <v>2656</v>
      </c>
      <c r="C210" s="26">
        <v>2025</v>
      </c>
      <c r="D210" s="8"/>
      <c r="E210" s="8" t="s">
        <v>417</v>
      </c>
      <c r="F210" s="20" t="s">
        <v>1969</v>
      </c>
      <c r="G210" s="21" t="s">
        <v>1979</v>
      </c>
      <c r="H210" s="21" t="s">
        <v>1968</v>
      </c>
      <c r="I210" s="21" t="s">
        <v>1979</v>
      </c>
      <c r="J210" s="21" t="s">
        <v>1968</v>
      </c>
      <c r="K210" s="21" t="s">
        <v>1968</v>
      </c>
      <c r="L210" s="22" t="str">
        <f t="shared" si="15"/>
        <v>EXCLUDE</v>
      </c>
      <c r="M210" s="22" t="str">
        <f t="shared" si="16"/>
        <v>Wrong domain (non-AECO)</v>
      </c>
      <c r="N210" s="23"/>
      <c r="O210" s="23"/>
      <c r="P210" s="24"/>
      <c r="Q210" s="24"/>
      <c r="R210" s="24"/>
      <c r="S210" s="22" t="str">
        <f t="shared" si="17"/>
        <v/>
      </c>
      <c r="T210" s="22" t="str">
        <f t="shared" si="18"/>
        <v/>
      </c>
      <c r="U210" s="25"/>
      <c r="V210" s="25"/>
      <c r="W210" s="25"/>
      <c r="X210" s="25"/>
      <c r="Y210" s="22" t="str">
        <f t="shared" si="19"/>
        <v/>
      </c>
      <c r="Z210" s="25"/>
      <c r="AA210" s="25"/>
      <c r="AB210" s="25"/>
      <c r="AC210" s="25"/>
      <c r="AD210" s="25"/>
      <c r="AE210" s="25"/>
      <c r="AF210" s="25"/>
      <c r="AG210" s="9"/>
      <c r="AH210" s="29"/>
      <c r="AI210" s="29"/>
      <c r="AM210" s="50"/>
      <c r="AN210" s="51" t="s">
        <v>2657</v>
      </c>
      <c r="AO210" s="55" t="s">
        <v>416</v>
      </c>
    </row>
    <row r="211" spans="1:41" ht="68.400000000000006" customHeight="1" x14ac:dyDescent="0.3">
      <c r="A211" s="20">
        <v>207</v>
      </c>
      <c r="B211" s="8" t="s">
        <v>2658</v>
      </c>
      <c r="C211" s="26">
        <v>2026</v>
      </c>
      <c r="D211" s="8"/>
      <c r="E211" s="8" t="s">
        <v>419</v>
      </c>
      <c r="F211" s="20" t="s">
        <v>1969</v>
      </c>
      <c r="G211" s="21" t="s">
        <v>1968</v>
      </c>
      <c r="H211" s="21" t="s">
        <v>1979</v>
      </c>
      <c r="I211" s="21" t="s">
        <v>1979</v>
      </c>
      <c r="J211" s="21" t="s">
        <v>1968</v>
      </c>
      <c r="K211" s="21" t="s">
        <v>1968</v>
      </c>
      <c r="L211" s="22" t="str">
        <f t="shared" si="15"/>
        <v>EXCLUDE</v>
      </c>
      <c r="M211" s="22" t="str">
        <f t="shared" si="16"/>
        <v>Digital Twin not core / buzzword</v>
      </c>
      <c r="N211" s="23"/>
      <c r="O211" s="23"/>
      <c r="P211" s="24"/>
      <c r="Q211" s="24"/>
      <c r="R211" s="24"/>
      <c r="S211" s="22" t="str">
        <f t="shared" si="17"/>
        <v/>
      </c>
      <c r="T211" s="22" t="str">
        <f t="shared" si="18"/>
        <v/>
      </c>
      <c r="U211" s="25"/>
      <c r="V211" s="25"/>
      <c r="W211" s="25"/>
      <c r="X211" s="25"/>
      <c r="Y211" s="22" t="str">
        <f t="shared" si="19"/>
        <v/>
      </c>
      <c r="Z211" s="25"/>
      <c r="AA211" s="25"/>
      <c r="AB211" s="25"/>
      <c r="AC211" s="25"/>
      <c r="AD211" s="25"/>
      <c r="AE211" s="25"/>
      <c r="AF211" s="25"/>
      <c r="AG211" s="9"/>
      <c r="AH211" s="29"/>
      <c r="AI211" s="29"/>
      <c r="AM211" s="50"/>
      <c r="AN211" s="51" t="s">
        <v>2659</v>
      </c>
      <c r="AO211" s="55" t="s">
        <v>418</v>
      </c>
    </row>
    <row r="212" spans="1:41" ht="102.6" customHeight="1" x14ac:dyDescent="0.3">
      <c r="A212" s="20">
        <v>208</v>
      </c>
      <c r="B212" s="8" t="s">
        <v>2660</v>
      </c>
      <c r="C212" s="26">
        <v>2026</v>
      </c>
      <c r="D212" s="8"/>
      <c r="E212" s="8" t="s">
        <v>421</v>
      </c>
      <c r="F212" s="20" t="s">
        <v>1969</v>
      </c>
      <c r="G212" s="21" t="s">
        <v>1979</v>
      </c>
      <c r="H212" s="21" t="s">
        <v>1968</v>
      </c>
      <c r="I212" s="21" t="s">
        <v>1968</v>
      </c>
      <c r="J212" s="21" t="s">
        <v>1968</v>
      </c>
      <c r="K212" s="21" t="s">
        <v>1968</v>
      </c>
      <c r="L212" s="22" t="str">
        <f t="shared" si="15"/>
        <v>EXCLUDE</v>
      </c>
      <c r="M212" s="22" t="str">
        <f t="shared" si="16"/>
        <v>Wrong domain (non-AECO)</v>
      </c>
      <c r="N212" s="23"/>
      <c r="O212" s="23"/>
      <c r="P212" s="24"/>
      <c r="Q212" s="24"/>
      <c r="R212" s="24"/>
      <c r="S212" s="22" t="str">
        <f t="shared" si="17"/>
        <v/>
      </c>
      <c r="T212" s="22" t="str">
        <f t="shared" si="18"/>
        <v/>
      </c>
      <c r="U212" s="25"/>
      <c r="V212" s="25"/>
      <c r="W212" s="25"/>
      <c r="X212" s="25"/>
      <c r="Y212" s="22" t="str">
        <f t="shared" si="19"/>
        <v/>
      </c>
      <c r="Z212" s="25"/>
      <c r="AA212" s="25"/>
      <c r="AB212" s="25"/>
      <c r="AC212" s="25"/>
      <c r="AD212" s="25"/>
      <c r="AE212" s="25"/>
      <c r="AF212" s="25"/>
      <c r="AG212" s="9"/>
      <c r="AH212" s="29"/>
      <c r="AI212" s="29"/>
      <c r="AM212" s="50"/>
      <c r="AN212" s="51" t="s">
        <v>2661</v>
      </c>
      <c r="AO212" s="55" t="s">
        <v>420</v>
      </c>
    </row>
    <row r="213" spans="1:41" ht="57" hidden="1" customHeight="1" x14ac:dyDescent="0.3">
      <c r="A213" s="20">
        <v>209</v>
      </c>
      <c r="B213" s="8" t="s">
        <v>2662</v>
      </c>
      <c r="C213" s="26">
        <v>2025</v>
      </c>
      <c r="D213" s="8"/>
      <c r="E213" s="8" t="s">
        <v>423</v>
      </c>
      <c r="F213" s="20" t="s">
        <v>1969</v>
      </c>
      <c r="G213" s="21" t="s">
        <v>1979</v>
      </c>
      <c r="H213" s="21" t="s">
        <v>1979</v>
      </c>
      <c r="I213" s="21" t="s">
        <v>1968</v>
      </c>
      <c r="J213" s="21" t="s">
        <v>1968</v>
      </c>
      <c r="K213" s="21" t="s">
        <v>1968</v>
      </c>
      <c r="L213" s="22" t="str">
        <f t="shared" si="15"/>
        <v>EXCLUDE</v>
      </c>
      <c r="M213" s="22" t="str">
        <f t="shared" si="16"/>
        <v>Wrong domain (non-AECO)</v>
      </c>
      <c r="N213" s="23"/>
      <c r="O213" s="23"/>
      <c r="P213" s="24"/>
      <c r="Q213" s="24"/>
      <c r="R213" s="24"/>
      <c r="S213" s="22" t="str">
        <f t="shared" si="17"/>
        <v/>
      </c>
      <c r="T213" s="22" t="str">
        <f t="shared" si="18"/>
        <v/>
      </c>
      <c r="U213" s="25"/>
      <c r="V213" s="25"/>
      <c r="W213" s="25"/>
      <c r="X213" s="25"/>
      <c r="Y213" s="22" t="str">
        <f t="shared" si="19"/>
        <v/>
      </c>
      <c r="Z213" s="25"/>
      <c r="AA213" s="25"/>
      <c r="AB213" s="25"/>
      <c r="AC213" s="25"/>
      <c r="AD213" s="25"/>
      <c r="AE213" s="25"/>
      <c r="AF213" s="25"/>
      <c r="AG213" s="9"/>
      <c r="AH213" s="29"/>
      <c r="AI213" s="29"/>
      <c r="AM213" s="50"/>
      <c r="AN213" s="51" t="s">
        <v>2663</v>
      </c>
      <c r="AO213" s="55" t="s">
        <v>422</v>
      </c>
    </row>
    <row r="214" spans="1:41" ht="79.95" customHeight="1" x14ac:dyDescent="0.3">
      <c r="A214" s="20">
        <v>210</v>
      </c>
      <c r="B214" s="8" t="s">
        <v>2664</v>
      </c>
      <c r="C214" s="26">
        <v>2025</v>
      </c>
      <c r="D214" s="8"/>
      <c r="E214" s="8" t="s">
        <v>425</v>
      </c>
      <c r="F214" s="20" t="s">
        <v>1969</v>
      </c>
      <c r="G214" s="21" t="s">
        <v>1968</v>
      </c>
      <c r="H214" s="21" t="s">
        <v>1979</v>
      </c>
      <c r="I214" s="21" t="s">
        <v>1968</v>
      </c>
      <c r="J214" s="21" t="s">
        <v>1968</v>
      </c>
      <c r="K214" s="21" t="s">
        <v>1968</v>
      </c>
      <c r="L214" s="22" t="str">
        <f t="shared" si="15"/>
        <v>EXCLUDE</v>
      </c>
      <c r="M214" s="22" t="str">
        <f t="shared" si="16"/>
        <v>Digital Twin not core / buzzword</v>
      </c>
      <c r="N214" s="23"/>
      <c r="O214" s="23"/>
      <c r="P214" s="24"/>
      <c r="Q214" s="24"/>
      <c r="R214" s="24"/>
      <c r="S214" s="22" t="str">
        <f t="shared" si="17"/>
        <v/>
      </c>
      <c r="T214" s="22" t="str">
        <f t="shared" si="18"/>
        <v/>
      </c>
      <c r="U214" s="25"/>
      <c r="V214" s="25"/>
      <c r="W214" s="25"/>
      <c r="X214" s="25"/>
      <c r="Y214" s="22" t="str">
        <f t="shared" si="19"/>
        <v/>
      </c>
      <c r="Z214" s="25"/>
      <c r="AA214" s="25"/>
      <c r="AB214" s="25"/>
      <c r="AC214" s="25"/>
      <c r="AD214" s="25"/>
      <c r="AE214" s="25"/>
      <c r="AF214" s="25"/>
      <c r="AG214" s="9"/>
      <c r="AH214" s="29"/>
      <c r="AI214" s="29"/>
      <c r="AM214" s="50"/>
      <c r="AN214" s="51" t="s">
        <v>2665</v>
      </c>
      <c r="AO214" s="55" t="s">
        <v>424</v>
      </c>
    </row>
    <row r="215" spans="1:41" ht="91.2" customHeight="1" x14ac:dyDescent="0.3">
      <c r="A215" s="20">
        <v>211</v>
      </c>
      <c r="B215" s="8" t="s">
        <v>2666</v>
      </c>
      <c r="C215" s="26">
        <v>2026</v>
      </c>
      <c r="D215" s="8"/>
      <c r="E215" s="8" t="s">
        <v>427</v>
      </c>
      <c r="F215" s="20" t="s">
        <v>1969</v>
      </c>
      <c r="G215" s="21" t="s">
        <v>1968</v>
      </c>
      <c r="H215" s="21" t="s">
        <v>1979</v>
      </c>
      <c r="I215" s="21" t="s">
        <v>1968</v>
      </c>
      <c r="J215" s="21" t="s">
        <v>1968</v>
      </c>
      <c r="K215" s="21" t="s">
        <v>1968</v>
      </c>
      <c r="L215" s="22" t="str">
        <f t="shared" si="15"/>
        <v>EXCLUDE</v>
      </c>
      <c r="M215" s="22" t="str">
        <f t="shared" si="16"/>
        <v>Digital Twin not core / buzzword</v>
      </c>
      <c r="N215" s="23"/>
      <c r="O215" s="23"/>
      <c r="P215" s="24"/>
      <c r="Q215" s="24"/>
      <c r="R215" s="24"/>
      <c r="S215" s="22" t="str">
        <f t="shared" si="17"/>
        <v/>
      </c>
      <c r="T215" s="22" t="str">
        <f t="shared" si="18"/>
        <v/>
      </c>
      <c r="U215" s="25"/>
      <c r="V215" s="25"/>
      <c r="W215" s="25"/>
      <c r="X215" s="25"/>
      <c r="Y215" s="22" t="str">
        <f t="shared" si="19"/>
        <v/>
      </c>
      <c r="Z215" s="25"/>
      <c r="AA215" s="25"/>
      <c r="AB215" s="25"/>
      <c r="AC215" s="25"/>
      <c r="AD215" s="25"/>
      <c r="AE215" s="25"/>
      <c r="AF215" s="25"/>
      <c r="AG215" s="9"/>
      <c r="AH215" s="29"/>
      <c r="AI215" s="29"/>
      <c r="AM215" s="50"/>
      <c r="AN215" s="51" t="s">
        <v>2667</v>
      </c>
      <c r="AO215" s="55" t="s">
        <v>426</v>
      </c>
    </row>
    <row r="216" spans="1:41" ht="68.400000000000006" hidden="1" customHeight="1" x14ac:dyDescent="0.3">
      <c r="A216" s="20">
        <v>212</v>
      </c>
      <c r="B216" s="8" t="s">
        <v>2210</v>
      </c>
      <c r="C216" s="26">
        <v>2025</v>
      </c>
      <c r="D216" s="8"/>
      <c r="E216" s="8" t="s">
        <v>429</v>
      </c>
      <c r="F216" s="20" t="s">
        <v>1969</v>
      </c>
      <c r="G216" s="21" t="s">
        <v>1968</v>
      </c>
      <c r="H216" s="21" t="s">
        <v>1968</v>
      </c>
      <c r="I216" s="21" t="s">
        <v>1968</v>
      </c>
      <c r="J216" s="21" t="s">
        <v>1968</v>
      </c>
      <c r="K216" s="21" t="s">
        <v>1968</v>
      </c>
      <c r="L216" s="22" t="str">
        <f t="shared" si="15"/>
        <v>INCLUDE</v>
      </c>
      <c r="M216" s="22" t="str">
        <f t="shared" si="16"/>
        <v/>
      </c>
      <c r="N216" s="23" t="s">
        <v>1968</v>
      </c>
      <c r="O216" s="23" t="s">
        <v>1968</v>
      </c>
      <c r="P216" s="24" t="s">
        <v>1968</v>
      </c>
      <c r="Q216" s="24" t="s">
        <v>1968</v>
      </c>
      <c r="R216" s="24" t="s">
        <v>1968</v>
      </c>
      <c r="S216" s="22" t="str">
        <f t="shared" si="17"/>
        <v>INCLUDE</v>
      </c>
      <c r="T216" s="22" t="str">
        <f t="shared" si="18"/>
        <v/>
      </c>
      <c r="U216" s="25" t="s">
        <v>1992</v>
      </c>
      <c r="V216" s="25">
        <v>0</v>
      </c>
      <c r="W216" s="25">
        <v>1</v>
      </c>
      <c r="X216" s="25">
        <v>0</v>
      </c>
      <c r="Y216" s="22" t="str">
        <f t="shared" si="19"/>
        <v>Single</v>
      </c>
      <c r="Z216" s="25" t="s">
        <v>1922</v>
      </c>
      <c r="AA216" s="25" t="s">
        <v>1972</v>
      </c>
      <c r="AB216" s="25" t="s">
        <v>2018</v>
      </c>
      <c r="AC216" s="25" t="s">
        <v>1986</v>
      </c>
      <c r="AD216" s="25" t="s">
        <v>2003</v>
      </c>
      <c r="AE216" s="25">
        <v>4</v>
      </c>
      <c r="AF216" s="25" t="s">
        <v>2004</v>
      </c>
      <c r="AG216" s="9" t="s">
        <v>2668</v>
      </c>
      <c r="AH216" s="29" t="s">
        <v>2669</v>
      </c>
      <c r="AI216" s="29" t="s">
        <v>2670</v>
      </c>
      <c r="AJ216" t="s">
        <v>2005</v>
      </c>
      <c r="AK216" t="s">
        <v>2671</v>
      </c>
      <c r="AL216" t="s">
        <v>1978</v>
      </c>
      <c r="AM216" s="50"/>
      <c r="AN216" s="51" t="s">
        <v>2672</v>
      </c>
      <c r="AO216" s="55" t="s">
        <v>428</v>
      </c>
    </row>
    <row r="217" spans="1:41" ht="57" hidden="1" customHeight="1" x14ac:dyDescent="0.3">
      <c r="A217" s="20">
        <v>213</v>
      </c>
      <c r="B217" s="8" t="s">
        <v>2673</v>
      </c>
      <c r="C217" s="26">
        <v>2026</v>
      </c>
      <c r="D217" s="8"/>
      <c r="E217" s="8" t="s">
        <v>431</v>
      </c>
      <c r="F217" s="20" t="s">
        <v>1969</v>
      </c>
      <c r="G217" s="21" t="s">
        <v>1979</v>
      </c>
      <c r="H217" s="21" t="s">
        <v>1968</v>
      </c>
      <c r="I217" s="21" t="s">
        <v>1979</v>
      </c>
      <c r="J217" s="21" t="s">
        <v>1968</v>
      </c>
      <c r="K217" s="21" t="s">
        <v>1968</v>
      </c>
      <c r="L217" s="22" t="str">
        <f t="shared" si="15"/>
        <v>EXCLUDE</v>
      </c>
      <c r="M217" s="22" t="str">
        <f t="shared" si="16"/>
        <v>Wrong domain (non-AECO)</v>
      </c>
      <c r="N217" s="23"/>
      <c r="O217" s="23"/>
      <c r="P217" s="24"/>
      <c r="Q217" s="24"/>
      <c r="R217" s="24"/>
      <c r="S217" s="22" t="str">
        <f t="shared" si="17"/>
        <v/>
      </c>
      <c r="T217" s="22" t="str">
        <f t="shared" si="18"/>
        <v/>
      </c>
      <c r="U217" s="25"/>
      <c r="V217" s="25"/>
      <c r="W217" s="25"/>
      <c r="X217" s="25"/>
      <c r="Y217" s="22" t="str">
        <f t="shared" si="19"/>
        <v/>
      </c>
      <c r="Z217" s="25"/>
      <c r="AA217" s="25"/>
      <c r="AB217" s="25"/>
      <c r="AC217" s="25"/>
      <c r="AD217" s="25"/>
      <c r="AE217" s="25"/>
      <c r="AF217" s="25"/>
      <c r="AG217" s="9"/>
      <c r="AH217" s="29"/>
      <c r="AI217" s="29"/>
      <c r="AM217" s="50"/>
      <c r="AN217" s="51" t="s">
        <v>2674</v>
      </c>
      <c r="AO217" s="55" t="s">
        <v>430</v>
      </c>
    </row>
    <row r="218" spans="1:41" ht="57" hidden="1" customHeight="1" x14ac:dyDescent="0.3">
      <c r="A218" s="20">
        <v>214</v>
      </c>
      <c r="B218" s="8" t="s">
        <v>2675</v>
      </c>
      <c r="C218" s="26">
        <v>2025</v>
      </c>
      <c r="D218" s="8"/>
      <c r="E218" s="8" t="s">
        <v>433</v>
      </c>
      <c r="F218" s="20" t="s">
        <v>1969</v>
      </c>
      <c r="G218" s="21" t="s">
        <v>1968</v>
      </c>
      <c r="H218" s="21" t="s">
        <v>1968</v>
      </c>
      <c r="I218" s="21" t="s">
        <v>1979</v>
      </c>
      <c r="J218" s="21" t="s">
        <v>1968</v>
      </c>
      <c r="K218" s="21" t="s">
        <v>1968</v>
      </c>
      <c r="L218" s="22" t="str">
        <f t="shared" si="15"/>
        <v>EXCLUDE</v>
      </c>
      <c r="M218" s="22" t="str">
        <f t="shared" si="16"/>
        <v>No Design for Safety / PtD focus</v>
      </c>
      <c r="N218" s="23"/>
      <c r="O218" s="23"/>
      <c r="P218" s="24"/>
      <c r="Q218" s="24"/>
      <c r="R218" s="24"/>
      <c r="S218" s="22" t="str">
        <f t="shared" si="17"/>
        <v/>
      </c>
      <c r="T218" s="22" t="str">
        <f t="shared" si="18"/>
        <v/>
      </c>
      <c r="U218" s="25"/>
      <c r="V218" s="25"/>
      <c r="W218" s="25"/>
      <c r="X218" s="25"/>
      <c r="Y218" s="22" t="str">
        <f t="shared" si="19"/>
        <v/>
      </c>
      <c r="Z218" s="25"/>
      <c r="AA218" s="25"/>
      <c r="AB218" s="25"/>
      <c r="AC218" s="25"/>
      <c r="AD218" s="25"/>
      <c r="AE218" s="25"/>
      <c r="AF218" s="25"/>
      <c r="AG218" s="9"/>
      <c r="AH218" s="29"/>
      <c r="AI218" s="29"/>
      <c r="AM218" s="50"/>
      <c r="AN218" s="51" t="s">
        <v>2676</v>
      </c>
      <c r="AO218" s="55" t="s">
        <v>432</v>
      </c>
    </row>
    <row r="219" spans="1:41" ht="68.400000000000006" hidden="1" customHeight="1" x14ac:dyDescent="0.3">
      <c r="A219" s="20">
        <v>215</v>
      </c>
      <c r="B219" s="8" t="s">
        <v>2677</v>
      </c>
      <c r="C219" s="26">
        <v>2025</v>
      </c>
      <c r="D219" s="8"/>
      <c r="E219" s="8" t="s">
        <v>435</v>
      </c>
      <c r="F219" s="20" t="s">
        <v>1969</v>
      </c>
      <c r="G219" s="21" t="s">
        <v>1968</v>
      </c>
      <c r="H219" s="21" t="s">
        <v>1968</v>
      </c>
      <c r="I219" s="21" t="s">
        <v>1968</v>
      </c>
      <c r="J219" s="21" t="s">
        <v>1968</v>
      </c>
      <c r="K219" s="21" t="s">
        <v>1968</v>
      </c>
      <c r="L219" s="22" t="str">
        <f t="shared" si="15"/>
        <v>INCLUDE</v>
      </c>
      <c r="M219" s="22" t="str">
        <f t="shared" si="16"/>
        <v/>
      </c>
      <c r="N219" s="23" t="s">
        <v>1968</v>
      </c>
      <c r="O219" s="23" t="s">
        <v>1968</v>
      </c>
      <c r="P219" s="24" t="s">
        <v>1968</v>
      </c>
      <c r="Q219" s="24" t="s">
        <v>1968</v>
      </c>
      <c r="R219" s="24" t="s">
        <v>1968</v>
      </c>
      <c r="S219" s="22" t="str">
        <f t="shared" si="17"/>
        <v>INCLUDE</v>
      </c>
      <c r="T219" s="22" t="str">
        <f t="shared" si="18"/>
        <v/>
      </c>
      <c r="U219" s="25" t="s">
        <v>1971</v>
      </c>
      <c r="V219" s="25">
        <v>1</v>
      </c>
      <c r="W219" s="25">
        <v>0</v>
      </c>
      <c r="X219" s="25">
        <v>0</v>
      </c>
      <c r="Y219" s="22" t="str">
        <f t="shared" si="19"/>
        <v>Single</v>
      </c>
      <c r="Z219" s="25" t="s">
        <v>1922</v>
      </c>
      <c r="AA219" s="25" t="s">
        <v>1972</v>
      </c>
      <c r="AB219" s="25" t="s">
        <v>2015</v>
      </c>
      <c r="AC219" s="25" t="s">
        <v>1986</v>
      </c>
      <c r="AD219" s="25" t="s">
        <v>1975</v>
      </c>
      <c r="AE219" s="25">
        <v>3</v>
      </c>
      <c r="AF219" s="25" t="s">
        <v>1988</v>
      </c>
      <c r="AG219" s="9" t="s">
        <v>2678</v>
      </c>
      <c r="AH219" s="29" t="s">
        <v>2679</v>
      </c>
      <c r="AI219" s="29" t="s">
        <v>2680</v>
      </c>
      <c r="AJ219" t="s">
        <v>2005</v>
      </c>
      <c r="AK219" t="s">
        <v>2681</v>
      </c>
      <c r="AL219" t="s">
        <v>1990</v>
      </c>
      <c r="AM219" s="50"/>
      <c r="AN219" s="51" t="s">
        <v>2682</v>
      </c>
      <c r="AO219" s="55" t="s">
        <v>434</v>
      </c>
    </row>
    <row r="220" spans="1:41" ht="68.400000000000006" hidden="1" customHeight="1" x14ac:dyDescent="0.3">
      <c r="A220" s="20">
        <v>216</v>
      </c>
      <c r="B220" s="8" t="s">
        <v>2683</v>
      </c>
      <c r="C220" s="26">
        <v>2025</v>
      </c>
      <c r="D220" s="8"/>
      <c r="E220" s="8" t="s">
        <v>437</v>
      </c>
      <c r="F220" s="20" t="s">
        <v>1969</v>
      </c>
      <c r="G220" s="21" t="s">
        <v>1968</v>
      </c>
      <c r="H220" s="21" t="s">
        <v>1979</v>
      </c>
      <c r="I220" s="21" t="s">
        <v>1968</v>
      </c>
      <c r="J220" s="21" t="s">
        <v>1968</v>
      </c>
      <c r="K220" s="21" t="s">
        <v>1968</v>
      </c>
      <c r="L220" s="22" t="str">
        <f t="shared" si="15"/>
        <v>EXCLUDE</v>
      </c>
      <c r="M220" s="22" t="str">
        <f t="shared" si="16"/>
        <v>Digital Twin not core / buzzword</v>
      </c>
      <c r="N220" s="23"/>
      <c r="O220" s="23"/>
      <c r="P220" s="24"/>
      <c r="Q220" s="24"/>
      <c r="R220" s="24"/>
      <c r="S220" s="22" t="str">
        <f t="shared" si="17"/>
        <v/>
      </c>
      <c r="T220" s="22" t="str">
        <f t="shared" si="18"/>
        <v/>
      </c>
      <c r="U220" s="25"/>
      <c r="V220" s="25"/>
      <c r="W220" s="25"/>
      <c r="X220" s="25"/>
      <c r="Y220" s="22" t="str">
        <f t="shared" si="19"/>
        <v/>
      </c>
      <c r="Z220" s="25"/>
      <c r="AA220" s="25"/>
      <c r="AB220" s="25"/>
      <c r="AC220" s="25"/>
      <c r="AD220" s="25"/>
      <c r="AE220" s="25"/>
      <c r="AF220" s="25"/>
      <c r="AG220" s="9"/>
      <c r="AH220" s="29"/>
      <c r="AI220" s="29"/>
      <c r="AM220" s="50"/>
      <c r="AN220" s="51" t="s">
        <v>2684</v>
      </c>
      <c r="AO220" s="55" t="s">
        <v>436</v>
      </c>
    </row>
    <row r="221" spans="1:41" ht="91.2" hidden="1" customHeight="1" x14ac:dyDescent="0.3">
      <c r="A221" s="20">
        <v>217</v>
      </c>
      <c r="B221" s="8" t="s">
        <v>2685</v>
      </c>
      <c r="C221" s="26">
        <v>2026</v>
      </c>
      <c r="D221" s="8"/>
      <c r="E221" s="8" t="s">
        <v>439</v>
      </c>
      <c r="F221" s="20" t="s">
        <v>1969</v>
      </c>
      <c r="G221" s="21" t="s">
        <v>1968</v>
      </c>
      <c r="H221" s="21" t="s">
        <v>1968</v>
      </c>
      <c r="I221" s="21" t="s">
        <v>1968</v>
      </c>
      <c r="J221" s="21" t="s">
        <v>1968</v>
      </c>
      <c r="K221" s="21" t="s">
        <v>1968</v>
      </c>
      <c r="L221" s="22" t="str">
        <f t="shared" si="15"/>
        <v>INCLUDE</v>
      </c>
      <c r="M221" s="22" t="str">
        <f t="shared" si="16"/>
        <v/>
      </c>
      <c r="N221" s="23" t="s">
        <v>1968</v>
      </c>
      <c r="O221" s="23" t="s">
        <v>1968</v>
      </c>
      <c r="P221" s="24" t="s">
        <v>1968</v>
      </c>
      <c r="Q221" s="24" t="s">
        <v>1968</v>
      </c>
      <c r="R221" s="24" t="s">
        <v>1968</v>
      </c>
      <c r="S221" s="22" t="str">
        <f t="shared" si="17"/>
        <v>INCLUDE</v>
      </c>
      <c r="T221" s="22" t="str">
        <f t="shared" si="18"/>
        <v/>
      </c>
      <c r="U221" s="25" t="s">
        <v>1982</v>
      </c>
      <c r="V221" s="25">
        <v>0</v>
      </c>
      <c r="W221" s="25">
        <v>0</v>
      </c>
      <c r="X221" s="25">
        <v>1</v>
      </c>
      <c r="Y221" s="22" t="str">
        <f t="shared" si="19"/>
        <v>Single</v>
      </c>
      <c r="Z221" s="25" t="s">
        <v>1922</v>
      </c>
      <c r="AA221" s="25" t="s">
        <v>1972</v>
      </c>
      <c r="AB221" s="25" t="s">
        <v>1985</v>
      </c>
      <c r="AC221" s="25" t="s">
        <v>1986</v>
      </c>
      <c r="AD221" s="25" t="s">
        <v>2003</v>
      </c>
      <c r="AE221" s="25">
        <v>4</v>
      </c>
      <c r="AF221" s="25" t="s">
        <v>2010</v>
      </c>
      <c r="AG221" s="9" t="s">
        <v>2686</v>
      </c>
      <c r="AH221" s="29" t="s">
        <v>2687</v>
      </c>
      <c r="AI221" s="29" t="s">
        <v>2688</v>
      </c>
      <c r="AJ221" t="s">
        <v>2005</v>
      </c>
      <c r="AK221" t="s">
        <v>2689</v>
      </c>
      <c r="AL221" t="s">
        <v>1978</v>
      </c>
      <c r="AM221" s="50"/>
      <c r="AN221" s="51" t="s">
        <v>2690</v>
      </c>
      <c r="AO221" s="55" t="s">
        <v>438</v>
      </c>
    </row>
    <row r="222" spans="1:41" ht="57" hidden="1" customHeight="1" x14ac:dyDescent="0.3">
      <c r="A222" s="20">
        <v>218</v>
      </c>
      <c r="B222" s="8" t="s">
        <v>2691</v>
      </c>
      <c r="C222" s="26">
        <v>2026</v>
      </c>
      <c r="D222" s="8"/>
      <c r="E222" s="8" t="s">
        <v>441</v>
      </c>
      <c r="F222" s="20" t="s">
        <v>1969</v>
      </c>
      <c r="G222" s="21" t="s">
        <v>1979</v>
      </c>
      <c r="H222" s="21" t="s">
        <v>1968</v>
      </c>
      <c r="I222" s="21" t="s">
        <v>1968</v>
      </c>
      <c r="J222" s="21" t="s">
        <v>1968</v>
      </c>
      <c r="K222" s="21" t="s">
        <v>1968</v>
      </c>
      <c r="L222" s="22" t="str">
        <f t="shared" si="15"/>
        <v>EXCLUDE</v>
      </c>
      <c r="M222" s="22" t="str">
        <f t="shared" si="16"/>
        <v>Wrong domain (non-AECO)</v>
      </c>
      <c r="N222" s="23"/>
      <c r="O222" s="23"/>
      <c r="P222" s="24"/>
      <c r="Q222" s="24"/>
      <c r="R222" s="24"/>
      <c r="S222" s="22" t="str">
        <f t="shared" si="17"/>
        <v/>
      </c>
      <c r="T222" s="22" t="str">
        <f t="shared" si="18"/>
        <v/>
      </c>
      <c r="U222" s="25"/>
      <c r="V222" s="25"/>
      <c r="W222" s="25"/>
      <c r="X222" s="25"/>
      <c r="Y222" s="22" t="str">
        <f t="shared" si="19"/>
        <v/>
      </c>
      <c r="Z222" s="25"/>
      <c r="AA222" s="25"/>
      <c r="AB222" s="25"/>
      <c r="AC222" s="25"/>
      <c r="AD222" s="25"/>
      <c r="AE222" s="25"/>
      <c r="AF222" s="25"/>
      <c r="AG222" s="9"/>
      <c r="AH222" s="29"/>
      <c r="AI222" s="29"/>
      <c r="AM222" s="50"/>
      <c r="AN222" s="51" t="s">
        <v>2692</v>
      </c>
      <c r="AO222" s="55" t="s">
        <v>440</v>
      </c>
    </row>
    <row r="223" spans="1:41" ht="102.6" customHeight="1" x14ac:dyDescent="0.3">
      <c r="A223" s="20">
        <v>219</v>
      </c>
      <c r="B223" s="8" t="s">
        <v>2288</v>
      </c>
      <c r="C223" s="26">
        <v>2026</v>
      </c>
      <c r="D223" s="8"/>
      <c r="E223" s="8" t="s">
        <v>443</v>
      </c>
      <c r="F223" s="20" t="s">
        <v>1969</v>
      </c>
      <c r="G223" s="21" t="s">
        <v>1968</v>
      </c>
      <c r="H223" s="21" t="s">
        <v>1968</v>
      </c>
      <c r="I223" s="21" t="s">
        <v>1968</v>
      </c>
      <c r="J223" s="21" t="s">
        <v>1968</v>
      </c>
      <c r="K223" s="21" t="s">
        <v>1968</v>
      </c>
      <c r="L223" s="22" t="str">
        <f t="shared" si="15"/>
        <v>INCLUDE</v>
      </c>
      <c r="M223" s="22" t="str">
        <f t="shared" si="16"/>
        <v/>
      </c>
      <c r="N223" s="23" t="s">
        <v>1968</v>
      </c>
      <c r="O223" s="23" t="s">
        <v>1968</v>
      </c>
      <c r="P223" s="24" t="s">
        <v>1968</v>
      </c>
      <c r="Q223" s="24" t="s">
        <v>1968</v>
      </c>
      <c r="R223" s="24" t="s">
        <v>1968</v>
      </c>
      <c r="S223" s="22" t="str">
        <f t="shared" si="17"/>
        <v>INCLUDE</v>
      </c>
      <c r="T223" s="22" t="str">
        <f t="shared" si="18"/>
        <v/>
      </c>
      <c r="U223" s="25" t="s">
        <v>1982</v>
      </c>
      <c r="V223" s="25">
        <v>0</v>
      </c>
      <c r="W223" s="25">
        <v>1</v>
      </c>
      <c r="X223" s="25">
        <v>0</v>
      </c>
      <c r="Y223" s="22" t="str">
        <f t="shared" si="19"/>
        <v>Single</v>
      </c>
      <c r="Z223" s="25" t="s">
        <v>1922</v>
      </c>
      <c r="AA223" s="25" t="s">
        <v>1993</v>
      </c>
      <c r="AB223" s="25" t="s">
        <v>2002</v>
      </c>
      <c r="AC223" s="25" t="s">
        <v>1986</v>
      </c>
      <c r="AD223" s="25" t="s">
        <v>2003</v>
      </c>
      <c r="AE223" s="25">
        <v>4</v>
      </c>
      <c r="AF223" s="25" t="s">
        <v>2010</v>
      </c>
      <c r="AG223" s="9" t="s">
        <v>2693</v>
      </c>
      <c r="AH223" s="29" t="s">
        <v>2694</v>
      </c>
      <c r="AI223" s="29" t="s">
        <v>2695</v>
      </c>
      <c r="AJ223" t="s">
        <v>2005</v>
      </c>
      <c r="AK223" t="s">
        <v>2696</v>
      </c>
      <c r="AL223" t="s">
        <v>1978</v>
      </c>
      <c r="AM223" s="50"/>
      <c r="AN223" s="51" t="s">
        <v>2697</v>
      </c>
      <c r="AO223" s="55" t="s">
        <v>442</v>
      </c>
    </row>
    <row r="224" spans="1:41" ht="57" hidden="1" customHeight="1" x14ac:dyDescent="0.3">
      <c r="A224" s="20">
        <v>220</v>
      </c>
      <c r="B224" s="8" t="s">
        <v>2698</v>
      </c>
      <c r="C224" s="26">
        <v>2025</v>
      </c>
      <c r="D224" s="8"/>
      <c r="E224" s="8" t="s">
        <v>445</v>
      </c>
      <c r="F224" s="20" t="s">
        <v>1969</v>
      </c>
      <c r="G224" s="21" t="s">
        <v>1979</v>
      </c>
      <c r="H224" s="21" t="s">
        <v>1979</v>
      </c>
      <c r="I224" s="21" t="s">
        <v>1979</v>
      </c>
      <c r="J224" s="21" t="s">
        <v>1968</v>
      </c>
      <c r="K224" s="21" t="s">
        <v>1979</v>
      </c>
      <c r="L224" s="22" t="str">
        <f t="shared" si="15"/>
        <v>EXCLUDE</v>
      </c>
      <c r="M224" s="22" t="str">
        <f t="shared" si="16"/>
        <v>Wrong domain (non-AECO)</v>
      </c>
      <c r="N224" s="23"/>
      <c r="O224" s="23"/>
      <c r="P224" s="24"/>
      <c r="Q224" s="24"/>
      <c r="R224" s="24"/>
      <c r="S224" s="22" t="str">
        <f t="shared" si="17"/>
        <v/>
      </c>
      <c r="T224" s="22" t="str">
        <f t="shared" si="18"/>
        <v/>
      </c>
      <c r="U224" s="25"/>
      <c r="V224" s="25"/>
      <c r="W224" s="25"/>
      <c r="X224" s="25"/>
      <c r="Y224" s="22" t="str">
        <f t="shared" si="19"/>
        <v/>
      </c>
      <c r="Z224" s="25"/>
      <c r="AA224" s="25"/>
      <c r="AB224" s="25"/>
      <c r="AC224" s="25"/>
      <c r="AD224" s="25"/>
      <c r="AE224" s="25"/>
      <c r="AF224" s="25"/>
      <c r="AG224" s="9"/>
      <c r="AH224" s="29"/>
      <c r="AI224" s="29"/>
      <c r="AM224" s="50"/>
      <c r="AN224" s="51" t="s">
        <v>2699</v>
      </c>
      <c r="AO224" s="55" t="s">
        <v>444</v>
      </c>
    </row>
    <row r="225" spans="1:41" ht="115.2" customHeight="1" x14ac:dyDescent="0.3">
      <c r="A225" s="20">
        <v>221</v>
      </c>
      <c r="B225" s="8" t="s">
        <v>2700</v>
      </c>
      <c r="C225" s="26">
        <v>2025</v>
      </c>
      <c r="D225" s="8"/>
      <c r="E225" s="8" t="s">
        <v>447</v>
      </c>
      <c r="F225" s="20" t="s">
        <v>1969</v>
      </c>
      <c r="G225" s="21" t="s">
        <v>1979</v>
      </c>
      <c r="H225" s="21" t="s">
        <v>1968</v>
      </c>
      <c r="I225" s="21" t="s">
        <v>1979</v>
      </c>
      <c r="J225" s="21" t="s">
        <v>1968</v>
      </c>
      <c r="K225" s="21" t="s">
        <v>1968</v>
      </c>
      <c r="L225" s="22" t="str">
        <f t="shared" si="15"/>
        <v>EXCLUDE</v>
      </c>
      <c r="M225" s="22" t="str">
        <f t="shared" si="16"/>
        <v>Wrong domain (non-AECO)</v>
      </c>
      <c r="N225" s="23"/>
      <c r="O225" s="23"/>
      <c r="P225" s="24"/>
      <c r="Q225" s="24"/>
      <c r="R225" s="24"/>
      <c r="S225" s="22" t="str">
        <f t="shared" si="17"/>
        <v/>
      </c>
      <c r="T225" s="22" t="str">
        <f t="shared" si="18"/>
        <v/>
      </c>
      <c r="U225" s="25"/>
      <c r="V225" s="25"/>
      <c r="W225" s="25"/>
      <c r="X225" s="25"/>
      <c r="Y225" s="22" t="str">
        <f t="shared" si="19"/>
        <v/>
      </c>
      <c r="Z225" s="25"/>
      <c r="AA225" s="25"/>
      <c r="AB225" s="25"/>
      <c r="AC225" s="25"/>
      <c r="AD225" s="25"/>
      <c r="AE225" s="25"/>
      <c r="AF225" s="25"/>
      <c r="AG225" s="9"/>
      <c r="AH225" s="29"/>
      <c r="AI225" s="29"/>
      <c r="AM225" s="50"/>
      <c r="AN225" s="51" t="s">
        <v>2701</v>
      </c>
      <c r="AO225" s="55" t="s">
        <v>446</v>
      </c>
    </row>
    <row r="226" spans="1:41" ht="34.200000000000003" hidden="1" customHeight="1" x14ac:dyDescent="0.3">
      <c r="A226" s="20">
        <v>222</v>
      </c>
      <c r="B226" s="8" t="s">
        <v>2702</v>
      </c>
      <c r="C226" s="26">
        <v>2026</v>
      </c>
      <c r="D226" s="8"/>
      <c r="E226" s="8" t="s">
        <v>449</v>
      </c>
      <c r="F226" s="20" t="s">
        <v>1969</v>
      </c>
      <c r="G226" s="21" t="s">
        <v>1979</v>
      </c>
      <c r="H226" s="21" t="s">
        <v>1968</v>
      </c>
      <c r="I226" s="21" t="s">
        <v>1979</v>
      </c>
      <c r="J226" s="21" t="s">
        <v>1968</v>
      </c>
      <c r="K226" s="21" t="s">
        <v>1968</v>
      </c>
      <c r="L226" s="22" t="str">
        <f t="shared" si="15"/>
        <v>EXCLUDE</v>
      </c>
      <c r="M226" s="22" t="str">
        <f t="shared" si="16"/>
        <v>Wrong domain (non-AECO)</v>
      </c>
      <c r="N226" s="23"/>
      <c r="O226" s="23"/>
      <c r="P226" s="24"/>
      <c r="Q226" s="24"/>
      <c r="R226" s="24"/>
      <c r="S226" s="22" t="str">
        <f t="shared" si="17"/>
        <v/>
      </c>
      <c r="T226" s="22" t="str">
        <f t="shared" si="18"/>
        <v/>
      </c>
      <c r="U226" s="25"/>
      <c r="V226" s="25"/>
      <c r="W226" s="25"/>
      <c r="X226" s="25"/>
      <c r="Y226" s="22" t="str">
        <f t="shared" si="19"/>
        <v/>
      </c>
      <c r="Z226" s="25"/>
      <c r="AA226" s="25"/>
      <c r="AB226" s="25"/>
      <c r="AC226" s="25"/>
      <c r="AD226" s="25"/>
      <c r="AE226" s="25"/>
      <c r="AF226" s="25"/>
      <c r="AG226" s="9"/>
      <c r="AH226" s="29"/>
      <c r="AI226" s="29"/>
      <c r="AM226" s="50"/>
      <c r="AN226" s="51" t="s">
        <v>2703</v>
      </c>
      <c r="AO226" s="55" t="s">
        <v>448</v>
      </c>
    </row>
    <row r="227" spans="1:41" ht="79.95" hidden="1" customHeight="1" x14ac:dyDescent="0.3">
      <c r="A227" s="20">
        <v>223</v>
      </c>
      <c r="B227" s="8" t="s">
        <v>2704</v>
      </c>
      <c r="C227" s="26">
        <v>2026</v>
      </c>
      <c r="D227" s="8"/>
      <c r="E227" s="8" t="s">
        <v>451</v>
      </c>
      <c r="F227" s="20" t="s">
        <v>1969</v>
      </c>
      <c r="G227" s="21" t="s">
        <v>1979</v>
      </c>
      <c r="H227" s="21" t="s">
        <v>1968</v>
      </c>
      <c r="I227" s="21" t="s">
        <v>1968</v>
      </c>
      <c r="J227" s="21" t="s">
        <v>1968</v>
      </c>
      <c r="K227" s="21" t="s">
        <v>1968</v>
      </c>
      <c r="L227" s="22" t="str">
        <f t="shared" si="15"/>
        <v>EXCLUDE</v>
      </c>
      <c r="M227" s="22" t="str">
        <f t="shared" si="16"/>
        <v>Wrong domain (non-AECO)</v>
      </c>
      <c r="N227" s="23"/>
      <c r="O227" s="23"/>
      <c r="P227" s="24"/>
      <c r="Q227" s="24"/>
      <c r="R227" s="24"/>
      <c r="S227" s="22" t="str">
        <f t="shared" si="17"/>
        <v/>
      </c>
      <c r="T227" s="22" t="str">
        <f t="shared" si="18"/>
        <v/>
      </c>
      <c r="U227" s="25"/>
      <c r="V227" s="25"/>
      <c r="W227" s="25"/>
      <c r="X227" s="25"/>
      <c r="Y227" s="22" t="str">
        <f t="shared" si="19"/>
        <v/>
      </c>
      <c r="Z227" s="25"/>
      <c r="AA227" s="25"/>
      <c r="AB227" s="25"/>
      <c r="AC227" s="25"/>
      <c r="AD227" s="25"/>
      <c r="AE227" s="25"/>
      <c r="AF227" s="25"/>
      <c r="AG227" s="9"/>
      <c r="AH227" s="29"/>
      <c r="AI227" s="29"/>
      <c r="AM227" s="50"/>
      <c r="AN227" s="51" t="s">
        <v>2705</v>
      </c>
      <c r="AO227" s="55" t="s">
        <v>450</v>
      </c>
    </row>
    <row r="228" spans="1:41" ht="79.95" hidden="1" customHeight="1" x14ac:dyDescent="0.3">
      <c r="A228" s="20">
        <v>224</v>
      </c>
      <c r="B228" s="8" t="s">
        <v>2706</v>
      </c>
      <c r="C228" s="26">
        <v>2025</v>
      </c>
      <c r="D228" s="8"/>
      <c r="E228" s="8" t="s">
        <v>453</v>
      </c>
      <c r="F228" s="20" t="s">
        <v>1969</v>
      </c>
      <c r="G228" s="21" t="s">
        <v>1979</v>
      </c>
      <c r="H228" s="21" t="s">
        <v>1979</v>
      </c>
      <c r="I228" s="21" t="s">
        <v>1979</v>
      </c>
      <c r="J228" s="21" t="s">
        <v>1968</v>
      </c>
      <c r="K228" s="21" t="s">
        <v>1979</v>
      </c>
      <c r="L228" s="22" t="str">
        <f t="shared" si="15"/>
        <v>EXCLUDE</v>
      </c>
      <c r="M228" s="22" t="str">
        <f t="shared" si="16"/>
        <v>Wrong domain (non-AECO)</v>
      </c>
      <c r="N228" s="23"/>
      <c r="O228" s="23"/>
      <c r="P228" s="24"/>
      <c r="Q228" s="24"/>
      <c r="R228" s="24"/>
      <c r="S228" s="22" t="str">
        <f t="shared" si="17"/>
        <v/>
      </c>
      <c r="T228" s="22" t="str">
        <f t="shared" si="18"/>
        <v/>
      </c>
      <c r="U228" s="25"/>
      <c r="V228" s="25"/>
      <c r="W228" s="25"/>
      <c r="X228" s="25"/>
      <c r="Y228" s="22" t="str">
        <f t="shared" si="19"/>
        <v/>
      </c>
      <c r="Z228" s="25"/>
      <c r="AA228" s="25"/>
      <c r="AB228" s="25"/>
      <c r="AC228" s="25"/>
      <c r="AD228" s="25"/>
      <c r="AE228" s="25"/>
      <c r="AF228" s="25"/>
      <c r="AG228" s="9"/>
      <c r="AH228" s="29"/>
      <c r="AI228" s="29"/>
      <c r="AM228" s="50"/>
      <c r="AN228" s="51" t="s">
        <v>2707</v>
      </c>
      <c r="AO228" s="55" t="s">
        <v>452</v>
      </c>
    </row>
    <row r="229" spans="1:41" ht="102.6" customHeight="1" x14ac:dyDescent="0.3">
      <c r="A229" s="20">
        <v>225</v>
      </c>
      <c r="B229" s="8" t="s">
        <v>2708</v>
      </c>
      <c r="C229" s="26">
        <v>2026</v>
      </c>
      <c r="D229" s="8"/>
      <c r="E229" s="8" t="s">
        <v>455</v>
      </c>
      <c r="F229" s="20" t="s">
        <v>1969</v>
      </c>
      <c r="G229" s="21" t="s">
        <v>1968</v>
      </c>
      <c r="H229" s="21" t="s">
        <v>1979</v>
      </c>
      <c r="I229" s="21" t="s">
        <v>1979</v>
      </c>
      <c r="J229" s="21" t="s">
        <v>1968</v>
      </c>
      <c r="K229" s="21" t="s">
        <v>1968</v>
      </c>
      <c r="L229" s="22" t="str">
        <f t="shared" si="15"/>
        <v>EXCLUDE</v>
      </c>
      <c r="M229" s="22" t="str">
        <f t="shared" si="16"/>
        <v>Digital Twin not core / buzzword</v>
      </c>
      <c r="N229" s="23"/>
      <c r="O229" s="23"/>
      <c r="P229" s="24"/>
      <c r="Q229" s="24"/>
      <c r="R229" s="24"/>
      <c r="S229" s="22" t="str">
        <f t="shared" si="17"/>
        <v/>
      </c>
      <c r="T229" s="22" t="str">
        <f t="shared" si="18"/>
        <v/>
      </c>
      <c r="U229" s="25"/>
      <c r="V229" s="25"/>
      <c r="W229" s="25"/>
      <c r="X229" s="25"/>
      <c r="Y229" s="22" t="str">
        <f t="shared" si="19"/>
        <v/>
      </c>
      <c r="Z229" s="25"/>
      <c r="AA229" s="25"/>
      <c r="AB229" s="25"/>
      <c r="AC229" s="25"/>
      <c r="AD229" s="25"/>
      <c r="AE229" s="25"/>
      <c r="AF229" s="25"/>
      <c r="AG229" s="9"/>
      <c r="AH229" s="29"/>
      <c r="AI229" s="29"/>
      <c r="AM229" s="50"/>
      <c r="AN229" s="51" t="s">
        <v>2709</v>
      </c>
      <c r="AO229" s="55" t="s">
        <v>454</v>
      </c>
    </row>
    <row r="230" spans="1:41" ht="79.95" customHeight="1" x14ac:dyDescent="0.3">
      <c r="A230" s="20">
        <v>226</v>
      </c>
      <c r="B230" s="8" t="s">
        <v>2710</v>
      </c>
      <c r="C230" s="26">
        <v>2026</v>
      </c>
      <c r="D230" s="8"/>
      <c r="E230" s="8" t="s">
        <v>457</v>
      </c>
      <c r="F230" s="20" t="s">
        <v>1969</v>
      </c>
      <c r="G230" s="21" t="s">
        <v>1979</v>
      </c>
      <c r="H230" s="21" t="s">
        <v>1968</v>
      </c>
      <c r="I230" s="21" t="s">
        <v>1968</v>
      </c>
      <c r="J230" s="21" t="s">
        <v>1968</v>
      </c>
      <c r="K230" s="21" t="s">
        <v>1968</v>
      </c>
      <c r="L230" s="22" t="str">
        <f t="shared" si="15"/>
        <v>EXCLUDE</v>
      </c>
      <c r="M230" s="22" t="str">
        <f t="shared" si="16"/>
        <v>Wrong domain (non-AECO)</v>
      </c>
      <c r="N230" s="23"/>
      <c r="O230" s="23"/>
      <c r="P230" s="24"/>
      <c r="Q230" s="24"/>
      <c r="R230" s="24"/>
      <c r="S230" s="22" t="str">
        <f t="shared" si="17"/>
        <v/>
      </c>
      <c r="T230" s="22" t="str">
        <f t="shared" si="18"/>
        <v/>
      </c>
      <c r="U230" s="25"/>
      <c r="V230" s="25"/>
      <c r="W230" s="25"/>
      <c r="X230" s="25"/>
      <c r="Y230" s="22" t="str">
        <f t="shared" si="19"/>
        <v/>
      </c>
      <c r="Z230" s="25"/>
      <c r="AA230" s="25"/>
      <c r="AB230" s="25"/>
      <c r="AC230" s="25"/>
      <c r="AD230" s="25"/>
      <c r="AE230" s="25"/>
      <c r="AF230" s="25"/>
      <c r="AG230" s="9"/>
      <c r="AH230" s="29"/>
      <c r="AI230" s="29"/>
      <c r="AM230" s="50"/>
      <c r="AN230" s="51" t="s">
        <v>2711</v>
      </c>
      <c r="AO230" s="55" t="s">
        <v>456</v>
      </c>
    </row>
    <row r="231" spans="1:41" ht="57" hidden="1" customHeight="1" x14ac:dyDescent="0.3">
      <c r="A231" s="20">
        <v>227</v>
      </c>
      <c r="B231" s="8" t="s">
        <v>2712</v>
      </c>
      <c r="C231" s="26">
        <v>2026</v>
      </c>
      <c r="D231" s="8"/>
      <c r="E231" s="8" t="s">
        <v>459</v>
      </c>
      <c r="F231" s="20" t="s">
        <v>1969</v>
      </c>
      <c r="G231" s="21" t="s">
        <v>1979</v>
      </c>
      <c r="H231" s="21" t="s">
        <v>1968</v>
      </c>
      <c r="I231" s="21" t="s">
        <v>1968</v>
      </c>
      <c r="J231" s="21" t="s">
        <v>1968</v>
      </c>
      <c r="K231" s="21" t="s">
        <v>1979</v>
      </c>
      <c r="L231" s="22" t="str">
        <f t="shared" si="15"/>
        <v>EXCLUDE</v>
      </c>
      <c r="M231" s="22" t="str">
        <f t="shared" si="16"/>
        <v>Wrong domain (non-AECO)</v>
      </c>
      <c r="N231" s="23"/>
      <c r="O231" s="23"/>
      <c r="P231" s="24"/>
      <c r="Q231" s="24"/>
      <c r="R231" s="24"/>
      <c r="S231" s="22" t="str">
        <f t="shared" si="17"/>
        <v/>
      </c>
      <c r="T231" s="22" t="str">
        <f t="shared" si="18"/>
        <v/>
      </c>
      <c r="U231" s="25"/>
      <c r="V231" s="25"/>
      <c r="W231" s="25"/>
      <c r="X231" s="25"/>
      <c r="Y231" s="22" t="str">
        <f t="shared" si="19"/>
        <v/>
      </c>
      <c r="Z231" s="25"/>
      <c r="AA231" s="25"/>
      <c r="AB231" s="25"/>
      <c r="AC231" s="25"/>
      <c r="AD231" s="25"/>
      <c r="AE231" s="25"/>
      <c r="AF231" s="25"/>
      <c r="AG231" s="9"/>
      <c r="AH231" s="29"/>
      <c r="AI231" s="29"/>
      <c r="AM231" s="50"/>
      <c r="AN231" s="51" t="s">
        <v>2713</v>
      </c>
      <c r="AO231" s="55" t="s">
        <v>458</v>
      </c>
    </row>
    <row r="232" spans="1:41" ht="57" hidden="1" customHeight="1" x14ac:dyDescent="0.3">
      <c r="A232" s="20">
        <v>228</v>
      </c>
      <c r="B232" s="8" t="s">
        <v>2714</v>
      </c>
      <c r="C232" s="26">
        <v>2026</v>
      </c>
      <c r="D232" s="8"/>
      <c r="E232" s="8" t="s">
        <v>461</v>
      </c>
      <c r="F232" s="20" t="s">
        <v>1969</v>
      </c>
      <c r="G232" s="21" t="s">
        <v>1979</v>
      </c>
      <c r="H232" s="21" t="s">
        <v>1968</v>
      </c>
      <c r="I232" s="21" t="s">
        <v>1979</v>
      </c>
      <c r="J232" s="21" t="s">
        <v>1968</v>
      </c>
      <c r="K232" s="21" t="s">
        <v>1968</v>
      </c>
      <c r="L232" s="22" t="str">
        <f t="shared" si="15"/>
        <v>EXCLUDE</v>
      </c>
      <c r="M232" s="22" t="str">
        <f t="shared" si="16"/>
        <v>Wrong domain (non-AECO)</v>
      </c>
      <c r="N232" s="23"/>
      <c r="O232" s="23"/>
      <c r="P232" s="24"/>
      <c r="Q232" s="24"/>
      <c r="R232" s="24"/>
      <c r="S232" s="22" t="str">
        <f t="shared" si="17"/>
        <v/>
      </c>
      <c r="T232" s="22" t="str">
        <f t="shared" si="18"/>
        <v/>
      </c>
      <c r="U232" s="25"/>
      <c r="V232" s="25"/>
      <c r="W232" s="25"/>
      <c r="X232" s="25"/>
      <c r="Y232" s="22" t="str">
        <f t="shared" si="19"/>
        <v/>
      </c>
      <c r="Z232" s="25"/>
      <c r="AA232" s="25"/>
      <c r="AB232" s="25"/>
      <c r="AC232" s="25"/>
      <c r="AD232" s="25"/>
      <c r="AE232" s="25"/>
      <c r="AF232" s="25"/>
      <c r="AG232" s="9"/>
      <c r="AH232" s="29"/>
      <c r="AI232" s="29"/>
      <c r="AM232" s="50"/>
      <c r="AN232" s="51" t="s">
        <v>2715</v>
      </c>
      <c r="AO232" s="55" t="s">
        <v>460</v>
      </c>
    </row>
    <row r="233" spans="1:41" ht="68.400000000000006" hidden="1" customHeight="1" x14ac:dyDescent="0.3">
      <c r="A233" s="20">
        <v>229</v>
      </c>
      <c r="B233" s="8" t="s">
        <v>2716</v>
      </c>
      <c r="C233" s="26">
        <v>2025</v>
      </c>
      <c r="D233" s="8"/>
      <c r="E233" s="8" t="s">
        <v>463</v>
      </c>
      <c r="F233" s="20" t="s">
        <v>1969</v>
      </c>
      <c r="G233" s="21" t="s">
        <v>1968</v>
      </c>
      <c r="H233" s="21" t="s">
        <v>1979</v>
      </c>
      <c r="I233" s="21" t="s">
        <v>1968</v>
      </c>
      <c r="J233" s="21" t="s">
        <v>1968</v>
      </c>
      <c r="K233" s="21" t="s">
        <v>1968</v>
      </c>
      <c r="L233" s="22" t="str">
        <f t="shared" si="15"/>
        <v>EXCLUDE</v>
      </c>
      <c r="M233" s="22" t="str">
        <f t="shared" si="16"/>
        <v>Digital Twin not core / buzzword</v>
      </c>
      <c r="N233" s="23"/>
      <c r="O233" s="23"/>
      <c r="P233" s="24"/>
      <c r="Q233" s="24"/>
      <c r="R233" s="24"/>
      <c r="S233" s="22" t="str">
        <f t="shared" si="17"/>
        <v/>
      </c>
      <c r="T233" s="22" t="str">
        <f t="shared" si="18"/>
        <v/>
      </c>
      <c r="U233" s="25"/>
      <c r="V233" s="25"/>
      <c r="W233" s="25"/>
      <c r="X233" s="25"/>
      <c r="Y233" s="22" t="str">
        <f t="shared" si="19"/>
        <v/>
      </c>
      <c r="Z233" s="25"/>
      <c r="AA233" s="25"/>
      <c r="AB233" s="25"/>
      <c r="AC233" s="25"/>
      <c r="AD233" s="25"/>
      <c r="AE233" s="25"/>
      <c r="AF233" s="25"/>
      <c r="AG233" s="9"/>
      <c r="AH233" s="29"/>
      <c r="AI233" s="29"/>
      <c r="AM233" s="50"/>
      <c r="AN233" s="51" t="s">
        <v>2717</v>
      </c>
      <c r="AO233" s="55" t="s">
        <v>462</v>
      </c>
    </row>
    <row r="234" spans="1:41" ht="57" hidden="1" customHeight="1" x14ac:dyDescent="0.3">
      <c r="A234" s="20">
        <v>230</v>
      </c>
      <c r="B234" s="8" t="s">
        <v>2718</v>
      </c>
      <c r="C234" s="26">
        <v>2026</v>
      </c>
      <c r="D234" s="8"/>
      <c r="E234" s="8" t="s">
        <v>465</v>
      </c>
      <c r="F234" s="20" t="s">
        <v>1969</v>
      </c>
      <c r="G234" s="21" t="s">
        <v>1968</v>
      </c>
      <c r="H234" s="21" t="s">
        <v>1968</v>
      </c>
      <c r="I234" s="21" t="s">
        <v>1968</v>
      </c>
      <c r="J234" s="21" t="s">
        <v>1968</v>
      </c>
      <c r="K234" s="21" t="s">
        <v>1968</v>
      </c>
      <c r="L234" s="22" t="str">
        <f t="shared" si="15"/>
        <v>INCLUDE</v>
      </c>
      <c r="M234" s="22" t="str">
        <f t="shared" si="16"/>
        <v/>
      </c>
      <c r="N234" s="23" t="s">
        <v>1968</v>
      </c>
      <c r="O234" s="23" t="s">
        <v>1968</v>
      </c>
      <c r="P234" s="24" t="s">
        <v>1968</v>
      </c>
      <c r="Q234" s="24" t="s">
        <v>1968</v>
      </c>
      <c r="R234" s="24" t="s">
        <v>1968</v>
      </c>
      <c r="S234" s="22" t="str">
        <f t="shared" si="17"/>
        <v>INCLUDE</v>
      </c>
      <c r="T234" s="22" t="str">
        <f t="shared" si="18"/>
        <v/>
      </c>
      <c r="U234" s="25" t="s">
        <v>1982</v>
      </c>
      <c r="V234" s="25">
        <v>0</v>
      </c>
      <c r="W234" s="25">
        <v>1</v>
      </c>
      <c r="X234" s="25">
        <v>0</v>
      </c>
      <c r="Y234" s="22" t="str">
        <f t="shared" si="19"/>
        <v>Single</v>
      </c>
      <c r="Z234" s="25" t="s">
        <v>1922</v>
      </c>
      <c r="AA234" s="25" t="s">
        <v>1972</v>
      </c>
      <c r="AB234" s="25" t="s">
        <v>2017</v>
      </c>
      <c r="AC234" s="25" t="s">
        <v>1986</v>
      </c>
      <c r="AD234" s="25" t="s">
        <v>2003</v>
      </c>
      <c r="AE234" s="25">
        <v>4</v>
      </c>
      <c r="AF234" s="25" t="s">
        <v>1976</v>
      </c>
      <c r="AG234" s="9" t="s">
        <v>2719</v>
      </c>
      <c r="AH234" s="29" t="s">
        <v>2720</v>
      </c>
      <c r="AI234" s="29" t="s">
        <v>2721</v>
      </c>
      <c r="AJ234" t="s">
        <v>1997</v>
      </c>
      <c r="AK234" t="s">
        <v>2722</v>
      </c>
      <c r="AL234" t="s">
        <v>1978</v>
      </c>
      <c r="AM234" s="50"/>
      <c r="AN234" s="51" t="s">
        <v>2723</v>
      </c>
      <c r="AO234" s="55" t="s">
        <v>464</v>
      </c>
    </row>
    <row r="235" spans="1:41" ht="79.95" hidden="1" customHeight="1" x14ac:dyDescent="0.3">
      <c r="A235" s="20">
        <v>231</v>
      </c>
      <c r="B235" s="8" t="s">
        <v>2200</v>
      </c>
      <c r="C235" s="26">
        <v>2026</v>
      </c>
      <c r="D235" s="8"/>
      <c r="E235" s="8" t="s">
        <v>467</v>
      </c>
      <c r="F235" s="20" t="s">
        <v>1969</v>
      </c>
      <c r="G235" s="21" t="s">
        <v>1968</v>
      </c>
      <c r="H235" s="21" t="s">
        <v>1968</v>
      </c>
      <c r="I235" s="21" t="s">
        <v>1968</v>
      </c>
      <c r="J235" s="21" t="s">
        <v>1968</v>
      </c>
      <c r="K235" s="21" t="s">
        <v>1968</v>
      </c>
      <c r="L235" s="22" t="str">
        <f t="shared" si="15"/>
        <v>INCLUDE</v>
      </c>
      <c r="M235" s="22" t="str">
        <f t="shared" si="16"/>
        <v/>
      </c>
      <c r="N235" s="23" t="s">
        <v>1968</v>
      </c>
      <c r="O235" s="23" t="s">
        <v>1968</v>
      </c>
      <c r="P235" s="24" t="s">
        <v>1968</v>
      </c>
      <c r="Q235" s="24" t="s">
        <v>1968</v>
      </c>
      <c r="R235" s="24" t="s">
        <v>1968</v>
      </c>
      <c r="S235" s="22" t="str">
        <f t="shared" si="17"/>
        <v>INCLUDE</v>
      </c>
      <c r="T235" s="22" t="str">
        <f t="shared" si="18"/>
        <v/>
      </c>
      <c r="U235" s="25" t="s">
        <v>1982</v>
      </c>
      <c r="V235" s="25">
        <v>0</v>
      </c>
      <c r="W235" s="25">
        <v>0</v>
      </c>
      <c r="X235" s="25">
        <v>1</v>
      </c>
      <c r="Y235" s="22" t="str">
        <f t="shared" si="19"/>
        <v>Single</v>
      </c>
      <c r="Z235" s="25" t="s">
        <v>1922</v>
      </c>
      <c r="AA235" s="25" t="s">
        <v>1972</v>
      </c>
      <c r="AB235" s="25" t="s">
        <v>2018</v>
      </c>
      <c r="AC235" s="25" t="s">
        <v>1974</v>
      </c>
      <c r="AD235" s="25" t="s">
        <v>2009</v>
      </c>
      <c r="AE235" s="25">
        <v>4</v>
      </c>
      <c r="AF235" s="25" t="s">
        <v>2010</v>
      </c>
      <c r="AG235" s="9" t="s">
        <v>2724</v>
      </c>
      <c r="AH235" s="29" t="s">
        <v>2725</v>
      </c>
      <c r="AI235" s="29" t="s">
        <v>2726</v>
      </c>
      <c r="AJ235" t="s">
        <v>2005</v>
      </c>
      <c r="AK235" t="s">
        <v>2727</v>
      </c>
      <c r="AL235" t="s">
        <v>1978</v>
      </c>
      <c r="AM235" s="50"/>
      <c r="AN235" s="51" t="s">
        <v>2728</v>
      </c>
      <c r="AO235" s="55" t="s">
        <v>466</v>
      </c>
    </row>
    <row r="236" spans="1:41" ht="79.95" hidden="1" customHeight="1" x14ac:dyDescent="0.3">
      <c r="A236" s="20">
        <v>232</v>
      </c>
      <c r="B236" s="8" t="s">
        <v>2729</v>
      </c>
      <c r="C236" s="26">
        <v>2026</v>
      </c>
      <c r="D236" s="8"/>
      <c r="E236" s="8" t="s">
        <v>469</v>
      </c>
      <c r="F236" s="20" t="s">
        <v>1969</v>
      </c>
      <c r="G236" s="21" t="s">
        <v>1979</v>
      </c>
      <c r="H236" s="21" t="s">
        <v>1968</v>
      </c>
      <c r="I236" s="21" t="s">
        <v>1979</v>
      </c>
      <c r="J236" s="21" t="s">
        <v>1968</v>
      </c>
      <c r="K236" s="21" t="s">
        <v>1968</v>
      </c>
      <c r="L236" s="22" t="str">
        <f t="shared" si="15"/>
        <v>EXCLUDE</v>
      </c>
      <c r="M236" s="22" t="str">
        <f t="shared" si="16"/>
        <v>Wrong domain (non-AECO)</v>
      </c>
      <c r="N236" s="23"/>
      <c r="O236" s="23"/>
      <c r="P236" s="24"/>
      <c r="Q236" s="24"/>
      <c r="R236" s="24"/>
      <c r="S236" s="22" t="str">
        <f t="shared" si="17"/>
        <v/>
      </c>
      <c r="T236" s="22" t="str">
        <f t="shared" si="18"/>
        <v/>
      </c>
      <c r="U236" s="25"/>
      <c r="V236" s="25"/>
      <c r="W236" s="25"/>
      <c r="X236" s="25"/>
      <c r="Y236" s="22" t="str">
        <f t="shared" si="19"/>
        <v/>
      </c>
      <c r="Z236" s="25"/>
      <c r="AA236" s="25"/>
      <c r="AB236" s="25"/>
      <c r="AC236" s="25"/>
      <c r="AD236" s="25"/>
      <c r="AE236" s="25"/>
      <c r="AF236" s="25"/>
      <c r="AG236" s="9"/>
      <c r="AH236" s="29"/>
      <c r="AI236" s="29"/>
      <c r="AM236" s="50"/>
      <c r="AN236" s="51" t="s">
        <v>2730</v>
      </c>
      <c r="AO236" s="55" t="s">
        <v>468</v>
      </c>
    </row>
    <row r="237" spans="1:41" ht="57" hidden="1" customHeight="1" x14ac:dyDescent="0.3">
      <c r="A237" s="20">
        <v>233</v>
      </c>
      <c r="B237" s="8" t="s">
        <v>2702</v>
      </c>
      <c r="C237" s="26">
        <v>2026</v>
      </c>
      <c r="D237" s="8"/>
      <c r="E237" s="8" t="s">
        <v>471</v>
      </c>
      <c r="F237" s="20" t="s">
        <v>1969</v>
      </c>
      <c r="G237" s="21" t="s">
        <v>1979</v>
      </c>
      <c r="H237" s="21" t="s">
        <v>1968</v>
      </c>
      <c r="I237" s="21" t="s">
        <v>1979</v>
      </c>
      <c r="J237" s="21" t="s">
        <v>1968</v>
      </c>
      <c r="K237" s="21" t="s">
        <v>1968</v>
      </c>
      <c r="L237" s="22" t="str">
        <f t="shared" si="15"/>
        <v>EXCLUDE</v>
      </c>
      <c r="M237" s="22" t="str">
        <f t="shared" si="16"/>
        <v>Wrong domain (non-AECO)</v>
      </c>
      <c r="N237" s="23"/>
      <c r="O237" s="23"/>
      <c r="P237" s="24"/>
      <c r="Q237" s="24"/>
      <c r="R237" s="24"/>
      <c r="S237" s="22" t="str">
        <f t="shared" si="17"/>
        <v/>
      </c>
      <c r="T237" s="22" t="str">
        <f t="shared" si="18"/>
        <v/>
      </c>
      <c r="U237" s="25"/>
      <c r="V237" s="25"/>
      <c r="W237" s="25"/>
      <c r="X237" s="25"/>
      <c r="Y237" s="22" t="str">
        <f t="shared" si="19"/>
        <v/>
      </c>
      <c r="Z237" s="25"/>
      <c r="AA237" s="25"/>
      <c r="AB237" s="25"/>
      <c r="AC237" s="25"/>
      <c r="AD237" s="25"/>
      <c r="AE237" s="25"/>
      <c r="AF237" s="25"/>
      <c r="AG237" s="9"/>
      <c r="AH237" s="29"/>
      <c r="AI237" s="29"/>
      <c r="AM237" s="50"/>
      <c r="AN237" s="51" t="s">
        <v>2731</v>
      </c>
      <c r="AO237" s="55" t="s">
        <v>470</v>
      </c>
    </row>
    <row r="238" spans="1:41" ht="57" hidden="1" customHeight="1" x14ac:dyDescent="0.3">
      <c r="A238" s="20">
        <v>234</v>
      </c>
      <c r="B238" s="8" t="s">
        <v>2732</v>
      </c>
      <c r="C238" s="26">
        <v>2025</v>
      </c>
      <c r="D238" s="8"/>
      <c r="E238" s="8" t="s">
        <v>473</v>
      </c>
      <c r="F238" s="20" t="s">
        <v>1969</v>
      </c>
      <c r="G238" s="21" t="s">
        <v>1979</v>
      </c>
      <c r="H238" s="21" t="s">
        <v>1979</v>
      </c>
      <c r="I238" s="21" t="s">
        <v>1979</v>
      </c>
      <c r="J238" s="21" t="s">
        <v>1968</v>
      </c>
      <c r="K238" s="21" t="s">
        <v>1968</v>
      </c>
      <c r="L238" s="22" t="str">
        <f t="shared" si="15"/>
        <v>EXCLUDE</v>
      </c>
      <c r="M238" s="22" t="str">
        <f t="shared" si="16"/>
        <v>Wrong domain (non-AECO)</v>
      </c>
      <c r="N238" s="23"/>
      <c r="O238" s="23"/>
      <c r="P238" s="24"/>
      <c r="Q238" s="24"/>
      <c r="R238" s="24"/>
      <c r="S238" s="22" t="str">
        <f t="shared" si="17"/>
        <v/>
      </c>
      <c r="T238" s="22" t="str">
        <f t="shared" si="18"/>
        <v/>
      </c>
      <c r="U238" s="25"/>
      <c r="V238" s="25"/>
      <c r="W238" s="25"/>
      <c r="X238" s="25"/>
      <c r="Y238" s="22" t="str">
        <f t="shared" si="19"/>
        <v/>
      </c>
      <c r="Z238" s="25"/>
      <c r="AA238" s="25"/>
      <c r="AB238" s="25"/>
      <c r="AC238" s="25"/>
      <c r="AD238" s="25"/>
      <c r="AE238" s="25"/>
      <c r="AF238" s="25"/>
      <c r="AG238" s="9"/>
      <c r="AH238" s="29"/>
      <c r="AI238" s="29"/>
      <c r="AM238" s="50"/>
      <c r="AN238" s="51" t="s">
        <v>2733</v>
      </c>
      <c r="AO238" s="55" t="s">
        <v>472</v>
      </c>
    </row>
    <row r="239" spans="1:41" ht="102.6" customHeight="1" x14ac:dyDescent="0.3">
      <c r="A239" s="20">
        <v>235</v>
      </c>
      <c r="B239" s="8" t="s">
        <v>2734</v>
      </c>
      <c r="C239" s="26">
        <v>2026</v>
      </c>
      <c r="D239" s="8"/>
      <c r="E239" s="8" t="s">
        <v>475</v>
      </c>
      <c r="F239" s="20" t="s">
        <v>1969</v>
      </c>
      <c r="G239" s="21" t="s">
        <v>1968</v>
      </c>
      <c r="H239" s="21" t="s">
        <v>1979</v>
      </c>
      <c r="I239" s="21" t="s">
        <v>1979</v>
      </c>
      <c r="J239" s="21" t="s">
        <v>1968</v>
      </c>
      <c r="K239" s="21" t="s">
        <v>1968</v>
      </c>
      <c r="L239" s="22" t="str">
        <f t="shared" si="15"/>
        <v>EXCLUDE</v>
      </c>
      <c r="M239" s="22" t="str">
        <f t="shared" si="16"/>
        <v>Digital Twin not core / buzzword</v>
      </c>
      <c r="N239" s="23"/>
      <c r="O239" s="23"/>
      <c r="P239" s="24"/>
      <c r="Q239" s="24"/>
      <c r="R239" s="24"/>
      <c r="S239" s="22" t="str">
        <f t="shared" si="17"/>
        <v/>
      </c>
      <c r="T239" s="22" t="str">
        <f t="shared" si="18"/>
        <v/>
      </c>
      <c r="U239" s="25"/>
      <c r="V239" s="25"/>
      <c r="W239" s="25"/>
      <c r="X239" s="25"/>
      <c r="Y239" s="22" t="str">
        <f t="shared" si="19"/>
        <v/>
      </c>
      <c r="Z239" s="25"/>
      <c r="AA239" s="25"/>
      <c r="AB239" s="25"/>
      <c r="AC239" s="25"/>
      <c r="AD239" s="25"/>
      <c r="AE239" s="25"/>
      <c r="AF239" s="25"/>
      <c r="AG239" s="9"/>
      <c r="AH239" s="29"/>
      <c r="AI239" s="29"/>
      <c r="AM239" s="50"/>
      <c r="AN239" s="51" t="s">
        <v>2735</v>
      </c>
      <c r="AO239" s="55" t="s">
        <v>474</v>
      </c>
    </row>
    <row r="240" spans="1:41" ht="114" hidden="1" customHeight="1" x14ac:dyDescent="0.3">
      <c r="A240" s="20">
        <v>236</v>
      </c>
      <c r="B240" s="8" t="s">
        <v>2736</v>
      </c>
      <c r="C240" s="26">
        <v>2026</v>
      </c>
      <c r="D240" s="8"/>
      <c r="E240" s="8" t="s">
        <v>477</v>
      </c>
      <c r="F240" s="20" t="s">
        <v>1969</v>
      </c>
      <c r="G240" s="21" t="s">
        <v>1979</v>
      </c>
      <c r="H240" s="21" t="s">
        <v>1968</v>
      </c>
      <c r="I240" s="21" t="s">
        <v>1979</v>
      </c>
      <c r="J240" s="21" t="s">
        <v>1968</v>
      </c>
      <c r="K240" s="21" t="s">
        <v>1968</v>
      </c>
      <c r="L240" s="22" t="str">
        <f t="shared" si="15"/>
        <v>EXCLUDE</v>
      </c>
      <c r="M240" s="22" t="str">
        <f t="shared" si="16"/>
        <v>Wrong domain (non-AECO)</v>
      </c>
      <c r="N240" s="23"/>
      <c r="O240" s="23"/>
      <c r="P240" s="24"/>
      <c r="Q240" s="24"/>
      <c r="R240" s="24"/>
      <c r="S240" s="22" t="str">
        <f t="shared" si="17"/>
        <v/>
      </c>
      <c r="T240" s="22" t="str">
        <f t="shared" si="18"/>
        <v/>
      </c>
      <c r="U240" s="25"/>
      <c r="V240" s="25"/>
      <c r="W240" s="25"/>
      <c r="X240" s="25"/>
      <c r="Y240" s="22" t="str">
        <f t="shared" si="19"/>
        <v/>
      </c>
      <c r="Z240" s="25"/>
      <c r="AA240" s="25"/>
      <c r="AB240" s="25"/>
      <c r="AC240" s="25"/>
      <c r="AD240" s="25"/>
      <c r="AE240" s="25"/>
      <c r="AF240" s="25"/>
      <c r="AG240" s="9"/>
      <c r="AH240" s="29"/>
      <c r="AI240" s="29"/>
      <c r="AM240" s="50"/>
      <c r="AN240" s="51" t="s">
        <v>2737</v>
      </c>
      <c r="AO240" s="55" t="s">
        <v>476</v>
      </c>
    </row>
    <row r="241" spans="1:41" ht="57" hidden="1" customHeight="1" x14ac:dyDescent="0.3">
      <c r="A241" s="20">
        <v>237</v>
      </c>
      <c r="B241" s="8" t="s">
        <v>2738</v>
      </c>
      <c r="C241" s="26">
        <v>2026</v>
      </c>
      <c r="D241" s="8"/>
      <c r="E241" s="8" t="s">
        <v>479</v>
      </c>
      <c r="F241" s="20" t="s">
        <v>1969</v>
      </c>
      <c r="G241" s="21" t="s">
        <v>1968</v>
      </c>
      <c r="H241" s="21" t="s">
        <v>1968</v>
      </c>
      <c r="I241" s="21" t="s">
        <v>1979</v>
      </c>
      <c r="J241" s="21" t="s">
        <v>1968</v>
      </c>
      <c r="K241" s="21" t="s">
        <v>1968</v>
      </c>
      <c r="L241" s="22" t="str">
        <f t="shared" si="15"/>
        <v>EXCLUDE</v>
      </c>
      <c r="M241" s="22" t="str">
        <f t="shared" si="16"/>
        <v>No Design for Safety / PtD focus</v>
      </c>
      <c r="N241" s="23"/>
      <c r="O241" s="23"/>
      <c r="P241" s="24"/>
      <c r="Q241" s="24"/>
      <c r="R241" s="24"/>
      <c r="S241" s="22" t="str">
        <f t="shared" si="17"/>
        <v/>
      </c>
      <c r="T241" s="22" t="str">
        <f t="shared" si="18"/>
        <v/>
      </c>
      <c r="U241" s="25"/>
      <c r="V241" s="25"/>
      <c r="W241" s="25"/>
      <c r="X241" s="25"/>
      <c r="Y241" s="22" t="str">
        <f t="shared" si="19"/>
        <v/>
      </c>
      <c r="Z241" s="25"/>
      <c r="AA241" s="25"/>
      <c r="AB241" s="25"/>
      <c r="AC241" s="25"/>
      <c r="AD241" s="25"/>
      <c r="AE241" s="25"/>
      <c r="AF241" s="25"/>
      <c r="AG241" s="9"/>
      <c r="AH241" s="29"/>
      <c r="AI241" s="29"/>
      <c r="AM241" s="50"/>
      <c r="AN241" s="51" t="s">
        <v>2739</v>
      </c>
      <c r="AO241" s="55" t="s">
        <v>478</v>
      </c>
    </row>
    <row r="242" spans="1:41" ht="230.4" customHeight="1" x14ac:dyDescent="0.3">
      <c r="A242" s="20">
        <v>238</v>
      </c>
      <c r="B242" s="8" t="s">
        <v>2740</v>
      </c>
      <c r="C242" s="26">
        <v>2026</v>
      </c>
      <c r="D242" s="8"/>
      <c r="E242" s="8" t="s">
        <v>481</v>
      </c>
      <c r="F242" s="20" t="s">
        <v>1969</v>
      </c>
      <c r="G242" s="21" t="s">
        <v>1968</v>
      </c>
      <c r="H242" s="21" t="s">
        <v>1968</v>
      </c>
      <c r="I242" s="21" t="s">
        <v>1968</v>
      </c>
      <c r="J242" s="21" t="s">
        <v>1968</v>
      </c>
      <c r="K242" s="21" t="s">
        <v>1968</v>
      </c>
      <c r="L242" s="22" t="str">
        <f t="shared" si="15"/>
        <v>INCLUDE</v>
      </c>
      <c r="M242" s="22" t="str">
        <f t="shared" si="16"/>
        <v/>
      </c>
      <c r="N242" s="23" t="s">
        <v>1968</v>
      </c>
      <c r="O242" s="23" t="s">
        <v>1968</v>
      </c>
      <c r="P242" s="24" t="s">
        <v>1968</v>
      </c>
      <c r="Q242" s="24" t="s">
        <v>1968</v>
      </c>
      <c r="R242" s="24" t="s">
        <v>1968</v>
      </c>
      <c r="S242" s="22" t="str">
        <f t="shared" si="17"/>
        <v>INCLUDE</v>
      </c>
      <c r="T242" s="22" t="str">
        <f t="shared" si="18"/>
        <v/>
      </c>
      <c r="U242" s="25" t="s">
        <v>1982</v>
      </c>
      <c r="V242" s="25">
        <v>0</v>
      </c>
      <c r="W242" s="25">
        <v>1</v>
      </c>
      <c r="X242" s="25">
        <v>0</v>
      </c>
      <c r="Y242" s="22" t="str">
        <f t="shared" si="19"/>
        <v>Single</v>
      </c>
      <c r="Z242" s="25" t="s">
        <v>1922</v>
      </c>
      <c r="AA242" s="25" t="s">
        <v>1972</v>
      </c>
      <c r="AB242" s="25" t="s">
        <v>1973</v>
      </c>
      <c r="AC242" s="25" t="s">
        <v>1986</v>
      </c>
      <c r="AD242" s="25" t="s">
        <v>2003</v>
      </c>
      <c r="AE242" s="25">
        <v>4</v>
      </c>
      <c r="AF242" s="25" t="s">
        <v>1996</v>
      </c>
      <c r="AG242" s="9" t="s">
        <v>2741</v>
      </c>
      <c r="AH242" s="29" t="s">
        <v>2742</v>
      </c>
      <c r="AI242" s="29" t="s">
        <v>2743</v>
      </c>
      <c r="AJ242" t="s">
        <v>2005</v>
      </c>
      <c r="AK242" t="s">
        <v>2744</v>
      </c>
      <c r="AL242" t="s">
        <v>1990</v>
      </c>
      <c r="AM242" s="50"/>
      <c r="AN242" s="51" t="s">
        <v>2745</v>
      </c>
      <c r="AO242" s="55" t="s">
        <v>480</v>
      </c>
    </row>
    <row r="243" spans="1:41" ht="316.95" customHeight="1" x14ac:dyDescent="0.3">
      <c r="A243" s="20">
        <v>239</v>
      </c>
      <c r="B243" s="8" t="s">
        <v>2746</v>
      </c>
      <c r="C243" s="26">
        <v>2026</v>
      </c>
      <c r="D243" s="8"/>
      <c r="E243" s="8" t="s">
        <v>483</v>
      </c>
      <c r="F243" s="20" t="s">
        <v>1969</v>
      </c>
      <c r="G243" s="21" t="s">
        <v>1968</v>
      </c>
      <c r="H243" s="21" t="s">
        <v>1968</v>
      </c>
      <c r="I243" s="21" t="s">
        <v>1968</v>
      </c>
      <c r="J243" s="21" t="s">
        <v>1968</v>
      </c>
      <c r="K243" s="21" t="s">
        <v>1968</v>
      </c>
      <c r="L243" s="22" t="str">
        <f t="shared" si="15"/>
        <v>INCLUDE</v>
      </c>
      <c r="M243" s="22" t="str">
        <f t="shared" si="16"/>
        <v/>
      </c>
      <c r="N243" s="23" t="s">
        <v>1968</v>
      </c>
      <c r="O243" s="23" t="s">
        <v>1968</v>
      </c>
      <c r="P243" s="24" t="s">
        <v>1968</v>
      </c>
      <c r="Q243" s="24" t="s">
        <v>1968</v>
      </c>
      <c r="R243" s="24" t="s">
        <v>1968</v>
      </c>
      <c r="S243" s="22" t="str">
        <f t="shared" si="17"/>
        <v>INCLUDE</v>
      </c>
      <c r="T243" s="22" t="str">
        <f t="shared" si="18"/>
        <v/>
      </c>
      <c r="U243" s="25" t="s">
        <v>1982</v>
      </c>
      <c r="V243" s="25">
        <v>0</v>
      </c>
      <c r="W243" s="25">
        <v>1</v>
      </c>
      <c r="X243" s="25">
        <v>0</v>
      </c>
      <c r="Y243" s="22" t="str">
        <f t="shared" si="19"/>
        <v>Single</v>
      </c>
      <c r="Z243" s="25" t="s">
        <v>1922</v>
      </c>
      <c r="AA243" s="25" t="s">
        <v>1972</v>
      </c>
      <c r="AB243" s="25" t="s">
        <v>1973</v>
      </c>
      <c r="AC243" s="25" t="s">
        <v>1986</v>
      </c>
      <c r="AD243" s="25" t="s">
        <v>2003</v>
      </c>
      <c r="AE243" s="25">
        <v>4</v>
      </c>
      <c r="AF243" s="25" t="s">
        <v>2004</v>
      </c>
      <c r="AG243" s="9" t="s">
        <v>2747</v>
      </c>
      <c r="AH243" s="29" t="s">
        <v>2748</v>
      </c>
      <c r="AI243" s="29" t="s">
        <v>2749</v>
      </c>
      <c r="AJ243" t="s">
        <v>2005</v>
      </c>
      <c r="AK243" t="s">
        <v>2750</v>
      </c>
      <c r="AL243" t="s">
        <v>1978</v>
      </c>
      <c r="AM243" s="50"/>
      <c r="AN243" s="51" t="s">
        <v>2751</v>
      </c>
      <c r="AO243" s="55" t="s">
        <v>482</v>
      </c>
    </row>
    <row r="244" spans="1:41" ht="57" hidden="1" customHeight="1" x14ac:dyDescent="0.3">
      <c r="A244" s="20">
        <v>240</v>
      </c>
      <c r="B244" s="8" t="s">
        <v>2752</v>
      </c>
      <c r="C244" s="26">
        <v>2025</v>
      </c>
      <c r="D244" s="8"/>
      <c r="E244" s="8" t="s">
        <v>485</v>
      </c>
      <c r="F244" s="20" t="s">
        <v>1969</v>
      </c>
      <c r="G244" s="21" t="s">
        <v>1968</v>
      </c>
      <c r="H244" s="21" t="s">
        <v>1979</v>
      </c>
      <c r="I244" s="21" t="s">
        <v>1979</v>
      </c>
      <c r="J244" s="21" t="s">
        <v>1968</v>
      </c>
      <c r="K244" s="21" t="s">
        <v>1968</v>
      </c>
      <c r="L244" s="22" t="str">
        <f t="shared" si="15"/>
        <v>EXCLUDE</v>
      </c>
      <c r="M244" s="22" t="str">
        <f t="shared" si="16"/>
        <v>Digital Twin not core / buzzword</v>
      </c>
      <c r="N244" s="23"/>
      <c r="O244" s="23"/>
      <c r="P244" s="24"/>
      <c r="Q244" s="24"/>
      <c r="R244" s="24"/>
      <c r="S244" s="22" t="str">
        <f t="shared" si="17"/>
        <v/>
      </c>
      <c r="T244" s="22" t="str">
        <f t="shared" si="18"/>
        <v/>
      </c>
      <c r="U244" s="25"/>
      <c r="V244" s="25"/>
      <c r="W244" s="25"/>
      <c r="X244" s="25"/>
      <c r="Y244" s="22" t="str">
        <f t="shared" si="19"/>
        <v/>
      </c>
      <c r="Z244" s="25"/>
      <c r="AA244" s="25"/>
      <c r="AB244" s="25"/>
      <c r="AC244" s="25"/>
      <c r="AD244" s="25"/>
      <c r="AE244" s="25"/>
      <c r="AF244" s="25"/>
      <c r="AG244" s="9"/>
      <c r="AH244" s="29"/>
      <c r="AI244" s="29"/>
      <c r="AM244" s="50"/>
      <c r="AN244" s="51" t="s">
        <v>2753</v>
      </c>
      <c r="AO244" s="55" t="s">
        <v>484</v>
      </c>
    </row>
    <row r="245" spans="1:41" ht="45.6" hidden="1" customHeight="1" x14ac:dyDescent="0.3">
      <c r="A245" s="20">
        <v>241</v>
      </c>
      <c r="B245" s="8" t="s">
        <v>2754</v>
      </c>
      <c r="C245" s="26">
        <v>2026</v>
      </c>
      <c r="D245" s="8"/>
      <c r="E245" s="8" t="s">
        <v>487</v>
      </c>
      <c r="F245" s="20" t="s">
        <v>1969</v>
      </c>
      <c r="G245" s="21" t="s">
        <v>1979</v>
      </c>
      <c r="H245" s="21" t="s">
        <v>1979</v>
      </c>
      <c r="I245" s="21" t="s">
        <v>1968</v>
      </c>
      <c r="J245" s="21" t="s">
        <v>1968</v>
      </c>
      <c r="K245" s="21" t="s">
        <v>1968</v>
      </c>
      <c r="L245" s="22" t="str">
        <f t="shared" si="15"/>
        <v>EXCLUDE</v>
      </c>
      <c r="M245" s="22" t="str">
        <f t="shared" si="16"/>
        <v>Wrong domain (non-AECO)</v>
      </c>
      <c r="N245" s="23"/>
      <c r="O245" s="23"/>
      <c r="P245" s="24"/>
      <c r="Q245" s="24"/>
      <c r="R245" s="24"/>
      <c r="S245" s="22" t="str">
        <f t="shared" si="17"/>
        <v/>
      </c>
      <c r="T245" s="22" t="str">
        <f t="shared" si="18"/>
        <v/>
      </c>
      <c r="U245" s="25"/>
      <c r="V245" s="25"/>
      <c r="W245" s="25"/>
      <c r="X245" s="25"/>
      <c r="Y245" s="22" t="str">
        <f t="shared" si="19"/>
        <v/>
      </c>
      <c r="Z245" s="25"/>
      <c r="AA245" s="25"/>
      <c r="AB245" s="25"/>
      <c r="AC245" s="25"/>
      <c r="AD245" s="25"/>
      <c r="AE245" s="25"/>
      <c r="AF245" s="25"/>
      <c r="AG245" s="9"/>
      <c r="AH245" s="29"/>
      <c r="AI245" s="29"/>
      <c r="AM245" s="50"/>
      <c r="AN245" s="51" t="s">
        <v>2755</v>
      </c>
      <c r="AO245" s="55" t="s">
        <v>486</v>
      </c>
    </row>
    <row r="246" spans="1:41" ht="68.400000000000006" hidden="1" customHeight="1" x14ac:dyDescent="0.3">
      <c r="A246" s="20">
        <v>242</v>
      </c>
      <c r="B246" s="8" t="s">
        <v>2756</v>
      </c>
      <c r="C246" s="26">
        <v>2026</v>
      </c>
      <c r="D246" s="8"/>
      <c r="E246" s="8" t="s">
        <v>489</v>
      </c>
      <c r="F246" s="20" t="s">
        <v>1969</v>
      </c>
      <c r="G246" s="21" t="s">
        <v>1968</v>
      </c>
      <c r="H246" s="21" t="s">
        <v>1979</v>
      </c>
      <c r="I246" s="21" t="s">
        <v>1968</v>
      </c>
      <c r="J246" s="21" t="s">
        <v>1968</v>
      </c>
      <c r="K246" s="21" t="s">
        <v>1968</v>
      </c>
      <c r="L246" s="22" t="str">
        <f t="shared" si="15"/>
        <v>EXCLUDE</v>
      </c>
      <c r="M246" s="22" t="str">
        <f t="shared" si="16"/>
        <v>Digital Twin not core / buzzword</v>
      </c>
      <c r="N246" s="23"/>
      <c r="O246" s="23"/>
      <c r="P246" s="24"/>
      <c r="Q246" s="24"/>
      <c r="R246" s="24"/>
      <c r="S246" s="22" t="str">
        <f t="shared" si="17"/>
        <v/>
      </c>
      <c r="T246" s="22" t="str">
        <f t="shared" si="18"/>
        <v/>
      </c>
      <c r="U246" s="25"/>
      <c r="V246" s="25"/>
      <c r="W246" s="25"/>
      <c r="X246" s="25"/>
      <c r="Y246" s="22" t="str">
        <f t="shared" si="19"/>
        <v/>
      </c>
      <c r="Z246" s="25"/>
      <c r="AA246" s="25"/>
      <c r="AB246" s="25"/>
      <c r="AC246" s="25"/>
      <c r="AD246" s="25"/>
      <c r="AE246" s="25"/>
      <c r="AF246" s="25"/>
      <c r="AG246" s="9"/>
      <c r="AH246" s="29"/>
      <c r="AI246" s="29"/>
      <c r="AM246" s="50"/>
      <c r="AN246" s="51" t="s">
        <v>2757</v>
      </c>
      <c r="AO246" s="55" t="s">
        <v>488</v>
      </c>
    </row>
    <row r="247" spans="1:41" ht="45.6" hidden="1" customHeight="1" x14ac:dyDescent="0.3">
      <c r="A247" s="20">
        <v>243</v>
      </c>
      <c r="B247" s="8" t="s">
        <v>2758</v>
      </c>
      <c r="C247" s="26">
        <v>2026</v>
      </c>
      <c r="D247" s="8"/>
      <c r="E247" s="8" t="s">
        <v>491</v>
      </c>
      <c r="F247" s="20" t="s">
        <v>1969</v>
      </c>
      <c r="G247" s="21" t="s">
        <v>1979</v>
      </c>
      <c r="H247" s="21" t="s">
        <v>1979</v>
      </c>
      <c r="I247" s="21" t="s">
        <v>1979</v>
      </c>
      <c r="J247" s="21" t="s">
        <v>1968</v>
      </c>
      <c r="K247" s="21" t="s">
        <v>1968</v>
      </c>
      <c r="L247" s="22" t="str">
        <f t="shared" si="15"/>
        <v>EXCLUDE</v>
      </c>
      <c r="M247" s="22" t="str">
        <f t="shared" si="16"/>
        <v>Wrong domain (non-AECO)</v>
      </c>
      <c r="N247" s="23"/>
      <c r="O247" s="23"/>
      <c r="P247" s="24"/>
      <c r="Q247" s="24"/>
      <c r="R247" s="24"/>
      <c r="S247" s="22" t="str">
        <f t="shared" si="17"/>
        <v/>
      </c>
      <c r="T247" s="22" t="str">
        <f t="shared" si="18"/>
        <v/>
      </c>
      <c r="U247" s="25"/>
      <c r="V247" s="25"/>
      <c r="W247" s="25"/>
      <c r="X247" s="25"/>
      <c r="Y247" s="22" t="str">
        <f t="shared" si="19"/>
        <v/>
      </c>
      <c r="Z247" s="25"/>
      <c r="AA247" s="25"/>
      <c r="AB247" s="25"/>
      <c r="AC247" s="25"/>
      <c r="AD247" s="25"/>
      <c r="AE247" s="25"/>
      <c r="AF247" s="25"/>
      <c r="AG247" s="9"/>
      <c r="AH247" s="29"/>
      <c r="AI247" s="29"/>
      <c r="AM247" s="50"/>
      <c r="AN247" s="51" t="s">
        <v>2759</v>
      </c>
      <c r="AO247" s="55" t="s">
        <v>490</v>
      </c>
    </row>
    <row r="248" spans="1:41" ht="45.6" hidden="1" customHeight="1" x14ac:dyDescent="0.3">
      <c r="A248" s="20">
        <v>244</v>
      </c>
      <c r="B248" s="8" t="s">
        <v>2760</v>
      </c>
      <c r="C248" s="26">
        <v>2026</v>
      </c>
      <c r="D248" s="8"/>
      <c r="E248" s="8" t="s">
        <v>493</v>
      </c>
      <c r="F248" s="20" t="s">
        <v>1969</v>
      </c>
      <c r="G248" s="21" t="s">
        <v>1979</v>
      </c>
      <c r="H248" s="21" t="s">
        <v>1979</v>
      </c>
      <c r="I248" s="21" t="s">
        <v>1979</v>
      </c>
      <c r="J248" s="21" t="s">
        <v>1968</v>
      </c>
      <c r="K248" s="21" t="s">
        <v>1979</v>
      </c>
      <c r="L248" s="22" t="str">
        <f t="shared" si="15"/>
        <v>EXCLUDE</v>
      </c>
      <c r="M248" s="22" t="str">
        <f t="shared" si="16"/>
        <v>Wrong domain (non-AECO)</v>
      </c>
      <c r="N248" s="23"/>
      <c r="O248" s="23"/>
      <c r="P248" s="24"/>
      <c r="Q248" s="24"/>
      <c r="R248" s="24"/>
      <c r="S248" s="22" t="str">
        <f t="shared" si="17"/>
        <v/>
      </c>
      <c r="T248" s="22" t="str">
        <f t="shared" si="18"/>
        <v/>
      </c>
      <c r="U248" s="25"/>
      <c r="V248" s="25"/>
      <c r="W248" s="25"/>
      <c r="X248" s="25"/>
      <c r="Y248" s="22" t="str">
        <f t="shared" si="19"/>
        <v/>
      </c>
      <c r="Z248" s="25"/>
      <c r="AA248" s="25"/>
      <c r="AB248" s="25"/>
      <c r="AC248" s="25"/>
      <c r="AD248" s="25"/>
      <c r="AE248" s="25"/>
      <c r="AF248" s="25"/>
      <c r="AG248" s="9"/>
      <c r="AH248" s="29"/>
      <c r="AI248" s="29"/>
      <c r="AM248" s="50"/>
      <c r="AN248" s="51" t="s">
        <v>2761</v>
      </c>
      <c r="AO248" s="55" t="s">
        <v>492</v>
      </c>
    </row>
    <row r="249" spans="1:41" ht="45.6" hidden="1" customHeight="1" x14ac:dyDescent="0.3">
      <c r="A249" s="20">
        <v>245</v>
      </c>
      <c r="B249" s="8" t="s">
        <v>2762</v>
      </c>
      <c r="C249" s="26">
        <v>2026</v>
      </c>
      <c r="D249" s="8"/>
      <c r="E249" s="8" t="s">
        <v>495</v>
      </c>
      <c r="F249" s="20" t="s">
        <v>1969</v>
      </c>
      <c r="G249" s="21" t="s">
        <v>1968</v>
      </c>
      <c r="H249" s="21" t="s">
        <v>1968</v>
      </c>
      <c r="I249" s="21" t="s">
        <v>1968</v>
      </c>
      <c r="J249" s="21" t="s">
        <v>1968</v>
      </c>
      <c r="K249" s="21" t="s">
        <v>1968</v>
      </c>
      <c r="L249" s="22" t="str">
        <f t="shared" si="15"/>
        <v>INCLUDE</v>
      </c>
      <c r="M249" s="22" t="str">
        <f t="shared" si="16"/>
        <v/>
      </c>
      <c r="N249" s="23" t="s">
        <v>1968</v>
      </c>
      <c r="O249" s="23" t="s">
        <v>1968</v>
      </c>
      <c r="P249" s="24" t="s">
        <v>1968</v>
      </c>
      <c r="Q249" s="24" t="s">
        <v>1968</v>
      </c>
      <c r="R249" s="24" t="s">
        <v>1968</v>
      </c>
      <c r="S249" s="22" t="str">
        <f t="shared" si="17"/>
        <v>INCLUDE</v>
      </c>
      <c r="T249" s="22" t="str">
        <f t="shared" si="18"/>
        <v/>
      </c>
      <c r="U249" s="25" t="s">
        <v>1982</v>
      </c>
      <c r="V249" s="25">
        <v>0</v>
      </c>
      <c r="W249" s="25">
        <v>1</v>
      </c>
      <c r="X249" s="25">
        <v>0</v>
      </c>
      <c r="Y249" s="22" t="str">
        <f t="shared" si="19"/>
        <v>Single</v>
      </c>
      <c r="Z249" s="25" t="s">
        <v>1922</v>
      </c>
      <c r="AA249" s="25" t="s">
        <v>1972</v>
      </c>
      <c r="AB249" s="25" t="s">
        <v>2017</v>
      </c>
      <c r="AC249" s="25" t="s">
        <v>1986</v>
      </c>
      <c r="AD249" s="25" t="s">
        <v>2009</v>
      </c>
      <c r="AE249" s="25">
        <v>3</v>
      </c>
      <c r="AF249" s="25" t="s">
        <v>2004</v>
      </c>
      <c r="AG249" s="9" t="s">
        <v>2763</v>
      </c>
      <c r="AH249" s="29" t="s">
        <v>2764</v>
      </c>
      <c r="AI249" s="29" t="s">
        <v>2765</v>
      </c>
      <c r="AJ249" t="s">
        <v>1997</v>
      </c>
      <c r="AK249" t="s">
        <v>2766</v>
      </c>
      <c r="AL249" t="s">
        <v>1978</v>
      </c>
      <c r="AM249" s="50"/>
      <c r="AN249" s="51" t="s">
        <v>2767</v>
      </c>
      <c r="AO249" s="55" t="s">
        <v>494</v>
      </c>
    </row>
    <row r="250" spans="1:41" ht="57" hidden="1" customHeight="1" x14ac:dyDescent="0.3">
      <c r="A250" s="20">
        <v>246</v>
      </c>
      <c r="B250" s="8" t="s">
        <v>2768</v>
      </c>
      <c r="C250" s="26">
        <v>2026</v>
      </c>
      <c r="D250" s="8"/>
      <c r="E250" s="8" t="s">
        <v>497</v>
      </c>
      <c r="F250" s="20" t="s">
        <v>1969</v>
      </c>
      <c r="G250" s="21" t="s">
        <v>1968</v>
      </c>
      <c r="H250" s="21" t="s">
        <v>1968</v>
      </c>
      <c r="I250" s="21" t="s">
        <v>1968</v>
      </c>
      <c r="J250" s="21" t="s">
        <v>1968</v>
      </c>
      <c r="K250" s="21" t="s">
        <v>1968</v>
      </c>
      <c r="L250" s="22" t="str">
        <f t="shared" si="15"/>
        <v>INCLUDE</v>
      </c>
      <c r="M250" s="22" t="str">
        <f t="shared" si="16"/>
        <v/>
      </c>
      <c r="N250" s="23" t="s">
        <v>1968</v>
      </c>
      <c r="O250" s="23" t="s">
        <v>1968</v>
      </c>
      <c r="P250" s="24" t="s">
        <v>1968</v>
      </c>
      <c r="Q250" s="24" t="s">
        <v>1968</v>
      </c>
      <c r="R250" s="24" t="s">
        <v>1968</v>
      </c>
      <c r="S250" s="22" t="str">
        <f t="shared" si="17"/>
        <v>INCLUDE</v>
      </c>
      <c r="T250" s="22" t="str">
        <f t="shared" si="18"/>
        <v/>
      </c>
      <c r="U250" s="25" t="s">
        <v>1971</v>
      </c>
      <c r="V250" s="25">
        <v>0</v>
      </c>
      <c r="W250" s="25">
        <v>0</v>
      </c>
      <c r="X250" s="25">
        <v>1</v>
      </c>
      <c r="Y250" s="22" t="str">
        <f t="shared" si="19"/>
        <v>Single</v>
      </c>
      <c r="Z250" s="25" t="s">
        <v>1922</v>
      </c>
      <c r="AA250" s="25" t="s">
        <v>1972</v>
      </c>
      <c r="AB250" s="25" t="s">
        <v>2015</v>
      </c>
      <c r="AC250" s="25" t="s">
        <v>1986</v>
      </c>
      <c r="AD250" s="25" t="s">
        <v>2003</v>
      </c>
      <c r="AE250" s="25">
        <v>3</v>
      </c>
      <c r="AF250" s="25" t="s">
        <v>2004</v>
      </c>
      <c r="AG250" s="9" t="s">
        <v>2769</v>
      </c>
      <c r="AH250" s="29" t="s">
        <v>2770</v>
      </c>
      <c r="AI250" s="29" t="s">
        <v>2771</v>
      </c>
      <c r="AJ250" t="s">
        <v>2005</v>
      </c>
      <c r="AK250" t="s">
        <v>2772</v>
      </c>
      <c r="AL250" t="s">
        <v>1990</v>
      </c>
      <c r="AM250" s="50"/>
      <c r="AN250" s="51" t="s">
        <v>2773</v>
      </c>
      <c r="AO250" s="55" t="s">
        <v>496</v>
      </c>
    </row>
    <row r="251" spans="1:41" ht="129.6" customHeight="1" x14ac:dyDescent="0.3">
      <c r="A251" s="20">
        <v>247</v>
      </c>
      <c r="B251" s="8" t="s">
        <v>2774</v>
      </c>
      <c r="C251" s="26">
        <v>2025</v>
      </c>
      <c r="D251" s="8"/>
      <c r="E251" s="8" t="s">
        <v>499</v>
      </c>
      <c r="F251" s="20" t="s">
        <v>1969</v>
      </c>
      <c r="G251" s="21" t="s">
        <v>1968</v>
      </c>
      <c r="H251" s="21" t="s">
        <v>1979</v>
      </c>
      <c r="I251" s="21" t="s">
        <v>1968</v>
      </c>
      <c r="J251" s="21" t="s">
        <v>1968</v>
      </c>
      <c r="K251" s="21" t="s">
        <v>1968</v>
      </c>
      <c r="L251" s="22" t="str">
        <f t="shared" si="15"/>
        <v>EXCLUDE</v>
      </c>
      <c r="M251" s="22" t="str">
        <f t="shared" si="16"/>
        <v>Digital Twin not core / buzzword</v>
      </c>
      <c r="N251" s="23"/>
      <c r="O251" s="23"/>
      <c r="P251" s="24"/>
      <c r="Q251" s="24"/>
      <c r="R251" s="24"/>
      <c r="S251" s="22" t="str">
        <f t="shared" si="17"/>
        <v/>
      </c>
      <c r="T251" s="22" t="str">
        <f t="shared" si="18"/>
        <v/>
      </c>
      <c r="U251" s="25"/>
      <c r="V251" s="25"/>
      <c r="W251" s="25"/>
      <c r="X251" s="25"/>
      <c r="Y251" s="22" t="str">
        <f t="shared" si="19"/>
        <v/>
      </c>
      <c r="Z251" s="25"/>
      <c r="AA251" s="25"/>
      <c r="AB251" s="25"/>
      <c r="AC251" s="25"/>
      <c r="AD251" s="25"/>
      <c r="AE251" s="25"/>
      <c r="AF251" s="25"/>
      <c r="AG251" s="9"/>
      <c r="AH251" s="29"/>
      <c r="AI251" s="29"/>
      <c r="AM251" s="50"/>
      <c r="AN251" s="51" t="s">
        <v>2775</v>
      </c>
      <c r="AO251" s="55" t="s">
        <v>498</v>
      </c>
    </row>
    <row r="252" spans="1:41" ht="68.400000000000006" hidden="1" customHeight="1" x14ac:dyDescent="0.3">
      <c r="A252" s="20">
        <v>248</v>
      </c>
      <c r="B252" s="8" t="s">
        <v>2776</v>
      </c>
      <c r="C252" s="26">
        <v>2025</v>
      </c>
      <c r="D252" s="8"/>
      <c r="E252" s="8" t="s">
        <v>501</v>
      </c>
      <c r="F252" s="20" t="s">
        <v>1969</v>
      </c>
      <c r="G252" s="21" t="s">
        <v>1979</v>
      </c>
      <c r="H252" s="21" t="s">
        <v>1979</v>
      </c>
      <c r="I252" s="21" t="s">
        <v>1968</v>
      </c>
      <c r="J252" s="21" t="s">
        <v>1968</v>
      </c>
      <c r="K252" s="21" t="s">
        <v>1968</v>
      </c>
      <c r="L252" s="22" t="str">
        <f t="shared" si="15"/>
        <v>EXCLUDE</v>
      </c>
      <c r="M252" s="22" t="str">
        <f t="shared" si="16"/>
        <v>Wrong domain (non-AECO)</v>
      </c>
      <c r="N252" s="23"/>
      <c r="O252" s="23"/>
      <c r="P252" s="24"/>
      <c r="Q252" s="24"/>
      <c r="R252" s="24"/>
      <c r="S252" s="22" t="str">
        <f t="shared" si="17"/>
        <v/>
      </c>
      <c r="T252" s="22" t="str">
        <f t="shared" si="18"/>
        <v/>
      </c>
      <c r="U252" s="25"/>
      <c r="V252" s="25"/>
      <c r="W252" s="25"/>
      <c r="X252" s="25"/>
      <c r="Y252" s="22" t="str">
        <f t="shared" si="19"/>
        <v/>
      </c>
      <c r="Z252" s="25"/>
      <c r="AA252" s="25"/>
      <c r="AB252" s="25"/>
      <c r="AC252" s="25"/>
      <c r="AD252" s="25"/>
      <c r="AE252" s="25"/>
      <c r="AF252" s="25"/>
      <c r="AG252" s="9"/>
      <c r="AH252" s="29"/>
      <c r="AI252" s="29"/>
      <c r="AM252" s="50"/>
      <c r="AN252" s="51" t="s">
        <v>2777</v>
      </c>
      <c r="AO252" s="55" t="s">
        <v>500</v>
      </c>
    </row>
    <row r="253" spans="1:41" ht="34.200000000000003" hidden="1" customHeight="1" x14ac:dyDescent="0.3">
      <c r="A253" s="20">
        <v>249</v>
      </c>
      <c r="B253" s="8" t="s">
        <v>2778</v>
      </c>
      <c r="C253" s="26">
        <v>2025</v>
      </c>
      <c r="D253" s="8"/>
      <c r="E253" s="8" t="s">
        <v>503</v>
      </c>
      <c r="F253" s="20" t="s">
        <v>1969</v>
      </c>
      <c r="G253" s="21" t="s">
        <v>1968</v>
      </c>
      <c r="H253" s="21" t="s">
        <v>1979</v>
      </c>
      <c r="I253" s="21" t="s">
        <v>1968</v>
      </c>
      <c r="J253" s="21" t="s">
        <v>1968</v>
      </c>
      <c r="K253" s="21" t="s">
        <v>1968</v>
      </c>
      <c r="L253" s="22" t="str">
        <f t="shared" si="15"/>
        <v>EXCLUDE</v>
      </c>
      <c r="M253" s="22" t="str">
        <f t="shared" si="16"/>
        <v>Digital Twin not core / buzzword</v>
      </c>
      <c r="N253" s="23"/>
      <c r="O253" s="23"/>
      <c r="P253" s="24"/>
      <c r="Q253" s="24"/>
      <c r="R253" s="24"/>
      <c r="S253" s="22" t="str">
        <f t="shared" si="17"/>
        <v/>
      </c>
      <c r="T253" s="22" t="str">
        <f t="shared" si="18"/>
        <v/>
      </c>
      <c r="U253" s="25"/>
      <c r="V253" s="25"/>
      <c r="W253" s="25"/>
      <c r="X253" s="25"/>
      <c r="Y253" s="22" t="str">
        <f t="shared" si="19"/>
        <v/>
      </c>
      <c r="Z253" s="25"/>
      <c r="AA253" s="25"/>
      <c r="AB253" s="25"/>
      <c r="AC253" s="25"/>
      <c r="AD253" s="25"/>
      <c r="AE253" s="25"/>
      <c r="AF253" s="25"/>
      <c r="AG253" s="9"/>
      <c r="AH253" s="29"/>
      <c r="AI253" s="29"/>
      <c r="AM253" s="50"/>
      <c r="AN253" s="51" t="s">
        <v>2779</v>
      </c>
      <c r="AO253" s="55" t="s">
        <v>502</v>
      </c>
    </row>
    <row r="254" spans="1:41" ht="57" hidden="1" customHeight="1" x14ac:dyDescent="0.3">
      <c r="A254" s="20">
        <v>250</v>
      </c>
      <c r="B254" s="8" t="s">
        <v>2780</v>
      </c>
      <c r="C254" s="26">
        <v>2025</v>
      </c>
      <c r="D254" s="8"/>
      <c r="E254" s="8" t="s">
        <v>505</v>
      </c>
      <c r="F254" s="20" t="s">
        <v>1969</v>
      </c>
      <c r="G254" s="21" t="s">
        <v>1979</v>
      </c>
      <c r="H254" s="21" t="s">
        <v>1968</v>
      </c>
      <c r="I254" s="21" t="s">
        <v>1968</v>
      </c>
      <c r="J254" s="21" t="s">
        <v>1968</v>
      </c>
      <c r="K254" s="21" t="s">
        <v>1968</v>
      </c>
      <c r="L254" s="22" t="str">
        <f t="shared" si="15"/>
        <v>EXCLUDE</v>
      </c>
      <c r="M254" s="22" t="str">
        <f t="shared" si="16"/>
        <v>Wrong domain (non-AECO)</v>
      </c>
      <c r="N254" s="23"/>
      <c r="O254" s="23"/>
      <c r="P254" s="24"/>
      <c r="Q254" s="24"/>
      <c r="R254" s="24"/>
      <c r="S254" s="22" t="str">
        <f t="shared" si="17"/>
        <v/>
      </c>
      <c r="T254" s="22" t="str">
        <f t="shared" si="18"/>
        <v/>
      </c>
      <c r="U254" s="25"/>
      <c r="V254" s="25"/>
      <c r="W254" s="25"/>
      <c r="X254" s="25"/>
      <c r="Y254" s="22" t="str">
        <f t="shared" si="19"/>
        <v/>
      </c>
      <c r="Z254" s="25"/>
      <c r="AA254" s="25"/>
      <c r="AB254" s="25"/>
      <c r="AC254" s="25"/>
      <c r="AD254" s="25"/>
      <c r="AE254" s="25"/>
      <c r="AF254" s="25"/>
      <c r="AG254" s="9"/>
      <c r="AH254" s="29"/>
      <c r="AI254" s="29"/>
      <c r="AM254" s="50"/>
      <c r="AN254" s="51" t="s">
        <v>2781</v>
      </c>
      <c r="AO254" s="55" t="s">
        <v>504</v>
      </c>
    </row>
    <row r="255" spans="1:41" ht="22.95" hidden="1" customHeight="1" x14ac:dyDescent="0.3">
      <c r="A255" s="20">
        <v>251</v>
      </c>
      <c r="B255" s="8" t="s">
        <v>2782</v>
      </c>
      <c r="C255" s="26">
        <v>2026</v>
      </c>
      <c r="D255" s="8"/>
      <c r="E255" s="8" t="s">
        <v>507</v>
      </c>
      <c r="F255" s="20" t="s">
        <v>1969</v>
      </c>
      <c r="G255" s="21" t="s">
        <v>1968</v>
      </c>
      <c r="H255" s="21" t="s">
        <v>1968</v>
      </c>
      <c r="I255" s="21" t="s">
        <v>1979</v>
      </c>
      <c r="J255" s="21" t="s">
        <v>1968</v>
      </c>
      <c r="K255" s="21" t="s">
        <v>1968</v>
      </c>
      <c r="L255" s="22" t="str">
        <f t="shared" si="15"/>
        <v>EXCLUDE</v>
      </c>
      <c r="M255" s="22" t="str">
        <f t="shared" si="16"/>
        <v>No Design for Safety / PtD focus</v>
      </c>
      <c r="N255" s="23"/>
      <c r="O255" s="23"/>
      <c r="P255" s="24"/>
      <c r="Q255" s="24"/>
      <c r="R255" s="24"/>
      <c r="S255" s="22" t="str">
        <f t="shared" si="17"/>
        <v/>
      </c>
      <c r="T255" s="22" t="str">
        <f t="shared" si="18"/>
        <v/>
      </c>
      <c r="U255" s="25"/>
      <c r="V255" s="25"/>
      <c r="W255" s="25"/>
      <c r="X255" s="25"/>
      <c r="Y255" s="22" t="str">
        <f t="shared" si="19"/>
        <v/>
      </c>
      <c r="Z255" s="25"/>
      <c r="AA255" s="25"/>
      <c r="AB255" s="25"/>
      <c r="AC255" s="25"/>
      <c r="AD255" s="25"/>
      <c r="AE255" s="25"/>
      <c r="AF255" s="25"/>
      <c r="AG255" s="9"/>
      <c r="AH255" s="29"/>
      <c r="AI255" s="29"/>
      <c r="AM255" s="50"/>
      <c r="AN255" s="51" t="s">
        <v>2783</v>
      </c>
      <c r="AO255" s="55" t="s">
        <v>506</v>
      </c>
    </row>
    <row r="256" spans="1:41" ht="79.95" hidden="1" customHeight="1" x14ac:dyDescent="0.3">
      <c r="A256" s="20">
        <v>252</v>
      </c>
      <c r="B256" s="8" t="s">
        <v>2286</v>
      </c>
      <c r="C256" s="26">
        <v>2026</v>
      </c>
      <c r="D256" s="8"/>
      <c r="E256" s="8" t="s">
        <v>509</v>
      </c>
      <c r="F256" s="20" t="s">
        <v>1969</v>
      </c>
      <c r="G256" s="21" t="s">
        <v>1979</v>
      </c>
      <c r="H256" s="21" t="s">
        <v>1968</v>
      </c>
      <c r="I256" s="21" t="s">
        <v>1979</v>
      </c>
      <c r="J256" s="21" t="s">
        <v>1968</v>
      </c>
      <c r="K256" s="21" t="s">
        <v>1968</v>
      </c>
      <c r="L256" s="22" t="str">
        <f t="shared" si="15"/>
        <v>EXCLUDE</v>
      </c>
      <c r="M256" s="22" t="str">
        <f t="shared" si="16"/>
        <v>Wrong domain (non-AECO)</v>
      </c>
      <c r="N256" s="23"/>
      <c r="O256" s="23"/>
      <c r="P256" s="24"/>
      <c r="Q256" s="24"/>
      <c r="R256" s="24"/>
      <c r="S256" s="22" t="str">
        <f t="shared" si="17"/>
        <v/>
      </c>
      <c r="T256" s="22" t="str">
        <f t="shared" si="18"/>
        <v/>
      </c>
      <c r="U256" s="25"/>
      <c r="V256" s="25"/>
      <c r="W256" s="25"/>
      <c r="X256" s="25"/>
      <c r="Y256" s="22" t="str">
        <f t="shared" si="19"/>
        <v/>
      </c>
      <c r="Z256" s="25"/>
      <c r="AA256" s="25"/>
      <c r="AB256" s="25"/>
      <c r="AC256" s="25"/>
      <c r="AD256" s="25"/>
      <c r="AE256" s="25"/>
      <c r="AF256" s="25"/>
      <c r="AG256" s="9"/>
      <c r="AH256" s="29"/>
      <c r="AI256" s="29"/>
      <c r="AM256" s="50"/>
      <c r="AN256" s="51" t="s">
        <v>2784</v>
      </c>
      <c r="AO256" s="55" t="s">
        <v>508</v>
      </c>
    </row>
    <row r="257" spans="1:41" ht="102.6" customHeight="1" x14ac:dyDescent="0.3">
      <c r="A257" s="20">
        <v>253</v>
      </c>
      <c r="B257" s="8" t="s">
        <v>2395</v>
      </c>
      <c r="C257" s="26">
        <v>2025</v>
      </c>
      <c r="D257" s="8"/>
      <c r="E257" s="8" t="s">
        <v>511</v>
      </c>
      <c r="F257" s="20" t="s">
        <v>1969</v>
      </c>
      <c r="G257" s="21" t="s">
        <v>1968</v>
      </c>
      <c r="H257" s="21" t="s">
        <v>1968</v>
      </c>
      <c r="I257" s="21" t="s">
        <v>1968</v>
      </c>
      <c r="J257" s="21" t="s">
        <v>1968</v>
      </c>
      <c r="K257" s="21" t="s">
        <v>1968</v>
      </c>
      <c r="L257" s="22" t="str">
        <f t="shared" si="15"/>
        <v>INCLUDE</v>
      </c>
      <c r="M257" s="22" t="str">
        <f t="shared" si="16"/>
        <v/>
      </c>
      <c r="N257" s="23" t="s">
        <v>1968</v>
      </c>
      <c r="O257" s="23" t="s">
        <v>1968</v>
      </c>
      <c r="P257" s="24" t="s">
        <v>1968</v>
      </c>
      <c r="Q257" s="24" t="s">
        <v>1968</v>
      </c>
      <c r="R257" s="24" t="s">
        <v>1968</v>
      </c>
      <c r="S257" s="22" t="str">
        <f t="shared" si="17"/>
        <v>INCLUDE</v>
      </c>
      <c r="T257" s="22" t="str">
        <f t="shared" si="18"/>
        <v/>
      </c>
      <c r="U257" s="25" t="s">
        <v>1982</v>
      </c>
      <c r="V257" s="25">
        <v>0</v>
      </c>
      <c r="W257" s="25">
        <v>1</v>
      </c>
      <c r="X257" s="25">
        <v>0</v>
      </c>
      <c r="Y257" s="22" t="str">
        <f t="shared" si="19"/>
        <v>Single</v>
      </c>
      <c r="Z257" s="25" t="s">
        <v>1922</v>
      </c>
      <c r="AA257" s="25" t="s">
        <v>1993</v>
      </c>
      <c r="AB257" s="25" t="s">
        <v>1973</v>
      </c>
      <c r="AC257" s="25" t="s">
        <v>1986</v>
      </c>
      <c r="AD257" s="25" t="s">
        <v>2009</v>
      </c>
      <c r="AE257" s="25">
        <v>4</v>
      </c>
      <c r="AF257" s="25" t="s">
        <v>1996</v>
      </c>
      <c r="AG257" s="9" t="s">
        <v>2785</v>
      </c>
      <c r="AH257" s="29" t="s">
        <v>2786</v>
      </c>
      <c r="AI257" s="29" t="s">
        <v>2787</v>
      </c>
      <c r="AJ257" t="s">
        <v>2005</v>
      </c>
      <c r="AK257" t="s">
        <v>2788</v>
      </c>
      <c r="AL257" t="s">
        <v>1978</v>
      </c>
      <c r="AM257" s="50"/>
      <c r="AN257" s="51" t="s">
        <v>2789</v>
      </c>
      <c r="AO257" s="55" t="s">
        <v>510</v>
      </c>
    </row>
    <row r="258" spans="1:41" ht="114" customHeight="1" x14ac:dyDescent="0.3">
      <c r="A258" s="20">
        <v>254</v>
      </c>
      <c r="B258" s="8" t="s">
        <v>2790</v>
      </c>
      <c r="C258" s="26">
        <v>2026</v>
      </c>
      <c r="D258" s="8"/>
      <c r="E258" s="8" t="s">
        <v>513</v>
      </c>
      <c r="F258" s="20" t="s">
        <v>1969</v>
      </c>
      <c r="G258" s="21" t="s">
        <v>1968</v>
      </c>
      <c r="H258" s="21" t="s">
        <v>1968</v>
      </c>
      <c r="I258" s="21" t="s">
        <v>1968</v>
      </c>
      <c r="J258" s="21" t="s">
        <v>1968</v>
      </c>
      <c r="K258" s="21" t="s">
        <v>1968</v>
      </c>
      <c r="L258" s="22" t="str">
        <f t="shared" si="15"/>
        <v>INCLUDE</v>
      </c>
      <c r="M258" s="22" t="str">
        <f t="shared" si="16"/>
        <v/>
      </c>
      <c r="N258" s="23" t="s">
        <v>1968</v>
      </c>
      <c r="O258" s="23" t="s">
        <v>1968</v>
      </c>
      <c r="P258" s="24" t="s">
        <v>1968</v>
      </c>
      <c r="Q258" s="24" t="s">
        <v>1968</v>
      </c>
      <c r="R258" s="24" t="s">
        <v>1968</v>
      </c>
      <c r="S258" s="22" t="str">
        <f t="shared" si="17"/>
        <v>INCLUDE</v>
      </c>
      <c r="T258" s="22" t="str">
        <f t="shared" si="18"/>
        <v/>
      </c>
      <c r="U258" s="25" t="s">
        <v>1982</v>
      </c>
      <c r="V258" s="25">
        <v>0</v>
      </c>
      <c r="W258" s="25">
        <v>0</v>
      </c>
      <c r="X258" s="25">
        <v>1</v>
      </c>
      <c r="Y258" s="22" t="str">
        <f t="shared" si="19"/>
        <v>Single</v>
      </c>
      <c r="Z258" s="25" t="s">
        <v>1922</v>
      </c>
      <c r="AA258" s="25" t="s">
        <v>1972</v>
      </c>
      <c r="AB258" s="25" t="s">
        <v>2015</v>
      </c>
      <c r="AC258" s="25" t="s">
        <v>1986</v>
      </c>
      <c r="AD258" s="25" t="s">
        <v>2003</v>
      </c>
      <c r="AE258" s="25">
        <v>4</v>
      </c>
      <c r="AF258" s="25" t="s">
        <v>2010</v>
      </c>
      <c r="AG258" s="9" t="s">
        <v>2791</v>
      </c>
      <c r="AH258" s="29" t="s">
        <v>2792</v>
      </c>
      <c r="AI258" s="29" t="s">
        <v>2793</v>
      </c>
      <c r="AJ258" t="s">
        <v>2005</v>
      </c>
      <c r="AK258" t="s">
        <v>2794</v>
      </c>
      <c r="AL258" t="s">
        <v>1978</v>
      </c>
      <c r="AM258" s="50"/>
      <c r="AN258" s="51" t="s">
        <v>2795</v>
      </c>
      <c r="AO258" s="55" t="s">
        <v>512</v>
      </c>
    </row>
    <row r="259" spans="1:41" ht="86.4" customHeight="1" x14ac:dyDescent="0.3">
      <c r="A259" s="20">
        <v>255</v>
      </c>
      <c r="B259" s="8" t="s">
        <v>2796</v>
      </c>
      <c r="C259" s="26">
        <v>2025</v>
      </c>
      <c r="D259" s="8"/>
      <c r="E259" s="8" t="s">
        <v>515</v>
      </c>
      <c r="F259" s="20" t="s">
        <v>1969</v>
      </c>
      <c r="G259" s="21" t="s">
        <v>1968</v>
      </c>
      <c r="H259" s="21" t="s">
        <v>1979</v>
      </c>
      <c r="I259" s="21" t="s">
        <v>1968</v>
      </c>
      <c r="J259" s="21" t="s">
        <v>1968</v>
      </c>
      <c r="K259" s="21" t="s">
        <v>1968</v>
      </c>
      <c r="L259" s="22" t="str">
        <f t="shared" si="15"/>
        <v>EXCLUDE</v>
      </c>
      <c r="M259" s="22" t="str">
        <f t="shared" si="16"/>
        <v>Digital Twin not core / buzzword</v>
      </c>
      <c r="N259" s="23"/>
      <c r="O259" s="23"/>
      <c r="P259" s="24"/>
      <c r="Q259" s="24"/>
      <c r="R259" s="24"/>
      <c r="S259" s="22" t="str">
        <f t="shared" si="17"/>
        <v/>
      </c>
      <c r="T259" s="22" t="str">
        <f t="shared" si="18"/>
        <v/>
      </c>
      <c r="U259" s="25"/>
      <c r="V259" s="25"/>
      <c r="W259" s="25"/>
      <c r="X259" s="25"/>
      <c r="Y259" s="22" t="str">
        <f t="shared" si="19"/>
        <v/>
      </c>
      <c r="Z259" s="25"/>
      <c r="AA259" s="25"/>
      <c r="AB259" s="25"/>
      <c r="AC259" s="25"/>
      <c r="AD259" s="25"/>
      <c r="AE259" s="25"/>
      <c r="AF259" s="25"/>
      <c r="AG259" s="9"/>
      <c r="AH259" s="29"/>
      <c r="AI259" s="29"/>
      <c r="AM259" s="50"/>
      <c r="AN259" s="51" t="s">
        <v>2797</v>
      </c>
      <c r="AO259" s="55" t="s">
        <v>514</v>
      </c>
    </row>
    <row r="260" spans="1:41" ht="68.400000000000006" hidden="1" customHeight="1" x14ac:dyDescent="0.3">
      <c r="A260" s="20">
        <v>256</v>
      </c>
      <c r="B260" s="8" t="s">
        <v>2409</v>
      </c>
      <c r="C260" s="26">
        <v>2026</v>
      </c>
      <c r="D260" s="8"/>
      <c r="E260" s="8" t="s">
        <v>517</v>
      </c>
      <c r="F260" s="20" t="s">
        <v>1969</v>
      </c>
      <c r="G260" s="21" t="s">
        <v>1968</v>
      </c>
      <c r="H260" s="21" t="s">
        <v>1968</v>
      </c>
      <c r="I260" s="21" t="s">
        <v>1968</v>
      </c>
      <c r="J260" s="21" t="s">
        <v>1968</v>
      </c>
      <c r="K260" s="21" t="s">
        <v>1968</v>
      </c>
      <c r="L260" s="22" t="str">
        <f t="shared" si="15"/>
        <v>INCLUDE</v>
      </c>
      <c r="M260" s="22" t="str">
        <f t="shared" si="16"/>
        <v/>
      </c>
      <c r="N260" s="23" t="s">
        <v>1968</v>
      </c>
      <c r="O260" s="23" t="s">
        <v>1968</v>
      </c>
      <c r="P260" s="24" t="s">
        <v>1968</v>
      </c>
      <c r="Q260" s="24" t="s">
        <v>1968</v>
      </c>
      <c r="R260" s="24" t="s">
        <v>1968</v>
      </c>
      <c r="S260" s="22" t="str">
        <f t="shared" si="17"/>
        <v>INCLUDE</v>
      </c>
      <c r="T260" s="22" t="str">
        <f t="shared" si="18"/>
        <v/>
      </c>
      <c r="U260" s="25" t="s">
        <v>1982</v>
      </c>
      <c r="V260" s="25">
        <v>0</v>
      </c>
      <c r="W260" s="25">
        <v>0</v>
      </c>
      <c r="X260" s="25">
        <v>1</v>
      </c>
      <c r="Y260" s="22" t="str">
        <f t="shared" si="19"/>
        <v>Single</v>
      </c>
      <c r="Z260" s="25" t="s">
        <v>1922</v>
      </c>
      <c r="AA260" s="25" t="s">
        <v>1993</v>
      </c>
      <c r="AB260" s="25" t="s">
        <v>1985</v>
      </c>
      <c r="AC260" s="25" t="s">
        <v>1986</v>
      </c>
      <c r="AD260" s="25" t="s">
        <v>2009</v>
      </c>
      <c r="AE260" s="25">
        <v>4</v>
      </c>
      <c r="AF260" s="25" t="s">
        <v>2010</v>
      </c>
      <c r="AG260" s="9" t="s">
        <v>2798</v>
      </c>
      <c r="AH260" s="29" t="s">
        <v>2799</v>
      </c>
      <c r="AI260" s="29" t="s">
        <v>2800</v>
      </c>
      <c r="AJ260" t="s">
        <v>2005</v>
      </c>
      <c r="AK260" t="s">
        <v>2801</v>
      </c>
      <c r="AL260" t="s">
        <v>1978</v>
      </c>
      <c r="AM260" s="50"/>
      <c r="AN260" s="51" t="s">
        <v>2802</v>
      </c>
      <c r="AO260" s="55" t="s">
        <v>516</v>
      </c>
    </row>
    <row r="261" spans="1:41" ht="68.400000000000006" hidden="1" customHeight="1" x14ac:dyDescent="0.3">
      <c r="A261" s="20">
        <v>257</v>
      </c>
      <c r="B261" s="8" t="s">
        <v>2803</v>
      </c>
      <c r="C261" s="26">
        <v>2026</v>
      </c>
      <c r="D261" s="8"/>
      <c r="E261" s="8" t="s">
        <v>519</v>
      </c>
      <c r="F261" s="20" t="s">
        <v>1969</v>
      </c>
      <c r="G261" s="21" t="s">
        <v>1968</v>
      </c>
      <c r="H261" s="21" t="s">
        <v>1979</v>
      </c>
      <c r="I261" s="21" t="s">
        <v>1968</v>
      </c>
      <c r="J261" s="21" t="s">
        <v>1968</v>
      </c>
      <c r="K261" s="21" t="s">
        <v>1968</v>
      </c>
      <c r="L261" s="22" t="str">
        <f t="shared" ref="L261:L324" si="20">IF(COUNTBLANK(G261:K261)=5,"",IF(COUNTIF(G261:K261,"No")&gt;0,"EXCLUDE","INCLUDE"))</f>
        <v>EXCLUDE</v>
      </c>
      <c r="M261" s="22" t="str">
        <f t="shared" ref="M261:M324" si="21">IF(L261&lt;&gt;"EXCLUDE","",IF(G261="No","Wrong domain (non-AECO)",IF(H261="No","Digital Twin not core / buzzword",IF(I261="No","No Design for Safety / PtD focus",IF(J261="No","Wrong publication type",IF(K261="No","Non-English",""))))))</f>
        <v>Digital Twin not core / buzzword</v>
      </c>
      <c r="N261" s="23"/>
      <c r="O261" s="23"/>
      <c r="P261" s="24"/>
      <c r="Q261" s="24"/>
      <c r="R261" s="24"/>
      <c r="S261" s="22" t="str">
        <f t="shared" ref="S261:S324" si="22">IF(N261&lt;&gt;"Yes","",IF(COUNTBLANK(P261:R261)=3,"",IF(COUNTIF(P261:R261,"No")&gt;0,"EXCLUDE","INCLUDE")))</f>
        <v/>
      </c>
      <c r="T261" s="22" t="str">
        <f t="shared" ref="T261:T324" si="23">IF(S261&lt;&gt;"EXCLUDE","",IF(P261="No","Digital Twin mentioned only, not the subject",IF(Q261="No","No Design for Safety focus in full text",IF(R261="No","Methodology not codable",""))))</f>
        <v/>
      </c>
      <c r="U261" s="25"/>
      <c r="V261" s="25"/>
      <c r="W261" s="25"/>
      <c r="X261" s="25"/>
      <c r="Y261" s="22" t="str">
        <f t="shared" ref="Y261:Y324" si="24">IF(SUM(V261:X261)=0,"",IF(SUM(V261:X261)&gt;=2,"Multi","Single"))</f>
        <v/>
      </c>
      <c r="Z261" s="25"/>
      <c r="AA261" s="25"/>
      <c r="AB261" s="25"/>
      <c r="AC261" s="25"/>
      <c r="AD261" s="25"/>
      <c r="AE261" s="25"/>
      <c r="AF261" s="25"/>
      <c r="AG261" s="9"/>
      <c r="AH261" s="29"/>
      <c r="AI261" s="29"/>
      <c r="AM261" s="50"/>
      <c r="AN261" s="51" t="s">
        <v>2804</v>
      </c>
      <c r="AO261" s="55" t="s">
        <v>518</v>
      </c>
    </row>
    <row r="262" spans="1:41" ht="68.400000000000006" hidden="1" customHeight="1" x14ac:dyDescent="0.3">
      <c r="A262" s="20">
        <v>258</v>
      </c>
      <c r="B262" s="8" t="s">
        <v>2805</v>
      </c>
      <c r="C262" s="26">
        <v>2025</v>
      </c>
      <c r="D262" s="8"/>
      <c r="E262" s="8" t="s">
        <v>521</v>
      </c>
      <c r="F262" s="20" t="s">
        <v>1969</v>
      </c>
      <c r="G262" s="21" t="s">
        <v>1968</v>
      </c>
      <c r="H262" s="21" t="s">
        <v>1968</v>
      </c>
      <c r="I262" s="21" t="s">
        <v>1968</v>
      </c>
      <c r="J262" s="21" t="s">
        <v>1968</v>
      </c>
      <c r="K262" s="21" t="s">
        <v>1968</v>
      </c>
      <c r="L262" s="22" t="str">
        <f t="shared" si="20"/>
        <v>INCLUDE</v>
      </c>
      <c r="M262" s="22" t="str">
        <f t="shared" si="21"/>
        <v/>
      </c>
      <c r="N262" s="23" t="s">
        <v>1968</v>
      </c>
      <c r="O262" s="23" t="s">
        <v>1968</v>
      </c>
      <c r="P262" s="24" t="s">
        <v>1979</v>
      </c>
      <c r="Q262" s="24" t="s">
        <v>1968</v>
      </c>
      <c r="R262" s="24" t="s">
        <v>1979</v>
      </c>
      <c r="S262" s="22" t="str">
        <f t="shared" si="22"/>
        <v>EXCLUDE</v>
      </c>
      <c r="T262" s="22" t="str">
        <f t="shared" si="23"/>
        <v>Digital Twin mentioned only, not the subject</v>
      </c>
      <c r="U262" s="25"/>
      <c r="V262" s="25"/>
      <c r="W262" s="25"/>
      <c r="X262" s="25"/>
      <c r="Y262" s="22" t="str">
        <f t="shared" si="24"/>
        <v/>
      </c>
      <c r="Z262" s="25"/>
      <c r="AA262" s="25"/>
      <c r="AB262" s="25"/>
      <c r="AC262" s="25"/>
      <c r="AD262" s="25"/>
      <c r="AE262" s="25"/>
      <c r="AF262" s="25"/>
      <c r="AG262" s="9" t="s">
        <v>2806</v>
      </c>
      <c r="AH262" s="29"/>
      <c r="AI262" s="29"/>
      <c r="AM262" s="50"/>
      <c r="AN262" s="51" t="s">
        <v>2807</v>
      </c>
      <c r="AO262" s="55" t="s">
        <v>520</v>
      </c>
    </row>
    <row r="263" spans="1:41" ht="45.6" hidden="1" customHeight="1" x14ac:dyDescent="0.3">
      <c r="A263" s="20">
        <v>259</v>
      </c>
      <c r="B263" s="8" t="s">
        <v>2808</v>
      </c>
      <c r="C263" s="26">
        <v>2026</v>
      </c>
      <c r="D263" s="8"/>
      <c r="E263" s="8" t="s">
        <v>523</v>
      </c>
      <c r="F263" s="20" t="s">
        <v>1969</v>
      </c>
      <c r="G263" s="21" t="s">
        <v>1968</v>
      </c>
      <c r="H263" s="21" t="s">
        <v>1979</v>
      </c>
      <c r="I263" s="21" t="s">
        <v>1968</v>
      </c>
      <c r="J263" s="21" t="s">
        <v>1968</v>
      </c>
      <c r="K263" s="21" t="s">
        <v>1968</v>
      </c>
      <c r="L263" s="22" t="str">
        <f t="shared" si="20"/>
        <v>EXCLUDE</v>
      </c>
      <c r="M263" s="22" t="str">
        <f t="shared" si="21"/>
        <v>Digital Twin not core / buzzword</v>
      </c>
      <c r="N263" s="23"/>
      <c r="O263" s="23"/>
      <c r="P263" s="24"/>
      <c r="Q263" s="24"/>
      <c r="R263" s="24"/>
      <c r="S263" s="22" t="str">
        <f t="shared" si="22"/>
        <v/>
      </c>
      <c r="T263" s="22" t="str">
        <f t="shared" si="23"/>
        <v/>
      </c>
      <c r="U263" s="25"/>
      <c r="V263" s="25"/>
      <c r="W263" s="25"/>
      <c r="X263" s="25"/>
      <c r="Y263" s="22" t="str">
        <f t="shared" si="24"/>
        <v/>
      </c>
      <c r="Z263" s="25"/>
      <c r="AA263" s="25"/>
      <c r="AB263" s="25"/>
      <c r="AC263" s="25"/>
      <c r="AD263" s="25"/>
      <c r="AE263" s="25"/>
      <c r="AF263" s="25"/>
      <c r="AG263" s="9"/>
      <c r="AH263" s="29"/>
      <c r="AI263" s="29"/>
      <c r="AM263" s="50"/>
      <c r="AN263" s="51" t="s">
        <v>2809</v>
      </c>
      <c r="AO263" s="55" t="s">
        <v>522</v>
      </c>
    </row>
    <row r="264" spans="1:41" ht="91.2" hidden="1" customHeight="1" x14ac:dyDescent="0.3">
      <c r="A264" s="20">
        <v>260</v>
      </c>
      <c r="B264" s="8" t="s">
        <v>2810</v>
      </c>
      <c r="C264" s="26">
        <v>2025</v>
      </c>
      <c r="D264" s="8"/>
      <c r="E264" s="8" t="s">
        <v>525</v>
      </c>
      <c r="F264" s="20" t="s">
        <v>1969</v>
      </c>
      <c r="G264" s="21" t="s">
        <v>1968</v>
      </c>
      <c r="H264" s="21" t="s">
        <v>1968</v>
      </c>
      <c r="I264" s="21" t="s">
        <v>1968</v>
      </c>
      <c r="J264" s="21" t="s">
        <v>1968</v>
      </c>
      <c r="K264" s="21" t="s">
        <v>1968</v>
      </c>
      <c r="L264" s="22" t="str">
        <f t="shared" si="20"/>
        <v>INCLUDE</v>
      </c>
      <c r="M264" s="22" t="str">
        <f t="shared" si="21"/>
        <v/>
      </c>
      <c r="N264" s="23" t="s">
        <v>1968</v>
      </c>
      <c r="O264" s="23" t="s">
        <v>1968</v>
      </c>
      <c r="P264" s="24" t="s">
        <v>1968</v>
      </c>
      <c r="Q264" s="24" t="s">
        <v>1968</v>
      </c>
      <c r="R264" s="24" t="s">
        <v>1968</v>
      </c>
      <c r="S264" s="22" t="str">
        <f t="shared" si="22"/>
        <v>INCLUDE</v>
      </c>
      <c r="T264" s="22" t="str">
        <f t="shared" si="23"/>
        <v/>
      </c>
      <c r="U264" s="25" t="s">
        <v>1982</v>
      </c>
      <c r="V264" s="25">
        <v>0</v>
      </c>
      <c r="W264" s="25">
        <v>1</v>
      </c>
      <c r="X264" s="25">
        <v>0</v>
      </c>
      <c r="Y264" s="22" t="str">
        <f t="shared" si="24"/>
        <v>Single</v>
      </c>
      <c r="Z264" s="25" t="s">
        <v>1922</v>
      </c>
      <c r="AA264" s="25" t="s">
        <v>1972</v>
      </c>
      <c r="AB264" s="25" t="s">
        <v>2014</v>
      </c>
      <c r="AC264" s="25" t="s">
        <v>1986</v>
      </c>
      <c r="AD264" s="25" t="s">
        <v>2003</v>
      </c>
      <c r="AE264" s="25">
        <v>4</v>
      </c>
      <c r="AF264" s="25" t="s">
        <v>2004</v>
      </c>
      <c r="AG264" s="9" t="s">
        <v>2811</v>
      </c>
      <c r="AH264" s="29" t="s">
        <v>2812</v>
      </c>
      <c r="AI264" s="29" t="s">
        <v>2813</v>
      </c>
      <c r="AJ264" t="s">
        <v>1997</v>
      </c>
      <c r="AK264" t="s">
        <v>2814</v>
      </c>
      <c r="AL264" t="s">
        <v>1978</v>
      </c>
      <c r="AM264" s="50"/>
      <c r="AN264" s="51" t="s">
        <v>2815</v>
      </c>
      <c r="AO264" s="55" t="s">
        <v>524</v>
      </c>
    </row>
    <row r="265" spans="1:41" ht="79.95" hidden="1" customHeight="1" x14ac:dyDescent="0.3">
      <c r="A265" s="20">
        <v>261</v>
      </c>
      <c r="B265" s="8" t="s">
        <v>2816</v>
      </c>
      <c r="C265" s="26">
        <v>2026</v>
      </c>
      <c r="D265" s="8"/>
      <c r="E265" s="8" t="s">
        <v>526</v>
      </c>
      <c r="F265" s="20" t="s">
        <v>1969</v>
      </c>
      <c r="G265" s="21" t="s">
        <v>1979</v>
      </c>
      <c r="H265" s="21" t="s">
        <v>1968</v>
      </c>
      <c r="I265" s="21" t="s">
        <v>1979</v>
      </c>
      <c r="J265" s="21" t="s">
        <v>1968</v>
      </c>
      <c r="K265" s="21" t="s">
        <v>1968</v>
      </c>
      <c r="L265" s="22" t="str">
        <f t="shared" si="20"/>
        <v>EXCLUDE</v>
      </c>
      <c r="M265" s="22" t="str">
        <f t="shared" si="21"/>
        <v>Wrong domain (non-AECO)</v>
      </c>
      <c r="N265" s="23"/>
      <c r="O265" s="23"/>
      <c r="P265" s="24"/>
      <c r="Q265" s="24"/>
      <c r="R265" s="24"/>
      <c r="S265" s="22" t="str">
        <f t="shared" si="22"/>
        <v/>
      </c>
      <c r="T265" s="22" t="str">
        <f t="shared" si="23"/>
        <v/>
      </c>
      <c r="U265" s="25"/>
      <c r="V265" s="25"/>
      <c r="W265" s="25"/>
      <c r="X265" s="25"/>
      <c r="Y265" s="22" t="str">
        <f t="shared" si="24"/>
        <v/>
      </c>
      <c r="Z265" s="25"/>
      <c r="AA265" s="25"/>
      <c r="AB265" s="25"/>
      <c r="AC265" s="25"/>
      <c r="AD265" s="25"/>
      <c r="AE265" s="25"/>
      <c r="AF265" s="25"/>
      <c r="AG265" s="9"/>
      <c r="AH265" s="29"/>
      <c r="AI265" s="29"/>
      <c r="AM265" s="50"/>
      <c r="AN265" s="51" t="s">
        <v>2817</v>
      </c>
      <c r="AO265" s="55" t="s">
        <v>504</v>
      </c>
    </row>
    <row r="266" spans="1:41" ht="102.6" customHeight="1" x14ac:dyDescent="0.3">
      <c r="A266" s="20">
        <v>262</v>
      </c>
      <c r="B266" s="8" t="s">
        <v>2533</v>
      </c>
      <c r="C266" s="26">
        <v>2026</v>
      </c>
      <c r="D266" s="8"/>
      <c r="E266" s="8" t="s">
        <v>528</v>
      </c>
      <c r="F266" s="20" t="s">
        <v>1969</v>
      </c>
      <c r="G266" s="21" t="s">
        <v>1968</v>
      </c>
      <c r="H266" s="21" t="s">
        <v>1968</v>
      </c>
      <c r="I266" s="21" t="s">
        <v>1979</v>
      </c>
      <c r="J266" s="21" t="s">
        <v>1968</v>
      </c>
      <c r="K266" s="21" t="s">
        <v>1968</v>
      </c>
      <c r="L266" s="22" t="str">
        <f t="shared" si="20"/>
        <v>EXCLUDE</v>
      </c>
      <c r="M266" s="22" t="str">
        <f t="shared" si="21"/>
        <v>No Design for Safety / PtD focus</v>
      </c>
      <c r="N266" s="23"/>
      <c r="O266" s="23"/>
      <c r="P266" s="24"/>
      <c r="Q266" s="24"/>
      <c r="R266" s="24"/>
      <c r="S266" s="22" t="str">
        <f t="shared" si="22"/>
        <v/>
      </c>
      <c r="T266" s="22" t="str">
        <f t="shared" si="23"/>
        <v/>
      </c>
      <c r="U266" s="25"/>
      <c r="V266" s="25"/>
      <c r="W266" s="25"/>
      <c r="X266" s="25"/>
      <c r="Y266" s="22" t="str">
        <f t="shared" si="24"/>
        <v/>
      </c>
      <c r="Z266" s="25"/>
      <c r="AA266" s="25"/>
      <c r="AB266" s="25"/>
      <c r="AC266" s="25"/>
      <c r="AD266" s="25"/>
      <c r="AE266" s="25"/>
      <c r="AF266" s="25"/>
      <c r="AG266" s="9"/>
      <c r="AH266" s="29"/>
      <c r="AI266" s="29"/>
      <c r="AM266" s="50"/>
      <c r="AN266" s="51" t="s">
        <v>2818</v>
      </c>
      <c r="AO266" s="55" t="s">
        <v>527</v>
      </c>
    </row>
    <row r="267" spans="1:41" ht="57" hidden="1" customHeight="1" x14ac:dyDescent="0.3">
      <c r="A267" s="20">
        <v>263</v>
      </c>
      <c r="B267" s="8" t="s">
        <v>2819</v>
      </c>
      <c r="C267" s="26">
        <v>2026</v>
      </c>
      <c r="D267" s="8"/>
      <c r="E267" s="8" t="s">
        <v>530</v>
      </c>
      <c r="F267" s="20" t="s">
        <v>1969</v>
      </c>
      <c r="G267" s="21" t="s">
        <v>1968</v>
      </c>
      <c r="H267" s="21" t="s">
        <v>1968</v>
      </c>
      <c r="I267" s="21" t="s">
        <v>1968</v>
      </c>
      <c r="J267" s="21" t="s">
        <v>1968</v>
      </c>
      <c r="K267" s="21" t="s">
        <v>1968</v>
      </c>
      <c r="L267" s="22" t="str">
        <f t="shared" si="20"/>
        <v>INCLUDE</v>
      </c>
      <c r="M267" s="22" t="str">
        <f t="shared" si="21"/>
        <v/>
      </c>
      <c r="N267" s="23" t="s">
        <v>1968</v>
      </c>
      <c r="O267" s="23" t="s">
        <v>1968</v>
      </c>
      <c r="P267" s="24" t="s">
        <v>1968</v>
      </c>
      <c r="Q267" s="24" t="s">
        <v>1968</v>
      </c>
      <c r="R267" s="24" t="s">
        <v>1968</v>
      </c>
      <c r="S267" s="22" t="str">
        <f t="shared" si="22"/>
        <v>INCLUDE</v>
      </c>
      <c r="T267" s="22" t="str">
        <f t="shared" si="23"/>
        <v/>
      </c>
      <c r="U267" s="25" t="s">
        <v>1992</v>
      </c>
      <c r="V267" s="25">
        <v>0</v>
      </c>
      <c r="W267" s="25">
        <v>0</v>
      </c>
      <c r="X267" s="25">
        <v>1</v>
      </c>
      <c r="Y267" s="22" t="str">
        <f t="shared" si="24"/>
        <v>Single</v>
      </c>
      <c r="Z267" s="25" t="s">
        <v>1922</v>
      </c>
      <c r="AA267" s="25" t="s">
        <v>1972</v>
      </c>
      <c r="AB267" s="25" t="s">
        <v>2018</v>
      </c>
      <c r="AC267" s="25" t="s">
        <v>1986</v>
      </c>
      <c r="AD267" s="25" t="s">
        <v>1987</v>
      </c>
      <c r="AE267" s="25">
        <v>4</v>
      </c>
      <c r="AF267" s="25" t="s">
        <v>2004</v>
      </c>
      <c r="AG267" s="9" t="s">
        <v>2820</v>
      </c>
      <c r="AH267" s="29" t="s">
        <v>2821</v>
      </c>
      <c r="AI267" s="29" t="s">
        <v>2822</v>
      </c>
      <c r="AJ267" t="s">
        <v>2005</v>
      </c>
      <c r="AK267" t="s">
        <v>2823</v>
      </c>
      <c r="AL267" t="s">
        <v>1990</v>
      </c>
      <c r="AM267" s="50"/>
      <c r="AN267" s="51" t="s">
        <v>2824</v>
      </c>
      <c r="AO267" s="55" t="s">
        <v>529</v>
      </c>
    </row>
    <row r="268" spans="1:41" ht="22.95" hidden="1" customHeight="1" x14ac:dyDescent="0.3">
      <c r="A268" s="20">
        <v>264</v>
      </c>
      <c r="B268" s="8" t="s">
        <v>2825</v>
      </c>
      <c r="C268" s="26">
        <v>2025</v>
      </c>
      <c r="D268" s="8"/>
      <c r="E268" s="8" t="s">
        <v>532</v>
      </c>
      <c r="F268" s="20" t="s">
        <v>1969</v>
      </c>
      <c r="G268" s="21" t="s">
        <v>1968</v>
      </c>
      <c r="H268" s="21" t="s">
        <v>1979</v>
      </c>
      <c r="I268" s="21" t="s">
        <v>1979</v>
      </c>
      <c r="J268" s="21" t="s">
        <v>1968</v>
      </c>
      <c r="K268" s="21" t="s">
        <v>1968</v>
      </c>
      <c r="L268" s="22" t="str">
        <f t="shared" si="20"/>
        <v>EXCLUDE</v>
      </c>
      <c r="M268" s="22" t="str">
        <f t="shared" si="21"/>
        <v>Digital Twin not core / buzzword</v>
      </c>
      <c r="N268" s="23"/>
      <c r="O268" s="23"/>
      <c r="P268" s="24"/>
      <c r="Q268" s="24"/>
      <c r="R268" s="24"/>
      <c r="S268" s="22" t="str">
        <f t="shared" si="22"/>
        <v/>
      </c>
      <c r="T268" s="22" t="str">
        <f t="shared" si="23"/>
        <v/>
      </c>
      <c r="U268" s="25"/>
      <c r="V268" s="25"/>
      <c r="W268" s="25"/>
      <c r="X268" s="25"/>
      <c r="Y268" s="22" t="str">
        <f t="shared" si="24"/>
        <v/>
      </c>
      <c r="Z268" s="25"/>
      <c r="AA268" s="25"/>
      <c r="AB268" s="25"/>
      <c r="AC268" s="25"/>
      <c r="AD268" s="25"/>
      <c r="AE268" s="25"/>
      <c r="AF268" s="25"/>
      <c r="AG268" s="9"/>
      <c r="AH268" s="29"/>
      <c r="AI268" s="29"/>
      <c r="AM268" s="50"/>
      <c r="AN268" s="51" t="s">
        <v>2717</v>
      </c>
      <c r="AO268" s="55" t="s">
        <v>531</v>
      </c>
    </row>
    <row r="269" spans="1:41" ht="91.2" customHeight="1" x14ac:dyDescent="0.3">
      <c r="A269" s="20">
        <v>265</v>
      </c>
      <c r="B269" s="8" t="s">
        <v>2826</v>
      </c>
      <c r="C269" s="26">
        <v>2025</v>
      </c>
      <c r="D269" s="8"/>
      <c r="E269" s="8" t="s">
        <v>534</v>
      </c>
      <c r="F269" s="20" t="s">
        <v>1969</v>
      </c>
      <c r="G269" s="21" t="s">
        <v>1979</v>
      </c>
      <c r="H269" s="21" t="s">
        <v>1968</v>
      </c>
      <c r="I269" s="21" t="s">
        <v>1979</v>
      </c>
      <c r="J269" s="21" t="s">
        <v>1968</v>
      </c>
      <c r="K269" s="21" t="s">
        <v>1968</v>
      </c>
      <c r="L269" s="22" t="str">
        <f t="shared" si="20"/>
        <v>EXCLUDE</v>
      </c>
      <c r="M269" s="22" t="str">
        <f t="shared" si="21"/>
        <v>Wrong domain (non-AECO)</v>
      </c>
      <c r="N269" s="23"/>
      <c r="O269" s="23"/>
      <c r="P269" s="24"/>
      <c r="Q269" s="24"/>
      <c r="R269" s="24"/>
      <c r="S269" s="22" t="str">
        <f t="shared" si="22"/>
        <v/>
      </c>
      <c r="T269" s="22" t="str">
        <f t="shared" si="23"/>
        <v/>
      </c>
      <c r="U269" s="25"/>
      <c r="V269" s="25"/>
      <c r="W269" s="25"/>
      <c r="X269" s="25"/>
      <c r="Y269" s="22" t="str">
        <f t="shared" si="24"/>
        <v/>
      </c>
      <c r="Z269" s="25"/>
      <c r="AA269" s="25"/>
      <c r="AB269" s="25"/>
      <c r="AC269" s="25"/>
      <c r="AD269" s="25"/>
      <c r="AE269" s="25"/>
      <c r="AF269" s="25"/>
      <c r="AG269" s="9"/>
      <c r="AH269" s="29"/>
      <c r="AI269" s="29"/>
      <c r="AM269" s="50"/>
      <c r="AN269" s="51" t="s">
        <v>2827</v>
      </c>
      <c r="AO269" s="55" t="s">
        <v>533</v>
      </c>
    </row>
    <row r="270" spans="1:41" s="78" customFormat="1" ht="115.2" customHeight="1" x14ac:dyDescent="0.3">
      <c r="A270" s="20">
        <v>266</v>
      </c>
      <c r="B270" s="8" t="s">
        <v>2828</v>
      </c>
      <c r="C270" s="26">
        <v>2025</v>
      </c>
      <c r="D270" s="8"/>
      <c r="E270" s="8" t="s">
        <v>535</v>
      </c>
      <c r="F270" s="20" t="s">
        <v>1969</v>
      </c>
      <c r="G270" s="21" t="s">
        <v>1979</v>
      </c>
      <c r="H270" s="21" t="s">
        <v>1979</v>
      </c>
      <c r="I270" s="21" t="s">
        <v>1979</v>
      </c>
      <c r="J270" s="21" t="s">
        <v>1968</v>
      </c>
      <c r="K270" s="21" t="s">
        <v>1968</v>
      </c>
      <c r="L270" s="22" t="str">
        <f t="shared" si="20"/>
        <v>EXCLUDE</v>
      </c>
      <c r="M270" s="22" t="str">
        <f t="shared" si="21"/>
        <v>Wrong domain (non-AECO)</v>
      </c>
      <c r="N270" s="23"/>
      <c r="O270" s="23"/>
      <c r="P270" s="24"/>
      <c r="Q270" s="24"/>
      <c r="R270" s="24"/>
      <c r="S270" s="22" t="str">
        <f t="shared" si="22"/>
        <v/>
      </c>
      <c r="T270" s="22" t="str">
        <f t="shared" si="23"/>
        <v/>
      </c>
      <c r="U270" s="25"/>
      <c r="V270" s="25"/>
      <c r="W270" s="25"/>
      <c r="X270" s="25"/>
      <c r="Y270" s="22" t="str">
        <f t="shared" si="24"/>
        <v/>
      </c>
      <c r="Z270" s="25"/>
      <c r="AA270" s="25"/>
      <c r="AB270" s="25"/>
      <c r="AC270" s="25"/>
      <c r="AD270" s="25"/>
      <c r="AE270" s="25"/>
      <c r="AF270" s="25"/>
      <c r="AG270" s="9"/>
      <c r="AH270" s="29"/>
      <c r="AI270" s="29"/>
      <c r="AM270" s="50"/>
      <c r="AN270" s="51" t="s">
        <v>2829</v>
      </c>
      <c r="AO270" s="55" t="s">
        <v>504</v>
      </c>
    </row>
    <row r="271" spans="1:41" ht="91.2" hidden="1" customHeight="1" x14ac:dyDescent="0.3">
      <c r="A271" s="20">
        <v>267</v>
      </c>
      <c r="B271" s="8" t="s">
        <v>2830</v>
      </c>
      <c r="C271" s="26">
        <v>2026</v>
      </c>
      <c r="D271" s="8"/>
      <c r="E271" s="8" t="s">
        <v>537</v>
      </c>
      <c r="F271" s="20" t="s">
        <v>1969</v>
      </c>
      <c r="G271" s="21" t="s">
        <v>1979</v>
      </c>
      <c r="H271" s="21" t="s">
        <v>1968</v>
      </c>
      <c r="I271" s="21" t="s">
        <v>1968</v>
      </c>
      <c r="J271" s="21" t="s">
        <v>1968</v>
      </c>
      <c r="K271" s="21" t="s">
        <v>1968</v>
      </c>
      <c r="L271" s="22" t="str">
        <f t="shared" si="20"/>
        <v>EXCLUDE</v>
      </c>
      <c r="M271" s="22" t="str">
        <f t="shared" si="21"/>
        <v>Wrong domain (non-AECO)</v>
      </c>
      <c r="N271" s="23"/>
      <c r="O271" s="23"/>
      <c r="P271" s="24"/>
      <c r="Q271" s="24"/>
      <c r="R271" s="24"/>
      <c r="S271" s="22" t="str">
        <f t="shared" si="22"/>
        <v/>
      </c>
      <c r="T271" s="22" t="str">
        <f t="shared" si="23"/>
        <v/>
      </c>
      <c r="U271" s="25"/>
      <c r="V271" s="25"/>
      <c r="W271" s="25"/>
      <c r="X271" s="25"/>
      <c r="Y271" s="22" t="str">
        <f t="shared" si="24"/>
        <v/>
      </c>
      <c r="Z271" s="25"/>
      <c r="AA271" s="25"/>
      <c r="AB271" s="25"/>
      <c r="AC271" s="25"/>
      <c r="AD271" s="25"/>
      <c r="AE271" s="25"/>
      <c r="AF271" s="25"/>
      <c r="AG271" s="9"/>
      <c r="AH271" s="29"/>
      <c r="AI271" s="29"/>
      <c r="AM271" s="50"/>
      <c r="AN271" s="51" t="s">
        <v>2831</v>
      </c>
      <c r="AO271" s="55" t="s">
        <v>536</v>
      </c>
    </row>
    <row r="272" spans="1:41" ht="79.95" hidden="1" customHeight="1" x14ac:dyDescent="0.3">
      <c r="A272" s="20">
        <v>268</v>
      </c>
      <c r="B272" s="8" t="s">
        <v>2832</v>
      </c>
      <c r="C272" s="26">
        <v>2026</v>
      </c>
      <c r="D272" s="8"/>
      <c r="E272" s="8" t="s">
        <v>539</v>
      </c>
      <c r="F272" s="20" t="s">
        <v>1969</v>
      </c>
      <c r="G272" s="21" t="s">
        <v>1979</v>
      </c>
      <c r="H272" s="21" t="s">
        <v>1968</v>
      </c>
      <c r="I272" s="21" t="s">
        <v>1968</v>
      </c>
      <c r="J272" s="21" t="s">
        <v>1968</v>
      </c>
      <c r="K272" s="21" t="s">
        <v>1968</v>
      </c>
      <c r="L272" s="22" t="str">
        <f t="shared" si="20"/>
        <v>EXCLUDE</v>
      </c>
      <c r="M272" s="22" t="str">
        <f t="shared" si="21"/>
        <v>Wrong domain (non-AECO)</v>
      </c>
      <c r="N272" s="23"/>
      <c r="O272" s="23"/>
      <c r="P272" s="24"/>
      <c r="Q272" s="24"/>
      <c r="R272" s="24"/>
      <c r="S272" s="22" t="str">
        <f t="shared" si="22"/>
        <v/>
      </c>
      <c r="T272" s="22" t="str">
        <f t="shared" si="23"/>
        <v/>
      </c>
      <c r="U272" s="25"/>
      <c r="V272" s="25"/>
      <c r="W272" s="25"/>
      <c r="X272" s="25"/>
      <c r="Y272" s="22" t="str">
        <f t="shared" si="24"/>
        <v/>
      </c>
      <c r="Z272" s="25"/>
      <c r="AA272" s="25"/>
      <c r="AB272" s="25"/>
      <c r="AC272" s="25"/>
      <c r="AD272" s="25"/>
      <c r="AE272" s="25"/>
      <c r="AF272" s="25"/>
      <c r="AG272" s="9"/>
      <c r="AH272" s="29"/>
      <c r="AI272" s="29"/>
      <c r="AM272" s="50"/>
      <c r="AN272" s="51" t="s">
        <v>2833</v>
      </c>
      <c r="AO272" s="55" t="s">
        <v>538</v>
      </c>
    </row>
    <row r="273" spans="1:41" ht="79.95" hidden="1" customHeight="1" x14ac:dyDescent="0.3">
      <c r="A273" s="20">
        <v>269</v>
      </c>
      <c r="B273" s="8" t="s">
        <v>2834</v>
      </c>
      <c r="C273" s="26">
        <v>2026</v>
      </c>
      <c r="D273" s="8"/>
      <c r="E273" s="8" t="s">
        <v>541</v>
      </c>
      <c r="F273" s="20" t="s">
        <v>1969</v>
      </c>
      <c r="G273" s="21" t="s">
        <v>1968</v>
      </c>
      <c r="H273" s="21" t="s">
        <v>1968</v>
      </c>
      <c r="I273" s="21" t="s">
        <v>1968</v>
      </c>
      <c r="J273" s="21" t="s">
        <v>1968</v>
      </c>
      <c r="K273" s="21" t="s">
        <v>1968</v>
      </c>
      <c r="L273" s="22" t="str">
        <f t="shared" si="20"/>
        <v>INCLUDE</v>
      </c>
      <c r="M273" s="22" t="str">
        <f t="shared" si="21"/>
        <v/>
      </c>
      <c r="N273" s="23" t="s">
        <v>1968</v>
      </c>
      <c r="O273" s="23" t="s">
        <v>1968</v>
      </c>
      <c r="P273" s="24" t="s">
        <v>1968</v>
      </c>
      <c r="Q273" s="24" t="s">
        <v>1968</v>
      </c>
      <c r="R273" s="24" t="s">
        <v>1968</v>
      </c>
      <c r="S273" s="22" t="str">
        <f t="shared" si="22"/>
        <v>INCLUDE</v>
      </c>
      <c r="T273" s="22" t="str">
        <f t="shared" si="23"/>
        <v/>
      </c>
      <c r="U273" s="25" t="s">
        <v>1992</v>
      </c>
      <c r="V273" s="25">
        <v>0</v>
      </c>
      <c r="W273" s="25">
        <v>1</v>
      </c>
      <c r="X273" s="25">
        <v>0</v>
      </c>
      <c r="Y273" s="22" t="str">
        <f t="shared" si="24"/>
        <v>Single</v>
      </c>
      <c r="Z273" s="25" t="s">
        <v>1922</v>
      </c>
      <c r="AA273" s="25" t="s">
        <v>1972</v>
      </c>
      <c r="AB273" s="25" t="s">
        <v>1994</v>
      </c>
      <c r="AC273" s="25" t="s">
        <v>1986</v>
      </c>
      <c r="AD273" s="25" t="s">
        <v>2003</v>
      </c>
      <c r="AE273" s="25">
        <v>4</v>
      </c>
      <c r="AF273" s="25" t="s">
        <v>2010</v>
      </c>
      <c r="AG273" s="9" t="s">
        <v>2835</v>
      </c>
      <c r="AH273" s="29" t="s">
        <v>2836</v>
      </c>
      <c r="AI273" s="29" t="s">
        <v>2837</v>
      </c>
      <c r="AJ273" t="s">
        <v>2005</v>
      </c>
      <c r="AK273" t="s">
        <v>2838</v>
      </c>
      <c r="AL273" t="s">
        <v>1978</v>
      </c>
      <c r="AM273" s="50"/>
      <c r="AN273" s="51" t="s">
        <v>2839</v>
      </c>
      <c r="AO273" s="55" t="s">
        <v>540</v>
      </c>
    </row>
    <row r="274" spans="1:41" ht="79.95" hidden="1" customHeight="1" x14ac:dyDescent="0.3">
      <c r="A274" s="20">
        <v>270</v>
      </c>
      <c r="B274" s="8" t="s">
        <v>2840</v>
      </c>
      <c r="C274" s="26">
        <v>2026</v>
      </c>
      <c r="D274" s="8"/>
      <c r="E274" s="8" t="s">
        <v>543</v>
      </c>
      <c r="F274" s="20" t="s">
        <v>1969</v>
      </c>
      <c r="G274" s="21" t="s">
        <v>1979</v>
      </c>
      <c r="H274" s="21" t="s">
        <v>1968</v>
      </c>
      <c r="I274" s="21" t="s">
        <v>1968</v>
      </c>
      <c r="J274" s="21" t="s">
        <v>1968</v>
      </c>
      <c r="K274" s="21" t="s">
        <v>1968</v>
      </c>
      <c r="L274" s="22" t="str">
        <f t="shared" si="20"/>
        <v>EXCLUDE</v>
      </c>
      <c r="M274" s="22" t="str">
        <f t="shared" si="21"/>
        <v>Wrong domain (non-AECO)</v>
      </c>
      <c r="N274" s="23"/>
      <c r="O274" s="23"/>
      <c r="P274" s="24"/>
      <c r="Q274" s="24"/>
      <c r="R274" s="24"/>
      <c r="S274" s="22" t="str">
        <f t="shared" si="22"/>
        <v/>
      </c>
      <c r="T274" s="22" t="str">
        <f t="shared" si="23"/>
        <v/>
      </c>
      <c r="U274" s="25"/>
      <c r="V274" s="25"/>
      <c r="W274" s="25"/>
      <c r="X274" s="25"/>
      <c r="Y274" s="22" t="str">
        <f t="shared" si="24"/>
        <v/>
      </c>
      <c r="Z274" s="25"/>
      <c r="AA274" s="25"/>
      <c r="AB274" s="25"/>
      <c r="AC274" s="25"/>
      <c r="AD274" s="25"/>
      <c r="AE274" s="25"/>
      <c r="AF274" s="25"/>
      <c r="AG274" s="9"/>
      <c r="AH274" s="29"/>
      <c r="AI274" s="29"/>
      <c r="AM274" s="50"/>
      <c r="AN274" s="51" t="s">
        <v>2841</v>
      </c>
      <c r="AO274" s="55" t="s">
        <v>542</v>
      </c>
    </row>
    <row r="275" spans="1:41" ht="102.6" customHeight="1" x14ac:dyDescent="0.3">
      <c r="A275" s="20">
        <v>271</v>
      </c>
      <c r="B275" s="8" t="s">
        <v>2842</v>
      </c>
      <c r="C275" s="26">
        <v>2026</v>
      </c>
      <c r="D275" s="8"/>
      <c r="E275" s="8" t="s">
        <v>545</v>
      </c>
      <c r="F275" s="20" t="s">
        <v>1969</v>
      </c>
      <c r="G275" s="21" t="s">
        <v>1979</v>
      </c>
      <c r="H275" s="21" t="s">
        <v>1968</v>
      </c>
      <c r="I275" s="21" t="s">
        <v>1968</v>
      </c>
      <c r="J275" s="21" t="s">
        <v>1968</v>
      </c>
      <c r="K275" s="21" t="s">
        <v>1968</v>
      </c>
      <c r="L275" s="22" t="str">
        <f t="shared" si="20"/>
        <v>EXCLUDE</v>
      </c>
      <c r="M275" s="22" t="str">
        <f t="shared" si="21"/>
        <v>Wrong domain (non-AECO)</v>
      </c>
      <c r="N275" s="23"/>
      <c r="O275" s="23"/>
      <c r="P275" s="24"/>
      <c r="Q275" s="24"/>
      <c r="R275" s="24"/>
      <c r="S275" s="22" t="str">
        <f t="shared" si="22"/>
        <v/>
      </c>
      <c r="T275" s="22" t="str">
        <f t="shared" si="23"/>
        <v/>
      </c>
      <c r="U275" s="25"/>
      <c r="V275" s="25"/>
      <c r="W275" s="25"/>
      <c r="X275" s="25"/>
      <c r="Y275" s="22" t="str">
        <f t="shared" si="24"/>
        <v/>
      </c>
      <c r="Z275" s="25"/>
      <c r="AA275" s="25"/>
      <c r="AB275" s="25"/>
      <c r="AC275" s="25"/>
      <c r="AD275" s="25"/>
      <c r="AE275" s="25"/>
      <c r="AF275" s="25"/>
      <c r="AG275" s="9"/>
      <c r="AH275" s="29"/>
      <c r="AI275" s="29"/>
      <c r="AM275" s="50"/>
      <c r="AN275" s="51" t="s">
        <v>2843</v>
      </c>
      <c r="AO275" s="55" t="s">
        <v>544</v>
      </c>
    </row>
    <row r="276" spans="1:41" ht="57" hidden="1" customHeight="1" x14ac:dyDescent="0.3">
      <c r="A276" s="20">
        <v>272</v>
      </c>
      <c r="B276" s="8" t="s">
        <v>2844</v>
      </c>
      <c r="C276" s="26">
        <v>2025</v>
      </c>
      <c r="D276" s="8"/>
      <c r="E276" s="8" t="s">
        <v>547</v>
      </c>
      <c r="F276" s="20" t="s">
        <v>1969</v>
      </c>
      <c r="G276" s="21" t="s">
        <v>1979</v>
      </c>
      <c r="H276" s="21" t="s">
        <v>1968</v>
      </c>
      <c r="I276" s="21" t="s">
        <v>1968</v>
      </c>
      <c r="J276" s="21" t="s">
        <v>1968</v>
      </c>
      <c r="K276" s="21" t="s">
        <v>1968</v>
      </c>
      <c r="L276" s="22" t="str">
        <f t="shared" si="20"/>
        <v>EXCLUDE</v>
      </c>
      <c r="M276" s="22" t="str">
        <f t="shared" si="21"/>
        <v>Wrong domain (non-AECO)</v>
      </c>
      <c r="N276" s="23"/>
      <c r="O276" s="23"/>
      <c r="P276" s="24"/>
      <c r="Q276" s="24"/>
      <c r="R276" s="24"/>
      <c r="S276" s="22" t="str">
        <f t="shared" si="22"/>
        <v/>
      </c>
      <c r="T276" s="22" t="str">
        <f t="shared" si="23"/>
        <v/>
      </c>
      <c r="U276" s="25"/>
      <c r="V276" s="25"/>
      <c r="W276" s="25"/>
      <c r="X276" s="25"/>
      <c r="Y276" s="22" t="str">
        <f t="shared" si="24"/>
        <v/>
      </c>
      <c r="Z276" s="25"/>
      <c r="AA276" s="25"/>
      <c r="AB276" s="25"/>
      <c r="AC276" s="25"/>
      <c r="AD276" s="25"/>
      <c r="AE276" s="25"/>
      <c r="AF276" s="25"/>
      <c r="AG276" s="9"/>
      <c r="AH276" s="29"/>
      <c r="AI276" s="29"/>
      <c r="AM276" s="50"/>
      <c r="AN276" s="51" t="s">
        <v>2845</v>
      </c>
      <c r="AO276" s="55" t="s">
        <v>546</v>
      </c>
    </row>
    <row r="277" spans="1:41" ht="102.6" customHeight="1" x14ac:dyDescent="0.3">
      <c r="A277" s="20">
        <v>273</v>
      </c>
      <c r="B277" s="8" t="s">
        <v>2846</v>
      </c>
      <c r="C277" s="26">
        <v>2026</v>
      </c>
      <c r="D277" s="8"/>
      <c r="E277" s="8" t="s">
        <v>549</v>
      </c>
      <c r="F277" s="20" t="s">
        <v>1969</v>
      </c>
      <c r="G277" s="21" t="s">
        <v>1979</v>
      </c>
      <c r="H277" s="21" t="s">
        <v>1979</v>
      </c>
      <c r="I277" s="21" t="s">
        <v>1979</v>
      </c>
      <c r="J277" s="21" t="s">
        <v>1968</v>
      </c>
      <c r="K277" s="21" t="s">
        <v>1968</v>
      </c>
      <c r="L277" s="22" t="str">
        <f t="shared" si="20"/>
        <v>EXCLUDE</v>
      </c>
      <c r="M277" s="22" t="str">
        <f t="shared" si="21"/>
        <v>Wrong domain (non-AECO)</v>
      </c>
      <c r="N277" s="23"/>
      <c r="O277" s="23"/>
      <c r="P277" s="24"/>
      <c r="Q277" s="24"/>
      <c r="R277" s="24"/>
      <c r="S277" s="22" t="str">
        <f t="shared" si="22"/>
        <v/>
      </c>
      <c r="T277" s="22" t="str">
        <f t="shared" si="23"/>
        <v/>
      </c>
      <c r="U277" s="25"/>
      <c r="V277" s="25"/>
      <c r="W277" s="25"/>
      <c r="X277" s="25"/>
      <c r="Y277" s="22" t="str">
        <f t="shared" si="24"/>
        <v/>
      </c>
      <c r="Z277" s="25"/>
      <c r="AA277" s="25"/>
      <c r="AB277" s="25"/>
      <c r="AC277" s="25"/>
      <c r="AD277" s="25"/>
      <c r="AE277" s="25"/>
      <c r="AF277" s="25"/>
      <c r="AG277" s="9"/>
      <c r="AH277" s="29"/>
      <c r="AI277" s="29"/>
      <c r="AM277" s="50"/>
      <c r="AN277" s="51" t="s">
        <v>2847</v>
      </c>
      <c r="AO277" s="55" t="s">
        <v>548</v>
      </c>
    </row>
    <row r="278" spans="1:41" ht="22.95" hidden="1" customHeight="1" x14ac:dyDescent="0.3">
      <c r="A278" s="20">
        <v>274</v>
      </c>
      <c r="B278" s="8" t="s">
        <v>2848</v>
      </c>
      <c r="C278" s="26">
        <v>2025</v>
      </c>
      <c r="D278" s="8"/>
      <c r="E278" s="8" t="s">
        <v>551</v>
      </c>
      <c r="F278" s="20" t="s">
        <v>1969</v>
      </c>
      <c r="G278" s="21" t="s">
        <v>1968</v>
      </c>
      <c r="H278" s="21" t="s">
        <v>1979</v>
      </c>
      <c r="I278" s="21" t="s">
        <v>1968</v>
      </c>
      <c r="J278" s="21" t="s">
        <v>1968</v>
      </c>
      <c r="K278" s="21" t="s">
        <v>1968</v>
      </c>
      <c r="L278" s="22" t="str">
        <f t="shared" si="20"/>
        <v>EXCLUDE</v>
      </c>
      <c r="M278" s="22" t="str">
        <f t="shared" si="21"/>
        <v>Digital Twin not core / buzzword</v>
      </c>
      <c r="N278" s="23"/>
      <c r="O278" s="23"/>
      <c r="P278" s="24"/>
      <c r="Q278" s="24"/>
      <c r="R278" s="24"/>
      <c r="S278" s="22" t="str">
        <f t="shared" si="22"/>
        <v/>
      </c>
      <c r="T278" s="22" t="str">
        <f t="shared" si="23"/>
        <v/>
      </c>
      <c r="U278" s="25"/>
      <c r="V278" s="25"/>
      <c r="W278" s="25"/>
      <c r="X278" s="25"/>
      <c r="Y278" s="22" t="str">
        <f t="shared" si="24"/>
        <v/>
      </c>
      <c r="Z278" s="25"/>
      <c r="AA278" s="25"/>
      <c r="AB278" s="25"/>
      <c r="AC278" s="25"/>
      <c r="AD278" s="25"/>
      <c r="AE278" s="25"/>
      <c r="AF278" s="25"/>
      <c r="AG278" s="9"/>
      <c r="AH278" s="29"/>
      <c r="AI278" s="29"/>
      <c r="AM278" s="50"/>
      <c r="AN278" s="51" t="s">
        <v>2849</v>
      </c>
      <c r="AO278" s="55" t="s">
        <v>550</v>
      </c>
    </row>
    <row r="279" spans="1:41" ht="79.95" hidden="1" customHeight="1" x14ac:dyDescent="0.3">
      <c r="A279" s="20">
        <v>275</v>
      </c>
      <c r="B279" s="8" t="s">
        <v>2850</v>
      </c>
      <c r="C279" s="26">
        <v>2025</v>
      </c>
      <c r="D279" s="8"/>
      <c r="E279" s="8" t="s">
        <v>553</v>
      </c>
      <c r="F279" s="20" t="s">
        <v>1969</v>
      </c>
      <c r="G279" s="21" t="s">
        <v>1968</v>
      </c>
      <c r="H279" s="21" t="s">
        <v>1968</v>
      </c>
      <c r="I279" s="21" t="s">
        <v>1968</v>
      </c>
      <c r="J279" s="21" t="s">
        <v>1968</v>
      </c>
      <c r="K279" s="21" t="s">
        <v>1968</v>
      </c>
      <c r="L279" s="22" t="str">
        <f t="shared" si="20"/>
        <v>INCLUDE</v>
      </c>
      <c r="M279" s="22" t="str">
        <f t="shared" si="21"/>
        <v/>
      </c>
      <c r="N279" s="23" t="s">
        <v>1968</v>
      </c>
      <c r="O279" s="23" t="s">
        <v>1968</v>
      </c>
      <c r="P279" s="24" t="s">
        <v>1968</v>
      </c>
      <c r="Q279" s="24" t="s">
        <v>1968</v>
      </c>
      <c r="R279" s="24" t="s">
        <v>1968</v>
      </c>
      <c r="S279" s="22" t="str">
        <f t="shared" si="22"/>
        <v>INCLUDE</v>
      </c>
      <c r="T279" s="22" t="str">
        <f t="shared" si="23"/>
        <v/>
      </c>
      <c r="U279" s="25" t="s">
        <v>1982</v>
      </c>
      <c r="V279" s="25">
        <v>0</v>
      </c>
      <c r="W279" s="25">
        <v>1</v>
      </c>
      <c r="X279" s="25">
        <v>0</v>
      </c>
      <c r="Y279" s="22" t="str">
        <f t="shared" si="24"/>
        <v>Single</v>
      </c>
      <c r="Z279" s="25" t="s">
        <v>1922</v>
      </c>
      <c r="AA279" s="25" t="s">
        <v>1993</v>
      </c>
      <c r="AB279" s="25" t="s">
        <v>1973</v>
      </c>
      <c r="AC279" s="25" t="s">
        <v>1986</v>
      </c>
      <c r="AD279" s="25" t="s">
        <v>2003</v>
      </c>
      <c r="AE279" s="25">
        <v>4</v>
      </c>
      <c r="AF279" s="25" t="s">
        <v>2004</v>
      </c>
      <c r="AG279" s="9" t="s">
        <v>2851</v>
      </c>
      <c r="AH279" s="29" t="s">
        <v>2852</v>
      </c>
      <c r="AI279" s="29" t="s">
        <v>2853</v>
      </c>
      <c r="AJ279" t="s">
        <v>2005</v>
      </c>
      <c r="AK279" t="s">
        <v>2854</v>
      </c>
      <c r="AL279" t="s">
        <v>1978</v>
      </c>
      <c r="AM279" s="50"/>
      <c r="AN279" s="51" t="s">
        <v>2855</v>
      </c>
      <c r="AO279" s="55" t="s">
        <v>552</v>
      </c>
    </row>
    <row r="280" spans="1:41" ht="57" hidden="1" customHeight="1" x14ac:dyDescent="0.3">
      <c r="A280" s="20">
        <v>276</v>
      </c>
      <c r="B280" s="8" t="s">
        <v>2856</v>
      </c>
      <c r="C280" s="26">
        <v>2026</v>
      </c>
      <c r="D280" s="8"/>
      <c r="E280" s="8" t="s">
        <v>555</v>
      </c>
      <c r="F280" s="20" t="s">
        <v>1969</v>
      </c>
      <c r="G280" s="21" t="s">
        <v>1979</v>
      </c>
      <c r="H280" s="21" t="s">
        <v>1968</v>
      </c>
      <c r="I280" s="21" t="s">
        <v>1979</v>
      </c>
      <c r="J280" s="21" t="s">
        <v>1968</v>
      </c>
      <c r="K280" s="21" t="s">
        <v>1968</v>
      </c>
      <c r="L280" s="22" t="str">
        <f t="shared" si="20"/>
        <v>EXCLUDE</v>
      </c>
      <c r="M280" s="22" t="str">
        <f t="shared" si="21"/>
        <v>Wrong domain (non-AECO)</v>
      </c>
      <c r="N280" s="23"/>
      <c r="O280" s="23"/>
      <c r="P280" s="24"/>
      <c r="Q280" s="24"/>
      <c r="R280" s="24"/>
      <c r="S280" s="22" t="str">
        <f t="shared" si="22"/>
        <v/>
      </c>
      <c r="T280" s="22" t="str">
        <f t="shared" si="23"/>
        <v/>
      </c>
      <c r="U280" s="25"/>
      <c r="V280" s="25"/>
      <c r="W280" s="25"/>
      <c r="X280" s="25"/>
      <c r="Y280" s="22" t="str">
        <f t="shared" si="24"/>
        <v/>
      </c>
      <c r="Z280" s="25"/>
      <c r="AA280" s="25"/>
      <c r="AB280" s="25"/>
      <c r="AC280" s="25"/>
      <c r="AD280" s="25"/>
      <c r="AE280" s="25"/>
      <c r="AF280" s="25"/>
      <c r="AG280" s="9"/>
      <c r="AH280" s="29"/>
      <c r="AI280" s="29"/>
      <c r="AM280" s="50"/>
      <c r="AN280" s="51" t="s">
        <v>2857</v>
      </c>
      <c r="AO280" s="55" t="s">
        <v>554</v>
      </c>
    </row>
    <row r="281" spans="1:41" ht="100.95" hidden="1" customHeight="1" x14ac:dyDescent="0.3">
      <c r="A281" s="20">
        <v>277</v>
      </c>
      <c r="B281" s="8" t="s">
        <v>2858</v>
      </c>
      <c r="C281" s="26">
        <v>2025</v>
      </c>
      <c r="D281" s="8"/>
      <c r="E281" s="8" t="s">
        <v>557</v>
      </c>
      <c r="F281" s="20" t="s">
        <v>1969</v>
      </c>
      <c r="G281" s="21" t="s">
        <v>1979</v>
      </c>
      <c r="H281" s="21" t="s">
        <v>1968</v>
      </c>
      <c r="I281" s="21" t="s">
        <v>1979</v>
      </c>
      <c r="J281" s="21" t="s">
        <v>1968</v>
      </c>
      <c r="K281" s="21" t="s">
        <v>1968</v>
      </c>
      <c r="L281" s="22" t="str">
        <f t="shared" si="20"/>
        <v>EXCLUDE</v>
      </c>
      <c r="M281" s="22" t="str">
        <f t="shared" si="21"/>
        <v>Wrong domain (non-AECO)</v>
      </c>
      <c r="N281" s="23"/>
      <c r="O281" s="23"/>
      <c r="P281" s="24"/>
      <c r="Q281" s="24"/>
      <c r="R281" s="24"/>
      <c r="S281" s="22" t="str">
        <f t="shared" si="22"/>
        <v/>
      </c>
      <c r="T281" s="22" t="str">
        <f t="shared" si="23"/>
        <v/>
      </c>
      <c r="U281" s="25"/>
      <c r="V281" s="25"/>
      <c r="W281" s="25"/>
      <c r="X281" s="25"/>
      <c r="Y281" s="22" t="str">
        <f t="shared" si="24"/>
        <v/>
      </c>
      <c r="Z281" s="25"/>
      <c r="AA281" s="25"/>
      <c r="AB281" s="25"/>
      <c r="AC281" s="25"/>
      <c r="AD281" s="25"/>
      <c r="AE281" s="25"/>
      <c r="AF281" s="25"/>
      <c r="AG281" s="9"/>
      <c r="AH281" s="29"/>
      <c r="AI281" s="29"/>
      <c r="AM281" s="50"/>
      <c r="AN281" s="51" t="s">
        <v>2859</v>
      </c>
      <c r="AO281" s="55" t="s">
        <v>556</v>
      </c>
    </row>
    <row r="282" spans="1:41" ht="100.95" customHeight="1" x14ac:dyDescent="0.3">
      <c r="A282" s="20">
        <v>278</v>
      </c>
      <c r="B282" s="8" t="s">
        <v>2860</v>
      </c>
      <c r="C282" s="26">
        <v>2025</v>
      </c>
      <c r="D282" s="8"/>
      <c r="E282" s="8" t="s">
        <v>559</v>
      </c>
      <c r="F282" s="20" t="s">
        <v>1969</v>
      </c>
      <c r="G282" s="21" t="s">
        <v>1968</v>
      </c>
      <c r="H282" s="21" t="s">
        <v>1968</v>
      </c>
      <c r="I282" s="21" t="s">
        <v>1968</v>
      </c>
      <c r="J282" s="21" t="s">
        <v>1968</v>
      </c>
      <c r="K282" s="21" t="s">
        <v>1968</v>
      </c>
      <c r="L282" s="22" t="str">
        <f t="shared" si="20"/>
        <v>INCLUDE</v>
      </c>
      <c r="M282" s="22" t="str">
        <f t="shared" si="21"/>
        <v/>
      </c>
      <c r="N282" s="23" t="s">
        <v>1968</v>
      </c>
      <c r="O282" s="23" t="s">
        <v>1968</v>
      </c>
      <c r="P282" s="24" t="s">
        <v>1968</v>
      </c>
      <c r="Q282" s="24" t="s">
        <v>1968</v>
      </c>
      <c r="R282" s="24" t="s">
        <v>1968</v>
      </c>
      <c r="S282" s="22" t="str">
        <f t="shared" si="22"/>
        <v>INCLUDE</v>
      </c>
      <c r="T282" s="22" t="str">
        <f t="shared" si="23"/>
        <v/>
      </c>
      <c r="U282" s="25" t="s">
        <v>1982</v>
      </c>
      <c r="V282" s="25">
        <v>0</v>
      </c>
      <c r="W282" s="25">
        <v>1</v>
      </c>
      <c r="X282" s="25">
        <v>0</v>
      </c>
      <c r="Y282" s="22" t="str">
        <f t="shared" si="24"/>
        <v>Single</v>
      </c>
      <c r="Z282" s="25" t="s">
        <v>1922</v>
      </c>
      <c r="AA282" s="25" t="s">
        <v>1972</v>
      </c>
      <c r="AB282" s="25" t="s">
        <v>2017</v>
      </c>
      <c r="AC282" s="25" t="s">
        <v>1986</v>
      </c>
      <c r="AD282" s="25" t="s">
        <v>1987</v>
      </c>
      <c r="AE282" s="25">
        <v>4</v>
      </c>
      <c r="AF282" s="25" t="s">
        <v>2004</v>
      </c>
      <c r="AG282" s="9" t="s">
        <v>2861</v>
      </c>
      <c r="AH282" s="29" t="s">
        <v>2862</v>
      </c>
      <c r="AI282" s="29" t="s">
        <v>2863</v>
      </c>
      <c r="AJ282" t="s">
        <v>1997</v>
      </c>
      <c r="AK282" t="s">
        <v>2864</v>
      </c>
      <c r="AL282" t="s">
        <v>1978</v>
      </c>
      <c r="AM282" s="50"/>
      <c r="AN282" s="51" t="s">
        <v>2865</v>
      </c>
      <c r="AO282" s="55" t="s">
        <v>558</v>
      </c>
    </row>
    <row r="283" spans="1:41" ht="45.6" hidden="1" customHeight="1" x14ac:dyDescent="0.3">
      <c r="A283" s="20">
        <v>279</v>
      </c>
      <c r="B283" s="8" t="s">
        <v>2866</v>
      </c>
      <c r="C283" s="26">
        <v>2025</v>
      </c>
      <c r="D283" s="8"/>
      <c r="E283" s="8" t="s">
        <v>561</v>
      </c>
      <c r="F283" s="20" t="s">
        <v>1969</v>
      </c>
      <c r="G283" s="21" t="s">
        <v>1968</v>
      </c>
      <c r="H283" s="21" t="s">
        <v>1968</v>
      </c>
      <c r="I283" s="21" t="s">
        <v>1968</v>
      </c>
      <c r="J283" s="21" t="s">
        <v>1968</v>
      </c>
      <c r="K283" s="21" t="s">
        <v>1968</v>
      </c>
      <c r="L283" s="22" t="str">
        <f t="shared" si="20"/>
        <v>INCLUDE</v>
      </c>
      <c r="M283" s="22" t="str">
        <f t="shared" si="21"/>
        <v/>
      </c>
      <c r="N283" s="23" t="s">
        <v>1968</v>
      </c>
      <c r="O283" s="23" t="s">
        <v>1968</v>
      </c>
      <c r="P283" s="24" t="s">
        <v>1968</v>
      </c>
      <c r="Q283" s="24" t="s">
        <v>1968</v>
      </c>
      <c r="R283" s="24" t="s">
        <v>1968</v>
      </c>
      <c r="S283" s="22" t="str">
        <f t="shared" si="22"/>
        <v>INCLUDE</v>
      </c>
      <c r="T283" s="22" t="str">
        <f t="shared" si="23"/>
        <v/>
      </c>
      <c r="U283" s="25" t="s">
        <v>1971</v>
      </c>
      <c r="V283" s="25">
        <v>0</v>
      </c>
      <c r="W283" s="25">
        <v>0</v>
      </c>
      <c r="X283" s="25">
        <v>1</v>
      </c>
      <c r="Y283" s="22" t="str">
        <f t="shared" si="24"/>
        <v>Single</v>
      </c>
      <c r="Z283" s="25" t="s">
        <v>1922</v>
      </c>
      <c r="AA283" s="25" t="s">
        <v>1972</v>
      </c>
      <c r="AB283" s="25" t="s">
        <v>2018</v>
      </c>
      <c r="AC283" s="25" t="s">
        <v>1974</v>
      </c>
      <c r="AD283" s="25" t="s">
        <v>2009</v>
      </c>
      <c r="AE283" s="25">
        <v>4</v>
      </c>
      <c r="AF283" s="25" t="s">
        <v>2004</v>
      </c>
      <c r="AG283" s="9" t="s">
        <v>2867</v>
      </c>
      <c r="AH283" s="29" t="s">
        <v>2868</v>
      </c>
      <c r="AI283" s="29" t="s">
        <v>2869</v>
      </c>
      <c r="AJ283" t="s">
        <v>1977</v>
      </c>
      <c r="AK283" t="s">
        <v>2870</v>
      </c>
      <c r="AL283" t="s">
        <v>1978</v>
      </c>
      <c r="AM283" s="50"/>
      <c r="AN283" s="51" t="s">
        <v>2871</v>
      </c>
      <c r="AO283" s="55" t="s">
        <v>560</v>
      </c>
    </row>
    <row r="284" spans="1:41" ht="57" hidden="1" customHeight="1" x14ac:dyDescent="0.3">
      <c r="A284" s="20">
        <v>280</v>
      </c>
      <c r="B284" s="8" t="s">
        <v>2872</v>
      </c>
      <c r="C284" s="26">
        <v>2025</v>
      </c>
      <c r="D284" s="8"/>
      <c r="E284" s="8" t="s">
        <v>563</v>
      </c>
      <c r="F284" s="20" t="s">
        <v>1969</v>
      </c>
      <c r="G284" s="21" t="s">
        <v>1979</v>
      </c>
      <c r="H284" s="21" t="s">
        <v>1979</v>
      </c>
      <c r="I284" s="21" t="s">
        <v>1979</v>
      </c>
      <c r="J284" s="21" t="s">
        <v>1968</v>
      </c>
      <c r="K284" s="21" t="s">
        <v>1968</v>
      </c>
      <c r="L284" s="22" t="str">
        <f t="shared" si="20"/>
        <v>EXCLUDE</v>
      </c>
      <c r="M284" s="22" t="str">
        <f t="shared" si="21"/>
        <v>Wrong domain (non-AECO)</v>
      </c>
      <c r="N284" s="23"/>
      <c r="O284" s="23"/>
      <c r="P284" s="24"/>
      <c r="Q284" s="24"/>
      <c r="R284" s="24"/>
      <c r="S284" s="22" t="str">
        <f t="shared" si="22"/>
        <v/>
      </c>
      <c r="T284" s="22" t="str">
        <f t="shared" si="23"/>
        <v/>
      </c>
      <c r="U284" s="25"/>
      <c r="V284" s="25"/>
      <c r="W284" s="25"/>
      <c r="X284" s="25"/>
      <c r="Y284" s="22" t="str">
        <f t="shared" si="24"/>
        <v/>
      </c>
      <c r="Z284" s="25"/>
      <c r="AA284" s="25"/>
      <c r="AB284" s="25"/>
      <c r="AC284" s="25"/>
      <c r="AD284" s="25"/>
      <c r="AE284" s="25"/>
      <c r="AF284" s="25"/>
      <c r="AG284" s="9"/>
      <c r="AH284" s="29"/>
      <c r="AI284" s="29"/>
      <c r="AM284" s="50"/>
      <c r="AN284" s="51" t="s">
        <v>2873</v>
      </c>
      <c r="AO284" s="55" t="s">
        <v>562</v>
      </c>
    </row>
    <row r="285" spans="1:41" ht="45.6" hidden="1" customHeight="1" x14ac:dyDescent="0.3">
      <c r="A285" s="20">
        <v>281</v>
      </c>
      <c r="B285" s="8" t="s">
        <v>2874</v>
      </c>
      <c r="C285" s="26">
        <v>2025</v>
      </c>
      <c r="D285" s="8"/>
      <c r="E285" s="8" t="s">
        <v>565</v>
      </c>
      <c r="F285" s="20" t="s">
        <v>1969</v>
      </c>
      <c r="G285" s="21" t="s">
        <v>1979</v>
      </c>
      <c r="H285" s="21" t="s">
        <v>1968</v>
      </c>
      <c r="I285" s="21" t="s">
        <v>1968</v>
      </c>
      <c r="J285" s="21" t="s">
        <v>1968</v>
      </c>
      <c r="K285" s="21" t="s">
        <v>1968</v>
      </c>
      <c r="L285" s="22" t="str">
        <f t="shared" si="20"/>
        <v>EXCLUDE</v>
      </c>
      <c r="M285" s="22" t="str">
        <f t="shared" si="21"/>
        <v>Wrong domain (non-AECO)</v>
      </c>
      <c r="N285" s="23"/>
      <c r="O285" s="23"/>
      <c r="P285" s="24"/>
      <c r="Q285" s="24"/>
      <c r="R285" s="24"/>
      <c r="S285" s="22" t="str">
        <f t="shared" si="22"/>
        <v/>
      </c>
      <c r="T285" s="22" t="str">
        <f t="shared" si="23"/>
        <v/>
      </c>
      <c r="U285" s="25"/>
      <c r="V285" s="25"/>
      <c r="W285" s="25"/>
      <c r="X285" s="25"/>
      <c r="Y285" s="22" t="str">
        <f t="shared" si="24"/>
        <v/>
      </c>
      <c r="Z285" s="25"/>
      <c r="AA285" s="25"/>
      <c r="AB285" s="25"/>
      <c r="AC285" s="25"/>
      <c r="AD285" s="25"/>
      <c r="AE285" s="25"/>
      <c r="AF285" s="25"/>
      <c r="AG285" s="9"/>
      <c r="AH285" s="29"/>
      <c r="AI285" s="29"/>
      <c r="AM285" s="50"/>
      <c r="AN285" s="51" t="s">
        <v>2875</v>
      </c>
      <c r="AO285" s="55" t="s">
        <v>564</v>
      </c>
    </row>
    <row r="286" spans="1:41" ht="68.400000000000006" hidden="1" customHeight="1" x14ac:dyDescent="0.3">
      <c r="A286" s="20">
        <v>282</v>
      </c>
      <c r="B286" s="8" t="s">
        <v>2876</v>
      </c>
      <c r="C286" s="26">
        <v>2026</v>
      </c>
      <c r="D286" s="8"/>
      <c r="E286" s="8" t="s">
        <v>567</v>
      </c>
      <c r="F286" s="20" t="s">
        <v>1969</v>
      </c>
      <c r="G286" s="21" t="s">
        <v>1968</v>
      </c>
      <c r="H286" s="21" t="s">
        <v>1968</v>
      </c>
      <c r="I286" s="21" t="s">
        <v>1968</v>
      </c>
      <c r="J286" s="21" t="s">
        <v>1968</v>
      </c>
      <c r="K286" s="21" t="s">
        <v>1968</v>
      </c>
      <c r="L286" s="22" t="str">
        <f t="shared" si="20"/>
        <v>INCLUDE</v>
      </c>
      <c r="M286" s="22" t="str">
        <f t="shared" si="21"/>
        <v/>
      </c>
      <c r="N286" s="23" t="s">
        <v>1968</v>
      </c>
      <c r="O286" s="23" t="s">
        <v>1968</v>
      </c>
      <c r="P286" s="24" t="s">
        <v>1968</v>
      </c>
      <c r="Q286" s="24" t="s">
        <v>1968</v>
      </c>
      <c r="R286" s="24" t="s">
        <v>1968</v>
      </c>
      <c r="S286" s="22" t="str">
        <f t="shared" si="22"/>
        <v>INCLUDE</v>
      </c>
      <c r="T286" s="22" t="str">
        <f t="shared" si="23"/>
        <v/>
      </c>
      <c r="U286" s="25" t="s">
        <v>1971</v>
      </c>
      <c r="V286" s="25">
        <v>0</v>
      </c>
      <c r="W286" s="25">
        <v>0</v>
      </c>
      <c r="X286" s="25">
        <v>1</v>
      </c>
      <c r="Y286" s="22" t="str">
        <f t="shared" si="24"/>
        <v>Single</v>
      </c>
      <c r="Z286" s="25" t="s">
        <v>1922</v>
      </c>
      <c r="AA286" s="25" t="s">
        <v>1972</v>
      </c>
      <c r="AB286" s="25" t="s">
        <v>2002</v>
      </c>
      <c r="AC286" s="25" t="s">
        <v>1986</v>
      </c>
      <c r="AD286" s="25" t="s">
        <v>2009</v>
      </c>
      <c r="AE286" s="25">
        <v>3</v>
      </c>
      <c r="AF286" s="25" t="s">
        <v>1996</v>
      </c>
      <c r="AG286" s="9" t="s">
        <v>2877</v>
      </c>
      <c r="AH286" s="29" t="s">
        <v>2878</v>
      </c>
      <c r="AI286" s="29" t="s">
        <v>2879</v>
      </c>
      <c r="AJ286" t="s">
        <v>2005</v>
      </c>
      <c r="AK286" t="s">
        <v>2880</v>
      </c>
      <c r="AL286" t="s">
        <v>1990</v>
      </c>
      <c r="AM286" s="50"/>
      <c r="AN286" s="51" t="s">
        <v>2881</v>
      </c>
      <c r="AO286" s="55" t="s">
        <v>566</v>
      </c>
    </row>
    <row r="287" spans="1:41" ht="79.95" customHeight="1" x14ac:dyDescent="0.3">
      <c r="A287" s="20">
        <v>283</v>
      </c>
      <c r="B287" s="8" t="s">
        <v>2882</v>
      </c>
      <c r="C287" s="26">
        <v>2026</v>
      </c>
      <c r="D287" s="8"/>
      <c r="E287" s="8" t="s">
        <v>569</v>
      </c>
      <c r="F287" s="20" t="s">
        <v>1969</v>
      </c>
      <c r="G287" s="21" t="s">
        <v>1979</v>
      </c>
      <c r="H287" s="21" t="s">
        <v>1968</v>
      </c>
      <c r="I287" s="21" t="s">
        <v>1979</v>
      </c>
      <c r="J287" s="21" t="s">
        <v>1968</v>
      </c>
      <c r="K287" s="21" t="s">
        <v>1968</v>
      </c>
      <c r="L287" s="22" t="str">
        <f t="shared" si="20"/>
        <v>EXCLUDE</v>
      </c>
      <c r="M287" s="22" t="str">
        <f t="shared" si="21"/>
        <v>Wrong domain (non-AECO)</v>
      </c>
      <c r="N287" s="23"/>
      <c r="O287" s="23"/>
      <c r="P287" s="24"/>
      <c r="Q287" s="24"/>
      <c r="R287" s="24"/>
      <c r="S287" s="22" t="str">
        <f t="shared" si="22"/>
        <v/>
      </c>
      <c r="T287" s="22" t="str">
        <f t="shared" si="23"/>
        <v/>
      </c>
      <c r="U287" s="25"/>
      <c r="V287" s="25"/>
      <c r="W287" s="25"/>
      <c r="X287" s="25"/>
      <c r="Y287" s="22" t="str">
        <f t="shared" si="24"/>
        <v/>
      </c>
      <c r="Z287" s="25"/>
      <c r="AA287" s="25"/>
      <c r="AB287" s="25"/>
      <c r="AC287" s="25"/>
      <c r="AD287" s="25"/>
      <c r="AE287" s="25"/>
      <c r="AF287" s="25"/>
      <c r="AG287" s="9"/>
      <c r="AH287" s="29"/>
      <c r="AI287" s="29"/>
      <c r="AM287" s="50"/>
      <c r="AN287" s="51" t="s">
        <v>2883</v>
      </c>
      <c r="AO287" s="55" t="s">
        <v>568</v>
      </c>
    </row>
    <row r="288" spans="1:41" ht="79.95" hidden="1" customHeight="1" x14ac:dyDescent="0.3">
      <c r="A288" s="20">
        <v>284</v>
      </c>
      <c r="B288" s="8" t="s">
        <v>2884</v>
      </c>
      <c r="C288" s="26">
        <v>2026</v>
      </c>
      <c r="D288" s="8"/>
      <c r="E288" s="8" t="s">
        <v>571</v>
      </c>
      <c r="F288" s="20" t="s">
        <v>1969</v>
      </c>
      <c r="G288" s="21" t="s">
        <v>1979</v>
      </c>
      <c r="H288" s="21" t="s">
        <v>1979</v>
      </c>
      <c r="I288" s="21" t="s">
        <v>1968</v>
      </c>
      <c r="J288" s="21" t="s">
        <v>1968</v>
      </c>
      <c r="K288" s="21" t="s">
        <v>1968</v>
      </c>
      <c r="L288" s="22" t="str">
        <f t="shared" si="20"/>
        <v>EXCLUDE</v>
      </c>
      <c r="M288" s="22" t="str">
        <f t="shared" si="21"/>
        <v>Wrong domain (non-AECO)</v>
      </c>
      <c r="N288" s="23"/>
      <c r="O288" s="23"/>
      <c r="P288" s="24"/>
      <c r="Q288" s="24"/>
      <c r="R288" s="24"/>
      <c r="S288" s="22" t="str">
        <f t="shared" si="22"/>
        <v/>
      </c>
      <c r="T288" s="22" t="str">
        <f t="shared" si="23"/>
        <v/>
      </c>
      <c r="U288" s="25"/>
      <c r="V288" s="25"/>
      <c r="W288" s="25"/>
      <c r="X288" s="25"/>
      <c r="Y288" s="22" t="str">
        <f t="shared" si="24"/>
        <v/>
      </c>
      <c r="Z288" s="25"/>
      <c r="AA288" s="25"/>
      <c r="AB288" s="25"/>
      <c r="AC288" s="25"/>
      <c r="AD288" s="25"/>
      <c r="AE288" s="25"/>
      <c r="AF288" s="25"/>
      <c r="AG288" s="9"/>
      <c r="AH288" s="29"/>
      <c r="AI288" s="29"/>
      <c r="AM288" s="50"/>
      <c r="AN288" s="51" t="s">
        <v>2885</v>
      </c>
      <c r="AO288" s="55" t="s">
        <v>570</v>
      </c>
    </row>
    <row r="289" spans="1:41" ht="68.400000000000006" hidden="1" customHeight="1" x14ac:dyDescent="0.3">
      <c r="A289" s="20">
        <v>285</v>
      </c>
      <c r="B289" s="8" t="s">
        <v>2886</v>
      </c>
      <c r="C289" s="26">
        <v>2025</v>
      </c>
      <c r="D289" s="8"/>
      <c r="E289" s="8" t="s">
        <v>573</v>
      </c>
      <c r="F289" s="20" t="s">
        <v>1969</v>
      </c>
      <c r="G289" s="21" t="s">
        <v>1968</v>
      </c>
      <c r="H289" s="21" t="s">
        <v>1979</v>
      </c>
      <c r="I289" s="21" t="s">
        <v>1968</v>
      </c>
      <c r="J289" s="21" t="s">
        <v>1968</v>
      </c>
      <c r="K289" s="21" t="s">
        <v>1968</v>
      </c>
      <c r="L289" s="22" t="str">
        <f t="shared" si="20"/>
        <v>EXCLUDE</v>
      </c>
      <c r="M289" s="22" t="str">
        <f t="shared" si="21"/>
        <v>Digital Twin not core / buzzword</v>
      </c>
      <c r="N289" s="23"/>
      <c r="O289" s="23"/>
      <c r="P289" s="24"/>
      <c r="Q289" s="24"/>
      <c r="R289" s="24"/>
      <c r="S289" s="22" t="str">
        <f t="shared" si="22"/>
        <v/>
      </c>
      <c r="T289" s="22" t="str">
        <f t="shared" si="23"/>
        <v/>
      </c>
      <c r="U289" s="25"/>
      <c r="V289" s="25"/>
      <c r="W289" s="25"/>
      <c r="X289" s="25"/>
      <c r="Y289" s="22" t="str">
        <f t="shared" si="24"/>
        <v/>
      </c>
      <c r="Z289" s="25"/>
      <c r="AA289" s="25"/>
      <c r="AB289" s="25"/>
      <c r="AC289" s="25"/>
      <c r="AD289" s="25"/>
      <c r="AE289" s="25"/>
      <c r="AF289" s="25"/>
      <c r="AG289" s="9"/>
      <c r="AH289" s="29"/>
      <c r="AI289" s="29"/>
      <c r="AM289" s="50"/>
      <c r="AN289" s="51" t="s">
        <v>2887</v>
      </c>
      <c r="AO289" s="55" t="s">
        <v>572</v>
      </c>
    </row>
    <row r="290" spans="1:41" ht="79.95" hidden="1" customHeight="1" x14ac:dyDescent="0.3">
      <c r="A290" s="20">
        <v>286</v>
      </c>
      <c r="B290" s="8" t="s">
        <v>2888</v>
      </c>
      <c r="C290" s="26">
        <v>2025</v>
      </c>
      <c r="D290" s="8"/>
      <c r="E290" s="8" t="s">
        <v>575</v>
      </c>
      <c r="F290" s="20" t="s">
        <v>1969</v>
      </c>
      <c r="G290" s="21" t="s">
        <v>1979</v>
      </c>
      <c r="H290" s="21" t="s">
        <v>1968</v>
      </c>
      <c r="I290" s="21" t="s">
        <v>1979</v>
      </c>
      <c r="J290" s="21" t="s">
        <v>1968</v>
      </c>
      <c r="K290" s="21" t="s">
        <v>1968</v>
      </c>
      <c r="L290" s="22" t="str">
        <f t="shared" si="20"/>
        <v>EXCLUDE</v>
      </c>
      <c r="M290" s="22" t="str">
        <f t="shared" si="21"/>
        <v>Wrong domain (non-AECO)</v>
      </c>
      <c r="N290" s="23"/>
      <c r="O290" s="23"/>
      <c r="P290" s="24"/>
      <c r="Q290" s="24"/>
      <c r="R290" s="24"/>
      <c r="S290" s="22" t="str">
        <f t="shared" si="22"/>
        <v/>
      </c>
      <c r="T290" s="22" t="str">
        <f t="shared" si="23"/>
        <v/>
      </c>
      <c r="U290" s="25"/>
      <c r="V290" s="25"/>
      <c r="W290" s="25"/>
      <c r="X290" s="25"/>
      <c r="Y290" s="22" t="str">
        <f t="shared" si="24"/>
        <v/>
      </c>
      <c r="Z290" s="25"/>
      <c r="AA290" s="25"/>
      <c r="AB290" s="25"/>
      <c r="AC290" s="25"/>
      <c r="AD290" s="25"/>
      <c r="AE290" s="25"/>
      <c r="AF290" s="25"/>
      <c r="AG290" s="9"/>
      <c r="AH290" s="29"/>
      <c r="AI290" s="29"/>
      <c r="AM290" s="50"/>
      <c r="AN290" s="51" t="s">
        <v>2889</v>
      </c>
      <c r="AO290" s="55" t="s">
        <v>574</v>
      </c>
    </row>
    <row r="291" spans="1:41" ht="68.400000000000006" hidden="1" customHeight="1" x14ac:dyDescent="0.3">
      <c r="A291" s="20">
        <v>287</v>
      </c>
      <c r="B291" s="8" t="s">
        <v>2890</v>
      </c>
      <c r="C291" s="26">
        <v>2025</v>
      </c>
      <c r="D291" s="8"/>
      <c r="E291" s="8" t="s">
        <v>577</v>
      </c>
      <c r="F291" s="20" t="s">
        <v>1969</v>
      </c>
      <c r="G291" s="21" t="s">
        <v>1968</v>
      </c>
      <c r="H291" s="21" t="s">
        <v>1968</v>
      </c>
      <c r="I291" s="21" t="s">
        <v>1968</v>
      </c>
      <c r="J291" s="21" t="s">
        <v>1968</v>
      </c>
      <c r="K291" s="21" t="s">
        <v>1968</v>
      </c>
      <c r="L291" s="22" t="str">
        <f t="shared" si="20"/>
        <v>INCLUDE</v>
      </c>
      <c r="M291" s="22" t="str">
        <f t="shared" si="21"/>
        <v/>
      </c>
      <c r="N291" s="23" t="s">
        <v>1968</v>
      </c>
      <c r="O291" s="23" t="s">
        <v>1968</v>
      </c>
      <c r="P291" s="24" t="s">
        <v>1968</v>
      </c>
      <c r="Q291" s="24" t="s">
        <v>1968</v>
      </c>
      <c r="R291" s="24" t="s">
        <v>1968</v>
      </c>
      <c r="S291" s="22" t="str">
        <f t="shared" si="22"/>
        <v>INCLUDE</v>
      </c>
      <c r="T291" s="22" t="str">
        <f t="shared" si="23"/>
        <v/>
      </c>
      <c r="U291" s="25" t="s">
        <v>2007</v>
      </c>
      <c r="V291" s="25">
        <v>0</v>
      </c>
      <c r="W291" s="25">
        <v>1</v>
      </c>
      <c r="X291" s="25">
        <v>0</v>
      </c>
      <c r="Y291" s="22" t="str">
        <f t="shared" si="24"/>
        <v>Single</v>
      </c>
      <c r="Z291" s="25" t="s">
        <v>1922</v>
      </c>
      <c r="AA291" s="25" t="s">
        <v>1972</v>
      </c>
      <c r="AB291" s="25" t="s">
        <v>2015</v>
      </c>
      <c r="AC291" s="25" t="s">
        <v>1986</v>
      </c>
      <c r="AD291" s="25" t="s">
        <v>1975</v>
      </c>
      <c r="AE291" s="25">
        <v>3</v>
      </c>
      <c r="AF291" s="25" t="s">
        <v>1988</v>
      </c>
      <c r="AG291" s="9" t="s">
        <v>2891</v>
      </c>
      <c r="AH291" s="29" t="s">
        <v>2892</v>
      </c>
      <c r="AI291" s="29" t="s">
        <v>2893</v>
      </c>
      <c r="AJ291" t="s">
        <v>2007</v>
      </c>
      <c r="AK291" t="s">
        <v>2894</v>
      </c>
      <c r="AL291" t="s">
        <v>1978</v>
      </c>
      <c r="AM291" s="50" t="s">
        <v>2098</v>
      </c>
      <c r="AN291" s="51" t="s">
        <v>2895</v>
      </c>
      <c r="AO291" s="55" t="s">
        <v>576</v>
      </c>
    </row>
    <row r="292" spans="1:41" ht="57" hidden="1" customHeight="1" x14ac:dyDescent="0.3">
      <c r="A292" s="20">
        <v>288</v>
      </c>
      <c r="B292" s="8" t="s">
        <v>2896</v>
      </c>
      <c r="C292" s="26">
        <v>2026</v>
      </c>
      <c r="D292" s="8"/>
      <c r="E292" s="8" t="s">
        <v>579</v>
      </c>
      <c r="F292" s="20" t="s">
        <v>1969</v>
      </c>
      <c r="G292" s="21" t="s">
        <v>1979</v>
      </c>
      <c r="H292" s="21" t="s">
        <v>1968</v>
      </c>
      <c r="I292" s="21" t="s">
        <v>1979</v>
      </c>
      <c r="J292" s="21" t="s">
        <v>1968</v>
      </c>
      <c r="K292" s="21" t="s">
        <v>1968</v>
      </c>
      <c r="L292" s="22" t="str">
        <f t="shared" si="20"/>
        <v>EXCLUDE</v>
      </c>
      <c r="M292" s="22" t="str">
        <f t="shared" si="21"/>
        <v>Wrong domain (non-AECO)</v>
      </c>
      <c r="N292" s="23"/>
      <c r="O292" s="23"/>
      <c r="P292" s="24"/>
      <c r="Q292" s="24"/>
      <c r="R292" s="24"/>
      <c r="S292" s="22" t="str">
        <f t="shared" si="22"/>
        <v/>
      </c>
      <c r="T292" s="22" t="str">
        <f t="shared" si="23"/>
        <v/>
      </c>
      <c r="U292" s="25"/>
      <c r="V292" s="25"/>
      <c r="W292" s="25"/>
      <c r="X292" s="25"/>
      <c r="Y292" s="22" t="str">
        <f t="shared" si="24"/>
        <v/>
      </c>
      <c r="Z292" s="25"/>
      <c r="AA292" s="25"/>
      <c r="AB292" s="25"/>
      <c r="AC292" s="25"/>
      <c r="AD292" s="25"/>
      <c r="AE292" s="25"/>
      <c r="AF292" s="25"/>
      <c r="AG292" s="9"/>
      <c r="AH292" s="29"/>
      <c r="AI292" s="29"/>
      <c r="AM292" s="50"/>
      <c r="AN292" s="51" t="s">
        <v>2897</v>
      </c>
      <c r="AO292" s="55" t="s">
        <v>578</v>
      </c>
    </row>
    <row r="293" spans="1:41" ht="57" hidden="1" customHeight="1" x14ac:dyDescent="0.3">
      <c r="A293" s="20">
        <v>289</v>
      </c>
      <c r="B293" s="8" t="s">
        <v>2898</v>
      </c>
      <c r="C293" s="26">
        <v>2025</v>
      </c>
      <c r="D293" s="8"/>
      <c r="E293" s="8" t="s">
        <v>581</v>
      </c>
      <c r="F293" s="20" t="s">
        <v>1969</v>
      </c>
      <c r="G293" s="21" t="s">
        <v>1968</v>
      </c>
      <c r="H293" s="21" t="s">
        <v>1968</v>
      </c>
      <c r="I293" s="21" t="s">
        <v>1968</v>
      </c>
      <c r="J293" s="21" t="s">
        <v>1968</v>
      </c>
      <c r="K293" s="21" t="s">
        <v>1968</v>
      </c>
      <c r="L293" s="22" t="str">
        <f t="shared" si="20"/>
        <v>INCLUDE</v>
      </c>
      <c r="M293" s="22" t="str">
        <f t="shared" si="21"/>
        <v/>
      </c>
      <c r="N293" s="23" t="s">
        <v>1968</v>
      </c>
      <c r="O293" s="23" t="s">
        <v>1968</v>
      </c>
      <c r="P293" s="24" t="s">
        <v>1979</v>
      </c>
      <c r="Q293" s="24" t="s">
        <v>1968</v>
      </c>
      <c r="R293" s="24" t="s">
        <v>1979</v>
      </c>
      <c r="S293" s="22" t="str">
        <f t="shared" si="22"/>
        <v>EXCLUDE</v>
      </c>
      <c r="T293" s="22" t="str">
        <f t="shared" si="23"/>
        <v>Digital Twin mentioned only, not the subject</v>
      </c>
      <c r="U293" s="25"/>
      <c r="V293" s="25"/>
      <c r="W293" s="25"/>
      <c r="X293" s="25"/>
      <c r="Y293" s="22" t="str">
        <f t="shared" si="24"/>
        <v/>
      </c>
      <c r="Z293" s="25"/>
      <c r="AA293" s="25"/>
      <c r="AB293" s="25"/>
      <c r="AC293" s="25"/>
      <c r="AD293" s="25"/>
      <c r="AE293" s="25"/>
      <c r="AF293" s="25"/>
      <c r="AG293" s="9" t="s">
        <v>2899</v>
      </c>
      <c r="AH293" s="29"/>
      <c r="AI293" s="29"/>
      <c r="AM293" s="50"/>
      <c r="AN293" s="51" t="s">
        <v>2900</v>
      </c>
      <c r="AO293" s="55" t="s">
        <v>580</v>
      </c>
    </row>
    <row r="294" spans="1:41" ht="22.95" hidden="1" customHeight="1" x14ac:dyDescent="0.3">
      <c r="A294" s="20">
        <v>290</v>
      </c>
      <c r="B294" s="8" t="s">
        <v>2901</v>
      </c>
      <c r="C294" s="26">
        <v>2026</v>
      </c>
      <c r="D294" s="8"/>
      <c r="E294" s="8" t="s">
        <v>583</v>
      </c>
      <c r="F294" s="20" t="s">
        <v>1969</v>
      </c>
      <c r="G294" s="21" t="s">
        <v>1979</v>
      </c>
      <c r="H294" s="21" t="s">
        <v>1968</v>
      </c>
      <c r="I294" s="21" t="s">
        <v>1979</v>
      </c>
      <c r="J294" s="21" t="s">
        <v>1968</v>
      </c>
      <c r="K294" s="21" t="s">
        <v>1968</v>
      </c>
      <c r="L294" s="22" t="str">
        <f t="shared" si="20"/>
        <v>EXCLUDE</v>
      </c>
      <c r="M294" s="22" t="str">
        <f t="shared" si="21"/>
        <v>Wrong domain (non-AECO)</v>
      </c>
      <c r="N294" s="23"/>
      <c r="O294" s="23"/>
      <c r="P294" s="24"/>
      <c r="Q294" s="24"/>
      <c r="R294" s="24"/>
      <c r="S294" s="22" t="str">
        <f t="shared" si="22"/>
        <v/>
      </c>
      <c r="T294" s="22" t="str">
        <f t="shared" si="23"/>
        <v/>
      </c>
      <c r="U294" s="25"/>
      <c r="V294" s="25"/>
      <c r="W294" s="25"/>
      <c r="X294" s="25"/>
      <c r="Y294" s="22" t="str">
        <f t="shared" si="24"/>
        <v/>
      </c>
      <c r="Z294" s="25"/>
      <c r="AA294" s="25"/>
      <c r="AB294" s="25"/>
      <c r="AC294" s="25"/>
      <c r="AD294" s="25"/>
      <c r="AE294" s="25"/>
      <c r="AF294" s="25"/>
      <c r="AG294" s="9"/>
      <c r="AH294" s="29"/>
      <c r="AI294" s="29"/>
      <c r="AM294" s="50"/>
      <c r="AN294" s="51" t="s">
        <v>2902</v>
      </c>
      <c r="AO294" s="55" t="s">
        <v>582</v>
      </c>
    </row>
    <row r="295" spans="1:41" ht="45.6" hidden="1" customHeight="1" x14ac:dyDescent="0.3">
      <c r="A295" s="20">
        <v>291</v>
      </c>
      <c r="B295" s="8" t="s">
        <v>2903</v>
      </c>
      <c r="C295" s="26">
        <v>2025</v>
      </c>
      <c r="D295" s="8"/>
      <c r="E295" s="8" t="s">
        <v>585</v>
      </c>
      <c r="F295" s="20" t="s">
        <v>1969</v>
      </c>
      <c r="G295" s="21" t="s">
        <v>1979</v>
      </c>
      <c r="H295" s="21" t="s">
        <v>1968</v>
      </c>
      <c r="I295" s="21" t="s">
        <v>1968</v>
      </c>
      <c r="J295" s="21" t="s">
        <v>1968</v>
      </c>
      <c r="K295" s="21" t="s">
        <v>1968</v>
      </c>
      <c r="L295" s="22" t="str">
        <f t="shared" si="20"/>
        <v>EXCLUDE</v>
      </c>
      <c r="M295" s="22" t="str">
        <f t="shared" si="21"/>
        <v>Wrong domain (non-AECO)</v>
      </c>
      <c r="N295" s="23"/>
      <c r="O295" s="23"/>
      <c r="P295" s="24"/>
      <c r="Q295" s="24"/>
      <c r="R295" s="24"/>
      <c r="S295" s="22" t="str">
        <f t="shared" si="22"/>
        <v/>
      </c>
      <c r="T295" s="22" t="str">
        <f t="shared" si="23"/>
        <v/>
      </c>
      <c r="U295" s="25"/>
      <c r="V295" s="25"/>
      <c r="W295" s="25"/>
      <c r="X295" s="25"/>
      <c r="Y295" s="22" t="str">
        <f t="shared" si="24"/>
        <v/>
      </c>
      <c r="Z295" s="25"/>
      <c r="AA295" s="25"/>
      <c r="AB295" s="25"/>
      <c r="AC295" s="25"/>
      <c r="AD295" s="25"/>
      <c r="AE295" s="25"/>
      <c r="AF295" s="25"/>
      <c r="AG295" s="9"/>
      <c r="AH295" s="29"/>
      <c r="AI295" s="29"/>
      <c r="AM295" s="50"/>
      <c r="AN295" s="51" t="s">
        <v>2904</v>
      </c>
      <c r="AO295" s="55" t="s">
        <v>584</v>
      </c>
    </row>
    <row r="296" spans="1:41" ht="91.2" customHeight="1" x14ac:dyDescent="0.3">
      <c r="A296" s="20">
        <v>292</v>
      </c>
      <c r="B296" s="8" t="s">
        <v>2905</v>
      </c>
      <c r="C296" s="26">
        <v>2025</v>
      </c>
      <c r="D296" s="8"/>
      <c r="E296" s="8" t="s">
        <v>587</v>
      </c>
      <c r="F296" s="20" t="s">
        <v>1969</v>
      </c>
      <c r="G296" s="21" t="s">
        <v>1968</v>
      </c>
      <c r="H296" s="21" t="s">
        <v>1968</v>
      </c>
      <c r="I296" s="21" t="s">
        <v>1968</v>
      </c>
      <c r="J296" s="21" t="s">
        <v>1968</v>
      </c>
      <c r="K296" s="21" t="s">
        <v>1968</v>
      </c>
      <c r="L296" s="22" t="str">
        <f t="shared" si="20"/>
        <v>INCLUDE</v>
      </c>
      <c r="M296" s="22" t="str">
        <f t="shared" si="21"/>
        <v/>
      </c>
      <c r="N296" s="23" t="s">
        <v>1968</v>
      </c>
      <c r="O296" s="23" t="s">
        <v>1968</v>
      </c>
      <c r="P296" s="24" t="s">
        <v>1968</v>
      </c>
      <c r="Q296" s="24" t="s">
        <v>1968</v>
      </c>
      <c r="R296" s="24" t="s">
        <v>1968</v>
      </c>
      <c r="S296" s="22" t="str">
        <f t="shared" si="22"/>
        <v>INCLUDE</v>
      </c>
      <c r="T296" s="22" t="str">
        <f t="shared" si="23"/>
        <v/>
      </c>
      <c r="U296" s="25" t="s">
        <v>1982</v>
      </c>
      <c r="V296" s="25">
        <v>0</v>
      </c>
      <c r="W296" s="25">
        <v>0</v>
      </c>
      <c r="X296" s="25">
        <v>1</v>
      </c>
      <c r="Y296" s="22" t="str">
        <f t="shared" si="24"/>
        <v>Single</v>
      </c>
      <c r="Z296" s="25" t="s">
        <v>1922</v>
      </c>
      <c r="AA296" s="25" t="s">
        <v>1972</v>
      </c>
      <c r="AB296" s="25" t="s">
        <v>2002</v>
      </c>
      <c r="AC296" s="25" t="s">
        <v>1986</v>
      </c>
      <c r="AD296" s="25" t="s">
        <v>1987</v>
      </c>
      <c r="AE296" s="25">
        <v>3</v>
      </c>
      <c r="AF296" s="25" t="s">
        <v>2010</v>
      </c>
      <c r="AG296" s="9" t="s">
        <v>2906</v>
      </c>
      <c r="AH296" s="29" t="s">
        <v>2907</v>
      </c>
      <c r="AI296" s="29" t="s">
        <v>2908</v>
      </c>
      <c r="AJ296" t="s">
        <v>2005</v>
      </c>
      <c r="AK296" t="s">
        <v>2909</v>
      </c>
      <c r="AL296" t="s">
        <v>1990</v>
      </c>
      <c r="AM296" s="50"/>
      <c r="AN296" s="51" t="s">
        <v>2910</v>
      </c>
      <c r="AO296" s="55" t="s">
        <v>586</v>
      </c>
    </row>
    <row r="297" spans="1:41" ht="57" hidden="1" customHeight="1" x14ac:dyDescent="0.3">
      <c r="A297" s="20">
        <v>293</v>
      </c>
      <c r="B297" s="8" t="s">
        <v>2911</v>
      </c>
      <c r="C297" s="26">
        <v>2026</v>
      </c>
      <c r="D297" s="8"/>
      <c r="E297" s="8" t="s">
        <v>589</v>
      </c>
      <c r="F297" s="20" t="s">
        <v>1969</v>
      </c>
      <c r="G297" s="21" t="s">
        <v>1968</v>
      </c>
      <c r="H297" s="21" t="s">
        <v>1968</v>
      </c>
      <c r="I297" s="21" t="s">
        <v>1979</v>
      </c>
      <c r="J297" s="21" t="s">
        <v>1968</v>
      </c>
      <c r="K297" s="21" t="s">
        <v>1968</v>
      </c>
      <c r="L297" s="22" t="str">
        <f t="shared" si="20"/>
        <v>EXCLUDE</v>
      </c>
      <c r="M297" s="22" t="str">
        <f t="shared" si="21"/>
        <v>No Design for Safety / PtD focus</v>
      </c>
      <c r="N297" s="23"/>
      <c r="O297" s="23"/>
      <c r="P297" s="24"/>
      <c r="Q297" s="24"/>
      <c r="R297" s="24"/>
      <c r="S297" s="22" t="str">
        <f t="shared" si="22"/>
        <v/>
      </c>
      <c r="T297" s="22" t="str">
        <f t="shared" si="23"/>
        <v/>
      </c>
      <c r="U297" s="25"/>
      <c r="V297" s="25"/>
      <c r="W297" s="25"/>
      <c r="X297" s="25"/>
      <c r="Y297" s="22" t="str">
        <f t="shared" si="24"/>
        <v/>
      </c>
      <c r="Z297" s="25"/>
      <c r="AA297" s="25"/>
      <c r="AB297" s="25"/>
      <c r="AC297" s="25"/>
      <c r="AD297" s="25"/>
      <c r="AE297" s="25"/>
      <c r="AF297" s="25"/>
      <c r="AG297" s="9"/>
      <c r="AH297" s="29"/>
      <c r="AI297" s="29"/>
      <c r="AM297" s="50"/>
      <c r="AN297" s="51" t="s">
        <v>2912</v>
      </c>
      <c r="AO297" s="55" t="s">
        <v>588</v>
      </c>
    </row>
    <row r="298" spans="1:41" ht="68.400000000000006" hidden="1" customHeight="1" x14ac:dyDescent="0.3">
      <c r="A298" s="20">
        <v>294</v>
      </c>
      <c r="B298" s="8" t="s">
        <v>2913</v>
      </c>
      <c r="C298" s="26">
        <v>2025</v>
      </c>
      <c r="D298" s="8"/>
      <c r="E298" s="8" t="s">
        <v>591</v>
      </c>
      <c r="F298" s="20" t="s">
        <v>1969</v>
      </c>
      <c r="G298" s="21" t="s">
        <v>1968</v>
      </c>
      <c r="H298" s="21" t="s">
        <v>1979</v>
      </c>
      <c r="I298" s="21" t="s">
        <v>1979</v>
      </c>
      <c r="J298" s="21" t="s">
        <v>1968</v>
      </c>
      <c r="K298" s="21" t="s">
        <v>1968</v>
      </c>
      <c r="L298" s="22" t="str">
        <f t="shared" si="20"/>
        <v>EXCLUDE</v>
      </c>
      <c r="M298" s="22" t="str">
        <f t="shared" si="21"/>
        <v>Digital Twin not core / buzzword</v>
      </c>
      <c r="N298" s="23"/>
      <c r="O298" s="23"/>
      <c r="P298" s="24"/>
      <c r="Q298" s="24"/>
      <c r="R298" s="24"/>
      <c r="S298" s="22" t="str">
        <f t="shared" si="22"/>
        <v/>
      </c>
      <c r="T298" s="22" t="str">
        <f t="shared" si="23"/>
        <v/>
      </c>
      <c r="U298" s="25"/>
      <c r="V298" s="25"/>
      <c r="W298" s="25"/>
      <c r="X298" s="25"/>
      <c r="Y298" s="22" t="str">
        <f t="shared" si="24"/>
        <v/>
      </c>
      <c r="Z298" s="25"/>
      <c r="AA298" s="25"/>
      <c r="AB298" s="25"/>
      <c r="AC298" s="25"/>
      <c r="AD298" s="25"/>
      <c r="AE298" s="25"/>
      <c r="AF298" s="25"/>
      <c r="AG298" s="9"/>
      <c r="AH298" s="29"/>
      <c r="AI298" s="29"/>
      <c r="AM298" s="50"/>
      <c r="AN298" s="51" t="s">
        <v>2914</v>
      </c>
      <c r="AO298" s="55" t="s">
        <v>590</v>
      </c>
    </row>
    <row r="299" spans="1:41" ht="57" hidden="1" customHeight="1" x14ac:dyDescent="0.3">
      <c r="A299" s="20">
        <v>295</v>
      </c>
      <c r="B299" s="8" t="s">
        <v>2915</v>
      </c>
      <c r="C299" s="26">
        <v>2026</v>
      </c>
      <c r="D299" s="8"/>
      <c r="E299" s="8" t="s">
        <v>593</v>
      </c>
      <c r="F299" s="20" t="s">
        <v>1969</v>
      </c>
      <c r="G299" s="21" t="s">
        <v>1968</v>
      </c>
      <c r="H299" s="21" t="s">
        <v>1979</v>
      </c>
      <c r="I299" s="21" t="s">
        <v>1968</v>
      </c>
      <c r="J299" s="21" t="s">
        <v>1968</v>
      </c>
      <c r="K299" s="21" t="s">
        <v>1968</v>
      </c>
      <c r="L299" s="22" t="str">
        <f t="shared" si="20"/>
        <v>EXCLUDE</v>
      </c>
      <c r="M299" s="22" t="str">
        <f t="shared" si="21"/>
        <v>Digital Twin not core / buzzword</v>
      </c>
      <c r="N299" s="23"/>
      <c r="O299" s="23"/>
      <c r="P299" s="24"/>
      <c r="Q299" s="24"/>
      <c r="R299" s="24"/>
      <c r="S299" s="22" t="str">
        <f t="shared" si="22"/>
        <v/>
      </c>
      <c r="T299" s="22" t="str">
        <f t="shared" si="23"/>
        <v/>
      </c>
      <c r="U299" s="25"/>
      <c r="V299" s="25"/>
      <c r="W299" s="25"/>
      <c r="X299" s="25"/>
      <c r="Y299" s="22" t="str">
        <f t="shared" si="24"/>
        <v/>
      </c>
      <c r="Z299" s="25"/>
      <c r="AA299" s="25"/>
      <c r="AB299" s="25"/>
      <c r="AC299" s="25"/>
      <c r="AD299" s="25"/>
      <c r="AE299" s="25"/>
      <c r="AF299" s="25"/>
      <c r="AG299" s="9"/>
      <c r="AH299" s="29"/>
      <c r="AI299" s="29"/>
      <c r="AM299" s="50"/>
      <c r="AN299" s="51" t="s">
        <v>2916</v>
      </c>
      <c r="AO299" s="55" t="s">
        <v>592</v>
      </c>
    </row>
    <row r="300" spans="1:41" ht="45.6" hidden="1" customHeight="1" x14ac:dyDescent="0.3">
      <c r="A300" s="20">
        <v>296</v>
      </c>
      <c r="B300" s="8" t="s">
        <v>2917</v>
      </c>
      <c r="C300" s="26">
        <v>2025</v>
      </c>
      <c r="D300" s="8"/>
      <c r="E300" s="8" t="s">
        <v>595</v>
      </c>
      <c r="F300" s="20" t="s">
        <v>1969</v>
      </c>
      <c r="G300" s="21" t="s">
        <v>1968</v>
      </c>
      <c r="H300" s="21" t="s">
        <v>1979</v>
      </c>
      <c r="I300" s="21" t="s">
        <v>1968</v>
      </c>
      <c r="J300" s="21" t="s">
        <v>1968</v>
      </c>
      <c r="K300" s="21" t="s">
        <v>1968</v>
      </c>
      <c r="L300" s="22" t="str">
        <f t="shared" si="20"/>
        <v>EXCLUDE</v>
      </c>
      <c r="M300" s="22" t="str">
        <f t="shared" si="21"/>
        <v>Digital Twin not core / buzzword</v>
      </c>
      <c r="N300" s="23"/>
      <c r="O300" s="23"/>
      <c r="P300" s="24"/>
      <c r="Q300" s="24"/>
      <c r="R300" s="24"/>
      <c r="S300" s="22" t="str">
        <f t="shared" si="22"/>
        <v/>
      </c>
      <c r="T300" s="22" t="str">
        <f t="shared" si="23"/>
        <v/>
      </c>
      <c r="U300" s="25"/>
      <c r="V300" s="25"/>
      <c r="W300" s="25"/>
      <c r="X300" s="25"/>
      <c r="Y300" s="22" t="str">
        <f t="shared" si="24"/>
        <v/>
      </c>
      <c r="Z300" s="25"/>
      <c r="AA300" s="25"/>
      <c r="AB300" s="25"/>
      <c r="AC300" s="25"/>
      <c r="AD300" s="25"/>
      <c r="AE300" s="25"/>
      <c r="AF300" s="25"/>
      <c r="AG300" s="9"/>
      <c r="AH300" s="29"/>
      <c r="AI300" s="29"/>
      <c r="AM300" s="50"/>
      <c r="AN300" s="51" t="s">
        <v>2918</v>
      </c>
      <c r="AO300" s="55" t="s">
        <v>594</v>
      </c>
    </row>
    <row r="301" spans="1:41" ht="79.95" customHeight="1" x14ac:dyDescent="0.3">
      <c r="A301" s="20">
        <v>297</v>
      </c>
      <c r="B301" s="8" t="s">
        <v>2919</v>
      </c>
      <c r="C301" s="26">
        <v>2025</v>
      </c>
      <c r="D301" s="8"/>
      <c r="E301" s="8" t="s">
        <v>597</v>
      </c>
      <c r="F301" s="20" t="s">
        <v>1969</v>
      </c>
      <c r="G301" s="21" t="s">
        <v>1979</v>
      </c>
      <c r="H301" s="21" t="s">
        <v>1968</v>
      </c>
      <c r="I301" s="21" t="s">
        <v>1979</v>
      </c>
      <c r="J301" s="21" t="s">
        <v>1968</v>
      </c>
      <c r="K301" s="21" t="s">
        <v>1968</v>
      </c>
      <c r="L301" s="22" t="str">
        <f t="shared" si="20"/>
        <v>EXCLUDE</v>
      </c>
      <c r="M301" s="22" t="str">
        <f t="shared" si="21"/>
        <v>Wrong domain (non-AECO)</v>
      </c>
      <c r="N301" s="23"/>
      <c r="O301" s="23"/>
      <c r="P301" s="24"/>
      <c r="Q301" s="24"/>
      <c r="R301" s="24"/>
      <c r="S301" s="22" t="str">
        <f t="shared" si="22"/>
        <v/>
      </c>
      <c r="T301" s="22" t="str">
        <f t="shared" si="23"/>
        <v/>
      </c>
      <c r="U301" s="25"/>
      <c r="V301" s="25"/>
      <c r="W301" s="25"/>
      <c r="X301" s="25"/>
      <c r="Y301" s="22" t="str">
        <f t="shared" si="24"/>
        <v/>
      </c>
      <c r="Z301" s="25"/>
      <c r="AA301" s="25"/>
      <c r="AB301" s="25"/>
      <c r="AC301" s="25"/>
      <c r="AD301" s="25"/>
      <c r="AE301" s="25"/>
      <c r="AF301" s="25"/>
      <c r="AG301" s="9"/>
      <c r="AH301" s="29"/>
      <c r="AI301" s="29"/>
      <c r="AM301" s="50"/>
      <c r="AN301" s="51" t="s">
        <v>2920</v>
      </c>
      <c r="AO301" s="55" t="s">
        <v>596</v>
      </c>
    </row>
    <row r="302" spans="1:41" ht="102.6" customHeight="1" x14ac:dyDescent="0.3">
      <c r="A302" s="20">
        <v>298</v>
      </c>
      <c r="B302" s="8" t="s">
        <v>2921</v>
      </c>
      <c r="C302" s="26">
        <v>2025</v>
      </c>
      <c r="D302" s="8"/>
      <c r="E302" s="8" t="s">
        <v>599</v>
      </c>
      <c r="F302" s="20" t="s">
        <v>1969</v>
      </c>
      <c r="G302" s="21" t="s">
        <v>1968</v>
      </c>
      <c r="H302" s="21" t="s">
        <v>1979</v>
      </c>
      <c r="I302" s="21" t="s">
        <v>1968</v>
      </c>
      <c r="J302" s="21" t="s">
        <v>1968</v>
      </c>
      <c r="K302" s="21" t="s">
        <v>1968</v>
      </c>
      <c r="L302" s="22" t="str">
        <f t="shared" si="20"/>
        <v>EXCLUDE</v>
      </c>
      <c r="M302" s="22" t="str">
        <f t="shared" si="21"/>
        <v>Digital Twin not core / buzzword</v>
      </c>
      <c r="N302" s="23"/>
      <c r="O302" s="23"/>
      <c r="P302" s="24"/>
      <c r="Q302" s="24"/>
      <c r="R302" s="24"/>
      <c r="S302" s="22" t="str">
        <f t="shared" si="22"/>
        <v/>
      </c>
      <c r="T302" s="22" t="str">
        <f t="shared" si="23"/>
        <v/>
      </c>
      <c r="U302" s="25"/>
      <c r="V302" s="25"/>
      <c r="W302" s="25"/>
      <c r="X302" s="25"/>
      <c r="Y302" s="22" t="str">
        <f t="shared" si="24"/>
        <v/>
      </c>
      <c r="Z302" s="25"/>
      <c r="AA302" s="25"/>
      <c r="AB302" s="25"/>
      <c r="AC302" s="25"/>
      <c r="AD302" s="25"/>
      <c r="AE302" s="25"/>
      <c r="AF302" s="25"/>
      <c r="AG302" s="9"/>
      <c r="AH302" s="29"/>
      <c r="AI302" s="29"/>
      <c r="AM302" s="50"/>
      <c r="AN302" s="51" t="s">
        <v>2922</v>
      </c>
      <c r="AO302" s="55" t="s">
        <v>598</v>
      </c>
    </row>
    <row r="303" spans="1:41" ht="102.6" customHeight="1" x14ac:dyDescent="0.3">
      <c r="A303" s="20">
        <v>299</v>
      </c>
      <c r="B303" s="8" t="s">
        <v>2525</v>
      </c>
      <c r="C303" s="26">
        <v>2025</v>
      </c>
      <c r="D303" s="8"/>
      <c r="E303" s="8" t="s">
        <v>601</v>
      </c>
      <c r="F303" s="20" t="s">
        <v>1969</v>
      </c>
      <c r="G303" s="21" t="s">
        <v>1979</v>
      </c>
      <c r="H303" s="21" t="s">
        <v>1968</v>
      </c>
      <c r="I303" s="21" t="s">
        <v>1979</v>
      </c>
      <c r="J303" s="21" t="s">
        <v>1968</v>
      </c>
      <c r="K303" s="21" t="s">
        <v>1968</v>
      </c>
      <c r="L303" s="22" t="str">
        <f t="shared" si="20"/>
        <v>EXCLUDE</v>
      </c>
      <c r="M303" s="22" t="str">
        <f t="shared" si="21"/>
        <v>Wrong domain (non-AECO)</v>
      </c>
      <c r="N303" s="23"/>
      <c r="O303" s="23"/>
      <c r="P303" s="24"/>
      <c r="Q303" s="24"/>
      <c r="R303" s="24"/>
      <c r="S303" s="22" t="str">
        <f t="shared" si="22"/>
        <v/>
      </c>
      <c r="T303" s="22" t="str">
        <f t="shared" si="23"/>
        <v/>
      </c>
      <c r="U303" s="25"/>
      <c r="V303" s="25"/>
      <c r="W303" s="25"/>
      <c r="X303" s="25"/>
      <c r="Y303" s="22" t="str">
        <f t="shared" si="24"/>
        <v/>
      </c>
      <c r="Z303" s="25"/>
      <c r="AA303" s="25"/>
      <c r="AB303" s="25"/>
      <c r="AC303" s="25"/>
      <c r="AD303" s="25"/>
      <c r="AE303" s="25"/>
      <c r="AF303" s="25"/>
      <c r="AG303" s="9"/>
      <c r="AH303" s="29"/>
      <c r="AI303" s="29"/>
      <c r="AM303" s="50"/>
      <c r="AN303" s="51" t="s">
        <v>2923</v>
      </c>
      <c r="AO303" s="55" t="s">
        <v>600</v>
      </c>
    </row>
    <row r="304" spans="1:41" ht="100.95" customHeight="1" x14ac:dyDescent="0.3">
      <c r="A304" s="20">
        <v>300</v>
      </c>
      <c r="B304" s="8" t="s">
        <v>2924</v>
      </c>
      <c r="C304" s="26">
        <v>2026</v>
      </c>
      <c r="D304" s="8"/>
      <c r="E304" s="8" t="s">
        <v>603</v>
      </c>
      <c r="F304" s="20" t="s">
        <v>1969</v>
      </c>
      <c r="G304" s="21" t="s">
        <v>1979</v>
      </c>
      <c r="H304" s="21" t="s">
        <v>1968</v>
      </c>
      <c r="I304" s="21" t="s">
        <v>1968</v>
      </c>
      <c r="J304" s="21" t="s">
        <v>1968</v>
      </c>
      <c r="K304" s="21" t="s">
        <v>1968</v>
      </c>
      <c r="L304" s="22" t="str">
        <f t="shared" si="20"/>
        <v>EXCLUDE</v>
      </c>
      <c r="M304" s="22" t="str">
        <f t="shared" si="21"/>
        <v>Wrong domain (non-AECO)</v>
      </c>
      <c r="N304" s="23"/>
      <c r="O304" s="23"/>
      <c r="P304" s="24"/>
      <c r="Q304" s="24"/>
      <c r="R304" s="24"/>
      <c r="S304" s="22" t="str">
        <f t="shared" si="22"/>
        <v/>
      </c>
      <c r="T304" s="22" t="str">
        <f t="shared" si="23"/>
        <v/>
      </c>
      <c r="U304" s="25"/>
      <c r="V304" s="25"/>
      <c r="W304" s="25"/>
      <c r="X304" s="25"/>
      <c r="Y304" s="22" t="str">
        <f t="shared" si="24"/>
        <v/>
      </c>
      <c r="Z304" s="25"/>
      <c r="AA304" s="25"/>
      <c r="AB304" s="25"/>
      <c r="AC304" s="25"/>
      <c r="AD304" s="25"/>
      <c r="AE304" s="25"/>
      <c r="AF304" s="25"/>
      <c r="AG304" s="9"/>
      <c r="AH304" s="29"/>
      <c r="AI304" s="29"/>
      <c r="AM304" s="50"/>
      <c r="AN304" s="51" t="s">
        <v>2925</v>
      </c>
      <c r="AO304" s="55" t="s">
        <v>602</v>
      </c>
    </row>
    <row r="305" spans="1:41" ht="102.6" hidden="1" customHeight="1" x14ac:dyDescent="0.3">
      <c r="A305" s="20">
        <v>301</v>
      </c>
      <c r="B305" s="8" t="s">
        <v>2926</v>
      </c>
      <c r="C305" s="26">
        <v>2026</v>
      </c>
      <c r="D305" s="8"/>
      <c r="E305" s="8" t="s">
        <v>605</v>
      </c>
      <c r="F305" s="20" t="s">
        <v>1969</v>
      </c>
      <c r="G305" s="21" t="s">
        <v>1979</v>
      </c>
      <c r="H305" s="21" t="s">
        <v>1979</v>
      </c>
      <c r="I305" s="21" t="s">
        <v>1979</v>
      </c>
      <c r="J305" s="21" t="s">
        <v>1968</v>
      </c>
      <c r="K305" s="21" t="s">
        <v>1968</v>
      </c>
      <c r="L305" s="22" t="str">
        <f t="shared" si="20"/>
        <v>EXCLUDE</v>
      </c>
      <c r="M305" s="22" t="str">
        <f t="shared" si="21"/>
        <v>Wrong domain (non-AECO)</v>
      </c>
      <c r="N305" s="23"/>
      <c r="O305" s="23"/>
      <c r="P305" s="24"/>
      <c r="Q305" s="24"/>
      <c r="R305" s="24"/>
      <c r="S305" s="22" t="str">
        <f t="shared" si="22"/>
        <v/>
      </c>
      <c r="T305" s="22" t="str">
        <f t="shared" si="23"/>
        <v/>
      </c>
      <c r="U305" s="25"/>
      <c r="V305" s="25"/>
      <c r="W305" s="25"/>
      <c r="X305" s="25"/>
      <c r="Y305" s="22" t="str">
        <f t="shared" si="24"/>
        <v/>
      </c>
      <c r="Z305" s="25"/>
      <c r="AA305" s="25"/>
      <c r="AB305" s="25"/>
      <c r="AC305" s="25"/>
      <c r="AD305" s="25"/>
      <c r="AE305" s="25"/>
      <c r="AF305" s="25"/>
      <c r="AG305" s="9"/>
      <c r="AH305" s="29"/>
      <c r="AI305" s="29"/>
      <c r="AM305" s="50"/>
      <c r="AN305" s="51" t="s">
        <v>2927</v>
      </c>
      <c r="AO305" s="55" t="s">
        <v>604</v>
      </c>
    </row>
    <row r="306" spans="1:41" ht="345.6" customHeight="1" x14ac:dyDescent="0.3">
      <c r="A306" s="20">
        <v>302</v>
      </c>
      <c r="B306" s="8" t="s">
        <v>2928</v>
      </c>
      <c r="C306" s="26">
        <v>2026</v>
      </c>
      <c r="D306" s="8"/>
      <c r="E306" s="8" t="s">
        <v>607</v>
      </c>
      <c r="F306" s="20" t="s">
        <v>1969</v>
      </c>
      <c r="G306" s="21" t="s">
        <v>1968</v>
      </c>
      <c r="H306" s="21" t="s">
        <v>1979</v>
      </c>
      <c r="I306" s="21" t="s">
        <v>1968</v>
      </c>
      <c r="J306" s="21" t="s">
        <v>1968</v>
      </c>
      <c r="K306" s="21" t="s">
        <v>1968</v>
      </c>
      <c r="L306" s="22" t="str">
        <f t="shared" si="20"/>
        <v>EXCLUDE</v>
      </c>
      <c r="M306" s="22" t="str">
        <f t="shared" si="21"/>
        <v>Digital Twin not core / buzzword</v>
      </c>
      <c r="N306" s="23"/>
      <c r="O306" s="23"/>
      <c r="P306" s="24"/>
      <c r="Q306" s="24"/>
      <c r="R306" s="24"/>
      <c r="S306" s="22" t="str">
        <f t="shared" si="22"/>
        <v/>
      </c>
      <c r="T306" s="22" t="str">
        <f t="shared" si="23"/>
        <v/>
      </c>
      <c r="U306" s="25"/>
      <c r="V306" s="25"/>
      <c r="W306" s="25"/>
      <c r="X306" s="25"/>
      <c r="Y306" s="22" t="str">
        <f t="shared" si="24"/>
        <v/>
      </c>
      <c r="Z306" s="25"/>
      <c r="AA306" s="25"/>
      <c r="AB306" s="25"/>
      <c r="AC306" s="25"/>
      <c r="AD306" s="25"/>
      <c r="AE306" s="25"/>
      <c r="AF306" s="25"/>
      <c r="AG306" s="9"/>
      <c r="AH306" s="29"/>
      <c r="AI306" s="29"/>
      <c r="AM306" s="50"/>
      <c r="AN306" s="51" t="s">
        <v>2929</v>
      </c>
      <c r="AO306" s="55" t="s">
        <v>606</v>
      </c>
    </row>
    <row r="307" spans="1:41" ht="57" hidden="1" customHeight="1" x14ac:dyDescent="0.3">
      <c r="A307" s="20">
        <v>303</v>
      </c>
      <c r="B307" s="8" t="s">
        <v>2930</v>
      </c>
      <c r="C307" s="26">
        <v>2026</v>
      </c>
      <c r="D307" s="8"/>
      <c r="E307" s="8" t="s">
        <v>609</v>
      </c>
      <c r="F307" s="20" t="s">
        <v>1969</v>
      </c>
      <c r="G307" s="21" t="s">
        <v>1968</v>
      </c>
      <c r="H307" s="21" t="s">
        <v>1968</v>
      </c>
      <c r="I307" s="21" t="s">
        <v>1968</v>
      </c>
      <c r="J307" s="21" t="s">
        <v>1968</v>
      </c>
      <c r="K307" s="21" t="s">
        <v>1968</v>
      </c>
      <c r="L307" s="22" t="str">
        <f t="shared" si="20"/>
        <v>INCLUDE</v>
      </c>
      <c r="M307" s="22" t="str">
        <f t="shared" si="21"/>
        <v/>
      </c>
      <c r="N307" s="23" t="s">
        <v>1968</v>
      </c>
      <c r="O307" s="23" t="s">
        <v>1968</v>
      </c>
      <c r="P307" s="24" t="s">
        <v>1968</v>
      </c>
      <c r="Q307" s="24" t="s">
        <v>1968</v>
      </c>
      <c r="R307" s="24" t="s">
        <v>1968</v>
      </c>
      <c r="S307" s="22" t="str">
        <f t="shared" si="22"/>
        <v>INCLUDE</v>
      </c>
      <c r="T307" s="22" t="str">
        <f t="shared" si="23"/>
        <v/>
      </c>
      <c r="U307" s="25" t="s">
        <v>1992</v>
      </c>
      <c r="V307" s="25">
        <v>0</v>
      </c>
      <c r="W307" s="25">
        <v>1</v>
      </c>
      <c r="X307" s="25">
        <v>0</v>
      </c>
      <c r="Y307" s="22" t="str">
        <f t="shared" si="24"/>
        <v>Single</v>
      </c>
      <c r="Z307" s="25" t="s">
        <v>1922</v>
      </c>
      <c r="AA307" s="25" t="s">
        <v>1984</v>
      </c>
      <c r="AB307" s="25" t="s">
        <v>2018</v>
      </c>
      <c r="AC307" s="25" t="s">
        <v>1986</v>
      </c>
      <c r="AD307" s="25" t="s">
        <v>2003</v>
      </c>
      <c r="AE307" s="25">
        <v>4</v>
      </c>
      <c r="AF307" s="25" t="s">
        <v>2004</v>
      </c>
      <c r="AG307" s="9" t="s">
        <v>2931</v>
      </c>
      <c r="AH307" s="29" t="s">
        <v>2932</v>
      </c>
      <c r="AI307" s="29" t="s">
        <v>2933</v>
      </c>
      <c r="AJ307" t="s">
        <v>1997</v>
      </c>
      <c r="AK307" t="s">
        <v>2934</v>
      </c>
      <c r="AL307" t="s">
        <v>1990</v>
      </c>
      <c r="AM307" s="50"/>
      <c r="AN307" s="51" t="s">
        <v>2935</v>
      </c>
      <c r="AO307" s="55" t="s">
        <v>608</v>
      </c>
    </row>
    <row r="308" spans="1:41" ht="45.6" hidden="1" customHeight="1" x14ac:dyDescent="0.3">
      <c r="A308" s="20">
        <v>304</v>
      </c>
      <c r="B308" s="8" t="s">
        <v>2936</v>
      </c>
      <c r="C308" s="26">
        <v>2026</v>
      </c>
      <c r="D308" s="8"/>
      <c r="E308" s="8" t="s">
        <v>611</v>
      </c>
      <c r="F308" s="20" t="s">
        <v>1969</v>
      </c>
      <c r="G308" s="21" t="s">
        <v>1968</v>
      </c>
      <c r="H308" s="21" t="s">
        <v>1968</v>
      </c>
      <c r="I308" s="21" t="s">
        <v>1968</v>
      </c>
      <c r="J308" s="21" t="s">
        <v>1968</v>
      </c>
      <c r="K308" s="21" t="s">
        <v>1968</v>
      </c>
      <c r="L308" s="22" t="str">
        <f t="shared" si="20"/>
        <v>INCLUDE</v>
      </c>
      <c r="M308" s="22" t="str">
        <f t="shared" si="21"/>
        <v/>
      </c>
      <c r="N308" s="23" t="s">
        <v>1968</v>
      </c>
      <c r="O308" s="23" t="s">
        <v>1968</v>
      </c>
      <c r="P308" s="24" t="s">
        <v>1968</v>
      </c>
      <c r="Q308" s="24" t="s">
        <v>1968</v>
      </c>
      <c r="R308" s="24" t="s">
        <v>1968</v>
      </c>
      <c r="S308" s="22" t="str">
        <f t="shared" si="22"/>
        <v>INCLUDE</v>
      </c>
      <c r="T308" s="22" t="str">
        <f t="shared" si="23"/>
        <v/>
      </c>
      <c r="U308" s="25" t="s">
        <v>1982</v>
      </c>
      <c r="V308" s="25">
        <v>0</v>
      </c>
      <c r="W308" s="25">
        <v>0</v>
      </c>
      <c r="X308" s="25">
        <v>1</v>
      </c>
      <c r="Y308" s="22" t="str">
        <f t="shared" si="24"/>
        <v>Single</v>
      </c>
      <c r="Z308" s="25" t="s">
        <v>1922</v>
      </c>
      <c r="AA308" s="25" t="s">
        <v>1993</v>
      </c>
      <c r="AB308" s="25" t="s">
        <v>2011</v>
      </c>
      <c r="AC308" s="25" t="s">
        <v>1986</v>
      </c>
      <c r="AD308" s="25" t="s">
        <v>2003</v>
      </c>
      <c r="AE308" s="25">
        <v>4</v>
      </c>
      <c r="AF308" s="25" t="s">
        <v>2010</v>
      </c>
      <c r="AG308" s="9" t="s">
        <v>2937</v>
      </c>
      <c r="AH308" s="29" t="s">
        <v>2938</v>
      </c>
      <c r="AI308" s="29" t="s">
        <v>2939</v>
      </c>
      <c r="AJ308" t="s">
        <v>2005</v>
      </c>
      <c r="AK308" t="s">
        <v>2940</v>
      </c>
      <c r="AL308" t="s">
        <v>1978</v>
      </c>
      <c r="AM308" s="50"/>
      <c r="AN308" s="51" t="s">
        <v>2941</v>
      </c>
      <c r="AO308" s="55" t="s">
        <v>610</v>
      </c>
    </row>
    <row r="309" spans="1:41" ht="68.400000000000006" hidden="1" customHeight="1" x14ac:dyDescent="0.3">
      <c r="A309" s="20">
        <v>305</v>
      </c>
      <c r="B309" s="8" t="s">
        <v>2942</v>
      </c>
      <c r="C309" s="26">
        <v>2025</v>
      </c>
      <c r="D309" s="8"/>
      <c r="E309" s="8" t="s">
        <v>612</v>
      </c>
      <c r="F309" s="20" t="s">
        <v>1969</v>
      </c>
      <c r="G309" s="21" t="s">
        <v>1968</v>
      </c>
      <c r="H309" s="21" t="s">
        <v>1968</v>
      </c>
      <c r="I309" s="21" t="s">
        <v>1968</v>
      </c>
      <c r="J309" s="21" t="s">
        <v>1979</v>
      </c>
      <c r="K309" s="21" t="s">
        <v>1968</v>
      </c>
      <c r="L309" s="22" t="str">
        <f t="shared" si="20"/>
        <v>EXCLUDE</v>
      </c>
      <c r="M309" s="22" t="str">
        <f t="shared" si="21"/>
        <v>Wrong publication type</v>
      </c>
      <c r="N309" s="23"/>
      <c r="O309" s="23"/>
      <c r="P309" s="24"/>
      <c r="Q309" s="24"/>
      <c r="R309" s="24"/>
      <c r="S309" s="22" t="str">
        <f t="shared" si="22"/>
        <v/>
      </c>
      <c r="T309" s="22" t="str">
        <f t="shared" si="23"/>
        <v/>
      </c>
      <c r="U309" s="25"/>
      <c r="V309" s="25"/>
      <c r="W309" s="25"/>
      <c r="X309" s="25"/>
      <c r="Y309" s="22" t="str">
        <f t="shared" si="24"/>
        <v/>
      </c>
      <c r="Z309" s="25"/>
      <c r="AA309" s="25"/>
      <c r="AB309" s="25"/>
      <c r="AC309" s="25"/>
      <c r="AD309" s="25"/>
      <c r="AE309" s="25"/>
      <c r="AF309" s="25"/>
      <c r="AG309" s="9"/>
      <c r="AH309" s="29"/>
      <c r="AI309" s="29"/>
      <c r="AM309" s="50"/>
      <c r="AN309" s="51" t="s">
        <v>2943</v>
      </c>
      <c r="AO309" s="55" t="s">
        <v>504</v>
      </c>
    </row>
    <row r="310" spans="1:41" ht="45.6" hidden="1" customHeight="1" x14ac:dyDescent="0.3">
      <c r="A310" s="20">
        <v>306</v>
      </c>
      <c r="B310" s="8" t="s">
        <v>2944</v>
      </c>
      <c r="C310" s="26">
        <v>2025</v>
      </c>
      <c r="D310" s="8"/>
      <c r="E310" s="8" t="s">
        <v>614</v>
      </c>
      <c r="F310" s="20" t="s">
        <v>1969</v>
      </c>
      <c r="G310" s="21" t="s">
        <v>1968</v>
      </c>
      <c r="H310" s="21" t="s">
        <v>1979</v>
      </c>
      <c r="I310" s="21" t="s">
        <v>1968</v>
      </c>
      <c r="J310" s="21" t="s">
        <v>1968</v>
      </c>
      <c r="K310" s="21" t="s">
        <v>1968</v>
      </c>
      <c r="L310" s="22" t="str">
        <f t="shared" si="20"/>
        <v>EXCLUDE</v>
      </c>
      <c r="M310" s="22" t="str">
        <f t="shared" si="21"/>
        <v>Digital Twin not core / buzzword</v>
      </c>
      <c r="N310" s="23"/>
      <c r="O310" s="23"/>
      <c r="P310" s="24"/>
      <c r="Q310" s="24"/>
      <c r="R310" s="24"/>
      <c r="S310" s="22" t="str">
        <f t="shared" si="22"/>
        <v/>
      </c>
      <c r="T310" s="22" t="str">
        <f t="shared" si="23"/>
        <v/>
      </c>
      <c r="U310" s="25"/>
      <c r="V310" s="25"/>
      <c r="W310" s="25"/>
      <c r="X310" s="25"/>
      <c r="Y310" s="22" t="str">
        <f t="shared" si="24"/>
        <v/>
      </c>
      <c r="Z310" s="25"/>
      <c r="AA310" s="25"/>
      <c r="AB310" s="25"/>
      <c r="AC310" s="25"/>
      <c r="AD310" s="25"/>
      <c r="AE310" s="25"/>
      <c r="AF310" s="25"/>
      <c r="AG310" s="9"/>
      <c r="AH310" s="29"/>
      <c r="AI310" s="29"/>
      <c r="AM310" s="50"/>
      <c r="AN310" s="51" t="s">
        <v>2945</v>
      </c>
      <c r="AO310" s="55" t="s">
        <v>613</v>
      </c>
    </row>
    <row r="311" spans="1:41" ht="45.6" hidden="1" customHeight="1" x14ac:dyDescent="0.3">
      <c r="A311" s="20">
        <v>307</v>
      </c>
      <c r="B311" s="8" t="s">
        <v>2946</v>
      </c>
      <c r="C311" s="26">
        <v>2025</v>
      </c>
      <c r="D311" s="8"/>
      <c r="E311" s="8" t="s">
        <v>616</v>
      </c>
      <c r="F311" s="20" t="s">
        <v>1969</v>
      </c>
      <c r="G311" s="21" t="s">
        <v>1968</v>
      </c>
      <c r="H311" s="21" t="s">
        <v>1968</v>
      </c>
      <c r="I311" s="21" t="s">
        <v>1979</v>
      </c>
      <c r="J311" s="21" t="s">
        <v>1968</v>
      </c>
      <c r="K311" s="21" t="s">
        <v>1968</v>
      </c>
      <c r="L311" s="22" t="str">
        <f t="shared" si="20"/>
        <v>EXCLUDE</v>
      </c>
      <c r="M311" s="22" t="str">
        <f t="shared" si="21"/>
        <v>No Design for Safety / PtD focus</v>
      </c>
      <c r="N311" s="23"/>
      <c r="O311" s="23"/>
      <c r="P311" s="24"/>
      <c r="Q311" s="24"/>
      <c r="R311" s="24"/>
      <c r="S311" s="22" t="str">
        <f t="shared" si="22"/>
        <v/>
      </c>
      <c r="T311" s="22" t="str">
        <f t="shared" si="23"/>
        <v/>
      </c>
      <c r="U311" s="25"/>
      <c r="V311" s="25"/>
      <c r="W311" s="25"/>
      <c r="X311" s="25"/>
      <c r="Y311" s="22" t="str">
        <f t="shared" si="24"/>
        <v/>
      </c>
      <c r="Z311" s="25"/>
      <c r="AA311" s="25"/>
      <c r="AB311" s="25"/>
      <c r="AC311" s="25"/>
      <c r="AD311" s="25"/>
      <c r="AE311" s="25"/>
      <c r="AF311" s="25"/>
      <c r="AG311" s="9"/>
      <c r="AH311" s="29"/>
      <c r="AI311" s="29"/>
      <c r="AM311" s="50"/>
      <c r="AN311" s="51" t="s">
        <v>2947</v>
      </c>
      <c r="AO311" s="55" t="s">
        <v>615</v>
      </c>
    </row>
    <row r="312" spans="1:41" ht="91.2" customHeight="1" x14ac:dyDescent="0.3">
      <c r="A312" s="20">
        <v>308</v>
      </c>
      <c r="B312" s="8" t="s">
        <v>2948</v>
      </c>
      <c r="C312" s="26">
        <v>2026</v>
      </c>
      <c r="D312" s="8"/>
      <c r="E312" s="8" t="s">
        <v>618</v>
      </c>
      <c r="F312" s="20" t="s">
        <v>1969</v>
      </c>
      <c r="G312" s="21" t="s">
        <v>1968</v>
      </c>
      <c r="H312" s="21" t="s">
        <v>1968</v>
      </c>
      <c r="I312" s="21" t="s">
        <v>1968</v>
      </c>
      <c r="J312" s="21" t="s">
        <v>1968</v>
      </c>
      <c r="K312" s="21" t="s">
        <v>1968</v>
      </c>
      <c r="L312" s="22" t="str">
        <f t="shared" si="20"/>
        <v>INCLUDE</v>
      </c>
      <c r="M312" s="22" t="str">
        <f t="shared" si="21"/>
        <v/>
      </c>
      <c r="N312" s="23" t="s">
        <v>1968</v>
      </c>
      <c r="O312" s="23" t="s">
        <v>1968</v>
      </c>
      <c r="P312" s="24" t="s">
        <v>1968</v>
      </c>
      <c r="Q312" s="24" t="s">
        <v>1968</v>
      </c>
      <c r="R312" s="24" t="s">
        <v>1968</v>
      </c>
      <c r="S312" s="22" t="str">
        <f t="shared" si="22"/>
        <v>INCLUDE</v>
      </c>
      <c r="T312" s="22" t="str">
        <f t="shared" si="23"/>
        <v/>
      </c>
      <c r="U312" s="25" t="s">
        <v>1982</v>
      </c>
      <c r="V312" s="25">
        <v>0</v>
      </c>
      <c r="W312" s="25">
        <v>0</v>
      </c>
      <c r="X312" s="25">
        <v>1</v>
      </c>
      <c r="Y312" s="22" t="str">
        <f t="shared" si="24"/>
        <v>Single</v>
      </c>
      <c r="Z312" s="25" t="s">
        <v>1922</v>
      </c>
      <c r="AA312" s="25" t="s">
        <v>1972</v>
      </c>
      <c r="AB312" s="25" t="s">
        <v>2013</v>
      </c>
      <c r="AC312" s="25" t="s">
        <v>1986</v>
      </c>
      <c r="AD312" s="25" t="s">
        <v>2003</v>
      </c>
      <c r="AE312" s="25">
        <v>4</v>
      </c>
      <c r="AF312" s="25" t="s">
        <v>2010</v>
      </c>
      <c r="AG312" s="9" t="s">
        <v>2949</v>
      </c>
      <c r="AH312" s="29" t="s">
        <v>2950</v>
      </c>
      <c r="AI312" s="29" t="s">
        <v>2951</v>
      </c>
      <c r="AJ312" t="s">
        <v>2005</v>
      </c>
      <c r="AK312" t="s">
        <v>2952</v>
      </c>
      <c r="AL312" t="s">
        <v>1978</v>
      </c>
      <c r="AM312" s="50"/>
      <c r="AN312" s="51" t="s">
        <v>2953</v>
      </c>
      <c r="AO312" s="55" t="s">
        <v>617</v>
      </c>
    </row>
    <row r="313" spans="1:41" ht="102.6" customHeight="1" x14ac:dyDescent="0.3">
      <c r="A313" s="20">
        <v>309</v>
      </c>
      <c r="B313" s="8" t="s">
        <v>2954</v>
      </c>
      <c r="C313" s="26">
        <v>2026</v>
      </c>
      <c r="D313" s="8"/>
      <c r="E313" s="8" t="s">
        <v>620</v>
      </c>
      <c r="F313" s="20" t="s">
        <v>1969</v>
      </c>
      <c r="G313" s="21" t="s">
        <v>1968</v>
      </c>
      <c r="H313" s="21" t="s">
        <v>1979</v>
      </c>
      <c r="I313" s="21" t="s">
        <v>1968</v>
      </c>
      <c r="J313" s="21" t="s">
        <v>1968</v>
      </c>
      <c r="K313" s="21" t="s">
        <v>1968</v>
      </c>
      <c r="L313" s="22" t="str">
        <f t="shared" si="20"/>
        <v>EXCLUDE</v>
      </c>
      <c r="M313" s="22" t="str">
        <f t="shared" si="21"/>
        <v>Digital Twin not core / buzzword</v>
      </c>
      <c r="N313" s="23"/>
      <c r="O313" s="23"/>
      <c r="P313" s="24"/>
      <c r="Q313" s="24"/>
      <c r="R313" s="24"/>
      <c r="S313" s="22" t="str">
        <f t="shared" si="22"/>
        <v/>
      </c>
      <c r="T313" s="22" t="str">
        <f t="shared" si="23"/>
        <v/>
      </c>
      <c r="U313" s="25"/>
      <c r="V313" s="25"/>
      <c r="W313" s="25"/>
      <c r="X313" s="25"/>
      <c r="Y313" s="22" t="str">
        <f t="shared" si="24"/>
        <v/>
      </c>
      <c r="Z313" s="25"/>
      <c r="AA313" s="25"/>
      <c r="AB313" s="25"/>
      <c r="AC313" s="25"/>
      <c r="AD313" s="25"/>
      <c r="AE313" s="25"/>
      <c r="AF313" s="25"/>
      <c r="AG313" s="9"/>
      <c r="AH313" s="29"/>
      <c r="AI313" s="29"/>
      <c r="AM313" s="50"/>
      <c r="AN313" s="51" t="s">
        <v>2955</v>
      </c>
      <c r="AO313" s="55" t="s">
        <v>619</v>
      </c>
    </row>
    <row r="314" spans="1:41" ht="57" hidden="1" customHeight="1" x14ac:dyDescent="0.3">
      <c r="A314" s="20">
        <v>310</v>
      </c>
      <c r="B314" s="8" t="s">
        <v>2956</v>
      </c>
      <c r="C314" s="26">
        <v>2026</v>
      </c>
      <c r="D314" s="8"/>
      <c r="E314" s="8" t="s">
        <v>622</v>
      </c>
      <c r="F314" s="20" t="s">
        <v>1969</v>
      </c>
      <c r="G314" s="21" t="s">
        <v>1968</v>
      </c>
      <c r="H314" s="21" t="s">
        <v>1968</v>
      </c>
      <c r="I314" s="21" t="s">
        <v>1968</v>
      </c>
      <c r="J314" s="21" t="s">
        <v>1968</v>
      </c>
      <c r="K314" s="21" t="s">
        <v>1968</v>
      </c>
      <c r="L314" s="22" t="str">
        <f t="shared" si="20"/>
        <v>INCLUDE</v>
      </c>
      <c r="M314" s="22" t="str">
        <f t="shared" si="21"/>
        <v/>
      </c>
      <c r="N314" s="23" t="s">
        <v>1968</v>
      </c>
      <c r="O314" s="23" t="s">
        <v>1968</v>
      </c>
      <c r="P314" s="24" t="s">
        <v>1968</v>
      </c>
      <c r="Q314" s="24" t="s">
        <v>1968</v>
      </c>
      <c r="R314" s="24" t="s">
        <v>1968</v>
      </c>
      <c r="S314" s="22" t="str">
        <f t="shared" si="22"/>
        <v>INCLUDE</v>
      </c>
      <c r="T314" s="22" t="str">
        <f t="shared" si="23"/>
        <v/>
      </c>
      <c r="U314" s="25" t="s">
        <v>1971</v>
      </c>
      <c r="V314" s="25">
        <v>0</v>
      </c>
      <c r="W314" s="25">
        <v>0</v>
      </c>
      <c r="X314" s="25">
        <v>1</v>
      </c>
      <c r="Y314" s="22" t="str">
        <f t="shared" si="24"/>
        <v>Single</v>
      </c>
      <c r="Z314" s="25" t="s">
        <v>1922</v>
      </c>
      <c r="AA314" s="25" t="s">
        <v>1972</v>
      </c>
      <c r="AB314" s="25" t="s">
        <v>2013</v>
      </c>
      <c r="AC314" s="25" t="s">
        <v>1986</v>
      </c>
      <c r="AD314" s="25" t="s">
        <v>1987</v>
      </c>
      <c r="AE314" s="25">
        <v>4</v>
      </c>
      <c r="AF314" s="25" t="s">
        <v>2004</v>
      </c>
      <c r="AG314" s="9" t="s">
        <v>2957</v>
      </c>
      <c r="AH314" s="29" t="s">
        <v>2958</v>
      </c>
      <c r="AI314" s="29" t="s">
        <v>2959</v>
      </c>
      <c r="AJ314" t="s">
        <v>2005</v>
      </c>
      <c r="AK314" t="s">
        <v>2960</v>
      </c>
      <c r="AL314" t="s">
        <v>1990</v>
      </c>
      <c r="AM314" s="50"/>
      <c r="AN314" s="51" t="s">
        <v>2961</v>
      </c>
      <c r="AO314" s="55" t="s">
        <v>621</v>
      </c>
    </row>
    <row r="315" spans="1:41" ht="45.6" hidden="1" customHeight="1" x14ac:dyDescent="0.3">
      <c r="A315" s="20">
        <v>311</v>
      </c>
      <c r="B315" s="8" t="s">
        <v>2962</v>
      </c>
      <c r="C315" s="26">
        <v>2026</v>
      </c>
      <c r="D315" s="8"/>
      <c r="E315" s="8" t="s">
        <v>624</v>
      </c>
      <c r="F315" s="20" t="s">
        <v>1969</v>
      </c>
      <c r="G315" s="21" t="s">
        <v>1968</v>
      </c>
      <c r="H315" s="21" t="s">
        <v>1968</v>
      </c>
      <c r="I315" s="21" t="s">
        <v>1968</v>
      </c>
      <c r="J315" s="21" t="s">
        <v>1968</v>
      </c>
      <c r="K315" s="21" t="s">
        <v>1979</v>
      </c>
      <c r="L315" s="22" t="str">
        <f t="shared" si="20"/>
        <v>EXCLUDE</v>
      </c>
      <c r="M315" s="22" t="str">
        <f t="shared" si="21"/>
        <v>Non-English</v>
      </c>
      <c r="N315" s="23"/>
      <c r="O315" s="23"/>
      <c r="P315" s="24"/>
      <c r="Q315" s="24"/>
      <c r="R315" s="24"/>
      <c r="S315" s="22" t="str">
        <f t="shared" si="22"/>
        <v/>
      </c>
      <c r="T315" s="22" t="str">
        <f t="shared" si="23"/>
        <v/>
      </c>
      <c r="U315" s="25"/>
      <c r="V315" s="25"/>
      <c r="W315" s="25"/>
      <c r="X315" s="25"/>
      <c r="Y315" s="22" t="str">
        <f t="shared" si="24"/>
        <v/>
      </c>
      <c r="Z315" s="25"/>
      <c r="AA315" s="25"/>
      <c r="AB315" s="25"/>
      <c r="AC315" s="25"/>
      <c r="AD315" s="25"/>
      <c r="AE315" s="25"/>
      <c r="AF315" s="25"/>
      <c r="AG315" s="9"/>
      <c r="AH315" s="29"/>
      <c r="AI315" s="29"/>
      <c r="AM315" s="50"/>
      <c r="AN315" s="51" t="s">
        <v>2963</v>
      </c>
      <c r="AO315" s="55" t="s">
        <v>623</v>
      </c>
    </row>
    <row r="316" spans="1:41" ht="79.95" hidden="1" customHeight="1" x14ac:dyDescent="0.3">
      <c r="A316" s="20">
        <v>312</v>
      </c>
      <c r="B316" s="8" t="s">
        <v>2964</v>
      </c>
      <c r="C316" s="26">
        <v>2025</v>
      </c>
      <c r="D316" s="8"/>
      <c r="E316" s="8" t="s">
        <v>626</v>
      </c>
      <c r="F316" s="20" t="s">
        <v>1969</v>
      </c>
      <c r="G316" s="21" t="s">
        <v>1979</v>
      </c>
      <c r="H316" s="21" t="s">
        <v>1979</v>
      </c>
      <c r="I316" s="21" t="s">
        <v>1968</v>
      </c>
      <c r="J316" s="21" t="s">
        <v>1968</v>
      </c>
      <c r="K316" s="21" t="s">
        <v>1968</v>
      </c>
      <c r="L316" s="22" t="str">
        <f t="shared" si="20"/>
        <v>EXCLUDE</v>
      </c>
      <c r="M316" s="22" t="str">
        <f t="shared" si="21"/>
        <v>Wrong domain (non-AECO)</v>
      </c>
      <c r="N316" s="23"/>
      <c r="O316" s="23"/>
      <c r="P316" s="24"/>
      <c r="Q316" s="24"/>
      <c r="R316" s="24"/>
      <c r="S316" s="22" t="str">
        <f t="shared" si="22"/>
        <v/>
      </c>
      <c r="T316" s="22" t="str">
        <f t="shared" si="23"/>
        <v/>
      </c>
      <c r="U316" s="25"/>
      <c r="V316" s="25"/>
      <c r="W316" s="25"/>
      <c r="X316" s="25"/>
      <c r="Y316" s="22" t="str">
        <f t="shared" si="24"/>
        <v/>
      </c>
      <c r="Z316" s="25"/>
      <c r="AA316" s="25"/>
      <c r="AB316" s="25"/>
      <c r="AC316" s="25"/>
      <c r="AD316" s="25"/>
      <c r="AE316" s="25"/>
      <c r="AF316" s="25"/>
      <c r="AG316" s="9"/>
      <c r="AH316" s="29"/>
      <c r="AI316" s="29"/>
      <c r="AM316" s="50"/>
      <c r="AN316" s="51" t="s">
        <v>2965</v>
      </c>
      <c r="AO316" s="55" t="s">
        <v>625</v>
      </c>
    </row>
    <row r="317" spans="1:41" ht="114" customHeight="1" x14ac:dyDescent="0.3">
      <c r="A317" s="20">
        <v>313</v>
      </c>
      <c r="B317" s="8" t="s">
        <v>2966</v>
      </c>
      <c r="C317" s="26">
        <v>2026</v>
      </c>
      <c r="D317" s="8"/>
      <c r="E317" s="8" t="s">
        <v>628</v>
      </c>
      <c r="F317" s="20" t="s">
        <v>1969</v>
      </c>
      <c r="G317" s="21" t="s">
        <v>1968</v>
      </c>
      <c r="H317" s="21" t="s">
        <v>1979</v>
      </c>
      <c r="I317" s="21" t="s">
        <v>1968</v>
      </c>
      <c r="J317" s="21" t="s">
        <v>1968</v>
      </c>
      <c r="K317" s="21" t="s">
        <v>1968</v>
      </c>
      <c r="L317" s="22" t="str">
        <f t="shared" si="20"/>
        <v>EXCLUDE</v>
      </c>
      <c r="M317" s="22" t="str">
        <f t="shared" si="21"/>
        <v>Digital Twin not core / buzzword</v>
      </c>
      <c r="N317" s="23"/>
      <c r="O317" s="23"/>
      <c r="P317" s="24"/>
      <c r="Q317" s="24"/>
      <c r="R317" s="24"/>
      <c r="S317" s="22" t="str">
        <f t="shared" si="22"/>
        <v/>
      </c>
      <c r="T317" s="22" t="str">
        <f t="shared" si="23"/>
        <v/>
      </c>
      <c r="U317" s="25"/>
      <c r="V317" s="25"/>
      <c r="W317" s="25"/>
      <c r="X317" s="25"/>
      <c r="Y317" s="22" t="str">
        <f t="shared" si="24"/>
        <v/>
      </c>
      <c r="Z317" s="25"/>
      <c r="AA317" s="25"/>
      <c r="AB317" s="25"/>
      <c r="AC317" s="25"/>
      <c r="AD317" s="25"/>
      <c r="AE317" s="25"/>
      <c r="AF317" s="25"/>
      <c r="AG317" s="9"/>
      <c r="AH317" s="29"/>
      <c r="AI317" s="29"/>
      <c r="AM317" s="50"/>
      <c r="AN317" s="51" t="s">
        <v>2967</v>
      </c>
      <c r="AO317" s="55" t="s">
        <v>627</v>
      </c>
    </row>
    <row r="318" spans="1:41" ht="34.200000000000003" hidden="1" customHeight="1" x14ac:dyDescent="0.3">
      <c r="A318" s="20">
        <v>314</v>
      </c>
      <c r="B318" s="8" t="s">
        <v>2968</v>
      </c>
      <c r="C318" s="26">
        <v>2026</v>
      </c>
      <c r="D318" s="8"/>
      <c r="E318" s="8" t="s">
        <v>630</v>
      </c>
      <c r="F318" s="20" t="s">
        <v>1969</v>
      </c>
      <c r="G318" s="21" t="s">
        <v>1968</v>
      </c>
      <c r="H318" s="21" t="s">
        <v>1979</v>
      </c>
      <c r="I318" s="21" t="s">
        <v>1968</v>
      </c>
      <c r="J318" s="21" t="s">
        <v>1968</v>
      </c>
      <c r="K318" s="21" t="s">
        <v>1968</v>
      </c>
      <c r="L318" s="22" t="str">
        <f t="shared" si="20"/>
        <v>EXCLUDE</v>
      </c>
      <c r="M318" s="22" t="str">
        <f t="shared" si="21"/>
        <v>Digital Twin not core / buzzword</v>
      </c>
      <c r="N318" s="23"/>
      <c r="O318" s="23"/>
      <c r="P318" s="24"/>
      <c r="Q318" s="24"/>
      <c r="R318" s="24"/>
      <c r="S318" s="22" t="str">
        <f t="shared" si="22"/>
        <v/>
      </c>
      <c r="T318" s="22" t="str">
        <f t="shared" si="23"/>
        <v/>
      </c>
      <c r="U318" s="25"/>
      <c r="V318" s="25"/>
      <c r="W318" s="25"/>
      <c r="X318" s="25"/>
      <c r="Y318" s="22" t="str">
        <f t="shared" si="24"/>
        <v/>
      </c>
      <c r="Z318" s="25"/>
      <c r="AA318" s="25"/>
      <c r="AB318" s="25"/>
      <c r="AC318" s="25"/>
      <c r="AD318" s="25"/>
      <c r="AE318" s="25"/>
      <c r="AF318" s="25"/>
      <c r="AG318" s="9"/>
      <c r="AH318" s="29"/>
      <c r="AI318" s="29"/>
      <c r="AM318" s="50"/>
      <c r="AN318" s="51" t="s">
        <v>2969</v>
      </c>
      <c r="AO318" s="55" t="s">
        <v>629</v>
      </c>
    </row>
    <row r="319" spans="1:41" ht="129.6" customHeight="1" x14ac:dyDescent="0.3">
      <c r="A319" s="20">
        <v>315</v>
      </c>
      <c r="B319" s="8" t="s">
        <v>2970</v>
      </c>
      <c r="C319" s="26">
        <v>2025</v>
      </c>
      <c r="D319" s="8"/>
      <c r="E319" s="8" t="s">
        <v>632</v>
      </c>
      <c r="F319" s="20" t="s">
        <v>1969</v>
      </c>
      <c r="G319" s="21" t="s">
        <v>1979</v>
      </c>
      <c r="H319" s="21" t="s">
        <v>1968</v>
      </c>
      <c r="I319" s="21" t="s">
        <v>1979</v>
      </c>
      <c r="J319" s="21" t="s">
        <v>1968</v>
      </c>
      <c r="K319" s="21" t="s">
        <v>1968</v>
      </c>
      <c r="L319" s="22" t="str">
        <f t="shared" si="20"/>
        <v>EXCLUDE</v>
      </c>
      <c r="M319" s="22" t="str">
        <f t="shared" si="21"/>
        <v>Wrong domain (non-AECO)</v>
      </c>
      <c r="N319" s="23"/>
      <c r="O319" s="23"/>
      <c r="P319" s="24"/>
      <c r="Q319" s="24"/>
      <c r="R319" s="24"/>
      <c r="S319" s="22" t="str">
        <f t="shared" si="22"/>
        <v/>
      </c>
      <c r="T319" s="22" t="str">
        <f t="shared" si="23"/>
        <v/>
      </c>
      <c r="U319" s="25"/>
      <c r="V319" s="25"/>
      <c r="W319" s="25"/>
      <c r="X319" s="25"/>
      <c r="Y319" s="22" t="str">
        <f t="shared" si="24"/>
        <v/>
      </c>
      <c r="Z319" s="25"/>
      <c r="AA319" s="25"/>
      <c r="AB319" s="25"/>
      <c r="AC319" s="25"/>
      <c r="AD319" s="25"/>
      <c r="AE319" s="25"/>
      <c r="AF319" s="25"/>
      <c r="AG319" s="9"/>
      <c r="AH319" s="29"/>
      <c r="AI319" s="29"/>
      <c r="AM319" s="50"/>
      <c r="AN319" s="51" t="s">
        <v>2971</v>
      </c>
      <c r="AO319" s="55" t="s">
        <v>631</v>
      </c>
    </row>
    <row r="320" spans="1:41" ht="45.6" hidden="1" customHeight="1" x14ac:dyDescent="0.3">
      <c r="A320" s="20">
        <v>316</v>
      </c>
      <c r="B320" s="8" t="s">
        <v>2972</v>
      </c>
      <c r="C320" s="26">
        <v>2025</v>
      </c>
      <c r="D320" s="8"/>
      <c r="E320" s="8" t="s">
        <v>634</v>
      </c>
      <c r="F320" s="20" t="s">
        <v>1969</v>
      </c>
      <c r="G320" s="21" t="s">
        <v>1968</v>
      </c>
      <c r="H320" s="21" t="s">
        <v>1968</v>
      </c>
      <c r="I320" s="21" t="s">
        <v>1979</v>
      </c>
      <c r="J320" s="21" t="s">
        <v>1968</v>
      </c>
      <c r="K320" s="21" t="s">
        <v>1968</v>
      </c>
      <c r="L320" s="22" t="str">
        <f t="shared" si="20"/>
        <v>EXCLUDE</v>
      </c>
      <c r="M320" s="22" t="str">
        <f t="shared" si="21"/>
        <v>No Design for Safety / PtD focus</v>
      </c>
      <c r="N320" s="23"/>
      <c r="O320" s="23"/>
      <c r="P320" s="24"/>
      <c r="Q320" s="24"/>
      <c r="R320" s="24"/>
      <c r="S320" s="22" t="str">
        <f t="shared" si="22"/>
        <v/>
      </c>
      <c r="T320" s="22" t="str">
        <f t="shared" si="23"/>
        <v/>
      </c>
      <c r="U320" s="25"/>
      <c r="V320" s="25"/>
      <c r="W320" s="25"/>
      <c r="X320" s="25"/>
      <c r="Y320" s="22" t="str">
        <f t="shared" si="24"/>
        <v/>
      </c>
      <c r="Z320" s="25"/>
      <c r="AA320" s="25"/>
      <c r="AB320" s="25"/>
      <c r="AC320" s="25"/>
      <c r="AD320" s="25"/>
      <c r="AE320" s="25"/>
      <c r="AF320" s="25"/>
      <c r="AG320" s="9"/>
      <c r="AH320" s="29"/>
      <c r="AI320" s="29"/>
      <c r="AM320" s="50"/>
      <c r="AN320" s="51" t="s">
        <v>2973</v>
      </c>
      <c r="AO320" s="55" t="s">
        <v>633</v>
      </c>
    </row>
    <row r="321" spans="1:41" ht="57" hidden="1" customHeight="1" x14ac:dyDescent="0.3">
      <c r="A321" s="20">
        <v>317</v>
      </c>
      <c r="B321" s="8" t="s">
        <v>2292</v>
      </c>
      <c r="C321" s="26">
        <v>2026</v>
      </c>
      <c r="D321" s="8"/>
      <c r="E321" s="8" t="s">
        <v>636</v>
      </c>
      <c r="F321" s="20" t="s">
        <v>1969</v>
      </c>
      <c r="G321" s="21" t="s">
        <v>1968</v>
      </c>
      <c r="H321" s="21" t="s">
        <v>1968</v>
      </c>
      <c r="I321" s="21" t="s">
        <v>1968</v>
      </c>
      <c r="J321" s="21" t="s">
        <v>1968</v>
      </c>
      <c r="K321" s="21" t="s">
        <v>1968</v>
      </c>
      <c r="L321" s="22" t="str">
        <f t="shared" si="20"/>
        <v>INCLUDE</v>
      </c>
      <c r="M321" s="22" t="str">
        <f t="shared" si="21"/>
        <v/>
      </c>
      <c r="N321" s="23" t="s">
        <v>1968</v>
      </c>
      <c r="O321" s="23" t="s">
        <v>1968</v>
      </c>
      <c r="P321" s="24" t="s">
        <v>1968</v>
      </c>
      <c r="Q321" s="24" t="s">
        <v>1968</v>
      </c>
      <c r="R321" s="24" t="s">
        <v>1968</v>
      </c>
      <c r="S321" s="22" t="str">
        <f t="shared" si="22"/>
        <v>INCLUDE</v>
      </c>
      <c r="T321" s="22" t="str">
        <f t="shared" si="23"/>
        <v/>
      </c>
      <c r="U321" s="25" t="s">
        <v>1982</v>
      </c>
      <c r="V321" s="25">
        <v>0</v>
      </c>
      <c r="W321" s="25">
        <v>0</v>
      </c>
      <c r="X321" s="25">
        <v>1</v>
      </c>
      <c r="Y321" s="22" t="str">
        <f t="shared" si="24"/>
        <v>Single</v>
      </c>
      <c r="Z321" s="25" t="s">
        <v>1922</v>
      </c>
      <c r="AA321" s="25" t="s">
        <v>1972</v>
      </c>
      <c r="AB321" s="25" t="s">
        <v>2014</v>
      </c>
      <c r="AC321" s="25" t="s">
        <v>1986</v>
      </c>
      <c r="AD321" s="25" t="s">
        <v>2003</v>
      </c>
      <c r="AE321" s="25">
        <v>4</v>
      </c>
      <c r="AF321" s="25" t="s">
        <v>2010</v>
      </c>
      <c r="AG321" s="9" t="s">
        <v>2974</v>
      </c>
      <c r="AH321" s="29" t="s">
        <v>2975</v>
      </c>
      <c r="AI321" s="29" t="s">
        <v>2976</v>
      </c>
      <c r="AJ321" t="s">
        <v>2005</v>
      </c>
      <c r="AK321" t="s">
        <v>2977</v>
      </c>
      <c r="AL321" t="s">
        <v>1978</v>
      </c>
      <c r="AM321" s="50"/>
      <c r="AN321" s="51" t="s">
        <v>2978</v>
      </c>
      <c r="AO321" s="55" t="s">
        <v>635</v>
      </c>
    </row>
    <row r="322" spans="1:41" ht="144" customHeight="1" x14ac:dyDescent="0.3">
      <c r="A322" s="20">
        <v>318</v>
      </c>
      <c r="B322" s="8" t="s">
        <v>2979</v>
      </c>
      <c r="C322" s="26">
        <v>2025</v>
      </c>
      <c r="D322" s="8"/>
      <c r="E322" s="8" t="s">
        <v>638</v>
      </c>
      <c r="F322" s="20" t="s">
        <v>1969</v>
      </c>
      <c r="G322" s="21" t="s">
        <v>1979</v>
      </c>
      <c r="H322" s="21" t="s">
        <v>1979</v>
      </c>
      <c r="I322" s="21" t="s">
        <v>1979</v>
      </c>
      <c r="J322" s="21" t="s">
        <v>1968</v>
      </c>
      <c r="K322" s="21" t="s">
        <v>1968</v>
      </c>
      <c r="L322" s="22" t="str">
        <f t="shared" si="20"/>
        <v>EXCLUDE</v>
      </c>
      <c r="M322" s="22" t="str">
        <f t="shared" si="21"/>
        <v>Wrong domain (non-AECO)</v>
      </c>
      <c r="N322" s="23"/>
      <c r="O322" s="23"/>
      <c r="P322" s="24"/>
      <c r="Q322" s="24"/>
      <c r="R322" s="24"/>
      <c r="S322" s="22" t="str">
        <f t="shared" si="22"/>
        <v/>
      </c>
      <c r="T322" s="22" t="str">
        <f t="shared" si="23"/>
        <v/>
      </c>
      <c r="U322" s="25"/>
      <c r="V322" s="25"/>
      <c r="W322" s="25"/>
      <c r="X322" s="25"/>
      <c r="Y322" s="22" t="str">
        <f t="shared" si="24"/>
        <v/>
      </c>
      <c r="Z322" s="25"/>
      <c r="AA322" s="25"/>
      <c r="AB322" s="25"/>
      <c r="AC322" s="25"/>
      <c r="AD322" s="25"/>
      <c r="AE322" s="25"/>
      <c r="AF322" s="25"/>
      <c r="AG322" s="9"/>
      <c r="AH322" s="29"/>
      <c r="AI322" s="29"/>
      <c r="AM322" s="50"/>
      <c r="AN322" s="51" t="s">
        <v>2980</v>
      </c>
      <c r="AO322" s="55" t="s">
        <v>637</v>
      </c>
    </row>
    <row r="323" spans="1:41" ht="79.95" hidden="1" customHeight="1" x14ac:dyDescent="0.3">
      <c r="A323" s="20">
        <v>319</v>
      </c>
      <c r="B323" s="8" t="s">
        <v>2981</v>
      </c>
      <c r="C323" s="26">
        <v>2026</v>
      </c>
      <c r="D323" s="8"/>
      <c r="E323" s="8" t="s">
        <v>640</v>
      </c>
      <c r="F323" s="20" t="s">
        <v>1969</v>
      </c>
      <c r="G323" s="21" t="s">
        <v>1979</v>
      </c>
      <c r="H323" s="21" t="s">
        <v>1968</v>
      </c>
      <c r="I323" s="21" t="s">
        <v>1968</v>
      </c>
      <c r="J323" s="21" t="s">
        <v>1968</v>
      </c>
      <c r="K323" s="21" t="s">
        <v>1968</v>
      </c>
      <c r="L323" s="22" t="str">
        <f t="shared" si="20"/>
        <v>EXCLUDE</v>
      </c>
      <c r="M323" s="22" t="str">
        <f t="shared" si="21"/>
        <v>Wrong domain (non-AECO)</v>
      </c>
      <c r="N323" s="23"/>
      <c r="O323" s="23"/>
      <c r="P323" s="24"/>
      <c r="Q323" s="24"/>
      <c r="R323" s="24"/>
      <c r="S323" s="22" t="str">
        <f t="shared" si="22"/>
        <v/>
      </c>
      <c r="T323" s="22" t="str">
        <f t="shared" si="23"/>
        <v/>
      </c>
      <c r="U323" s="25"/>
      <c r="V323" s="25"/>
      <c r="W323" s="25"/>
      <c r="X323" s="25"/>
      <c r="Y323" s="22" t="str">
        <f t="shared" si="24"/>
        <v/>
      </c>
      <c r="Z323" s="25"/>
      <c r="AA323" s="25"/>
      <c r="AB323" s="25"/>
      <c r="AC323" s="25"/>
      <c r="AD323" s="25"/>
      <c r="AE323" s="25"/>
      <c r="AF323" s="25"/>
      <c r="AG323" s="9"/>
      <c r="AH323" s="29"/>
      <c r="AI323" s="29"/>
      <c r="AM323" s="50"/>
      <c r="AN323" s="51" t="s">
        <v>2982</v>
      </c>
      <c r="AO323" s="55" t="s">
        <v>639</v>
      </c>
    </row>
    <row r="324" spans="1:41" ht="102.6" customHeight="1" x14ac:dyDescent="0.3">
      <c r="A324" s="20">
        <v>320</v>
      </c>
      <c r="B324" s="8" t="s">
        <v>2983</v>
      </c>
      <c r="C324" s="26">
        <v>2026</v>
      </c>
      <c r="D324" s="8"/>
      <c r="E324" s="8" t="s">
        <v>642</v>
      </c>
      <c r="F324" s="20" t="s">
        <v>1969</v>
      </c>
      <c r="G324" s="21" t="s">
        <v>1979</v>
      </c>
      <c r="H324" s="21" t="s">
        <v>1968</v>
      </c>
      <c r="I324" s="21" t="s">
        <v>1968</v>
      </c>
      <c r="J324" s="21" t="s">
        <v>1968</v>
      </c>
      <c r="K324" s="21" t="s">
        <v>1968</v>
      </c>
      <c r="L324" s="22" t="str">
        <f t="shared" si="20"/>
        <v>EXCLUDE</v>
      </c>
      <c r="M324" s="22" t="str">
        <f t="shared" si="21"/>
        <v>Wrong domain (non-AECO)</v>
      </c>
      <c r="N324" s="23"/>
      <c r="O324" s="23"/>
      <c r="P324" s="24"/>
      <c r="Q324" s="24"/>
      <c r="R324" s="24"/>
      <c r="S324" s="22" t="str">
        <f t="shared" si="22"/>
        <v/>
      </c>
      <c r="T324" s="22" t="str">
        <f t="shared" si="23"/>
        <v/>
      </c>
      <c r="U324" s="25"/>
      <c r="V324" s="25"/>
      <c r="W324" s="25"/>
      <c r="X324" s="25"/>
      <c r="Y324" s="22" t="str">
        <f t="shared" si="24"/>
        <v/>
      </c>
      <c r="Z324" s="25"/>
      <c r="AA324" s="25"/>
      <c r="AB324" s="25"/>
      <c r="AC324" s="25"/>
      <c r="AD324" s="25"/>
      <c r="AE324" s="25"/>
      <c r="AF324" s="25"/>
      <c r="AG324" s="9"/>
      <c r="AH324" s="29"/>
      <c r="AI324" s="29"/>
      <c r="AM324" s="50"/>
      <c r="AN324" s="51" t="s">
        <v>2984</v>
      </c>
      <c r="AO324" s="55" t="s">
        <v>641</v>
      </c>
    </row>
    <row r="325" spans="1:41" ht="100.95" customHeight="1" x14ac:dyDescent="0.3">
      <c r="A325" s="20">
        <v>321</v>
      </c>
      <c r="B325" s="8" t="s">
        <v>2985</v>
      </c>
      <c r="C325" s="26">
        <v>2025</v>
      </c>
      <c r="D325" s="8"/>
      <c r="E325" s="8" t="s">
        <v>644</v>
      </c>
      <c r="F325" s="20" t="s">
        <v>1969</v>
      </c>
      <c r="G325" s="21" t="s">
        <v>1968</v>
      </c>
      <c r="H325" s="21" t="s">
        <v>1968</v>
      </c>
      <c r="I325" s="21" t="s">
        <v>1968</v>
      </c>
      <c r="J325" s="21" t="s">
        <v>1968</v>
      </c>
      <c r="K325" s="21" t="s">
        <v>1968</v>
      </c>
      <c r="L325" s="22" t="str">
        <f t="shared" ref="L325:L388" si="25">IF(COUNTBLANK(G325:K325)=5,"",IF(COUNTIF(G325:K325,"No")&gt;0,"EXCLUDE","INCLUDE"))</f>
        <v>INCLUDE</v>
      </c>
      <c r="M325" s="22" t="str">
        <f t="shared" ref="M325:M388" si="26">IF(L325&lt;&gt;"EXCLUDE","",IF(G325="No","Wrong domain (non-AECO)",IF(H325="No","Digital Twin not core / buzzword",IF(I325="No","No Design for Safety / PtD focus",IF(J325="No","Wrong publication type",IF(K325="No","Non-English",""))))))</f>
        <v/>
      </c>
      <c r="N325" s="23" t="s">
        <v>1968</v>
      </c>
      <c r="O325" s="23" t="s">
        <v>1968</v>
      </c>
      <c r="P325" s="24" t="s">
        <v>1968</v>
      </c>
      <c r="Q325" s="24" t="s">
        <v>1968</v>
      </c>
      <c r="R325" s="24" t="s">
        <v>1968</v>
      </c>
      <c r="S325" s="22" t="str">
        <f t="shared" ref="S325:S388" si="27">IF(N325&lt;&gt;"Yes","",IF(COUNTBLANK(P325:R325)=3,"",IF(COUNTIF(P325:R325,"No")&gt;0,"EXCLUDE","INCLUDE")))</f>
        <v>INCLUDE</v>
      </c>
      <c r="T325" s="22" t="str">
        <f t="shared" ref="T325:T388" si="28">IF(S325&lt;&gt;"EXCLUDE","",IF(P325="No","Digital Twin mentioned only, not the subject",IF(Q325="No","No Design for Safety focus in full text",IF(R325="No","Methodology not codable",""))))</f>
        <v/>
      </c>
      <c r="U325" s="25" t="s">
        <v>1982</v>
      </c>
      <c r="V325" s="25">
        <v>0</v>
      </c>
      <c r="W325" s="25">
        <v>0</v>
      </c>
      <c r="X325" s="25">
        <v>1</v>
      </c>
      <c r="Y325" s="22" t="str">
        <f t="shared" ref="Y325:Y388" si="29">IF(SUM(V325:X325)=0,"",IF(SUM(V325:X325)&gt;=2,"Multi","Single"))</f>
        <v>Single</v>
      </c>
      <c r="Z325" s="25" t="s">
        <v>1922</v>
      </c>
      <c r="AA325" s="25" t="s">
        <v>1972</v>
      </c>
      <c r="AB325" s="25" t="s">
        <v>2014</v>
      </c>
      <c r="AC325" s="25" t="s">
        <v>1986</v>
      </c>
      <c r="AD325" s="25" t="s">
        <v>2003</v>
      </c>
      <c r="AE325" s="25">
        <v>4</v>
      </c>
      <c r="AF325" s="25" t="s">
        <v>2010</v>
      </c>
      <c r="AG325" s="9" t="s">
        <v>2986</v>
      </c>
      <c r="AH325" s="29" t="s">
        <v>2987</v>
      </c>
      <c r="AI325" s="29" t="s">
        <v>2988</v>
      </c>
      <c r="AJ325" t="s">
        <v>2005</v>
      </c>
      <c r="AK325" t="s">
        <v>2989</v>
      </c>
      <c r="AL325" t="s">
        <v>1978</v>
      </c>
      <c r="AM325" s="50"/>
      <c r="AN325" s="51" t="s">
        <v>2990</v>
      </c>
      <c r="AO325" s="55" t="s">
        <v>643</v>
      </c>
    </row>
    <row r="326" spans="1:41" ht="102.6" customHeight="1" x14ac:dyDescent="0.3">
      <c r="A326" s="20">
        <v>322</v>
      </c>
      <c r="B326" s="8" t="s">
        <v>2991</v>
      </c>
      <c r="C326" s="26">
        <v>2026</v>
      </c>
      <c r="D326" s="8"/>
      <c r="E326" s="8" t="s">
        <v>646</v>
      </c>
      <c r="F326" s="20" t="s">
        <v>1969</v>
      </c>
      <c r="G326" s="21" t="s">
        <v>1979</v>
      </c>
      <c r="H326" s="21" t="s">
        <v>1968</v>
      </c>
      <c r="I326" s="21" t="s">
        <v>1979</v>
      </c>
      <c r="J326" s="21" t="s">
        <v>1968</v>
      </c>
      <c r="K326" s="21" t="s">
        <v>1968</v>
      </c>
      <c r="L326" s="22" t="str">
        <f t="shared" si="25"/>
        <v>EXCLUDE</v>
      </c>
      <c r="M326" s="22" t="str">
        <f t="shared" si="26"/>
        <v>Wrong domain (non-AECO)</v>
      </c>
      <c r="N326" s="23"/>
      <c r="O326" s="23"/>
      <c r="P326" s="24"/>
      <c r="Q326" s="24"/>
      <c r="R326" s="24"/>
      <c r="S326" s="22" t="str">
        <f t="shared" si="27"/>
        <v/>
      </c>
      <c r="T326" s="22" t="str">
        <f t="shared" si="28"/>
        <v/>
      </c>
      <c r="U326" s="25"/>
      <c r="V326" s="25"/>
      <c r="W326" s="25"/>
      <c r="X326" s="25"/>
      <c r="Y326" s="22" t="str">
        <f t="shared" si="29"/>
        <v/>
      </c>
      <c r="Z326" s="25"/>
      <c r="AA326" s="25"/>
      <c r="AB326" s="25"/>
      <c r="AC326" s="25"/>
      <c r="AD326" s="25"/>
      <c r="AE326" s="25"/>
      <c r="AF326" s="25"/>
      <c r="AG326" s="9"/>
      <c r="AH326" s="29"/>
      <c r="AI326" s="29"/>
      <c r="AM326" s="50"/>
      <c r="AN326" s="51" t="s">
        <v>2992</v>
      </c>
      <c r="AO326" s="55" t="s">
        <v>645</v>
      </c>
    </row>
    <row r="327" spans="1:41" ht="45.6" hidden="1" customHeight="1" x14ac:dyDescent="0.3">
      <c r="A327" s="20">
        <v>323</v>
      </c>
      <c r="B327" s="8" t="s">
        <v>2993</v>
      </c>
      <c r="C327" s="26">
        <v>2025</v>
      </c>
      <c r="D327" s="8"/>
      <c r="E327" s="8" t="s">
        <v>648</v>
      </c>
      <c r="F327" s="20" t="s">
        <v>1969</v>
      </c>
      <c r="G327" s="21" t="s">
        <v>1979</v>
      </c>
      <c r="H327" s="21" t="s">
        <v>1968</v>
      </c>
      <c r="I327" s="21" t="s">
        <v>1979</v>
      </c>
      <c r="J327" s="21" t="s">
        <v>1968</v>
      </c>
      <c r="K327" s="21" t="s">
        <v>1968</v>
      </c>
      <c r="L327" s="22" t="str">
        <f t="shared" si="25"/>
        <v>EXCLUDE</v>
      </c>
      <c r="M327" s="22" t="str">
        <f t="shared" si="26"/>
        <v>Wrong domain (non-AECO)</v>
      </c>
      <c r="N327" s="23"/>
      <c r="O327" s="23"/>
      <c r="P327" s="24"/>
      <c r="Q327" s="24"/>
      <c r="R327" s="24"/>
      <c r="S327" s="22" t="str">
        <f t="shared" si="27"/>
        <v/>
      </c>
      <c r="T327" s="22" t="str">
        <f t="shared" si="28"/>
        <v/>
      </c>
      <c r="U327" s="25"/>
      <c r="V327" s="25"/>
      <c r="W327" s="25"/>
      <c r="X327" s="25"/>
      <c r="Y327" s="22" t="str">
        <f t="shared" si="29"/>
        <v/>
      </c>
      <c r="Z327" s="25"/>
      <c r="AA327" s="25"/>
      <c r="AB327" s="25"/>
      <c r="AC327" s="25"/>
      <c r="AD327" s="25"/>
      <c r="AE327" s="25"/>
      <c r="AF327" s="25"/>
      <c r="AG327" s="9"/>
      <c r="AH327" s="29"/>
      <c r="AI327" s="29"/>
      <c r="AM327" s="50"/>
      <c r="AN327" s="51" t="s">
        <v>2994</v>
      </c>
      <c r="AO327" s="55" t="s">
        <v>647</v>
      </c>
    </row>
    <row r="328" spans="1:41" ht="91.2" customHeight="1" x14ac:dyDescent="0.3">
      <c r="A328" s="20">
        <v>324</v>
      </c>
      <c r="B328" s="8" t="s">
        <v>2995</v>
      </c>
      <c r="C328" s="26">
        <v>2025</v>
      </c>
      <c r="D328" s="8"/>
      <c r="E328" s="8" t="s">
        <v>650</v>
      </c>
      <c r="F328" s="20" t="s">
        <v>1969</v>
      </c>
      <c r="G328" s="21" t="s">
        <v>1979</v>
      </c>
      <c r="H328" s="21" t="s">
        <v>1968</v>
      </c>
      <c r="I328" s="21" t="s">
        <v>1979</v>
      </c>
      <c r="J328" s="21" t="s">
        <v>1968</v>
      </c>
      <c r="K328" s="21" t="s">
        <v>1968</v>
      </c>
      <c r="L328" s="22" t="str">
        <f t="shared" si="25"/>
        <v>EXCLUDE</v>
      </c>
      <c r="M328" s="22" t="str">
        <f t="shared" si="26"/>
        <v>Wrong domain (non-AECO)</v>
      </c>
      <c r="N328" s="23"/>
      <c r="O328" s="23"/>
      <c r="P328" s="24"/>
      <c r="Q328" s="24"/>
      <c r="R328" s="24"/>
      <c r="S328" s="22" t="str">
        <f t="shared" si="27"/>
        <v/>
      </c>
      <c r="T328" s="22" t="str">
        <f t="shared" si="28"/>
        <v/>
      </c>
      <c r="U328" s="25"/>
      <c r="V328" s="25"/>
      <c r="W328" s="25"/>
      <c r="X328" s="25"/>
      <c r="Y328" s="22" t="str">
        <f t="shared" si="29"/>
        <v/>
      </c>
      <c r="Z328" s="25"/>
      <c r="AA328" s="25"/>
      <c r="AB328" s="25"/>
      <c r="AC328" s="25"/>
      <c r="AD328" s="25"/>
      <c r="AE328" s="25"/>
      <c r="AF328" s="25"/>
      <c r="AG328" s="9"/>
      <c r="AH328" s="29"/>
      <c r="AI328" s="29"/>
      <c r="AM328" s="50"/>
      <c r="AN328" s="51" t="s">
        <v>2996</v>
      </c>
      <c r="AO328" s="55" t="s">
        <v>649</v>
      </c>
    </row>
    <row r="329" spans="1:41" ht="45.6" hidden="1" customHeight="1" x14ac:dyDescent="0.3">
      <c r="A329" s="20">
        <v>325</v>
      </c>
      <c r="B329" s="8" t="s">
        <v>2997</v>
      </c>
      <c r="C329" s="26">
        <v>2025</v>
      </c>
      <c r="D329" s="8"/>
      <c r="E329" s="8" t="s">
        <v>652</v>
      </c>
      <c r="F329" s="20" t="s">
        <v>1969</v>
      </c>
      <c r="G329" s="21" t="s">
        <v>1968</v>
      </c>
      <c r="H329" s="21" t="s">
        <v>1968</v>
      </c>
      <c r="I329" s="21" t="s">
        <v>1968</v>
      </c>
      <c r="J329" s="21" t="s">
        <v>1968</v>
      </c>
      <c r="K329" s="21" t="s">
        <v>1968</v>
      </c>
      <c r="L329" s="22" t="str">
        <f t="shared" si="25"/>
        <v>INCLUDE</v>
      </c>
      <c r="M329" s="22" t="str">
        <f t="shared" si="26"/>
        <v/>
      </c>
      <c r="N329" s="23" t="s">
        <v>1968</v>
      </c>
      <c r="O329" s="23" t="s">
        <v>1968</v>
      </c>
      <c r="P329" s="24" t="s">
        <v>1968</v>
      </c>
      <c r="Q329" s="24" t="s">
        <v>1968</v>
      </c>
      <c r="R329" s="24" t="s">
        <v>1968</v>
      </c>
      <c r="S329" s="22" t="str">
        <f t="shared" si="27"/>
        <v>INCLUDE</v>
      </c>
      <c r="T329" s="22" t="str">
        <f t="shared" si="28"/>
        <v/>
      </c>
      <c r="U329" s="25" t="s">
        <v>1982</v>
      </c>
      <c r="V329" s="25">
        <v>1</v>
      </c>
      <c r="W329" s="25">
        <v>0</v>
      </c>
      <c r="X329" s="25">
        <v>1</v>
      </c>
      <c r="Y329" s="22" t="str">
        <f t="shared" si="29"/>
        <v>Multi</v>
      </c>
      <c r="Z329" s="25" t="s">
        <v>1922</v>
      </c>
      <c r="AA329" s="25" t="s">
        <v>1972</v>
      </c>
      <c r="AB329" s="25" t="s">
        <v>2014</v>
      </c>
      <c r="AC329" s="25" t="s">
        <v>1986</v>
      </c>
      <c r="AD329" s="25" t="s">
        <v>2003</v>
      </c>
      <c r="AE329" s="25">
        <v>4</v>
      </c>
      <c r="AF329" s="25" t="s">
        <v>2004</v>
      </c>
      <c r="AG329" s="9" t="s">
        <v>2998</v>
      </c>
      <c r="AH329" s="29" t="s">
        <v>2999</v>
      </c>
      <c r="AI329" s="29" t="s">
        <v>3000</v>
      </c>
      <c r="AJ329" t="s">
        <v>2005</v>
      </c>
      <c r="AK329" t="s">
        <v>3001</v>
      </c>
      <c r="AL329" t="s">
        <v>1978</v>
      </c>
      <c r="AM329" s="50"/>
      <c r="AN329" s="51" t="s">
        <v>3002</v>
      </c>
      <c r="AO329" s="55" t="s">
        <v>651</v>
      </c>
    </row>
    <row r="330" spans="1:41" ht="102.6" hidden="1" customHeight="1" x14ac:dyDescent="0.3">
      <c r="A330" s="20">
        <v>326</v>
      </c>
      <c r="B330" s="8" t="s">
        <v>3003</v>
      </c>
      <c r="C330" s="26">
        <v>2025</v>
      </c>
      <c r="D330" s="8"/>
      <c r="E330" s="8" t="s">
        <v>654</v>
      </c>
      <c r="F330" s="20" t="s">
        <v>1969</v>
      </c>
      <c r="G330" s="21" t="s">
        <v>1968</v>
      </c>
      <c r="H330" s="21" t="s">
        <v>1979</v>
      </c>
      <c r="I330" s="21" t="s">
        <v>1968</v>
      </c>
      <c r="J330" s="21" t="s">
        <v>1968</v>
      </c>
      <c r="K330" s="21" t="s">
        <v>1968</v>
      </c>
      <c r="L330" s="22" t="str">
        <f t="shared" si="25"/>
        <v>EXCLUDE</v>
      </c>
      <c r="M330" s="22" t="str">
        <f t="shared" si="26"/>
        <v>Digital Twin not core / buzzword</v>
      </c>
      <c r="N330" s="23"/>
      <c r="O330" s="23"/>
      <c r="P330" s="24"/>
      <c r="Q330" s="24"/>
      <c r="R330" s="24"/>
      <c r="S330" s="22" t="str">
        <f t="shared" si="27"/>
        <v/>
      </c>
      <c r="T330" s="22" t="str">
        <f t="shared" si="28"/>
        <v/>
      </c>
      <c r="U330" s="25"/>
      <c r="V330" s="25"/>
      <c r="W330" s="25"/>
      <c r="X330" s="25"/>
      <c r="Y330" s="22" t="str">
        <f t="shared" si="29"/>
        <v/>
      </c>
      <c r="Z330" s="25"/>
      <c r="AA330" s="25"/>
      <c r="AB330" s="25"/>
      <c r="AC330" s="25"/>
      <c r="AD330" s="25"/>
      <c r="AE330" s="25"/>
      <c r="AF330" s="25"/>
      <c r="AG330" s="9"/>
      <c r="AH330" s="29"/>
      <c r="AI330" s="29"/>
      <c r="AM330" s="50"/>
      <c r="AN330" s="51" t="s">
        <v>3004</v>
      </c>
      <c r="AO330" s="55" t="s">
        <v>653</v>
      </c>
    </row>
    <row r="331" spans="1:41" ht="34.200000000000003" hidden="1" customHeight="1" x14ac:dyDescent="0.3">
      <c r="A331" s="20">
        <v>327</v>
      </c>
      <c r="B331" s="8" t="s">
        <v>3005</v>
      </c>
      <c r="C331" s="26">
        <v>2025</v>
      </c>
      <c r="D331" s="8"/>
      <c r="E331" s="8" t="s">
        <v>656</v>
      </c>
      <c r="F331" s="20" t="s">
        <v>1969</v>
      </c>
      <c r="G331" s="21" t="s">
        <v>1979</v>
      </c>
      <c r="H331" s="21" t="s">
        <v>1979</v>
      </c>
      <c r="I331" s="21" t="s">
        <v>1979</v>
      </c>
      <c r="J331" s="21" t="s">
        <v>1968</v>
      </c>
      <c r="K331" s="21" t="s">
        <v>1968</v>
      </c>
      <c r="L331" s="22" t="str">
        <f t="shared" si="25"/>
        <v>EXCLUDE</v>
      </c>
      <c r="M331" s="22" t="str">
        <f t="shared" si="26"/>
        <v>Wrong domain (non-AECO)</v>
      </c>
      <c r="N331" s="23"/>
      <c r="O331" s="23"/>
      <c r="P331" s="24"/>
      <c r="Q331" s="24"/>
      <c r="R331" s="24"/>
      <c r="S331" s="22" t="str">
        <f t="shared" si="27"/>
        <v/>
      </c>
      <c r="T331" s="22" t="str">
        <f t="shared" si="28"/>
        <v/>
      </c>
      <c r="U331" s="25"/>
      <c r="V331" s="25"/>
      <c r="W331" s="25"/>
      <c r="X331" s="25"/>
      <c r="Y331" s="22" t="str">
        <f t="shared" si="29"/>
        <v/>
      </c>
      <c r="Z331" s="25"/>
      <c r="AA331" s="25"/>
      <c r="AB331" s="25"/>
      <c r="AC331" s="25"/>
      <c r="AD331" s="25"/>
      <c r="AE331" s="25"/>
      <c r="AF331" s="25"/>
      <c r="AG331" s="9"/>
      <c r="AH331" s="29"/>
      <c r="AI331" s="29"/>
      <c r="AM331" s="50"/>
      <c r="AN331" s="51" t="s">
        <v>3006</v>
      </c>
      <c r="AO331" s="55" t="s">
        <v>655</v>
      </c>
    </row>
    <row r="332" spans="1:41" ht="57" hidden="1" customHeight="1" x14ac:dyDescent="0.3">
      <c r="A332" s="20">
        <v>328</v>
      </c>
      <c r="B332" s="8" t="s">
        <v>3007</v>
      </c>
      <c r="C332" s="26">
        <v>2025</v>
      </c>
      <c r="D332" s="8"/>
      <c r="E332" s="8" t="s">
        <v>658</v>
      </c>
      <c r="F332" s="20" t="s">
        <v>1969</v>
      </c>
      <c r="G332" s="21" t="s">
        <v>1968</v>
      </c>
      <c r="H332" s="21" t="s">
        <v>1979</v>
      </c>
      <c r="I332" s="21" t="s">
        <v>1968</v>
      </c>
      <c r="J332" s="21" t="s">
        <v>1968</v>
      </c>
      <c r="K332" s="21" t="s">
        <v>1968</v>
      </c>
      <c r="L332" s="22" t="str">
        <f t="shared" si="25"/>
        <v>EXCLUDE</v>
      </c>
      <c r="M332" s="22" t="str">
        <f t="shared" si="26"/>
        <v>Digital Twin not core / buzzword</v>
      </c>
      <c r="N332" s="23"/>
      <c r="O332" s="23"/>
      <c r="P332" s="24"/>
      <c r="Q332" s="24"/>
      <c r="R332" s="24"/>
      <c r="S332" s="22" t="str">
        <f t="shared" si="27"/>
        <v/>
      </c>
      <c r="T332" s="22" t="str">
        <f t="shared" si="28"/>
        <v/>
      </c>
      <c r="U332" s="25"/>
      <c r="V332" s="25"/>
      <c r="W332" s="25"/>
      <c r="X332" s="25"/>
      <c r="Y332" s="22" t="str">
        <f t="shared" si="29"/>
        <v/>
      </c>
      <c r="Z332" s="25"/>
      <c r="AA332" s="25"/>
      <c r="AB332" s="25"/>
      <c r="AC332" s="25"/>
      <c r="AD332" s="25"/>
      <c r="AE332" s="25"/>
      <c r="AF332" s="25"/>
      <c r="AG332" s="9"/>
      <c r="AH332" s="29"/>
      <c r="AI332" s="29"/>
      <c r="AM332" s="50"/>
      <c r="AN332" s="51" t="s">
        <v>3008</v>
      </c>
      <c r="AO332" s="55" t="s">
        <v>657</v>
      </c>
    </row>
    <row r="333" spans="1:41" ht="114" customHeight="1" x14ac:dyDescent="0.3">
      <c r="A333" s="20">
        <v>329</v>
      </c>
      <c r="B333" s="8" t="s">
        <v>3009</v>
      </c>
      <c r="C333" s="26">
        <v>2025</v>
      </c>
      <c r="D333" s="8"/>
      <c r="E333" s="8" t="s">
        <v>660</v>
      </c>
      <c r="F333" s="20" t="s">
        <v>1969</v>
      </c>
      <c r="G333" s="21" t="s">
        <v>1979</v>
      </c>
      <c r="H333" s="21" t="s">
        <v>1968</v>
      </c>
      <c r="I333" s="21" t="s">
        <v>1979</v>
      </c>
      <c r="J333" s="21" t="s">
        <v>1968</v>
      </c>
      <c r="K333" s="21" t="s">
        <v>1968</v>
      </c>
      <c r="L333" s="22" t="str">
        <f t="shared" si="25"/>
        <v>EXCLUDE</v>
      </c>
      <c r="M333" s="22" t="str">
        <f t="shared" si="26"/>
        <v>Wrong domain (non-AECO)</v>
      </c>
      <c r="N333" s="23"/>
      <c r="O333" s="23"/>
      <c r="P333" s="24"/>
      <c r="Q333" s="24"/>
      <c r="R333" s="24"/>
      <c r="S333" s="22" t="str">
        <f t="shared" si="27"/>
        <v/>
      </c>
      <c r="T333" s="22" t="str">
        <f t="shared" si="28"/>
        <v/>
      </c>
      <c r="U333" s="25"/>
      <c r="V333" s="25"/>
      <c r="W333" s="25"/>
      <c r="X333" s="25"/>
      <c r="Y333" s="22" t="str">
        <f t="shared" si="29"/>
        <v/>
      </c>
      <c r="Z333" s="25"/>
      <c r="AA333" s="25"/>
      <c r="AB333" s="25"/>
      <c r="AC333" s="25"/>
      <c r="AD333" s="25"/>
      <c r="AE333" s="25"/>
      <c r="AF333" s="25"/>
      <c r="AG333" s="9"/>
      <c r="AH333" s="29"/>
      <c r="AI333" s="29"/>
      <c r="AM333" s="50"/>
      <c r="AN333" s="51" t="s">
        <v>3010</v>
      </c>
      <c r="AO333" s="55" t="s">
        <v>659</v>
      </c>
    </row>
    <row r="334" spans="1:41" ht="45.6" hidden="1" customHeight="1" x14ac:dyDescent="0.3">
      <c r="A334" s="20">
        <v>330</v>
      </c>
      <c r="B334" s="8" t="s">
        <v>3011</v>
      </c>
      <c r="C334" s="26">
        <v>2026</v>
      </c>
      <c r="D334" s="8"/>
      <c r="E334" s="8" t="s">
        <v>662</v>
      </c>
      <c r="F334" s="20" t="s">
        <v>1969</v>
      </c>
      <c r="G334" s="21" t="s">
        <v>1968</v>
      </c>
      <c r="H334" s="21" t="s">
        <v>1968</v>
      </c>
      <c r="I334" s="21" t="s">
        <v>1968</v>
      </c>
      <c r="J334" s="21" t="s">
        <v>1968</v>
      </c>
      <c r="K334" s="21" t="s">
        <v>1968</v>
      </c>
      <c r="L334" s="22" t="str">
        <f t="shared" si="25"/>
        <v>INCLUDE</v>
      </c>
      <c r="M334" s="22" t="str">
        <f t="shared" si="26"/>
        <v/>
      </c>
      <c r="N334" s="23" t="s">
        <v>1968</v>
      </c>
      <c r="O334" s="23" t="s">
        <v>1968</v>
      </c>
      <c r="P334" s="24" t="s">
        <v>1968</v>
      </c>
      <c r="Q334" s="24" t="s">
        <v>1968</v>
      </c>
      <c r="R334" s="24" t="s">
        <v>1968</v>
      </c>
      <c r="S334" s="22" t="str">
        <f t="shared" si="27"/>
        <v>INCLUDE</v>
      </c>
      <c r="T334" s="22" t="str">
        <f t="shared" si="28"/>
        <v/>
      </c>
      <c r="U334" s="25" t="s">
        <v>1982</v>
      </c>
      <c r="V334" s="25">
        <v>0</v>
      </c>
      <c r="W334" s="25">
        <v>0</v>
      </c>
      <c r="X334" s="25">
        <v>1</v>
      </c>
      <c r="Y334" s="22" t="str">
        <f t="shared" si="29"/>
        <v>Single</v>
      </c>
      <c r="Z334" s="25" t="s">
        <v>1922</v>
      </c>
      <c r="AA334" s="25" t="s">
        <v>1993</v>
      </c>
      <c r="AB334" s="25" t="s">
        <v>2014</v>
      </c>
      <c r="AC334" s="25" t="s">
        <v>1986</v>
      </c>
      <c r="AD334" s="25" t="s">
        <v>2003</v>
      </c>
      <c r="AE334" s="25">
        <v>4</v>
      </c>
      <c r="AF334" s="25" t="s">
        <v>2010</v>
      </c>
      <c r="AG334" s="9" t="s">
        <v>3012</v>
      </c>
      <c r="AH334" s="29" t="s">
        <v>3013</v>
      </c>
      <c r="AI334" s="29" t="s">
        <v>3014</v>
      </c>
      <c r="AJ334" t="s">
        <v>2005</v>
      </c>
      <c r="AK334" t="s">
        <v>3015</v>
      </c>
      <c r="AL334" t="s">
        <v>1978</v>
      </c>
      <c r="AM334" s="50"/>
      <c r="AN334" s="51" t="s">
        <v>3016</v>
      </c>
      <c r="AO334" s="55" t="s">
        <v>661</v>
      </c>
    </row>
    <row r="335" spans="1:41" ht="91.2" customHeight="1" x14ac:dyDescent="0.3">
      <c r="A335" s="20">
        <v>331</v>
      </c>
      <c r="B335" s="8" t="s">
        <v>3017</v>
      </c>
      <c r="C335" s="26">
        <v>2026</v>
      </c>
      <c r="D335" s="8"/>
      <c r="E335" s="8" t="s">
        <v>663</v>
      </c>
      <c r="F335" s="20" t="s">
        <v>1969</v>
      </c>
      <c r="G335" s="21" t="s">
        <v>1968</v>
      </c>
      <c r="H335" s="21" t="s">
        <v>1968</v>
      </c>
      <c r="I335" s="21" t="s">
        <v>1968</v>
      </c>
      <c r="J335" s="21" t="s">
        <v>1968</v>
      </c>
      <c r="K335" s="21" t="s">
        <v>1968</v>
      </c>
      <c r="L335" s="22" t="str">
        <f t="shared" si="25"/>
        <v>INCLUDE</v>
      </c>
      <c r="M335" s="22" t="str">
        <f t="shared" si="26"/>
        <v/>
      </c>
      <c r="N335" s="23" t="s">
        <v>1968</v>
      </c>
      <c r="O335" s="23" t="s">
        <v>1968</v>
      </c>
      <c r="P335" s="24" t="s">
        <v>1968</v>
      </c>
      <c r="Q335" s="24" t="s">
        <v>1968</v>
      </c>
      <c r="R335" s="24" t="s">
        <v>1968</v>
      </c>
      <c r="S335" s="22" t="str">
        <f t="shared" si="27"/>
        <v>INCLUDE</v>
      </c>
      <c r="T335" s="22" t="str">
        <f t="shared" si="28"/>
        <v/>
      </c>
      <c r="U335" s="25" t="s">
        <v>1971</v>
      </c>
      <c r="V335" s="25">
        <v>0</v>
      </c>
      <c r="W335" s="25">
        <v>0</v>
      </c>
      <c r="X335" s="25">
        <v>1</v>
      </c>
      <c r="Y335" s="22" t="str">
        <f t="shared" si="29"/>
        <v>Single</v>
      </c>
      <c r="Z335" s="25" t="s">
        <v>1922</v>
      </c>
      <c r="AA335" s="25" t="s">
        <v>1972</v>
      </c>
      <c r="AB335" s="25" t="s">
        <v>2018</v>
      </c>
      <c r="AC335" s="25" t="s">
        <v>1974</v>
      </c>
      <c r="AD335" s="25" t="s">
        <v>1987</v>
      </c>
      <c r="AE335" s="25">
        <v>3</v>
      </c>
      <c r="AF335" s="25" t="s">
        <v>2004</v>
      </c>
      <c r="AG335" s="9" t="s">
        <v>3018</v>
      </c>
      <c r="AH335" s="29" t="s">
        <v>3019</v>
      </c>
      <c r="AI335" s="29" t="s">
        <v>3020</v>
      </c>
      <c r="AJ335" t="s">
        <v>1977</v>
      </c>
      <c r="AK335" t="s">
        <v>3021</v>
      </c>
      <c r="AL335" t="s">
        <v>1978</v>
      </c>
      <c r="AM335" s="50"/>
      <c r="AN335" s="51" t="s">
        <v>3022</v>
      </c>
      <c r="AO335" s="55" t="s">
        <v>504</v>
      </c>
    </row>
    <row r="336" spans="1:41" ht="114" customHeight="1" x14ac:dyDescent="0.3">
      <c r="A336" s="20">
        <v>332</v>
      </c>
      <c r="B336" s="8" t="s">
        <v>3023</v>
      </c>
      <c r="C336" s="26">
        <v>2026</v>
      </c>
      <c r="D336" s="8"/>
      <c r="E336" s="8" t="s">
        <v>665</v>
      </c>
      <c r="F336" s="20" t="s">
        <v>1969</v>
      </c>
      <c r="G336" s="21" t="s">
        <v>1968</v>
      </c>
      <c r="H336" s="21" t="s">
        <v>1979</v>
      </c>
      <c r="I336" s="21" t="s">
        <v>1968</v>
      </c>
      <c r="J336" s="21" t="s">
        <v>1968</v>
      </c>
      <c r="K336" s="21" t="s">
        <v>1968</v>
      </c>
      <c r="L336" s="22" t="str">
        <f t="shared" si="25"/>
        <v>EXCLUDE</v>
      </c>
      <c r="M336" s="22" t="str">
        <f t="shared" si="26"/>
        <v>Digital Twin not core / buzzword</v>
      </c>
      <c r="N336" s="23"/>
      <c r="O336" s="23"/>
      <c r="P336" s="24"/>
      <c r="Q336" s="24"/>
      <c r="R336" s="24"/>
      <c r="S336" s="22" t="str">
        <f t="shared" si="27"/>
        <v/>
      </c>
      <c r="T336" s="22" t="str">
        <f t="shared" si="28"/>
        <v/>
      </c>
      <c r="U336" s="25"/>
      <c r="V336" s="25"/>
      <c r="W336" s="25"/>
      <c r="X336" s="25"/>
      <c r="Y336" s="22" t="str">
        <f t="shared" si="29"/>
        <v/>
      </c>
      <c r="Z336" s="25"/>
      <c r="AA336" s="25"/>
      <c r="AB336" s="25"/>
      <c r="AC336" s="25"/>
      <c r="AD336" s="25"/>
      <c r="AE336" s="25"/>
      <c r="AF336" s="25"/>
      <c r="AG336" s="9"/>
      <c r="AH336" s="29"/>
      <c r="AI336" s="29"/>
      <c r="AM336" s="50"/>
      <c r="AN336" s="51" t="s">
        <v>3024</v>
      </c>
      <c r="AO336" s="55" t="s">
        <v>664</v>
      </c>
    </row>
    <row r="337" spans="1:41" ht="273.60000000000002" customHeight="1" x14ac:dyDescent="0.3">
      <c r="A337" s="20">
        <v>333</v>
      </c>
      <c r="B337" s="8" t="s">
        <v>3025</v>
      </c>
      <c r="C337" s="26">
        <v>2025</v>
      </c>
      <c r="D337" s="8"/>
      <c r="E337" s="8" t="s">
        <v>667</v>
      </c>
      <c r="F337" s="20" t="s">
        <v>1969</v>
      </c>
      <c r="G337" s="21" t="s">
        <v>1968</v>
      </c>
      <c r="H337" s="21" t="s">
        <v>1979</v>
      </c>
      <c r="I337" s="21" t="s">
        <v>1968</v>
      </c>
      <c r="J337" s="21" t="s">
        <v>1968</v>
      </c>
      <c r="K337" s="21" t="s">
        <v>1968</v>
      </c>
      <c r="L337" s="22" t="str">
        <f t="shared" si="25"/>
        <v>EXCLUDE</v>
      </c>
      <c r="M337" s="22" t="str">
        <f t="shared" si="26"/>
        <v>Digital Twin not core / buzzword</v>
      </c>
      <c r="N337" s="23"/>
      <c r="O337" s="23"/>
      <c r="P337" s="24"/>
      <c r="Q337" s="24"/>
      <c r="R337" s="24"/>
      <c r="S337" s="22" t="str">
        <f t="shared" si="27"/>
        <v/>
      </c>
      <c r="T337" s="22" t="str">
        <f t="shared" si="28"/>
        <v/>
      </c>
      <c r="U337" s="25"/>
      <c r="V337" s="25"/>
      <c r="W337" s="25"/>
      <c r="X337" s="25"/>
      <c r="Y337" s="22" t="str">
        <f t="shared" si="29"/>
        <v/>
      </c>
      <c r="Z337" s="25"/>
      <c r="AA337" s="25"/>
      <c r="AB337" s="25"/>
      <c r="AC337" s="25"/>
      <c r="AD337" s="25"/>
      <c r="AE337" s="25"/>
      <c r="AF337" s="25"/>
      <c r="AG337" s="9"/>
      <c r="AH337" s="29"/>
      <c r="AI337" s="29"/>
      <c r="AM337" s="50"/>
      <c r="AN337" s="51" t="s">
        <v>3026</v>
      </c>
      <c r="AO337" s="55" t="s">
        <v>666</v>
      </c>
    </row>
    <row r="338" spans="1:41" ht="102.6" customHeight="1" x14ac:dyDescent="0.3">
      <c r="A338" s="20">
        <v>334</v>
      </c>
      <c r="B338" s="8" t="s">
        <v>3027</v>
      </c>
      <c r="C338" s="26">
        <v>2025</v>
      </c>
      <c r="D338" s="8"/>
      <c r="E338" s="8" t="s">
        <v>669</v>
      </c>
      <c r="F338" s="20" t="s">
        <v>1969</v>
      </c>
      <c r="G338" s="21" t="s">
        <v>1968</v>
      </c>
      <c r="H338" s="21" t="s">
        <v>1968</v>
      </c>
      <c r="I338" s="21" t="s">
        <v>1968</v>
      </c>
      <c r="J338" s="21" t="s">
        <v>1968</v>
      </c>
      <c r="K338" s="21" t="s">
        <v>1968</v>
      </c>
      <c r="L338" s="22" t="str">
        <f t="shared" si="25"/>
        <v>INCLUDE</v>
      </c>
      <c r="M338" s="22" t="str">
        <f t="shared" si="26"/>
        <v/>
      </c>
      <c r="N338" s="23" t="s">
        <v>1968</v>
      </c>
      <c r="O338" s="23" t="s">
        <v>1968</v>
      </c>
      <c r="P338" s="24" t="s">
        <v>1968</v>
      </c>
      <c r="Q338" s="24" t="s">
        <v>1968</v>
      </c>
      <c r="R338" s="24" t="s">
        <v>1968</v>
      </c>
      <c r="S338" s="22" t="str">
        <f t="shared" si="27"/>
        <v>INCLUDE</v>
      </c>
      <c r="T338" s="22" t="str">
        <f t="shared" si="28"/>
        <v/>
      </c>
      <c r="U338" s="25" t="s">
        <v>1982</v>
      </c>
      <c r="V338" s="25">
        <v>0</v>
      </c>
      <c r="W338" s="25">
        <v>1</v>
      </c>
      <c r="X338" s="25">
        <v>0</v>
      </c>
      <c r="Y338" s="22" t="str">
        <f t="shared" si="29"/>
        <v>Single</v>
      </c>
      <c r="Z338" s="25" t="s">
        <v>1922</v>
      </c>
      <c r="AA338" s="25" t="s">
        <v>1993</v>
      </c>
      <c r="AB338" s="25" t="s">
        <v>2018</v>
      </c>
      <c r="AC338" s="25" t="s">
        <v>1986</v>
      </c>
      <c r="AD338" s="25" t="s">
        <v>2003</v>
      </c>
      <c r="AE338" s="25">
        <v>4</v>
      </c>
      <c r="AF338" s="25" t="s">
        <v>2010</v>
      </c>
      <c r="AG338" s="9" t="s">
        <v>3028</v>
      </c>
      <c r="AH338" s="29" t="s">
        <v>3029</v>
      </c>
      <c r="AI338" s="29" t="s">
        <v>3030</v>
      </c>
      <c r="AJ338" t="s">
        <v>2005</v>
      </c>
      <c r="AK338" t="s">
        <v>3031</v>
      </c>
      <c r="AL338" t="s">
        <v>1978</v>
      </c>
      <c r="AM338" s="50"/>
      <c r="AN338" s="51" t="s">
        <v>3032</v>
      </c>
      <c r="AO338" s="55" t="s">
        <v>668</v>
      </c>
    </row>
    <row r="339" spans="1:41" ht="91.2" customHeight="1" x14ac:dyDescent="0.3">
      <c r="A339" s="20">
        <v>335</v>
      </c>
      <c r="B339" s="8" t="s">
        <v>3033</v>
      </c>
      <c r="C339" s="26">
        <v>2026</v>
      </c>
      <c r="D339" s="8"/>
      <c r="E339" s="8" t="s">
        <v>671</v>
      </c>
      <c r="F339" s="20" t="s">
        <v>1969</v>
      </c>
      <c r="G339" s="21" t="s">
        <v>1968</v>
      </c>
      <c r="H339" s="21" t="s">
        <v>1979</v>
      </c>
      <c r="I339" s="21" t="s">
        <v>1968</v>
      </c>
      <c r="J339" s="21" t="s">
        <v>1968</v>
      </c>
      <c r="K339" s="21" t="s">
        <v>1968</v>
      </c>
      <c r="L339" s="22" t="str">
        <f t="shared" si="25"/>
        <v>EXCLUDE</v>
      </c>
      <c r="M339" s="22" t="str">
        <f t="shared" si="26"/>
        <v>Digital Twin not core / buzzword</v>
      </c>
      <c r="N339" s="23"/>
      <c r="O339" s="23"/>
      <c r="P339" s="24"/>
      <c r="Q339" s="24"/>
      <c r="R339" s="24"/>
      <c r="S339" s="22" t="str">
        <f t="shared" si="27"/>
        <v/>
      </c>
      <c r="T339" s="22" t="str">
        <f t="shared" si="28"/>
        <v/>
      </c>
      <c r="U339" s="25"/>
      <c r="V339" s="25"/>
      <c r="W339" s="25"/>
      <c r="X339" s="25"/>
      <c r="Y339" s="22" t="str">
        <f t="shared" si="29"/>
        <v/>
      </c>
      <c r="Z339" s="25"/>
      <c r="AA339" s="25"/>
      <c r="AB339" s="25"/>
      <c r="AC339" s="25"/>
      <c r="AD339" s="25"/>
      <c r="AE339" s="25"/>
      <c r="AF339" s="25"/>
      <c r="AG339" s="9"/>
      <c r="AH339" s="29"/>
      <c r="AI339" s="29"/>
      <c r="AM339" s="50"/>
      <c r="AN339" s="51" t="s">
        <v>3034</v>
      </c>
      <c r="AO339" s="55" t="s">
        <v>670</v>
      </c>
    </row>
    <row r="340" spans="1:41" ht="79.95" hidden="1" customHeight="1" x14ac:dyDescent="0.3">
      <c r="A340" s="20">
        <v>336</v>
      </c>
      <c r="B340" s="8" t="s">
        <v>3035</v>
      </c>
      <c r="C340" s="26">
        <v>2025</v>
      </c>
      <c r="D340" s="8"/>
      <c r="E340" s="8" t="s">
        <v>673</v>
      </c>
      <c r="F340" s="20" t="s">
        <v>1969</v>
      </c>
      <c r="G340" s="21" t="s">
        <v>1968</v>
      </c>
      <c r="H340" s="21" t="s">
        <v>1979</v>
      </c>
      <c r="I340" s="21" t="s">
        <v>1968</v>
      </c>
      <c r="J340" s="21" t="s">
        <v>1968</v>
      </c>
      <c r="K340" s="21" t="s">
        <v>1968</v>
      </c>
      <c r="L340" s="22" t="str">
        <f t="shared" si="25"/>
        <v>EXCLUDE</v>
      </c>
      <c r="M340" s="22" t="str">
        <f t="shared" si="26"/>
        <v>Digital Twin not core / buzzword</v>
      </c>
      <c r="N340" s="23"/>
      <c r="O340" s="23"/>
      <c r="P340" s="24"/>
      <c r="Q340" s="24"/>
      <c r="R340" s="24"/>
      <c r="S340" s="22" t="str">
        <f t="shared" si="27"/>
        <v/>
      </c>
      <c r="T340" s="22" t="str">
        <f t="shared" si="28"/>
        <v/>
      </c>
      <c r="U340" s="25"/>
      <c r="V340" s="25"/>
      <c r="W340" s="25"/>
      <c r="X340" s="25"/>
      <c r="Y340" s="22" t="str">
        <f t="shared" si="29"/>
        <v/>
      </c>
      <c r="Z340" s="25"/>
      <c r="AA340" s="25"/>
      <c r="AB340" s="25"/>
      <c r="AC340" s="25"/>
      <c r="AD340" s="25"/>
      <c r="AE340" s="25"/>
      <c r="AF340" s="25"/>
      <c r="AG340" s="9"/>
      <c r="AH340" s="29"/>
      <c r="AI340" s="29"/>
      <c r="AM340" s="50"/>
      <c r="AN340" s="51" t="s">
        <v>3036</v>
      </c>
      <c r="AO340" s="55" t="s">
        <v>672</v>
      </c>
    </row>
    <row r="341" spans="1:41" ht="45.6" hidden="1" customHeight="1" x14ac:dyDescent="0.3">
      <c r="A341" s="20">
        <v>337</v>
      </c>
      <c r="B341" s="8" t="s">
        <v>2152</v>
      </c>
      <c r="C341" s="26">
        <v>2025</v>
      </c>
      <c r="D341" s="8"/>
      <c r="E341" s="8" t="s">
        <v>675</v>
      </c>
      <c r="F341" s="20" t="s">
        <v>1969</v>
      </c>
      <c r="G341" s="21" t="s">
        <v>1968</v>
      </c>
      <c r="H341" s="21" t="s">
        <v>1979</v>
      </c>
      <c r="I341" s="21" t="s">
        <v>1968</v>
      </c>
      <c r="J341" s="21" t="s">
        <v>1968</v>
      </c>
      <c r="K341" s="21" t="s">
        <v>1968</v>
      </c>
      <c r="L341" s="22" t="str">
        <f t="shared" si="25"/>
        <v>EXCLUDE</v>
      </c>
      <c r="M341" s="22" t="str">
        <f t="shared" si="26"/>
        <v>Digital Twin not core / buzzword</v>
      </c>
      <c r="N341" s="23"/>
      <c r="O341" s="23"/>
      <c r="P341" s="24"/>
      <c r="Q341" s="24"/>
      <c r="R341" s="24"/>
      <c r="S341" s="22" t="str">
        <f t="shared" si="27"/>
        <v/>
      </c>
      <c r="T341" s="22" t="str">
        <f t="shared" si="28"/>
        <v/>
      </c>
      <c r="U341" s="25"/>
      <c r="V341" s="25"/>
      <c r="W341" s="25"/>
      <c r="X341" s="25"/>
      <c r="Y341" s="22" t="str">
        <f t="shared" si="29"/>
        <v/>
      </c>
      <c r="Z341" s="25"/>
      <c r="AA341" s="25"/>
      <c r="AB341" s="25"/>
      <c r="AC341" s="25"/>
      <c r="AD341" s="25"/>
      <c r="AE341" s="25"/>
      <c r="AF341" s="25"/>
      <c r="AG341" s="9"/>
      <c r="AH341" s="29"/>
      <c r="AI341" s="29"/>
      <c r="AM341" s="50"/>
      <c r="AN341" s="51" t="s">
        <v>3037</v>
      </c>
      <c r="AO341" s="55" t="s">
        <v>674</v>
      </c>
    </row>
    <row r="342" spans="1:41" ht="45.6" hidden="1" customHeight="1" x14ac:dyDescent="0.3">
      <c r="A342" s="20">
        <v>338</v>
      </c>
      <c r="B342" s="8" t="s">
        <v>3038</v>
      </c>
      <c r="C342" s="26">
        <v>2026</v>
      </c>
      <c r="D342" s="8"/>
      <c r="E342" s="8" t="s">
        <v>677</v>
      </c>
      <c r="F342" s="20" t="s">
        <v>1969</v>
      </c>
      <c r="G342" s="21" t="s">
        <v>1979</v>
      </c>
      <c r="H342" s="21" t="s">
        <v>1968</v>
      </c>
      <c r="I342" s="21" t="s">
        <v>1968</v>
      </c>
      <c r="J342" s="21" t="s">
        <v>1968</v>
      </c>
      <c r="K342" s="21" t="s">
        <v>1968</v>
      </c>
      <c r="L342" s="22" t="str">
        <f t="shared" si="25"/>
        <v>EXCLUDE</v>
      </c>
      <c r="M342" s="22" t="str">
        <f t="shared" si="26"/>
        <v>Wrong domain (non-AECO)</v>
      </c>
      <c r="N342" s="23"/>
      <c r="O342" s="23"/>
      <c r="P342" s="24"/>
      <c r="Q342" s="24"/>
      <c r="R342" s="24"/>
      <c r="S342" s="22" t="str">
        <f t="shared" si="27"/>
        <v/>
      </c>
      <c r="T342" s="22" t="str">
        <f t="shared" si="28"/>
        <v/>
      </c>
      <c r="U342" s="25"/>
      <c r="V342" s="25"/>
      <c r="W342" s="25"/>
      <c r="X342" s="25"/>
      <c r="Y342" s="22" t="str">
        <f t="shared" si="29"/>
        <v/>
      </c>
      <c r="Z342" s="25"/>
      <c r="AA342" s="25"/>
      <c r="AB342" s="25"/>
      <c r="AC342" s="25"/>
      <c r="AD342" s="25"/>
      <c r="AE342" s="25"/>
      <c r="AF342" s="25"/>
      <c r="AG342" s="9"/>
      <c r="AH342" s="29"/>
      <c r="AI342" s="29"/>
      <c r="AM342" s="50"/>
      <c r="AN342" s="51" t="s">
        <v>3039</v>
      </c>
      <c r="AO342" s="55" t="s">
        <v>676</v>
      </c>
    </row>
    <row r="343" spans="1:41" ht="91.2" hidden="1" customHeight="1" x14ac:dyDescent="0.3">
      <c r="A343" s="20">
        <v>339</v>
      </c>
      <c r="B343" s="8" t="s">
        <v>3040</v>
      </c>
      <c r="C343" s="26">
        <v>2026</v>
      </c>
      <c r="D343" s="8"/>
      <c r="E343" s="8" t="s">
        <v>679</v>
      </c>
      <c r="F343" s="20" t="s">
        <v>1969</v>
      </c>
      <c r="G343" s="21" t="s">
        <v>1968</v>
      </c>
      <c r="H343" s="21" t="s">
        <v>1968</v>
      </c>
      <c r="I343" s="21" t="s">
        <v>1968</v>
      </c>
      <c r="J343" s="21" t="s">
        <v>1968</v>
      </c>
      <c r="K343" s="21" t="s">
        <v>1968</v>
      </c>
      <c r="L343" s="22" t="str">
        <f t="shared" si="25"/>
        <v>INCLUDE</v>
      </c>
      <c r="M343" s="22" t="str">
        <f t="shared" si="26"/>
        <v/>
      </c>
      <c r="N343" s="23" t="s">
        <v>1968</v>
      </c>
      <c r="O343" s="23" t="s">
        <v>1968</v>
      </c>
      <c r="P343" s="24" t="s">
        <v>1968</v>
      </c>
      <c r="Q343" s="24" t="s">
        <v>1968</v>
      </c>
      <c r="R343" s="24" t="s">
        <v>1968</v>
      </c>
      <c r="S343" s="22" t="str">
        <f t="shared" si="27"/>
        <v>INCLUDE</v>
      </c>
      <c r="T343" s="22" t="str">
        <f t="shared" si="28"/>
        <v/>
      </c>
      <c r="U343" s="25" t="s">
        <v>1982</v>
      </c>
      <c r="V343" s="25">
        <v>0</v>
      </c>
      <c r="W343" s="25">
        <v>1</v>
      </c>
      <c r="X343" s="25">
        <v>0</v>
      </c>
      <c r="Y343" s="22" t="str">
        <f t="shared" si="29"/>
        <v>Single</v>
      </c>
      <c r="Z343" s="25" t="s">
        <v>1922</v>
      </c>
      <c r="AA343" s="25" t="s">
        <v>1972</v>
      </c>
      <c r="AB343" s="25" t="s">
        <v>2017</v>
      </c>
      <c r="AC343" s="25" t="s">
        <v>1986</v>
      </c>
      <c r="AD343" s="25" t="s">
        <v>2003</v>
      </c>
      <c r="AE343" s="25">
        <v>4</v>
      </c>
      <c r="AF343" s="25" t="s">
        <v>2004</v>
      </c>
      <c r="AG343" s="9" t="s">
        <v>3041</v>
      </c>
      <c r="AH343" s="29" t="s">
        <v>3042</v>
      </c>
      <c r="AI343" s="29" t="s">
        <v>3043</v>
      </c>
      <c r="AJ343" t="s">
        <v>2005</v>
      </c>
      <c r="AK343" t="s">
        <v>3044</v>
      </c>
      <c r="AL343" t="s">
        <v>1978</v>
      </c>
      <c r="AM343" s="50"/>
      <c r="AN343" s="51" t="s">
        <v>3045</v>
      </c>
      <c r="AO343" s="55" t="s">
        <v>678</v>
      </c>
    </row>
    <row r="344" spans="1:41" ht="79.95" customHeight="1" x14ac:dyDescent="0.3">
      <c r="A344" s="20">
        <v>340</v>
      </c>
      <c r="B344" s="8" t="s">
        <v>3046</v>
      </c>
      <c r="C344" s="26">
        <v>2026</v>
      </c>
      <c r="D344" s="8"/>
      <c r="E344" s="8" t="s">
        <v>681</v>
      </c>
      <c r="F344" s="20" t="s">
        <v>1969</v>
      </c>
      <c r="G344" s="21" t="s">
        <v>1968</v>
      </c>
      <c r="H344" s="21" t="s">
        <v>1979</v>
      </c>
      <c r="I344" s="21" t="s">
        <v>1968</v>
      </c>
      <c r="J344" s="21" t="s">
        <v>1968</v>
      </c>
      <c r="K344" s="21" t="s">
        <v>1968</v>
      </c>
      <c r="L344" s="22" t="str">
        <f t="shared" si="25"/>
        <v>EXCLUDE</v>
      </c>
      <c r="M344" s="22" t="str">
        <f t="shared" si="26"/>
        <v>Digital Twin not core / buzzword</v>
      </c>
      <c r="N344" s="23"/>
      <c r="O344" s="23"/>
      <c r="P344" s="24"/>
      <c r="Q344" s="24"/>
      <c r="R344" s="24"/>
      <c r="S344" s="22" t="str">
        <f t="shared" si="27"/>
        <v/>
      </c>
      <c r="T344" s="22" t="str">
        <f t="shared" si="28"/>
        <v/>
      </c>
      <c r="U344" s="25"/>
      <c r="V344" s="25"/>
      <c r="W344" s="25"/>
      <c r="X344" s="25"/>
      <c r="Y344" s="22" t="str">
        <f t="shared" si="29"/>
        <v/>
      </c>
      <c r="Z344" s="25"/>
      <c r="AA344" s="25"/>
      <c r="AB344" s="25"/>
      <c r="AC344" s="25"/>
      <c r="AD344" s="25"/>
      <c r="AE344" s="25"/>
      <c r="AF344" s="25"/>
      <c r="AG344" s="9"/>
      <c r="AH344" s="29"/>
      <c r="AI344" s="29"/>
      <c r="AM344" s="50"/>
      <c r="AN344" s="51" t="s">
        <v>3047</v>
      </c>
      <c r="AO344" s="55" t="s">
        <v>680</v>
      </c>
    </row>
    <row r="345" spans="1:41" ht="68.400000000000006" hidden="1" customHeight="1" x14ac:dyDescent="0.3">
      <c r="A345" s="20">
        <v>341</v>
      </c>
      <c r="B345" s="8" t="s">
        <v>3048</v>
      </c>
      <c r="C345" s="26">
        <v>2026</v>
      </c>
      <c r="D345" s="8"/>
      <c r="E345" s="8" t="s">
        <v>683</v>
      </c>
      <c r="F345" s="20" t="s">
        <v>1969</v>
      </c>
      <c r="G345" s="21" t="s">
        <v>1979</v>
      </c>
      <c r="H345" s="21" t="s">
        <v>1968</v>
      </c>
      <c r="I345" s="21" t="s">
        <v>1979</v>
      </c>
      <c r="J345" s="21" t="s">
        <v>1968</v>
      </c>
      <c r="K345" s="21" t="s">
        <v>1968</v>
      </c>
      <c r="L345" s="22" t="str">
        <f t="shared" si="25"/>
        <v>EXCLUDE</v>
      </c>
      <c r="M345" s="22" t="str">
        <f t="shared" si="26"/>
        <v>Wrong domain (non-AECO)</v>
      </c>
      <c r="N345" s="23"/>
      <c r="O345" s="23"/>
      <c r="P345" s="24"/>
      <c r="Q345" s="24"/>
      <c r="R345" s="24"/>
      <c r="S345" s="22" t="str">
        <f t="shared" si="27"/>
        <v/>
      </c>
      <c r="T345" s="22" t="str">
        <f t="shared" si="28"/>
        <v/>
      </c>
      <c r="U345" s="25"/>
      <c r="V345" s="25"/>
      <c r="W345" s="25"/>
      <c r="X345" s="25"/>
      <c r="Y345" s="22" t="str">
        <f t="shared" si="29"/>
        <v/>
      </c>
      <c r="Z345" s="25"/>
      <c r="AA345" s="25"/>
      <c r="AB345" s="25"/>
      <c r="AC345" s="25"/>
      <c r="AD345" s="25"/>
      <c r="AE345" s="25"/>
      <c r="AF345" s="25"/>
      <c r="AG345" s="9"/>
      <c r="AH345" s="29"/>
      <c r="AI345" s="29"/>
      <c r="AM345" s="50"/>
      <c r="AN345" s="51" t="s">
        <v>3049</v>
      </c>
      <c r="AO345" s="55" t="s">
        <v>682</v>
      </c>
    </row>
    <row r="346" spans="1:41" ht="45.6" hidden="1" customHeight="1" x14ac:dyDescent="0.3">
      <c r="A346" s="20">
        <v>342</v>
      </c>
      <c r="B346" s="8" t="s">
        <v>3050</v>
      </c>
      <c r="C346" s="26">
        <v>2026</v>
      </c>
      <c r="D346" s="8"/>
      <c r="E346" s="8" t="s">
        <v>685</v>
      </c>
      <c r="F346" s="20" t="s">
        <v>1969</v>
      </c>
      <c r="G346" s="21" t="s">
        <v>1968</v>
      </c>
      <c r="H346" s="21" t="s">
        <v>1979</v>
      </c>
      <c r="I346" s="21" t="s">
        <v>1968</v>
      </c>
      <c r="J346" s="21" t="s">
        <v>1968</v>
      </c>
      <c r="K346" s="21" t="s">
        <v>1968</v>
      </c>
      <c r="L346" s="22" t="str">
        <f t="shared" si="25"/>
        <v>EXCLUDE</v>
      </c>
      <c r="M346" s="22" t="str">
        <f t="shared" si="26"/>
        <v>Digital Twin not core / buzzword</v>
      </c>
      <c r="N346" s="23"/>
      <c r="O346" s="23"/>
      <c r="P346" s="24"/>
      <c r="Q346" s="24"/>
      <c r="R346" s="24"/>
      <c r="S346" s="22" t="str">
        <f t="shared" si="27"/>
        <v/>
      </c>
      <c r="T346" s="22" t="str">
        <f t="shared" si="28"/>
        <v/>
      </c>
      <c r="U346" s="25"/>
      <c r="V346" s="25"/>
      <c r="W346" s="25"/>
      <c r="X346" s="25"/>
      <c r="Y346" s="22" t="str">
        <f t="shared" si="29"/>
        <v/>
      </c>
      <c r="Z346" s="25"/>
      <c r="AA346" s="25"/>
      <c r="AB346" s="25"/>
      <c r="AC346" s="25"/>
      <c r="AD346" s="25"/>
      <c r="AE346" s="25"/>
      <c r="AF346" s="25"/>
      <c r="AG346" s="9"/>
      <c r="AH346" s="29"/>
      <c r="AI346" s="29"/>
      <c r="AM346" s="50"/>
      <c r="AN346" s="51" t="s">
        <v>3051</v>
      </c>
      <c r="AO346" s="55" t="s">
        <v>684</v>
      </c>
    </row>
    <row r="347" spans="1:41" ht="91.2" customHeight="1" x14ac:dyDescent="0.3">
      <c r="A347" s="20">
        <v>343</v>
      </c>
      <c r="B347" s="8" t="s">
        <v>3052</v>
      </c>
      <c r="C347" s="26">
        <v>2026</v>
      </c>
      <c r="D347" s="8"/>
      <c r="E347" s="8" t="s">
        <v>687</v>
      </c>
      <c r="F347" s="20" t="s">
        <v>1969</v>
      </c>
      <c r="G347" s="21" t="s">
        <v>1979</v>
      </c>
      <c r="H347" s="21" t="s">
        <v>1968</v>
      </c>
      <c r="I347" s="21" t="s">
        <v>1979</v>
      </c>
      <c r="J347" s="21" t="s">
        <v>1968</v>
      </c>
      <c r="K347" s="21" t="s">
        <v>1968</v>
      </c>
      <c r="L347" s="22" t="str">
        <f t="shared" si="25"/>
        <v>EXCLUDE</v>
      </c>
      <c r="M347" s="22" t="str">
        <f t="shared" si="26"/>
        <v>Wrong domain (non-AECO)</v>
      </c>
      <c r="N347" s="23"/>
      <c r="O347" s="23"/>
      <c r="P347" s="24"/>
      <c r="Q347" s="24"/>
      <c r="R347" s="24"/>
      <c r="S347" s="22" t="str">
        <f t="shared" si="27"/>
        <v/>
      </c>
      <c r="T347" s="22" t="str">
        <f t="shared" si="28"/>
        <v/>
      </c>
      <c r="U347" s="25"/>
      <c r="V347" s="25"/>
      <c r="W347" s="25"/>
      <c r="X347" s="25"/>
      <c r="Y347" s="22" t="str">
        <f t="shared" si="29"/>
        <v/>
      </c>
      <c r="Z347" s="25"/>
      <c r="AA347" s="25"/>
      <c r="AB347" s="25"/>
      <c r="AC347" s="25"/>
      <c r="AD347" s="25"/>
      <c r="AE347" s="25"/>
      <c r="AF347" s="25"/>
      <c r="AG347" s="9"/>
      <c r="AH347" s="29"/>
      <c r="AI347" s="29"/>
      <c r="AM347" s="50"/>
      <c r="AN347" s="51" t="s">
        <v>3053</v>
      </c>
      <c r="AO347" s="55" t="s">
        <v>686</v>
      </c>
    </row>
    <row r="348" spans="1:41" ht="57" hidden="1" customHeight="1" x14ac:dyDescent="0.3">
      <c r="A348" s="20">
        <v>344</v>
      </c>
      <c r="B348" s="8" t="s">
        <v>3054</v>
      </c>
      <c r="C348" s="26">
        <v>2026</v>
      </c>
      <c r="D348" s="8"/>
      <c r="E348" s="8" t="s">
        <v>689</v>
      </c>
      <c r="F348" s="20" t="s">
        <v>1969</v>
      </c>
      <c r="G348" s="21" t="s">
        <v>1968</v>
      </c>
      <c r="H348" s="21" t="s">
        <v>1979</v>
      </c>
      <c r="I348" s="21" t="s">
        <v>1968</v>
      </c>
      <c r="J348" s="21" t="s">
        <v>1968</v>
      </c>
      <c r="K348" s="21" t="s">
        <v>1968</v>
      </c>
      <c r="L348" s="22" t="str">
        <f t="shared" si="25"/>
        <v>EXCLUDE</v>
      </c>
      <c r="M348" s="22" t="str">
        <f t="shared" si="26"/>
        <v>Digital Twin not core / buzzword</v>
      </c>
      <c r="N348" s="23"/>
      <c r="O348" s="23"/>
      <c r="P348" s="24"/>
      <c r="Q348" s="24"/>
      <c r="R348" s="24"/>
      <c r="S348" s="22" t="str">
        <f t="shared" si="27"/>
        <v/>
      </c>
      <c r="T348" s="22" t="str">
        <f t="shared" si="28"/>
        <v/>
      </c>
      <c r="U348" s="25"/>
      <c r="V348" s="25"/>
      <c r="W348" s="25"/>
      <c r="X348" s="25"/>
      <c r="Y348" s="22" t="str">
        <f t="shared" si="29"/>
        <v/>
      </c>
      <c r="Z348" s="25"/>
      <c r="AA348" s="25"/>
      <c r="AB348" s="25"/>
      <c r="AC348" s="25"/>
      <c r="AD348" s="25"/>
      <c r="AE348" s="25"/>
      <c r="AF348" s="25"/>
      <c r="AG348" s="9"/>
      <c r="AH348" s="29"/>
      <c r="AI348" s="29"/>
      <c r="AM348" s="50"/>
      <c r="AN348" s="51" t="s">
        <v>3055</v>
      </c>
      <c r="AO348" s="55" t="s">
        <v>688</v>
      </c>
    </row>
    <row r="349" spans="1:41" ht="68.400000000000006" hidden="1" customHeight="1" x14ac:dyDescent="0.3">
      <c r="A349" s="20">
        <v>345</v>
      </c>
      <c r="B349" s="8" t="s">
        <v>3056</v>
      </c>
      <c r="C349" s="26">
        <v>2025</v>
      </c>
      <c r="D349" s="8"/>
      <c r="E349" s="8" t="s">
        <v>691</v>
      </c>
      <c r="F349" s="20" t="s">
        <v>1969</v>
      </c>
      <c r="G349" s="21" t="s">
        <v>1968</v>
      </c>
      <c r="H349" s="21" t="s">
        <v>1968</v>
      </c>
      <c r="I349" s="21" t="s">
        <v>1968</v>
      </c>
      <c r="J349" s="21" t="s">
        <v>1968</v>
      </c>
      <c r="K349" s="21" t="s">
        <v>1968</v>
      </c>
      <c r="L349" s="22" t="str">
        <f t="shared" si="25"/>
        <v>INCLUDE</v>
      </c>
      <c r="M349" s="22" t="str">
        <f t="shared" si="26"/>
        <v/>
      </c>
      <c r="N349" s="23" t="s">
        <v>1968</v>
      </c>
      <c r="O349" s="23" t="s">
        <v>1968</v>
      </c>
      <c r="P349" s="24" t="s">
        <v>1968</v>
      </c>
      <c r="Q349" s="24" t="s">
        <v>1968</v>
      </c>
      <c r="R349" s="24" t="s">
        <v>1968</v>
      </c>
      <c r="S349" s="22" t="str">
        <f t="shared" si="27"/>
        <v>INCLUDE</v>
      </c>
      <c r="T349" s="22" t="str">
        <f t="shared" si="28"/>
        <v/>
      </c>
      <c r="U349" s="25" t="s">
        <v>1982</v>
      </c>
      <c r="V349" s="25">
        <v>0</v>
      </c>
      <c r="W349" s="25">
        <v>1</v>
      </c>
      <c r="X349" s="25">
        <v>0</v>
      </c>
      <c r="Y349" s="22" t="str">
        <f t="shared" si="29"/>
        <v>Single</v>
      </c>
      <c r="Z349" s="25" t="s">
        <v>1922</v>
      </c>
      <c r="AA349" s="25" t="s">
        <v>1972</v>
      </c>
      <c r="AB349" s="25" t="s">
        <v>2017</v>
      </c>
      <c r="AC349" s="25" t="s">
        <v>1986</v>
      </c>
      <c r="AD349" s="25" t="s">
        <v>2003</v>
      </c>
      <c r="AE349" s="25">
        <v>3</v>
      </c>
      <c r="AF349" s="25" t="s">
        <v>1976</v>
      </c>
      <c r="AG349" s="9" t="s">
        <v>3057</v>
      </c>
      <c r="AH349" s="29" t="s">
        <v>3058</v>
      </c>
      <c r="AI349" s="29" t="s">
        <v>3059</v>
      </c>
      <c r="AJ349" t="s">
        <v>2005</v>
      </c>
      <c r="AK349" t="s">
        <v>3060</v>
      </c>
      <c r="AL349" t="s">
        <v>1990</v>
      </c>
      <c r="AM349" s="50"/>
      <c r="AN349" s="51" t="s">
        <v>3061</v>
      </c>
      <c r="AO349" s="55" t="s">
        <v>690</v>
      </c>
    </row>
    <row r="350" spans="1:41" ht="34.200000000000003" hidden="1" customHeight="1" x14ac:dyDescent="0.3">
      <c r="A350" s="20">
        <v>346</v>
      </c>
      <c r="B350" s="8" t="s">
        <v>3062</v>
      </c>
      <c r="C350" s="26">
        <v>2026</v>
      </c>
      <c r="D350" s="8"/>
      <c r="E350" s="8" t="s">
        <v>693</v>
      </c>
      <c r="F350" s="20" t="s">
        <v>1969</v>
      </c>
      <c r="G350" s="21" t="s">
        <v>1968</v>
      </c>
      <c r="H350" s="21" t="s">
        <v>1979</v>
      </c>
      <c r="I350" s="21" t="s">
        <v>1968</v>
      </c>
      <c r="J350" s="21" t="s">
        <v>1968</v>
      </c>
      <c r="K350" s="21" t="s">
        <v>1968</v>
      </c>
      <c r="L350" s="22" t="str">
        <f t="shared" si="25"/>
        <v>EXCLUDE</v>
      </c>
      <c r="M350" s="22" t="str">
        <f t="shared" si="26"/>
        <v>Digital Twin not core / buzzword</v>
      </c>
      <c r="N350" s="23"/>
      <c r="O350" s="23"/>
      <c r="P350" s="24"/>
      <c r="Q350" s="24"/>
      <c r="R350" s="24"/>
      <c r="S350" s="22" t="str">
        <f t="shared" si="27"/>
        <v/>
      </c>
      <c r="T350" s="22" t="str">
        <f t="shared" si="28"/>
        <v/>
      </c>
      <c r="U350" s="25"/>
      <c r="V350" s="25"/>
      <c r="W350" s="25"/>
      <c r="X350" s="25"/>
      <c r="Y350" s="22" t="str">
        <f t="shared" si="29"/>
        <v/>
      </c>
      <c r="Z350" s="25"/>
      <c r="AA350" s="25"/>
      <c r="AB350" s="25"/>
      <c r="AC350" s="25"/>
      <c r="AD350" s="25"/>
      <c r="AE350" s="25"/>
      <c r="AF350" s="25"/>
      <c r="AG350" s="9"/>
      <c r="AH350" s="29"/>
      <c r="AI350" s="29"/>
      <c r="AM350" s="50"/>
      <c r="AN350" s="51" t="s">
        <v>3063</v>
      </c>
      <c r="AO350" s="55" t="s">
        <v>692</v>
      </c>
    </row>
    <row r="351" spans="1:41" ht="114" customHeight="1" x14ac:dyDescent="0.3">
      <c r="A351" s="20">
        <v>347</v>
      </c>
      <c r="B351" s="8" t="s">
        <v>3064</v>
      </c>
      <c r="C351" s="26">
        <v>2026</v>
      </c>
      <c r="D351" s="8"/>
      <c r="E351" s="8" t="s">
        <v>695</v>
      </c>
      <c r="F351" s="20" t="s">
        <v>1969</v>
      </c>
      <c r="G351" s="21" t="s">
        <v>1968</v>
      </c>
      <c r="H351" s="21" t="s">
        <v>1968</v>
      </c>
      <c r="I351" s="21" t="s">
        <v>1968</v>
      </c>
      <c r="J351" s="21" t="s">
        <v>1968</v>
      </c>
      <c r="K351" s="21" t="s">
        <v>1968</v>
      </c>
      <c r="L351" s="22" t="str">
        <f t="shared" si="25"/>
        <v>INCLUDE</v>
      </c>
      <c r="M351" s="22" t="str">
        <f t="shared" si="26"/>
        <v/>
      </c>
      <c r="N351" s="23" t="s">
        <v>1968</v>
      </c>
      <c r="O351" s="23" t="s">
        <v>1968</v>
      </c>
      <c r="P351" s="24" t="s">
        <v>1968</v>
      </c>
      <c r="Q351" s="24" t="s">
        <v>1968</v>
      </c>
      <c r="R351" s="24" t="s">
        <v>1968</v>
      </c>
      <c r="S351" s="22" t="str">
        <f t="shared" si="27"/>
        <v>INCLUDE</v>
      </c>
      <c r="T351" s="22" t="str">
        <f t="shared" si="28"/>
        <v/>
      </c>
      <c r="U351" s="25" t="s">
        <v>1982</v>
      </c>
      <c r="V351" s="25">
        <v>0</v>
      </c>
      <c r="W351" s="25">
        <v>0</v>
      </c>
      <c r="X351" s="25">
        <v>1</v>
      </c>
      <c r="Y351" s="22" t="str">
        <f t="shared" si="29"/>
        <v>Single</v>
      </c>
      <c r="Z351" s="25" t="s">
        <v>1922</v>
      </c>
      <c r="AA351" s="25" t="s">
        <v>1993</v>
      </c>
      <c r="AB351" s="25" t="s">
        <v>2011</v>
      </c>
      <c r="AC351" s="25" t="s">
        <v>1986</v>
      </c>
      <c r="AD351" s="25" t="s">
        <v>2003</v>
      </c>
      <c r="AE351" s="25">
        <v>4</v>
      </c>
      <c r="AF351" s="25" t="s">
        <v>2010</v>
      </c>
      <c r="AG351" s="9" t="s">
        <v>3065</v>
      </c>
      <c r="AH351" s="29" t="s">
        <v>3066</v>
      </c>
      <c r="AI351" s="29" t="s">
        <v>3067</v>
      </c>
      <c r="AJ351" t="s">
        <v>2005</v>
      </c>
      <c r="AK351" t="s">
        <v>3068</v>
      </c>
      <c r="AL351" t="s">
        <v>1978</v>
      </c>
      <c r="AM351" s="50"/>
      <c r="AN351" s="51" t="s">
        <v>3069</v>
      </c>
      <c r="AO351" s="55" t="s">
        <v>694</v>
      </c>
    </row>
    <row r="352" spans="1:41" ht="57" hidden="1" customHeight="1" x14ac:dyDescent="0.3">
      <c r="A352" s="20">
        <v>348</v>
      </c>
      <c r="B352" s="8" t="s">
        <v>3070</v>
      </c>
      <c r="C352" s="26">
        <v>2026</v>
      </c>
      <c r="D352" s="8"/>
      <c r="E352" s="8" t="s">
        <v>697</v>
      </c>
      <c r="F352" s="20" t="s">
        <v>1969</v>
      </c>
      <c r="G352" s="21" t="s">
        <v>1968</v>
      </c>
      <c r="H352" s="21" t="s">
        <v>1979</v>
      </c>
      <c r="I352" s="21" t="s">
        <v>1968</v>
      </c>
      <c r="J352" s="21" t="s">
        <v>1968</v>
      </c>
      <c r="K352" s="21" t="s">
        <v>1968</v>
      </c>
      <c r="L352" s="22" t="str">
        <f t="shared" si="25"/>
        <v>EXCLUDE</v>
      </c>
      <c r="M352" s="22" t="str">
        <f t="shared" si="26"/>
        <v>Digital Twin not core / buzzword</v>
      </c>
      <c r="N352" s="23"/>
      <c r="O352" s="23"/>
      <c r="P352" s="24"/>
      <c r="Q352" s="24"/>
      <c r="R352" s="24"/>
      <c r="S352" s="22" t="str">
        <f t="shared" si="27"/>
        <v/>
      </c>
      <c r="T352" s="22" t="str">
        <f t="shared" si="28"/>
        <v/>
      </c>
      <c r="U352" s="25"/>
      <c r="V352" s="25"/>
      <c r="W352" s="25"/>
      <c r="X352" s="25"/>
      <c r="Y352" s="22" t="str">
        <f t="shared" si="29"/>
        <v/>
      </c>
      <c r="Z352" s="25"/>
      <c r="AA352" s="25"/>
      <c r="AB352" s="25"/>
      <c r="AC352" s="25"/>
      <c r="AD352" s="25"/>
      <c r="AE352" s="25"/>
      <c r="AF352" s="25"/>
      <c r="AG352" s="9"/>
      <c r="AH352" s="29"/>
      <c r="AI352" s="29"/>
      <c r="AM352" s="50"/>
      <c r="AN352" s="51" t="s">
        <v>3071</v>
      </c>
      <c r="AO352" s="55" t="s">
        <v>696</v>
      </c>
    </row>
    <row r="353" spans="1:41" ht="100.95" customHeight="1" x14ac:dyDescent="0.3">
      <c r="A353" s="20">
        <v>349</v>
      </c>
      <c r="B353" s="8" t="s">
        <v>3072</v>
      </c>
      <c r="C353" s="26">
        <v>2025</v>
      </c>
      <c r="D353" s="8"/>
      <c r="E353" s="8" t="s">
        <v>699</v>
      </c>
      <c r="F353" s="20" t="s">
        <v>1969</v>
      </c>
      <c r="G353" s="21" t="s">
        <v>1968</v>
      </c>
      <c r="H353" s="21" t="s">
        <v>1979</v>
      </c>
      <c r="I353" s="21" t="s">
        <v>1979</v>
      </c>
      <c r="J353" s="21" t="s">
        <v>1968</v>
      </c>
      <c r="K353" s="21" t="s">
        <v>1968</v>
      </c>
      <c r="L353" s="22" t="str">
        <f t="shared" si="25"/>
        <v>EXCLUDE</v>
      </c>
      <c r="M353" s="22" t="str">
        <f t="shared" si="26"/>
        <v>Digital Twin not core / buzzword</v>
      </c>
      <c r="N353" s="23"/>
      <c r="O353" s="23"/>
      <c r="P353" s="24"/>
      <c r="Q353" s="24"/>
      <c r="R353" s="24"/>
      <c r="S353" s="22" t="str">
        <f t="shared" si="27"/>
        <v/>
      </c>
      <c r="T353" s="22" t="str">
        <f t="shared" si="28"/>
        <v/>
      </c>
      <c r="U353" s="25"/>
      <c r="V353" s="25"/>
      <c r="W353" s="25"/>
      <c r="X353" s="25"/>
      <c r="Y353" s="22" t="str">
        <f t="shared" si="29"/>
        <v/>
      </c>
      <c r="Z353" s="25"/>
      <c r="AA353" s="25"/>
      <c r="AB353" s="25"/>
      <c r="AC353" s="25"/>
      <c r="AD353" s="25"/>
      <c r="AE353" s="25"/>
      <c r="AF353" s="25"/>
      <c r="AG353" s="9"/>
      <c r="AH353" s="29"/>
      <c r="AI353" s="29"/>
      <c r="AM353" s="50"/>
      <c r="AN353" s="51" t="s">
        <v>3073</v>
      </c>
      <c r="AO353" s="55" t="s">
        <v>698</v>
      </c>
    </row>
    <row r="354" spans="1:41" ht="68.400000000000006" hidden="1" customHeight="1" x14ac:dyDescent="0.3">
      <c r="A354" s="20">
        <v>350</v>
      </c>
      <c r="B354" s="8" t="s">
        <v>3074</v>
      </c>
      <c r="C354" s="26">
        <v>2026</v>
      </c>
      <c r="D354" s="8"/>
      <c r="E354" s="8" t="s">
        <v>701</v>
      </c>
      <c r="F354" s="20" t="s">
        <v>1969</v>
      </c>
      <c r="G354" s="21" t="s">
        <v>1979</v>
      </c>
      <c r="H354" s="21" t="s">
        <v>1968</v>
      </c>
      <c r="I354" s="21" t="s">
        <v>1979</v>
      </c>
      <c r="J354" s="21" t="s">
        <v>1968</v>
      </c>
      <c r="K354" s="21" t="s">
        <v>1968</v>
      </c>
      <c r="L354" s="22" t="str">
        <f t="shared" si="25"/>
        <v>EXCLUDE</v>
      </c>
      <c r="M354" s="22" t="str">
        <f t="shared" si="26"/>
        <v>Wrong domain (non-AECO)</v>
      </c>
      <c r="N354" s="23"/>
      <c r="O354" s="23"/>
      <c r="P354" s="24"/>
      <c r="Q354" s="24"/>
      <c r="R354" s="24"/>
      <c r="S354" s="22" t="str">
        <f t="shared" si="27"/>
        <v/>
      </c>
      <c r="T354" s="22" t="str">
        <f t="shared" si="28"/>
        <v/>
      </c>
      <c r="U354" s="25"/>
      <c r="V354" s="25"/>
      <c r="W354" s="25"/>
      <c r="X354" s="25"/>
      <c r="Y354" s="22" t="str">
        <f t="shared" si="29"/>
        <v/>
      </c>
      <c r="Z354" s="25"/>
      <c r="AA354" s="25"/>
      <c r="AB354" s="25"/>
      <c r="AC354" s="25"/>
      <c r="AD354" s="25"/>
      <c r="AE354" s="25"/>
      <c r="AF354" s="25"/>
      <c r="AG354" s="9"/>
      <c r="AH354" s="29"/>
      <c r="AI354" s="29"/>
      <c r="AM354" s="50"/>
      <c r="AN354" s="51" t="s">
        <v>3075</v>
      </c>
      <c r="AO354" s="55" t="s">
        <v>700</v>
      </c>
    </row>
    <row r="355" spans="1:41" ht="45.6" hidden="1" customHeight="1" x14ac:dyDescent="0.3">
      <c r="A355" s="20">
        <v>351</v>
      </c>
      <c r="B355" s="8" t="s">
        <v>3076</v>
      </c>
      <c r="C355" s="26">
        <v>2026</v>
      </c>
      <c r="D355" s="8"/>
      <c r="E355" s="8" t="s">
        <v>703</v>
      </c>
      <c r="F355" s="20" t="s">
        <v>1969</v>
      </c>
      <c r="G355" s="21" t="s">
        <v>1979</v>
      </c>
      <c r="H355" s="21" t="s">
        <v>1968</v>
      </c>
      <c r="I355" s="21" t="s">
        <v>1979</v>
      </c>
      <c r="J355" s="21" t="s">
        <v>1968</v>
      </c>
      <c r="K355" s="21" t="s">
        <v>1968</v>
      </c>
      <c r="L355" s="22" t="str">
        <f t="shared" si="25"/>
        <v>EXCLUDE</v>
      </c>
      <c r="M355" s="22" t="str">
        <f t="shared" si="26"/>
        <v>Wrong domain (non-AECO)</v>
      </c>
      <c r="N355" s="23"/>
      <c r="O355" s="23"/>
      <c r="P355" s="24"/>
      <c r="Q355" s="24"/>
      <c r="R355" s="24"/>
      <c r="S355" s="22" t="str">
        <f t="shared" si="27"/>
        <v/>
      </c>
      <c r="T355" s="22" t="str">
        <f t="shared" si="28"/>
        <v/>
      </c>
      <c r="U355" s="25"/>
      <c r="V355" s="25"/>
      <c r="W355" s="25"/>
      <c r="X355" s="25"/>
      <c r="Y355" s="22" t="str">
        <f t="shared" si="29"/>
        <v/>
      </c>
      <c r="Z355" s="25"/>
      <c r="AA355" s="25"/>
      <c r="AB355" s="25"/>
      <c r="AC355" s="25"/>
      <c r="AD355" s="25"/>
      <c r="AE355" s="25"/>
      <c r="AF355" s="25"/>
      <c r="AG355" s="9"/>
      <c r="AH355" s="29"/>
      <c r="AI355" s="29"/>
      <c r="AM355" s="50"/>
      <c r="AN355" s="51" t="s">
        <v>3077</v>
      </c>
      <c r="AO355" s="55" t="s">
        <v>702</v>
      </c>
    </row>
    <row r="356" spans="1:41" ht="79.95" hidden="1" customHeight="1" x14ac:dyDescent="0.3">
      <c r="A356" s="20">
        <v>352</v>
      </c>
      <c r="B356" s="8" t="s">
        <v>3078</v>
      </c>
      <c r="C356" s="26">
        <v>2026</v>
      </c>
      <c r="D356" s="8"/>
      <c r="E356" s="8" t="s">
        <v>705</v>
      </c>
      <c r="F356" s="20" t="s">
        <v>1969</v>
      </c>
      <c r="G356" s="21" t="s">
        <v>1968</v>
      </c>
      <c r="H356" s="21" t="s">
        <v>1968</v>
      </c>
      <c r="I356" s="21" t="s">
        <v>1979</v>
      </c>
      <c r="J356" s="21" t="s">
        <v>1968</v>
      </c>
      <c r="K356" s="21" t="s">
        <v>1968</v>
      </c>
      <c r="L356" s="22" t="str">
        <f t="shared" si="25"/>
        <v>EXCLUDE</v>
      </c>
      <c r="M356" s="22" t="str">
        <f t="shared" si="26"/>
        <v>No Design for Safety / PtD focus</v>
      </c>
      <c r="N356" s="23"/>
      <c r="O356" s="23"/>
      <c r="P356" s="24"/>
      <c r="Q356" s="24"/>
      <c r="R356" s="24"/>
      <c r="S356" s="22" t="str">
        <f t="shared" si="27"/>
        <v/>
      </c>
      <c r="T356" s="22" t="str">
        <f t="shared" si="28"/>
        <v/>
      </c>
      <c r="U356" s="25"/>
      <c r="V356" s="25"/>
      <c r="W356" s="25"/>
      <c r="X356" s="25"/>
      <c r="Y356" s="22" t="str">
        <f t="shared" si="29"/>
        <v/>
      </c>
      <c r="Z356" s="25"/>
      <c r="AA356" s="25"/>
      <c r="AB356" s="25"/>
      <c r="AC356" s="25"/>
      <c r="AD356" s="25"/>
      <c r="AE356" s="25"/>
      <c r="AF356" s="25"/>
      <c r="AG356" s="9"/>
      <c r="AH356" s="29"/>
      <c r="AI356" s="29"/>
      <c r="AM356" s="50"/>
      <c r="AN356" s="51" t="s">
        <v>3079</v>
      </c>
      <c r="AO356" s="55" t="s">
        <v>704</v>
      </c>
    </row>
    <row r="357" spans="1:41" ht="79.95" hidden="1" customHeight="1" x14ac:dyDescent="0.3">
      <c r="A357" s="20">
        <v>353</v>
      </c>
      <c r="B357" s="8" t="s">
        <v>3080</v>
      </c>
      <c r="C357" s="26">
        <v>2025</v>
      </c>
      <c r="D357" s="8"/>
      <c r="E357" s="8" t="s">
        <v>707</v>
      </c>
      <c r="F357" s="20" t="s">
        <v>1969</v>
      </c>
      <c r="G357" s="21" t="s">
        <v>1968</v>
      </c>
      <c r="H357" s="21" t="s">
        <v>1968</v>
      </c>
      <c r="I357" s="21" t="s">
        <v>1968</v>
      </c>
      <c r="J357" s="21" t="s">
        <v>1968</v>
      </c>
      <c r="K357" s="21" t="s">
        <v>1968</v>
      </c>
      <c r="L357" s="22" t="str">
        <f t="shared" si="25"/>
        <v>INCLUDE</v>
      </c>
      <c r="M357" s="22" t="str">
        <f t="shared" si="26"/>
        <v/>
      </c>
      <c r="N357" s="23" t="s">
        <v>1968</v>
      </c>
      <c r="O357" s="23" t="s">
        <v>1968</v>
      </c>
      <c r="P357" s="24" t="s">
        <v>1968</v>
      </c>
      <c r="Q357" s="24" t="s">
        <v>1968</v>
      </c>
      <c r="R357" s="24" t="s">
        <v>1968</v>
      </c>
      <c r="S357" s="22" t="str">
        <f t="shared" si="27"/>
        <v>INCLUDE</v>
      </c>
      <c r="T357" s="22" t="str">
        <f t="shared" si="28"/>
        <v/>
      </c>
      <c r="U357" s="25" t="s">
        <v>1992</v>
      </c>
      <c r="V357" s="25">
        <v>0</v>
      </c>
      <c r="W357" s="25">
        <v>1</v>
      </c>
      <c r="X357" s="25">
        <v>0</v>
      </c>
      <c r="Y357" s="22" t="str">
        <f t="shared" si="29"/>
        <v>Single</v>
      </c>
      <c r="Z357" s="25" t="s">
        <v>1922</v>
      </c>
      <c r="AA357" s="25" t="s">
        <v>1972</v>
      </c>
      <c r="AB357" s="25" t="s">
        <v>2015</v>
      </c>
      <c r="AC357" s="25" t="s">
        <v>1986</v>
      </c>
      <c r="AD357" s="25" t="s">
        <v>2003</v>
      </c>
      <c r="AE357" s="25">
        <v>4</v>
      </c>
      <c r="AF357" s="25" t="s">
        <v>2010</v>
      </c>
      <c r="AG357" s="9" t="s">
        <v>3081</v>
      </c>
      <c r="AH357" s="29" t="s">
        <v>3082</v>
      </c>
      <c r="AI357" s="29" t="s">
        <v>3083</v>
      </c>
      <c r="AJ357" t="s">
        <v>2005</v>
      </c>
      <c r="AK357" t="s">
        <v>3084</v>
      </c>
      <c r="AL357" t="s">
        <v>1978</v>
      </c>
      <c r="AM357" s="50"/>
      <c r="AN357" s="51" t="s">
        <v>3085</v>
      </c>
      <c r="AO357" s="55" t="s">
        <v>706</v>
      </c>
    </row>
    <row r="358" spans="1:41" ht="102.6" customHeight="1" x14ac:dyDescent="0.3">
      <c r="A358" s="20">
        <v>354</v>
      </c>
      <c r="B358" s="8" t="s">
        <v>3086</v>
      </c>
      <c r="C358" s="26">
        <v>2025</v>
      </c>
      <c r="D358" s="8"/>
      <c r="E358" s="8" t="s">
        <v>709</v>
      </c>
      <c r="F358" s="20" t="s">
        <v>1969</v>
      </c>
      <c r="G358" s="21" t="s">
        <v>1968</v>
      </c>
      <c r="H358" s="21" t="s">
        <v>1979</v>
      </c>
      <c r="I358" s="21" t="s">
        <v>1968</v>
      </c>
      <c r="J358" s="21" t="s">
        <v>1968</v>
      </c>
      <c r="K358" s="21" t="s">
        <v>1968</v>
      </c>
      <c r="L358" s="22" t="str">
        <f t="shared" si="25"/>
        <v>EXCLUDE</v>
      </c>
      <c r="M358" s="22" t="str">
        <f t="shared" si="26"/>
        <v>Digital Twin not core / buzzword</v>
      </c>
      <c r="N358" s="23"/>
      <c r="O358" s="23"/>
      <c r="P358" s="24"/>
      <c r="Q358" s="24"/>
      <c r="R358" s="24"/>
      <c r="S358" s="22" t="str">
        <f t="shared" si="27"/>
        <v/>
      </c>
      <c r="T358" s="22" t="str">
        <f t="shared" si="28"/>
        <v/>
      </c>
      <c r="U358" s="25"/>
      <c r="V358" s="25"/>
      <c r="W358" s="25"/>
      <c r="X358" s="25"/>
      <c r="Y358" s="22" t="str">
        <f t="shared" si="29"/>
        <v/>
      </c>
      <c r="Z358" s="25"/>
      <c r="AA358" s="25"/>
      <c r="AB358" s="25"/>
      <c r="AC358" s="25"/>
      <c r="AD358" s="25"/>
      <c r="AE358" s="25"/>
      <c r="AF358" s="25"/>
      <c r="AG358" s="9"/>
      <c r="AH358" s="29"/>
      <c r="AI358" s="29"/>
      <c r="AM358" s="50"/>
      <c r="AN358" s="51" t="s">
        <v>3087</v>
      </c>
      <c r="AO358" s="55" t="s">
        <v>708</v>
      </c>
    </row>
    <row r="359" spans="1:41" ht="68.400000000000006" hidden="1" customHeight="1" x14ac:dyDescent="0.3">
      <c r="A359" s="20">
        <v>355</v>
      </c>
      <c r="B359" s="8" t="s">
        <v>3088</v>
      </c>
      <c r="C359" s="26">
        <v>2026</v>
      </c>
      <c r="D359" s="8"/>
      <c r="E359" s="8" t="s">
        <v>711</v>
      </c>
      <c r="F359" s="20" t="s">
        <v>1969</v>
      </c>
      <c r="G359" s="21" t="s">
        <v>1979</v>
      </c>
      <c r="H359" s="21" t="s">
        <v>1968</v>
      </c>
      <c r="I359" s="21" t="s">
        <v>1979</v>
      </c>
      <c r="J359" s="21" t="s">
        <v>1968</v>
      </c>
      <c r="K359" s="21" t="s">
        <v>1968</v>
      </c>
      <c r="L359" s="22" t="str">
        <f t="shared" si="25"/>
        <v>EXCLUDE</v>
      </c>
      <c r="M359" s="22" t="str">
        <f t="shared" si="26"/>
        <v>Wrong domain (non-AECO)</v>
      </c>
      <c r="N359" s="23"/>
      <c r="O359" s="23"/>
      <c r="P359" s="24"/>
      <c r="Q359" s="24"/>
      <c r="R359" s="24"/>
      <c r="S359" s="22" t="str">
        <f t="shared" si="27"/>
        <v/>
      </c>
      <c r="T359" s="22" t="str">
        <f t="shared" si="28"/>
        <v/>
      </c>
      <c r="U359" s="25"/>
      <c r="V359" s="25"/>
      <c r="W359" s="25"/>
      <c r="X359" s="25"/>
      <c r="Y359" s="22" t="str">
        <f t="shared" si="29"/>
        <v/>
      </c>
      <c r="Z359" s="25"/>
      <c r="AA359" s="25"/>
      <c r="AB359" s="25"/>
      <c r="AC359" s="25"/>
      <c r="AD359" s="25"/>
      <c r="AE359" s="25"/>
      <c r="AF359" s="25"/>
      <c r="AG359" s="9"/>
      <c r="AH359" s="29"/>
      <c r="AI359" s="29"/>
      <c r="AM359" s="50"/>
      <c r="AN359" s="51" t="s">
        <v>3089</v>
      </c>
      <c r="AO359" s="55" t="s">
        <v>710</v>
      </c>
    </row>
    <row r="360" spans="1:41" ht="45.6" hidden="1" customHeight="1" x14ac:dyDescent="0.3">
      <c r="A360" s="20">
        <v>356</v>
      </c>
      <c r="B360" s="8" t="s">
        <v>3090</v>
      </c>
      <c r="C360" s="26">
        <v>2025</v>
      </c>
      <c r="D360" s="8"/>
      <c r="E360" s="8" t="s">
        <v>713</v>
      </c>
      <c r="F360" s="20" t="s">
        <v>1969</v>
      </c>
      <c r="G360" s="21" t="s">
        <v>1968</v>
      </c>
      <c r="H360" s="21" t="s">
        <v>1968</v>
      </c>
      <c r="I360" s="21" t="s">
        <v>1968</v>
      </c>
      <c r="J360" s="21" t="s">
        <v>1968</v>
      </c>
      <c r="K360" s="21" t="s">
        <v>1968</v>
      </c>
      <c r="L360" s="22" t="str">
        <f t="shared" si="25"/>
        <v>INCLUDE</v>
      </c>
      <c r="M360" s="22" t="str">
        <f t="shared" si="26"/>
        <v/>
      </c>
      <c r="N360" s="23" t="s">
        <v>1968</v>
      </c>
      <c r="O360" s="23" t="s">
        <v>1968</v>
      </c>
      <c r="P360" s="24" t="s">
        <v>1968</v>
      </c>
      <c r="Q360" s="24" t="s">
        <v>1968</v>
      </c>
      <c r="R360" s="24" t="s">
        <v>1968</v>
      </c>
      <c r="S360" s="22" t="str">
        <f t="shared" si="27"/>
        <v>INCLUDE</v>
      </c>
      <c r="T360" s="22" t="str">
        <f t="shared" si="28"/>
        <v/>
      </c>
      <c r="U360" s="25" t="s">
        <v>1971</v>
      </c>
      <c r="V360" s="25">
        <v>0</v>
      </c>
      <c r="W360" s="25">
        <v>0</v>
      </c>
      <c r="X360" s="25">
        <v>1</v>
      </c>
      <c r="Y360" s="22" t="str">
        <f t="shared" si="29"/>
        <v>Single</v>
      </c>
      <c r="Z360" s="25" t="s">
        <v>1922</v>
      </c>
      <c r="AA360" s="25" t="s">
        <v>1972</v>
      </c>
      <c r="AB360" s="25" t="s">
        <v>2015</v>
      </c>
      <c r="AC360" s="25" t="s">
        <v>1986</v>
      </c>
      <c r="AD360" s="25" t="s">
        <v>2003</v>
      </c>
      <c r="AE360" s="25">
        <v>3</v>
      </c>
      <c r="AF360" s="25" t="s">
        <v>1988</v>
      </c>
      <c r="AG360" s="9" t="s">
        <v>3091</v>
      </c>
      <c r="AH360" s="29" t="s">
        <v>3092</v>
      </c>
      <c r="AI360" s="29" t="s">
        <v>3093</v>
      </c>
      <c r="AJ360" t="s">
        <v>2005</v>
      </c>
      <c r="AK360" t="s">
        <v>3094</v>
      </c>
      <c r="AL360" t="s">
        <v>1990</v>
      </c>
      <c r="AM360" s="50"/>
      <c r="AN360" s="51" t="s">
        <v>3095</v>
      </c>
      <c r="AO360" s="55" t="s">
        <v>712</v>
      </c>
    </row>
    <row r="361" spans="1:41" ht="86.4" customHeight="1" x14ac:dyDescent="0.3">
      <c r="A361" s="20">
        <v>357</v>
      </c>
      <c r="B361" s="8" t="s">
        <v>3096</v>
      </c>
      <c r="C361" s="26">
        <v>2025</v>
      </c>
      <c r="D361" s="8"/>
      <c r="E361" s="8" t="s">
        <v>715</v>
      </c>
      <c r="F361" s="20" t="s">
        <v>1969</v>
      </c>
      <c r="G361" s="21" t="s">
        <v>1979</v>
      </c>
      <c r="H361" s="21" t="s">
        <v>1968</v>
      </c>
      <c r="I361" s="21" t="s">
        <v>1968</v>
      </c>
      <c r="J361" s="21" t="s">
        <v>1968</v>
      </c>
      <c r="K361" s="21" t="s">
        <v>1968</v>
      </c>
      <c r="L361" s="22" t="str">
        <f t="shared" si="25"/>
        <v>EXCLUDE</v>
      </c>
      <c r="M361" s="22" t="str">
        <f t="shared" si="26"/>
        <v>Wrong domain (non-AECO)</v>
      </c>
      <c r="N361" s="23"/>
      <c r="O361" s="23"/>
      <c r="P361" s="24"/>
      <c r="Q361" s="24"/>
      <c r="R361" s="24"/>
      <c r="S361" s="22" t="str">
        <f t="shared" si="27"/>
        <v/>
      </c>
      <c r="T361" s="22" t="str">
        <f t="shared" si="28"/>
        <v/>
      </c>
      <c r="U361" s="25"/>
      <c r="V361" s="25"/>
      <c r="W361" s="25"/>
      <c r="X361" s="25"/>
      <c r="Y361" s="22" t="str">
        <f t="shared" si="29"/>
        <v/>
      </c>
      <c r="Z361" s="25"/>
      <c r="AA361" s="25"/>
      <c r="AB361" s="25"/>
      <c r="AC361" s="25"/>
      <c r="AD361" s="25"/>
      <c r="AE361" s="25"/>
      <c r="AF361" s="25"/>
      <c r="AG361" s="9"/>
      <c r="AH361" s="29"/>
      <c r="AI361" s="29"/>
      <c r="AM361" s="50"/>
      <c r="AN361" s="51" t="s">
        <v>3097</v>
      </c>
      <c r="AO361" s="55" t="s">
        <v>714</v>
      </c>
    </row>
    <row r="362" spans="1:41" ht="302.39999999999998" customHeight="1" x14ac:dyDescent="0.3">
      <c r="A362" s="20">
        <v>358</v>
      </c>
      <c r="B362" s="8" t="s">
        <v>3098</v>
      </c>
      <c r="C362" s="26">
        <v>2026</v>
      </c>
      <c r="D362" s="8"/>
      <c r="E362" s="8" t="s">
        <v>717</v>
      </c>
      <c r="F362" s="20" t="s">
        <v>1969</v>
      </c>
      <c r="G362" s="21" t="s">
        <v>1968</v>
      </c>
      <c r="H362" s="21" t="s">
        <v>1979</v>
      </c>
      <c r="I362" s="21" t="s">
        <v>1979</v>
      </c>
      <c r="J362" s="21" t="s">
        <v>1968</v>
      </c>
      <c r="K362" s="21" t="s">
        <v>1968</v>
      </c>
      <c r="L362" s="22" t="str">
        <f t="shared" si="25"/>
        <v>EXCLUDE</v>
      </c>
      <c r="M362" s="22" t="str">
        <f t="shared" si="26"/>
        <v>Digital Twin not core / buzzword</v>
      </c>
      <c r="N362" s="23"/>
      <c r="O362" s="23"/>
      <c r="P362" s="24"/>
      <c r="Q362" s="24"/>
      <c r="R362" s="24"/>
      <c r="S362" s="22" t="str">
        <f t="shared" si="27"/>
        <v/>
      </c>
      <c r="T362" s="22" t="str">
        <f t="shared" si="28"/>
        <v/>
      </c>
      <c r="U362" s="25"/>
      <c r="V362" s="25"/>
      <c r="W362" s="25"/>
      <c r="X362" s="25"/>
      <c r="Y362" s="22" t="str">
        <f t="shared" si="29"/>
        <v/>
      </c>
      <c r="Z362" s="25"/>
      <c r="AA362" s="25"/>
      <c r="AB362" s="25"/>
      <c r="AC362" s="25"/>
      <c r="AD362" s="25"/>
      <c r="AE362" s="25"/>
      <c r="AF362" s="25"/>
      <c r="AG362" s="9"/>
      <c r="AH362" s="29"/>
      <c r="AI362" s="29"/>
      <c r="AM362" s="50"/>
      <c r="AN362" s="51" t="s">
        <v>3099</v>
      </c>
      <c r="AO362" s="55" t="s">
        <v>716</v>
      </c>
    </row>
    <row r="363" spans="1:41" ht="79.95" customHeight="1" x14ac:dyDescent="0.3">
      <c r="A363" s="20">
        <v>359</v>
      </c>
      <c r="B363" s="8" t="s">
        <v>3100</v>
      </c>
      <c r="C363" s="26">
        <v>2026</v>
      </c>
      <c r="D363" s="8"/>
      <c r="E363" s="8" t="s">
        <v>719</v>
      </c>
      <c r="F363" s="20" t="s">
        <v>1969</v>
      </c>
      <c r="G363" s="21" t="s">
        <v>1968</v>
      </c>
      <c r="H363" s="21" t="s">
        <v>1979</v>
      </c>
      <c r="I363" s="21" t="s">
        <v>1968</v>
      </c>
      <c r="J363" s="21" t="s">
        <v>1968</v>
      </c>
      <c r="K363" s="21" t="s">
        <v>1968</v>
      </c>
      <c r="L363" s="22" t="str">
        <f t="shared" si="25"/>
        <v>EXCLUDE</v>
      </c>
      <c r="M363" s="22" t="str">
        <f t="shared" si="26"/>
        <v>Digital Twin not core / buzzword</v>
      </c>
      <c r="N363" s="23"/>
      <c r="O363" s="23"/>
      <c r="P363" s="24"/>
      <c r="Q363" s="24"/>
      <c r="R363" s="24"/>
      <c r="S363" s="22" t="str">
        <f t="shared" si="27"/>
        <v/>
      </c>
      <c r="T363" s="22" t="str">
        <f t="shared" si="28"/>
        <v/>
      </c>
      <c r="U363" s="25"/>
      <c r="V363" s="25"/>
      <c r="W363" s="25"/>
      <c r="X363" s="25"/>
      <c r="Y363" s="22" t="str">
        <f t="shared" si="29"/>
        <v/>
      </c>
      <c r="Z363" s="25"/>
      <c r="AA363" s="25"/>
      <c r="AB363" s="25"/>
      <c r="AC363" s="25"/>
      <c r="AD363" s="25"/>
      <c r="AE363" s="25"/>
      <c r="AF363" s="25"/>
      <c r="AG363" s="9"/>
      <c r="AH363" s="29"/>
      <c r="AI363" s="29"/>
      <c r="AM363" s="50"/>
      <c r="AN363" s="51" t="s">
        <v>3101</v>
      </c>
      <c r="AO363" s="55" t="s">
        <v>718</v>
      </c>
    </row>
    <row r="364" spans="1:41" ht="79.95" customHeight="1" x14ac:dyDescent="0.3">
      <c r="A364" s="20">
        <v>360</v>
      </c>
      <c r="B364" s="8" t="s">
        <v>3102</v>
      </c>
      <c r="C364" s="26">
        <v>2025</v>
      </c>
      <c r="D364" s="8"/>
      <c r="E364" s="8" t="s">
        <v>721</v>
      </c>
      <c r="F364" s="20" t="s">
        <v>1969</v>
      </c>
      <c r="G364" s="21" t="s">
        <v>1979</v>
      </c>
      <c r="H364" s="21" t="s">
        <v>1968</v>
      </c>
      <c r="I364" s="21" t="s">
        <v>1979</v>
      </c>
      <c r="J364" s="21" t="s">
        <v>1968</v>
      </c>
      <c r="K364" s="21" t="s">
        <v>1968</v>
      </c>
      <c r="L364" s="22" t="str">
        <f t="shared" si="25"/>
        <v>EXCLUDE</v>
      </c>
      <c r="M364" s="22" t="str">
        <f t="shared" si="26"/>
        <v>Wrong domain (non-AECO)</v>
      </c>
      <c r="N364" s="23"/>
      <c r="O364" s="23"/>
      <c r="P364" s="24"/>
      <c r="Q364" s="24"/>
      <c r="R364" s="24"/>
      <c r="S364" s="22" t="str">
        <f t="shared" si="27"/>
        <v/>
      </c>
      <c r="T364" s="22" t="str">
        <f t="shared" si="28"/>
        <v/>
      </c>
      <c r="U364" s="25"/>
      <c r="V364" s="25"/>
      <c r="W364" s="25"/>
      <c r="X364" s="25"/>
      <c r="Y364" s="22" t="str">
        <f t="shared" si="29"/>
        <v/>
      </c>
      <c r="Z364" s="25"/>
      <c r="AA364" s="25"/>
      <c r="AB364" s="25"/>
      <c r="AC364" s="25"/>
      <c r="AD364" s="25"/>
      <c r="AE364" s="25"/>
      <c r="AF364" s="25"/>
      <c r="AG364" s="9"/>
      <c r="AH364" s="29"/>
      <c r="AI364" s="29"/>
      <c r="AM364" s="50"/>
      <c r="AN364" s="51" t="s">
        <v>3103</v>
      </c>
      <c r="AO364" s="55" t="s">
        <v>720</v>
      </c>
    </row>
    <row r="365" spans="1:41" ht="114" customHeight="1" x14ac:dyDescent="0.3">
      <c r="A365" s="20">
        <v>361</v>
      </c>
      <c r="B365" s="8" t="s">
        <v>3104</v>
      </c>
      <c r="C365" s="26">
        <v>2026</v>
      </c>
      <c r="D365" s="8"/>
      <c r="E365" s="8" t="s">
        <v>723</v>
      </c>
      <c r="F365" s="20" t="s">
        <v>1969</v>
      </c>
      <c r="G365" s="21" t="s">
        <v>1968</v>
      </c>
      <c r="H365" s="21" t="s">
        <v>1979</v>
      </c>
      <c r="I365" s="21" t="s">
        <v>1968</v>
      </c>
      <c r="J365" s="21" t="s">
        <v>1968</v>
      </c>
      <c r="K365" s="21" t="s">
        <v>1968</v>
      </c>
      <c r="L365" s="22" t="str">
        <f t="shared" si="25"/>
        <v>EXCLUDE</v>
      </c>
      <c r="M365" s="22" t="str">
        <f t="shared" si="26"/>
        <v>Digital Twin not core / buzzword</v>
      </c>
      <c r="N365" s="23"/>
      <c r="O365" s="23"/>
      <c r="P365" s="24"/>
      <c r="Q365" s="24"/>
      <c r="R365" s="24"/>
      <c r="S365" s="22" t="str">
        <f t="shared" si="27"/>
        <v/>
      </c>
      <c r="T365" s="22" t="str">
        <f t="shared" si="28"/>
        <v/>
      </c>
      <c r="U365" s="25"/>
      <c r="V365" s="25"/>
      <c r="W365" s="25"/>
      <c r="X365" s="25"/>
      <c r="Y365" s="22" t="str">
        <f t="shared" si="29"/>
        <v/>
      </c>
      <c r="Z365" s="25"/>
      <c r="AA365" s="25"/>
      <c r="AB365" s="25"/>
      <c r="AC365" s="25"/>
      <c r="AD365" s="25"/>
      <c r="AE365" s="25"/>
      <c r="AF365" s="25"/>
      <c r="AG365" s="9"/>
      <c r="AH365" s="29"/>
      <c r="AI365" s="29"/>
      <c r="AM365" s="50"/>
      <c r="AN365" s="51" t="s">
        <v>3105</v>
      </c>
      <c r="AO365" s="55" t="s">
        <v>722</v>
      </c>
    </row>
    <row r="366" spans="1:41" ht="45.6" hidden="1" customHeight="1" x14ac:dyDescent="0.3">
      <c r="A366" s="20">
        <v>362</v>
      </c>
      <c r="B366" s="8" t="s">
        <v>3106</v>
      </c>
      <c r="C366" s="26">
        <v>2026</v>
      </c>
      <c r="D366" s="8"/>
      <c r="E366" s="8" t="s">
        <v>725</v>
      </c>
      <c r="F366" s="20" t="s">
        <v>1969</v>
      </c>
      <c r="G366" s="21" t="s">
        <v>1979</v>
      </c>
      <c r="H366" s="21" t="s">
        <v>1968</v>
      </c>
      <c r="I366" s="21" t="s">
        <v>1968</v>
      </c>
      <c r="J366" s="21" t="s">
        <v>1968</v>
      </c>
      <c r="K366" s="21" t="s">
        <v>1968</v>
      </c>
      <c r="L366" s="22" t="str">
        <f t="shared" si="25"/>
        <v>EXCLUDE</v>
      </c>
      <c r="M366" s="22" t="str">
        <f t="shared" si="26"/>
        <v>Wrong domain (non-AECO)</v>
      </c>
      <c r="N366" s="23"/>
      <c r="O366" s="23"/>
      <c r="P366" s="24"/>
      <c r="Q366" s="24"/>
      <c r="R366" s="24"/>
      <c r="S366" s="22" t="str">
        <f t="shared" si="27"/>
        <v/>
      </c>
      <c r="T366" s="22" t="str">
        <f t="shared" si="28"/>
        <v/>
      </c>
      <c r="U366" s="25"/>
      <c r="V366" s="25"/>
      <c r="W366" s="25"/>
      <c r="X366" s="25"/>
      <c r="Y366" s="22" t="str">
        <f t="shared" si="29"/>
        <v/>
      </c>
      <c r="Z366" s="25"/>
      <c r="AA366" s="25"/>
      <c r="AB366" s="25"/>
      <c r="AC366" s="25"/>
      <c r="AD366" s="25"/>
      <c r="AE366" s="25"/>
      <c r="AF366" s="25"/>
      <c r="AG366" s="9"/>
      <c r="AH366" s="29"/>
      <c r="AI366" s="29"/>
      <c r="AM366" s="50"/>
      <c r="AN366" s="51" t="s">
        <v>3107</v>
      </c>
      <c r="AO366" s="55" t="s">
        <v>724</v>
      </c>
    </row>
    <row r="367" spans="1:41" ht="68.400000000000006" hidden="1" customHeight="1" x14ac:dyDescent="0.3">
      <c r="A367" s="20">
        <v>363</v>
      </c>
      <c r="B367" s="8" t="s">
        <v>3108</v>
      </c>
      <c r="C367" s="26">
        <v>2025</v>
      </c>
      <c r="D367" s="8"/>
      <c r="E367" s="8" t="s">
        <v>727</v>
      </c>
      <c r="F367" s="20" t="s">
        <v>1969</v>
      </c>
      <c r="G367" s="21" t="s">
        <v>1968</v>
      </c>
      <c r="H367" s="21" t="s">
        <v>1968</v>
      </c>
      <c r="I367" s="21" t="s">
        <v>1968</v>
      </c>
      <c r="J367" s="21" t="s">
        <v>1968</v>
      </c>
      <c r="K367" s="21" t="s">
        <v>1968</v>
      </c>
      <c r="L367" s="22" t="str">
        <f t="shared" si="25"/>
        <v>INCLUDE</v>
      </c>
      <c r="M367" s="22" t="str">
        <f t="shared" si="26"/>
        <v/>
      </c>
      <c r="N367" s="23" t="s">
        <v>1968</v>
      </c>
      <c r="O367" s="23" t="s">
        <v>1968</v>
      </c>
      <c r="P367" s="24" t="s">
        <v>1968</v>
      </c>
      <c r="Q367" s="24" t="s">
        <v>1968</v>
      </c>
      <c r="R367" s="24" t="s">
        <v>1968</v>
      </c>
      <c r="S367" s="22" t="str">
        <f t="shared" si="27"/>
        <v>INCLUDE</v>
      </c>
      <c r="T367" s="22" t="str">
        <f t="shared" si="28"/>
        <v/>
      </c>
      <c r="U367" s="25" t="s">
        <v>1982</v>
      </c>
      <c r="V367" s="25">
        <v>0</v>
      </c>
      <c r="W367" s="25">
        <v>1</v>
      </c>
      <c r="X367" s="25">
        <v>0</v>
      </c>
      <c r="Y367" s="22" t="str">
        <f t="shared" si="29"/>
        <v>Single</v>
      </c>
      <c r="Z367" s="25" t="s">
        <v>1922</v>
      </c>
      <c r="AA367" s="25" t="s">
        <v>1972</v>
      </c>
      <c r="AB367" s="25" t="s">
        <v>2018</v>
      </c>
      <c r="AC367" s="25" t="s">
        <v>1986</v>
      </c>
      <c r="AD367" s="25" t="s">
        <v>2003</v>
      </c>
      <c r="AE367" s="25">
        <v>4</v>
      </c>
      <c r="AF367" s="25" t="s">
        <v>2010</v>
      </c>
      <c r="AG367" s="9" t="s">
        <v>3109</v>
      </c>
      <c r="AH367" s="29" t="s">
        <v>3110</v>
      </c>
      <c r="AI367" s="29" t="s">
        <v>3111</v>
      </c>
      <c r="AJ367" t="s">
        <v>2005</v>
      </c>
      <c r="AK367" t="s">
        <v>3112</v>
      </c>
      <c r="AL367" t="s">
        <v>1978</v>
      </c>
      <c r="AM367" s="50"/>
      <c r="AN367" s="51" t="s">
        <v>3113</v>
      </c>
      <c r="AO367" s="55" t="s">
        <v>726</v>
      </c>
    </row>
    <row r="368" spans="1:41" ht="57" hidden="1" customHeight="1" x14ac:dyDescent="0.3">
      <c r="A368" s="20">
        <v>364</v>
      </c>
      <c r="B368" s="8" t="s">
        <v>3114</v>
      </c>
      <c r="C368" s="26">
        <v>2025</v>
      </c>
      <c r="D368" s="8"/>
      <c r="E368" s="8" t="s">
        <v>729</v>
      </c>
      <c r="F368" s="20" t="s">
        <v>1969</v>
      </c>
      <c r="G368" s="21" t="s">
        <v>1979</v>
      </c>
      <c r="H368" s="21" t="s">
        <v>1968</v>
      </c>
      <c r="I368" s="21" t="s">
        <v>1968</v>
      </c>
      <c r="J368" s="21" t="s">
        <v>1968</v>
      </c>
      <c r="K368" s="21" t="s">
        <v>1968</v>
      </c>
      <c r="L368" s="22" t="str">
        <f t="shared" si="25"/>
        <v>EXCLUDE</v>
      </c>
      <c r="M368" s="22" t="str">
        <f t="shared" si="26"/>
        <v>Wrong domain (non-AECO)</v>
      </c>
      <c r="N368" s="23"/>
      <c r="O368" s="23"/>
      <c r="P368" s="24"/>
      <c r="Q368" s="24"/>
      <c r="R368" s="24"/>
      <c r="S368" s="22" t="str">
        <f t="shared" si="27"/>
        <v/>
      </c>
      <c r="T368" s="22" t="str">
        <f t="shared" si="28"/>
        <v/>
      </c>
      <c r="U368" s="25"/>
      <c r="V368" s="25"/>
      <c r="W368" s="25"/>
      <c r="X368" s="25"/>
      <c r="Y368" s="22" t="str">
        <f t="shared" si="29"/>
        <v/>
      </c>
      <c r="Z368" s="25"/>
      <c r="AA368" s="25"/>
      <c r="AB368" s="25"/>
      <c r="AC368" s="25"/>
      <c r="AD368" s="25"/>
      <c r="AE368" s="25"/>
      <c r="AF368" s="25"/>
      <c r="AG368" s="9"/>
      <c r="AH368" s="29"/>
      <c r="AI368" s="29"/>
      <c r="AM368" s="50"/>
      <c r="AN368" s="51" t="s">
        <v>3115</v>
      </c>
      <c r="AO368" s="55" t="s">
        <v>728</v>
      </c>
    </row>
    <row r="369" spans="1:41" ht="45.6" hidden="1" customHeight="1" x14ac:dyDescent="0.3">
      <c r="A369" s="20">
        <v>365</v>
      </c>
      <c r="B369" s="8" t="s">
        <v>3116</v>
      </c>
      <c r="C369" s="26">
        <v>2026</v>
      </c>
      <c r="D369" s="8"/>
      <c r="E369" s="8" t="s">
        <v>731</v>
      </c>
      <c r="F369" s="20" t="s">
        <v>1969</v>
      </c>
      <c r="G369" s="21" t="s">
        <v>1979</v>
      </c>
      <c r="H369" s="21" t="s">
        <v>1968</v>
      </c>
      <c r="I369" s="21" t="s">
        <v>1968</v>
      </c>
      <c r="J369" s="21" t="s">
        <v>1968</v>
      </c>
      <c r="K369" s="21" t="s">
        <v>1968</v>
      </c>
      <c r="L369" s="22" t="str">
        <f t="shared" si="25"/>
        <v>EXCLUDE</v>
      </c>
      <c r="M369" s="22" t="str">
        <f t="shared" si="26"/>
        <v>Wrong domain (non-AECO)</v>
      </c>
      <c r="N369" s="23"/>
      <c r="O369" s="23"/>
      <c r="P369" s="24"/>
      <c r="Q369" s="24"/>
      <c r="R369" s="24"/>
      <c r="S369" s="22" t="str">
        <f t="shared" si="27"/>
        <v/>
      </c>
      <c r="T369" s="22" t="str">
        <f t="shared" si="28"/>
        <v/>
      </c>
      <c r="U369" s="25"/>
      <c r="V369" s="25"/>
      <c r="W369" s="25"/>
      <c r="X369" s="25"/>
      <c r="Y369" s="22" t="str">
        <f t="shared" si="29"/>
        <v/>
      </c>
      <c r="Z369" s="25"/>
      <c r="AA369" s="25"/>
      <c r="AB369" s="25"/>
      <c r="AC369" s="25"/>
      <c r="AD369" s="25"/>
      <c r="AE369" s="25"/>
      <c r="AF369" s="25"/>
      <c r="AG369" s="9"/>
      <c r="AH369" s="29"/>
      <c r="AI369" s="29"/>
      <c r="AM369" s="50"/>
      <c r="AN369" s="51" t="s">
        <v>3117</v>
      </c>
      <c r="AO369" s="55" t="s">
        <v>730</v>
      </c>
    </row>
    <row r="370" spans="1:41" ht="115.2" customHeight="1" x14ac:dyDescent="0.3">
      <c r="A370" s="20">
        <v>366</v>
      </c>
      <c r="B370" s="8" t="s">
        <v>3118</v>
      </c>
      <c r="C370" s="26">
        <v>2026</v>
      </c>
      <c r="D370" s="8"/>
      <c r="E370" s="8" t="s">
        <v>733</v>
      </c>
      <c r="F370" s="20" t="s">
        <v>1969</v>
      </c>
      <c r="G370" s="21" t="s">
        <v>1979</v>
      </c>
      <c r="H370" s="21" t="s">
        <v>1968</v>
      </c>
      <c r="I370" s="21" t="s">
        <v>1968</v>
      </c>
      <c r="J370" s="21" t="s">
        <v>1968</v>
      </c>
      <c r="K370" s="21" t="s">
        <v>1968</v>
      </c>
      <c r="L370" s="22" t="str">
        <f t="shared" si="25"/>
        <v>EXCLUDE</v>
      </c>
      <c r="M370" s="22" t="str">
        <f t="shared" si="26"/>
        <v>Wrong domain (non-AECO)</v>
      </c>
      <c r="N370" s="23"/>
      <c r="O370" s="23"/>
      <c r="P370" s="24"/>
      <c r="Q370" s="24"/>
      <c r="R370" s="24"/>
      <c r="S370" s="22" t="str">
        <f t="shared" si="27"/>
        <v/>
      </c>
      <c r="T370" s="22" t="str">
        <f t="shared" si="28"/>
        <v/>
      </c>
      <c r="U370" s="25"/>
      <c r="V370" s="25"/>
      <c r="W370" s="25"/>
      <c r="X370" s="25"/>
      <c r="Y370" s="22" t="str">
        <f t="shared" si="29"/>
        <v/>
      </c>
      <c r="Z370" s="25"/>
      <c r="AA370" s="25"/>
      <c r="AB370" s="25"/>
      <c r="AC370" s="25"/>
      <c r="AD370" s="25"/>
      <c r="AE370" s="25"/>
      <c r="AF370" s="25"/>
      <c r="AG370" s="9"/>
      <c r="AH370" s="29"/>
      <c r="AI370" s="29"/>
      <c r="AM370" s="50"/>
      <c r="AN370" s="51" t="s">
        <v>3119</v>
      </c>
      <c r="AO370" s="55" t="s">
        <v>732</v>
      </c>
    </row>
    <row r="371" spans="1:41" ht="57" hidden="1" customHeight="1" x14ac:dyDescent="0.3">
      <c r="A371" s="20">
        <v>367</v>
      </c>
      <c r="B371" s="8" t="s">
        <v>3120</v>
      </c>
      <c r="C371" s="26">
        <v>2026</v>
      </c>
      <c r="D371" s="8"/>
      <c r="E371" s="8" t="s">
        <v>735</v>
      </c>
      <c r="F371" s="20" t="s">
        <v>1969</v>
      </c>
      <c r="G371" s="21" t="s">
        <v>1968</v>
      </c>
      <c r="H371" s="21" t="s">
        <v>1979</v>
      </c>
      <c r="I371" s="21" t="s">
        <v>1968</v>
      </c>
      <c r="J371" s="21" t="s">
        <v>1968</v>
      </c>
      <c r="K371" s="21" t="s">
        <v>1968</v>
      </c>
      <c r="L371" s="22" t="str">
        <f t="shared" si="25"/>
        <v>EXCLUDE</v>
      </c>
      <c r="M371" s="22" t="str">
        <f t="shared" si="26"/>
        <v>Digital Twin not core / buzzword</v>
      </c>
      <c r="N371" s="23"/>
      <c r="O371" s="23"/>
      <c r="P371" s="24"/>
      <c r="Q371" s="24"/>
      <c r="R371" s="24"/>
      <c r="S371" s="22" t="str">
        <f t="shared" si="27"/>
        <v/>
      </c>
      <c r="T371" s="22" t="str">
        <f t="shared" si="28"/>
        <v/>
      </c>
      <c r="U371" s="25"/>
      <c r="V371" s="25"/>
      <c r="W371" s="25"/>
      <c r="X371" s="25"/>
      <c r="Y371" s="22" t="str">
        <f t="shared" si="29"/>
        <v/>
      </c>
      <c r="Z371" s="25"/>
      <c r="AA371" s="25"/>
      <c r="AB371" s="25"/>
      <c r="AC371" s="25"/>
      <c r="AD371" s="25"/>
      <c r="AE371" s="25"/>
      <c r="AF371" s="25"/>
      <c r="AG371" s="9"/>
      <c r="AH371" s="29"/>
      <c r="AI371" s="29"/>
      <c r="AM371" s="50"/>
      <c r="AN371" s="51" t="s">
        <v>3121</v>
      </c>
      <c r="AO371" s="55" t="s">
        <v>734</v>
      </c>
    </row>
    <row r="372" spans="1:41" ht="86.4" customHeight="1" x14ac:dyDescent="0.3">
      <c r="A372" s="20">
        <v>368</v>
      </c>
      <c r="B372" s="8" t="s">
        <v>3122</v>
      </c>
      <c r="C372" s="26">
        <v>2026</v>
      </c>
      <c r="D372" s="8"/>
      <c r="E372" s="8" t="s">
        <v>737</v>
      </c>
      <c r="F372" s="20" t="s">
        <v>1969</v>
      </c>
      <c r="G372" s="21" t="s">
        <v>1979</v>
      </c>
      <c r="H372" s="21" t="s">
        <v>1968</v>
      </c>
      <c r="I372" s="21" t="s">
        <v>1968</v>
      </c>
      <c r="J372" s="21" t="s">
        <v>1968</v>
      </c>
      <c r="K372" s="21" t="s">
        <v>1968</v>
      </c>
      <c r="L372" s="22" t="str">
        <f t="shared" si="25"/>
        <v>EXCLUDE</v>
      </c>
      <c r="M372" s="22" t="str">
        <f t="shared" si="26"/>
        <v>Wrong domain (non-AECO)</v>
      </c>
      <c r="N372" s="23"/>
      <c r="O372" s="23"/>
      <c r="P372" s="24"/>
      <c r="Q372" s="24"/>
      <c r="R372" s="24"/>
      <c r="S372" s="22" t="str">
        <f t="shared" si="27"/>
        <v/>
      </c>
      <c r="T372" s="22" t="str">
        <f t="shared" si="28"/>
        <v/>
      </c>
      <c r="U372" s="25"/>
      <c r="V372" s="25"/>
      <c r="W372" s="25"/>
      <c r="X372" s="25"/>
      <c r="Y372" s="22" t="str">
        <f t="shared" si="29"/>
        <v/>
      </c>
      <c r="Z372" s="25"/>
      <c r="AA372" s="25"/>
      <c r="AB372" s="25"/>
      <c r="AC372" s="25"/>
      <c r="AD372" s="25"/>
      <c r="AE372" s="25"/>
      <c r="AF372" s="25"/>
      <c r="AG372" s="9"/>
      <c r="AH372" s="29"/>
      <c r="AI372" s="29"/>
      <c r="AM372" s="50"/>
      <c r="AN372" s="51" t="s">
        <v>3123</v>
      </c>
      <c r="AO372" s="55" t="s">
        <v>736</v>
      </c>
    </row>
    <row r="373" spans="1:41" ht="57" hidden="1" customHeight="1" x14ac:dyDescent="0.3">
      <c r="A373" s="20">
        <v>369</v>
      </c>
      <c r="B373" s="8" t="s">
        <v>3124</v>
      </c>
      <c r="C373" s="26">
        <v>2026</v>
      </c>
      <c r="D373" s="8"/>
      <c r="E373" s="8" t="s">
        <v>739</v>
      </c>
      <c r="F373" s="20" t="s">
        <v>1969</v>
      </c>
      <c r="G373" s="21" t="s">
        <v>1979</v>
      </c>
      <c r="H373" s="21" t="s">
        <v>1968</v>
      </c>
      <c r="I373" s="21" t="s">
        <v>1968</v>
      </c>
      <c r="J373" s="21" t="s">
        <v>1968</v>
      </c>
      <c r="K373" s="21" t="s">
        <v>1968</v>
      </c>
      <c r="L373" s="22" t="str">
        <f t="shared" si="25"/>
        <v>EXCLUDE</v>
      </c>
      <c r="M373" s="22" t="str">
        <f t="shared" si="26"/>
        <v>Wrong domain (non-AECO)</v>
      </c>
      <c r="N373" s="23"/>
      <c r="O373" s="23"/>
      <c r="P373" s="24"/>
      <c r="Q373" s="24"/>
      <c r="R373" s="24"/>
      <c r="S373" s="22" t="str">
        <f t="shared" si="27"/>
        <v/>
      </c>
      <c r="T373" s="22" t="str">
        <f t="shared" si="28"/>
        <v/>
      </c>
      <c r="U373" s="25"/>
      <c r="V373" s="25"/>
      <c r="W373" s="25"/>
      <c r="X373" s="25"/>
      <c r="Y373" s="22" t="str">
        <f t="shared" si="29"/>
        <v/>
      </c>
      <c r="Z373" s="25"/>
      <c r="AA373" s="25"/>
      <c r="AB373" s="25"/>
      <c r="AC373" s="25"/>
      <c r="AD373" s="25"/>
      <c r="AE373" s="25"/>
      <c r="AF373" s="25"/>
      <c r="AG373" s="9"/>
      <c r="AH373" s="29"/>
      <c r="AI373" s="29"/>
      <c r="AM373" s="50"/>
      <c r="AN373" s="51" t="s">
        <v>3125</v>
      </c>
      <c r="AO373" s="55" t="s">
        <v>738</v>
      </c>
    </row>
    <row r="374" spans="1:41" ht="45.6" hidden="1" customHeight="1" x14ac:dyDescent="0.3">
      <c r="A374" s="20">
        <v>370</v>
      </c>
      <c r="B374" s="8" t="s">
        <v>3126</v>
      </c>
      <c r="C374" s="26">
        <v>2026</v>
      </c>
      <c r="D374" s="8"/>
      <c r="E374" s="8" t="s">
        <v>741</v>
      </c>
      <c r="F374" s="20" t="s">
        <v>1969</v>
      </c>
      <c r="G374" s="21" t="s">
        <v>1979</v>
      </c>
      <c r="H374" s="21" t="s">
        <v>1968</v>
      </c>
      <c r="I374" s="21" t="s">
        <v>1968</v>
      </c>
      <c r="J374" s="21" t="s">
        <v>1968</v>
      </c>
      <c r="K374" s="21" t="s">
        <v>1979</v>
      </c>
      <c r="L374" s="22" t="str">
        <f t="shared" si="25"/>
        <v>EXCLUDE</v>
      </c>
      <c r="M374" s="22" t="str">
        <f t="shared" si="26"/>
        <v>Wrong domain (non-AECO)</v>
      </c>
      <c r="N374" s="23"/>
      <c r="O374" s="23"/>
      <c r="P374" s="24"/>
      <c r="Q374" s="24"/>
      <c r="R374" s="24"/>
      <c r="S374" s="22" t="str">
        <f t="shared" si="27"/>
        <v/>
      </c>
      <c r="T374" s="22" t="str">
        <f t="shared" si="28"/>
        <v/>
      </c>
      <c r="U374" s="25"/>
      <c r="V374" s="25"/>
      <c r="W374" s="25"/>
      <c r="X374" s="25"/>
      <c r="Y374" s="22" t="str">
        <f t="shared" si="29"/>
        <v/>
      </c>
      <c r="Z374" s="25"/>
      <c r="AA374" s="25"/>
      <c r="AB374" s="25"/>
      <c r="AC374" s="25"/>
      <c r="AD374" s="25"/>
      <c r="AE374" s="25"/>
      <c r="AF374" s="25"/>
      <c r="AG374" s="9"/>
      <c r="AH374" s="29"/>
      <c r="AI374" s="29"/>
      <c r="AM374" s="50"/>
      <c r="AN374" s="51" t="s">
        <v>3127</v>
      </c>
      <c r="AO374" s="55" t="s">
        <v>740</v>
      </c>
    </row>
    <row r="375" spans="1:41" ht="57" hidden="1" customHeight="1" x14ac:dyDescent="0.3">
      <c r="A375" s="20">
        <v>371</v>
      </c>
      <c r="B375" s="8" t="s">
        <v>3128</v>
      </c>
      <c r="C375" s="26">
        <v>2025</v>
      </c>
      <c r="D375" s="8"/>
      <c r="E375" s="8" t="s">
        <v>743</v>
      </c>
      <c r="F375" s="20" t="s">
        <v>1969</v>
      </c>
      <c r="G375" s="21" t="s">
        <v>1979</v>
      </c>
      <c r="H375" s="21" t="s">
        <v>1968</v>
      </c>
      <c r="I375" s="21" t="s">
        <v>1968</v>
      </c>
      <c r="J375" s="21" t="s">
        <v>1968</v>
      </c>
      <c r="K375" s="21" t="s">
        <v>1968</v>
      </c>
      <c r="L375" s="22" t="str">
        <f t="shared" si="25"/>
        <v>EXCLUDE</v>
      </c>
      <c r="M375" s="22" t="str">
        <f t="shared" si="26"/>
        <v>Wrong domain (non-AECO)</v>
      </c>
      <c r="N375" s="23"/>
      <c r="O375" s="23"/>
      <c r="P375" s="24"/>
      <c r="Q375" s="24"/>
      <c r="R375" s="24"/>
      <c r="S375" s="22" t="str">
        <f t="shared" si="27"/>
        <v/>
      </c>
      <c r="T375" s="22" t="str">
        <f t="shared" si="28"/>
        <v/>
      </c>
      <c r="U375" s="25"/>
      <c r="V375" s="25"/>
      <c r="W375" s="25"/>
      <c r="X375" s="25"/>
      <c r="Y375" s="22" t="str">
        <f t="shared" si="29"/>
        <v/>
      </c>
      <c r="Z375" s="25"/>
      <c r="AA375" s="25"/>
      <c r="AB375" s="25"/>
      <c r="AC375" s="25"/>
      <c r="AD375" s="25"/>
      <c r="AE375" s="25"/>
      <c r="AF375" s="25"/>
      <c r="AG375" s="9"/>
      <c r="AH375" s="29"/>
      <c r="AI375" s="29"/>
      <c r="AM375" s="50"/>
      <c r="AN375" s="51" t="s">
        <v>3129</v>
      </c>
      <c r="AO375" s="55" t="s">
        <v>742</v>
      </c>
    </row>
    <row r="376" spans="1:41" ht="79.95" customHeight="1" x14ac:dyDescent="0.3">
      <c r="A376" s="20">
        <v>372</v>
      </c>
      <c r="B376" s="8" t="s">
        <v>2970</v>
      </c>
      <c r="C376" s="26">
        <v>2025</v>
      </c>
      <c r="D376" s="8"/>
      <c r="E376" s="8" t="s">
        <v>745</v>
      </c>
      <c r="F376" s="20" t="s">
        <v>1969</v>
      </c>
      <c r="G376" s="21" t="s">
        <v>1979</v>
      </c>
      <c r="H376" s="21" t="s">
        <v>1968</v>
      </c>
      <c r="I376" s="21" t="s">
        <v>1968</v>
      </c>
      <c r="J376" s="21" t="s">
        <v>1968</v>
      </c>
      <c r="K376" s="21" t="s">
        <v>1968</v>
      </c>
      <c r="L376" s="22" t="str">
        <f t="shared" si="25"/>
        <v>EXCLUDE</v>
      </c>
      <c r="M376" s="22" t="str">
        <f t="shared" si="26"/>
        <v>Wrong domain (non-AECO)</v>
      </c>
      <c r="N376" s="23"/>
      <c r="O376" s="23"/>
      <c r="P376" s="24"/>
      <c r="Q376" s="24"/>
      <c r="R376" s="24"/>
      <c r="S376" s="22" t="str">
        <f t="shared" si="27"/>
        <v/>
      </c>
      <c r="T376" s="22" t="str">
        <f t="shared" si="28"/>
        <v/>
      </c>
      <c r="U376" s="25"/>
      <c r="V376" s="25"/>
      <c r="W376" s="25"/>
      <c r="X376" s="25"/>
      <c r="Y376" s="22" t="str">
        <f t="shared" si="29"/>
        <v/>
      </c>
      <c r="Z376" s="25"/>
      <c r="AA376" s="25"/>
      <c r="AB376" s="25"/>
      <c r="AC376" s="25"/>
      <c r="AD376" s="25"/>
      <c r="AE376" s="25"/>
      <c r="AF376" s="25"/>
      <c r="AG376" s="9"/>
      <c r="AH376" s="29"/>
      <c r="AI376" s="29"/>
      <c r="AM376" s="50"/>
      <c r="AN376" s="51" t="s">
        <v>3130</v>
      </c>
      <c r="AO376" s="55" t="s">
        <v>744</v>
      </c>
    </row>
    <row r="377" spans="1:41" ht="68.400000000000006" hidden="1" customHeight="1" x14ac:dyDescent="0.3">
      <c r="A377" s="20">
        <v>373</v>
      </c>
      <c r="B377" s="8" t="s">
        <v>2252</v>
      </c>
      <c r="C377" s="26">
        <v>2026</v>
      </c>
      <c r="D377" s="8"/>
      <c r="E377" s="8" t="s">
        <v>747</v>
      </c>
      <c r="F377" s="20" t="s">
        <v>1969</v>
      </c>
      <c r="G377" s="21" t="s">
        <v>1968</v>
      </c>
      <c r="H377" s="21" t="s">
        <v>1968</v>
      </c>
      <c r="I377" s="21" t="s">
        <v>1968</v>
      </c>
      <c r="J377" s="21" t="s">
        <v>1968</v>
      </c>
      <c r="K377" s="21" t="s">
        <v>1968</v>
      </c>
      <c r="L377" s="22" t="str">
        <f t="shared" si="25"/>
        <v>INCLUDE</v>
      </c>
      <c r="M377" s="22" t="str">
        <f t="shared" si="26"/>
        <v/>
      </c>
      <c r="N377" s="23" t="s">
        <v>1968</v>
      </c>
      <c r="O377" s="23" t="s">
        <v>1968</v>
      </c>
      <c r="P377" s="24" t="s">
        <v>1968</v>
      </c>
      <c r="Q377" s="24" t="s">
        <v>1968</v>
      </c>
      <c r="R377" s="24" t="s">
        <v>1968</v>
      </c>
      <c r="S377" s="22" t="str">
        <f t="shared" si="27"/>
        <v>INCLUDE</v>
      </c>
      <c r="T377" s="22" t="str">
        <f t="shared" si="28"/>
        <v/>
      </c>
      <c r="U377" s="25" t="s">
        <v>1982</v>
      </c>
      <c r="V377" s="25">
        <v>0</v>
      </c>
      <c r="W377" s="25">
        <v>0</v>
      </c>
      <c r="X377" s="25">
        <v>1</v>
      </c>
      <c r="Y377" s="22" t="str">
        <f t="shared" si="29"/>
        <v>Single</v>
      </c>
      <c r="Z377" s="25" t="s">
        <v>1922</v>
      </c>
      <c r="AA377" s="25" t="s">
        <v>1972</v>
      </c>
      <c r="AB377" s="25" t="s">
        <v>2002</v>
      </c>
      <c r="AC377" s="25" t="s">
        <v>1974</v>
      </c>
      <c r="AD377" s="25" t="s">
        <v>2003</v>
      </c>
      <c r="AE377" s="25">
        <v>4</v>
      </c>
      <c r="AF377" s="25" t="s">
        <v>1996</v>
      </c>
      <c r="AG377" s="9" t="s">
        <v>3131</v>
      </c>
      <c r="AH377" s="29" t="s">
        <v>3132</v>
      </c>
      <c r="AI377" s="29" t="s">
        <v>3133</v>
      </c>
      <c r="AJ377" t="s">
        <v>2005</v>
      </c>
      <c r="AK377" t="s">
        <v>3134</v>
      </c>
      <c r="AL377" t="s">
        <v>1978</v>
      </c>
      <c r="AM377" s="50"/>
      <c r="AN377" s="51" t="s">
        <v>3135</v>
      </c>
      <c r="AO377" s="55" t="s">
        <v>746</v>
      </c>
    </row>
    <row r="378" spans="1:41" ht="79.95" hidden="1" customHeight="1" x14ac:dyDescent="0.3">
      <c r="A378" s="20">
        <v>374</v>
      </c>
      <c r="B378" s="8" t="s">
        <v>3136</v>
      </c>
      <c r="C378" s="26">
        <v>2026</v>
      </c>
      <c r="D378" s="8"/>
      <c r="E378" s="8" t="s">
        <v>749</v>
      </c>
      <c r="F378" s="20" t="s">
        <v>1969</v>
      </c>
      <c r="G378" s="21" t="s">
        <v>1968</v>
      </c>
      <c r="H378" s="21" t="s">
        <v>1979</v>
      </c>
      <c r="I378" s="21" t="s">
        <v>1968</v>
      </c>
      <c r="J378" s="21" t="s">
        <v>1968</v>
      </c>
      <c r="K378" s="21" t="s">
        <v>1968</v>
      </c>
      <c r="L378" s="22" t="str">
        <f t="shared" si="25"/>
        <v>EXCLUDE</v>
      </c>
      <c r="M378" s="22" t="str">
        <f t="shared" si="26"/>
        <v>Digital Twin not core / buzzword</v>
      </c>
      <c r="N378" s="23"/>
      <c r="O378" s="23"/>
      <c r="P378" s="24"/>
      <c r="Q378" s="24"/>
      <c r="R378" s="24"/>
      <c r="S378" s="22" t="str">
        <f t="shared" si="27"/>
        <v/>
      </c>
      <c r="T378" s="22" t="str">
        <f t="shared" si="28"/>
        <v/>
      </c>
      <c r="U378" s="25"/>
      <c r="V378" s="25"/>
      <c r="W378" s="25"/>
      <c r="X378" s="25"/>
      <c r="Y378" s="22" t="str">
        <f t="shared" si="29"/>
        <v/>
      </c>
      <c r="Z378" s="25"/>
      <c r="AA378" s="25"/>
      <c r="AB378" s="25"/>
      <c r="AC378" s="25"/>
      <c r="AD378" s="25"/>
      <c r="AE378" s="25"/>
      <c r="AF378" s="25"/>
      <c r="AG378" s="9"/>
      <c r="AH378" s="29"/>
      <c r="AI378" s="29"/>
      <c r="AM378" s="50"/>
      <c r="AN378" s="51" t="s">
        <v>3137</v>
      </c>
      <c r="AO378" s="55" t="s">
        <v>748</v>
      </c>
    </row>
    <row r="379" spans="1:41" ht="57" hidden="1" customHeight="1" x14ac:dyDescent="0.3">
      <c r="A379" s="20">
        <v>375</v>
      </c>
      <c r="B379" s="8" t="s">
        <v>3138</v>
      </c>
      <c r="C379" s="26">
        <v>2025</v>
      </c>
      <c r="D379" s="8"/>
      <c r="E379" s="8" t="s">
        <v>751</v>
      </c>
      <c r="F379" s="20" t="s">
        <v>1969</v>
      </c>
      <c r="G379" s="21" t="s">
        <v>1979</v>
      </c>
      <c r="H379" s="21" t="s">
        <v>1968</v>
      </c>
      <c r="I379" s="21" t="s">
        <v>1968</v>
      </c>
      <c r="J379" s="21" t="s">
        <v>1968</v>
      </c>
      <c r="K379" s="21" t="s">
        <v>1968</v>
      </c>
      <c r="L379" s="22" t="str">
        <f t="shared" si="25"/>
        <v>EXCLUDE</v>
      </c>
      <c r="M379" s="22" t="str">
        <f t="shared" si="26"/>
        <v>Wrong domain (non-AECO)</v>
      </c>
      <c r="N379" s="23"/>
      <c r="O379" s="23"/>
      <c r="P379" s="24"/>
      <c r="Q379" s="24"/>
      <c r="R379" s="24"/>
      <c r="S379" s="22" t="str">
        <f t="shared" si="27"/>
        <v/>
      </c>
      <c r="T379" s="22" t="str">
        <f t="shared" si="28"/>
        <v/>
      </c>
      <c r="U379" s="25"/>
      <c r="V379" s="25"/>
      <c r="W379" s="25"/>
      <c r="X379" s="25"/>
      <c r="Y379" s="22" t="str">
        <f t="shared" si="29"/>
        <v/>
      </c>
      <c r="Z379" s="25"/>
      <c r="AA379" s="25"/>
      <c r="AB379" s="25"/>
      <c r="AC379" s="25"/>
      <c r="AD379" s="25"/>
      <c r="AE379" s="25"/>
      <c r="AF379" s="25"/>
      <c r="AG379" s="9"/>
      <c r="AH379" s="29"/>
      <c r="AI379" s="29"/>
      <c r="AM379" s="50"/>
      <c r="AN379" s="51" t="s">
        <v>3139</v>
      </c>
      <c r="AO379" s="55" t="s">
        <v>750</v>
      </c>
    </row>
    <row r="380" spans="1:41" ht="129.6" customHeight="1" x14ac:dyDescent="0.3">
      <c r="A380" s="20">
        <v>376</v>
      </c>
      <c r="B380" s="8" t="s">
        <v>3140</v>
      </c>
      <c r="C380" s="26">
        <v>2026</v>
      </c>
      <c r="D380" s="8"/>
      <c r="E380" s="8" t="s">
        <v>753</v>
      </c>
      <c r="F380" s="20" t="s">
        <v>1969</v>
      </c>
      <c r="G380" s="21" t="s">
        <v>1979</v>
      </c>
      <c r="H380" s="21" t="s">
        <v>1968</v>
      </c>
      <c r="I380" s="21" t="s">
        <v>1968</v>
      </c>
      <c r="J380" s="21" t="s">
        <v>1968</v>
      </c>
      <c r="K380" s="21" t="s">
        <v>1968</v>
      </c>
      <c r="L380" s="22" t="str">
        <f t="shared" si="25"/>
        <v>EXCLUDE</v>
      </c>
      <c r="M380" s="22" t="str">
        <f t="shared" si="26"/>
        <v>Wrong domain (non-AECO)</v>
      </c>
      <c r="N380" s="23"/>
      <c r="O380" s="23"/>
      <c r="P380" s="24"/>
      <c r="Q380" s="24"/>
      <c r="R380" s="24"/>
      <c r="S380" s="22" t="str">
        <f t="shared" si="27"/>
        <v/>
      </c>
      <c r="T380" s="22" t="str">
        <f t="shared" si="28"/>
        <v/>
      </c>
      <c r="U380" s="25"/>
      <c r="V380" s="25"/>
      <c r="W380" s="25"/>
      <c r="X380" s="25"/>
      <c r="Y380" s="22" t="str">
        <f t="shared" si="29"/>
        <v/>
      </c>
      <c r="Z380" s="25"/>
      <c r="AA380" s="25"/>
      <c r="AB380" s="25"/>
      <c r="AC380" s="25"/>
      <c r="AD380" s="25"/>
      <c r="AE380" s="25"/>
      <c r="AF380" s="25"/>
      <c r="AG380" s="9"/>
      <c r="AH380" s="29"/>
      <c r="AI380" s="29"/>
      <c r="AM380" s="50"/>
      <c r="AN380" s="51" t="s">
        <v>3141</v>
      </c>
      <c r="AO380" s="55" t="s">
        <v>752</v>
      </c>
    </row>
    <row r="381" spans="1:41" ht="129.6" customHeight="1" x14ac:dyDescent="0.3">
      <c r="A381" s="20">
        <v>377</v>
      </c>
      <c r="B381" s="8" t="s">
        <v>2234</v>
      </c>
      <c r="C381" s="26">
        <v>2026</v>
      </c>
      <c r="D381" s="8"/>
      <c r="E381" s="8" t="s">
        <v>755</v>
      </c>
      <c r="F381" s="20" t="s">
        <v>1969</v>
      </c>
      <c r="G381" s="21" t="s">
        <v>1979</v>
      </c>
      <c r="H381" s="21" t="s">
        <v>1968</v>
      </c>
      <c r="I381" s="21" t="s">
        <v>1968</v>
      </c>
      <c r="J381" s="21" t="s">
        <v>1968</v>
      </c>
      <c r="K381" s="21" t="s">
        <v>1979</v>
      </c>
      <c r="L381" s="22" t="str">
        <f t="shared" si="25"/>
        <v>EXCLUDE</v>
      </c>
      <c r="M381" s="22" t="str">
        <f t="shared" si="26"/>
        <v>Wrong domain (non-AECO)</v>
      </c>
      <c r="N381" s="23"/>
      <c r="O381" s="23"/>
      <c r="P381" s="24"/>
      <c r="Q381" s="24"/>
      <c r="R381" s="24"/>
      <c r="S381" s="22" t="str">
        <f t="shared" si="27"/>
        <v/>
      </c>
      <c r="T381" s="22" t="str">
        <f t="shared" si="28"/>
        <v/>
      </c>
      <c r="U381" s="25"/>
      <c r="V381" s="25"/>
      <c r="W381" s="25"/>
      <c r="X381" s="25"/>
      <c r="Y381" s="22" t="str">
        <f t="shared" si="29"/>
        <v/>
      </c>
      <c r="Z381" s="25"/>
      <c r="AA381" s="25"/>
      <c r="AB381" s="25"/>
      <c r="AC381" s="25"/>
      <c r="AD381" s="25"/>
      <c r="AE381" s="25"/>
      <c r="AF381" s="25"/>
      <c r="AG381" s="9"/>
      <c r="AH381" s="29"/>
      <c r="AI381" s="29"/>
      <c r="AM381" s="50"/>
      <c r="AN381" s="51" t="s">
        <v>3142</v>
      </c>
      <c r="AO381" s="55" t="s">
        <v>754</v>
      </c>
    </row>
    <row r="382" spans="1:41" ht="34.200000000000003" hidden="1" customHeight="1" x14ac:dyDescent="0.3">
      <c r="A382" s="20">
        <v>378</v>
      </c>
      <c r="B382" s="8" t="s">
        <v>2576</v>
      </c>
      <c r="C382" s="26">
        <v>2026</v>
      </c>
      <c r="D382" s="8"/>
      <c r="E382" s="8" t="s">
        <v>757</v>
      </c>
      <c r="F382" s="20" t="s">
        <v>1969</v>
      </c>
      <c r="G382" s="21" t="s">
        <v>1968</v>
      </c>
      <c r="H382" s="21" t="s">
        <v>1968</v>
      </c>
      <c r="I382" s="21" t="s">
        <v>1968</v>
      </c>
      <c r="J382" s="21" t="s">
        <v>1968</v>
      </c>
      <c r="K382" s="21" t="s">
        <v>1968</v>
      </c>
      <c r="L382" s="22" t="str">
        <f t="shared" si="25"/>
        <v>INCLUDE</v>
      </c>
      <c r="M382" s="22" t="str">
        <f t="shared" si="26"/>
        <v/>
      </c>
      <c r="N382" s="23" t="s">
        <v>1968</v>
      </c>
      <c r="O382" s="23" t="s">
        <v>1968</v>
      </c>
      <c r="P382" s="24" t="s">
        <v>1968</v>
      </c>
      <c r="Q382" s="24" t="s">
        <v>1968</v>
      </c>
      <c r="R382" s="24" t="s">
        <v>1968</v>
      </c>
      <c r="S382" s="22" t="str">
        <f t="shared" si="27"/>
        <v>INCLUDE</v>
      </c>
      <c r="T382" s="22" t="str">
        <f t="shared" si="28"/>
        <v/>
      </c>
      <c r="U382" s="25" t="s">
        <v>1982</v>
      </c>
      <c r="V382" s="25">
        <v>0</v>
      </c>
      <c r="W382" s="25">
        <v>0</v>
      </c>
      <c r="X382" s="25">
        <v>1</v>
      </c>
      <c r="Y382" s="22" t="str">
        <f t="shared" si="29"/>
        <v>Single</v>
      </c>
      <c r="Z382" s="25" t="s">
        <v>1922</v>
      </c>
      <c r="AA382" s="25" t="s">
        <v>1993</v>
      </c>
      <c r="AB382" s="25" t="s">
        <v>2014</v>
      </c>
      <c r="AC382" s="25" t="s">
        <v>1986</v>
      </c>
      <c r="AD382" s="25" t="s">
        <v>2003</v>
      </c>
      <c r="AE382" s="25">
        <v>4</v>
      </c>
      <c r="AF382" s="25" t="s">
        <v>2010</v>
      </c>
      <c r="AG382" s="9" t="s">
        <v>3143</v>
      </c>
      <c r="AH382" s="29" t="s">
        <v>3144</v>
      </c>
      <c r="AI382" s="29" t="s">
        <v>3145</v>
      </c>
      <c r="AJ382" t="s">
        <v>2005</v>
      </c>
      <c r="AK382" t="s">
        <v>3146</v>
      </c>
      <c r="AL382" t="s">
        <v>1978</v>
      </c>
      <c r="AM382" s="50"/>
      <c r="AN382" s="51" t="s">
        <v>3147</v>
      </c>
      <c r="AO382" s="55" t="s">
        <v>756</v>
      </c>
    </row>
    <row r="383" spans="1:41" ht="100.95" customHeight="1" x14ac:dyDescent="0.3">
      <c r="A383" s="20">
        <v>379</v>
      </c>
      <c r="B383" s="8" t="s">
        <v>3148</v>
      </c>
      <c r="C383" s="26">
        <v>2025</v>
      </c>
      <c r="D383" s="8"/>
      <c r="E383" s="8" t="s">
        <v>759</v>
      </c>
      <c r="F383" s="20" t="s">
        <v>1969</v>
      </c>
      <c r="G383" s="21" t="s">
        <v>1968</v>
      </c>
      <c r="H383" s="21" t="s">
        <v>1968</v>
      </c>
      <c r="I383" s="21" t="s">
        <v>1968</v>
      </c>
      <c r="J383" s="21" t="s">
        <v>1968</v>
      </c>
      <c r="K383" s="21" t="s">
        <v>1968</v>
      </c>
      <c r="L383" s="22" t="str">
        <f t="shared" si="25"/>
        <v>INCLUDE</v>
      </c>
      <c r="M383" s="22" t="str">
        <f t="shared" si="26"/>
        <v/>
      </c>
      <c r="N383" s="23" t="s">
        <v>1968</v>
      </c>
      <c r="O383" s="23" t="s">
        <v>1968</v>
      </c>
      <c r="P383" s="24" t="s">
        <v>1968</v>
      </c>
      <c r="Q383" s="24" t="s">
        <v>1968</v>
      </c>
      <c r="R383" s="24" t="s">
        <v>1968</v>
      </c>
      <c r="S383" s="22" t="str">
        <f t="shared" si="27"/>
        <v>INCLUDE</v>
      </c>
      <c r="T383" s="22" t="str">
        <f t="shared" si="28"/>
        <v/>
      </c>
      <c r="U383" s="25" t="s">
        <v>1971</v>
      </c>
      <c r="V383" s="25">
        <v>0</v>
      </c>
      <c r="W383" s="25">
        <v>1</v>
      </c>
      <c r="X383" s="25">
        <v>0</v>
      </c>
      <c r="Y383" s="22" t="str">
        <f t="shared" si="29"/>
        <v>Single</v>
      </c>
      <c r="Z383" s="25" t="s">
        <v>1922</v>
      </c>
      <c r="AA383" s="25" t="s">
        <v>1972</v>
      </c>
      <c r="AB383" s="25" t="s">
        <v>2015</v>
      </c>
      <c r="AC383" s="25" t="s">
        <v>1986</v>
      </c>
      <c r="AD383" s="25" t="s">
        <v>1975</v>
      </c>
      <c r="AE383" s="25">
        <v>3</v>
      </c>
      <c r="AF383" s="25" t="s">
        <v>1976</v>
      </c>
      <c r="AG383" s="9" t="s">
        <v>3149</v>
      </c>
      <c r="AH383" s="29" t="s">
        <v>3150</v>
      </c>
      <c r="AI383" s="29" t="s">
        <v>3151</v>
      </c>
      <c r="AJ383" t="s">
        <v>1997</v>
      </c>
      <c r="AK383" t="s">
        <v>3152</v>
      </c>
      <c r="AL383" t="s">
        <v>1990</v>
      </c>
      <c r="AM383" s="50"/>
      <c r="AN383" s="51" t="s">
        <v>3153</v>
      </c>
      <c r="AO383" s="55" t="s">
        <v>758</v>
      </c>
    </row>
    <row r="384" spans="1:41" ht="57" hidden="1" customHeight="1" x14ac:dyDescent="0.3">
      <c r="A384" s="20">
        <v>380</v>
      </c>
      <c r="B384" s="8" t="s">
        <v>3154</v>
      </c>
      <c r="C384" s="26">
        <v>2026</v>
      </c>
      <c r="D384" s="8"/>
      <c r="E384" s="8" t="s">
        <v>761</v>
      </c>
      <c r="F384" s="20" t="s">
        <v>1969</v>
      </c>
      <c r="G384" s="21" t="s">
        <v>1968</v>
      </c>
      <c r="H384" s="21" t="s">
        <v>1979</v>
      </c>
      <c r="I384" s="21" t="s">
        <v>1968</v>
      </c>
      <c r="J384" s="21" t="s">
        <v>1968</v>
      </c>
      <c r="K384" s="21" t="s">
        <v>1968</v>
      </c>
      <c r="L384" s="22" t="str">
        <f t="shared" si="25"/>
        <v>EXCLUDE</v>
      </c>
      <c r="M384" s="22" t="str">
        <f t="shared" si="26"/>
        <v>Digital Twin not core / buzzword</v>
      </c>
      <c r="N384" s="23"/>
      <c r="O384" s="23"/>
      <c r="P384" s="24"/>
      <c r="Q384" s="24"/>
      <c r="R384" s="24"/>
      <c r="S384" s="22" t="str">
        <f t="shared" si="27"/>
        <v/>
      </c>
      <c r="T384" s="22" t="str">
        <f t="shared" si="28"/>
        <v/>
      </c>
      <c r="U384" s="25"/>
      <c r="V384" s="25"/>
      <c r="W384" s="25"/>
      <c r="X384" s="25"/>
      <c r="Y384" s="22" t="str">
        <f t="shared" si="29"/>
        <v/>
      </c>
      <c r="Z384" s="25"/>
      <c r="AA384" s="25"/>
      <c r="AB384" s="25"/>
      <c r="AC384" s="25"/>
      <c r="AD384" s="25"/>
      <c r="AE384" s="25"/>
      <c r="AF384" s="25"/>
      <c r="AG384" s="9"/>
      <c r="AH384" s="29"/>
      <c r="AI384" s="29"/>
      <c r="AM384" s="50"/>
      <c r="AN384" s="51" t="s">
        <v>3155</v>
      </c>
      <c r="AO384" s="55" t="s">
        <v>760</v>
      </c>
    </row>
    <row r="385" spans="1:41" ht="45.6" hidden="1" customHeight="1" x14ac:dyDescent="0.3">
      <c r="A385" s="20">
        <v>381</v>
      </c>
      <c r="B385" s="8" t="s">
        <v>3156</v>
      </c>
      <c r="C385" s="26">
        <v>2026</v>
      </c>
      <c r="D385" s="8"/>
      <c r="E385" s="8" t="s">
        <v>763</v>
      </c>
      <c r="F385" s="20" t="s">
        <v>1969</v>
      </c>
      <c r="G385" s="21" t="s">
        <v>1968</v>
      </c>
      <c r="H385" s="21" t="s">
        <v>1968</v>
      </c>
      <c r="I385" s="21" t="s">
        <v>1968</v>
      </c>
      <c r="J385" s="21" t="s">
        <v>1968</v>
      </c>
      <c r="K385" s="21" t="s">
        <v>1968</v>
      </c>
      <c r="L385" s="22" t="str">
        <f t="shared" si="25"/>
        <v>INCLUDE</v>
      </c>
      <c r="M385" s="22" t="str">
        <f t="shared" si="26"/>
        <v/>
      </c>
      <c r="N385" s="23" t="s">
        <v>1968</v>
      </c>
      <c r="O385" s="23" t="s">
        <v>1968</v>
      </c>
      <c r="P385" s="24" t="s">
        <v>1968</v>
      </c>
      <c r="Q385" s="24" t="s">
        <v>1968</v>
      </c>
      <c r="R385" s="24" t="s">
        <v>1968</v>
      </c>
      <c r="S385" s="22" t="str">
        <f t="shared" si="27"/>
        <v>INCLUDE</v>
      </c>
      <c r="T385" s="22" t="str">
        <f t="shared" si="28"/>
        <v/>
      </c>
      <c r="U385" s="25" t="s">
        <v>1982</v>
      </c>
      <c r="V385" s="25">
        <v>0</v>
      </c>
      <c r="W385" s="25">
        <v>1</v>
      </c>
      <c r="X385" s="25">
        <v>0</v>
      </c>
      <c r="Y385" s="22" t="str">
        <f t="shared" si="29"/>
        <v>Single</v>
      </c>
      <c r="Z385" s="25" t="s">
        <v>1922</v>
      </c>
      <c r="AA385" s="25" t="s">
        <v>1972</v>
      </c>
      <c r="AB385" s="25" t="s">
        <v>1973</v>
      </c>
      <c r="AC385" s="25" t="s">
        <v>1986</v>
      </c>
      <c r="AD385" s="25" t="s">
        <v>2003</v>
      </c>
      <c r="AE385" s="25">
        <v>4</v>
      </c>
      <c r="AF385" s="25" t="s">
        <v>1996</v>
      </c>
      <c r="AG385" s="9" t="s">
        <v>3157</v>
      </c>
      <c r="AH385" s="29" t="s">
        <v>3158</v>
      </c>
      <c r="AI385" s="29" t="s">
        <v>3159</v>
      </c>
      <c r="AJ385" t="s">
        <v>2005</v>
      </c>
      <c r="AK385" t="s">
        <v>3160</v>
      </c>
      <c r="AL385" t="s">
        <v>1990</v>
      </c>
      <c r="AM385" s="50"/>
      <c r="AN385" s="51" t="s">
        <v>3161</v>
      </c>
      <c r="AO385" s="55" t="s">
        <v>762</v>
      </c>
    </row>
    <row r="386" spans="1:41" ht="91.2" customHeight="1" x14ac:dyDescent="0.3">
      <c r="A386" s="20">
        <v>382</v>
      </c>
      <c r="B386" s="8" t="s">
        <v>3162</v>
      </c>
      <c r="C386" s="26">
        <v>2026</v>
      </c>
      <c r="D386" s="8"/>
      <c r="E386" s="8" t="s">
        <v>765</v>
      </c>
      <c r="F386" s="20" t="s">
        <v>1969</v>
      </c>
      <c r="G386" s="21" t="s">
        <v>1979</v>
      </c>
      <c r="H386" s="21" t="s">
        <v>1968</v>
      </c>
      <c r="I386" s="21" t="s">
        <v>1968</v>
      </c>
      <c r="J386" s="21" t="s">
        <v>1968</v>
      </c>
      <c r="K386" s="21" t="s">
        <v>1968</v>
      </c>
      <c r="L386" s="22" t="str">
        <f t="shared" si="25"/>
        <v>EXCLUDE</v>
      </c>
      <c r="M386" s="22" t="str">
        <f t="shared" si="26"/>
        <v>Wrong domain (non-AECO)</v>
      </c>
      <c r="N386" s="23"/>
      <c r="O386" s="23"/>
      <c r="P386" s="24"/>
      <c r="Q386" s="24"/>
      <c r="R386" s="24"/>
      <c r="S386" s="22" t="str">
        <f t="shared" si="27"/>
        <v/>
      </c>
      <c r="T386" s="22" t="str">
        <f t="shared" si="28"/>
        <v/>
      </c>
      <c r="U386" s="25"/>
      <c r="V386" s="25"/>
      <c r="W386" s="25"/>
      <c r="X386" s="25"/>
      <c r="Y386" s="22" t="str">
        <f t="shared" si="29"/>
        <v/>
      </c>
      <c r="Z386" s="25"/>
      <c r="AA386" s="25"/>
      <c r="AB386" s="25"/>
      <c r="AC386" s="25"/>
      <c r="AD386" s="25"/>
      <c r="AE386" s="25"/>
      <c r="AF386" s="25"/>
      <c r="AG386" s="9"/>
      <c r="AH386" s="29"/>
      <c r="AI386" s="29"/>
      <c r="AM386" s="50"/>
      <c r="AN386" s="51" t="s">
        <v>3163</v>
      </c>
      <c r="AO386" s="55" t="s">
        <v>764</v>
      </c>
    </row>
    <row r="387" spans="1:41" ht="45.6" hidden="1" customHeight="1" x14ac:dyDescent="0.3">
      <c r="A387" s="20">
        <v>383</v>
      </c>
      <c r="B387" s="8" t="s">
        <v>3164</v>
      </c>
      <c r="C387" s="26">
        <v>2025</v>
      </c>
      <c r="D387" s="8"/>
      <c r="E387" s="8" t="s">
        <v>767</v>
      </c>
      <c r="F387" s="20" t="s">
        <v>1969</v>
      </c>
      <c r="G387" s="21" t="s">
        <v>1979</v>
      </c>
      <c r="H387" s="21" t="s">
        <v>1968</v>
      </c>
      <c r="I387" s="21" t="s">
        <v>1968</v>
      </c>
      <c r="J387" s="21" t="s">
        <v>1968</v>
      </c>
      <c r="K387" s="21" t="s">
        <v>1968</v>
      </c>
      <c r="L387" s="22" t="str">
        <f t="shared" si="25"/>
        <v>EXCLUDE</v>
      </c>
      <c r="M387" s="22" t="str">
        <f t="shared" si="26"/>
        <v>Wrong domain (non-AECO)</v>
      </c>
      <c r="N387" s="23"/>
      <c r="O387" s="23"/>
      <c r="P387" s="24"/>
      <c r="Q387" s="24"/>
      <c r="R387" s="24"/>
      <c r="S387" s="22" t="str">
        <f t="shared" si="27"/>
        <v/>
      </c>
      <c r="T387" s="22" t="str">
        <f t="shared" si="28"/>
        <v/>
      </c>
      <c r="U387" s="25"/>
      <c r="V387" s="25"/>
      <c r="W387" s="25"/>
      <c r="X387" s="25"/>
      <c r="Y387" s="22" t="str">
        <f t="shared" si="29"/>
        <v/>
      </c>
      <c r="Z387" s="25"/>
      <c r="AA387" s="25"/>
      <c r="AB387" s="25"/>
      <c r="AC387" s="25"/>
      <c r="AD387" s="25"/>
      <c r="AE387" s="25"/>
      <c r="AF387" s="25"/>
      <c r="AG387" s="9"/>
      <c r="AH387" s="29"/>
      <c r="AI387" s="29"/>
      <c r="AM387" s="50"/>
      <c r="AN387" s="51" t="s">
        <v>2927</v>
      </c>
      <c r="AO387" s="55" t="s">
        <v>766</v>
      </c>
    </row>
    <row r="388" spans="1:41" ht="68.400000000000006" hidden="1" customHeight="1" x14ac:dyDescent="0.3">
      <c r="A388" s="20">
        <v>384</v>
      </c>
      <c r="B388" s="8" t="s">
        <v>3165</v>
      </c>
      <c r="C388" s="26">
        <v>2025</v>
      </c>
      <c r="D388" s="8"/>
      <c r="E388" s="8" t="s">
        <v>769</v>
      </c>
      <c r="F388" s="20" t="s">
        <v>1969</v>
      </c>
      <c r="G388" s="21" t="s">
        <v>1979</v>
      </c>
      <c r="H388" s="21" t="s">
        <v>1968</v>
      </c>
      <c r="I388" s="21" t="s">
        <v>1968</v>
      </c>
      <c r="J388" s="21" t="s">
        <v>1968</v>
      </c>
      <c r="K388" s="21" t="s">
        <v>1968</v>
      </c>
      <c r="L388" s="22" t="str">
        <f t="shared" si="25"/>
        <v>EXCLUDE</v>
      </c>
      <c r="M388" s="22" t="str">
        <f t="shared" si="26"/>
        <v>Wrong domain (non-AECO)</v>
      </c>
      <c r="N388" s="23"/>
      <c r="O388" s="23"/>
      <c r="P388" s="24"/>
      <c r="Q388" s="24"/>
      <c r="R388" s="24"/>
      <c r="S388" s="22" t="str">
        <f t="shared" si="27"/>
        <v/>
      </c>
      <c r="T388" s="22" t="str">
        <f t="shared" si="28"/>
        <v/>
      </c>
      <c r="U388" s="25"/>
      <c r="V388" s="25"/>
      <c r="W388" s="25"/>
      <c r="X388" s="25"/>
      <c r="Y388" s="22" t="str">
        <f t="shared" si="29"/>
        <v/>
      </c>
      <c r="Z388" s="25"/>
      <c r="AA388" s="25"/>
      <c r="AB388" s="25"/>
      <c r="AC388" s="25"/>
      <c r="AD388" s="25"/>
      <c r="AE388" s="25"/>
      <c r="AF388" s="25"/>
      <c r="AG388" s="9"/>
      <c r="AH388" s="29"/>
      <c r="AI388" s="29"/>
      <c r="AM388" s="50"/>
      <c r="AN388" s="51" t="s">
        <v>3166</v>
      </c>
      <c r="AO388" s="55" t="s">
        <v>768</v>
      </c>
    </row>
    <row r="389" spans="1:41" ht="45.6" hidden="1" customHeight="1" x14ac:dyDescent="0.3">
      <c r="A389" s="20">
        <v>385</v>
      </c>
      <c r="B389" s="8" t="s">
        <v>3167</v>
      </c>
      <c r="C389" s="26">
        <v>2026</v>
      </c>
      <c r="D389" s="8"/>
      <c r="E389" s="8" t="s">
        <v>771</v>
      </c>
      <c r="F389" s="20" t="s">
        <v>1969</v>
      </c>
      <c r="G389" s="21" t="s">
        <v>1979</v>
      </c>
      <c r="H389" s="21" t="s">
        <v>1968</v>
      </c>
      <c r="I389" s="21" t="s">
        <v>1968</v>
      </c>
      <c r="J389" s="21" t="s">
        <v>1968</v>
      </c>
      <c r="K389" s="21" t="s">
        <v>1968</v>
      </c>
      <c r="L389" s="22" t="str">
        <f t="shared" ref="L389:L452" si="30">IF(COUNTBLANK(G389:K389)=5,"",IF(COUNTIF(G389:K389,"No")&gt;0,"EXCLUDE","INCLUDE"))</f>
        <v>EXCLUDE</v>
      </c>
      <c r="M389" s="22" t="str">
        <f t="shared" ref="M389:M452" si="31">IF(L389&lt;&gt;"EXCLUDE","",IF(G389="No","Wrong domain (non-AECO)",IF(H389="No","Digital Twin not core / buzzword",IF(I389="No","No Design for Safety / PtD focus",IF(J389="No","Wrong publication type",IF(K389="No","Non-English",""))))))</f>
        <v>Wrong domain (non-AECO)</v>
      </c>
      <c r="N389" s="23"/>
      <c r="O389" s="23"/>
      <c r="P389" s="24"/>
      <c r="Q389" s="24"/>
      <c r="R389" s="24"/>
      <c r="S389" s="22" t="str">
        <f t="shared" ref="S389:S452" si="32">IF(N389&lt;&gt;"Yes","",IF(COUNTBLANK(P389:R389)=3,"",IF(COUNTIF(P389:R389,"No")&gt;0,"EXCLUDE","INCLUDE")))</f>
        <v/>
      </c>
      <c r="T389" s="22" t="str">
        <f t="shared" ref="T389:T452" si="33">IF(S389&lt;&gt;"EXCLUDE","",IF(P389="No","Digital Twin mentioned only, not the subject",IF(Q389="No","No Design for Safety focus in full text",IF(R389="No","Methodology not codable",""))))</f>
        <v/>
      </c>
      <c r="U389" s="25"/>
      <c r="V389" s="25"/>
      <c r="W389" s="25"/>
      <c r="X389" s="25"/>
      <c r="Y389" s="22" t="str">
        <f t="shared" ref="Y389:Y452" si="34">IF(SUM(V389:X389)=0,"",IF(SUM(V389:X389)&gt;=2,"Multi","Single"))</f>
        <v/>
      </c>
      <c r="Z389" s="25"/>
      <c r="AA389" s="25"/>
      <c r="AB389" s="25"/>
      <c r="AC389" s="25"/>
      <c r="AD389" s="25"/>
      <c r="AE389" s="25"/>
      <c r="AF389" s="25"/>
      <c r="AG389" s="9"/>
      <c r="AH389" s="29"/>
      <c r="AI389" s="29"/>
      <c r="AM389" s="50"/>
      <c r="AN389" s="51" t="s">
        <v>3168</v>
      </c>
      <c r="AO389" s="55" t="s">
        <v>770</v>
      </c>
    </row>
    <row r="390" spans="1:41" ht="91.2" customHeight="1" x14ac:dyDescent="0.3">
      <c r="A390" s="20">
        <v>386</v>
      </c>
      <c r="B390" s="8" t="s">
        <v>3169</v>
      </c>
      <c r="C390" s="26">
        <v>2026</v>
      </c>
      <c r="D390" s="8"/>
      <c r="E390" s="8" t="s">
        <v>773</v>
      </c>
      <c r="F390" s="20" t="s">
        <v>1969</v>
      </c>
      <c r="G390" s="21" t="s">
        <v>1968</v>
      </c>
      <c r="H390" s="21" t="s">
        <v>1968</v>
      </c>
      <c r="I390" s="21" t="s">
        <v>1968</v>
      </c>
      <c r="J390" s="21" t="s">
        <v>1968</v>
      </c>
      <c r="K390" s="21" t="s">
        <v>1968</v>
      </c>
      <c r="L390" s="22" t="str">
        <f t="shared" si="30"/>
        <v>INCLUDE</v>
      </c>
      <c r="M390" s="22" t="str">
        <f t="shared" si="31"/>
        <v/>
      </c>
      <c r="N390" s="23" t="s">
        <v>1968</v>
      </c>
      <c r="O390" s="23" t="s">
        <v>1968</v>
      </c>
      <c r="P390" s="24" t="s">
        <v>1968</v>
      </c>
      <c r="Q390" s="24" t="s">
        <v>1968</v>
      </c>
      <c r="R390" s="24" t="s">
        <v>1968</v>
      </c>
      <c r="S390" s="22" t="str">
        <f t="shared" si="32"/>
        <v>INCLUDE</v>
      </c>
      <c r="T390" s="22" t="str">
        <f t="shared" si="33"/>
        <v/>
      </c>
      <c r="U390" s="25" t="s">
        <v>1982</v>
      </c>
      <c r="V390" s="25">
        <v>0</v>
      </c>
      <c r="W390" s="25">
        <v>1</v>
      </c>
      <c r="X390" s="25">
        <v>0</v>
      </c>
      <c r="Y390" s="22" t="str">
        <f t="shared" si="34"/>
        <v>Single</v>
      </c>
      <c r="Z390" s="25" t="s">
        <v>1922</v>
      </c>
      <c r="AA390" s="25" t="s">
        <v>1972</v>
      </c>
      <c r="AB390" s="25" t="s">
        <v>2017</v>
      </c>
      <c r="AC390" s="25" t="s">
        <v>1986</v>
      </c>
      <c r="AD390" s="25" t="s">
        <v>2003</v>
      </c>
      <c r="AE390" s="25">
        <v>4</v>
      </c>
      <c r="AF390" s="25" t="s">
        <v>2012</v>
      </c>
      <c r="AG390" s="9" t="s">
        <v>3170</v>
      </c>
      <c r="AH390" s="29" t="s">
        <v>3171</v>
      </c>
      <c r="AI390" s="29" t="s">
        <v>3172</v>
      </c>
      <c r="AJ390" t="s">
        <v>1989</v>
      </c>
      <c r="AK390" t="s">
        <v>3173</v>
      </c>
      <c r="AL390" t="s">
        <v>1990</v>
      </c>
      <c r="AM390" s="50"/>
      <c r="AN390" s="51" t="s">
        <v>3174</v>
      </c>
      <c r="AO390" s="55" t="s">
        <v>772</v>
      </c>
    </row>
    <row r="391" spans="1:41" ht="68.400000000000006" hidden="1" customHeight="1" x14ac:dyDescent="0.3">
      <c r="A391" s="20">
        <v>387</v>
      </c>
      <c r="B391" s="8" t="s">
        <v>3175</v>
      </c>
      <c r="C391" s="26">
        <v>2026</v>
      </c>
      <c r="D391" s="8"/>
      <c r="E391" s="8" t="s">
        <v>775</v>
      </c>
      <c r="F391" s="20" t="s">
        <v>1969</v>
      </c>
      <c r="G391" s="21" t="s">
        <v>1968</v>
      </c>
      <c r="H391" s="21" t="s">
        <v>1968</v>
      </c>
      <c r="I391" s="21" t="s">
        <v>1968</v>
      </c>
      <c r="J391" s="21" t="s">
        <v>1968</v>
      </c>
      <c r="K391" s="21" t="s">
        <v>1968</v>
      </c>
      <c r="L391" s="22" t="str">
        <f t="shared" si="30"/>
        <v>INCLUDE</v>
      </c>
      <c r="M391" s="22" t="str">
        <f t="shared" si="31"/>
        <v/>
      </c>
      <c r="N391" s="23" t="s">
        <v>1968</v>
      </c>
      <c r="O391" s="23" t="s">
        <v>1968</v>
      </c>
      <c r="P391" s="24" t="s">
        <v>1968</v>
      </c>
      <c r="Q391" s="24" t="s">
        <v>1968</v>
      </c>
      <c r="R391" s="24" t="s">
        <v>1968</v>
      </c>
      <c r="S391" s="22" t="str">
        <f t="shared" si="32"/>
        <v>INCLUDE</v>
      </c>
      <c r="T391" s="22" t="str">
        <f t="shared" si="33"/>
        <v/>
      </c>
      <c r="U391" s="25" t="s">
        <v>1982</v>
      </c>
      <c r="V391" s="25">
        <v>0</v>
      </c>
      <c r="W391" s="25">
        <v>0</v>
      </c>
      <c r="X391" s="25">
        <v>1</v>
      </c>
      <c r="Y391" s="22" t="str">
        <f t="shared" si="34"/>
        <v>Single</v>
      </c>
      <c r="Z391" s="25" t="s">
        <v>1922</v>
      </c>
      <c r="AA391" s="25" t="s">
        <v>1993</v>
      </c>
      <c r="AB391" s="25" t="s">
        <v>1994</v>
      </c>
      <c r="AC391" s="25" t="s">
        <v>1986</v>
      </c>
      <c r="AD391" s="25" t="s">
        <v>1987</v>
      </c>
      <c r="AE391" s="25">
        <v>4</v>
      </c>
      <c r="AF391" s="25" t="s">
        <v>2010</v>
      </c>
      <c r="AG391" s="9" t="s">
        <v>3176</v>
      </c>
      <c r="AH391" s="29" t="s">
        <v>3177</v>
      </c>
      <c r="AI391" s="29" t="s">
        <v>3178</v>
      </c>
      <c r="AJ391" t="s">
        <v>2005</v>
      </c>
      <c r="AK391" t="s">
        <v>3179</v>
      </c>
      <c r="AL391" t="s">
        <v>1990</v>
      </c>
      <c r="AM391" s="50"/>
      <c r="AN391" s="51" t="s">
        <v>3180</v>
      </c>
      <c r="AO391" s="55" t="s">
        <v>774</v>
      </c>
    </row>
    <row r="392" spans="1:41" ht="201.6" customHeight="1" x14ac:dyDescent="0.3">
      <c r="A392" s="20">
        <v>388</v>
      </c>
      <c r="B392" s="8" t="s">
        <v>3181</v>
      </c>
      <c r="C392" s="26">
        <v>2025</v>
      </c>
      <c r="D392" s="8"/>
      <c r="E392" s="8" t="s">
        <v>777</v>
      </c>
      <c r="F392" s="20" t="s">
        <v>1969</v>
      </c>
      <c r="G392" s="21" t="s">
        <v>1979</v>
      </c>
      <c r="H392" s="21" t="s">
        <v>1968</v>
      </c>
      <c r="I392" s="21" t="s">
        <v>1968</v>
      </c>
      <c r="J392" s="21" t="s">
        <v>1968</v>
      </c>
      <c r="K392" s="21" t="s">
        <v>1968</v>
      </c>
      <c r="L392" s="22" t="str">
        <f t="shared" si="30"/>
        <v>EXCLUDE</v>
      </c>
      <c r="M392" s="22" t="str">
        <f t="shared" si="31"/>
        <v>Wrong domain (non-AECO)</v>
      </c>
      <c r="N392" s="23"/>
      <c r="O392" s="23"/>
      <c r="P392" s="24"/>
      <c r="Q392" s="24"/>
      <c r="R392" s="24"/>
      <c r="S392" s="22" t="str">
        <f t="shared" si="32"/>
        <v/>
      </c>
      <c r="T392" s="22" t="str">
        <f t="shared" si="33"/>
        <v/>
      </c>
      <c r="U392" s="25"/>
      <c r="V392" s="25"/>
      <c r="W392" s="25"/>
      <c r="X392" s="25"/>
      <c r="Y392" s="22" t="str">
        <f t="shared" si="34"/>
        <v/>
      </c>
      <c r="Z392" s="25"/>
      <c r="AA392" s="25"/>
      <c r="AB392" s="25"/>
      <c r="AC392" s="25"/>
      <c r="AD392" s="25"/>
      <c r="AE392" s="25"/>
      <c r="AF392" s="25"/>
      <c r="AG392" s="9"/>
      <c r="AH392" s="29"/>
      <c r="AI392" s="29"/>
      <c r="AM392" s="50"/>
      <c r="AN392" s="51" t="s">
        <v>3182</v>
      </c>
      <c r="AO392" s="55" t="s">
        <v>776</v>
      </c>
    </row>
    <row r="393" spans="1:41" ht="102.6" customHeight="1" x14ac:dyDescent="0.3">
      <c r="A393" s="20">
        <v>389</v>
      </c>
      <c r="B393" s="8" t="s">
        <v>3183</v>
      </c>
      <c r="C393" s="26">
        <v>2026</v>
      </c>
      <c r="D393" s="8"/>
      <c r="E393" s="8" t="s">
        <v>779</v>
      </c>
      <c r="F393" s="20" t="s">
        <v>1969</v>
      </c>
      <c r="G393" s="21" t="s">
        <v>1968</v>
      </c>
      <c r="H393" s="21" t="s">
        <v>1968</v>
      </c>
      <c r="I393" s="21" t="s">
        <v>1979</v>
      </c>
      <c r="J393" s="21" t="s">
        <v>1968</v>
      </c>
      <c r="K393" s="21" t="s">
        <v>1968</v>
      </c>
      <c r="L393" s="22" t="str">
        <f t="shared" si="30"/>
        <v>EXCLUDE</v>
      </c>
      <c r="M393" s="22" t="str">
        <f t="shared" si="31"/>
        <v>No Design for Safety / PtD focus</v>
      </c>
      <c r="N393" s="23"/>
      <c r="O393" s="23"/>
      <c r="P393" s="24"/>
      <c r="Q393" s="24"/>
      <c r="R393" s="24"/>
      <c r="S393" s="22" t="str">
        <f t="shared" si="32"/>
        <v/>
      </c>
      <c r="T393" s="22" t="str">
        <f t="shared" si="33"/>
        <v/>
      </c>
      <c r="U393" s="25"/>
      <c r="V393" s="25"/>
      <c r="W393" s="25"/>
      <c r="X393" s="25"/>
      <c r="Y393" s="22" t="str">
        <f t="shared" si="34"/>
        <v/>
      </c>
      <c r="Z393" s="25"/>
      <c r="AA393" s="25"/>
      <c r="AB393" s="25"/>
      <c r="AC393" s="25"/>
      <c r="AD393" s="25"/>
      <c r="AE393" s="25"/>
      <c r="AF393" s="25"/>
      <c r="AG393" s="9"/>
      <c r="AH393" s="29"/>
      <c r="AI393" s="29"/>
      <c r="AM393" s="50"/>
      <c r="AN393" s="51" t="s">
        <v>3184</v>
      </c>
      <c r="AO393" s="55" t="s">
        <v>778</v>
      </c>
    </row>
    <row r="394" spans="1:41" ht="345.6" customHeight="1" x14ac:dyDescent="0.3">
      <c r="A394" s="20">
        <v>390</v>
      </c>
      <c r="B394" s="8" t="s">
        <v>3185</v>
      </c>
      <c r="C394" s="26">
        <v>2026</v>
      </c>
      <c r="D394" s="8"/>
      <c r="E394" s="8" t="s">
        <v>781</v>
      </c>
      <c r="F394" s="20" t="s">
        <v>1969</v>
      </c>
      <c r="G394" s="21" t="s">
        <v>1968</v>
      </c>
      <c r="H394" s="21" t="s">
        <v>1968</v>
      </c>
      <c r="I394" s="21" t="s">
        <v>1968</v>
      </c>
      <c r="J394" s="21" t="s">
        <v>1968</v>
      </c>
      <c r="K394" s="21" t="s">
        <v>1968</v>
      </c>
      <c r="L394" s="22" t="str">
        <f t="shared" si="30"/>
        <v>INCLUDE</v>
      </c>
      <c r="M394" s="22" t="str">
        <f t="shared" si="31"/>
        <v/>
      </c>
      <c r="N394" s="23" t="s">
        <v>1968</v>
      </c>
      <c r="O394" s="23" t="s">
        <v>1968</v>
      </c>
      <c r="P394" s="24" t="s">
        <v>1968</v>
      </c>
      <c r="Q394" s="24" t="s">
        <v>1968</v>
      </c>
      <c r="R394" s="24" t="s">
        <v>1968</v>
      </c>
      <c r="S394" s="22" t="str">
        <f t="shared" si="32"/>
        <v>INCLUDE</v>
      </c>
      <c r="T394" s="22" t="str">
        <f t="shared" si="33"/>
        <v/>
      </c>
      <c r="U394" s="25" t="s">
        <v>1982</v>
      </c>
      <c r="V394" s="25">
        <v>0</v>
      </c>
      <c r="W394" s="25">
        <v>0</v>
      </c>
      <c r="X394" s="25">
        <v>1</v>
      </c>
      <c r="Y394" s="22" t="str">
        <f t="shared" si="34"/>
        <v>Single</v>
      </c>
      <c r="Z394" s="25" t="s">
        <v>1922</v>
      </c>
      <c r="AA394" s="25" t="s">
        <v>1972</v>
      </c>
      <c r="AB394" s="25" t="s">
        <v>2018</v>
      </c>
      <c r="AC394" s="25" t="s">
        <v>1986</v>
      </c>
      <c r="AD394" s="25" t="s">
        <v>1987</v>
      </c>
      <c r="AE394" s="25">
        <v>4</v>
      </c>
      <c r="AF394" s="25" t="s">
        <v>2010</v>
      </c>
      <c r="AG394" s="9" t="s">
        <v>3186</v>
      </c>
      <c r="AH394" s="29" t="s">
        <v>3187</v>
      </c>
      <c r="AI394" s="29" t="s">
        <v>3188</v>
      </c>
      <c r="AJ394" t="s">
        <v>2005</v>
      </c>
      <c r="AK394" t="s">
        <v>3189</v>
      </c>
      <c r="AL394" t="s">
        <v>1990</v>
      </c>
      <c r="AM394" s="50"/>
      <c r="AN394" s="51" t="s">
        <v>3190</v>
      </c>
      <c r="AO394" s="55" t="s">
        <v>780</v>
      </c>
    </row>
    <row r="395" spans="1:41" ht="45.6" hidden="1" customHeight="1" x14ac:dyDescent="0.3">
      <c r="A395" s="20">
        <v>391</v>
      </c>
      <c r="B395" s="8" t="s">
        <v>3191</v>
      </c>
      <c r="C395" s="26">
        <v>2026</v>
      </c>
      <c r="D395" s="8"/>
      <c r="E395" s="8" t="s">
        <v>783</v>
      </c>
      <c r="F395" s="20" t="s">
        <v>1969</v>
      </c>
      <c r="G395" s="21" t="s">
        <v>1968</v>
      </c>
      <c r="H395" s="21" t="s">
        <v>1968</v>
      </c>
      <c r="I395" s="21" t="s">
        <v>1968</v>
      </c>
      <c r="J395" s="21" t="s">
        <v>1968</v>
      </c>
      <c r="K395" s="21" t="s">
        <v>1968</v>
      </c>
      <c r="L395" s="22" t="str">
        <f t="shared" si="30"/>
        <v>INCLUDE</v>
      </c>
      <c r="M395" s="22" t="str">
        <f t="shared" si="31"/>
        <v/>
      </c>
      <c r="N395" s="23" t="s">
        <v>1968</v>
      </c>
      <c r="O395" s="23" t="s">
        <v>1968</v>
      </c>
      <c r="P395" s="24" t="s">
        <v>1968</v>
      </c>
      <c r="Q395" s="24" t="s">
        <v>1968</v>
      </c>
      <c r="R395" s="24" t="s">
        <v>1968</v>
      </c>
      <c r="S395" s="22" t="str">
        <f t="shared" si="32"/>
        <v>INCLUDE</v>
      </c>
      <c r="T395" s="22" t="str">
        <f t="shared" si="33"/>
        <v/>
      </c>
      <c r="U395" s="25" t="s">
        <v>1992</v>
      </c>
      <c r="V395" s="25">
        <v>0</v>
      </c>
      <c r="W395" s="25">
        <v>0</v>
      </c>
      <c r="X395" s="25">
        <v>1</v>
      </c>
      <c r="Y395" s="22" t="str">
        <f t="shared" si="34"/>
        <v>Single</v>
      </c>
      <c r="Z395" s="25" t="s">
        <v>1922</v>
      </c>
      <c r="AA395" s="25" t="s">
        <v>1972</v>
      </c>
      <c r="AB395" s="25" t="s">
        <v>2018</v>
      </c>
      <c r="AC395" s="25" t="s">
        <v>1986</v>
      </c>
      <c r="AD395" s="25" t="s">
        <v>1975</v>
      </c>
      <c r="AE395" s="25">
        <v>3</v>
      </c>
      <c r="AF395" s="25" t="s">
        <v>2010</v>
      </c>
      <c r="AG395" s="9" t="s">
        <v>3192</v>
      </c>
      <c r="AH395" s="29" t="s">
        <v>3193</v>
      </c>
      <c r="AI395" s="29" t="s">
        <v>3194</v>
      </c>
      <c r="AJ395" t="s">
        <v>2007</v>
      </c>
      <c r="AK395" t="s">
        <v>3195</v>
      </c>
      <c r="AL395" t="s">
        <v>1978</v>
      </c>
      <c r="AM395" s="50" t="s">
        <v>2098</v>
      </c>
      <c r="AN395" s="51" t="s">
        <v>3196</v>
      </c>
      <c r="AO395" s="55" t="s">
        <v>782</v>
      </c>
    </row>
    <row r="396" spans="1:41" ht="68.400000000000006" hidden="1" customHeight="1" x14ac:dyDescent="0.3">
      <c r="A396" s="20">
        <v>392</v>
      </c>
      <c r="B396" s="8" t="s">
        <v>3197</v>
      </c>
      <c r="C396" s="26">
        <v>2026</v>
      </c>
      <c r="D396" s="8"/>
      <c r="E396" s="8" t="s">
        <v>785</v>
      </c>
      <c r="F396" s="20" t="s">
        <v>1969</v>
      </c>
      <c r="G396" s="21" t="s">
        <v>1968</v>
      </c>
      <c r="H396" s="21" t="s">
        <v>1979</v>
      </c>
      <c r="I396" s="21" t="s">
        <v>1968</v>
      </c>
      <c r="J396" s="21" t="s">
        <v>1968</v>
      </c>
      <c r="K396" s="21" t="s">
        <v>1968</v>
      </c>
      <c r="L396" s="22" t="str">
        <f t="shared" si="30"/>
        <v>EXCLUDE</v>
      </c>
      <c r="M396" s="22" t="str">
        <f t="shared" si="31"/>
        <v>Digital Twin not core / buzzword</v>
      </c>
      <c r="N396" s="23"/>
      <c r="O396" s="23"/>
      <c r="P396" s="24"/>
      <c r="Q396" s="24"/>
      <c r="R396" s="24"/>
      <c r="S396" s="22" t="str">
        <f t="shared" si="32"/>
        <v/>
      </c>
      <c r="T396" s="22" t="str">
        <f t="shared" si="33"/>
        <v/>
      </c>
      <c r="U396" s="25"/>
      <c r="V396" s="25"/>
      <c r="W396" s="25"/>
      <c r="X396" s="25"/>
      <c r="Y396" s="22" t="str">
        <f t="shared" si="34"/>
        <v/>
      </c>
      <c r="Z396" s="25"/>
      <c r="AA396" s="25"/>
      <c r="AB396" s="25"/>
      <c r="AC396" s="25"/>
      <c r="AD396" s="25"/>
      <c r="AE396" s="25"/>
      <c r="AF396" s="25"/>
      <c r="AG396" s="9"/>
      <c r="AH396" s="29"/>
      <c r="AI396" s="29"/>
      <c r="AM396" s="50"/>
      <c r="AN396" s="51" t="s">
        <v>3198</v>
      </c>
      <c r="AO396" s="55" t="s">
        <v>784</v>
      </c>
    </row>
    <row r="397" spans="1:41" ht="68.400000000000006" hidden="1" customHeight="1" x14ac:dyDescent="0.3">
      <c r="A397" s="20">
        <v>393</v>
      </c>
      <c r="B397" s="8" t="s">
        <v>3199</v>
      </c>
      <c r="C397" s="26">
        <v>2026</v>
      </c>
      <c r="D397" s="8"/>
      <c r="E397" s="8" t="s">
        <v>787</v>
      </c>
      <c r="F397" s="20" t="s">
        <v>1969</v>
      </c>
      <c r="G397" s="21" t="s">
        <v>1968</v>
      </c>
      <c r="H397" s="21" t="s">
        <v>1979</v>
      </c>
      <c r="I397" s="21" t="s">
        <v>1968</v>
      </c>
      <c r="J397" s="21" t="s">
        <v>1968</v>
      </c>
      <c r="K397" s="21" t="s">
        <v>1968</v>
      </c>
      <c r="L397" s="22" t="str">
        <f t="shared" si="30"/>
        <v>EXCLUDE</v>
      </c>
      <c r="M397" s="22" t="str">
        <f t="shared" si="31"/>
        <v>Digital Twin not core / buzzword</v>
      </c>
      <c r="N397" s="23"/>
      <c r="O397" s="23"/>
      <c r="P397" s="24"/>
      <c r="Q397" s="24"/>
      <c r="R397" s="24"/>
      <c r="S397" s="22" t="str">
        <f t="shared" si="32"/>
        <v/>
      </c>
      <c r="T397" s="22" t="str">
        <f t="shared" si="33"/>
        <v/>
      </c>
      <c r="U397" s="25"/>
      <c r="V397" s="25"/>
      <c r="W397" s="25"/>
      <c r="X397" s="25"/>
      <c r="Y397" s="22" t="str">
        <f t="shared" si="34"/>
        <v/>
      </c>
      <c r="Z397" s="25"/>
      <c r="AA397" s="25"/>
      <c r="AB397" s="25"/>
      <c r="AC397" s="25"/>
      <c r="AD397" s="25"/>
      <c r="AE397" s="25"/>
      <c r="AF397" s="25"/>
      <c r="AG397" s="9"/>
      <c r="AH397" s="29"/>
      <c r="AI397" s="29"/>
      <c r="AM397" s="50"/>
      <c r="AN397" s="51" t="s">
        <v>3200</v>
      </c>
      <c r="AO397" s="55" t="s">
        <v>786</v>
      </c>
    </row>
    <row r="398" spans="1:41" ht="45.6" hidden="1" customHeight="1" x14ac:dyDescent="0.3">
      <c r="A398" s="20">
        <v>394</v>
      </c>
      <c r="B398" s="8" t="s">
        <v>3201</v>
      </c>
      <c r="C398" s="26">
        <v>2026</v>
      </c>
      <c r="D398" s="8"/>
      <c r="E398" s="8" t="s">
        <v>789</v>
      </c>
      <c r="F398" s="20" t="s">
        <v>1969</v>
      </c>
      <c r="G398" s="21" t="s">
        <v>1968</v>
      </c>
      <c r="H398" s="21" t="s">
        <v>1979</v>
      </c>
      <c r="I398" s="21" t="s">
        <v>1968</v>
      </c>
      <c r="J398" s="21" t="s">
        <v>1968</v>
      </c>
      <c r="K398" s="21" t="s">
        <v>1968</v>
      </c>
      <c r="L398" s="22" t="str">
        <f t="shared" si="30"/>
        <v>EXCLUDE</v>
      </c>
      <c r="M398" s="22" t="str">
        <f t="shared" si="31"/>
        <v>Digital Twin not core / buzzword</v>
      </c>
      <c r="N398" s="23"/>
      <c r="O398" s="23"/>
      <c r="P398" s="24"/>
      <c r="Q398" s="24"/>
      <c r="R398" s="24"/>
      <c r="S398" s="22" t="str">
        <f t="shared" si="32"/>
        <v/>
      </c>
      <c r="T398" s="22" t="str">
        <f t="shared" si="33"/>
        <v/>
      </c>
      <c r="U398" s="25"/>
      <c r="V398" s="25"/>
      <c r="W398" s="25"/>
      <c r="X398" s="25"/>
      <c r="Y398" s="22" t="str">
        <f t="shared" si="34"/>
        <v/>
      </c>
      <c r="Z398" s="25"/>
      <c r="AA398" s="25"/>
      <c r="AB398" s="25"/>
      <c r="AC398" s="25"/>
      <c r="AD398" s="25"/>
      <c r="AE398" s="25"/>
      <c r="AF398" s="25"/>
      <c r="AG398" s="9"/>
      <c r="AH398" s="29"/>
      <c r="AI398" s="29"/>
      <c r="AM398" s="50"/>
      <c r="AN398" s="51" t="s">
        <v>3202</v>
      </c>
      <c r="AO398" s="55" t="s">
        <v>788</v>
      </c>
    </row>
    <row r="399" spans="1:41" ht="68.400000000000006" hidden="1" customHeight="1" x14ac:dyDescent="0.3">
      <c r="A399" s="20">
        <v>395</v>
      </c>
      <c r="B399" s="8" t="s">
        <v>3203</v>
      </c>
      <c r="C399" s="26">
        <v>2026</v>
      </c>
      <c r="D399" s="8"/>
      <c r="E399" s="8" t="s">
        <v>791</v>
      </c>
      <c r="F399" s="20" t="s">
        <v>1969</v>
      </c>
      <c r="G399" s="21" t="s">
        <v>1979</v>
      </c>
      <c r="H399" s="21" t="s">
        <v>1968</v>
      </c>
      <c r="I399" s="21" t="s">
        <v>1968</v>
      </c>
      <c r="J399" s="21" t="s">
        <v>1968</v>
      </c>
      <c r="K399" s="21" t="s">
        <v>1968</v>
      </c>
      <c r="L399" s="22" t="str">
        <f t="shared" si="30"/>
        <v>EXCLUDE</v>
      </c>
      <c r="M399" s="22" t="str">
        <f t="shared" si="31"/>
        <v>Wrong domain (non-AECO)</v>
      </c>
      <c r="N399" s="23"/>
      <c r="O399" s="23"/>
      <c r="P399" s="24"/>
      <c r="Q399" s="24"/>
      <c r="R399" s="24"/>
      <c r="S399" s="22" t="str">
        <f t="shared" si="32"/>
        <v/>
      </c>
      <c r="T399" s="22" t="str">
        <f t="shared" si="33"/>
        <v/>
      </c>
      <c r="U399" s="25"/>
      <c r="V399" s="25"/>
      <c r="W399" s="25"/>
      <c r="X399" s="25"/>
      <c r="Y399" s="22" t="str">
        <f t="shared" si="34"/>
        <v/>
      </c>
      <c r="Z399" s="25"/>
      <c r="AA399" s="25"/>
      <c r="AB399" s="25"/>
      <c r="AC399" s="25"/>
      <c r="AD399" s="25"/>
      <c r="AE399" s="25"/>
      <c r="AF399" s="25"/>
      <c r="AG399" s="9"/>
      <c r="AH399" s="29"/>
      <c r="AI399" s="29"/>
      <c r="AM399" s="50"/>
      <c r="AN399" s="51" t="s">
        <v>3204</v>
      </c>
      <c r="AO399" s="55" t="s">
        <v>790</v>
      </c>
    </row>
    <row r="400" spans="1:41" ht="158.4" customHeight="1" x14ac:dyDescent="0.3">
      <c r="A400" s="20">
        <v>396</v>
      </c>
      <c r="B400" s="8" t="s">
        <v>3205</v>
      </c>
      <c r="C400" s="26">
        <v>2026</v>
      </c>
      <c r="D400" s="8"/>
      <c r="E400" s="8" t="s">
        <v>793</v>
      </c>
      <c r="F400" s="20" t="s">
        <v>1969</v>
      </c>
      <c r="G400" s="21" t="s">
        <v>1979</v>
      </c>
      <c r="H400" s="21" t="s">
        <v>1968</v>
      </c>
      <c r="I400" s="21" t="s">
        <v>1968</v>
      </c>
      <c r="J400" s="21" t="s">
        <v>1968</v>
      </c>
      <c r="K400" s="21" t="s">
        <v>1968</v>
      </c>
      <c r="L400" s="22" t="str">
        <f t="shared" si="30"/>
        <v>EXCLUDE</v>
      </c>
      <c r="M400" s="22" t="str">
        <f t="shared" si="31"/>
        <v>Wrong domain (non-AECO)</v>
      </c>
      <c r="N400" s="23"/>
      <c r="O400" s="23"/>
      <c r="P400" s="24"/>
      <c r="Q400" s="24"/>
      <c r="R400" s="24"/>
      <c r="S400" s="22" t="str">
        <f t="shared" si="32"/>
        <v/>
      </c>
      <c r="T400" s="22" t="str">
        <f t="shared" si="33"/>
        <v/>
      </c>
      <c r="U400" s="25"/>
      <c r="V400" s="25"/>
      <c r="W400" s="25"/>
      <c r="X400" s="25"/>
      <c r="Y400" s="22" t="str">
        <f t="shared" si="34"/>
        <v/>
      </c>
      <c r="Z400" s="25"/>
      <c r="AA400" s="25"/>
      <c r="AB400" s="25"/>
      <c r="AC400" s="25"/>
      <c r="AD400" s="25"/>
      <c r="AE400" s="25"/>
      <c r="AF400" s="25"/>
      <c r="AG400" s="9"/>
      <c r="AH400" s="29"/>
      <c r="AI400" s="29"/>
      <c r="AM400" s="50"/>
      <c r="AN400" s="51" t="s">
        <v>3206</v>
      </c>
      <c r="AO400" s="55" t="s">
        <v>792</v>
      </c>
    </row>
    <row r="401" spans="1:41" ht="68.400000000000006" hidden="1" customHeight="1" x14ac:dyDescent="0.3">
      <c r="A401" s="20">
        <v>397</v>
      </c>
      <c r="B401" s="8" t="s">
        <v>3207</v>
      </c>
      <c r="C401" s="26">
        <v>2026</v>
      </c>
      <c r="D401" s="8"/>
      <c r="E401" s="8" t="s">
        <v>795</v>
      </c>
      <c r="F401" s="20" t="s">
        <v>1969</v>
      </c>
      <c r="G401" s="21" t="s">
        <v>1979</v>
      </c>
      <c r="H401" s="21" t="s">
        <v>1968</v>
      </c>
      <c r="I401" s="21" t="s">
        <v>1968</v>
      </c>
      <c r="J401" s="21" t="s">
        <v>1968</v>
      </c>
      <c r="K401" s="21" t="s">
        <v>1968</v>
      </c>
      <c r="L401" s="22" t="str">
        <f t="shared" si="30"/>
        <v>EXCLUDE</v>
      </c>
      <c r="M401" s="22" t="str">
        <f t="shared" si="31"/>
        <v>Wrong domain (non-AECO)</v>
      </c>
      <c r="N401" s="23"/>
      <c r="O401" s="23"/>
      <c r="P401" s="24"/>
      <c r="Q401" s="24"/>
      <c r="R401" s="24"/>
      <c r="S401" s="22" t="str">
        <f t="shared" si="32"/>
        <v/>
      </c>
      <c r="T401" s="22" t="str">
        <f t="shared" si="33"/>
        <v/>
      </c>
      <c r="U401" s="25"/>
      <c r="V401" s="25"/>
      <c r="W401" s="25"/>
      <c r="X401" s="25"/>
      <c r="Y401" s="22" t="str">
        <f t="shared" si="34"/>
        <v/>
      </c>
      <c r="Z401" s="25"/>
      <c r="AA401" s="25"/>
      <c r="AB401" s="25"/>
      <c r="AC401" s="25"/>
      <c r="AD401" s="25"/>
      <c r="AE401" s="25"/>
      <c r="AF401" s="25"/>
      <c r="AG401" s="9"/>
      <c r="AH401" s="29"/>
      <c r="AI401" s="29"/>
      <c r="AM401" s="50"/>
      <c r="AN401" s="51" t="s">
        <v>3208</v>
      </c>
      <c r="AO401" s="55" t="s">
        <v>794</v>
      </c>
    </row>
    <row r="402" spans="1:41" ht="125.4" customHeight="1" x14ac:dyDescent="0.3">
      <c r="A402" s="20">
        <v>398</v>
      </c>
      <c r="B402" s="8" t="s">
        <v>3209</v>
      </c>
      <c r="C402" s="26">
        <v>2025</v>
      </c>
      <c r="D402" s="8"/>
      <c r="E402" s="8" t="s">
        <v>797</v>
      </c>
      <c r="F402" s="20" t="s">
        <v>1969</v>
      </c>
      <c r="G402" s="21" t="s">
        <v>1979</v>
      </c>
      <c r="H402" s="21" t="s">
        <v>1968</v>
      </c>
      <c r="I402" s="21" t="s">
        <v>1968</v>
      </c>
      <c r="J402" s="21" t="s">
        <v>1968</v>
      </c>
      <c r="K402" s="21" t="s">
        <v>1968</v>
      </c>
      <c r="L402" s="22" t="str">
        <f t="shared" si="30"/>
        <v>EXCLUDE</v>
      </c>
      <c r="M402" s="22" t="str">
        <f t="shared" si="31"/>
        <v>Wrong domain (non-AECO)</v>
      </c>
      <c r="N402" s="23"/>
      <c r="O402" s="23"/>
      <c r="P402" s="24"/>
      <c r="Q402" s="24"/>
      <c r="R402" s="24"/>
      <c r="S402" s="22" t="str">
        <f t="shared" si="32"/>
        <v/>
      </c>
      <c r="T402" s="22" t="str">
        <f t="shared" si="33"/>
        <v/>
      </c>
      <c r="U402" s="25"/>
      <c r="V402" s="25"/>
      <c r="W402" s="25"/>
      <c r="X402" s="25"/>
      <c r="Y402" s="22" t="str">
        <f t="shared" si="34"/>
        <v/>
      </c>
      <c r="Z402" s="25"/>
      <c r="AA402" s="25"/>
      <c r="AB402" s="25"/>
      <c r="AC402" s="25"/>
      <c r="AD402" s="25"/>
      <c r="AE402" s="25"/>
      <c r="AF402" s="25"/>
      <c r="AG402" s="9"/>
      <c r="AH402" s="29"/>
      <c r="AI402" s="29"/>
      <c r="AM402" s="50"/>
      <c r="AN402" s="51" t="s">
        <v>3210</v>
      </c>
      <c r="AO402" s="55" t="s">
        <v>796</v>
      </c>
    </row>
    <row r="403" spans="1:41" ht="68.400000000000006" hidden="1" customHeight="1" x14ac:dyDescent="0.3">
      <c r="A403" s="20">
        <v>399</v>
      </c>
      <c r="B403" s="8" t="s">
        <v>3211</v>
      </c>
      <c r="C403" s="26">
        <v>2025</v>
      </c>
      <c r="D403" s="8"/>
      <c r="E403" s="8" t="s">
        <v>799</v>
      </c>
      <c r="F403" s="20" t="s">
        <v>1969</v>
      </c>
      <c r="G403" s="21" t="s">
        <v>1968</v>
      </c>
      <c r="H403" s="21" t="s">
        <v>1968</v>
      </c>
      <c r="I403" s="21" t="s">
        <v>1968</v>
      </c>
      <c r="J403" s="21" t="s">
        <v>1968</v>
      </c>
      <c r="K403" s="21" t="s">
        <v>1968</v>
      </c>
      <c r="L403" s="22" t="str">
        <f t="shared" si="30"/>
        <v>INCLUDE</v>
      </c>
      <c r="M403" s="22" t="str">
        <f t="shared" si="31"/>
        <v/>
      </c>
      <c r="N403" s="23" t="s">
        <v>1968</v>
      </c>
      <c r="O403" s="23" t="s">
        <v>1968</v>
      </c>
      <c r="P403" s="24" t="s">
        <v>1968</v>
      </c>
      <c r="Q403" s="24" t="s">
        <v>1968</v>
      </c>
      <c r="R403" s="24" t="s">
        <v>1968</v>
      </c>
      <c r="S403" s="22" t="str">
        <f t="shared" si="32"/>
        <v>INCLUDE</v>
      </c>
      <c r="T403" s="22" t="str">
        <f t="shared" si="33"/>
        <v/>
      </c>
      <c r="U403" s="25" t="s">
        <v>1982</v>
      </c>
      <c r="V403" s="25">
        <v>0</v>
      </c>
      <c r="W403" s="25">
        <v>1</v>
      </c>
      <c r="X403" s="25">
        <v>0</v>
      </c>
      <c r="Y403" s="22" t="str">
        <f t="shared" si="34"/>
        <v>Single</v>
      </c>
      <c r="Z403" s="25" t="s">
        <v>1922</v>
      </c>
      <c r="AA403" s="25" t="s">
        <v>1972</v>
      </c>
      <c r="AB403" s="25" t="s">
        <v>2014</v>
      </c>
      <c r="AC403" s="25" t="s">
        <v>1986</v>
      </c>
      <c r="AD403" s="25" t="s">
        <v>2003</v>
      </c>
      <c r="AE403" s="25">
        <v>4</v>
      </c>
      <c r="AF403" s="25" t="s">
        <v>2004</v>
      </c>
      <c r="AG403" s="9" t="s">
        <v>3212</v>
      </c>
      <c r="AH403" s="29" t="s">
        <v>3213</v>
      </c>
      <c r="AI403" s="29" t="s">
        <v>3214</v>
      </c>
      <c r="AJ403" t="s">
        <v>2005</v>
      </c>
      <c r="AK403" t="s">
        <v>3215</v>
      </c>
      <c r="AL403" t="s">
        <v>1990</v>
      </c>
      <c r="AM403" s="50"/>
      <c r="AN403" s="51" t="s">
        <v>3216</v>
      </c>
      <c r="AO403" s="55" t="s">
        <v>798</v>
      </c>
    </row>
    <row r="404" spans="1:41" ht="57" hidden="1" customHeight="1" x14ac:dyDescent="0.3">
      <c r="A404" s="20">
        <v>400</v>
      </c>
      <c r="B404" s="8" t="s">
        <v>3217</v>
      </c>
      <c r="C404" s="26">
        <v>2026</v>
      </c>
      <c r="D404" s="8"/>
      <c r="E404" s="8" t="s">
        <v>801</v>
      </c>
      <c r="F404" s="20" t="s">
        <v>1969</v>
      </c>
      <c r="G404" s="21" t="s">
        <v>1968</v>
      </c>
      <c r="H404" s="21" t="s">
        <v>1968</v>
      </c>
      <c r="I404" s="21" t="s">
        <v>1968</v>
      </c>
      <c r="J404" s="21" t="s">
        <v>1968</v>
      </c>
      <c r="K404" s="21" t="s">
        <v>1968</v>
      </c>
      <c r="L404" s="22" t="str">
        <f t="shared" si="30"/>
        <v>INCLUDE</v>
      </c>
      <c r="M404" s="22" t="str">
        <f t="shared" si="31"/>
        <v/>
      </c>
      <c r="N404" s="23" t="s">
        <v>1968</v>
      </c>
      <c r="O404" s="23" t="s">
        <v>1968</v>
      </c>
      <c r="P404" s="24" t="s">
        <v>1968</v>
      </c>
      <c r="Q404" s="24" t="s">
        <v>1968</v>
      </c>
      <c r="R404" s="24" t="s">
        <v>1968</v>
      </c>
      <c r="S404" s="22" t="str">
        <f t="shared" si="32"/>
        <v>INCLUDE</v>
      </c>
      <c r="T404" s="22" t="str">
        <f t="shared" si="33"/>
        <v/>
      </c>
      <c r="U404" s="25" t="s">
        <v>1971</v>
      </c>
      <c r="V404" s="25">
        <v>0</v>
      </c>
      <c r="W404" s="25">
        <v>0</v>
      </c>
      <c r="X404" s="25">
        <v>1</v>
      </c>
      <c r="Y404" s="22" t="str">
        <f t="shared" si="34"/>
        <v>Single</v>
      </c>
      <c r="Z404" s="25" t="s">
        <v>1922</v>
      </c>
      <c r="AA404" s="25" t="s">
        <v>1972</v>
      </c>
      <c r="AB404" s="25" t="s">
        <v>1973</v>
      </c>
      <c r="AC404" s="25" t="s">
        <v>1986</v>
      </c>
      <c r="AD404" s="25" t="s">
        <v>2003</v>
      </c>
      <c r="AE404" s="25">
        <v>4</v>
      </c>
      <c r="AF404" s="25" t="s">
        <v>1976</v>
      </c>
      <c r="AG404" s="9" t="s">
        <v>3218</v>
      </c>
      <c r="AH404" s="29" t="s">
        <v>3219</v>
      </c>
      <c r="AI404" s="29" t="s">
        <v>3220</v>
      </c>
      <c r="AJ404" t="s">
        <v>1977</v>
      </c>
      <c r="AK404" t="s">
        <v>3221</v>
      </c>
      <c r="AL404" t="s">
        <v>1978</v>
      </c>
      <c r="AM404" s="50" t="s">
        <v>2341</v>
      </c>
      <c r="AN404" s="51" t="s">
        <v>3222</v>
      </c>
      <c r="AO404" s="55" t="s">
        <v>800</v>
      </c>
    </row>
    <row r="405" spans="1:41" ht="125.4" customHeight="1" x14ac:dyDescent="0.3">
      <c r="A405" s="20">
        <v>401</v>
      </c>
      <c r="B405" s="8" t="s">
        <v>3223</v>
      </c>
      <c r="C405" s="26">
        <v>2025</v>
      </c>
      <c r="D405" s="8"/>
      <c r="E405" s="8" t="s">
        <v>803</v>
      </c>
      <c r="F405" s="20" t="s">
        <v>1969</v>
      </c>
      <c r="G405" s="21" t="s">
        <v>1968</v>
      </c>
      <c r="H405" s="21" t="s">
        <v>1968</v>
      </c>
      <c r="I405" s="21" t="s">
        <v>1979</v>
      </c>
      <c r="J405" s="21" t="s">
        <v>1968</v>
      </c>
      <c r="K405" s="21" t="s">
        <v>1968</v>
      </c>
      <c r="L405" s="22" t="str">
        <f t="shared" si="30"/>
        <v>EXCLUDE</v>
      </c>
      <c r="M405" s="22" t="str">
        <f t="shared" si="31"/>
        <v>No Design for Safety / PtD focus</v>
      </c>
      <c r="N405" s="23"/>
      <c r="O405" s="23"/>
      <c r="P405" s="24"/>
      <c r="Q405" s="24"/>
      <c r="R405" s="24"/>
      <c r="S405" s="22" t="str">
        <f t="shared" si="32"/>
        <v/>
      </c>
      <c r="T405" s="22" t="str">
        <f t="shared" si="33"/>
        <v/>
      </c>
      <c r="U405" s="25"/>
      <c r="V405" s="25"/>
      <c r="W405" s="25"/>
      <c r="X405" s="25"/>
      <c r="Y405" s="22" t="str">
        <f t="shared" si="34"/>
        <v/>
      </c>
      <c r="Z405" s="25"/>
      <c r="AA405" s="25"/>
      <c r="AB405" s="25"/>
      <c r="AC405" s="25"/>
      <c r="AD405" s="25"/>
      <c r="AE405" s="25"/>
      <c r="AF405" s="25"/>
      <c r="AG405" s="9"/>
      <c r="AH405" s="29"/>
      <c r="AI405" s="29"/>
      <c r="AM405" s="50"/>
      <c r="AN405" s="51" t="s">
        <v>3224</v>
      </c>
      <c r="AO405" s="55" t="s">
        <v>802</v>
      </c>
    </row>
    <row r="406" spans="1:41" ht="102.6" customHeight="1" x14ac:dyDescent="0.3">
      <c r="A406" s="20">
        <v>402</v>
      </c>
      <c r="B406" s="8" t="s">
        <v>3225</v>
      </c>
      <c r="C406" s="26">
        <v>2026</v>
      </c>
      <c r="D406" s="8"/>
      <c r="E406" s="8" t="s">
        <v>805</v>
      </c>
      <c r="F406" s="20" t="s">
        <v>1969</v>
      </c>
      <c r="G406" s="21" t="s">
        <v>1968</v>
      </c>
      <c r="H406" s="21" t="s">
        <v>1979</v>
      </c>
      <c r="I406" s="21" t="s">
        <v>1968</v>
      </c>
      <c r="J406" s="21" t="s">
        <v>1968</v>
      </c>
      <c r="K406" s="21" t="s">
        <v>1968</v>
      </c>
      <c r="L406" s="22" t="str">
        <f t="shared" si="30"/>
        <v>EXCLUDE</v>
      </c>
      <c r="M406" s="22" t="str">
        <f t="shared" si="31"/>
        <v>Digital Twin not core / buzzword</v>
      </c>
      <c r="N406" s="23"/>
      <c r="O406" s="23"/>
      <c r="P406" s="24"/>
      <c r="Q406" s="24"/>
      <c r="R406" s="24"/>
      <c r="S406" s="22" t="str">
        <f t="shared" si="32"/>
        <v/>
      </c>
      <c r="T406" s="22" t="str">
        <f t="shared" si="33"/>
        <v/>
      </c>
      <c r="U406" s="25"/>
      <c r="V406" s="25"/>
      <c r="W406" s="25"/>
      <c r="X406" s="25"/>
      <c r="Y406" s="22" t="str">
        <f t="shared" si="34"/>
        <v/>
      </c>
      <c r="Z406" s="25"/>
      <c r="AA406" s="25"/>
      <c r="AB406" s="25"/>
      <c r="AC406" s="25"/>
      <c r="AD406" s="25"/>
      <c r="AE406" s="25"/>
      <c r="AF406" s="25"/>
      <c r="AG406" s="9"/>
      <c r="AH406" s="29"/>
      <c r="AI406" s="29"/>
      <c r="AM406" s="50"/>
      <c r="AN406" s="51" t="s">
        <v>3226</v>
      </c>
      <c r="AO406" s="55" t="s">
        <v>804</v>
      </c>
    </row>
    <row r="407" spans="1:41" ht="34.200000000000003" hidden="1" customHeight="1" x14ac:dyDescent="0.3">
      <c r="A407" s="20">
        <v>403</v>
      </c>
      <c r="B407" s="8" t="s">
        <v>3227</v>
      </c>
      <c r="C407" s="26">
        <v>2026</v>
      </c>
      <c r="D407" s="8"/>
      <c r="E407" s="8" t="s">
        <v>807</v>
      </c>
      <c r="F407" s="20" t="s">
        <v>1969</v>
      </c>
      <c r="G407" s="21" t="s">
        <v>1968</v>
      </c>
      <c r="H407" s="21" t="s">
        <v>1979</v>
      </c>
      <c r="I407" s="21" t="s">
        <v>1968</v>
      </c>
      <c r="J407" s="21" t="s">
        <v>1968</v>
      </c>
      <c r="K407" s="21" t="s">
        <v>1968</v>
      </c>
      <c r="L407" s="22" t="str">
        <f t="shared" si="30"/>
        <v>EXCLUDE</v>
      </c>
      <c r="M407" s="22" t="str">
        <f t="shared" si="31"/>
        <v>Digital Twin not core / buzzword</v>
      </c>
      <c r="N407" s="23"/>
      <c r="O407" s="23"/>
      <c r="P407" s="24"/>
      <c r="Q407" s="24"/>
      <c r="R407" s="24"/>
      <c r="S407" s="22" t="str">
        <f t="shared" si="32"/>
        <v/>
      </c>
      <c r="T407" s="22" t="str">
        <f t="shared" si="33"/>
        <v/>
      </c>
      <c r="U407" s="25"/>
      <c r="V407" s="25"/>
      <c r="W407" s="25"/>
      <c r="X407" s="25"/>
      <c r="Y407" s="22" t="str">
        <f t="shared" si="34"/>
        <v/>
      </c>
      <c r="Z407" s="25"/>
      <c r="AA407" s="25"/>
      <c r="AB407" s="25"/>
      <c r="AC407" s="25"/>
      <c r="AD407" s="25"/>
      <c r="AE407" s="25"/>
      <c r="AF407" s="25"/>
      <c r="AG407" s="9"/>
      <c r="AH407" s="29"/>
      <c r="AI407" s="29"/>
      <c r="AM407" s="50"/>
      <c r="AN407" s="51" t="s">
        <v>3228</v>
      </c>
      <c r="AO407" s="55" t="s">
        <v>806</v>
      </c>
    </row>
    <row r="408" spans="1:41" ht="409.6" customHeight="1" x14ac:dyDescent="0.3">
      <c r="A408" s="20">
        <v>404</v>
      </c>
      <c r="B408" s="8" t="s">
        <v>2604</v>
      </c>
      <c r="C408" s="26">
        <v>2026</v>
      </c>
      <c r="D408" s="8"/>
      <c r="E408" s="8" t="s">
        <v>809</v>
      </c>
      <c r="F408" s="20" t="s">
        <v>1969</v>
      </c>
      <c r="G408" s="21" t="s">
        <v>1968</v>
      </c>
      <c r="H408" s="21" t="s">
        <v>1979</v>
      </c>
      <c r="I408" s="21" t="s">
        <v>1968</v>
      </c>
      <c r="J408" s="21" t="s">
        <v>1968</v>
      </c>
      <c r="K408" s="21" t="s">
        <v>1968</v>
      </c>
      <c r="L408" s="22" t="str">
        <f t="shared" si="30"/>
        <v>EXCLUDE</v>
      </c>
      <c r="M408" s="22" t="str">
        <f t="shared" si="31"/>
        <v>Digital Twin not core / buzzword</v>
      </c>
      <c r="N408" s="23"/>
      <c r="O408" s="23"/>
      <c r="P408" s="24"/>
      <c r="Q408" s="24"/>
      <c r="R408" s="24"/>
      <c r="S408" s="22" t="str">
        <f t="shared" si="32"/>
        <v/>
      </c>
      <c r="T408" s="22" t="str">
        <f t="shared" si="33"/>
        <v/>
      </c>
      <c r="U408" s="25"/>
      <c r="V408" s="25"/>
      <c r="W408" s="25"/>
      <c r="X408" s="25"/>
      <c r="Y408" s="22" t="str">
        <f t="shared" si="34"/>
        <v/>
      </c>
      <c r="Z408" s="25"/>
      <c r="AA408" s="25"/>
      <c r="AB408" s="25"/>
      <c r="AC408" s="25"/>
      <c r="AD408" s="25"/>
      <c r="AE408" s="25"/>
      <c r="AF408" s="25"/>
      <c r="AG408" s="9"/>
      <c r="AH408" s="29"/>
      <c r="AI408" s="29"/>
      <c r="AM408" s="50"/>
      <c r="AN408" s="51" t="s">
        <v>3229</v>
      </c>
      <c r="AO408" s="55" t="s">
        <v>808</v>
      </c>
    </row>
    <row r="409" spans="1:41" ht="91.2" customHeight="1" x14ac:dyDescent="0.3">
      <c r="A409" s="20">
        <v>405</v>
      </c>
      <c r="B409" s="8" t="s">
        <v>3230</v>
      </c>
      <c r="C409" s="26">
        <v>2026</v>
      </c>
      <c r="D409" s="8"/>
      <c r="E409" s="8" t="s">
        <v>811</v>
      </c>
      <c r="F409" s="20" t="s">
        <v>1969</v>
      </c>
      <c r="G409" s="21" t="s">
        <v>1968</v>
      </c>
      <c r="H409" s="21" t="s">
        <v>1968</v>
      </c>
      <c r="I409" s="21" t="s">
        <v>1968</v>
      </c>
      <c r="J409" s="21" t="s">
        <v>1968</v>
      </c>
      <c r="K409" s="21" t="s">
        <v>1968</v>
      </c>
      <c r="L409" s="22" t="str">
        <f t="shared" si="30"/>
        <v>INCLUDE</v>
      </c>
      <c r="M409" s="22" t="str">
        <f t="shared" si="31"/>
        <v/>
      </c>
      <c r="N409" s="23" t="s">
        <v>1968</v>
      </c>
      <c r="O409" s="23" t="s">
        <v>1968</v>
      </c>
      <c r="P409" s="24" t="s">
        <v>1968</v>
      </c>
      <c r="Q409" s="24" t="s">
        <v>1968</v>
      </c>
      <c r="R409" s="24" t="s">
        <v>1968</v>
      </c>
      <c r="S409" s="22" t="str">
        <f t="shared" si="32"/>
        <v>INCLUDE</v>
      </c>
      <c r="T409" s="22" t="str">
        <f t="shared" si="33"/>
        <v/>
      </c>
      <c r="U409" s="25" t="s">
        <v>1982</v>
      </c>
      <c r="V409" s="25">
        <v>0</v>
      </c>
      <c r="W409" s="25">
        <v>0</v>
      </c>
      <c r="X409" s="25">
        <v>1</v>
      </c>
      <c r="Y409" s="22" t="str">
        <f t="shared" si="34"/>
        <v>Single</v>
      </c>
      <c r="Z409" s="25" t="s">
        <v>1922</v>
      </c>
      <c r="AA409" s="25" t="s">
        <v>1972</v>
      </c>
      <c r="AB409" s="25" t="s">
        <v>2017</v>
      </c>
      <c r="AC409" s="25" t="s">
        <v>1986</v>
      </c>
      <c r="AD409" s="25" t="s">
        <v>2003</v>
      </c>
      <c r="AE409" s="25">
        <v>4</v>
      </c>
      <c r="AF409" s="25" t="s">
        <v>2004</v>
      </c>
      <c r="AG409" s="9" t="s">
        <v>3231</v>
      </c>
      <c r="AH409" s="29" t="s">
        <v>3232</v>
      </c>
      <c r="AI409" s="29" t="s">
        <v>3233</v>
      </c>
      <c r="AJ409" t="s">
        <v>1997</v>
      </c>
      <c r="AK409" t="s">
        <v>3234</v>
      </c>
      <c r="AL409" t="s">
        <v>1990</v>
      </c>
      <c r="AM409" s="50"/>
      <c r="AN409" s="51" t="s">
        <v>3235</v>
      </c>
      <c r="AO409" s="55" t="s">
        <v>810</v>
      </c>
    </row>
    <row r="410" spans="1:41" ht="45.6" hidden="1" customHeight="1" x14ac:dyDescent="0.3">
      <c r="A410" s="20">
        <v>406</v>
      </c>
      <c r="B410" s="8" t="s">
        <v>3236</v>
      </c>
      <c r="C410" s="26">
        <v>2026</v>
      </c>
      <c r="D410" s="8"/>
      <c r="E410" s="8" t="s">
        <v>813</v>
      </c>
      <c r="F410" s="20" t="s">
        <v>1969</v>
      </c>
      <c r="G410" s="21" t="s">
        <v>1979</v>
      </c>
      <c r="H410" s="21" t="s">
        <v>1968</v>
      </c>
      <c r="I410" s="21" t="s">
        <v>1968</v>
      </c>
      <c r="J410" s="21" t="s">
        <v>1968</v>
      </c>
      <c r="K410" s="21" t="s">
        <v>1968</v>
      </c>
      <c r="L410" s="22" t="str">
        <f t="shared" si="30"/>
        <v>EXCLUDE</v>
      </c>
      <c r="M410" s="22" t="str">
        <f t="shared" si="31"/>
        <v>Wrong domain (non-AECO)</v>
      </c>
      <c r="N410" s="23"/>
      <c r="O410" s="23"/>
      <c r="P410" s="24"/>
      <c r="Q410" s="24"/>
      <c r="R410" s="24"/>
      <c r="S410" s="22" t="str">
        <f t="shared" si="32"/>
        <v/>
      </c>
      <c r="T410" s="22" t="str">
        <f t="shared" si="33"/>
        <v/>
      </c>
      <c r="U410" s="25"/>
      <c r="V410" s="25"/>
      <c r="W410" s="25"/>
      <c r="X410" s="25"/>
      <c r="Y410" s="22" t="str">
        <f t="shared" si="34"/>
        <v/>
      </c>
      <c r="Z410" s="25"/>
      <c r="AA410" s="25"/>
      <c r="AB410" s="25"/>
      <c r="AC410" s="25"/>
      <c r="AD410" s="25"/>
      <c r="AE410" s="25"/>
      <c r="AF410" s="25"/>
      <c r="AG410" s="9"/>
      <c r="AH410" s="29"/>
      <c r="AI410" s="29"/>
      <c r="AM410" s="50"/>
      <c r="AN410" s="51" t="s">
        <v>3237</v>
      </c>
      <c r="AO410" s="55" t="s">
        <v>812</v>
      </c>
    </row>
    <row r="411" spans="1:41" ht="45.6" hidden="1" customHeight="1" x14ac:dyDescent="0.3">
      <c r="A411" s="20">
        <v>407</v>
      </c>
      <c r="B411" s="8" t="s">
        <v>3238</v>
      </c>
      <c r="C411" s="26">
        <v>2026</v>
      </c>
      <c r="D411" s="8"/>
      <c r="E411" s="8" t="s">
        <v>815</v>
      </c>
      <c r="F411" s="20" t="s">
        <v>1969</v>
      </c>
      <c r="G411" s="21" t="s">
        <v>1979</v>
      </c>
      <c r="H411" s="21" t="s">
        <v>1968</v>
      </c>
      <c r="I411" s="21" t="s">
        <v>1968</v>
      </c>
      <c r="J411" s="21" t="s">
        <v>1968</v>
      </c>
      <c r="K411" s="21" t="s">
        <v>1968</v>
      </c>
      <c r="L411" s="22" t="str">
        <f t="shared" si="30"/>
        <v>EXCLUDE</v>
      </c>
      <c r="M411" s="22" t="str">
        <f t="shared" si="31"/>
        <v>Wrong domain (non-AECO)</v>
      </c>
      <c r="N411" s="23"/>
      <c r="O411" s="23"/>
      <c r="P411" s="24"/>
      <c r="Q411" s="24"/>
      <c r="R411" s="24"/>
      <c r="S411" s="22" t="str">
        <f t="shared" si="32"/>
        <v/>
      </c>
      <c r="T411" s="22" t="str">
        <f t="shared" si="33"/>
        <v/>
      </c>
      <c r="U411" s="25"/>
      <c r="V411" s="25"/>
      <c r="W411" s="25"/>
      <c r="X411" s="25"/>
      <c r="Y411" s="22" t="str">
        <f t="shared" si="34"/>
        <v/>
      </c>
      <c r="Z411" s="25"/>
      <c r="AA411" s="25"/>
      <c r="AB411" s="25"/>
      <c r="AC411" s="25"/>
      <c r="AD411" s="25"/>
      <c r="AE411" s="25"/>
      <c r="AF411" s="25"/>
      <c r="AG411" s="9"/>
      <c r="AH411" s="29"/>
      <c r="AI411" s="29"/>
      <c r="AM411" s="50"/>
      <c r="AN411" s="51" t="s">
        <v>3239</v>
      </c>
      <c r="AO411" s="55" t="s">
        <v>814</v>
      </c>
    </row>
    <row r="412" spans="1:41" ht="114" customHeight="1" x14ac:dyDescent="0.3">
      <c r="A412" s="20">
        <v>408</v>
      </c>
      <c r="B412" s="8" t="s">
        <v>3240</v>
      </c>
      <c r="C412" s="26">
        <v>2026</v>
      </c>
      <c r="D412" s="8"/>
      <c r="E412" s="8" t="s">
        <v>817</v>
      </c>
      <c r="F412" s="20" t="s">
        <v>1969</v>
      </c>
      <c r="G412" s="21" t="s">
        <v>1968</v>
      </c>
      <c r="H412" s="21" t="s">
        <v>1968</v>
      </c>
      <c r="I412" s="21" t="s">
        <v>1979</v>
      </c>
      <c r="J412" s="21" t="s">
        <v>1968</v>
      </c>
      <c r="K412" s="21" t="s">
        <v>1968</v>
      </c>
      <c r="L412" s="22" t="str">
        <f t="shared" si="30"/>
        <v>EXCLUDE</v>
      </c>
      <c r="M412" s="22" t="str">
        <f t="shared" si="31"/>
        <v>No Design for Safety / PtD focus</v>
      </c>
      <c r="N412" s="23"/>
      <c r="O412" s="23"/>
      <c r="P412" s="24"/>
      <c r="Q412" s="24"/>
      <c r="R412" s="24"/>
      <c r="S412" s="22" t="str">
        <f t="shared" si="32"/>
        <v/>
      </c>
      <c r="T412" s="22" t="str">
        <f t="shared" si="33"/>
        <v/>
      </c>
      <c r="U412" s="25"/>
      <c r="V412" s="25"/>
      <c r="W412" s="25"/>
      <c r="X412" s="25"/>
      <c r="Y412" s="22" t="str">
        <f t="shared" si="34"/>
        <v/>
      </c>
      <c r="Z412" s="25"/>
      <c r="AA412" s="25"/>
      <c r="AB412" s="25"/>
      <c r="AC412" s="25"/>
      <c r="AD412" s="25"/>
      <c r="AE412" s="25"/>
      <c r="AF412" s="25"/>
      <c r="AG412" s="9"/>
      <c r="AH412" s="29"/>
      <c r="AI412" s="29"/>
      <c r="AM412" s="50"/>
      <c r="AN412" s="51" t="s">
        <v>3241</v>
      </c>
      <c r="AO412" s="55" t="s">
        <v>816</v>
      </c>
    </row>
    <row r="413" spans="1:41" ht="79.95" hidden="1" customHeight="1" x14ac:dyDescent="0.3">
      <c r="A413" s="20">
        <v>409</v>
      </c>
      <c r="B413" s="8" t="s">
        <v>3242</v>
      </c>
      <c r="C413" s="26">
        <v>2025</v>
      </c>
      <c r="D413" s="8"/>
      <c r="E413" s="8" t="s">
        <v>819</v>
      </c>
      <c r="F413" s="20" t="s">
        <v>1969</v>
      </c>
      <c r="G413" s="21" t="s">
        <v>1968</v>
      </c>
      <c r="H413" s="21" t="s">
        <v>1968</v>
      </c>
      <c r="I413" s="21" t="s">
        <v>1968</v>
      </c>
      <c r="J413" s="21" t="s">
        <v>1968</v>
      </c>
      <c r="K413" s="21" t="s">
        <v>1968</v>
      </c>
      <c r="L413" s="22" t="str">
        <f t="shared" si="30"/>
        <v>INCLUDE</v>
      </c>
      <c r="M413" s="22" t="str">
        <f t="shared" si="31"/>
        <v/>
      </c>
      <c r="N413" s="23" t="s">
        <v>1968</v>
      </c>
      <c r="O413" s="23" t="s">
        <v>1968</v>
      </c>
      <c r="P413" s="24" t="s">
        <v>1968</v>
      </c>
      <c r="Q413" s="24" t="s">
        <v>1968</v>
      </c>
      <c r="R413" s="24" t="s">
        <v>1968</v>
      </c>
      <c r="S413" s="22" t="str">
        <f t="shared" si="32"/>
        <v>INCLUDE</v>
      </c>
      <c r="T413" s="22" t="str">
        <f t="shared" si="33"/>
        <v/>
      </c>
      <c r="U413" s="25" t="s">
        <v>1992</v>
      </c>
      <c r="V413" s="25">
        <v>0</v>
      </c>
      <c r="W413" s="25">
        <v>1</v>
      </c>
      <c r="X413" s="25">
        <v>0</v>
      </c>
      <c r="Y413" s="22" t="str">
        <f t="shared" si="34"/>
        <v>Single</v>
      </c>
      <c r="Z413" s="25" t="s">
        <v>1922</v>
      </c>
      <c r="AA413" s="25" t="s">
        <v>1972</v>
      </c>
      <c r="AB413" s="25" t="s">
        <v>1973</v>
      </c>
      <c r="AC413" s="25" t="s">
        <v>1986</v>
      </c>
      <c r="AD413" s="25" t="s">
        <v>2003</v>
      </c>
      <c r="AE413" s="25">
        <v>4</v>
      </c>
      <c r="AF413" s="25" t="s">
        <v>2004</v>
      </c>
      <c r="AG413" s="9" t="s">
        <v>3243</v>
      </c>
      <c r="AH413" s="29" t="s">
        <v>3244</v>
      </c>
      <c r="AI413" s="29" t="s">
        <v>3245</v>
      </c>
      <c r="AJ413" t="s">
        <v>2005</v>
      </c>
      <c r="AK413" t="s">
        <v>3246</v>
      </c>
      <c r="AL413" t="s">
        <v>1978</v>
      </c>
      <c r="AM413" s="50"/>
      <c r="AN413" s="51" t="s">
        <v>3247</v>
      </c>
      <c r="AO413" s="55" t="s">
        <v>818</v>
      </c>
    </row>
    <row r="414" spans="1:41" ht="45.6" hidden="1" customHeight="1" x14ac:dyDescent="0.3">
      <c r="A414" s="20">
        <v>410</v>
      </c>
      <c r="B414" s="8" t="s">
        <v>3248</v>
      </c>
      <c r="C414" s="26">
        <v>2025</v>
      </c>
      <c r="D414" s="8"/>
      <c r="E414" s="8" t="s">
        <v>821</v>
      </c>
      <c r="F414" s="20" t="s">
        <v>1969</v>
      </c>
      <c r="G414" s="21" t="s">
        <v>1968</v>
      </c>
      <c r="H414" s="21" t="s">
        <v>1968</v>
      </c>
      <c r="I414" s="21" t="s">
        <v>1968</v>
      </c>
      <c r="J414" s="21" t="s">
        <v>1968</v>
      </c>
      <c r="K414" s="21" t="s">
        <v>1968</v>
      </c>
      <c r="L414" s="22" t="str">
        <f t="shared" si="30"/>
        <v>INCLUDE</v>
      </c>
      <c r="M414" s="22" t="str">
        <f t="shared" si="31"/>
        <v/>
      </c>
      <c r="N414" s="23" t="s">
        <v>1968</v>
      </c>
      <c r="O414" s="23" t="s">
        <v>1968</v>
      </c>
      <c r="P414" s="24" t="s">
        <v>1968</v>
      </c>
      <c r="Q414" s="24" t="s">
        <v>1968</v>
      </c>
      <c r="R414" s="24" t="s">
        <v>1968</v>
      </c>
      <c r="S414" s="22" t="str">
        <f t="shared" si="32"/>
        <v>INCLUDE</v>
      </c>
      <c r="T414" s="22" t="str">
        <f t="shared" si="33"/>
        <v/>
      </c>
      <c r="U414" s="25" t="s">
        <v>1982</v>
      </c>
      <c r="V414" s="25">
        <v>0</v>
      </c>
      <c r="W414" s="25">
        <v>0</v>
      </c>
      <c r="X414" s="25">
        <v>1</v>
      </c>
      <c r="Y414" s="22" t="str">
        <f t="shared" si="34"/>
        <v>Single</v>
      </c>
      <c r="Z414" s="25" t="s">
        <v>1922</v>
      </c>
      <c r="AA414" s="25" t="s">
        <v>1993</v>
      </c>
      <c r="AB414" s="25" t="s">
        <v>1985</v>
      </c>
      <c r="AC414" s="25" t="s">
        <v>1986</v>
      </c>
      <c r="AD414" s="25" t="s">
        <v>2003</v>
      </c>
      <c r="AE414" s="25">
        <v>4</v>
      </c>
      <c r="AF414" s="25" t="s">
        <v>2010</v>
      </c>
      <c r="AG414" s="9" t="s">
        <v>3249</v>
      </c>
      <c r="AH414" s="29" t="s">
        <v>3250</v>
      </c>
      <c r="AI414" s="29" t="s">
        <v>3251</v>
      </c>
      <c r="AJ414" t="s">
        <v>2005</v>
      </c>
      <c r="AK414" t="s">
        <v>3252</v>
      </c>
      <c r="AL414" t="s">
        <v>1978</v>
      </c>
      <c r="AM414" s="50"/>
      <c r="AN414" s="51" t="s">
        <v>3253</v>
      </c>
      <c r="AO414" s="55" t="s">
        <v>820</v>
      </c>
    </row>
    <row r="415" spans="1:41" ht="100.95" hidden="1" customHeight="1" x14ac:dyDescent="0.3">
      <c r="A415" s="20">
        <v>411</v>
      </c>
      <c r="B415" s="8" t="s">
        <v>3254</v>
      </c>
      <c r="C415" s="26">
        <v>2026</v>
      </c>
      <c r="D415" s="8"/>
      <c r="E415" s="8" t="s">
        <v>823</v>
      </c>
      <c r="F415" s="20" t="s">
        <v>1969</v>
      </c>
      <c r="G415" s="21" t="s">
        <v>1979</v>
      </c>
      <c r="H415" s="21" t="s">
        <v>1968</v>
      </c>
      <c r="I415" s="21" t="s">
        <v>1968</v>
      </c>
      <c r="J415" s="21" t="s">
        <v>1968</v>
      </c>
      <c r="K415" s="21" t="s">
        <v>1968</v>
      </c>
      <c r="L415" s="22" t="str">
        <f t="shared" si="30"/>
        <v>EXCLUDE</v>
      </c>
      <c r="M415" s="22" t="str">
        <f t="shared" si="31"/>
        <v>Wrong domain (non-AECO)</v>
      </c>
      <c r="N415" s="23"/>
      <c r="O415" s="23"/>
      <c r="P415" s="24"/>
      <c r="Q415" s="24"/>
      <c r="R415" s="24"/>
      <c r="S415" s="22" t="str">
        <f t="shared" si="32"/>
        <v/>
      </c>
      <c r="T415" s="22" t="str">
        <f t="shared" si="33"/>
        <v/>
      </c>
      <c r="U415" s="25"/>
      <c r="V415" s="25"/>
      <c r="W415" s="25"/>
      <c r="X415" s="25"/>
      <c r="Y415" s="22" t="str">
        <f t="shared" si="34"/>
        <v/>
      </c>
      <c r="Z415" s="25"/>
      <c r="AA415" s="25"/>
      <c r="AB415" s="25"/>
      <c r="AC415" s="25"/>
      <c r="AD415" s="25"/>
      <c r="AE415" s="25"/>
      <c r="AF415" s="25"/>
      <c r="AG415" s="9"/>
      <c r="AH415" s="29"/>
      <c r="AI415" s="29"/>
      <c r="AM415" s="50"/>
      <c r="AN415" s="51" t="s">
        <v>3255</v>
      </c>
      <c r="AO415" s="55" t="s">
        <v>822</v>
      </c>
    </row>
    <row r="416" spans="1:41" ht="125.4" customHeight="1" x14ac:dyDescent="0.3">
      <c r="A416" s="20">
        <v>412</v>
      </c>
      <c r="B416" s="8" t="s">
        <v>3256</v>
      </c>
      <c r="C416" s="26">
        <v>2026</v>
      </c>
      <c r="D416" s="8"/>
      <c r="E416" s="8" t="s">
        <v>825</v>
      </c>
      <c r="F416" s="20" t="s">
        <v>1969</v>
      </c>
      <c r="G416" s="21" t="s">
        <v>1968</v>
      </c>
      <c r="H416" s="21" t="s">
        <v>1968</v>
      </c>
      <c r="I416" s="21" t="s">
        <v>1968</v>
      </c>
      <c r="J416" s="21" t="s">
        <v>1968</v>
      </c>
      <c r="K416" s="21" t="s">
        <v>1968</v>
      </c>
      <c r="L416" s="22" t="str">
        <f t="shared" si="30"/>
        <v>INCLUDE</v>
      </c>
      <c r="M416" s="22" t="str">
        <f t="shared" si="31"/>
        <v/>
      </c>
      <c r="N416" s="23" t="s">
        <v>1968</v>
      </c>
      <c r="O416" s="23" t="s">
        <v>1968</v>
      </c>
      <c r="P416" s="24" t="s">
        <v>1968</v>
      </c>
      <c r="Q416" s="24" t="s">
        <v>1968</v>
      </c>
      <c r="R416" s="24" t="s">
        <v>1968</v>
      </c>
      <c r="S416" s="22" t="str">
        <f t="shared" si="32"/>
        <v>INCLUDE</v>
      </c>
      <c r="T416" s="22" t="str">
        <f t="shared" si="33"/>
        <v/>
      </c>
      <c r="U416" s="25" t="s">
        <v>1971</v>
      </c>
      <c r="V416" s="25">
        <v>0</v>
      </c>
      <c r="W416" s="25">
        <v>1</v>
      </c>
      <c r="X416" s="25">
        <v>0</v>
      </c>
      <c r="Y416" s="22" t="str">
        <f t="shared" si="34"/>
        <v>Single</v>
      </c>
      <c r="Z416" s="25" t="s">
        <v>1922</v>
      </c>
      <c r="AA416" s="25" t="s">
        <v>1972</v>
      </c>
      <c r="AB416" s="25" t="s">
        <v>1973</v>
      </c>
      <c r="AC416" s="25" t="s">
        <v>1974</v>
      </c>
      <c r="AD416" s="25" t="s">
        <v>2003</v>
      </c>
      <c r="AE416" s="25">
        <v>3</v>
      </c>
      <c r="AF416" s="25" t="s">
        <v>1996</v>
      </c>
      <c r="AG416" s="9" t="s">
        <v>3257</v>
      </c>
      <c r="AH416" s="29" t="s">
        <v>3258</v>
      </c>
      <c r="AI416" s="29" t="s">
        <v>3259</v>
      </c>
      <c r="AJ416" t="s">
        <v>1977</v>
      </c>
      <c r="AK416" t="s">
        <v>3260</v>
      </c>
      <c r="AL416" t="s">
        <v>1990</v>
      </c>
      <c r="AM416" s="50"/>
      <c r="AN416" s="51" t="s">
        <v>3261</v>
      </c>
      <c r="AO416" s="55" t="s">
        <v>824</v>
      </c>
    </row>
    <row r="417" spans="1:41" ht="102.6" customHeight="1" x14ac:dyDescent="0.3">
      <c r="A417" s="20">
        <v>413</v>
      </c>
      <c r="B417" s="8" t="s">
        <v>3262</v>
      </c>
      <c r="C417" s="26">
        <v>2026</v>
      </c>
      <c r="D417" s="8"/>
      <c r="E417" s="8" t="s">
        <v>827</v>
      </c>
      <c r="F417" s="20" t="s">
        <v>1969</v>
      </c>
      <c r="G417" s="21" t="s">
        <v>1968</v>
      </c>
      <c r="H417" s="21" t="s">
        <v>1968</v>
      </c>
      <c r="I417" s="21" t="s">
        <v>1968</v>
      </c>
      <c r="J417" s="21" t="s">
        <v>1968</v>
      </c>
      <c r="K417" s="21" t="s">
        <v>1968</v>
      </c>
      <c r="L417" s="22" t="str">
        <f t="shared" si="30"/>
        <v>INCLUDE</v>
      </c>
      <c r="M417" s="22" t="str">
        <f t="shared" si="31"/>
        <v/>
      </c>
      <c r="N417" s="23" t="s">
        <v>1968</v>
      </c>
      <c r="O417" s="23" t="s">
        <v>1968</v>
      </c>
      <c r="P417" s="24" t="s">
        <v>1968</v>
      </c>
      <c r="Q417" s="24" t="s">
        <v>1968</v>
      </c>
      <c r="R417" s="24" t="s">
        <v>1968</v>
      </c>
      <c r="S417" s="22" t="str">
        <f t="shared" si="32"/>
        <v>INCLUDE</v>
      </c>
      <c r="T417" s="22" t="str">
        <f t="shared" si="33"/>
        <v/>
      </c>
      <c r="U417" s="25" t="s">
        <v>1982</v>
      </c>
      <c r="V417" s="25">
        <v>0</v>
      </c>
      <c r="W417" s="25">
        <v>1</v>
      </c>
      <c r="X417" s="25">
        <v>0</v>
      </c>
      <c r="Y417" s="22" t="str">
        <f t="shared" si="34"/>
        <v>Single</v>
      </c>
      <c r="Z417" s="25" t="s">
        <v>1922</v>
      </c>
      <c r="AA417" s="25" t="s">
        <v>1972</v>
      </c>
      <c r="AB417" s="25" t="s">
        <v>2002</v>
      </c>
      <c r="AC417" s="25" t="s">
        <v>1986</v>
      </c>
      <c r="AD417" s="25" t="s">
        <v>2003</v>
      </c>
      <c r="AE417" s="25">
        <v>4</v>
      </c>
      <c r="AF417" s="25" t="s">
        <v>2010</v>
      </c>
      <c r="AG417" s="9" t="s">
        <v>3263</v>
      </c>
      <c r="AH417" s="29" t="s">
        <v>3264</v>
      </c>
      <c r="AI417" s="29" t="s">
        <v>3265</v>
      </c>
      <c r="AJ417" t="s">
        <v>2005</v>
      </c>
      <c r="AK417" t="s">
        <v>3266</v>
      </c>
      <c r="AL417" t="s">
        <v>1978</v>
      </c>
      <c r="AM417" s="50"/>
      <c r="AN417" s="51" t="s">
        <v>3267</v>
      </c>
      <c r="AO417" s="55" t="s">
        <v>826</v>
      </c>
    </row>
    <row r="418" spans="1:41" ht="102.6" customHeight="1" x14ac:dyDescent="0.3">
      <c r="A418" s="20">
        <v>414</v>
      </c>
      <c r="B418" s="8" t="s">
        <v>3268</v>
      </c>
      <c r="C418" s="26">
        <v>2026</v>
      </c>
      <c r="D418" s="8"/>
      <c r="E418" s="8" t="s">
        <v>829</v>
      </c>
      <c r="F418" s="20" t="s">
        <v>1969</v>
      </c>
      <c r="G418" s="21" t="s">
        <v>1968</v>
      </c>
      <c r="H418" s="21" t="s">
        <v>1979</v>
      </c>
      <c r="I418" s="21" t="s">
        <v>1968</v>
      </c>
      <c r="J418" s="21" t="s">
        <v>1968</v>
      </c>
      <c r="K418" s="21" t="s">
        <v>1968</v>
      </c>
      <c r="L418" s="22" t="str">
        <f t="shared" si="30"/>
        <v>EXCLUDE</v>
      </c>
      <c r="M418" s="22" t="str">
        <f t="shared" si="31"/>
        <v>Digital Twin not core / buzzword</v>
      </c>
      <c r="N418" s="23"/>
      <c r="O418" s="23"/>
      <c r="P418" s="24"/>
      <c r="Q418" s="24"/>
      <c r="R418" s="24"/>
      <c r="S418" s="22" t="str">
        <f t="shared" si="32"/>
        <v/>
      </c>
      <c r="T418" s="22" t="str">
        <f t="shared" si="33"/>
        <v/>
      </c>
      <c r="U418" s="25"/>
      <c r="V418" s="25"/>
      <c r="W418" s="25"/>
      <c r="X418" s="25"/>
      <c r="Y418" s="22" t="str">
        <f t="shared" si="34"/>
        <v/>
      </c>
      <c r="Z418" s="25"/>
      <c r="AA418" s="25"/>
      <c r="AB418" s="25"/>
      <c r="AC418" s="25"/>
      <c r="AD418" s="25"/>
      <c r="AE418" s="25"/>
      <c r="AF418" s="25"/>
      <c r="AG418" s="9"/>
      <c r="AH418" s="29"/>
      <c r="AI418" s="29"/>
      <c r="AM418" s="50"/>
      <c r="AN418" s="51" t="s">
        <v>3269</v>
      </c>
      <c r="AO418" s="55" t="s">
        <v>828</v>
      </c>
    </row>
    <row r="419" spans="1:41" ht="57" hidden="1" customHeight="1" x14ac:dyDescent="0.3">
      <c r="A419" s="20">
        <v>415</v>
      </c>
      <c r="B419" s="8" t="s">
        <v>3270</v>
      </c>
      <c r="C419" s="26">
        <v>2026</v>
      </c>
      <c r="D419" s="8"/>
      <c r="E419" s="8" t="s">
        <v>831</v>
      </c>
      <c r="F419" s="20" t="s">
        <v>1969</v>
      </c>
      <c r="G419" s="21" t="s">
        <v>1979</v>
      </c>
      <c r="H419" s="21" t="s">
        <v>1968</v>
      </c>
      <c r="I419" s="21" t="s">
        <v>1968</v>
      </c>
      <c r="J419" s="21" t="s">
        <v>1968</v>
      </c>
      <c r="K419" s="21" t="s">
        <v>1968</v>
      </c>
      <c r="L419" s="22" t="str">
        <f t="shared" si="30"/>
        <v>EXCLUDE</v>
      </c>
      <c r="M419" s="22" t="str">
        <f t="shared" si="31"/>
        <v>Wrong domain (non-AECO)</v>
      </c>
      <c r="N419" s="23"/>
      <c r="O419" s="23"/>
      <c r="P419" s="24"/>
      <c r="Q419" s="24"/>
      <c r="R419" s="24"/>
      <c r="S419" s="22" t="str">
        <f t="shared" si="32"/>
        <v/>
      </c>
      <c r="T419" s="22" t="str">
        <f t="shared" si="33"/>
        <v/>
      </c>
      <c r="U419" s="25"/>
      <c r="V419" s="25"/>
      <c r="W419" s="25"/>
      <c r="X419" s="25"/>
      <c r="Y419" s="22" t="str">
        <f t="shared" si="34"/>
        <v/>
      </c>
      <c r="Z419" s="25"/>
      <c r="AA419" s="25"/>
      <c r="AB419" s="25"/>
      <c r="AC419" s="25"/>
      <c r="AD419" s="25"/>
      <c r="AE419" s="25"/>
      <c r="AF419" s="25"/>
      <c r="AG419" s="9"/>
      <c r="AH419" s="29"/>
      <c r="AI419" s="29"/>
      <c r="AM419" s="50"/>
      <c r="AN419" s="51" t="s">
        <v>3271</v>
      </c>
      <c r="AO419" s="55" t="s">
        <v>830</v>
      </c>
    </row>
    <row r="420" spans="1:41" ht="86.4" customHeight="1" x14ac:dyDescent="0.3">
      <c r="A420" s="20">
        <v>416</v>
      </c>
      <c r="B420" s="8" t="s">
        <v>3272</v>
      </c>
      <c r="C420" s="26">
        <v>2025</v>
      </c>
      <c r="D420" s="8"/>
      <c r="E420" s="8" t="s">
        <v>833</v>
      </c>
      <c r="F420" s="20" t="s">
        <v>1969</v>
      </c>
      <c r="G420" s="21" t="s">
        <v>1968</v>
      </c>
      <c r="H420" s="21" t="s">
        <v>1968</v>
      </c>
      <c r="I420" s="21" t="s">
        <v>1968</v>
      </c>
      <c r="J420" s="21" t="s">
        <v>1968</v>
      </c>
      <c r="K420" s="21" t="s">
        <v>1968</v>
      </c>
      <c r="L420" s="22" t="str">
        <f t="shared" si="30"/>
        <v>INCLUDE</v>
      </c>
      <c r="M420" s="22" t="str">
        <f t="shared" si="31"/>
        <v/>
      </c>
      <c r="N420" s="23" t="s">
        <v>1968</v>
      </c>
      <c r="O420" s="23" t="s">
        <v>1968</v>
      </c>
      <c r="P420" s="24" t="s">
        <v>1968</v>
      </c>
      <c r="Q420" s="24" t="s">
        <v>1968</v>
      </c>
      <c r="R420" s="24" t="s">
        <v>1968</v>
      </c>
      <c r="S420" s="22" t="str">
        <f t="shared" si="32"/>
        <v>INCLUDE</v>
      </c>
      <c r="T420" s="22" t="str">
        <f t="shared" si="33"/>
        <v/>
      </c>
      <c r="U420" s="25" t="s">
        <v>1971</v>
      </c>
      <c r="V420" s="25">
        <v>0</v>
      </c>
      <c r="W420" s="25">
        <v>0</v>
      </c>
      <c r="X420" s="25">
        <v>1</v>
      </c>
      <c r="Y420" s="22" t="str">
        <f t="shared" si="34"/>
        <v>Single</v>
      </c>
      <c r="Z420" s="25" t="s">
        <v>1922</v>
      </c>
      <c r="AA420" s="25" t="s">
        <v>1972</v>
      </c>
      <c r="AB420" s="25" t="s">
        <v>2014</v>
      </c>
      <c r="AC420" s="25" t="s">
        <v>1974</v>
      </c>
      <c r="AD420" s="25" t="s">
        <v>2003</v>
      </c>
      <c r="AE420" s="25">
        <v>4</v>
      </c>
      <c r="AF420" s="25" t="s">
        <v>2004</v>
      </c>
      <c r="AG420" s="9" t="s">
        <v>3273</v>
      </c>
      <c r="AH420" s="29" t="s">
        <v>3274</v>
      </c>
      <c r="AI420" s="29" t="s">
        <v>3275</v>
      </c>
      <c r="AJ420" t="s">
        <v>1977</v>
      </c>
      <c r="AK420" t="s">
        <v>3276</v>
      </c>
      <c r="AL420" t="s">
        <v>1978</v>
      </c>
      <c r="AM420" s="50"/>
      <c r="AN420" s="51" t="s">
        <v>3277</v>
      </c>
      <c r="AO420" s="55" t="s">
        <v>832</v>
      </c>
    </row>
    <row r="421" spans="1:41" ht="79.95" hidden="1" customHeight="1" x14ac:dyDescent="0.3">
      <c r="A421" s="20">
        <v>417</v>
      </c>
      <c r="B421" s="8" t="s">
        <v>3278</v>
      </c>
      <c r="C421" s="26">
        <v>2026</v>
      </c>
      <c r="D421" s="8"/>
      <c r="E421" s="8" t="s">
        <v>835</v>
      </c>
      <c r="F421" s="20" t="s">
        <v>1969</v>
      </c>
      <c r="G421" s="21" t="s">
        <v>1968</v>
      </c>
      <c r="H421" s="21" t="s">
        <v>1968</v>
      </c>
      <c r="I421" s="21" t="s">
        <v>1968</v>
      </c>
      <c r="J421" s="21" t="s">
        <v>1968</v>
      </c>
      <c r="K421" s="21" t="s">
        <v>1968</v>
      </c>
      <c r="L421" s="22" t="str">
        <f t="shared" si="30"/>
        <v>INCLUDE</v>
      </c>
      <c r="M421" s="22" t="str">
        <f t="shared" si="31"/>
        <v/>
      </c>
      <c r="N421" s="23" t="s">
        <v>1968</v>
      </c>
      <c r="O421" s="23" t="s">
        <v>1968</v>
      </c>
      <c r="P421" s="24" t="s">
        <v>1968</v>
      </c>
      <c r="Q421" s="24" t="s">
        <v>1968</v>
      </c>
      <c r="R421" s="24" t="s">
        <v>1968</v>
      </c>
      <c r="S421" s="22" t="str">
        <f t="shared" si="32"/>
        <v>INCLUDE</v>
      </c>
      <c r="T421" s="22" t="str">
        <f t="shared" si="33"/>
        <v/>
      </c>
      <c r="U421" s="25" t="s">
        <v>1992</v>
      </c>
      <c r="V421" s="25">
        <v>0</v>
      </c>
      <c r="W421" s="25">
        <v>1</v>
      </c>
      <c r="X421" s="25">
        <v>0</v>
      </c>
      <c r="Y421" s="22" t="str">
        <f t="shared" si="34"/>
        <v>Single</v>
      </c>
      <c r="Z421" s="25" t="s">
        <v>1922</v>
      </c>
      <c r="AA421" s="25" t="s">
        <v>1993</v>
      </c>
      <c r="AB421" s="25" t="s">
        <v>1985</v>
      </c>
      <c r="AC421" s="25" t="s">
        <v>1986</v>
      </c>
      <c r="AD421" s="25" t="s">
        <v>2003</v>
      </c>
      <c r="AE421" s="25">
        <v>4</v>
      </c>
      <c r="AF421" s="25" t="s">
        <v>2010</v>
      </c>
      <c r="AG421" s="9" t="s">
        <v>3279</v>
      </c>
      <c r="AH421" s="29" t="s">
        <v>3280</v>
      </c>
      <c r="AI421" s="29" t="s">
        <v>3281</v>
      </c>
      <c r="AJ421" t="s">
        <v>2005</v>
      </c>
      <c r="AK421" t="s">
        <v>3282</v>
      </c>
      <c r="AL421" t="s">
        <v>1978</v>
      </c>
      <c r="AM421" s="50"/>
      <c r="AN421" s="51" t="s">
        <v>3283</v>
      </c>
      <c r="AO421" s="55" t="s">
        <v>834</v>
      </c>
    </row>
    <row r="422" spans="1:41" ht="91.2" customHeight="1" x14ac:dyDescent="0.3">
      <c r="A422" s="20">
        <v>418</v>
      </c>
      <c r="B422" s="8" t="s">
        <v>3284</v>
      </c>
      <c r="C422" s="26">
        <v>2026</v>
      </c>
      <c r="D422" s="8"/>
      <c r="E422" s="8" t="s">
        <v>837</v>
      </c>
      <c r="F422" s="20" t="s">
        <v>1969</v>
      </c>
      <c r="G422" s="21" t="s">
        <v>1968</v>
      </c>
      <c r="H422" s="21" t="s">
        <v>1979</v>
      </c>
      <c r="I422" s="21" t="s">
        <v>1968</v>
      </c>
      <c r="J422" s="21" t="s">
        <v>1968</v>
      </c>
      <c r="K422" s="21" t="s">
        <v>1968</v>
      </c>
      <c r="L422" s="22" t="str">
        <f t="shared" si="30"/>
        <v>EXCLUDE</v>
      </c>
      <c r="M422" s="22" t="str">
        <f t="shared" si="31"/>
        <v>Digital Twin not core / buzzword</v>
      </c>
      <c r="N422" s="23"/>
      <c r="O422" s="23"/>
      <c r="P422" s="24"/>
      <c r="Q422" s="24"/>
      <c r="R422" s="24"/>
      <c r="S422" s="22" t="str">
        <f t="shared" si="32"/>
        <v/>
      </c>
      <c r="T422" s="22" t="str">
        <f t="shared" si="33"/>
        <v/>
      </c>
      <c r="U422" s="25"/>
      <c r="V422" s="25"/>
      <c r="W422" s="25"/>
      <c r="X422" s="25"/>
      <c r="Y422" s="22" t="str">
        <f t="shared" si="34"/>
        <v/>
      </c>
      <c r="Z422" s="25"/>
      <c r="AA422" s="25"/>
      <c r="AB422" s="25"/>
      <c r="AC422" s="25"/>
      <c r="AD422" s="25"/>
      <c r="AE422" s="25"/>
      <c r="AF422" s="25"/>
      <c r="AG422" s="9"/>
      <c r="AH422" s="29"/>
      <c r="AI422" s="29"/>
      <c r="AM422" s="50"/>
      <c r="AN422" s="51" t="s">
        <v>3285</v>
      </c>
      <c r="AO422" s="55" t="s">
        <v>836</v>
      </c>
    </row>
    <row r="423" spans="1:41" ht="45.6" hidden="1" customHeight="1" x14ac:dyDescent="0.3">
      <c r="A423" s="20">
        <v>419</v>
      </c>
      <c r="B423" s="8" t="s">
        <v>3286</v>
      </c>
      <c r="C423" s="26">
        <v>2025</v>
      </c>
      <c r="D423" s="8"/>
      <c r="E423" s="8" t="s">
        <v>839</v>
      </c>
      <c r="F423" s="20" t="s">
        <v>1969</v>
      </c>
      <c r="G423" s="21" t="s">
        <v>1979</v>
      </c>
      <c r="H423" s="21" t="s">
        <v>1968</v>
      </c>
      <c r="I423" s="21" t="s">
        <v>1968</v>
      </c>
      <c r="J423" s="21" t="s">
        <v>1968</v>
      </c>
      <c r="K423" s="21" t="s">
        <v>1968</v>
      </c>
      <c r="L423" s="22" t="str">
        <f t="shared" si="30"/>
        <v>EXCLUDE</v>
      </c>
      <c r="M423" s="22" t="str">
        <f t="shared" si="31"/>
        <v>Wrong domain (non-AECO)</v>
      </c>
      <c r="N423" s="23"/>
      <c r="O423" s="23"/>
      <c r="P423" s="24"/>
      <c r="Q423" s="24"/>
      <c r="R423" s="24"/>
      <c r="S423" s="22" t="str">
        <f t="shared" si="32"/>
        <v/>
      </c>
      <c r="T423" s="22" t="str">
        <f t="shared" si="33"/>
        <v/>
      </c>
      <c r="U423" s="25"/>
      <c r="V423" s="25"/>
      <c r="W423" s="25"/>
      <c r="X423" s="25"/>
      <c r="Y423" s="22" t="str">
        <f t="shared" si="34"/>
        <v/>
      </c>
      <c r="Z423" s="25"/>
      <c r="AA423" s="25"/>
      <c r="AB423" s="25"/>
      <c r="AC423" s="25"/>
      <c r="AD423" s="25"/>
      <c r="AE423" s="25"/>
      <c r="AF423" s="25"/>
      <c r="AG423" s="9"/>
      <c r="AH423" s="29"/>
      <c r="AI423" s="29"/>
      <c r="AM423" s="50"/>
      <c r="AN423" s="51" t="s">
        <v>3287</v>
      </c>
      <c r="AO423" s="55" t="s">
        <v>838</v>
      </c>
    </row>
    <row r="424" spans="1:41" ht="102.6" customHeight="1" x14ac:dyDescent="0.3">
      <c r="A424" s="20">
        <v>420</v>
      </c>
      <c r="B424" s="8" t="s">
        <v>3288</v>
      </c>
      <c r="C424" s="26">
        <v>2026</v>
      </c>
      <c r="D424" s="8"/>
      <c r="E424" s="8" t="s">
        <v>841</v>
      </c>
      <c r="F424" s="20" t="s">
        <v>1969</v>
      </c>
      <c r="G424" s="21" t="s">
        <v>1968</v>
      </c>
      <c r="H424" s="21" t="s">
        <v>1968</v>
      </c>
      <c r="I424" s="21" t="s">
        <v>1968</v>
      </c>
      <c r="J424" s="21" t="s">
        <v>1968</v>
      </c>
      <c r="K424" s="21" t="s">
        <v>1968</v>
      </c>
      <c r="L424" s="22" t="str">
        <f t="shared" si="30"/>
        <v>INCLUDE</v>
      </c>
      <c r="M424" s="22" t="str">
        <f t="shared" si="31"/>
        <v/>
      </c>
      <c r="N424" s="23" t="s">
        <v>1968</v>
      </c>
      <c r="O424" s="23" t="s">
        <v>1968</v>
      </c>
      <c r="P424" s="24" t="s">
        <v>1968</v>
      </c>
      <c r="Q424" s="24" t="s">
        <v>1968</v>
      </c>
      <c r="R424" s="24" t="s">
        <v>1968</v>
      </c>
      <c r="S424" s="22" t="str">
        <f t="shared" si="32"/>
        <v>INCLUDE</v>
      </c>
      <c r="T424" s="22" t="str">
        <f t="shared" si="33"/>
        <v/>
      </c>
      <c r="U424" s="25" t="s">
        <v>1992</v>
      </c>
      <c r="V424" s="25">
        <v>0</v>
      </c>
      <c r="W424" s="25">
        <v>1</v>
      </c>
      <c r="X424" s="25">
        <v>0</v>
      </c>
      <c r="Y424" s="22" t="str">
        <f t="shared" si="34"/>
        <v>Single</v>
      </c>
      <c r="Z424" s="25" t="s">
        <v>1922</v>
      </c>
      <c r="AA424" s="25" t="s">
        <v>1972</v>
      </c>
      <c r="AB424" s="25" t="s">
        <v>1973</v>
      </c>
      <c r="AC424" s="25" t="s">
        <v>1986</v>
      </c>
      <c r="AD424" s="25" t="s">
        <v>1987</v>
      </c>
      <c r="AE424" s="25">
        <v>4</v>
      </c>
      <c r="AF424" s="25" t="s">
        <v>1996</v>
      </c>
      <c r="AG424" s="9" t="s">
        <v>3289</v>
      </c>
      <c r="AH424" s="29" t="s">
        <v>3290</v>
      </c>
      <c r="AI424" s="29" t="s">
        <v>3291</v>
      </c>
      <c r="AJ424" t="s">
        <v>2005</v>
      </c>
      <c r="AK424" t="s">
        <v>3292</v>
      </c>
      <c r="AL424" t="s">
        <v>1990</v>
      </c>
      <c r="AM424" s="50"/>
      <c r="AN424" s="51" t="s">
        <v>3293</v>
      </c>
      <c r="AO424" s="55" t="s">
        <v>840</v>
      </c>
    </row>
    <row r="425" spans="1:41" ht="91.2" customHeight="1" x14ac:dyDescent="0.3">
      <c r="A425" s="20">
        <v>421</v>
      </c>
      <c r="B425" s="8" t="s">
        <v>3294</v>
      </c>
      <c r="C425" s="26">
        <v>2025</v>
      </c>
      <c r="D425" s="8"/>
      <c r="E425" s="8" t="s">
        <v>843</v>
      </c>
      <c r="F425" s="20" t="s">
        <v>1969</v>
      </c>
      <c r="G425" s="21" t="s">
        <v>1979</v>
      </c>
      <c r="H425" s="21" t="s">
        <v>1968</v>
      </c>
      <c r="I425" s="21" t="s">
        <v>1968</v>
      </c>
      <c r="J425" s="21" t="s">
        <v>1968</v>
      </c>
      <c r="K425" s="21" t="s">
        <v>1968</v>
      </c>
      <c r="L425" s="22" t="str">
        <f t="shared" si="30"/>
        <v>EXCLUDE</v>
      </c>
      <c r="M425" s="22" t="str">
        <f t="shared" si="31"/>
        <v>Wrong domain (non-AECO)</v>
      </c>
      <c r="N425" s="23"/>
      <c r="O425" s="23"/>
      <c r="P425" s="24"/>
      <c r="Q425" s="24"/>
      <c r="R425" s="24"/>
      <c r="S425" s="22" t="str">
        <f t="shared" si="32"/>
        <v/>
      </c>
      <c r="T425" s="22" t="str">
        <f t="shared" si="33"/>
        <v/>
      </c>
      <c r="U425" s="25"/>
      <c r="V425" s="25"/>
      <c r="W425" s="25"/>
      <c r="X425" s="25"/>
      <c r="Y425" s="22" t="str">
        <f t="shared" si="34"/>
        <v/>
      </c>
      <c r="Z425" s="25"/>
      <c r="AA425" s="25"/>
      <c r="AB425" s="25"/>
      <c r="AC425" s="25"/>
      <c r="AD425" s="25"/>
      <c r="AE425" s="25"/>
      <c r="AF425" s="25"/>
      <c r="AG425" s="9"/>
      <c r="AH425" s="29"/>
      <c r="AI425" s="29"/>
      <c r="AM425" s="50"/>
      <c r="AN425" s="51" t="s">
        <v>3295</v>
      </c>
      <c r="AO425" s="55" t="s">
        <v>842</v>
      </c>
    </row>
    <row r="426" spans="1:41" ht="45.6" hidden="1" customHeight="1" x14ac:dyDescent="0.3">
      <c r="A426" s="20">
        <v>422</v>
      </c>
      <c r="B426" s="8" t="s">
        <v>3296</v>
      </c>
      <c r="C426" s="26">
        <v>2025</v>
      </c>
      <c r="D426" s="8"/>
      <c r="E426" s="8" t="s">
        <v>845</v>
      </c>
      <c r="F426" s="20" t="s">
        <v>1969</v>
      </c>
      <c r="G426" s="21" t="s">
        <v>1979</v>
      </c>
      <c r="H426" s="21" t="s">
        <v>1968</v>
      </c>
      <c r="I426" s="21" t="s">
        <v>1968</v>
      </c>
      <c r="J426" s="21" t="s">
        <v>1968</v>
      </c>
      <c r="K426" s="21" t="s">
        <v>1968</v>
      </c>
      <c r="L426" s="22" t="str">
        <f t="shared" si="30"/>
        <v>EXCLUDE</v>
      </c>
      <c r="M426" s="22" t="str">
        <f t="shared" si="31"/>
        <v>Wrong domain (non-AECO)</v>
      </c>
      <c r="N426" s="23"/>
      <c r="O426" s="23"/>
      <c r="P426" s="24"/>
      <c r="Q426" s="24"/>
      <c r="R426" s="24"/>
      <c r="S426" s="22" t="str">
        <f t="shared" si="32"/>
        <v/>
      </c>
      <c r="T426" s="22" t="str">
        <f t="shared" si="33"/>
        <v/>
      </c>
      <c r="U426" s="25"/>
      <c r="V426" s="25"/>
      <c r="W426" s="25"/>
      <c r="X426" s="25"/>
      <c r="Y426" s="22" t="str">
        <f t="shared" si="34"/>
        <v/>
      </c>
      <c r="Z426" s="25"/>
      <c r="AA426" s="25"/>
      <c r="AB426" s="25"/>
      <c r="AC426" s="25"/>
      <c r="AD426" s="25"/>
      <c r="AE426" s="25"/>
      <c r="AF426" s="25"/>
      <c r="AG426" s="9"/>
      <c r="AH426" s="29"/>
      <c r="AI426" s="29"/>
      <c r="AM426" s="50"/>
      <c r="AN426" s="51" t="s">
        <v>3297</v>
      </c>
      <c r="AO426" s="55" t="s">
        <v>844</v>
      </c>
    </row>
    <row r="427" spans="1:41" ht="114" customHeight="1" x14ac:dyDescent="0.3">
      <c r="A427" s="20">
        <v>423</v>
      </c>
      <c r="B427" s="8" t="s">
        <v>3298</v>
      </c>
      <c r="C427" s="26">
        <v>2026</v>
      </c>
      <c r="D427" s="8"/>
      <c r="E427" s="8" t="s">
        <v>847</v>
      </c>
      <c r="F427" s="20" t="s">
        <v>1969</v>
      </c>
      <c r="G427" s="21" t="s">
        <v>1979</v>
      </c>
      <c r="H427" s="21" t="s">
        <v>1968</v>
      </c>
      <c r="I427" s="21" t="s">
        <v>1968</v>
      </c>
      <c r="J427" s="21" t="s">
        <v>1968</v>
      </c>
      <c r="K427" s="21" t="s">
        <v>1968</v>
      </c>
      <c r="L427" s="22" t="str">
        <f t="shared" si="30"/>
        <v>EXCLUDE</v>
      </c>
      <c r="M427" s="22" t="str">
        <f t="shared" si="31"/>
        <v>Wrong domain (non-AECO)</v>
      </c>
      <c r="N427" s="23"/>
      <c r="O427" s="23"/>
      <c r="P427" s="24"/>
      <c r="Q427" s="24"/>
      <c r="R427" s="24"/>
      <c r="S427" s="22" t="str">
        <f t="shared" si="32"/>
        <v/>
      </c>
      <c r="T427" s="22" t="str">
        <f t="shared" si="33"/>
        <v/>
      </c>
      <c r="U427" s="25"/>
      <c r="V427" s="25"/>
      <c r="W427" s="25"/>
      <c r="X427" s="25"/>
      <c r="Y427" s="22" t="str">
        <f t="shared" si="34"/>
        <v/>
      </c>
      <c r="Z427" s="25"/>
      <c r="AA427" s="25"/>
      <c r="AB427" s="25"/>
      <c r="AC427" s="25"/>
      <c r="AD427" s="25"/>
      <c r="AE427" s="25"/>
      <c r="AF427" s="25"/>
      <c r="AG427" s="9"/>
      <c r="AH427" s="29"/>
      <c r="AI427" s="29"/>
      <c r="AM427" s="50"/>
      <c r="AN427" s="51" t="s">
        <v>3299</v>
      </c>
      <c r="AO427" s="55" t="s">
        <v>846</v>
      </c>
    </row>
    <row r="428" spans="1:41" ht="57" hidden="1" customHeight="1" x14ac:dyDescent="0.3">
      <c r="A428" s="20">
        <v>424</v>
      </c>
      <c r="B428" s="8" t="s">
        <v>3300</v>
      </c>
      <c r="C428" s="26">
        <v>2026</v>
      </c>
      <c r="D428" s="8"/>
      <c r="E428" s="8" t="s">
        <v>849</v>
      </c>
      <c r="F428" s="20" t="s">
        <v>1969</v>
      </c>
      <c r="G428" s="21" t="s">
        <v>1979</v>
      </c>
      <c r="H428" s="21" t="s">
        <v>1968</v>
      </c>
      <c r="I428" s="21" t="s">
        <v>1968</v>
      </c>
      <c r="J428" s="21" t="s">
        <v>1968</v>
      </c>
      <c r="K428" s="21" t="s">
        <v>1968</v>
      </c>
      <c r="L428" s="22" t="str">
        <f t="shared" si="30"/>
        <v>EXCLUDE</v>
      </c>
      <c r="M428" s="22" t="str">
        <f t="shared" si="31"/>
        <v>Wrong domain (non-AECO)</v>
      </c>
      <c r="N428" s="23"/>
      <c r="O428" s="23"/>
      <c r="P428" s="24"/>
      <c r="Q428" s="24"/>
      <c r="R428" s="24"/>
      <c r="S428" s="22" t="str">
        <f t="shared" si="32"/>
        <v/>
      </c>
      <c r="T428" s="22" t="str">
        <f t="shared" si="33"/>
        <v/>
      </c>
      <c r="U428" s="25"/>
      <c r="V428" s="25"/>
      <c r="W428" s="25"/>
      <c r="X428" s="25"/>
      <c r="Y428" s="22" t="str">
        <f t="shared" si="34"/>
        <v/>
      </c>
      <c r="Z428" s="25"/>
      <c r="AA428" s="25"/>
      <c r="AB428" s="25"/>
      <c r="AC428" s="25"/>
      <c r="AD428" s="25"/>
      <c r="AE428" s="25"/>
      <c r="AF428" s="25"/>
      <c r="AG428" s="9"/>
      <c r="AH428" s="29"/>
      <c r="AI428" s="29"/>
      <c r="AM428" s="50"/>
      <c r="AN428" s="51" t="s">
        <v>3301</v>
      </c>
      <c r="AO428" s="55" t="s">
        <v>848</v>
      </c>
    </row>
    <row r="429" spans="1:41" ht="57" hidden="1" customHeight="1" x14ac:dyDescent="0.3">
      <c r="A429" s="20">
        <v>425</v>
      </c>
      <c r="B429" s="8" t="s">
        <v>3302</v>
      </c>
      <c r="C429" s="26">
        <v>2026</v>
      </c>
      <c r="D429" s="8"/>
      <c r="E429" s="8" t="s">
        <v>851</v>
      </c>
      <c r="F429" s="20" t="s">
        <v>1969</v>
      </c>
      <c r="G429" s="21" t="s">
        <v>1979</v>
      </c>
      <c r="H429" s="21" t="s">
        <v>1968</v>
      </c>
      <c r="I429" s="21" t="s">
        <v>1968</v>
      </c>
      <c r="J429" s="21" t="s">
        <v>1968</v>
      </c>
      <c r="K429" s="21" t="s">
        <v>1968</v>
      </c>
      <c r="L429" s="22" t="str">
        <f t="shared" si="30"/>
        <v>EXCLUDE</v>
      </c>
      <c r="M429" s="22" t="str">
        <f t="shared" si="31"/>
        <v>Wrong domain (non-AECO)</v>
      </c>
      <c r="N429" s="23"/>
      <c r="O429" s="23"/>
      <c r="P429" s="24"/>
      <c r="Q429" s="24"/>
      <c r="R429" s="24"/>
      <c r="S429" s="22" t="str">
        <f t="shared" si="32"/>
        <v/>
      </c>
      <c r="T429" s="22" t="str">
        <f t="shared" si="33"/>
        <v/>
      </c>
      <c r="U429" s="25"/>
      <c r="V429" s="25"/>
      <c r="W429" s="25"/>
      <c r="X429" s="25"/>
      <c r="Y429" s="22" t="str">
        <f t="shared" si="34"/>
        <v/>
      </c>
      <c r="Z429" s="25"/>
      <c r="AA429" s="25"/>
      <c r="AB429" s="25"/>
      <c r="AC429" s="25"/>
      <c r="AD429" s="25"/>
      <c r="AE429" s="25"/>
      <c r="AF429" s="25"/>
      <c r="AG429" s="9"/>
      <c r="AH429" s="29"/>
      <c r="AI429" s="29"/>
      <c r="AM429" s="50"/>
      <c r="AN429" s="51" t="s">
        <v>3303</v>
      </c>
      <c r="AO429" s="55" t="s">
        <v>850</v>
      </c>
    </row>
    <row r="430" spans="1:41" ht="91.2" customHeight="1" x14ac:dyDescent="0.3">
      <c r="A430" s="20">
        <v>426</v>
      </c>
      <c r="B430" s="8" t="s">
        <v>3304</v>
      </c>
      <c r="C430" s="26">
        <v>2026</v>
      </c>
      <c r="D430" s="8"/>
      <c r="E430" s="8" t="s">
        <v>853</v>
      </c>
      <c r="F430" s="20" t="s">
        <v>1969</v>
      </c>
      <c r="G430" s="21" t="s">
        <v>1968</v>
      </c>
      <c r="H430" s="21" t="s">
        <v>1979</v>
      </c>
      <c r="I430" s="21" t="s">
        <v>1968</v>
      </c>
      <c r="J430" s="21" t="s">
        <v>1968</v>
      </c>
      <c r="K430" s="21" t="s">
        <v>1968</v>
      </c>
      <c r="L430" s="22" t="str">
        <f t="shared" si="30"/>
        <v>EXCLUDE</v>
      </c>
      <c r="M430" s="22" t="str">
        <f t="shared" si="31"/>
        <v>Digital Twin not core / buzzword</v>
      </c>
      <c r="N430" s="23"/>
      <c r="O430" s="23"/>
      <c r="P430" s="24"/>
      <c r="Q430" s="24"/>
      <c r="R430" s="24"/>
      <c r="S430" s="22" t="str">
        <f t="shared" si="32"/>
        <v/>
      </c>
      <c r="T430" s="22" t="str">
        <f t="shared" si="33"/>
        <v/>
      </c>
      <c r="U430" s="25"/>
      <c r="V430" s="25"/>
      <c r="W430" s="25"/>
      <c r="X430" s="25"/>
      <c r="Y430" s="22" t="str">
        <f t="shared" si="34"/>
        <v/>
      </c>
      <c r="Z430" s="25"/>
      <c r="AA430" s="25"/>
      <c r="AB430" s="25"/>
      <c r="AC430" s="25"/>
      <c r="AD430" s="25"/>
      <c r="AE430" s="25"/>
      <c r="AF430" s="25"/>
      <c r="AG430" s="9"/>
      <c r="AH430" s="29"/>
      <c r="AI430" s="29"/>
      <c r="AM430" s="50"/>
      <c r="AN430" s="51" t="s">
        <v>3305</v>
      </c>
      <c r="AO430" s="55" t="s">
        <v>852</v>
      </c>
    </row>
    <row r="431" spans="1:41" ht="114" customHeight="1" x14ac:dyDescent="0.3">
      <c r="A431" s="20">
        <v>427</v>
      </c>
      <c r="B431" s="8" t="s">
        <v>3306</v>
      </c>
      <c r="C431" s="26">
        <v>2026</v>
      </c>
      <c r="D431" s="8"/>
      <c r="E431" s="8" t="s">
        <v>855</v>
      </c>
      <c r="F431" s="20" t="s">
        <v>1969</v>
      </c>
      <c r="G431" s="21" t="s">
        <v>1979</v>
      </c>
      <c r="H431" s="21" t="s">
        <v>1968</v>
      </c>
      <c r="I431" s="21" t="s">
        <v>1968</v>
      </c>
      <c r="J431" s="21" t="s">
        <v>1968</v>
      </c>
      <c r="K431" s="21" t="s">
        <v>1968</v>
      </c>
      <c r="L431" s="22" t="str">
        <f t="shared" si="30"/>
        <v>EXCLUDE</v>
      </c>
      <c r="M431" s="22" t="str">
        <f t="shared" si="31"/>
        <v>Wrong domain (non-AECO)</v>
      </c>
      <c r="N431" s="23"/>
      <c r="O431" s="23"/>
      <c r="P431" s="24"/>
      <c r="Q431" s="24"/>
      <c r="R431" s="24"/>
      <c r="S431" s="22" t="str">
        <f t="shared" si="32"/>
        <v/>
      </c>
      <c r="T431" s="22" t="str">
        <f t="shared" si="33"/>
        <v/>
      </c>
      <c r="U431" s="25"/>
      <c r="V431" s="25"/>
      <c r="W431" s="25"/>
      <c r="X431" s="25"/>
      <c r="Y431" s="22" t="str">
        <f t="shared" si="34"/>
        <v/>
      </c>
      <c r="Z431" s="25"/>
      <c r="AA431" s="25"/>
      <c r="AB431" s="25"/>
      <c r="AC431" s="25"/>
      <c r="AD431" s="25"/>
      <c r="AE431" s="25"/>
      <c r="AF431" s="25"/>
      <c r="AG431" s="9"/>
      <c r="AH431" s="29"/>
      <c r="AI431" s="29"/>
      <c r="AM431" s="50"/>
      <c r="AN431" s="51" t="s">
        <v>3307</v>
      </c>
      <c r="AO431" s="55" t="s">
        <v>854</v>
      </c>
    </row>
    <row r="432" spans="1:41" ht="125.4" customHeight="1" x14ac:dyDescent="0.3">
      <c r="A432" s="20">
        <v>428</v>
      </c>
      <c r="B432" s="8" t="s">
        <v>3308</v>
      </c>
      <c r="C432" s="26">
        <v>2025</v>
      </c>
      <c r="D432" s="8"/>
      <c r="E432" s="8" t="s">
        <v>857</v>
      </c>
      <c r="F432" s="20" t="s">
        <v>1969</v>
      </c>
      <c r="G432" s="21" t="s">
        <v>1979</v>
      </c>
      <c r="H432" s="21" t="s">
        <v>1968</v>
      </c>
      <c r="I432" s="21" t="s">
        <v>1968</v>
      </c>
      <c r="J432" s="21" t="s">
        <v>1968</v>
      </c>
      <c r="K432" s="21" t="s">
        <v>1968</v>
      </c>
      <c r="L432" s="22" t="str">
        <f t="shared" si="30"/>
        <v>EXCLUDE</v>
      </c>
      <c r="M432" s="22" t="str">
        <f t="shared" si="31"/>
        <v>Wrong domain (non-AECO)</v>
      </c>
      <c r="N432" s="23"/>
      <c r="O432" s="23"/>
      <c r="P432" s="24"/>
      <c r="Q432" s="24"/>
      <c r="R432" s="24"/>
      <c r="S432" s="22" t="str">
        <f t="shared" si="32"/>
        <v/>
      </c>
      <c r="T432" s="22" t="str">
        <f t="shared" si="33"/>
        <v/>
      </c>
      <c r="U432" s="25"/>
      <c r="V432" s="25"/>
      <c r="W432" s="25"/>
      <c r="X432" s="25"/>
      <c r="Y432" s="22" t="str">
        <f t="shared" si="34"/>
        <v/>
      </c>
      <c r="Z432" s="25"/>
      <c r="AA432" s="25"/>
      <c r="AB432" s="25"/>
      <c r="AC432" s="25"/>
      <c r="AD432" s="25"/>
      <c r="AE432" s="25"/>
      <c r="AF432" s="25"/>
      <c r="AG432" s="9"/>
      <c r="AH432" s="29"/>
      <c r="AI432" s="29"/>
      <c r="AM432" s="50"/>
      <c r="AN432" s="51" t="s">
        <v>3309</v>
      </c>
      <c r="AO432" s="55" t="s">
        <v>856</v>
      </c>
    </row>
    <row r="433" spans="1:41" ht="102.6" customHeight="1" x14ac:dyDescent="0.3">
      <c r="A433" s="20">
        <v>429</v>
      </c>
      <c r="B433" s="8" t="s">
        <v>3310</v>
      </c>
      <c r="C433" s="26">
        <v>2025</v>
      </c>
      <c r="D433" s="8"/>
      <c r="E433" s="8" t="s">
        <v>859</v>
      </c>
      <c r="F433" s="20" t="s">
        <v>1969</v>
      </c>
      <c r="G433" s="21" t="s">
        <v>1979</v>
      </c>
      <c r="H433" s="21" t="s">
        <v>1968</v>
      </c>
      <c r="I433" s="21" t="s">
        <v>1968</v>
      </c>
      <c r="J433" s="21" t="s">
        <v>1968</v>
      </c>
      <c r="K433" s="21" t="s">
        <v>1968</v>
      </c>
      <c r="L433" s="22" t="str">
        <f t="shared" si="30"/>
        <v>EXCLUDE</v>
      </c>
      <c r="M433" s="22" t="str">
        <f t="shared" si="31"/>
        <v>Wrong domain (non-AECO)</v>
      </c>
      <c r="N433" s="23"/>
      <c r="O433" s="23"/>
      <c r="P433" s="24"/>
      <c r="Q433" s="24"/>
      <c r="R433" s="24"/>
      <c r="S433" s="22" t="str">
        <f t="shared" si="32"/>
        <v/>
      </c>
      <c r="T433" s="22" t="str">
        <f t="shared" si="33"/>
        <v/>
      </c>
      <c r="U433" s="25"/>
      <c r="V433" s="25"/>
      <c r="W433" s="25"/>
      <c r="X433" s="25"/>
      <c r="Y433" s="22" t="str">
        <f t="shared" si="34"/>
        <v/>
      </c>
      <c r="Z433" s="25"/>
      <c r="AA433" s="25"/>
      <c r="AB433" s="25"/>
      <c r="AC433" s="25"/>
      <c r="AD433" s="25"/>
      <c r="AE433" s="25"/>
      <c r="AF433" s="25"/>
      <c r="AG433" s="9"/>
      <c r="AH433" s="29"/>
      <c r="AI433" s="29"/>
      <c r="AM433" s="50"/>
      <c r="AN433" s="51" t="s">
        <v>3311</v>
      </c>
      <c r="AO433" s="55" t="s">
        <v>858</v>
      </c>
    </row>
    <row r="434" spans="1:41" ht="57" hidden="1" customHeight="1" x14ac:dyDescent="0.3">
      <c r="A434" s="20">
        <v>430</v>
      </c>
      <c r="B434" s="8" t="s">
        <v>3312</v>
      </c>
      <c r="C434" s="26">
        <v>2026</v>
      </c>
      <c r="D434" s="8"/>
      <c r="E434" s="8" t="s">
        <v>861</v>
      </c>
      <c r="F434" s="20" t="s">
        <v>1969</v>
      </c>
      <c r="G434" s="21" t="s">
        <v>1979</v>
      </c>
      <c r="H434" s="21" t="s">
        <v>1968</v>
      </c>
      <c r="I434" s="21" t="s">
        <v>1968</v>
      </c>
      <c r="J434" s="21" t="s">
        <v>1968</v>
      </c>
      <c r="K434" s="21" t="s">
        <v>1968</v>
      </c>
      <c r="L434" s="22" t="str">
        <f t="shared" si="30"/>
        <v>EXCLUDE</v>
      </c>
      <c r="M434" s="22" t="str">
        <f t="shared" si="31"/>
        <v>Wrong domain (non-AECO)</v>
      </c>
      <c r="N434" s="23"/>
      <c r="O434" s="23"/>
      <c r="P434" s="24"/>
      <c r="Q434" s="24"/>
      <c r="R434" s="24"/>
      <c r="S434" s="22" t="str">
        <f t="shared" si="32"/>
        <v/>
      </c>
      <c r="T434" s="22" t="str">
        <f t="shared" si="33"/>
        <v/>
      </c>
      <c r="U434" s="25"/>
      <c r="V434" s="25"/>
      <c r="W434" s="25"/>
      <c r="X434" s="25"/>
      <c r="Y434" s="22" t="str">
        <f t="shared" si="34"/>
        <v/>
      </c>
      <c r="Z434" s="25"/>
      <c r="AA434" s="25"/>
      <c r="AB434" s="25"/>
      <c r="AC434" s="25"/>
      <c r="AD434" s="25"/>
      <c r="AE434" s="25"/>
      <c r="AF434" s="25"/>
      <c r="AG434" s="9"/>
      <c r="AH434" s="29"/>
      <c r="AI434" s="29"/>
      <c r="AM434" s="50"/>
      <c r="AN434" s="51" t="s">
        <v>3313</v>
      </c>
      <c r="AO434" s="55" t="s">
        <v>860</v>
      </c>
    </row>
    <row r="435" spans="1:41" ht="79.8" hidden="1" customHeight="1" x14ac:dyDescent="0.3">
      <c r="A435" s="20">
        <v>431</v>
      </c>
      <c r="B435" s="8" t="s">
        <v>3314</v>
      </c>
      <c r="C435" s="26">
        <v>2026</v>
      </c>
      <c r="D435" s="8"/>
      <c r="E435" s="8" t="s">
        <v>863</v>
      </c>
      <c r="F435" s="20" t="s">
        <v>1969</v>
      </c>
      <c r="G435" s="21" t="s">
        <v>1979</v>
      </c>
      <c r="H435" s="21" t="s">
        <v>1968</v>
      </c>
      <c r="I435" s="21" t="s">
        <v>1968</v>
      </c>
      <c r="J435" s="21" t="s">
        <v>1968</v>
      </c>
      <c r="K435" s="21" t="s">
        <v>1968</v>
      </c>
      <c r="L435" s="22" t="str">
        <f t="shared" si="30"/>
        <v>EXCLUDE</v>
      </c>
      <c r="M435" s="22" t="str">
        <f t="shared" si="31"/>
        <v>Wrong domain (non-AECO)</v>
      </c>
      <c r="N435" s="23"/>
      <c r="O435" s="23"/>
      <c r="P435" s="24"/>
      <c r="Q435" s="24"/>
      <c r="R435" s="24"/>
      <c r="S435" s="22" t="str">
        <f t="shared" si="32"/>
        <v/>
      </c>
      <c r="T435" s="22" t="str">
        <f t="shared" si="33"/>
        <v/>
      </c>
      <c r="U435" s="25"/>
      <c r="V435" s="25"/>
      <c r="W435" s="25"/>
      <c r="X435" s="25"/>
      <c r="Y435" s="22" t="str">
        <f t="shared" si="34"/>
        <v/>
      </c>
      <c r="Z435" s="25"/>
      <c r="AA435" s="25"/>
      <c r="AB435" s="25"/>
      <c r="AC435" s="25"/>
      <c r="AD435" s="25"/>
      <c r="AE435" s="25"/>
      <c r="AF435" s="25"/>
      <c r="AG435" s="9"/>
      <c r="AH435" s="29"/>
      <c r="AI435" s="29"/>
      <c r="AM435" s="50"/>
      <c r="AN435" s="51" t="s">
        <v>3315</v>
      </c>
      <c r="AO435" s="55" t="s">
        <v>862</v>
      </c>
    </row>
    <row r="436" spans="1:41" ht="68.400000000000006" hidden="1" customHeight="1" x14ac:dyDescent="0.3">
      <c r="A436" s="20">
        <v>432</v>
      </c>
      <c r="B436" s="8" t="s">
        <v>3316</v>
      </c>
      <c r="C436" s="26">
        <v>2025</v>
      </c>
      <c r="D436" s="8"/>
      <c r="E436" s="8" t="s">
        <v>865</v>
      </c>
      <c r="F436" s="20" t="s">
        <v>1969</v>
      </c>
      <c r="G436" s="21" t="s">
        <v>1968</v>
      </c>
      <c r="H436" s="21" t="s">
        <v>1979</v>
      </c>
      <c r="I436" s="21" t="s">
        <v>1968</v>
      </c>
      <c r="J436" s="21" t="s">
        <v>1968</v>
      </c>
      <c r="K436" s="21" t="s">
        <v>1968</v>
      </c>
      <c r="L436" s="22" t="str">
        <f t="shared" si="30"/>
        <v>EXCLUDE</v>
      </c>
      <c r="M436" s="22" t="str">
        <f t="shared" si="31"/>
        <v>Digital Twin not core / buzzword</v>
      </c>
      <c r="N436" s="23"/>
      <c r="O436" s="23"/>
      <c r="P436" s="24"/>
      <c r="Q436" s="24"/>
      <c r="R436" s="24"/>
      <c r="S436" s="22" t="str">
        <f t="shared" si="32"/>
        <v/>
      </c>
      <c r="T436" s="22" t="str">
        <f t="shared" si="33"/>
        <v/>
      </c>
      <c r="U436" s="25"/>
      <c r="V436" s="25"/>
      <c r="W436" s="25"/>
      <c r="X436" s="25"/>
      <c r="Y436" s="22" t="str">
        <f t="shared" si="34"/>
        <v/>
      </c>
      <c r="Z436" s="25"/>
      <c r="AA436" s="25"/>
      <c r="AB436" s="25"/>
      <c r="AC436" s="25"/>
      <c r="AD436" s="25"/>
      <c r="AE436" s="25"/>
      <c r="AF436" s="25"/>
      <c r="AG436" s="9"/>
      <c r="AH436" s="29"/>
      <c r="AI436" s="29"/>
      <c r="AM436" s="50"/>
      <c r="AN436" s="51" t="s">
        <v>3317</v>
      </c>
      <c r="AO436" s="55" t="s">
        <v>864</v>
      </c>
    </row>
    <row r="437" spans="1:41" ht="45.6" hidden="1" customHeight="1" x14ac:dyDescent="0.3">
      <c r="A437" s="20">
        <v>433</v>
      </c>
      <c r="B437" s="8" t="s">
        <v>3318</v>
      </c>
      <c r="C437" s="26">
        <v>2026</v>
      </c>
      <c r="D437" s="8"/>
      <c r="E437" s="8" t="s">
        <v>867</v>
      </c>
      <c r="F437" s="20" t="s">
        <v>1969</v>
      </c>
      <c r="G437" s="21" t="s">
        <v>1968</v>
      </c>
      <c r="H437" s="21" t="s">
        <v>1968</v>
      </c>
      <c r="I437" s="21" t="s">
        <v>1968</v>
      </c>
      <c r="J437" s="21" t="s">
        <v>1968</v>
      </c>
      <c r="K437" s="21" t="s">
        <v>1968</v>
      </c>
      <c r="L437" s="22" t="str">
        <f t="shared" si="30"/>
        <v>INCLUDE</v>
      </c>
      <c r="M437" s="22" t="str">
        <f t="shared" si="31"/>
        <v/>
      </c>
      <c r="N437" s="23" t="s">
        <v>1968</v>
      </c>
      <c r="O437" s="23" t="s">
        <v>1968</v>
      </c>
      <c r="P437" s="24" t="s">
        <v>1968</v>
      </c>
      <c r="Q437" s="24" t="s">
        <v>1968</v>
      </c>
      <c r="R437" s="24" t="s">
        <v>1968</v>
      </c>
      <c r="S437" s="22" t="str">
        <f t="shared" si="32"/>
        <v>INCLUDE</v>
      </c>
      <c r="T437" s="22" t="str">
        <f t="shared" si="33"/>
        <v/>
      </c>
      <c r="U437" s="25" t="s">
        <v>1982</v>
      </c>
      <c r="V437" s="25">
        <v>0</v>
      </c>
      <c r="W437" s="25">
        <v>0</v>
      </c>
      <c r="X437" s="25">
        <v>1</v>
      </c>
      <c r="Y437" s="22" t="str">
        <f t="shared" si="34"/>
        <v>Single</v>
      </c>
      <c r="Z437" s="25" t="s">
        <v>1922</v>
      </c>
      <c r="AA437" s="25" t="s">
        <v>1993</v>
      </c>
      <c r="AB437" s="25" t="s">
        <v>2011</v>
      </c>
      <c r="AC437" s="25" t="s">
        <v>1986</v>
      </c>
      <c r="AD437" s="25" t="s">
        <v>1987</v>
      </c>
      <c r="AE437" s="25">
        <v>4</v>
      </c>
      <c r="AF437" s="25" t="s">
        <v>2010</v>
      </c>
      <c r="AG437" s="9" t="s">
        <v>3319</v>
      </c>
      <c r="AH437" s="29" t="s">
        <v>3320</v>
      </c>
      <c r="AI437" s="29" t="s">
        <v>3321</v>
      </c>
      <c r="AJ437" t="s">
        <v>2005</v>
      </c>
      <c r="AK437" t="s">
        <v>3322</v>
      </c>
      <c r="AL437" t="s">
        <v>1978</v>
      </c>
      <c r="AM437" s="50"/>
      <c r="AN437" s="51" t="s">
        <v>3323</v>
      </c>
      <c r="AO437" s="55" t="s">
        <v>866</v>
      </c>
    </row>
    <row r="438" spans="1:41" ht="45.6" hidden="1" customHeight="1" x14ac:dyDescent="0.3">
      <c r="A438" s="20">
        <v>434</v>
      </c>
      <c r="B438" s="8" t="s">
        <v>3324</v>
      </c>
      <c r="C438" s="26">
        <v>2026</v>
      </c>
      <c r="D438" s="8"/>
      <c r="E438" s="8" t="s">
        <v>869</v>
      </c>
      <c r="F438" s="20" t="s">
        <v>1969</v>
      </c>
      <c r="G438" s="21" t="s">
        <v>1968</v>
      </c>
      <c r="H438" s="21" t="s">
        <v>1968</v>
      </c>
      <c r="I438" s="21" t="s">
        <v>1979</v>
      </c>
      <c r="J438" s="21" t="s">
        <v>1968</v>
      </c>
      <c r="K438" s="21" t="s">
        <v>1968</v>
      </c>
      <c r="L438" s="22" t="str">
        <f t="shared" si="30"/>
        <v>EXCLUDE</v>
      </c>
      <c r="M438" s="22" t="str">
        <f t="shared" si="31"/>
        <v>No Design for Safety / PtD focus</v>
      </c>
      <c r="N438" s="23"/>
      <c r="O438" s="23"/>
      <c r="P438" s="24"/>
      <c r="Q438" s="24"/>
      <c r="R438" s="24"/>
      <c r="S438" s="22" t="str">
        <f t="shared" si="32"/>
        <v/>
      </c>
      <c r="T438" s="22" t="str">
        <f t="shared" si="33"/>
        <v/>
      </c>
      <c r="U438" s="25"/>
      <c r="V438" s="25"/>
      <c r="W438" s="25"/>
      <c r="X438" s="25"/>
      <c r="Y438" s="22" t="str">
        <f t="shared" si="34"/>
        <v/>
      </c>
      <c r="Z438" s="25"/>
      <c r="AA438" s="25"/>
      <c r="AB438" s="25"/>
      <c r="AC438" s="25"/>
      <c r="AD438" s="25"/>
      <c r="AE438" s="25"/>
      <c r="AF438" s="25"/>
      <c r="AG438" s="9"/>
      <c r="AH438" s="29"/>
      <c r="AI438" s="29"/>
      <c r="AM438" s="50"/>
      <c r="AN438" s="51" t="s">
        <v>3325</v>
      </c>
      <c r="AO438" s="55" t="s">
        <v>868</v>
      </c>
    </row>
    <row r="439" spans="1:41" ht="45.6" hidden="1" customHeight="1" x14ac:dyDescent="0.3">
      <c r="A439" s="20">
        <v>435</v>
      </c>
      <c r="B439" s="8" t="s">
        <v>3326</v>
      </c>
      <c r="C439" s="26">
        <v>2025</v>
      </c>
      <c r="D439" s="8"/>
      <c r="E439" s="8" t="s">
        <v>871</v>
      </c>
      <c r="F439" s="20" t="s">
        <v>1969</v>
      </c>
      <c r="G439" s="21" t="s">
        <v>1968</v>
      </c>
      <c r="H439" s="21" t="s">
        <v>1979</v>
      </c>
      <c r="I439" s="21" t="s">
        <v>1968</v>
      </c>
      <c r="J439" s="21" t="s">
        <v>1968</v>
      </c>
      <c r="K439" s="21" t="s">
        <v>1968</v>
      </c>
      <c r="L439" s="22" t="str">
        <f t="shared" si="30"/>
        <v>EXCLUDE</v>
      </c>
      <c r="M439" s="22" t="str">
        <f t="shared" si="31"/>
        <v>Digital Twin not core / buzzword</v>
      </c>
      <c r="N439" s="23"/>
      <c r="O439" s="23"/>
      <c r="P439" s="24"/>
      <c r="Q439" s="24"/>
      <c r="R439" s="24"/>
      <c r="S439" s="22" t="str">
        <f t="shared" si="32"/>
        <v/>
      </c>
      <c r="T439" s="22" t="str">
        <f t="shared" si="33"/>
        <v/>
      </c>
      <c r="U439" s="25"/>
      <c r="V439" s="25"/>
      <c r="W439" s="25"/>
      <c r="X439" s="25"/>
      <c r="Y439" s="22" t="str">
        <f t="shared" si="34"/>
        <v/>
      </c>
      <c r="Z439" s="25"/>
      <c r="AA439" s="25"/>
      <c r="AB439" s="25"/>
      <c r="AC439" s="25"/>
      <c r="AD439" s="25"/>
      <c r="AE439" s="25"/>
      <c r="AF439" s="25"/>
      <c r="AG439" s="9"/>
      <c r="AH439" s="29"/>
      <c r="AI439" s="29"/>
      <c r="AM439" s="50"/>
      <c r="AN439" s="51" t="s">
        <v>3327</v>
      </c>
      <c r="AO439" s="55" t="s">
        <v>870</v>
      </c>
    </row>
    <row r="440" spans="1:41" ht="57" hidden="1" customHeight="1" x14ac:dyDescent="0.3">
      <c r="A440" s="20">
        <v>436</v>
      </c>
      <c r="B440" s="8" t="s">
        <v>3328</v>
      </c>
      <c r="C440" s="26">
        <v>2025</v>
      </c>
      <c r="D440" s="8"/>
      <c r="E440" s="8" t="s">
        <v>873</v>
      </c>
      <c r="F440" s="20" t="s">
        <v>1969</v>
      </c>
      <c r="G440" s="21" t="s">
        <v>1979</v>
      </c>
      <c r="H440" s="21" t="s">
        <v>1968</v>
      </c>
      <c r="I440" s="21" t="s">
        <v>1968</v>
      </c>
      <c r="J440" s="21" t="s">
        <v>1968</v>
      </c>
      <c r="K440" s="21" t="s">
        <v>1968</v>
      </c>
      <c r="L440" s="22" t="str">
        <f t="shared" si="30"/>
        <v>EXCLUDE</v>
      </c>
      <c r="M440" s="22" t="str">
        <f t="shared" si="31"/>
        <v>Wrong domain (non-AECO)</v>
      </c>
      <c r="N440" s="23"/>
      <c r="O440" s="23"/>
      <c r="P440" s="24"/>
      <c r="Q440" s="24"/>
      <c r="R440" s="24"/>
      <c r="S440" s="22" t="str">
        <f t="shared" si="32"/>
        <v/>
      </c>
      <c r="T440" s="22" t="str">
        <f t="shared" si="33"/>
        <v/>
      </c>
      <c r="U440" s="25"/>
      <c r="V440" s="25"/>
      <c r="W440" s="25"/>
      <c r="X440" s="25"/>
      <c r="Y440" s="22" t="str">
        <f t="shared" si="34"/>
        <v/>
      </c>
      <c r="Z440" s="25"/>
      <c r="AA440" s="25"/>
      <c r="AB440" s="25"/>
      <c r="AC440" s="25"/>
      <c r="AD440" s="25"/>
      <c r="AE440" s="25"/>
      <c r="AF440" s="25"/>
      <c r="AG440" s="9"/>
      <c r="AH440" s="29"/>
      <c r="AI440" s="29"/>
      <c r="AM440" s="50"/>
      <c r="AN440" s="51" t="s">
        <v>3329</v>
      </c>
      <c r="AO440" s="55" t="s">
        <v>872</v>
      </c>
    </row>
    <row r="441" spans="1:41" ht="57" hidden="1" customHeight="1" x14ac:dyDescent="0.3">
      <c r="A441" s="20">
        <v>437</v>
      </c>
      <c r="B441" s="8" t="s">
        <v>3330</v>
      </c>
      <c r="C441" s="26">
        <v>2026</v>
      </c>
      <c r="D441" s="8"/>
      <c r="E441" s="8" t="s">
        <v>875</v>
      </c>
      <c r="F441" s="20" t="s">
        <v>1969</v>
      </c>
      <c r="G441" s="21" t="s">
        <v>1968</v>
      </c>
      <c r="H441" s="21" t="s">
        <v>1979</v>
      </c>
      <c r="I441" s="21" t="s">
        <v>1968</v>
      </c>
      <c r="J441" s="21" t="s">
        <v>1968</v>
      </c>
      <c r="K441" s="21" t="s">
        <v>1968</v>
      </c>
      <c r="L441" s="22" t="str">
        <f t="shared" si="30"/>
        <v>EXCLUDE</v>
      </c>
      <c r="M441" s="22" t="str">
        <f t="shared" si="31"/>
        <v>Digital Twin not core / buzzword</v>
      </c>
      <c r="N441" s="23"/>
      <c r="O441" s="23"/>
      <c r="P441" s="24"/>
      <c r="Q441" s="24"/>
      <c r="R441" s="24"/>
      <c r="S441" s="22" t="str">
        <f t="shared" si="32"/>
        <v/>
      </c>
      <c r="T441" s="22" t="str">
        <f t="shared" si="33"/>
        <v/>
      </c>
      <c r="U441" s="25"/>
      <c r="V441" s="25"/>
      <c r="W441" s="25"/>
      <c r="X441" s="25"/>
      <c r="Y441" s="22" t="str">
        <f t="shared" si="34"/>
        <v/>
      </c>
      <c r="Z441" s="25"/>
      <c r="AA441" s="25"/>
      <c r="AB441" s="25"/>
      <c r="AC441" s="25"/>
      <c r="AD441" s="25"/>
      <c r="AE441" s="25"/>
      <c r="AF441" s="25"/>
      <c r="AG441" s="9"/>
      <c r="AH441" s="29"/>
      <c r="AI441" s="29"/>
      <c r="AM441" s="50"/>
      <c r="AN441" s="51" t="s">
        <v>3331</v>
      </c>
      <c r="AO441" s="55" t="s">
        <v>874</v>
      </c>
    </row>
    <row r="442" spans="1:41" ht="57" hidden="1" customHeight="1" x14ac:dyDescent="0.3">
      <c r="A442" s="20">
        <v>438</v>
      </c>
      <c r="B442" s="8" t="s">
        <v>3332</v>
      </c>
      <c r="C442" s="26">
        <v>2025</v>
      </c>
      <c r="D442" s="8"/>
      <c r="E442" s="8" t="s">
        <v>877</v>
      </c>
      <c r="F442" s="20" t="s">
        <v>1969</v>
      </c>
      <c r="G442" s="21" t="s">
        <v>1968</v>
      </c>
      <c r="H442" s="21" t="s">
        <v>1968</v>
      </c>
      <c r="I442" s="21" t="s">
        <v>1968</v>
      </c>
      <c r="J442" s="21" t="s">
        <v>1968</v>
      </c>
      <c r="K442" s="21" t="s">
        <v>1979</v>
      </c>
      <c r="L442" s="22" t="str">
        <f t="shared" si="30"/>
        <v>EXCLUDE</v>
      </c>
      <c r="M442" s="22" t="str">
        <f t="shared" si="31"/>
        <v>Non-English</v>
      </c>
      <c r="N442" s="23"/>
      <c r="O442" s="23"/>
      <c r="P442" s="24"/>
      <c r="Q442" s="24"/>
      <c r="R442" s="24"/>
      <c r="S442" s="22" t="str">
        <f t="shared" si="32"/>
        <v/>
      </c>
      <c r="T442" s="22" t="str">
        <f t="shared" si="33"/>
        <v/>
      </c>
      <c r="U442" s="25"/>
      <c r="V442" s="25"/>
      <c r="W442" s="25"/>
      <c r="X442" s="25"/>
      <c r="Y442" s="22" t="str">
        <f t="shared" si="34"/>
        <v/>
      </c>
      <c r="Z442" s="25"/>
      <c r="AA442" s="25"/>
      <c r="AB442" s="25"/>
      <c r="AC442" s="25"/>
      <c r="AD442" s="25"/>
      <c r="AE442" s="25"/>
      <c r="AF442" s="25"/>
      <c r="AG442" s="9"/>
      <c r="AH442" s="29"/>
      <c r="AI442" s="29"/>
      <c r="AM442" s="50"/>
      <c r="AN442" s="51" t="s">
        <v>3333</v>
      </c>
      <c r="AO442" s="55" t="s">
        <v>876</v>
      </c>
    </row>
    <row r="443" spans="1:41" ht="34.200000000000003" hidden="1" customHeight="1" x14ac:dyDescent="0.3">
      <c r="A443" s="20">
        <v>439</v>
      </c>
      <c r="B443" s="8" t="s">
        <v>3334</v>
      </c>
      <c r="C443" s="26">
        <v>2026</v>
      </c>
      <c r="D443" s="8"/>
      <c r="E443" s="8" t="s">
        <v>879</v>
      </c>
      <c r="F443" s="20" t="s">
        <v>1969</v>
      </c>
      <c r="G443" s="21" t="s">
        <v>1968</v>
      </c>
      <c r="H443" s="21" t="s">
        <v>1979</v>
      </c>
      <c r="I443" s="21" t="s">
        <v>1968</v>
      </c>
      <c r="J443" s="21" t="s">
        <v>1968</v>
      </c>
      <c r="K443" s="21" t="s">
        <v>1968</v>
      </c>
      <c r="L443" s="22" t="str">
        <f t="shared" si="30"/>
        <v>EXCLUDE</v>
      </c>
      <c r="M443" s="22" t="str">
        <f t="shared" si="31"/>
        <v>Digital Twin not core / buzzword</v>
      </c>
      <c r="N443" s="23"/>
      <c r="O443" s="23"/>
      <c r="P443" s="24"/>
      <c r="Q443" s="24"/>
      <c r="R443" s="24"/>
      <c r="S443" s="22" t="str">
        <f t="shared" si="32"/>
        <v/>
      </c>
      <c r="T443" s="22" t="str">
        <f t="shared" si="33"/>
        <v/>
      </c>
      <c r="U443" s="25"/>
      <c r="V443" s="25"/>
      <c r="W443" s="25"/>
      <c r="X443" s="25"/>
      <c r="Y443" s="22" t="str">
        <f t="shared" si="34"/>
        <v/>
      </c>
      <c r="Z443" s="25"/>
      <c r="AA443" s="25"/>
      <c r="AB443" s="25"/>
      <c r="AC443" s="25"/>
      <c r="AD443" s="25"/>
      <c r="AE443" s="25"/>
      <c r="AF443" s="25"/>
      <c r="AG443" s="9"/>
      <c r="AH443" s="29"/>
      <c r="AI443" s="29"/>
      <c r="AM443" s="50"/>
      <c r="AN443" s="51" t="s">
        <v>3335</v>
      </c>
      <c r="AO443" s="55" t="s">
        <v>878</v>
      </c>
    </row>
    <row r="444" spans="1:41" ht="114" hidden="1" customHeight="1" x14ac:dyDescent="0.3">
      <c r="A444" s="20">
        <v>440</v>
      </c>
      <c r="B444" s="8" t="s">
        <v>3336</v>
      </c>
      <c r="C444" s="26">
        <v>2026</v>
      </c>
      <c r="D444" s="8"/>
      <c r="E444" s="8" t="s">
        <v>881</v>
      </c>
      <c r="F444" s="20" t="s">
        <v>1969</v>
      </c>
      <c r="G444" s="21" t="s">
        <v>1968</v>
      </c>
      <c r="H444" s="21" t="s">
        <v>1968</v>
      </c>
      <c r="I444" s="21" t="s">
        <v>1968</v>
      </c>
      <c r="J444" s="21" t="s">
        <v>1968</v>
      </c>
      <c r="K444" s="21" t="s">
        <v>1968</v>
      </c>
      <c r="L444" s="22" t="str">
        <f t="shared" si="30"/>
        <v>INCLUDE</v>
      </c>
      <c r="M444" s="22" t="str">
        <f t="shared" si="31"/>
        <v/>
      </c>
      <c r="N444" s="23" t="s">
        <v>1968</v>
      </c>
      <c r="O444" s="23" t="s">
        <v>1968</v>
      </c>
      <c r="P444" s="24" t="s">
        <v>1968</v>
      </c>
      <c r="Q444" s="24" t="s">
        <v>1968</v>
      </c>
      <c r="R444" s="24" t="s">
        <v>1968</v>
      </c>
      <c r="S444" s="22" t="str">
        <f t="shared" si="32"/>
        <v>INCLUDE</v>
      </c>
      <c r="T444" s="22" t="str">
        <f t="shared" si="33"/>
        <v/>
      </c>
      <c r="U444" s="25" t="s">
        <v>1992</v>
      </c>
      <c r="V444" s="25">
        <v>1</v>
      </c>
      <c r="W444" s="25">
        <v>0</v>
      </c>
      <c r="X444" s="25">
        <v>1</v>
      </c>
      <c r="Y444" s="22" t="str">
        <f t="shared" si="34"/>
        <v>Multi</v>
      </c>
      <c r="Z444" s="25" t="s">
        <v>1922</v>
      </c>
      <c r="AA444" s="25" t="s">
        <v>1993</v>
      </c>
      <c r="AB444" s="25" t="s">
        <v>1973</v>
      </c>
      <c r="AC444" s="25" t="s">
        <v>1986</v>
      </c>
      <c r="AD444" s="25" t="s">
        <v>1987</v>
      </c>
      <c r="AE444" s="25">
        <v>4</v>
      </c>
      <c r="AF444" s="25" t="s">
        <v>2004</v>
      </c>
      <c r="AG444" s="9" t="s">
        <v>3337</v>
      </c>
      <c r="AH444" s="29" t="s">
        <v>3338</v>
      </c>
      <c r="AI444" s="29" t="s">
        <v>3339</v>
      </c>
      <c r="AJ444" t="s">
        <v>2005</v>
      </c>
      <c r="AK444" t="s">
        <v>3340</v>
      </c>
      <c r="AL444" t="s">
        <v>1990</v>
      </c>
      <c r="AM444" s="50"/>
      <c r="AN444" s="51" t="s">
        <v>3341</v>
      </c>
      <c r="AO444" s="55" t="s">
        <v>880</v>
      </c>
    </row>
    <row r="445" spans="1:41" ht="45.6" hidden="1" customHeight="1" x14ac:dyDescent="0.3">
      <c r="A445" s="20">
        <v>441</v>
      </c>
      <c r="B445" s="8" t="s">
        <v>3342</v>
      </c>
      <c r="C445" s="26">
        <v>2026</v>
      </c>
      <c r="D445" s="8"/>
      <c r="E445" s="8" t="s">
        <v>883</v>
      </c>
      <c r="F445" s="20" t="s">
        <v>1969</v>
      </c>
      <c r="G445" s="21" t="s">
        <v>1979</v>
      </c>
      <c r="H445" s="21" t="s">
        <v>1968</v>
      </c>
      <c r="I445" s="21" t="s">
        <v>1968</v>
      </c>
      <c r="J445" s="21" t="s">
        <v>1968</v>
      </c>
      <c r="K445" s="21" t="s">
        <v>1968</v>
      </c>
      <c r="L445" s="22" t="str">
        <f t="shared" si="30"/>
        <v>EXCLUDE</v>
      </c>
      <c r="M445" s="22" t="str">
        <f t="shared" si="31"/>
        <v>Wrong domain (non-AECO)</v>
      </c>
      <c r="N445" s="23"/>
      <c r="O445" s="23"/>
      <c r="P445" s="24"/>
      <c r="Q445" s="24"/>
      <c r="R445" s="24"/>
      <c r="S445" s="22" t="str">
        <f t="shared" si="32"/>
        <v/>
      </c>
      <c r="T445" s="22" t="str">
        <f t="shared" si="33"/>
        <v/>
      </c>
      <c r="U445" s="25"/>
      <c r="V445" s="25"/>
      <c r="W445" s="25"/>
      <c r="X445" s="25"/>
      <c r="Y445" s="22" t="str">
        <f t="shared" si="34"/>
        <v/>
      </c>
      <c r="Z445" s="25"/>
      <c r="AA445" s="25"/>
      <c r="AB445" s="25"/>
      <c r="AC445" s="25"/>
      <c r="AD445" s="25"/>
      <c r="AE445" s="25"/>
      <c r="AF445" s="25"/>
      <c r="AG445" s="9"/>
      <c r="AH445" s="29"/>
      <c r="AI445" s="29"/>
      <c r="AM445" s="50"/>
      <c r="AN445" s="51" t="s">
        <v>3343</v>
      </c>
      <c r="AO445" s="55" t="s">
        <v>882</v>
      </c>
    </row>
    <row r="446" spans="1:41" ht="68.400000000000006" hidden="1" customHeight="1" x14ac:dyDescent="0.3">
      <c r="A446" s="20">
        <v>442</v>
      </c>
      <c r="B446" s="8" t="s">
        <v>3344</v>
      </c>
      <c r="C446" s="26">
        <v>2025</v>
      </c>
      <c r="D446" s="8"/>
      <c r="E446" s="8" t="s">
        <v>885</v>
      </c>
      <c r="F446" s="20" t="s">
        <v>1969</v>
      </c>
      <c r="G446" s="21" t="s">
        <v>1979</v>
      </c>
      <c r="H446" s="21" t="s">
        <v>1968</v>
      </c>
      <c r="I446" s="21" t="s">
        <v>1968</v>
      </c>
      <c r="J446" s="21" t="s">
        <v>1968</v>
      </c>
      <c r="K446" s="21" t="s">
        <v>1968</v>
      </c>
      <c r="L446" s="22" t="str">
        <f t="shared" si="30"/>
        <v>EXCLUDE</v>
      </c>
      <c r="M446" s="22" t="str">
        <f t="shared" si="31"/>
        <v>Wrong domain (non-AECO)</v>
      </c>
      <c r="N446" s="23"/>
      <c r="O446" s="23"/>
      <c r="P446" s="24"/>
      <c r="Q446" s="24"/>
      <c r="R446" s="24"/>
      <c r="S446" s="22" t="str">
        <f t="shared" si="32"/>
        <v/>
      </c>
      <c r="T446" s="22" t="str">
        <f t="shared" si="33"/>
        <v/>
      </c>
      <c r="U446" s="25"/>
      <c r="V446" s="25"/>
      <c r="W446" s="25"/>
      <c r="X446" s="25"/>
      <c r="Y446" s="22" t="str">
        <f t="shared" si="34"/>
        <v/>
      </c>
      <c r="Z446" s="25"/>
      <c r="AA446" s="25"/>
      <c r="AB446" s="25"/>
      <c r="AC446" s="25"/>
      <c r="AD446" s="25"/>
      <c r="AE446" s="25"/>
      <c r="AF446" s="25"/>
      <c r="AG446" s="9"/>
      <c r="AH446" s="29"/>
      <c r="AI446" s="29"/>
      <c r="AM446" s="50"/>
      <c r="AN446" s="51" t="s">
        <v>3345</v>
      </c>
      <c r="AO446" s="55" t="s">
        <v>884</v>
      </c>
    </row>
    <row r="447" spans="1:41" ht="57" hidden="1" customHeight="1" x14ac:dyDescent="0.3">
      <c r="A447" s="20">
        <v>443</v>
      </c>
      <c r="B447" s="8" t="s">
        <v>3346</v>
      </c>
      <c r="C447" s="26">
        <v>2026</v>
      </c>
      <c r="D447" s="8"/>
      <c r="E447" s="8" t="s">
        <v>887</v>
      </c>
      <c r="F447" s="20" t="s">
        <v>1969</v>
      </c>
      <c r="G447" s="21" t="s">
        <v>1979</v>
      </c>
      <c r="H447" s="21" t="s">
        <v>1968</v>
      </c>
      <c r="I447" s="21" t="s">
        <v>1968</v>
      </c>
      <c r="J447" s="21" t="s">
        <v>1968</v>
      </c>
      <c r="K447" s="21" t="s">
        <v>1968</v>
      </c>
      <c r="L447" s="22" t="str">
        <f t="shared" si="30"/>
        <v>EXCLUDE</v>
      </c>
      <c r="M447" s="22" t="str">
        <f t="shared" si="31"/>
        <v>Wrong domain (non-AECO)</v>
      </c>
      <c r="N447" s="23"/>
      <c r="O447" s="23"/>
      <c r="P447" s="24"/>
      <c r="Q447" s="24"/>
      <c r="R447" s="24"/>
      <c r="S447" s="22" t="str">
        <f t="shared" si="32"/>
        <v/>
      </c>
      <c r="T447" s="22" t="str">
        <f t="shared" si="33"/>
        <v/>
      </c>
      <c r="U447" s="25"/>
      <c r="V447" s="25"/>
      <c r="W447" s="25"/>
      <c r="X447" s="25"/>
      <c r="Y447" s="22" t="str">
        <f t="shared" si="34"/>
        <v/>
      </c>
      <c r="Z447" s="25"/>
      <c r="AA447" s="25"/>
      <c r="AB447" s="25"/>
      <c r="AC447" s="25"/>
      <c r="AD447" s="25"/>
      <c r="AE447" s="25"/>
      <c r="AF447" s="25"/>
      <c r="AG447" s="9"/>
      <c r="AH447" s="29"/>
      <c r="AI447" s="29"/>
      <c r="AM447" s="50"/>
      <c r="AN447" s="51" t="s">
        <v>3347</v>
      </c>
      <c r="AO447" s="55" t="s">
        <v>886</v>
      </c>
    </row>
    <row r="448" spans="1:41" ht="34.200000000000003" hidden="1" customHeight="1" x14ac:dyDescent="0.3">
      <c r="A448" s="20">
        <v>444</v>
      </c>
      <c r="B448" s="8" t="s">
        <v>3348</v>
      </c>
      <c r="C448" s="26">
        <v>2026</v>
      </c>
      <c r="D448" s="8"/>
      <c r="E448" s="8" t="s">
        <v>889</v>
      </c>
      <c r="F448" s="20" t="s">
        <v>1969</v>
      </c>
      <c r="G448" s="21" t="s">
        <v>1968</v>
      </c>
      <c r="H448" s="21" t="s">
        <v>1979</v>
      </c>
      <c r="I448" s="21" t="s">
        <v>1968</v>
      </c>
      <c r="J448" s="21" t="s">
        <v>1968</v>
      </c>
      <c r="K448" s="21" t="s">
        <v>1968</v>
      </c>
      <c r="L448" s="22" t="str">
        <f t="shared" si="30"/>
        <v>EXCLUDE</v>
      </c>
      <c r="M448" s="22" t="str">
        <f t="shared" si="31"/>
        <v>Digital Twin not core / buzzword</v>
      </c>
      <c r="N448" s="23"/>
      <c r="O448" s="23"/>
      <c r="P448" s="24"/>
      <c r="Q448" s="24"/>
      <c r="R448" s="24"/>
      <c r="S448" s="22" t="str">
        <f t="shared" si="32"/>
        <v/>
      </c>
      <c r="T448" s="22" t="str">
        <f t="shared" si="33"/>
        <v/>
      </c>
      <c r="U448" s="25"/>
      <c r="V448" s="25"/>
      <c r="W448" s="25"/>
      <c r="X448" s="25"/>
      <c r="Y448" s="22" t="str">
        <f t="shared" si="34"/>
        <v/>
      </c>
      <c r="Z448" s="25"/>
      <c r="AA448" s="25"/>
      <c r="AB448" s="25"/>
      <c r="AC448" s="25"/>
      <c r="AD448" s="25"/>
      <c r="AE448" s="25"/>
      <c r="AF448" s="25"/>
      <c r="AG448" s="9"/>
      <c r="AH448" s="29"/>
      <c r="AI448" s="29"/>
      <c r="AM448" s="50"/>
      <c r="AN448" s="51" t="s">
        <v>3349</v>
      </c>
      <c r="AO448" s="55" t="s">
        <v>888</v>
      </c>
    </row>
    <row r="449" spans="1:41" ht="45.6" hidden="1" customHeight="1" x14ac:dyDescent="0.3">
      <c r="A449" s="20">
        <v>445</v>
      </c>
      <c r="B449" s="8" t="s">
        <v>3350</v>
      </c>
      <c r="C449" s="26">
        <v>2026</v>
      </c>
      <c r="D449" s="8"/>
      <c r="E449" s="8" t="s">
        <v>891</v>
      </c>
      <c r="F449" s="20" t="s">
        <v>1969</v>
      </c>
      <c r="G449" s="21" t="s">
        <v>1979</v>
      </c>
      <c r="H449" s="21" t="s">
        <v>1968</v>
      </c>
      <c r="I449" s="21" t="s">
        <v>1968</v>
      </c>
      <c r="J449" s="21" t="s">
        <v>1968</v>
      </c>
      <c r="K449" s="21" t="s">
        <v>1968</v>
      </c>
      <c r="L449" s="22" t="str">
        <f t="shared" si="30"/>
        <v>EXCLUDE</v>
      </c>
      <c r="M449" s="22" t="str">
        <f t="shared" si="31"/>
        <v>Wrong domain (non-AECO)</v>
      </c>
      <c r="N449" s="23"/>
      <c r="O449" s="23"/>
      <c r="P449" s="24"/>
      <c r="Q449" s="24"/>
      <c r="R449" s="24"/>
      <c r="S449" s="22" t="str">
        <f t="shared" si="32"/>
        <v/>
      </c>
      <c r="T449" s="22" t="str">
        <f t="shared" si="33"/>
        <v/>
      </c>
      <c r="U449" s="25"/>
      <c r="V449" s="25"/>
      <c r="W449" s="25"/>
      <c r="X449" s="25"/>
      <c r="Y449" s="22" t="str">
        <f t="shared" si="34"/>
        <v/>
      </c>
      <c r="Z449" s="25"/>
      <c r="AA449" s="25"/>
      <c r="AB449" s="25"/>
      <c r="AC449" s="25"/>
      <c r="AD449" s="25"/>
      <c r="AE449" s="25"/>
      <c r="AF449" s="25"/>
      <c r="AG449" s="9"/>
      <c r="AH449" s="29"/>
      <c r="AI449" s="29"/>
      <c r="AM449" s="50"/>
      <c r="AN449" s="51" t="s">
        <v>3351</v>
      </c>
      <c r="AO449" s="55" t="s">
        <v>890</v>
      </c>
    </row>
    <row r="450" spans="1:41" ht="114" hidden="1" customHeight="1" x14ac:dyDescent="0.3">
      <c r="A450" s="20">
        <v>446</v>
      </c>
      <c r="B450" s="8" t="s">
        <v>3352</v>
      </c>
      <c r="C450" s="26">
        <v>2025</v>
      </c>
      <c r="D450" s="8"/>
      <c r="E450" s="8" t="s">
        <v>893</v>
      </c>
      <c r="F450" s="20" t="s">
        <v>1969</v>
      </c>
      <c r="G450" s="21" t="s">
        <v>1968</v>
      </c>
      <c r="H450" s="21" t="s">
        <v>1979</v>
      </c>
      <c r="I450" s="21" t="s">
        <v>1968</v>
      </c>
      <c r="J450" s="21" t="s">
        <v>1968</v>
      </c>
      <c r="K450" s="21" t="s">
        <v>1968</v>
      </c>
      <c r="L450" s="22" t="str">
        <f t="shared" si="30"/>
        <v>EXCLUDE</v>
      </c>
      <c r="M450" s="22" t="str">
        <f t="shared" si="31"/>
        <v>Digital Twin not core / buzzword</v>
      </c>
      <c r="N450" s="23"/>
      <c r="O450" s="23"/>
      <c r="P450" s="24"/>
      <c r="Q450" s="24"/>
      <c r="R450" s="24"/>
      <c r="S450" s="22" t="str">
        <f t="shared" si="32"/>
        <v/>
      </c>
      <c r="T450" s="22" t="str">
        <f t="shared" si="33"/>
        <v/>
      </c>
      <c r="U450" s="25"/>
      <c r="V450" s="25"/>
      <c r="W450" s="25"/>
      <c r="X450" s="25"/>
      <c r="Y450" s="22" t="str">
        <f t="shared" si="34"/>
        <v/>
      </c>
      <c r="Z450" s="25"/>
      <c r="AA450" s="25"/>
      <c r="AB450" s="25"/>
      <c r="AC450" s="25"/>
      <c r="AD450" s="25"/>
      <c r="AE450" s="25"/>
      <c r="AF450" s="25"/>
      <c r="AG450" s="9"/>
      <c r="AH450" s="29"/>
      <c r="AI450" s="29"/>
      <c r="AM450" s="50"/>
      <c r="AN450" s="51" t="s">
        <v>3353</v>
      </c>
      <c r="AO450" s="55" t="s">
        <v>892</v>
      </c>
    </row>
    <row r="451" spans="1:41" ht="79.8" hidden="1" customHeight="1" x14ac:dyDescent="0.3">
      <c r="A451" s="20">
        <v>447</v>
      </c>
      <c r="B451" s="8" t="s">
        <v>3354</v>
      </c>
      <c r="C451" s="26">
        <v>2025</v>
      </c>
      <c r="D451" s="8"/>
      <c r="E451" s="8" t="s">
        <v>895</v>
      </c>
      <c r="F451" s="20" t="s">
        <v>1969</v>
      </c>
      <c r="G451" s="21" t="s">
        <v>1979</v>
      </c>
      <c r="H451" s="21" t="s">
        <v>1968</v>
      </c>
      <c r="I451" s="21" t="s">
        <v>1968</v>
      </c>
      <c r="J451" s="21" t="s">
        <v>1968</v>
      </c>
      <c r="K451" s="21" t="s">
        <v>1968</v>
      </c>
      <c r="L451" s="22" t="str">
        <f t="shared" si="30"/>
        <v>EXCLUDE</v>
      </c>
      <c r="M451" s="22" t="str">
        <f t="shared" si="31"/>
        <v>Wrong domain (non-AECO)</v>
      </c>
      <c r="N451" s="23"/>
      <c r="O451" s="23"/>
      <c r="P451" s="24"/>
      <c r="Q451" s="24"/>
      <c r="R451" s="24"/>
      <c r="S451" s="22" t="str">
        <f t="shared" si="32"/>
        <v/>
      </c>
      <c r="T451" s="22" t="str">
        <f t="shared" si="33"/>
        <v/>
      </c>
      <c r="U451" s="25"/>
      <c r="V451" s="25"/>
      <c r="W451" s="25"/>
      <c r="X451" s="25"/>
      <c r="Y451" s="22" t="str">
        <f t="shared" si="34"/>
        <v/>
      </c>
      <c r="Z451" s="25"/>
      <c r="AA451" s="25"/>
      <c r="AB451" s="25"/>
      <c r="AC451" s="25"/>
      <c r="AD451" s="25"/>
      <c r="AE451" s="25"/>
      <c r="AF451" s="25"/>
      <c r="AG451" s="9"/>
      <c r="AH451" s="29"/>
      <c r="AI451" s="29"/>
      <c r="AM451" s="50"/>
      <c r="AN451" s="51" t="s">
        <v>3355</v>
      </c>
      <c r="AO451" s="55" t="s">
        <v>894</v>
      </c>
    </row>
    <row r="452" spans="1:41" ht="91.2" hidden="1" customHeight="1" x14ac:dyDescent="0.3">
      <c r="A452" s="20">
        <v>448</v>
      </c>
      <c r="B452" s="8" t="s">
        <v>3356</v>
      </c>
      <c r="C452" s="26">
        <v>2025</v>
      </c>
      <c r="D452" s="8"/>
      <c r="E452" s="8" t="s">
        <v>897</v>
      </c>
      <c r="F452" s="20" t="s">
        <v>1969</v>
      </c>
      <c r="G452" s="21" t="s">
        <v>1968</v>
      </c>
      <c r="H452" s="21" t="s">
        <v>1968</v>
      </c>
      <c r="I452" s="21" t="s">
        <v>1968</v>
      </c>
      <c r="J452" s="21" t="s">
        <v>1968</v>
      </c>
      <c r="K452" s="21" t="s">
        <v>1968</v>
      </c>
      <c r="L452" s="22" t="str">
        <f t="shared" si="30"/>
        <v>INCLUDE</v>
      </c>
      <c r="M452" s="22" t="str">
        <f t="shared" si="31"/>
        <v/>
      </c>
      <c r="N452" s="23" t="s">
        <v>1968</v>
      </c>
      <c r="O452" s="23" t="s">
        <v>1968</v>
      </c>
      <c r="P452" s="24" t="s">
        <v>1968</v>
      </c>
      <c r="Q452" s="24" t="s">
        <v>1968</v>
      </c>
      <c r="R452" s="24" t="s">
        <v>1968</v>
      </c>
      <c r="S452" s="22" t="str">
        <f t="shared" si="32"/>
        <v>INCLUDE</v>
      </c>
      <c r="T452" s="22" t="str">
        <f t="shared" si="33"/>
        <v/>
      </c>
      <c r="U452" s="25" t="s">
        <v>1971</v>
      </c>
      <c r="V452" s="25">
        <v>0</v>
      </c>
      <c r="W452" s="25">
        <v>0</v>
      </c>
      <c r="X452" s="25">
        <v>1</v>
      </c>
      <c r="Y452" s="22" t="str">
        <f t="shared" si="34"/>
        <v>Single</v>
      </c>
      <c r="Z452" s="25" t="s">
        <v>1922</v>
      </c>
      <c r="AA452" s="25" t="s">
        <v>1972</v>
      </c>
      <c r="AB452" s="25" t="s">
        <v>2014</v>
      </c>
      <c r="AC452" s="25" t="s">
        <v>1986</v>
      </c>
      <c r="AD452" s="25" t="s">
        <v>1975</v>
      </c>
      <c r="AE452" s="25">
        <v>4</v>
      </c>
      <c r="AF452" s="25" t="s">
        <v>1976</v>
      </c>
      <c r="AG452" s="9" t="s">
        <v>3357</v>
      </c>
      <c r="AH452" s="29" t="s">
        <v>3358</v>
      </c>
      <c r="AI452" s="29" t="s">
        <v>3359</v>
      </c>
      <c r="AJ452" t="s">
        <v>1997</v>
      </c>
      <c r="AK452" t="s">
        <v>3360</v>
      </c>
      <c r="AL452" t="s">
        <v>1990</v>
      </c>
      <c r="AM452" s="50"/>
      <c r="AN452" s="51" t="s">
        <v>3361</v>
      </c>
      <c r="AO452" s="55" t="s">
        <v>896</v>
      </c>
    </row>
    <row r="453" spans="1:41" ht="45.6" hidden="1" customHeight="1" x14ac:dyDescent="0.3">
      <c r="A453" s="20">
        <v>449</v>
      </c>
      <c r="B453" s="8" t="s">
        <v>3362</v>
      </c>
      <c r="C453" s="26">
        <v>2026</v>
      </c>
      <c r="D453" s="8"/>
      <c r="E453" s="8" t="s">
        <v>899</v>
      </c>
      <c r="F453" s="20" t="s">
        <v>1969</v>
      </c>
      <c r="G453" s="21" t="s">
        <v>1979</v>
      </c>
      <c r="H453" s="21" t="s">
        <v>1968</v>
      </c>
      <c r="I453" s="21" t="s">
        <v>1968</v>
      </c>
      <c r="J453" s="21" t="s">
        <v>1968</v>
      </c>
      <c r="K453" s="21" t="s">
        <v>1968</v>
      </c>
      <c r="L453" s="22" t="str">
        <f t="shared" ref="L453:L516" si="35">IF(COUNTBLANK(G453:K453)=5,"",IF(COUNTIF(G453:K453,"No")&gt;0,"EXCLUDE","INCLUDE"))</f>
        <v>EXCLUDE</v>
      </c>
      <c r="M453" s="22" t="str">
        <f t="shared" ref="M453:M516" si="36">IF(L453&lt;&gt;"EXCLUDE","",IF(G453="No","Wrong domain (non-AECO)",IF(H453="No","Digital Twin not core / buzzword",IF(I453="No","No Design for Safety / PtD focus",IF(J453="No","Wrong publication type",IF(K453="No","Non-English",""))))))</f>
        <v>Wrong domain (non-AECO)</v>
      </c>
      <c r="N453" s="23"/>
      <c r="O453" s="23"/>
      <c r="P453" s="24"/>
      <c r="Q453" s="24"/>
      <c r="R453" s="24"/>
      <c r="S453" s="22" t="str">
        <f t="shared" ref="S453:S516" si="37">IF(N453&lt;&gt;"Yes","",IF(COUNTBLANK(P453:R453)=3,"",IF(COUNTIF(P453:R453,"No")&gt;0,"EXCLUDE","INCLUDE")))</f>
        <v/>
      </c>
      <c r="T453" s="22" t="str">
        <f t="shared" ref="T453:T516" si="38">IF(S453&lt;&gt;"EXCLUDE","",IF(P453="No","Digital Twin mentioned only, not the subject",IF(Q453="No","No Design for Safety focus in full text",IF(R453="No","Methodology not codable",""))))</f>
        <v/>
      </c>
      <c r="U453" s="25"/>
      <c r="V453" s="25"/>
      <c r="W453" s="25"/>
      <c r="X453" s="25"/>
      <c r="Y453" s="22" t="str">
        <f t="shared" ref="Y453:Y516" si="39">IF(SUM(V453:X453)=0,"",IF(SUM(V453:X453)&gt;=2,"Multi","Single"))</f>
        <v/>
      </c>
      <c r="Z453" s="25"/>
      <c r="AA453" s="25"/>
      <c r="AB453" s="25"/>
      <c r="AC453" s="25"/>
      <c r="AD453" s="25"/>
      <c r="AE453" s="25"/>
      <c r="AF453" s="25"/>
      <c r="AG453" s="9"/>
      <c r="AH453" s="29"/>
      <c r="AI453" s="29"/>
      <c r="AM453" s="50"/>
      <c r="AN453" s="51" t="s">
        <v>3363</v>
      </c>
      <c r="AO453" s="55" t="s">
        <v>898</v>
      </c>
    </row>
    <row r="454" spans="1:41" ht="68.400000000000006" hidden="1" customHeight="1" x14ac:dyDescent="0.3">
      <c r="A454" s="20">
        <v>450</v>
      </c>
      <c r="B454" s="8" t="s">
        <v>3364</v>
      </c>
      <c r="C454" s="26">
        <v>2026</v>
      </c>
      <c r="D454" s="8"/>
      <c r="E454" s="8" t="s">
        <v>901</v>
      </c>
      <c r="F454" s="20" t="s">
        <v>1969</v>
      </c>
      <c r="G454" s="21" t="s">
        <v>1968</v>
      </c>
      <c r="H454" s="21" t="s">
        <v>1979</v>
      </c>
      <c r="I454" s="21" t="s">
        <v>1968</v>
      </c>
      <c r="J454" s="21" t="s">
        <v>1968</v>
      </c>
      <c r="K454" s="21" t="s">
        <v>1968</v>
      </c>
      <c r="L454" s="22" t="str">
        <f t="shared" si="35"/>
        <v>EXCLUDE</v>
      </c>
      <c r="M454" s="22" t="str">
        <f t="shared" si="36"/>
        <v>Digital Twin not core / buzzword</v>
      </c>
      <c r="N454" s="23"/>
      <c r="O454" s="23"/>
      <c r="P454" s="24"/>
      <c r="Q454" s="24"/>
      <c r="R454" s="24"/>
      <c r="S454" s="22" t="str">
        <f t="shared" si="37"/>
        <v/>
      </c>
      <c r="T454" s="22" t="str">
        <f t="shared" si="38"/>
        <v/>
      </c>
      <c r="U454" s="25"/>
      <c r="V454" s="25"/>
      <c r="W454" s="25"/>
      <c r="X454" s="25"/>
      <c r="Y454" s="22" t="str">
        <f t="shared" si="39"/>
        <v/>
      </c>
      <c r="Z454" s="25"/>
      <c r="AA454" s="25"/>
      <c r="AB454" s="25"/>
      <c r="AC454" s="25"/>
      <c r="AD454" s="25"/>
      <c r="AE454" s="25"/>
      <c r="AF454" s="25"/>
      <c r="AG454" s="9"/>
      <c r="AH454" s="29"/>
      <c r="AI454" s="29"/>
      <c r="AM454" s="50"/>
      <c r="AN454" s="51" t="s">
        <v>3365</v>
      </c>
      <c r="AO454" s="55" t="s">
        <v>900</v>
      </c>
    </row>
    <row r="455" spans="1:41" ht="57" customHeight="1" x14ac:dyDescent="0.3">
      <c r="A455" s="20">
        <v>451</v>
      </c>
      <c r="B455" s="8" t="s">
        <v>3366</v>
      </c>
      <c r="C455" s="26">
        <v>2025</v>
      </c>
      <c r="D455" s="8"/>
      <c r="E455" s="8" t="s">
        <v>903</v>
      </c>
      <c r="F455" s="20" t="s">
        <v>1969</v>
      </c>
      <c r="G455" s="21" t="s">
        <v>1968</v>
      </c>
      <c r="H455" s="21" t="s">
        <v>1979</v>
      </c>
      <c r="I455" s="21" t="s">
        <v>1979</v>
      </c>
      <c r="J455" s="21" t="s">
        <v>1968</v>
      </c>
      <c r="K455" s="21" t="s">
        <v>1968</v>
      </c>
      <c r="L455" s="22" t="str">
        <f t="shared" si="35"/>
        <v>EXCLUDE</v>
      </c>
      <c r="M455" s="22" t="str">
        <f t="shared" si="36"/>
        <v>Digital Twin not core / buzzword</v>
      </c>
      <c r="N455" s="23"/>
      <c r="O455" s="23"/>
      <c r="P455" s="24"/>
      <c r="Q455" s="24"/>
      <c r="R455" s="24"/>
      <c r="S455" s="22" t="str">
        <f t="shared" si="37"/>
        <v/>
      </c>
      <c r="T455" s="22" t="str">
        <f t="shared" si="38"/>
        <v/>
      </c>
      <c r="U455" s="25"/>
      <c r="V455" s="25"/>
      <c r="W455" s="25"/>
      <c r="X455" s="25"/>
      <c r="Y455" s="22" t="str">
        <f t="shared" si="39"/>
        <v/>
      </c>
      <c r="Z455" s="25"/>
      <c r="AA455" s="25"/>
      <c r="AB455" s="25"/>
      <c r="AC455" s="25"/>
      <c r="AD455" s="25"/>
      <c r="AE455" s="25"/>
      <c r="AF455" s="25"/>
      <c r="AG455" s="9"/>
      <c r="AH455" s="29"/>
      <c r="AI455" s="29"/>
      <c r="AM455" s="50"/>
      <c r="AN455" s="51" t="s">
        <v>3367</v>
      </c>
      <c r="AO455" s="55" t="s">
        <v>902</v>
      </c>
    </row>
    <row r="456" spans="1:41" ht="79.8" customHeight="1" x14ac:dyDescent="0.3">
      <c r="A456" s="20">
        <v>452</v>
      </c>
      <c r="B456" s="8" t="s">
        <v>3368</v>
      </c>
      <c r="C456" s="26">
        <v>2025</v>
      </c>
      <c r="D456" s="8"/>
      <c r="E456" s="8" t="s">
        <v>905</v>
      </c>
      <c r="F456" s="20" t="s">
        <v>1969</v>
      </c>
      <c r="G456" s="21" t="s">
        <v>1968</v>
      </c>
      <c r="H456" s="21" t="s">
        <v>1979</v>
      </c>
      <c r="I456" s="21" t="s">
        <v>1968</v>
      </c>
      <c r="J456" s="21" t="s">
        <v>1968</v>
      </c>
      <c r="K456" s="21" t="s">
        <v>1968</v>
      </c>
      <c r="L456" s="22" t="str">
        <f t="shared" si="35"/>
        <v>EXCLUDE</v>
      </c>
      <c r="M456" s="22" t="str">
        <f t="shared" si="36"/>
        <v>Digital Twin not core / buzzword</v>
      </c>
      <c r="N456" s="23"/>
      <c r="O456" s="23"/>
      <c r="P456" s="24"/>
      <c r="Q456" s="24"/>
      <c r="R456" s="24"/>
      <c r="S456" s="22" t="str">
        <f t="shared" si="37"/>
        <v/>
      </c>
      <c r="T456" s="22" t="str">
        <f t="shared" si="38"/>
        <v/>
      </c>
      <c r="U456" s="25"/>
      <c r="V456" s="25"/>
      <c r="W456" s="25"/>
      <c r="X456" s="25"/>
      <c r="Y456" s="22" t="str">
        <f t="shared" si="39"/>
        <v/>
      </c>
      <c r="Z456" s="25"/>
      <c r="AA456" s="25"/>
      <c r="AB456" s="25"/>
      <c r="AC456" s="25"/>
      <c r="AD456" s="25"/>
      <c r="AE456" s="25"/>
      <c r="AF456" s="25"/>
      <c r="AG456" s="9"/>
      <c r="AH456" s="29"/>
      <c r="AI456" s="29"/>
      <c r="AM456" s="50"/>
      <c r="AN456" s="51" t="s">
        <v>3369</v>
      </c>
      <c r="AO456" s="55" t="s">
        <v>904</v>
      </c>
    </row>
    <row r="457" spans="1:41" ht="68.400000000000006" customHeight="1" x14ac:dyDescent="0.3">
      <c r="A457" s="20">
        <v>453</v>
      </c>
      <c r="B457" s="8" t="s">
        <v>3370</v>
      </c>
      <c r="C457" s="26">
        <v>2026</v>
      </c>
      <c r="D457" s="8"/>
      <c r="E457" s="8" t="s">
        <v>907</v>
      </c>
      <c r="F457" s="20" t="s">
        <v>1969</v>
      </c>
      <c r="G457" s="21" t="s">
        <v>1968</v>
      </c>
      <c r="H457" s="21" t="s">
        <v>1979</v>
      </c>
      <c r="I457" s="21" t="s">
        <v>1968</v>
      </c>
      <c r="J457" s="21" t="s">
        <v>1968</v>
      </c>
      <c r="K457" s="21" t="s">
        <v>1968</v>
      </c>
      <c r="L457" s="22" t="str">
        <f t="shared" si="35"/>
        <v>EXCLUDE</v>
      </c>
      <c r="M457" s="22" t="str">
        <f t="shared" si="36"/>
        <v>Digital Twin not core / buzzword</v>
      </c>
      <c r="N457" s="23"/>
      <c r="O457" s="23"/>
      <c r="P457" s="24"/>
      <c r="Q457" s="24"/>
      <c r="R457" s="24"/>
      <c r="S457" s="22" t="str">
        <f t="shared" si="37"/>
        <v/>
      </c>
      <c r="T457" s="22" t="str">
        <f t="shared" si="38"/>
        <v/>
      </c>
      <c r="U457" s="25"/>
      <c r="V457" s="25"/>
      <c r="W457" s="25"/>
      <c r="X457" s="25"/>
      <c r="Y457" s="22" t="str">
        <f t="shared" si="39"/>
        <v/>
      </c>
      <c r="Z457" s="25"/>
      <c r="AA457" s="25"/>
      <c r="AB457" s="25"/>
      <c r="AC457" s="25"/>
      <c r="AD457" s="25"/>
      <c r="AE457" s="25"/>
      <c r="AF457" s="25"/>
      <c r="AG457" s="9"/>
      <c r="AH457" s="29"/>
      <c r="AI457" s="29"/>
      <c r="AM457" s="50"/>
      <c r="AN457" s="51" t="s">
        <v>3371</v>
      </c>
      <c r="AO457" s="55" t="s">
        <v>906</v>
      </c>
    </row>
    <row r="458" spans="1:41" ht="57" customHeight="1" x14ac:dyDescent="0.3">
      <c r="A458" s="20">
        <v>454</v>
      </c>
      <c r="B458" s="8" t="s">
        <v>2740</v>
      </c>
      <c r="C458" s="26">
        <v>2026</v>
      </c>
      <c r="D458" s="8"/>
      <c r="E458" s="8" t="s">
        <v>909</v>
      </c>
      <c r="F458" s="20" t="s">
        <v>1969</v>
      </c>
      <c r="G458" s="21" t="s">
        <v>1979</v>
      </c>
      <c r="H458" s="21" t="s">
        <v>1968</v>
      </c>
      <c r="I458" s="21" t="s">
        <v>1968</v>
      </c>
      <c r="J458" s="21" t="s">
        <v>1968</v>
      </c>
      <c r="K458" s="21" t="s">
        <v>1968</v>
      </c>
      <c r="L458" s="22" t="str">
        <f t="shared" si="35"/>
        <v>EXCLUDE</v>
      </c>
      <c r="M458" s="22" t="str">
        <f t="shared" si="36"/>
        <v>Wrong domain (non-AECO)</v>
      </c>
      <c r="N458" s="23"/>
      <c r="O458" s="23"/>
      <c r="P458" s="24"/>
      <c r="Q458" s="24"/>
      <c r="R458" s="24"/>
      <c r="S458" s="22" t="str">
        <f t="shared" si="37"/>
        <v/>
      </c>
      <c r="T458" s="22" t="str">
        <f t="shared" si="38"/>
        <v/>
      </c>
      <c r="U458" s="25"/>
      <c r="V458" s="25"/>
      <c r="W458" s="25"/>
      <c r="X458" s="25"/>
      <c r="Y458" s="22" t="str">
        <f t="shared" si="39"/>
        <v/>
      </c>
      <c r="Z458" s="25"/>
      <c r="AA458" s="25"/>
      <c r="AB458" s="25"/>
      <c r="AC458" s="25"/>
      <c r="AD458" s="25"/>
      <c r="AE458" s="25"/>
      <c r="AF458" s="25"/>
      <c r="AG458" s="9"/>
      <c r="AH458" s="29"/>
      <c r="AI458" s="29"/>
      <c r="AM458" s="50"/>
      <c r="AN458" s="51" t="s">
        <v>3372</v>
      </c>
      <c r="AO458" s="55" t="s">
        <v>908</v>
      </c>
    </row>
    <row r="459" spans="1:41" ht="68.400000000000006" customHeight="1" x14ac:dyDescent="0.3">
      <c r="A459" s="20">
        <v>455</v>
      </c>
      <c r="B459" s="8" t="s">
        <v>3373</v>
      </c>
      <c r="C459" s="26">
        <v>2026</v>
      </c>
      <c r="D459" s="8"/>
      <c r="E459" s="8" t="s">
        <v>911</v>
      </c>
      <c r="F459" s="20" t="s">
        <v>1969</v>
      </c>
      <c r="G459" s="21" t="s">
        <v>1979</v>
      </c>
      <c r="H459" s="21" t="s">
        <v>1968</v>
      </c>
      <c r="I459" s="21" t="s">
        <v>1968</v>
      </c>
      <c r="J459" s="21" t="s">
        <v>1968</v>
      </c>
      <c r="K459" s="21" t="s">
        <v>1968</v>
      </c>
      <c r="L459" s="22" t="str">
        <f t="shared" si="35"/>
        <v>EXCLUDE</v>
      </c>
      <c r="M459" s="22" t="str">
        <f t="shared" si="36"/>
        <v>Wrong domain (non-AECO)</v>
      </c>
      <c r="N459" s="23"/>
      <c r="O459" s="23"/>
      <c r="P459" s="24"/>
      <c r="Q459" s="24"/>
      <c r="R459" s="24"/>
      <c r="S459" s="22" t="str">
        <f t="shared" si="37"/>
        <v/>
      </c>
      <c r="T459" s="22" t="str">
        <f t="shared" si="38"/>
        <v/>
      </c>
      <c r="U459" s="25"/>
      <c r="V459" s="25"/>
      <c r="W459" s="25"/>
      <c r="X459" s="25"/>
      <c r="Y459" s="22" t="str">
        <f t="shared" si="39"/>
        <v/>
      </c>
      <c r="Z459" s="25"/>
      <c r="AA459" s="25"/>
      <c r="AB459" s="25"/>
      <c r="AC459" s="25"/>
      <c r="AD459" s="25"/>
      <c r="AE459" s="25"/>
      <c r="AF459" s="25"/>
      <c r="AG459" s="9"/>
      <c r="AH459" s="29"/>
      <c r="AI459" s="29"/>
      <c r="AM459" s="50"/>
      <c r="AN459" s="51" t="s">
        <v>3374</v>
      </c>
      <c r="AO459" s="55" t="s">
        <v>910</v>
      </c>
    </row>
    <row r="460" spans="1:41" ht="91.2" customHeight="1" x14ac:dyDescent="0.3">
      <c r="A460" s="20">
        <v>456</v>
      </c>
      <c r="B460" s="8" t="s">
        <v>3375</v>
      </c>
      <c r="C460" s="26">
        <v>2026</v>
      </c>
      <c r="D460" s="8"/>
      <c r="E460" s="8" t="s">
        <v>913</v>
      </c>
      <c r="F460" s="20" t="s">
        <v>1969</v>
      </c>
      <c r="G460" s="21" t="s">
        <v>1968</v>
      </c>
      <c r="H460" s="21" t="s">
        <v>1968</v>
      </c>
      <c r="I460" s="21" t="s">
        <v>1968</v>
      </c>
      <c r="J460" s="21" t="s">
        <v>1968</v>
      </c>
      <c r="K460" s="21" t="s">
        <v>1979</v>
      </c>
      <c r="L460" s="22" t="str">
        <f t="shared" si="35"/>
        <v>EXCLUDE</v>
      </c>
      <c r="M460" s="22" t="str">
        <f t="shared" si="36"/>
        <v>Non-English</v>
      </c>
      <c r="N460" s="23"/>
      <c r="O460" s="23"/>
      <c r="P460" s="24"/>
      <c r="Q460" s="24"/>
      <c r="R460" s="24"/>
      <c r="S460" s="22" t="str">
        <f t="shared" si="37"/>
        <v/>
      </c>
      <c r="T460" s="22" t="str">
        <f t="shared" si="38"/>
        <v/>
      </c>
      <c r="U460" s="25"/>
      <c r="V460" s="25"/>
      <c r="W460" s="25"/>
      <c r="X460" s="25"/>
      <c r="Y460" s="22" t="str">
        <f t="shared" si="39"/>
        <v/>
      </c>
      <c r="Z460" s="25"/>
      <c r="AA460" s="25"/>
      <c r="AB460" s="25"/>
      <c r="AC460" s="25"/>
      <c r="AD460" s="25"/>
      <c r="AE460" s="25"/>
      <c r="AF460" s="25"/>
      <c r="AG460" s="9"/>
      <c r="AH460" s="29"/>
      <c r="AI460" s="29"/>
      <c r="AM460" s="50"/>
      <c r="AN460" s="51" t="s">
        <v>3376</v>
      </c>
      <c r="AO460" s="55" t="s">
        <v>912</v>
      </c>
    </row>
    <row r="461" spans="1:41" ht="91.2" customHeight="1" x14ac:dyDescent="0.3">
      <c r="A461" s="20">
        <v>457</v>
      </c>
      <c r="B461" s="8" t="s">
        <v>3377</v>
      </c>
      <c r="C461" s="26">
        <v>2025</v>
      </c>
      <c r="D461" s="8"/>
      <c r="E461" s="8" t="s">
        <v>915</v>
      </c>
      <c r="F461" s="20" t="s">
        <v>1969</v>
      </c>
      <c r="G461" s="21" t="s">
        <v>1979</v>
      </c>
      <c r="H461" s="21" t="s">
        <v>1968</v>
      </c>
      <c r="I461" s="21" t="s">
        <v>1968</v>
      </c>
      <c r="J461" s="21" t="s">
        <v>1968</v>
      </c>
      <c r="K461" s="21" t="s">
        <v>1968</v>
      </c>
      <c r="L461" s="22" t="str">
        <f t="shared" si="35"/>
        <v>EXCLUDE</v>
      </c>
      <c r="M461" s="22" t="str">
        <f t="shared" si="36"/>
        <v>Wrong domain (non-AECO)</v>
      </c>
      <c r="N461" s="23"/>
      <c r="O461" s="23"/>
      <c r="P461" s="24"/>
      <c r="Q461" s="24"/>
      <c r="R461" s="24"/>
      <c r="S461" s="22" t="str">
        <f t="shared" si="37"/>
        <v/>
      </c>
      <c r="T461" s="22" t="str">
        <f t="shared" si="38"/>
        <v/>
      </c>
      <c r="U461" s="25"/>
      <c r="V461" s="25"/>
      <c r="W461" s="25"/>
      <c r="X461" s="25"/>
      <c r="Y461" s="22" t="str">
        <f t="shared" si="39"/>
        <v/>
      </c>
      <c r="Z461" s="25"/>
      <c r="AA461" s="25"/>
      <c r="AB461" s="25"/>
      <c r="AC461" s="25"/>
      <c r="AD461" s="25"/>
      <c r="AE461" s="25"/>
      <c r="AF461" s="25"/>
      <c r="AG461" s="9"/>
      <c r="AH461" s="29"/>
      <c r="AI461" s="29"/>
      <c r="AM461" s="50"/>
      <c r="AN461" s="51" t="s">
        <v>3378</v>
      </c>
      <c r="AO461" s="55" t="s">
        <v>914</v>
      </c>
    </row>
    <row r="462" spans="1:41" ht="34.200000000000003" customHeight="1" x14ac:dyDescent="0.3">
      <c r="A462" s="20">
        <v>458</v>
      </c>
      <c r="B462" s="8" t="s">
        <v>3379</v>
      </c>
      <c r="C462" s="26">
        <v>2026</v>
      </c>
      <c r="D462" s="8"/>
      <c r="E462" s="8" t="s">
        <v>917</v>
      </c>
      <c r="F462" s="20" t="s">
        <v>1969</v>
      </c>
      <c r="G462" s="21" t="s">
        <v>1979</v>
      </c>
      <c r="H462" s="21" t="s">
        <v>1968</v>
      </c>
      <c r="I462" s="21" t="s">
        <v>1968</v>
      </c>
      <c r="J462" s="21" t="s">
        <v>1968</v>
      </c>
      <c r="K462" s="21" t="s">
        <v>1979</v>
      </c>
      <c r="L462" s="22" t="str">
        <f t="shared" si="35"/>
        <v>EXCLUDE</v>
      </c>
      <c r="M462" s="22" t="str">
        <f t="shared" si="36"/>
        <v>Wrong domain (non-AECO)</v>
      </c>
      <c r="N462" s="23"/>
      <c r="O462" s="23"/>
      <c r="P462" s="24"/>
      <c r="Q462" s="24"/>
      <c r="R462" s="24"/>
      <c r="S462" s="22" t="str">
        <f t="shared" si="37"/>
        <v/>
      </c>
      <c r="T462" s="22" t="str">
        <f t="shared" si="38"/>
        <v/>
      </c>
      <c r="U462" s="25"/>
      <c r="V462" s="25"/>
      <c r="W462" s="25"/>
      <c r="X462" s="25"/>
      <c r="Y462" s="22" t="str">
        <f t="shared" si="39"/>
        <v/>
      </c>
      <c r="Z462" s="25"/>
      <c r="AA462" s="25"/>
      <c r="AB462" s="25"/>
      <c r="AC462" s="25"/>
      <c r="AD462" s="25"/>
      <c r="AE462" s="25"/>
      <c r="AF462" s="25"/>
      <c r="AG462" s="9"/>
      <c r="AH462" s="29"/>
      <c r="AI462" s="29"/>
      <c r="AM462" s="50"/>
      <c r="AN462" s="51" t="s">
        <v>3380</v>
      </c>
      <c r="AO462" s="55" t="s">
        <v>916</v>
      </c>
    </row>
    <row r="463" spans="1:41" ht="57" customHeight="1" x14ac:dyDescent="0.3">
      <c r="A463" s="20">
        <v>459</v>
      </c>
      <c r="B463" s="8" t="s">
        <v>3381</v>
      </c>
      <c r="C463" s="26">
        <v>2026</v>
      </c>
      <c r="D463" s="8"/>
      <c r="E463" s="8" t="s">
        <v>919</v>
      </c>
      <c r="F463" s="20" t="s">
        <v>1969</v>
      </c>
      <c r="G463" s="21" t="s">
        <v>1979</v>
      </c>
      <c r="H463" s="21" t="s">
        <v>1968</v>
      </c>
      <c r="I463" s="21" t="s">
        <v>1968</v>
      </c>
      <c r="J463" s="21" t="s">
        <v>1968</v>
      </c>
      <c r="K463" s="21" t="s">
        <v>1968</v>
      </c>
      <c r="L463" s="22" t="str">
        <f t="shared" si="35"/>
        <v>EXCLUDE</v>
      </c>
      <c r="M463" s="22" t="str">
        <f t="shared" si="36"/>
        <v>Wrong domain (non-AECO)</v>
      </c>
      <c r="N463" s="23"/>
      <c r="O463" s="23"/>
      <c r="P463" s="24"/>
      <c r="Q463" s="24"/>
      <c r="R463" s="24"/>
      <c r="S463" s="22" t="str">
        <f t="shared" si="37"/>
        <v/>
      </c>
      <c r="T463" s="22" t="str">
        <f t="shared" si="38"/>
        <v/>
      </c>
      <c r="U463" s="25"/>
      <c r="V463" s="25"/>
      <c r="W463" s="25"/>
      <c r="X463" s="25"/>
      <c r="Y463" s="22" t="str">
        <f t="shared" si="39"/>
        <v/>
      </c>
      <c r="Z463" s="25"/>
      <c r="AA463" s="25"/>
      <c r="AB463" s="25"/>
      <c r="AC463" s="25"/>
      <c r="AD463" s="25"/>
      <c r="AE463" s="25"/>
      <c r="AF463" s="25"/>
      <c r="AG463" s="9"/>
      <c r="AH463" s="29"/>
      <c r="AI463" s="29"/>
      <c r="AM463" s="50"/>
      <c r="AN463" s="51" t="s">
        <v>3382</v>
      </c>
      <c r="AO463" s="55" t="s">
        <v>918</v>
      </c>
    </row>
    <row r="464" spans="1:41" ht="102.6" customHeight="1" x14ac:dyDescent="0.3">
      <c r="A464" s="20">
        <v>460</v>
      </c>
      <c r="B464" s="8" t="s">
        <v>2497</v>
      </c>
      <c r="C464" s="26">
        <v>2025</v>
      </c>
      <c r="D464" s="8"/>
      <c r="E464" s="8" t="s">
        <v>921</v>
      </c>
      <c r="F464" s="20" t="s">
        <v>1969</v>
      </c>
      <c r="G464" s="21" t="s">
        <v>1968</v>
      </c>
      <c r="H464" s="21" t="s">
        <v>1968</v>
      </c>
      <c r="I464" s="21" t="s">
        <v>1968</v>
      </c>
      <c r="J464" s="21" t="s">
        <v>1968</v>
      </c>
      <c r="K464" s="21" t="s">
        <v>1968</v>
      </c>
      <c r="L464" s="22" t="str">
        <f t="shared" si="35"/>
        <v>INCLUDE</v>
      </c>
      <c r="M464" s="22" t="str">
        <f t="shared" si="36"/>
        <v/>
      </c>
      <c r="N464" s="23" t="s">
        <v>1968</v>
      </c>
      <c r="O464" s="23" t="s">
        <v>1968</v>
      </c>
      <c r="P464" s="24" t="s">
        <v>1968</v>
      </c>
      <c r="Q464" s="24" t="s">
        <v>1968</v>
      </c>
      <c r="R464" s="24" t="s">
        <v>1968</v>
      </c>
      <c r="S464" s="22" t="str">
        <f t="shared" si="37"/>
        <v>INCLUDE</v>
      </c>
      <c r="T464" s="22" t="str">
        <f t="shared" si="38"/>
        <v/>
      </c>
      <c r="U464" s="25" t="s">
        <v>1982</v>
      </c>
      <c r="V464" s="25">
        <v>0</v>
      </c>
      <c r="W464" s="25">
        <v>0</v>
      </c>
      <c r="X464" s="25">
        <v>1</v>
      </c>
      <c r="Y464" s="22" t="str">
        <f t="shared" si="39"/>
        <v>Single</v>
      </c>
      <c r="Z464" s="25" t="s">
        <v>1922</v>
      </c>
      <c r="AA464" s="25" t="s">
        <v>1972</v>
      </c>
      <c r="AB464" s="25" t="s">
        <v>1994</v>
      </c>
      <c r="AC464" s="25" t="s">
        <v>1986</v>
      </c>
      <c r="AD464" s="25" t="s">
        <v>2003</v>
      </c>
      <c r="AE464" s="25">
        <v>4</v>
      </c>
      <c r="AF464" s="25" t="s">
        <v>2010</v>
      </c>
      <c r="AG464" s="9" t="s">
        <v>3383</v>
      </c>
      <c r="AH464" s="29" t="s">
        <v>3384</v>
      </c>
      <c r="AI464" s="29" t="s">
        <v>3385</v>
      </c>
      <c r="AJ464" t="s">
        <v>2005</v>
      </c>
      <c r="AK464" t="s">
        <v>3386</v>
      </c>
      <c r="AL464" t="s">
        <v>1990</v>
      </c>
      <c r="AM464" s="50"/>
      <c r="AN464" s="51" t="s">
        <v>3387</v>
      </c>
      <c r="AO464" s="55" t="s">
        <v>920</v>
      </c>
    </row>
    <row r="465" spans="1:41" ht="91.2" customHeight="1" x14ac:dyDescent="0.3">
      <c r="A465" s="20">
        <v>461</v>
      </c>
      <c r="B465" s="8" t="s">
        <v>3388</v>
      </c>
      <c r="C465" s="26">
        <v>2026</v>
      </c>
      <c r="D465" s="8"/>
      <c r="E465" s="8" t="s">
        <v>923</v>
      </c>
      <c r="F465" s="20" t="s">
        <v>1969</v>
      </c>
      <c r="G465" s="21" t="s">
        <v>1968</v>
      </c>
      <c r="H465" s="21" t="s">
        <v>1968</v>
      </c>
      <c r="I465" s="21" t="s">
        <v>1968</v>
      </c>
      <c r="J465" s="21" t="s">
        <v>1968</v>
      </c>
      <c r="K465" s="21" t="s">
        <v>1968</v>
      </c>
      <c r="L465" s="22" t="str">
        <f t="shared" si="35"/>
        <v>INCLUDE</v>
      </c>
      <c r="M465" s="22" t="str">
        <f t="shared" si="36"/>
        <v/>
      </c>
      <c r="N465" s="23" t="s">
        <v>1968</v>
      </c>
      <c r="O465" s="23" t="s">
        <v>1968</v>
      </c>
      <c r="P465" s="24" t="s">
        <v>1968</v>
      </c>
      <c r="Q465" s="24" t="s">
        <v>1968</v>
      </c>
      <c r="R465" s="24" t="s">
        <v>1968</v>
      </c>
      <c r="S465" s="22" t="str">
        <f t="shared" si="37"/>
        <v>INCLUDE</v>
      </c>
      <c r="T465" s="22" t="str">
        <f t="shared" si="38"/>
        <v/>
      </c>
      <c r="U465" s="25" t="s">
        <v>1971</v>
      </c>
      <c r="V465" s="25">
        <v>0</v>
      </c>
      <c r="W465" s="25">
        <v>0</v>
      </c>
      <c r="X465" s="25">
        <v>1</v>
      </c>
      <c r="Y465" s="22" t="str">
        <f t="shared" si="39"/>
        <v>Single</v>
      </c>
      <c r="Z465" s="25" t="s">
        <v>1922</v>
      </c>
      <c r="AA465" s="25" t="s">
        <v>1972</v>
      </c>
      <c r="AB465" s="25" t="s">
        <v>1973</v>
      </c>
      <c r="AC465" s="25" t="s">
        <v>1986</v>
      </c>
      <c r="AD465" s="25" t="s">
        <v>1987</v>
      </c>
      <c r="AE465" s="25">
        <v>4</v>
      </c>
      <c r="AF465" s="25" t="s">
        <v>2010</v>
      </c>
      <c r="AG465" s="9" t="s">
        <v>3389</v>
      </c>
      <c r="AH465" s="29" t="s">
        <v>3390</v>
      </c>
      <c r="AI465" s="29" t="s">
        <v>3391</v>
      </c>
      <c r="AJ465" t="s">
        <v>2005</v>
      </c>
      <c r="AK465" t="s">
        <v>3392</v>
      </c>
      <c r="AL465" t="s">
        <v>1990</v>
      </c>
      <c r="AM465" s="50"/>
      <c r="AN465" s="51" t="s">
        <v>3393</v>
      </c>
      <c r="AO465" s="55" t="s">
        <v>922</v>
      </c>
    </row>
    <row r="466" spans="1:41" ht="68.400000000000006" customHeight="1" x14ac:dyDescent="0.3">
      <c r="A466" s="20">
        <v>462</v>
      </c>
      <c r="B466" s="8" t="s">
        <v>3394</v>
      </c>
      <c r="C466" s="26">
        <v>2026</v>
      </c>
      <c r="D466" s="8"/>
      <c r="E466" s="8" t="s">
        <v>925</v>
      </c>
      <c r="F466" s="20" t="s">
        <v>1969</v>
      </c>
      <c r="G466" s="21" t="s">
        <v>1979</v>
      </c>
      <c r="H466" s="21" t="s">
        <v>1968</v>
      </c>
      <c r="I466" s="21" t="s">
        <v>1968</v>
      </c>
      <c r="J466" s="21" t="s">
        <v>1968</v>
      </c>
      <c r="K466" s="21" t="s">
        <v>1968</v>
      </c>
      <c r="L466" s="22" t="str">
        <f t="shared" si="35"/>
        <v>EXCLUDE</v>
      </c>
      <c r="M466" s="22" t="str">
        <f t="shared" si="36"/>
        <v>Wrong domain (non-AECO)</v>
      </c>
      <c r="N466" s="23"/>
      <c r="O466" s="23"/>
      <c r="P466" s="24"/>
      <c r="Q466" s="24"/>
      <c r="R466" s="24"/>
      <c r="S466" s="22" t="str">
        <f t="shared" si="37"/>
        <v/>
      </c>
      <c r="T466" s="22" t="str">
        <f t="shared" si="38"/>
        <v/>
      </c>
      <c r="U466" s="25"/>
      <c r="V466" s="25"/>
      <c r="W466" s="25"/>
      <c r="X466" s="25"/>
      <c r="Y466" s="22" t="str">
        <f t="shared" si="39"/>
        <v/>
      </c>
      <c r="Z466" s="25"/>
      <c r="AA466" s="25"/>
      <c r="AB466" s="25"/>
      <c r="AC466" s="25"/>
      <c r="AD466" s="25"/>
      <c r="AE466" s="25"/>
      <c r="AF466" s="25"/>
      <c r="AG466" s="9"/>
      <c r="AH466" s="29"/>
      <c r="AI466" s="29"/>
      <c r="AM466" s="50"/>
      <c r="AN466" s="51" t="s">
        <v>3395</v>
      </c>
      <c r="AO466" s="55" t="s">
        <v>924</v>
      </c>
    </row>
    <row r="467" spans="1:41" ht="91.2" customHeight="1" x14ac:dyDescent="0.3">
      <c r="A467" s="20">
        <v>463</v>
      </c>
      <c r="B467" s="8" t="s">
        <v>3396</v>
      </c>
      <c r="C467" s="26">
        <v>2026</v>
      </c>
      <c r="D467" s="8"/>
      <c r="E467" s="8" t="s">
        <v>927</v>
      </c>
      <c r="F467" s="20" t="s">
        <v>1969</v>
      </c>
      <c r="G467" s="21" t="s">
        <v>1968</v>
      </c>
      <c r="H467" s="21" t="s">
        <v>1968</v>
      </c>
      <c r="I467" s="21" t="s">
        <v>1968</v>
      </c>
      <c r="J467" s="21" t="s">
        <v>1968</v>
      </c>
      <c r="K467" s="21" t="s">
        <v>1968</v>
      </c>
      <c r="L467" s="22" t="str">
        <f t="shared" si="35"/>
        <v>INCLUDE</v>
      </c>
      <c r="M467" s="22" t="str">
        <f t="shared" si="36"/>
        <v/>
      </c>
      <c r="N467" s="23" t="s">
        <v>1968</v>
      </c>
      <c r="O467" s="23" t="s">
        <v>1968</v>
      </c>
      <c r="P467" s="24" t="s">
        <v>1968</v>
      </c>
      <c r="Q467" s="24" t="s">
        <v>1968</v>
      </c>
      <c r="R467" s="24" t="s">
        <v>1968</v>
      </c>
      <c r="S467" s="22" t="str">
        <f t="shared" si="37"/>
        <v>INCLUDE</v>
      </c>
      <c r="T467" s="22" t="str">
        <f t="shared" si="38"/>
        <v/>
      </c>
      <c r="U467" s="25" t="s">
        <v>1971</v>
      </c>
      <c r="V467" s="25">
        <v>0</v>
      </c>
      <c r="W467" s="25">
        <v>0</v>
      </c>
      <c r="X467" s="25">
        <v>1</v>
      </c>
      <c r="Y467" s="22" t="str">
        <f t="shared" si="39"/>
        <v>Single</v>
      </c>
      <c r="Z467" s="25" t="s">
        <v>1922</v>
      </c>
      <c r="AA467" s="25" t="s">
        <v>1972</v>
      </c>
      <c r="AB467" s="25" t="s">
        <v>1973</v>
      </c>
      <c r="AC467" s="25" t="s">
        <v>1974</v>
      </c>
      <c r="AD467" s="25" t="s">
        <v>1987</v>
      </c>
      <c r="AE467" s="25">
        <v>4</v>
      </c>
      <c r="AF467" s="25" t="s">
        <v>2004</v>
      </c>
      <c r="AG467" s="9" t="s">
        <v>3397</v>
      </c>
      <c r="AH467" s="29" t="s">
        <v>3398</v>
      </c>
      <c r="AI467" s="29" t="s">
        <v>3399</v>
      </c>
      <c r="AJ467" t="s">
        <v>1977</v>
      </c>
      <c r="AK467" t="s">
        <v>3400</v>
      </c>
      <c r="AL467" t="s">
        <v>1978</v>
      </c>
      <c r="AM467" s="50"/>
      <c r="AN467" s="51" t="s">
        <v>3401</v>
      </c>
      <c r="AO467" s="55" t="s">
        <v>926</v>
      </c>
    </row>
    <row r="468" spans="1:41" ht="57" customHeight="1" x14ac:dyDescent="0.3">
      <c r="A468" s="20">
        <v>464</v>
      </c>
      <c r="B468" s="8" t="s">
        <v>3402</v>
      </c>
      <c r="C468" s="26">
        <v>2025</v>
      </c>
      <c r="D468" s="8"/>
      <c r="E468" s="8" t="s">
        <v>929</v>
      </c>
      <c r="F468" s="20" t="s">
        <v>1969</v>
      </c>
      <c r="G468" s="21" t="s">
        <v>1968</v>
      </c>
      <c r="H468" s="21" t="s">
        <v>1968</v>
      </c>
      <c r="I468" s="21" t="s">
        <v>1968</v>
      </c>
      <c r="J468" s="21" t="s">
        <v>1968</v>
      </c>
      <c r="K468" s="21" t="s">
        <v>1968</v>
      </c>
      <c r="L468" s="22" t="str">
        <f t="shared" si="35"/>
        <v>INCLUDE</v>
      </c>
      <c r="M468" s="22" t="str">
        <f t="shared" si="36"/>
        <v/>
      </c>
      <c r="N468" s="23" t="s">
        <v>1968</v>
      </c>
      <c r="O468" s="23" t="s">
        <v>1968</v>
      </c>
      <c r="P468" s="24" t="s">
        <v>1968</v>
      </c>
      <c r="Q468" s="24" t="s">
        <v>1968</v>
      </c>
      <c r="R468" s="24" t="s">
        <v>1968</v>
      </c>
      <c r="S468" s="22" t="str">
        <f t="shared" si="37"/>
        <v>INCLUDE</v>
      </c>
      <c r="T468" s="22" t="str">
        <f t="shared" si="38"/>
        <v/>
      </c>
      <c r="U468" s="25" t="s">
        <v>1992</v>
      </c>
      <c r="V468" s="25">
        <v>0</v>
      </c>
      <c r="W468" s="25">
        <v>1</v>
      </c>
      <c r="X468" s="25">
        <v>0</v>
      </c>
      <c r="Y468" s="22" t="str">
        <f t="shared" si="39"/>
        <v>Single</v>
      </c>
      <c r="Z468" s="25" t="s">
        <v>1922</v>
      </c>
      <c r="AA468" s="25" t="s">
        <v>1972</v>
      </c>
      <c r="AB468" s="25" t="s">
        <v>2014</v>
      </c>
      <c r="AC468" s="25" t="s">
        <v>1986</v>
      </c>
      <c r="AD468" s="25" t="s">
        <v>2003</v>
      </c>
      <c r="AE468" s="25">
        <v>3</v>
      </c>
      <c r="AF468" s="25" t="s">
        <v>2010</v>
      </c>
      <c r="AG468" s="9" t="s">
        <v>3403</v>
      </c>
      <c r="AH468" s="29" t="s">
        <v>3404</v>
      </c>
      <c r="AI468" s="29" t="s">
        <v>3405</v>
      </c>
      <c r="AJ468" t="s">
        <v>2005</v>
      </c>
      <c r="AK468" t="s">
        <v>3406</v>
      </c>
      <c r="AL468" t="s">
        <v>1990</v>
      </c>
      <c r="AM468" s="50"/>
      <c r="AN468" s="51" t="s">
        <v>3407</v>
      </c>
      <c r="AO468" s="55" t="s">
        <v>928</v>
      </c>
    </row>
    <row r="469" spans="1:41" ht="91.2" customHeight="1" x14ac:dyDescent="0.3">
      <c r="A469" s="20">
        <v>465</v>
      </c>
      <c r="B469" s="8" t="s">
        <v>3408</v>
      </c>
      <c r="C469" s="26">
        <v>2025</v>
      </c>
      <c r="D469" s="8"/>
      <c r="E469" s="8" t="s">
        <v>931</v>
      </c>
      <c r="F469" s="20" t="s">
        <v>1969</v>
      </c>
      <c r="G469" s="21" t="s">
        <v>1968</v>
      </c>
      <c r="H469" s="21" t="s">
        <v>1968</v>
      </c>
      <c r="I469" s="21" t="s">
        <v>1968</v>
      </c>
      <c r="J469" s="21" t="s">
        <v>1968</v>
      </c>
      <c r="K469" s="21" t="s">
        <v>1968</v>
      </c>
      <c r="L469" s="22" t="str">
        <f t="shared" si="35"/>
        <v>INCLUDE</v>
      </c>
      <c r="M469" s="22" t="str">
        <f t="shared" si="36"/>
        <v/>
      </c>
      <c r="N469" s="23" t="s">
        <v>1968</v>
      </c>
      <c r="O469" s="23" t="s">
        <v>1968</v>
      </c>
      <c r="P469" s="24" t="s">
        <v>1968</v>
      </c>
      <c r="Q469" s="24" t="s">
        <v>1968</v>
      </c>
      <c r="R469" s="24" t="s">
        <v>1968</v>
      </c>
      <c r="S469" s="22" t="str">
        <f t="shared" si="37"/>
        <v>INCLUDE</v>
      </c>
      <c r="T469" s="22" t="str">
        <f t="shared" si="38"/>
        <v/>
      </c>
      <c r="U469" s="25" t="s">
        <v>1982</v>
      </c>
      <c r="V469" s="25">
        <v>0</v>
      </c>
      <c r="W469" s="25">
        <v>0</v>
      </c>
      <c r="X469" s="25">
        <v>1</v>
      </c>
      <c r="Y469" s="22" t="str">
        <f t="shared" si="39"/>
        <v>Single</v>
      </c>
      <c r="Z469" s="25" t="s">
        <v>1922</v>
      </c>
      <c r="AA469" s="25" t="s">
        <v>1972</v>
      </c>
      <c r="AB469" s="25" t="s">
        <v>1994</v>
      </c>
      <c r="AC469" s="25" t="s">
        <v>1986</v>
      </c>
      <c r="AD469" s="25" t="s">
        <v>2003</v>
      </c>
      <c r="AE469" s="25">
        <v>4</v>
      </c>
      <c r="AF469" s="25" t="s">
        <v>2004</v>
      </c>
      <c r="AG469" s="9" t="s">
        <v>3409</v>
      </c>
      <c r="AH469" s="29" t="s">
        <v>3410</v>
      </c>
      <c r="AI469" s="29" t="s">
        <v>3411</v>
      </c>
      <c r="AJ469" t="s">
        <v>1997</v>
      </c>
      <c r="AK469" t="s">
        <v>3412</v>
      </c>
      <c r="AL469" t="s">
        <v>1990</v>
      </c>
      <c r="AM469" s="50"/>
      <c r="AN469" s="51" t="s">
        <v>3413</v>
      </c>
      <c r="AO469" s="55" t="s">
        <v>930</v>
      </c>
    </row>
    <row r="470" spans="1:41" ht="68.400000000000006" customHeight="1" x14ac:dyDescent="0.3">
      <c r="A470" s="20">
        <v>466</v>
      </c>
      <c r="B470" s="8" t="s">
        <v>3414</v>
      </c>
      <c r="C470" s="26">
        <v>2026</v>
      </c>
      <c r="D470" s="8"/>
      <c r="E470" s="8" t="s">
        <v>933</v>
      </c>
      <c r="F470" s="20" t="s">
        <v>1969</v>
      </c>
      <c r="G470" s="21" t="s">
        <v>1979</v>
      </c>
      <c r="H470" s="21" t="s">
        <v>1968</v>
      </c>
      <c r="I470" s="21" t="s">
        <v>1968</v>
      </c>
      <c r="J470" s="21" t="s">
        <v>1968</v>
      </c>
      <c r="K470" s="21" t="s">
        <v>1968</v>
      </c>
      <c r="L470" s="22" t="str">
        <f t="shared" si="35"/>
        <v>EXCLUDE</v>
      </c>
      <c r="M470" s="22" t="str">
        <f t="shared" si="36"/>
        <v>Wrong domain (non-AECO)</v>
      </c>
      <c r="N470" s="23"/>
      <c r="O470" s="23"/>
      <c r="P470" s="24"/>
      <c r="Q470" s="24"/>
      <c r="R470" s="24"/>
      <c r="S470" s="22" t="str">
        <f t="shared" si="37"/>
        <v/>
      </c>
      <c r="T470" s="22" t="str">
        <f t="shared" si="38"/>
        <v/>
      </c>
      <c r="U470" s="25"/>
      <c r="V470" s="25"/>
      <c r="W470" s="25"/>
      <c r="X470" s="25"/>
      <c r="Y470" s="22" t="str">
        <f t="shared" si="39"/>
        <v/>
      </c>
      <c r="Z470" s="25"/>
      <c r="AA470" s="25"/>
      <c r="AB470" s="25"/>
      <c r="AC470" s="25"/>
      <c r="AD470" s="25"/>
      <c r="AE470" s="25"/>
      <c r="AF470" s="25"/>
      <c r="AG470" s="9"/>
      <c r="AH470" s="29"/>
      <c r="AI470" s="29"/>
      <c r="AM470" s="50"/>
      <c r="AN470" s="51" t="s">
        <v>3415</v>
      </c>
      <c r="AO470" s="55" t="s">
        <v>932</v>
      </c>
    </row>
    <row r="471" spans="1:41" ht="136.80000000000001" customHeight="1" x14ac:dyDescent="0.3">
      <c r="A471" s="20">
        <v>467</v>
      </c>
      <c r="B471" s="8" t="s">
        <v>3416</v>
      </c>
      <c r="C471" s="26">
        <v>2026</v>
      </c>
      <c r="D471" s="8"/>
      <c r="E471" s="8" t="s">
        <v>935</v>
      </c>
      <c r="F471" s="20" t="s">
        <v>1969</v>
      </c>
      <c r="G471" s="21" t="s">
        <v>1968</v>
      </c>
      <c r="H471" s="21" t="s">
        <v>1979</v>
      </c>
      <c r="I471" s="21" t="s">
        <v>1968</v>
      </c>
      <c r="J471" s="21" t="s">
        <v>1968</v>
      </c>
      <c r="K471" s="21" t="s">
        <v>1968</v>
      </c>
      <c r="L471" s="22" t="str">
        <f t="shared" si="35"/>
        <v>EXCLUDE</v>
      </c>
      <c r="M471" s="22" t="str">
        <f t="shared" si="36"/>
        <v>Digital Twin not core / buzzword</v>
      </c>
      <c r="N471" s="23"/>
      <c r="O471" s="23"/>
      <c r="P471" s="24"/>
      <c r="Q471" s="24"/>
      <c r="R471" s="24"/>
      <c r="S471" s="22" t="str">
        <f t="shared" si="37"/>
        <v/>
      </c>
      <c r="T471" s="22" t="str">
        <f t="shared" si="38"/>
        <v/>
      </c>
      <c r="U471" s="25"/>
      <c r="V471" s="25"/>
      <c r="W471" s="25"/>
      <c r="X471" s="25"/>
      <c r="Y471" s="22" t="str">
        <f t="shared" si="39"/>
        <v/>
      </c>
      <c r="Z471" s="25"/>
      <c r="AA471" s="25"/>
      <c r="AB471" s="25"/>
      <c r="AC471" s="25"/>
      <c r="AD471" s="25"/>
      <c r="AE471" s="25"/>
      <c r="AF471" s="25"/>
      <c r="AG471" s="9"/>
      <c r="AH471" s="29"/>
      <c r="AI471" s="29"/>
      <c r="AM471" s="50"/>
      <c r="AN471" s="51" t="s">
        <v>3417</v>
      </c>
      <c r="AO471" s="55" t="s">
        <v>934</v>
      </c>
    </row>
    <row r="472" spans="1:41" ht="102.6" customHeight="1" x14ac:dyDescent="0.3">
      <c r="A472" s="20">
        <v>468</v>
      </c>
      <c r="B472" s="8" t="s">
        <v>3418</v>
      </c>
      <c r="C472" s="26">
        <v>2025</v>
      </c>
      <c r="D472" s="8"/>
      <c r="E472" s="8" t="s">
        <v>937</v>
      </c>
      <c r="F472" s="20" t="s">
        <v>1969</v>
      </c>
      <c r="G472" s="21" t="s">
        <v>1968</v>
      </c>
      <c r="H472" s="21" t="s">
        <v>1968</v>
      </c>
      <c r="I472" s="21" t="s">
        <v>1968</v>
      </c>
      <c r="J472" s="21" t="s">
        <v>1968</v>
      </c>
      <c r="K472" s="21" t="s">
        <v>1968</v>
      </c>
      <c r="L472" s="22" t="str">
        <f t="shared" si="35"/>
        <v>INCLUDE</v>
      </c>
      <c r="M472" s="22" t="str">
        <f t="shared" si="36"/>
        <v/>
      </c>
      <c r="N472" s="23" t="s">
        <v>1968</v>
      </c>
      <c r="O472" s="23" t="s">
        <v>1968</v>
      </c>
      <c r="P472" s="24" t="s">
        <v>1968</v>
      </c>
      <c r="Q472" s="24" t="s">
        <v>1968</v>
      </c>
      <c r="R472" s="24" t="s">
        <v>1968</v>
      </c>
      <c r="S472" s="22" t="str">
        <f t="shared" si="37"/>
        <v>INCLUDE</v>
      </c>
      <c r="T472" s="22" t="str">
        <f t="shared" si="38"/>
        <v/>
      </c>
      <c r="U472" s="25" t="s">
        <v>1982</v>
      </c>
      <c r="V472" s="25">
        <v>0</v>
      </c>
      <c r="W472" s="25">
        <v>1</v>
      </c>
      <c r="X472" s="25">
        <v>0</v>
      </c>
      <c r="Y472" s="22" t="str">
        <f t="shared" si="39"/>
        <v>Single</v>
      </c>
      <c r="Z472" s="25" t="s">
        <v>1922</v>
      </c>
      <c r="AA472" s="25" t="s">
        <v>1972</v>
      </c>
      <c r="AB472" s="25" t="s">
        <v>2002</v>
      </c>
      <c r="AC472" s="25" t="s">
        <v>1986</v>
      </c>
      <c r="AD472" s="25" t="s">
        <v>2003</v>
      </c>
      <c r="AE472" s="25">
        <v>4</v>
      </c>
      <c r="AF472" s="25" t="s">
        <v>2010</v>
      </c>
      <c r="AG472" s="9" t="s">
        <v>3419</v>
      </c>
      <c r="AH472" s="29" t="s">
        <v>3420</v>
      </c>
      <c r="AI472" s="29" t="s">
        <v>3421</v>
      </c>
      <c r="AJ472" t="s">
        <v>2005</v>
      </c>
      <c r="AK472" t="s">
        <v>3422</v>
      </c>
      <c r="AL472" t="s">
        <v>1978</v>
      </c>
      <c r="AM472" s="50"/>
      <c r="AN472" s="51" t="s">
        <v>3423</v>
      </c>
      <c r="AO472" s="55" t="s">
        <v>936</v>
      </c>
    </row>
    <row r="473" spans="1:41" ht="57" customHeight="1" x14ac:dyDescent="0.3">
      <c r="A473" s="20">
        <v>469</v>
      </c>
      <c r="B473" s="8" t="s">
        <v>3424</v>
      </c>
      <c r="C473" s="26">
        <v>2025</v>
      </c>
      <c r="D473" s="8"/>
      <c r="E473" s="8" t="s">
        <v>939</v>
      </c>
      <c r="F473" s="20" t="s">
        <v>1969</v>
      </c>
      <c r="G473" s="21" t="s">
        <v>1968</v>
      </c>
      <c r="H473" s="21" t="s">
        <v>1968</v>
      </c>
      <c r="I473" s="21" t="s">
        <v>1979</v>
      </c>
      <c r="J473" s="21" t="s">
        <v>1968</v>
      </c>
      <c r="K473" s="21" t="s">
        <v>1968</v>
      </c>
      <c r="L473" s="22" t="str">
        <f t="shared" si="35"/>
        <v>EXCLUDE</v>
      </c>
      <c r="M473" s="22" t="str">
        <f t="shared" si="36"/>
        <v>No Design for Safety / PtD focus</v>
      </c>
      <c r="N473" s="23"/>
      <c r="O473" s="23"/>
      <c r="P473" s="24"/>
      <c r="Q473" s="24"/>
      <c r="R473" s="24"/>
      <c r="S473" s="22" t="str">
        <f t="shared" si="37"/>
        <v/>
      </c>
      <c r="T473" s="22" t="str">
        <f t="shared" si="38"/>
        <v/>
      </c>
      <c r="U473" s="25"/>
      <c r="V473" s="25"/>
      <c r="W473" s="25"/>
      <c r="X473" s="25"/>
      <c r="Y473" s="22" t="str">
        <f t="shared" si="39"/>
        <v/>
      </c>
      <c r="Z473" s="25"/>
      <c r="AA473" s="25"/>
      <c r="AB473" s="25"/>
      <c r="AC473" s="25"/>
      <c r="AD473" s="25"/>
      <c r="AE473" s="25"/>
      <c r="AF473" s="25"/>
      <c r="AG473" s="9"/>
      <c r="AH473" s="29"/>
      <c r="AI473" s="29"/>
      <c r="AM473" s="50"/>
      <c r="AN473" s="51" t="s">
        <v>3425</v>
      </c>
      <c r="AO473" s="55" t="s">
        <v>938</v>
      </c>
    </row>
    <row r="474" spans="1:41" ht="57" customHeight="1" x14ac:dyDescent="0.3">
      <c r="A474" s="20">
        <v>470</v>
      </c>
      <c r="B474" s="8" t="s">
        <v>3426</v>
      </c>
      <c r="C474" s="26">
        <v>2025</v>
      </c>
      <c r="D474" s="8"/>
      <c r="E474" s="8" t="s">
        <v>941</v>
      </c>
      <c r="F474" s="20" t="s">
        <v>1969</v>
      </c>
      <c r="G474" s="21" t="s">
        <v>1979</v>
      </c>
      <c r="H474" s="21" t="s">
        <v>1968</v>
      </c>
      <c r="I474" s="21" t="s">
        <v>1968</v>
      </c>
      <c r="J474" s="21" t="s">
        <v>1968</v>
      </c>
      <c r="K474" s="21" t="s">
        <v>1968</v>
      </c>
      <c r="L474" s="22" t="str">
        <f t="shared" si="35"/>
        <v>EXCLUDE</v>
      </c>
      <c r="M474" s="22" t="str">
        <f t="shared" si="36"/>
        <v>Wrong domain (non-AECO)</v>
      </c>
      <c r="N474" s="23"/>
      <c r="O474" s="23"/>
      <c r="P474" s="24"/>
      <c r="Q474" s="24"/>
      <c r="R474" s="24"/>
      <c r="S474" s="22" t="str">
        <f t="shared" si="37"/>
        <v/>
      </c>
      <c r="T474" s="22" t="str">
        <f t="shared" si="38"/>
        <v/>
      </c>
      <c r="U474" s="25"/>
      <c r="V474" s="25"/>
      <c r="W474" s="25"/>
      <c r="X474" s="25"/>
      <c r="Y474" s="22" t="str">
        <f t="shared" si="39"/>
        <v/>
      </c>
      <c r="Z474" s="25"/>
      <c r="AA474" s="25"/>
      <c r="AB474" s="25"/>
      <c r="AC474" s="25"/>
      <c r="AD474" s="25"/>
      <c r="AE474" s="25"/>
      <c r="AF474" s="25"/>
      <c r="AG474" s="9"/>
      <c r="AH474" s="29"/>
      <c r="AI474" s="29"/>
      <c r="AM474" s="50"/>
      <c r="AN474" s="51" t="s">
        <v>3427</v>
      </c>
      <c r="AO474" s="55" t="s">
        <v>940</v>
      </c>
    </row>
    <row r="475" spans="1:41" ht="68.400000000000006" customHeight="1" x14ac:dyDescent="0.3">
      <c r="A475" s="20">
        <v>471</v>
      </c>
      <c r="B475" s="8" t="s">
        <v>3428</v>
      </c>
      <c r="C475" s="26">
        <v>2026</v>
      </c>
      <c r="D475" s="8"/>
      <c r="E475" s="8" t="s">
        <v>943</v>
      </c>
      <c r="F475" s="20" t="s">
        <v>1969</v>
      </c>
      <c r="G475" s="21" t="s">
        <v>1979</v>
      </c>
      <c r="H475" s="21" t="s">
        <v>1968</v>
      </c>
      <c r="I475" s="21" t="s">
        <v>1968</v>
      </c>
      <c r="J475" s="21" t="s">
        <v>1968</v>
      </c>
      <c r="K475" s="21" t="s">
        <v>1979</v>
      </c>
      <c r="L475" s="22" t="str">
        <f t="shared" si="35"/>
        <v>EXCLUDE</v>
      </c>
      <c r="M475" s="22" t="str">
        <f t="shared" si="36"/>
        <v>Wrong domain (non-AECO)</v>
      </c>
      <c r="N475" s="23"/>
      <c r="O475" s="23"/>
      <c r="P475" s="24"/>
      <c r="Q475" s="24"/>
      <c r="R475" s="24"/>
      <c r="S475" s="22" t="str">
        <f t="shared" si="37"/>
        <v/>
      </c>
      <c r="T475" s="22" t="str">
        <f t="shared" si="38"/>
        <v/>
      </c>
      <c r="U475" s="25"/>
      <c r="V475" s="25"/>
      <c r="W475" s="25"/>
      <c r="X475" s="25"/>
      <c r="Y475" s="22" t="str">
        <f t="shared" si="39"/>
        <v/>
      </c>
      <c r="Z475" s="25"/>
      <c r="AA475" s="25"/>
      <c r="AB475" s="25"/>
      <c r="AC475" s="25"/>
      <c r="AD475" s="25"/>
      <c r="AE475" s="25"/>
      <c r="AF475" s="25"/>
      <c r="AG475" s="9"/>
      <c r="AH475" s="29"/>
      <c r="AI475" s="29"/>
      <c r="AM475" s="50"/>
      <c r="AN475" s="51" t="s">
        <v>3429</v>
      </c>
      <c r="AO475" s="55" t="s">
        <v>942</v>
      </c>
    </row>
    <row r="476" spans="1:41" ht="57" customHeight="1" x14ac:dyDescent="0.3">
      <c r="A476" s="20">
        <v>472</v>
      </c>
      <c r="B476" s="8" t="s">
        <v>3430</v>
      </c>
      <c r="C476" s="26">
        <v>2026</v>
      </c>
      <c r="D476" s="8"/>
      <c r="E476" s="8" t="s">
        <v>945</v>
      </c>
      <c r="F476" s="20" t="s">
        <v>1969</v>
      </c>
      <c r="G476" s="21" t="s">
        <v>1979</v>
      </c>
      <c r="H476" s="21" t="s">
        <v>1968</v>
      </c>
      <c r="I476" s="21" t="s">
        <v>1968</v>
      </c>
      <c r="J476" s="21" t="s">
        <v>1968</v>
      </c>
      <c r="K476" s="21" t="s">
        <v>1968</v>
      </c>
      <c r="L476" s="22" t="str">
        <f t="shared" si="35"/>
        <v>EXCLUDE</v>
      </c>
      <c r="M476" s="22" t="str">
        <f t="shared" si="36"/>
        <v>Wrong domain (non-AECO)</v>
      </c>
      <c r="N476" s="23"/>
      <c r="O476" s="23"/>
      <c r="P476" s="24"/>
      <c r="Q476" s="24"/>
      <c r="R476" s="24"/>
      <c r="S476" s="22" t="str">
        <f t="shared" si="37"/>
        <v/>
      </c>
      <c r="T476" s="22" t="str">
        <f t="shared" si="38"/>
        <v/>
      </c>
      <c r="U476" s="25"/>
      <c r="V476" s="25"/>
      <c r="W476" s="25"/>
      <c r="X476" s="25"/>
      <c r="Y476" s="22" t="str">
        <f t="shared" si="39"/>
        <v/>
      </c>
      <c r="Z476" s="25"/>
      <c r="AA476" s="25"/>
      <c r="AB476" s="25"/>
      <c r="AC476" s="25"/>
      <c r="AD476" s="25"/>
      <c r="AE476" s="25"/>
      <c r="AF476" s="25"/>
      <c r="AG476" s="9"/>
      <c r="AH476" s="29"/>
      <c r="AI476" s="29"/>
      <c r="AM476" s="50"/>
      <c r="AN476" s="51" t="s">
        <v>3431</v>
      </c>
      <c r="AO476" s="55" t="s">
        <v>944</v>
      </c>
    </row>
    <row r="477" spans="1:41" ht="68.400000000000006" customHeight="1" x14ac:dyDescent="0.3">
      <c r="A477" s="20">
        <v>473</v>
      </c>
      <c r="B477" s="8" t="s">
        <v>2752</v>
      </c>
      <c r="C477" s="26">
        <v>2025</v>
      </c>
      <c r="D477" s="8"/>
      <c r="E477" s="8" t="s">
        <v>947</v>
      </c>
      <c r="F477" s="20" t="s">
        <v>1969</v>
      </c>
      <c r="G477" s="21" t="s">
        <v>1968</v>
      </c>
      <c r="H477" s="21" t="s">
        <v>1979</v>
      </c>
      <c r="I477" s="21" t="s">
        <v>1968</v>
      </c>
      <c r="J477" s="21" t="s">
        <v>1968</v>
      </c>
      <c r="K477" s="21" t="s">
        <v>1968</v>
      </c>
      <c r="L477" s="22" t="str">
        <f t="shared" si="35"/>
        <v>EXCLUDE</v>
      </c>
      <c r="M477" s="22" t="str">
        <f t="shared" si="36"/>
        <v>Digital Twin not core / buzzword</v>
      </c>
      <c r="N477" s="23"/>
      <c r="O477" s="23"/>
      <c r="P477" s="24"/>
      <c r="Q477" s="24"/>
      <c r="R477" s="24"/>
      <c r="S477" s="22" t="str">
        <f t="shared" si="37"/>
        <v/>
      </c>
      <c r="T477" s="22" t="str">
        <f t="shared" si="38"/>
        <v/>
      </c>
      <c r="U477" s="25"/>
      <c r="V477" s="25"/>
      <c r="W477" s="25"/>
      <c r="X477" s="25"/>
      <c r="Y477" s="22" t="str">
        <f t="shared" si="39"/>
        <v/>
      </c>
      <c r="Z477" s="25"/>
      <c r="AA477" s="25"/>
      <c r="AB477" s="25"/>
      <c r="AC477" s="25"/>
      <c r="AD477" s="25"/>
      <c r="AE477" s="25"/>
      <c r="AF477" s="25"/>
      <c r="AG477" s="9"/>
      <c r="AH477" s="29"/>
      <c r="AI477" s="29"/>
      <c r="AM477" s="50"/>
      <c r="AN477" s="51" t="s">
        <v>3432</v>
      </c>
      <c r="AO477" s="55" t="s">
        <v>946</v>
      </c>
    </row>
    <row r="478" spans="1:41" ht="45.6" customHeight="1" x14ac:dyDescent="0.3">
      <c r="A478" s="20">
        <v>474</v>
      </c>
      <c r="B478" s="8" t="s">
        <v>3433</v>
      </c>
      <c r="C478" s="26">
        <v>2025</v>
      </c>
      <c r="D478" s="8"/>
      <c r="E478" s="8" t="s">
        <v>949</v>
      </c>
      <c r="F478" s="20" t="s">
        <v>1969</v>
      </c>
      <c r="G478" s="21" t="s">
        <v>1979</v>
      </c>
      <c r="H478" s="21" t="s">
        <v>1968</v>
      </c>
      <c r="I478" s="21" t="s">
        <v>1968</v>
      </c>
      <c r="J478" s="21" t="s">
        <v>1968</v>
      </c>
      <c r="K478" s="21" t="s">
        <v>1968</v>
      </c>
      <c r="L478" s="22" t="str">
        <f t="shared" si="35"/>
        <v>EXCLUDE</v>
      </c>
      <c r="M478" s="22" t="str">
        <f t="shared" si="36"/>
        <v>Wrong domain (non-AECO)</v>
      </c>
      <c r="N478" s="23"/>
      <c r="O478" s="23"/>
      <c r="P478" s="24"/>
      <c r="Q478" s="24"/>
      <c r="R478" s="24"/>
      <c r="S478" s="22" t="str">
        <f t="shared" si="37"/>
        <v/>
      </c>
      <c r="T478" s="22" t="str">
        <f t="shared" si="38"/>
        <v/>
      </c>
      <c r="U478" s="25"/>
      <c r="V478" s="25"/>
      <c r="W478" s="25"/>
      <c r="X478" s="25"/>
      <c r="Y478" s="22" t="str">
        <f t="shared" si="39"/>
        <v/>
      </c>
      <c r="Z478" s="25"/>
      <c r="AA478" s="25"/>
      <c r="AB478" s="25"/>
      <c r="AC478" s="25"/>
      <c r="AD478" s="25"/>
      <c r="AE478" s="25"/>
      <c r="AF478" s="25"/>
      <c r="AG478" s="9"/>
      <c r="AH478" s="29"/>
      <c r="AI478" s="29"/>
      <c r="AM478" s="50"/>
      <c r="AN478" s="51" t="s">
        <v>3434</v>
      </c>
      <c r="AO478" s="55" t="s">
        <v>948</v>
      </c>
    </row>
    <row r="479" spans="1:41" ht="68.400000000000006" customHeight="1" x14ac:dyDescent="0.3">
      <c r="A479" s="20">
        <v>475</v>
      </c>
      <c r="B479" s="8" t="s">
        <v>3086</v>
      </c>
      <c r="C479" s="26">
        <v>2025</v>
      </c>
      <c r="D479" s="8"/>
      <c r="E479" s="8" t="s">
        <v>951</v>
      </c>
      <c r="F479" s="20" t="s">
        <v>1969</v>
      </c>
      <c r="G479" s="21" t="s">
        <v>1979</v>
      </c>
      <c r="H479" s="21" t="s">
        <v>1968</v>
      </c>
      <c r="I479" s="21" t="s">
        <v>1968</v>
      </c>
      <c r="J479" s="21" t="s">
        <v>1968</v>
      </c>
      <c r="K479" s="21" t="s">
        <v>1968</v>
      </c>
      <c r="L479" s="22" t="str">
        <f t="shared" si="35"/>
        <v>EXCLUDE</v>
      </c>
      <c r="M479" s="22" t="str">
        <f t="shared" si="36"/>
        <v>Wrong domain (non-AECO)</v>
      </c>
      <c r="N479" s="23"/>
      <c r="O479" s="23"/>
      <c r="P479" s="24"/>
      <c r="Q479" s="24"/>
      <c r="R479" s="24"/>
      <c r="S479" s="22" t="str">
        <f t="shared" si="37"/>
        <v/>
      </c>
      <c r="T479" s="22" t="str">
        <f t="shared" si="38"/>
        <v/>
      </c>
      <c r="U479" s="25"/>
      <c r="V479" s="25"/>
      <c r="W479" s="25"/>
      <c r="X479" s="25"/>
      <c r="Y479" s="22" t="str">
        <f t="shared" si="39"/>
        <v/>
      </c>
      <c r="Z479" s="25"/>
      <c r="AA479" s="25"/>
      <c r="AB479" s="25"/>
      <c r="AC479" s="25"/>
      <c r="AD479" s="25"/>
      <c r="AE479" s="25"/>
      <c r="AF479" s="25"/>
      <c r="AG479" s="9"/>
      <c r="AH479" s="29"/>
      <c r="AI479" s="29"/>
      <c r="AM479" s="50"/>
      <c r="AN479" s="51" t="s">
        <v>3435</v>
      </c>
      <c r="AO479" s="55" t="s">
        <v>950</v>
      </c>
    </row>
    <row r="480" spans="1:41" ht="79.8" customHeight="1" x14ac:dyDescent="0.3">
      <c r="A480" s="20">
        <v>476</v>
      </c>
      <c r="B480" s="8" t="s">
        <v>3436</v>
      </c>
      <c r="C480" s="26">
        <v>2026</v>
      </c>
      <c r="D480" s="8"/>
      <c r="E480" s="8" t="s">
        <v>953</v>
      </c>
      <c r="F480" s="20" t="s">
        <v>1969</v>
      </c>
      <c r="G480" s="21" t="s">
        <v>1968</v>
      </c>
      <c r="H480" s="21" t="s">
        <v>1968</v>
      </c>
      <c r="I480" s="21" t="s">
        <v>1968</v>
      </c>
      <c r="J480" s="21" t="s">
        <v>1968</v>
      </c>
      <c r="K480" s="21" t="s">
        <v>1968</v>
      </c>
      <c r="L480" s="22" t="str">
        <f t="shared" si="35"/>
        <v>INCLUDE</v>
      </c>
      <c r="M480" s="22" t="str">
        <f t="shared" si="36"/>
        <v/>
      </c>
      <c r="N480" s="23" t="s">
        <v>1968</v>
      </c>
      <c r="O480" s="23" t="s">
        <v>1968</v>
      </c>
      <c r="P480" s="24" t="s">
        <v>1968</v>
      </c>
      <c r="Q480" s="24" t="s">
        <v>1968</v>
      </c>
      <c r="R480" s="24" t="s">
        <v>1968</v>
      </c>
      <c r="S480" s="22" t="str">
        <f t="shared" si="37"/>
        <v>INCLUDE</v>
      </c>
      <c r="T480" s="22" t="str">
        <f t="shared" si="38"/>
        <v/>
      </c>
      <c r="U480" s="25" t="s">
        <v>1982</v>
      </c>
      <c r="V480" s="25">
        <v>0</v>
      </c>
      <c r="W480" s="25">
        <v>0</v>
      </c>
      <c r="X480" s="25">
        <v>1</v>
      </c>
      <c r="Y480" s="22" t="str">
        <f t="shared" si="39"/>
        <v>Single</v>
      </c>
      <c r="Z480" s="25" t="s">
        <v>1922</v>
      </c>
      <c r="AA480" s="25" t="s">
        <v>1993</v>
      </c>
      <c r="AB480" s="25" t="s">
        <v>2002</v>
      </c>
      <c r="AC480" s="25" t="s">
        <v>1986</v>
      </c>
      <c r="AD480" s="25" t="s">
        <v>2003</v>
      </c>
      <c r="AE480" s="25">
        <v>4</v>
      </c>
      <c r="AF480" s="25" t="s">
        <v>2012</v>
      </c>
      <c r="AG480" s="9" t="s">
        <v>3437</v>
      </c>
      <c r="AH480" s="29" t="s">
        <v>3438</v>
      </c>
      <c r="AI480" s="29" t="s">
        <v>3439</v>
      </c>
      <c r="AJ480" t="s">
        <v>2005</v>
      </c>
      <c r="AK480" t="s">
        <v>3440</v>
      </c>
      <c r="AL480" t="s">
        <v>1990</v>
      </c>
      <c r="AM480" s="50"/>
      <c r="AN480" s="51" t="s">
        <v>3441</v>
      </c>
      <c r="AO480" s="55" t="s">
        <v>952</v>
      </c>
    </row>
    <row r="481" spans="1:41" ht="91.2" customHeight="1" x14ac:dyDescent="0.3">
      <c r="A481" s="20">
        <v>477</v>
      </c>
      <c r="B481" s="8" t="s">
        <v>3050</v>
      </c>
      <c r="C481" s="26">
        <v>2026</v>
      </c>
      <c r="D481" s="8"/>
      <c r="E481" s="8" t="s">
        <v>955</v>
      </c>
      <c r="F481" s="20" t="s">
        <v>1969</v>
      </c>
      <c r="G481" s="21" t="s">
        <v>1968</v>
      </c>
      <c r="H481" s="21" t="s">
        <v>1968</v>
      </c>
      <c r="I481" s="21" t="s">
        <v>1968</v>
      </c>
      <c r="J481" s="21" t="s">
        <v>1968</v>
      </c>
      <c r="K481" s="21" t="s">
        <v>1968</v>
      </c>
      <c r="L481" s="22" t="str">
        <f t="shared" si="35"/>
        <v>INCLUDE</v>
      </c>
      <c r="M481" s="22" t="str">
        <f t="shared" si="36"/>
        <v/>
      </c>
      <c r="N481" s="23" t="s">
        <v>1968</v>
      </c>
      <c r="O481" s="23" t="s">
        <v>1968</v>
      </c>
      <c r="P481" s="24" t="s">
        <v>1979</v>
      </c>
      <c r="Q481" s="24" t="s">
        <v>1968</v>
      </c>
      <c r="R481" s="24" t="s">
        <v>1979</v>
      </c>
      <c r="S481" s="22" t="str">
        <f t="shared" si="37"/>
        <v>EXCLUDE</v>
      </c>
      <c r="T481" s="22" t="str">
        <f t="shared" si="38"/>
        <v>Digital Twin mentioned only, not the subject</v>
      </c>
      <c r="U481" s="25"/>
      <c r="V481" s="25"/>
      <c r="W481" s="25"/>
      <c r="X481" s="25"/>
      <c r="Y481" s="22" t="str">
        <f t="shared" si="39"/>
        <v/>
      </c>
      <c r="Z481" s="25"/>
      <c r="AA481" s="25"/>
      <c r="AB481" s="25"/>
      <c r="AC481" s="25"/>
      <c r="AD481" s="25"/>
      <c r="AE481" s="25"/>
      <c r="AF481" s="25"/>
      <c r="AG481" s="9" t="s">
        <v>3442</v>
      </c>
      <c r="AH481" s="29"/>
      <c r="AI481" s="29"/>
      <c r="AM481" s="50"/>
      <c r="AN481" s="51" t="s">
        <v>3443</v>
      </c>
      <c r="AO481" s="55" t="s">
        <v>954</v>
      </c>
    </row>
    <row r="482" spans="1:41" ht="57" customHeight="1" x14ac:dyDescent="0.3">
      <c r="A482" s="20">
        <v>478</v>
      </c>
      <c r="B482" s="8" t="s">
        <v>3444</v>
      </c>
      <c r="C482" s="26">
        <v>2026</v>
      </c>
      <c r="D482" s="8"/>
      <c r="E482" s="8" t="s">
        <v>957</v>
      </c>
      <c r="F482" s="20" t="s">
        <v>1969</v>
      </c>
      <c r="G482" s="21" t="s">
        <v>1968</v>
      </c>
      <c r="H482" s="21" t="s">
        <v>1979</v>
      </c>
      <c r="I482" s="21" t="s">
        <v>1968</v>
      </c>
      <c r="J482" s="21" t="s">
        <v>1968</v>
      </c>
      <c r="K482" s="21" t="s">
        <v>1968</v>
      </c>
      <c r="L482" s="22" t="str">
        <f t="shared" si="35"/>
        <v>EXCLUDE</v>
      </c>
      <c r="M482" s="22" t="str">
        <f t="shared" si="36"/>
        <v>Digital Twin not core / buzzword</v>
      </c>
      <c r="N482" s="23"/>
      <c r="O482" s="23"/>
      <c r="P482" s="24"/>
      <c r="Q482" s="24"/>
      <c r="R482" s="24"/>
      <c r="S482" s="22" t="str">
        <f t="shared" si="37"/>
        <v/>
      </c>
      <c r="T482" s="22" t="str">
        <f t="shared" si="38"/>
        <v/>
      </c>
      <c r="U482" s="25"/>
      <c r="V482" s="25"/>
      <c r="W482" s="25"/>
      <c r="X482" s="25"/>
      <c r="Y482" s="22" t="str">
        <f t="shared" si="39"/>
        <v/>
      </c>
      <c r="Z482" s="25"/>
      <c r="AA482" s="25"/>
      <c r="AB482" s="25"/>
      <c r="AC482" s="25"/>
      <c r="AD482" s="25"/>
      <c r="AE482" s="25"/>
      <c r="AF482" s="25"/>
      <c r="AG482" s="9"/>
      <c r="AH482" s="29"/>
      <c r="AI482" s="29"/>
      <c r="AM482" s="50"/>
      <c r="AN482" s="51" t="s">
        <v>3445</v>
      </c>
      <c r="AO482" s="55" t="s">
        <v>956</v>
      </c>
    </row>
    <row r="483" spans="1:41" ht="57" customHeight="1" x14ac:dyDescent="0.3">
      <c r="A483" s="20">
        <v>479</v>
      </c>
      <c r="B483" s="8" t="s">
        <v>3446</v>
      </c>
      <c r="C483" s="26">
        <v>2026</v>
      </c>
      <c r="D483" s="8"/>
      <c r="E483" s="8" t="s">
        <v>959</v>
      </c>
      <c r="F483" s="20" t="s">
        <v>1969</v>
      </c>
      <c r="G483" s="21" t="s">
        <v>1968</v>
      </c>
      <c r="H483" s="21" t="s">
        <v>1979</v>
      </c>
      <c r="I483" s="21" t="s">
        <v>1968</v>
      </c>
      <c r="J483" s="21" t="s">
        <v>1968</v>
      </c>
      <c r="K483" s="21" t="s">
        <v>1968</v>
      </c>
      <c r="L483" s="22" t="str">
        <f t="shared" si="35"/>
        <v>EXCLUDE</v>
      </c>
      <c r="M483" s="22" t="str">
        <f t="shared" si="36"/>
        <v>Digital Twin not core / buzzword</v>
      </c>
      <c r="N483" s="23"/>
      <c r="O483" s="23"/>
      <c r="P483" s="24"/>
      <c r="Q483" s="24"/>
      <c r="R483" s="24"/>
      <c r="S483" s="22" t="str">
        <f t="shared" si="37"/>
        <v/>
      </c>
      <c r="T483" s="22" t="str">
        <f t="shared" si="38"/>
        <v/>
      </c>
      <c r="U483" s="25"/>
      <c r="V483" s="25"/>
      <c r="W483" s="25"/>
      <c r="X483" s="25"/>
      <c r="Y483" s="22" t="str">
        <f t="shared" si="39"/>
        <v/>
      </c>
      <c r="Z483" s="25"/>
      <c r="AA483" s="25"/>
      <c r="AB483" s="25"/>
      <c r="AC483" s="25"/>
      <c r="AD483" s="25"/>
      <c r="AE483" s="25"/>
      <c r="AF483" s="25"/>
      <c r="AG483" s="9"/>
      <c r="AH483" s="29"/>
      <c r="AI483" s="29"/>
      <c r="AM483" s="50"/>
      <c r="AN483" s="51" t="s">
        <v>3447</v>
      </c>
      <c r="AO483" s="55" t="s">
        <v>958</v>
      </c>
    </row>
    <row r="484" spans="1:41" ht="45.6" customHeight="1" x14ac:dyDescent="0.3">
      <c r="A484" s="20">
        <v>480</v>
      </c>
      <c r="B484" s="8" t="s">
        <v>3448</v>
      </c>
      <c r="C484" s="26">
        <v>2025</v>
      </c>
      <c r="D484" s="8"/>
      <c r="E484" s="8" t="s">
        <v>961</v>
      </c>
      <c r="F484" s="20" t="s">
        <v>1969</v>
      </c>
      <c r="G484" s="21" t="s">
        <v>1979</v>
      </c>
      <c r="H484" s="21" t="s">
        <v>1968</v>
      </c>
      <c r="I484" s="21" t="s">
        <v>1968</v>
      </c>
      <c r="J484" s="21" t="s">
        <v>1968</v>
      </c>
      <c r="K484" s="21" t="s">
        <v>1968</v>
      </c>
      <c r="L484" s="22" t="str">
        <f t="shared" si="35"/>
        <v>EXCLUDE</v>
      </c>
      <c r="M484" s="22" t="str">
        <f t="shared" si="36"/>
        <v>Wrong domain (non-AECO)</v>
      </c>
      <c r="N484" s="23"/>
      <c r="O484" s="23"/>
      <c r="P484" s="24"/>
      <c r="Q484" s="24"/>
      <c r="R484" s="24"/>
      <c r="S484" s="22" t="str">
        <f t="shared" si="37"/>
        <v/>
      </c>
      <c r="T484" s="22" t="str">
        <f t="shared" si="38"/>
        <v/>
      </c>
      <c r="U484" s="25"/>
      <c r="V484" s="25"/>
      <c r="W484" s="25"/>
      <c r="X484" s="25"/>
      <c r="Y484" s="22" t="str">
        <f t="shared" si="39"/>
        <v/>
      </c>
      <c r="Z484" s="25"/>
      <c r="AA484" s="25"/>
      <c r="AB484" s="25"/>
      <c r="AC484" s="25"/>
      <c r="AD484" s="25"/>
      <c r="AE484" s="25"/>
      <c r="AF484" s="25"/>
      <c r="AG484" s="9"/>
      <c r="AH484" s="29"/>
      <c r="AI484" s="29"/>
      <c r="AM484" s="50"/>
      <c r="AN484" s="51" t="s">
        <v>3449</v>
      </c>
      <c r="AO484" s="55" t="s">
        <v>960</v>
      </c>
    </row>
    <row r="485" spans="1:41" ht="57" customHeight="1" x14ac:dyDescent="0.3">
      <c r="A485" s="20">
        <v>481</v>
      </c>
      <c r="B485" s="8" t="s">
        <v>3450</v>
      </c>
      <c r="C485" s="26">
        <v>2026</v>
      </c>
      <c r="D485" s="8"/>
      <c r="E485" s="8" t="s">
        <v>963</v>
      </c>
      <c r="F485" s="20" t="s">
        <v>1969</v>
      </c>
      <c r="G485" s="21" t="s">
        <v>1979</v>
      </c>
      <c r="H485" s="21" t="s">
        <v>1968</v>
      </c>
      <c r="I485" s="21" t="s">
        <v>1968</v>
      </c>
      <c r="J485" s="21" t="s">
        <v>1968</v>
      </c>
      <c r="K485" s="21" t="s">
        <v>1968</v>
      </c>
      <c r="L485" s="22" t="str">
        <f t="shared" si="35"/>
        <v>EXCLUDE</v>
      </c>
      <c r="M485" s="22" t="str">
        <f t="shared" si="36"/>
        <v>Wrong domain (non-AECO)</v>
      </c>
      <c r="N485" s="23"/>
      <c r="O485" s="23"/>
      <c r="P485" s="24"/>
      <c r="Q485" s="24"/>
      <c r="R485" s="24"/>
      <c r="S485" s="22" t="str">
        <f t="shared" si="37"/>
        <v/>
      </c>
      <c r="T485" s="22" t="str">
        <f t="shared" si="38"/>
        <v/>
      </c>
      <c r="U485" s="25"/>
      <c r="V485" s="25"/>
      <c r="W485" s="25"/>
      <c r="X485" s="25"/>
      <c r="Y485" s="22" t="str">
        <f t="shared" si="39"/>
        <v/>
      </c>
      <c r="Z485" s="25"/>
      <c r="AA485" s="25"/>
      <c r="AB485" s="25"/>
      <c r="AC485" s="25"/>
      <c r="AD485" s="25"/>
      <c r="AE485" s="25"/>
      <c r="AF485" s="25"/>
      <c r="AG485" s="9"/>
      <c r="AH485" s="29"/>
      <c r="AI485" s="29"/>
      <c r="AM485" s="50"/>
      <c r="AN485" s="51" t="s">
        <v>3451</v>
      </c>
      <c r="AO485" s="55" t="s">
        <v>962</v>
      </c>
    </row>
    <row r="486" spans="1:41" ht="57" customHeight="1" x14ac:dyDescent="0.3">
      <c r="A486" s="20">
        <v>482</v>
      </c>
      <c r="B486" s="8" t="s">
        <v>3452</v>
      </c>
      <c r="C486" s="26">
        <v>2026</v>
      </c>
      <c r="D486" s="8"/>
      <c r="E486" s="8" t="s">
        <v>965</v>
      </c>
      <c r="F486" s="20" t="s">
        <v>1969</v>
      </c>
      <c r="G486" s="21" t="s">
        <v>1979</v>
      </c>
      <c r="H486" s="21" t="s">
        <v>1979</v>
      </c>
      <c r="I486" s="21" t="s">
        <v>1968</v>
      </c>
      <c r="J486" s="21" t="s">
        <v>1968</v>
      </c>
      <c r="K486" s="21" t="s">
        <v>1979</v>
      </c>
      <c r="L486" s="22" t="str">
        <f t="shared" si="35"/>
        <v>EXCLUDE</v>
      </c>
      <c r="M486" s="22" t="str">
        <f t="shared" si="36"/>
        <v>Wrong domain (non-AECO)</v>
      </c>
      <c r="N486" s="23"/>
      <c r="O486" s="23"/>
      <c r="P486" s="24"/>
      <c r="Q486" s="24"/>
      <c r="R486" s="24"/>
      <c r="S486" s="22" t="str">
        <f t="shared" si="37"/>
        <v/>
      </c>
      <c r="T486" s="22" t="str">
        <f t="shared" si="38"/>
        <v/>
      </c>
      <c r="U486" s="25"/>
      <c r="V486" s="25"/>
      <c r="W486" s="25"/>
      <c r="X486" s="25"/>
      <c r="Y486" s="22" t="str">
        <f t="shared" si="39"/>
        <v/>
      </c>
      <c r="Z486" s="25"/>
      <c r="AA486" s="25"/>
      <c r="AB486" s="25"/>
      <c r="AC486" s="25"/>
      <c r="AD486" s="25"/>
      <c r="AE486" s="25"/>
      <c r="AF486" s="25"/>
      <c r="AG486" s="9"/>
      <c r="AH486" s="29"/>
      <c r="AI486" s="29"/>
      <c r="AM486" s="50"/>
      <c r="AN486" s="51" t="s">
        <v>3453</v>
      </c>
      <c r="AO486" s="55" t="s">
        <v>964</v>
      </c>
    </row>
    <row r="487" spans="1:41" ht="45.6" customHeight="1" x14ac:dyDescent="0.3">
      <c r="A487" s="20">
        <v>483</v>
      </c>
      <c r="B487" s="8" t="s">
        <v>3454</v>
      </c>
      <c r="C487" s="26">
        <v>2025</v>
      </c>
      <c r="D487" s="8"/>
      <c r="E487" s="8" t="s">
        <v>967</v>
      </c>
      <c r="F487" s="20" t="s">
        <v>1969</v>
      </c>
      <c r="G487" s="21" t="s">
        <v>1968</v>
      </c>
      <c r="H487" s="21" t="s">
        <v>1979</v>
      </c>
      <c r="I487" s="21" t="s">
        <v>1968</v>
      </c>
      <c r="J487" s="21" t="s">
        <v>1968</v>
      </c>
      <c r="K487" s="21" t="s">
        <v>1968</v>
      </c>
      <c r="L487" s="22" t="str">
        <f t="shared" si="35"/>
        <v>EXCLUDE</v>
      </c>
      <c r="M487" s="22" t="str">
        <f t="shared" si="36"/>
        <v>Digital Twin not core / buzzword</v>
      </c>
      <c r="N487" s="23"/>
      <c r="O487" s="23"/>
      <c r="P487" s="24"/>
      <c r="Q487" s="24"/>
      <c r="R487" s="24"/>
      <c r="S487" s="22" t="str">
        <f t="shared" si="37"/>
        <v/>
      </c>
      <c r="T487" s="22" t="str">
        <f t="shared" si="38"/>
        <v/>
      </c>
      <c r="U487" s="25"/>
      <c r="V487" s="25"/>
      <c r="W487" s="25"/>
      <c r="X487" s="25"/>
      <c r="Y487" s="22" t="str">
        <f t="shared" si="39"/>
        <v/>
      </c>
      <c r="Z487" s="25"/>
      <c r="AA487" s="25"/>
      <c r="AB487" s="25"/>
      <c r="AC487" s="25"/>
      <c r="AD487" s="25"/>
      <c r="AE487" s="25"/>
      <c r="AF487" s="25"/>
      <c r="AG487" s="9"/>
      <c r="AH487" s="29"/>
      <c r="AI487" s="29"/>
      <c r="AM487" s="50"/>
      <c r="AN487" s="51" t="s">
        <v>3455</v>
      </c>
      <c r="AO487" s="55" t="s">
        <v>966</v>
      </c>
    </row>
    <row r="488" spans="1:41" ht="102.6" customHeight="1" x14ac:dyDescent="0.3">
      <c r="A488" s="20">
        <v>484</v>
      </c>
      <c r="B488" s="8" t="s">
        <v>3456</v>
      </c>
      <c r="C488" s="26">
        <v>2026</v>
      </c>
      <c r="D488" s="8"/>
      <c r="E488" s="8" t="s">
        <v>969</v>
      </c>
      <c r="F488" s="20" t="s">
        <v>1969</v>
      </c>
      <c r="G488" s="21" t="s">
        <v>1979</v>
      </c>
      <c r="H488" s="21" t="s">
        <v>1968</v>
      </c>
      <c r="I488" s="21" t="s">
        <v>1968</v>
      </c>
      <c r="J488" s="21" t="s">
        <v>1968</v>
      </c>
      <c r="K488" s="21" t="s">
        <v>1968</v>
      </c>
      <c r="L488" s="22" t="str">
        <f t="shared" si="35"/>
        <v>EXCLUDE</v>
      </c>
      <c r="M488" s="22" t="str">
        <f t="shared" si="36"/>
        <v>Wrong domain (non-AECO)</v>
      </c>
      <c r="N488" s="23"/>
      <c r="O488" s="23"/>
      <c r="P488" s="24"/>
      <c r="Q488" s="24"/>
      <c r="R488" s="24"/>
      <c r="S488" s="22" t="str">
        <f t="shared" si="37"/>
        <v/>
      </c>
      <c r="T488" s="22" t="str">
        <f t="shared" si="38"/>
        <v/>
      </c>
      <c r="U488" s="25"/>
      <c r="V488" s="25"/>
      <c r="W488" s="25"/>
      <c r="X488" s="25"/>
      <c r="Y488" s="22" t="str">
        <f t="shared" si="39"/>
        <v/>
      </c>
      <c r="Z488" s="25"/>
      <c r="AA488" s="25"/>
      <c r="AB488" s="25"/>
      <c r="AC488" s="25"/>
      <c r="AD488" s="25"/>
      <c r="AE488" s="25"/>
      <c r="AF488" s="25"/>
      <c r="AG488" s="9"/>
      <c r="AH488" s="29"/>
      <c r="AI488" s="29"/>
      <c r="AM488" s="50"/>
      <c r="AN488" s="51" t="s">
        <v>3457</v>
      </c>
      <c r="AO488" s="55" t="s">
        <v>968</v>
      </c>
    </row>
    <row r="489" spans="1:41" ht="68.400000000000006" customHeight="1" x14ac:dyDescent="0.3">
      <c r="A489" s="20">
        <v>485</v>
      </c>
      <c r="B489" s="8" t="s">
        <v>3458</v>
      </c>
      <c r="C489" s="26">
        <v>2026</v>
      </c>
      <c r="D489" s="8"/>
      <c r="E489" s="8" t="s">
        <v>971</v>
      </c>
      <c r="F489" s="20" t="s">
        <v>1969</v>
      </c>
      <c r="G489" s="21" t="s">
        <v>1979</v>
      </c>
      <c r="H489" s="21" t="s">
        <v>1968</v>
      </c>
      <c r="I489" s="21" t="s">
        <v>1968</v>
      </c>
      <c r="J489" s="21" t="s">
        <v>1968</v>
      </c>
      <c r="K489" s="21" t="s">
        <v>1968</v>
      </c>
      <c r="L489" s="22" t="str">
        <f t="shared" si="35"/>
        <v>EXCLUDE</v>
      </c>
      <c r="M489" s="22" t="str">
        <f t="shared" si="36"/>
        <v>Wrong domain (non-AECO)</v>
      </c>
      <c r="N489" s="23"/>
      <c r="O489" s="23"/>
      <c r="P489" s="24"/>
      <c r="Q489" s="24"/>
      <c r="R489" s="24"/>
      <c r="S489" s="22" t="str">
        <f t="shared" si="37"/>
        <v/>
      </c>
      <c r="T489" s="22" t="str">
        <f t="shared" si="38"/>
        <v/>
      </c>
      <c r="U489" s="25"/>
      <c r="V489" s="25"/>
      <c r="W489" s="25"/>
      <c r="X489" s="25"/>
      <c r="Y489" s="22" t="str">
        <f t="shared" si="39"/>
        <v/>
      </c>
      <c r="Z489" s="25"/>
      <c r="AA489" s="25"/>
      <c r="AB489" s="25"/>
      <c r="AC489" s="25"/>
      <c r="AD489" s="25"/>
      <c r="AE489" s="25"/>
      <c r="AF489" s="25"/>
      <c r="AG489" s="9"/>
      <c r="AH489" s="29"/>
      <c r="AI489" s="29"/>
      <c r="AM489" s="50"/>
      <c r="AN489" s="51" t="s">
        <v>3459</v>
      </c>
      <c r="AO489" s="55" t="s">
        <v>970</v>
      </c>
    </row>
    <row r="490" spans="1:41" ht="57" customHeight="1" x14ac:dyDescent="0.3">
      <c r="A490" s="20">
        <v>486</v>
      </c>
      <c r="B490" s="8" t="s">
        <v>3460</v>
      </c>
      <c r="C490" s="26">
        <v>2026</v>
      </c>
      <c r="D490" s="8"/>
      <c r="E490" s="8" t="s">
        <v>973</v>
      </c>
      <c r="F490" s="20" t="s">
        <v>1969</v>
      </c>
      <c r="G490" s="21" t="s">
        <v>1979</v>
      </c>
      <c r="H490" s="21" t="s">
        <v>1968</v>
      </c>
      <c r="I490" s="21" t="s">
        <v>1968</v>
      </c>
      <c r="J490" s="21" t="s">
        <v>1968</v>
      </c>
      <c r="K490" s="21" t="s">
        <v>1968</v>
      </c>
      <c r="L490" s="22" t="str">
        <f t="shared" si="35"/>
        <v>EXCLUDE</v>
      </c>
      <c r="M490" s="22" t="str">
        <f t="shared" si="36"/>
        <v>Wrong domain (non-AECO)</v>
      </c>
      <c r="N490" s="23"/>
      <c r="O490" s="23"/>
      <c r="P490" s="24"/>
      <c r="Q490" s="24"/>
      <c r="R490" s="24"/>
      <c r="S490" s="22" t="str">
        <f t="shared" si="37"/>
        <v/>
      </c>
      <c r="T490" s="22" t="str">
        <f t="shared" si="38"/>
        <v/>
      </c>
      <c r="U490" s="25"/>
      <c r="V490" s="25"/>
      <c r="W490" s="25"/>
      <c r="X490" s="25"/>
      <c r="Y490" s="22" t="str">
        <f t="shared" si="39"/>
        <v/>
      </c>
      <c r="Z490" s="25"/>
      <c r="AA490" s="25"/>
      <c r="AB490" s="25"/>
      <c r="AC490" s="25"/>
      <c r="AD490" s="25"/>
      <c r="AE490" s="25"/>
      <c r="AF490" s="25"/>
      <c r="AG490" s="9"/>
      <c r="AH490" s="29"/>
      <c r="AI490" s="29"/>
      <c r="AM490" s="50"/>
      <c r="AN490" s="51" t="s">
        <v>3461</v>
      </c>
      <c r="AO490" s="55" t="s">
        <v>972</v>
      </c>
    </row>
    <row r="491" spans="1:41" ht="79.8" customHeight="1" x14ac:dyDescent="0.3">
      <c r="A491" s="20">
        <v>487</v>
      </c>
      <c r="B491" s="8" t="s">
        <v>3462</v>
      </c>
      <c r="C491" s="26">
        <v>2026</v>
      </c>
      <c r="D491" s="8"/>
      <c r="E491" s="8" t="s">
        <v>975</v>
      </c>
      <c r="F491" s="20" t="s">
        <v>1969</v>
      </c>
      <c r="G491" s="21" t="s">
        <v>1968</v>
      </c>
      <c r="H491" s="21" t="s">
        <v>1968</v>
      </c>
      <c r="I491" s="21" t="s">
        <v>1968</v>
      </c>
      <c r="J491" s="21" t="s">
        <v>1968</v>
      </c>
      <c r="K491" s="21" t="s">
        <v>1968</v>
      </c>
      <c r="L491" s="22" t="str">
        <f t="shared" si="35"/>
        <v>INCLUDE</v>
      </c>
      <c r="M491" s="22" t="str">
        <f t="shared" si="36"/>
        <v/>
      </c>
      <c r="N491" s="23" t="s">
        <v>1968</v>
      </c>
      <c r="O491" s="23" t="s">
        <v>1968</v>
      </c>
      <c r="P491" s="24" t="s">
        <v>1968</v>
      </c>
      <c r="Q491" s="24" t="s">
        <v>1968</v>
      </c>
      <c r="R491" s="24" t="s">
        <v>1968</v>
      </c>
      <c r="S491" s="22" t="str">
        <f t="shared" si="37"/>
        <v>INCLUDE</v>
      </c>
      <c r="T491" s="22" t="str">
        <f t="shared" si="38"/>
        <v/>
      </c>
      <c r="U491" s="25" t="s">
        <v>1971</v>
      </c>
      <c r="V491" s="25">
        <v>0</v>
      </c>
      <c r="W491" s="25">
        <v>0</v>
      </c>
      <c r="X491" s="25">
        <v>1</v>
      </c>
      <c r="Y491" s="22" t="str">
        <f t="shared" si="39"/>
        <v>Single</v>
      </c>
      <c r="Z491" s="25" t="s">
        <v>1922</v>
      </c>
      <c r="AA491" s="25" t="s">
        <v>1972</v>
      </c>
      <c r="AB491" s="25" t="s">
        <v>2013</v>
      </c>
      <c r="AC491" s="25" t="s">
        <v>1986</v>
      </c>
      <c r="AD491" s="25" t="s">
        <v>2003</v>
      </c>
      <c r="AE491" s="25">
        <v>3</v>
      </c>
      <c r="AF491" s="25" t="s">
        <v>2004</v>
      </c>
      <c r="AG491" s="9" t="s">
        <v>3463</v>
      </c>
      <c r="AH491" s="29" t="s">
        <v>3464</v>
      </c>
      <c r="AI491" s="29" t="s">
        <v>3465</v>
      </c>
      <c r="AJ491" t="s">
        <v>2005</v>
      </c>
      <c r="AK491" t="s">
        <v>3466</v>
      </c>
      <c r="AL491" t="s">
        <v>1990</v>
      </c>
      <c r="AM491" s="50"/>
      <c r="AN491" s="51" t="s">
        <v>3467</v>
      </c>
      <c r="AO491" s="55" t="s">
        <v>974</v>
      </c>
    </row>
    <row r="492" spans="1:41" ht="91.2" customHeight="1" x14ac:dyDescent="0.3">
      <c r="A492" s="20">
        <v>488</v>
      </c>
      <c r="B492" s="8" t="s">
        <v>3468</v>
      </c>
      <c r="C492" s="26">
        <v>2025</v>
      </c>
      <c r="D492" s="8"/>
      <c r="E492" s="8" t="s">
        <v>977</v>
      </c>
      <c r="F492" s="20" t="s">
        <v>1969</v>
      </c>
      <c r="G492" s="21" t="s">
        <v>1968</v>
      </c>
      <c r="H492" s="21" t="s">
        <v>1968</v>
      </c>
      <c r="I492" s="21" t="s">
        <v>1968</v>
      </c>
      <c r="J492" s="21" t="s">
        <v>1968</v>
      </c>
      <c r="K492" s="21" t="s">
        <v>1968</v>
      </c>
      <c r="L492" s="22" t="str">
        <f t="shared" si="35"/>
        <v>INCLUDE</v>
      </c>
      <c r="M492" s="22" t="str">
        <f t="shared" si="36"/>
        <v/>
      </c>
      <c r="N492" s="23" t="s">
        <v>1968</v>
      </c>
      <c r="O492" s="23" t="s">
        <v>1968</v>
      </c>
      <c r="P492" s="24" t="s">
        <v>1968</v>
      </c>
      <c r="Q492" s="24" t="s">
        <v>1968</v>
      </c>
      <c r="R492" s="24" t="s">
        <v>1968</v>
      </c>
      <c r="S492" s="22" t="str">
        <f t="shared" si="37"/>
        <v>INCLUDE</v>
      </c>
      <c r="T492" s="22" t="str">
        <f t="shared" si="38"/>
        <v/>
      </c>
      <c r="U492" s="25" t="s">
        <v>1971</v>
      </c>
      <c r="V492" s="25">
        <v>1</v>
      </c>
      <c r="W492" s="25">
        <v>0</v>
      </c>
      <c r="X492" s="25">
        <v>0</v>
      </c>
      <c r="Y492" s="22" t="str">
        <f t="shared" si="39"/>
        <v>Single</v>
      </c>
      <c r="Z492" s="25" t="s">
        <v>1922</v>
      </c>
      <c r="AA492" s="25" t="s">
        <v>1972</v>
      </c>
      <c r="AB492" s="25" t="s">
        <v>2018</v>
      </c>
      <c r="AC492" s="25" t="s">
        <v>1986</v>
      </c>
      <c r="AD492" s="25" t="s">
        <v>1987</v>
      </c>
      <c r="AE492" s="25">
        <v>3</v>
      </c>
      <c r="AF492" s="25" t="s">
        <v>2010</v>
      </c>
      <c r="AG492" s="9" t="s">
        <v>3469</v>
      </c>
      <c r="AH492" s="29" t="s">
        <v>3470</v>
      </c>
      <c r="AI492" s="29" t="s">
        <v>3471</v>
      </c>
      <c r="AJ492" t="s">
        <v>2005</v>
      </c>
      <c r="AK492" t="s">
        <v>3472</v>
      </c>
      <c r="AL492" t="s">
        <v>1990</v>
      </c>
      <c r="AM492" s="50"/>
      <c r="AN492" s="51" t="s">
        <v>3473</v>
      </c>
      <c r="AO492" s="55" t="s">
        <v>976</v>
      </c>
    </row>
    <row r="493" spans="1:41" ht="79.8" customHeight="1" x14ac:dyDescent="0.3">
      <c r="A493" s="20">
        <v>489</v>
      </c>
      <c r="B493" s="8" t="s">
        <v>3050</v>
      </c>
      <c r="C493" s="26">
        <v>2026</v>
      </c>
      <c r="D493" s="8"/>
      <c r="E493" s="8" t="s">
        <v>979</v>
      </c>
      <c r="F493" s="20" t="s">
        <v>1969</v>
      </c>
      <c r="G493" s="21" t="s">
        <v>1968</v>
      </c>
      <c r="H493" s="21" t="s">
        <v>1979</v>
      </c>
      <c r="I493" s="21" t="s">
        <v>1968</v>
      </c>
      <c r="J493" s="21" t="s">
        <v>1968</v>
      </c>
      <c r="K493" s="21" t="s">
        <v>1968</v>
      </c>
      <c r="L493" s="22" t="str">
        <f t="shared" si="35"/>
        <v>EXCLUDE</v>
      </c>
      <c r="M493" s="22" t="str">
        <f t="shared" si="36"/>
        <v>Digital Twin not core / buzzword</v>
      </c>
      <c r="N493" s="23"/>
      <c r="O493" s="23"/>
      <c r="P493" s="24"/>
      <c r="Q493" s="24"/>
      <c r="R493" s="24"/>
      <c r="S493" s="22" t="str">
        <f t="shared" si="37"/>
        <v/>
      </c>
      <c r="T493" s="22" t="str">
        <f t="shared" si="38"/>
        <v/>
      </c>
      <c r="U493" s="25"/>
      <c r="V493" s="25"/>
      <c r="W493" s="25"/>
      <c r="X493" s="25"/>
      <c r="Y493" s="22" t="str">
        <f t="shared" si="39"/>
        <v/>
      </c>
      <c r="Z493" s="25"/>
      <c r="AA493" s="25"/>
      <c r="AB493" s="25"/>
      <c r="AC493" s="25"/>
      <c r="AD493" s="25"/>
      <c r="AE493" s="25"/>
      <c r="AF493" s="25"/>
      <c r="AG493" s="9"/>
      <c r="AH493" s="29"/>
      <c r="AI493" s="29"/>
      <c r="AM493" s="50"/>
      <c r="AN493" s="51" t="s">
        <v>3474</v>
      </c>
      <c r="AO493" s="55" t="s">
        <v>978</v>
      </c>
    </row>
    <row r="494" spans="1:41" ht="102.6" customHeight="1" x14ac:dyDescent="0.3">
      <c r="A494" s="20">
        <v>490</v>
      </c>
      <c r="B494" s="8" t="s">
        <v>3475</v>
      </c>
      <c r="C494" s="26">
        <v>2025</v>
      </c>
      <c r="D494" s="8"/>
      <c r="E494" s="8" t="s">
        <v>981</v>
      </c>
      <c r="F494" s="20" t="s">
        <v>1969</v>
      </c>
      <c r="G494" s="21" t="s">
        <v>1968</v>
      </c>
      <c r="H494" s="21" t="s">
        <v>1968</v>
      </c>
      <c r="I494" s="21" t="s">
        <v>1968</v>
      </c>
      <c r="J494" s="21" t="s">
        <v>1968</v>
      </c>
      <c r="K494" s="21" t="s">
        <v>1968</v>
      </c>
      <c r="L494" s="22" t="str">
        <f t="shared" si="35"/>
        <v>INCLUDE</v>
      </c>
      <c r="M494" s="22" t="str">
        <f t="shared" si="36"/>
        <v/>
      </c>
      <c r="N494" s="23" t="s">
        <v>1968</v>
      </c>
      <c r="O494" s="23" t="s">
        <v>1968</v>
      </c>
      <c r="P494" s="24" t="s">
        <v>1968</v>
      </c>
      <c r="Q494" s="24" t="s">
        <v>1968</v>
      </c>
      <c r="R494" s="24" t="s">
        <v>1968</v>
      </c>
      <c r="S494" s="22" t="str">
        <f t="shared" si="37"/>
        <v>INCLUDE</v>
      </c>
      <c r="T494" s="22" t="str">
        <f t="shared" si="38"/>
        <v/>
      </c>
      <c r="U494" s="25" t="s">
        <v>1982</v>
      </c>
      <c r="V494" s="25">
        <v>0</v>
      </c>
      <c r="W494" s="25">
        <v>1</v>
      </c>
      <c r="X494" s="25">
        <v>0</v>
      </c>
      <c r="Y494" s="22" t="str">
        <f t="shared" si="39"/>
        <v>Single</v>
      </c>
      <c r="Z494" s="25" t="s">
        <v>1922</v>
      </c>
      <c r="AA494" s="25" t="s">
        <v>1993</v>
      </c>
      <c r="AB494" s="25" t="s">
        <v>2018</v>
      </c>
      <c r="AC494" s="25" t="s">
        <v>1986</v>
      </c>
      <c r="AD494" s="25" t="s">
        <v>2003</v>
      </c>
      <c r="AE494" s="25">
        <v>4</v>
      </c>
      <c r="AF494" s="25" t="s">
        <v>2010</v>
      </c>
      <c r="AG494" s="9" t="s">
        <v>3476</v>
      </c>
      <c r="AH494" s="29" t="s">
        <v>3477</v>
      </c>
      <c r="AI494" s="29" t="s">
        <v>3478</v>
      </c>
      <c r="AJ494" t="s">
        <v>2005</v>
      </c>
      <c r="AK494" t="s">
        <v>3479</v>
      </c>
      <c r="AL494" t="s">
        <v>1978</v>
      </c>
      <c r="AM494" s="50"/>
      <c r="AN494" s="51" t="s">
        <v>3480</v>
      </c>
      <c r="AO494" s="55" t="s">
        <v>980</v>
      </c>
    </row>
    <row r="495" spans="1:41" ht="57" customHeight="1" x14ac:dyDescent="0.3">
      <c r="A495" s="20">
        <v>491</v>
      </c>
      <c r="B495" s="8" t="s">
        <v>3481</v>
      </c>
      <c r="C495" s="26">
        <v>2026</v>
      </c>
      <c r="D495" s="8"/>
      <c r="E495" s="8" t="s">
        <v>983</v>
      </c>
      <c r="F495" s="20" t="s">
        <v>1969</v>
      </c>
      <c r="G495" s="21" t="s">
        <v>1968</v>
      </c>
      <c r="H495" s="21" t="s">
        <v>1979</v>
      </c>
      <c r="I495" s="21" t="s">
        <v>1968</v>
      </c>
      <c r="J495" s="21" t="s">
        <v>1968</v>
      </c>
      <c r="K495" s="21" t="s">
        <v>1968</v>
      </c>
      <c r="L495" s="22" t="str">
        <f t="shared" si="35"/>
        <v>EXCLUDE</v>
      </c>
      <c r="M495" s="22" t="str">
        <f t="shared" si="36"/>
        <v>Digital Twin not core / buzzword</v>
      </c>
      <c r="N495" s="23"/>
      <c r="O495" s="23"/>
      <c r="P495" s="24"/>
      <c r="Q495" s="24"/>
      <c r="R495" s="24"/>
      <c r="S495" s="22" t="str">
        <f t="shared" si="37"/>
        <v/>
      </c>
      <c r="T495" s="22" t="str">
        <f t="shared" si="38"/>
        <v/>
      </c>
      <c r="U495" s="25"/>
      <c r="V495" s="25"/>
      <c r="W495" s="25"/>
      <c r="X495" s="25"/>
      <c r="Y495" s="22" t="str">
        <f t="shared" si="39"/>
        <v/>
      </c>
      <c r="Z495" s="25"/>
      <c r="AA495" s="25"/>
      <c r="AB495" s="25"/>
      <c r="AC495" s="25"/>
      <c r="AD495" s="25"/>
      <c r="AE495" s="25"/>
      <c r="AF495" s="25"/>
      <c r="AG495" s="9"/>
      <c r="AH495" s="29"/>
      <c r="AI495" s="29"/>
      <c r="AM495" s="50"/>
      <c r="AN495" s="51" t="s">
        <v>3482</v>
      </c>
      <c r="AO495" s="55" t="s">
        <v>982</v>
      </c>
    </row>
    <row r="496" spans="1:41" ht="57" customHeight="1" x14ac:dyDescent="0.3">
      <c r="A496" s="20">
        <v>492</v>
      </c>
      <c r="B496" s="8" t="s">
        <v>3483</v>
      </c>
      <c r="C496" s="26">
        <v>2026</v>
      </c>
      <c r="D496" s="8"/>
      <c r="E496" s="8" t="s">
        <v>985</v>
      </c>
      <c r="F496" s="20" t="s">
        <v>1969</v>
      </c>
      <c r="G496" s="21" t="s">
        <v>1968</v>
      </c>
      <c r="H496" s="21" t="s">
        <v>1968</v>
      </c>
      <c r="I496" s="21" t="s">
        <v>1968</v>
      </c>
      <c r="J496" s="21" t="s">
        <v>1968</v>
      </c>
      <c r="K496" s="21" t="s">
        <v>1968</v>
      </c>
      <c r="L496" s="22" t="str">
        <f t="shared" si="35"/>
        <v>INCLUDE</v>
      </c>
      <c r="M496" s="22" t="str">
        <f t="shared" si="36"/>
        <v/>
      </c>
      <c r="N496" s="23" t="s">
        <v>1979</v>
      </c>
      <c r="O496" s="23" t="s">
        <v>1979</v>
      </c>
      <c r="P496" s="24"/>
      <c r="Q496" s="24"/>
      <c r="R496" s="24"/>
      <c r="S496" s="22" t="str">
        <f t="shared" si="37"/>
        <v/>
      </c>
      <c r="T496" s="22" t="str">
        <f t="shared" si="38"/>
        <v/>
      </c>
      <c r="U496" s="25"/>
      <c r="V496" s="25"/>
      <c r="W496" s="25"/>
      <c r="X496" s="25"/>
      <c r="Y496" s="22" t="str">
        <f t="shared" si="39"/>
        <v/>
      </c>
      <c r="Z496" s="25"/>
      <c r="AA496" s="25"/>
      <c r="AB496" s="25"/>
      <c r="AC496" s="25"/>
      <c r="AD496" s="25"/>
      <c r="AE496" s="25"/>
      <c r="AF496" s="25"/>
      <c r="AG496" s="9"/>
      <c r="AH496" s="29"/>
      <c r="AI496" s="29"/>
      <c r="AM496" s="50"/>
      <c r="AN496" s="51" t="s">
        <v>3484</v>
      </c>
      <c r="AO496" s="55" t="s">
        <v>984</v>
      </c>
    </row>
    <row r="497" spans="1:41" ht="102.6" customHeight="1" x14ac:dyDescent="0.3">
      <c r="A497" s="20">
        <v>493</v>
      </c>
      <c r="B497" s="8" t="s">
        <v>3485</v>
      </c>
      <c r="C497" s="26">
        <v>2025</v>
      </c>
      <c r="D497" s="8"/>
      <c r="E497" s="8" t="s">
        <v>987</v>
      </c>
      <c r="F497" s="20" t="s">
        <v>1969</v>
      </c>
      <c r="G497" s="21" t="s">
        <v>1968</v>
      </c>
      <c r="H497" s="21" t="s">
        <v>1968</v>
      </c>
      <c r="I497" s="21" t="s">
        <v>1968</v>
      </c>
      <c r="J497" s="21" t="s">
        <v>1968</v>
      </c>
      <c r="K497" s="21" t="s">
        <v>1968</v>
      </c>
      <c r="L497" s="22" t="str">
        <f t="shared" si="35"/>
        <v>INCLUDE</v>
      </c>
      <c r="M497" s="22" t="str">
        <f t="shared" si="36"/>
        <v/>
      </c>
      <c r="N497" s="23" t="s">
        <v>1968</v>
      </c>
      <c r="O497" s="23" t="s">
        <v>1968</v>
      </c>
      <c r="P497" s="24" t="s">
        <v>1968</v>
      </c>
      <c r="Q497" s="24" t="s">
        <v>1968</v>
      </c>
      <c r="R497" s="24" t="s">
        <v>1968</v>
      </c>
      <c r="S497" s="22" t="str">
        <f t="shared" si="37"/>
        <v>INCLUDE</v>
      </c>
      <c r="T497" s="22" t="str">
        <f t="shared" si="38"/>
        <v/>
      </c>
      <c r="U497" s="25" t="s">
        <v>1982</v>
      </c>
      <c r="V497" s="25">
        <v>0</v>
      </c>
      <c r="W497" s="25">
        <v>0</v>
      </c>
      <c r="X497" s="25">
        <v>1</v>
      </c>
      <c r="Y497" s="22" t="str">
        <f t="shared" si="39"/>
        <v>Single</v>
      </c>
      <c r="Z497" s="25" t="s">
        <v>1922</v>
      </c>
      <c r="AA497" s="25" t="s">
        <v>1972</v>
      </c>
      <c r="AB497" s="25" t="s">
        <v>2002</v>
      </c>
      <c r="AC497" s="25" t="s">
        <v>1986</v>
      </c>
      <c r="AD497" s="25" t="s">
        <v>2009</v>
      </c>
      <c r="AE497" s="25">
        <v>4</v>
      </c>
      <c r="AF497" s="25" t="s">
        <v>2010</v>
      </c>
      <c r="AG497" s="9" t="s">
        <v>3486</v>
      </c>
      <c r="AH497" s="29" t="s">
        <v>3487</v>
      </c>
      <c r="AI497" s="29" t="s">
        <v>3488</v>
      </c>
      <c r="AJ497" t="s">
        <v>2005</v>
      </c>
      <c r="AK497" t="s">
        <v>3489</v>
      </c>
      <c r="AL497" t="s">
        <v>1978</v>
      </c>
      <c r="AM497" s="50"/>
      <c r="AN497" s="51" t="s">
        <v>3490</v>
      </c>
      <c r="AO497" s="55" t="s">
        <v>986</v>
      </c>
    </row>
    <row r="498" spans="1:41" ht="79.8" customHeight="1" x14ac:dyDescent="0.3">
      <c r="A498" s="20">
        <v>494</v>
      </c>
      <c r="B498" s="8" t="s">
        <v>3491</v>
      </c>
      <c r="C498" s="26">
        <v>2026</v>
      </c>
      <c r="D498" s="8"/>
      <c r="E498" s="8" t="s">
        <v>989</v>
      </c>
      <c r="F498" s="20" t="s">
        <v>1969</v>
      </c>
      <c r="G498" s="21" t="s">
        <v>1968</v>
      </c>
      <c r="H498" s="21" t="s">
        <v>1979</v>
      </c>
      <c r="I498" s="21" t="s">
        <v>1968</v>
      </c>
      <c r="J498" s="21" t="s">
        <v>1968</v>
      </c>
      <c r="K498" s="21" t="s">
        <v>1968</v>
      </c>
      <c r="L498" s="22" t="str">
        <f t="shared" si="35"/>
        <v>EXCLUDE</v>
      </c>
      <c r="M498" s="22" t="str">
        <f t="shared" si="36"/>
        <v>Digital Twin not core / buzzword</v>
      </c>
      <c r="N498" s="23"/>
      <c r="O498" s="23"/>
      <c r="P498" s="24"/>
      <c r="Q498" s="24"/>
      <c r="R498" s="24"/>
      <c r="S498" s="22" t="str">
        <f t="shared" si="37"/>
        <v/>
      </c>
      <c r="T498" s="22" t="str">
        <f t="shared" si="38"/>
        <v/>
      </c>
      <c r="U498" s="25"/>
      <c r="V498" s="25"/>
      <c r="W498" s="25"/>
      <c r="X498" s="25"/>
      <c r="Y498" s="22" t="str">
        <f t="shared" si="39"/>
        <v/>
      </c>
      <c r="Z498" s="25"/>
      <c r="AA498" s="25"/>
      <c r="AB498" s="25"/>
      <c r="AC498" s="25"/>
      <c r="AD498" s="25"/>
      <c r="AE498" s="25"/>
      <c r="AF498" s="25"/>
      <c r="AG498" s="9"/>
      <c r="AH498" s="29"/>
      <c r="AI498" s="29"/>
      <c r="AM498" s="50"/>
      <c r="AN498" s="51" t="s">
        <v>3492</v>
      </c>
      <c r="AO498" s="55" t="s">
        <v>988</v>
      </c>
    </row>
    <row r="499" spans="1:41" ht="68.400000000000006" customHeight="1" x14ac:dyDescent="0.3">
      <c r="A499" s="20">
        <v>495</v>
      </c>
      <c r="B499" s="8" t="s">
        <v>3493</v>
      </c>
      <c r="C499" s="26">
        <v>2026</v>
      </c>
      <c r="D499" s="8"/>
      <c r="E499" s="8" t="s">
        <v>991</v>
      </c>
      <c r="F499" s="20" t="s">
        <v>1969</v>
      </c>
      <c r="G499" s="21" t="s">
        <v>1979</v>
      </c>
      <c r="H499" s="21" t="s">
        <v>1968</v>
      </c>
      <c r="I499" s="21" t="s">
        <v>1968</v>
      </c>
      <c r="J499" s="21" t="s">
        <v>1968</v>
      </c>
      <c r="K499" s="21" t="s">
        <v>1968</v>
      </c>
      <c r="L499" s="22" t="str">
        <f t="shared" si="35"/>
        <v>EXCLUDE</v>
      </c>
      <c r="M499" s="22" t="str">
        <f t="shared" si="36"/>
        <v>Wrong domain (non-AECO)</v>
      </c>
      <c r="N499" s="23"/>
      <c r="O499" s="23"/>
      <c r="P499" s="24"/>
      <c r="Q499" s="24"/>
      <c r="R499" s="24"/>
      <c r="S499" s="22" t="str">
        <f t="shared" si="37"/>
        <v/>
      </c>
      <c r="T499" s="22" t="str">
        <f t="shared" si="38"/>
        <v/>
      </c>
      <c r="U499" s="25"/>
      <c r="V499" s="25"/>
      <c r="W499" s="25"/>
      <c r="X499" s="25"/>
      <c r="Y499" s="22" t="str">
        <f t="shared" si="39"/>
        <v/>
      </c>
      <c r="Z499" s="25"/>
      <c r="AA499" s="25"/>
      <c r="AB499" s="25"/>
      <c r="AC499" s="25"/>
      <c r="AD499" s="25"/>
      <c r="AE499" s="25"/>
      <c r="AF499" s="25"/>
      <c r="AG499" s="9"/>
      <c r="AH499" s="29"/>
      <c r="AI499" s="29"/>
      <c r="AM499" s="50"/>
      <c r="AN499" s="51" t="s">
        <v>3494</v>
      </c>
      <c r="AO499" s="55" t="s">
        <v>990</v>
      </c>
    </row>
    <row r="500" spans="1:41" ht="68.400000000000006" customHeight="1" x14ac:dyDescent="0.3">
      <c r="A500" s="20">
        <v>496</v>
      </c>
      <c r="B500" s="8" t="s">
        <v>3495</v>
      </c>
      <c r="C500" s="26">
        <v>2026</v>
      </c>
      <c r="D500" s="8"/>
      <c r="E500" s="8" t="s">
        <v>993</v>
      </c>
      <c r="F500" s="20" t="s">
        <v>1969</v>
      </c>
      <c r="G500" s="21" t="s">
        <v>1968</v>
      </c>
      <c r="H500" s="21" t="s">
        <v>1979</v>
      </c>
      <c r="I500" s="21" t="s">
        <v>1968</v>
      </c>
      <c r="J500" s="21" t="s">
        <v>1968</v>
      </c>
      <c r="K500" s="21" t="s">
        <v>1968</v>
      </c>
      <c r="L500" s="22" t="str">
        <f t="shared" si="35"/>
        <v>EXCLUDE</v>
      </c>
      <c r="M500" s="22" t="str">
        <f t="shared" si="36"/>
        <v>Digital Twin not core / buzzword</v>
      </c>
      <c r="N500" s="23"/>
      <c r="O500" s="23"/>
      <c r="P500" s="24"/>
      <c r="Q500" s="24"/>
      <c r="R500" s="24"/>
      <c r="S500" s="22" t="str">
        <f t="shared" si="37"/>
        <v/>
      </c>
      <c r="T500" s="22" t="str">
        <f t="shared" si="38"/>
        <v/>
      </c>
      <c r="U500" s="25"/>
      <c r="V500" s="25"/>
      <c r="W500" s="25"/>
      <c r="X500" s="25"/>
      <c r="Y500" s="22" t="str">
        <f t="shared" si="39"/>
        <v/>
      </c>
      <c r="Z500" s="25"/>
      <c r="AA500" s="25"/>
      <c r="AB500" s="25"/>
      <c r="AC500" s="25"/>
      <c r="AD500" s="25"/>
      <c r="AE500" s="25"/>
      <c r="AF500" s="25"/>
      <c r="AG500" s="9"/>
      <c r="AH500" s="29"/>
      <c r="AI500" s="29"/>
      <c r="AM500" s="50"/>
      <c r="AN500" s="51" t="s">
        <v>3496</v>
      </c>
      <c r="AO500" s="55" t="s">
        <v>992</v>
      </c>
    </row>
    <row r="501" spans="1:41" ht="91.2" customHeight="1" x14ac:dyDescent="0.3">
      <c r="A501" s="20">
        <v>497</v>
      </c>
      <c r="B501" s="8" t="s">
        <v>3497</v>
      </c>
      <c r="C501" s="26">
        <v>2026</v>
      </c>
      <c r="D501" s="8"/>
      <c r="E501" s="8" t="s">
        <v>995</v>
      </c>
      <c r="F501" s="20" t="s">
        <v>1969</v>
      </c>
      <c r="G501" s="21" t="s">
        <v>1979</v>
      </c>
      <c r="H501" s="21" t="s">
        <v>1968</v>
      </c>
      <c r="I501" s="21" t="s">
        <v>1968</v>
      </c>
      <c r="J501" s="21" t="s">
        <v>1968</v>
      </c>
      <c r="K501" s="21" t="s">
        <v>1968</v>
      </c>
      <c r="L501" s="22" t="str">
        <f t="shared" si="35"/>
        <v>EXCLUDE</v>
      </c>
      <c r="M501" s="22" t="str">
        <f t="shared" si="36"/>
        <v>Wrong domain (non-AECO)</v>
      </c>
      <c r="N501" s="23"/>
      <c r="O501" s="23"/>
      <c r="P501" s="24"/>
      <c r="Q501" s="24"/>
      <c r="R501" s="24"/>
      <c r="S501" s="22" t="str">
        <f t="shared" si="37"/>
        <v/>
      </c>
      <c r="T501" s="22" t="str">
        <f t="shared" si="38"/>
        <v/>
      </c>
      <c r="U501" s="25"/>
      <c r="V501" s="25"/>
      <c r="W501" s="25"/>
      <c r="X501" s="25"/>
      <c r="Y501" s="22" t="str">
        <f t="shared" si="39"/>
        <v/>
      </c>
      <c r="Z501" s="25"/>
      <c r="AA501" s="25"/>
      <c r="AB501" s="25"/>
      <c r="AC501" s="25"/>
      <c r="AD501" s="25"/>
      <c r="AE501" s="25"/>
      <c r="AF501" s="25"/>
      <c r="AG501" s="9"/>
      <c r="AH501" s="29"/>
      <c r="AI501" s="29"/>
      <c r="AM501" s="50"/>
      <c r="AN501" s="51" t="s">
        <v>3498</v>
      </c>
      <c r="AO501" s="55" t="s">
        <v>994</v>
      </c>
    </row>
    <row r="502" spans="1:41" ht="79.8" customHeight="1" x14ac:dyDescent="0.3">
      <c r="A502" s="20">
        <v>498</v>
      </c>
      <c r="B502" s="8" t="s">
        <v>3499</v>
      </c>
      <c r="C502" s="26">
        <v>2026</v>
      </c>
      <c r="D502" s="8"/>
      <c r="E502" s="8" t="s">
        <v>997</v>
      </c>
      <c r="F502" s="20" t="s">
        <v>1969</v>
      </c>
      <c r="G502" s="21" t="s">
        <v>1979</v>
      </c>
      <c r="H502" s="21" t="s">
        <v>1968</v>
      </c>
      <c r="I502" s="21" t="s">
        <v>1968</v>
      </c>
      <c r="J502" s="21" t="s">
        <v>1968</v>
      </c>
      <c r="K502" s="21" t="s">
        <v>1968</v>
      </c>
      <c r="L502" s="22" t="str">
        <f t="shared" si="35"/>
        <v>EXCLUDE</v>
      </c>
      <c r="M502" s="22" t="str">
        <f t="shared" si="36"/>
        <v>Wrong domain (non-AECO)</v>
      </c>
      <c r="N502" s="23"/>
      <c r="O502" s="23"/>
      <c r="P502" s="24"/>
      <c r="Q502" s="24"/>
      <c r="R502" s="24"/>
      <c r="S502" s="22" t="str">
        <f t="shared" si="37"/>
        <v/>
      </c>
      <c r="T502" s="22" t="str">
        <f t="shared" si="38"/>
        <v/>
      </c>
      <c r="U502" s="25"/>
      <c r="V502" s="25"/>
      <c r="W502" s="25"/>
      <c r="X502" s="25"/>
      <c r="Y502" s="22" t="str">
        <f t="shared" si="39"/>
        <v/>
      </c>
      <c r="Z502" s="25"/>
      <c r="AA502" s="25"/>
      <c r="AB502" s="25"/>
      <c r="AC502" s="25"/>
      <c r="AD502" s="25"/>
      <c r="AE502" s="25"/>
      <c r="AF502" s="25"/>
      <c r="AG502" s="9"/>
      <c r="AH502" s="29"/>
      <c r="AI502" s="29"/>
      <c r="AM502" s="50"/>
      <c r="AN502" s="51" t="s">
        <v>3500</v>
      </c>
      <c r="AO502" s="55" t="s">
        <v>996</v>
      </c>
    </row>
    <row r="503" spans="1:41" ht="45.6" customHeight="1" x14ac:dyDescent="0.3">
      <c r="A503" s="20">
        <v>499</v>
      </c>
      <c r="B503" s="8" t="s">
        <v>3501</v>
      </c>
      <c r="C503" s="26">
        <v>2026</v>
      </c>
      <c r="D503" s="8"/>
      <c r="E503" s="8" t="s">
        <v>999</v>
      </c>
      <c r="F503" s="20" t="s">
        <v>1969</v>
      </c>
      <c r="G503" s="21" t="s">
        <v>1979</v>
      </c>
      <c r="H503" s="21" t="s">
        <v>1968</v>
      </c>
      <c r="I503" s="21" t="s">
        <v>1968</v>
      </c>
      <c r="J503" s="21" t="s">
        <v>1968</v>
      </c>
      <c r="K503" s="21" t="s">
        <v>1968</v>
      </c>
      <c r="L503" s="22" t="str">
        <f t="shared" si="35"/>
        <v>EXCLUDE</v>
      </c>
      <c r="M503" s="22" t="str">
        <f t="shared" si="36"/>
        <v>Wrong domain (non-AECO)</v>
      </c>
      <c r="N503" s="23"/>
      <c r="O503" s="23"/>
      <c r="P503" s="24"/>
      <c r="Q503" s="24"/>
      <c r="R503" s="24"/>
      <c r="S503" s="22" t="str">
        <f t="shared" si="37"/>
        <v/>
      </c>
      <c r="T503" s="22" t="str">
        <f t="shared" si="38"/>
        <v/>
      </c>
      <c r="U503" s="25"/>
      <c r="V503" s="25"/>
      <c r="W503" s="25"/>
      <c r="X503" s="25"/>
      <c r="Y503" s="22" t="str">
        <f t="shared" si="39"/>
        <v/>
      </c>
      <c r="Z503" s="25"/>
      <c r="AA503" s="25"/>
      <c r="AB503" s="25"/>
      <c r="AC503" s="25"/>
      <c r="AD503" s="25"/>
      <c r="AE503" s="25"/>
      <c r="AF503" s="25"/>
      <c r="AG503" s="9"/>
      <c r="AH503" s="29"/>
      <c r="AI503" s="29"/>
      <c r="AM503" s="50"/>
      <c r="AN503" s="51" t="s">
        <v>3502</v>
      </c>
      <c r="AO503" s="55" t="s">
        <v>998</v>
      </c>
    </row>
    <row r="504" spans="1:41" ht="57" customHeight="1" x14ac:dyDescent="0.3">
      <c r="A504" s="20">
        <v>500</v>
      </c>
      <c r="B504" s="8" t="s">
        <v>3503</v>
      </c>
      <c r="C504" s="26">
        <v>2026</v>
      </c>
      <c r="D504" s="8"/>
      <c r="E504" s="8" t="s">
        <v>1001</v>
      </c>
      <c r="F504" s="20" t="s">
        <v>1969</v>
      </c>
      <c r="G504" s="21" t="s">
        <v>1979</v>
      </c>
      <c r="H504" s="21" t="s">
        <v>1968</v>
      </c>
      <c r="I504" s="21" t="s">
        <v>1968</v>
      </c>
      <c r="J504" s="21" t="s">
        <v>1968</v>
      </c>
      <c r="K504" s="21" t="s">
        <v>1968</v>
      </c>
      <c r="L504" s="22" t="str">
        <f t="shared" si="35"/>
        <v>EXCLUDE</v>
      </c>
      <c r="M504" s="22" t="str">
        <f t="shared" si="36"/>
        <v>Wrong domain (non-AECO)</v>
      </c>
      <c r="N504" s="23"/>
      <c r="O504" s="23"/>
      <c r="P504" s="24"/>
      <c r="Q504" s="24"/>
      <c r="R504" s="24"/>
      <c r="S504" s="22" t="str">
        <f t="shared" si="37"/>
        <v/>
      </c>
      <c r="T504" s="22" t="str">
        <f t="shared" si="38"/>
        <v/>
      </c>
      <c r="U504" s="25"/>
      <c r="V504" s="25"/>
      <c r="W504" s="25"/>
      <c r="X504" s="25"/>
      <c r="Y504" s="22" t="str">
        <f t="shared" si="39"/>
        <v/>
      </c>
      <c r="Z504" s="25"/>
      <c r="AA504" s="25"/>
      <c r="AB504" s="25"/>
      <c r="AC504" s="25"/>
      <c r="AD504" s="25"/>
      <c r="AE504" s="25"/>
      <c r="AF504" s="25"/>
      <c r="AG504" s="9"/>
      <c r="AH504" s="29"/>
      <c r="AI504" s="29"/>
      <c r="AM504" s="50"/>
      <c r="AN504" s="51" t="s">
        <v>3504</v>
      </c>
      <c r="AO504" s="55" t="s">
        <v>1000</v>
      </c>
    </row>
    <row r="505" spans="1:41" ht="91.2" customHeight="1" x14ac:dyDescent="0.3">
      <c r="A505" s="20">
        <v>501</v>
      </c>
      <c r="B505" s="8" t="s">
        <v>3505</v>
      </c>
      <c r="C505" s="26">
        <v>2024</v>
      </c>
      <c r="D505" s="8"/>
      <c r="E505" s="8" t="s">
        <v>1003</v>
      </c>
      <c r="F505" s="20" t="s">
        <v>1969</v>
      </c>
      <c r="G505" s="21" t="s">
        <v>1968</v>
      </c>
      <c r="H505" s="21" t="s">
        <v>1968</v>
      </c>
      <c r="I505" s="21" t="s">
        <v>1968</v>
      </c>
      <c r="J505" s="21" t="s">
        <v>1968</v>
      </c>
      <c r="K505" s="21" t="s">
        <v>1968</v>
      </c>
      <c r="L505" s="22" t="str">
        <f t="shared" si="35"/>
        <v>INCLUDE</v>
      </c>
      <c r="M505" s="22" t="str">
        <f t="shared" si="36"/>
        <v/>
      </c>
      <c r="N505" s="23" t="s">
        <v>1968</v>
      </c>
      <c r="O505" s="23" t="s">
        <v>1968</v>
      </c>
      <c r="P505" s="24" t="s">
        <v>1968</v>
      </c>
      <c r="Q505" s="24" t="s">
        <v>1968</v>
      </c>
      <c r="R505" s="24" t="s">
        <v>1968</v>
      </c>
      <c r="S505" s="22" t="str">
        <f t="shared" si="37"/>
        <v>INCLUDE</v>
      </c>
      <c r="T505" s="22" t="str">
        <f t="shared" si="38"/>
        <v/>
      </c>
      <c r="U505" s="25" t="s">
        <v>1982</v>
      </c>
      <c r="V505" s="25">
        <v>0</v>
      </c>
      <c r="W505" s="25">
        <v>0</v>
      </c>
      <c r="X505" s="25">
        <v>1</v>
      </c>
      <c r="Y505" s="22" t="str">
        <f t="shared" si="39"/>
        <v>Single</v>
      </c>
      <c r="Z505" s="25" t="s">
        <v>1922</v>
      </c>
      <c r="AA505" s="25" t="s">
        <v>1972</v>
      </c>
      <c r="AB505" s="25" t="s">
        <v>2014</v>
      </c>
      <c r="AC505" s="25" t="s">
        <v>1986</v>
      </c>
      <c r="AD505" s="25" t="s">
        <v>2003</v>
      </c>
      <c r="AE505" s="25">
        <v>4</v>
      </c>
      <c r="AF505" s="25" t="s">
        <v>2012</v>
      </c>
      <c r="AG505" s="9" t="s">
        <v>3506</v>
      </c>
      <c r="AH505" s="29" t="s">
        <v>3507</v>
      </c>
      <c r="AI505" s="29" t="s">
        <v>3508</v>
      </c>
      <c r="AJ505" t="s">
        <v>1997</v>
      </c>
      <c r="AK505" t="s">
        <v>3509</v>
      </c>
      <c r="AL505" t="s">
        <v>1978</v>
      </c>
      <c r="AM505" s="50"/>
      <c r="AN505" s="51" t="s">
        <v>3510</v>
      </c>
      <c r="AO505" s="55" t="s">
        <v>1002</v>
      </c>
    </row>
    <row r="506" spans="1:41" ht="79.8" customHeight="1" x14ac:dyDescent="0.3">
      <c r="A506" s="20">
        <v>502</v>
      </c>
      <c r="B506" s="8" t="s">
        <v>3511</v>
      </c>
      <c r="C506" s="26">
        <v>2025</v>
      </c>
      <c r="D506" s="8"/>
      <c r="E506" s="8" t="s">
        <v>1005</v>
      </c>
      <c r="F506" s="20" t="s">
        <v>1969</v>
      </c>
      <c r="G506" s="21" t="s">
        <v>1979</v>
      </c>
      <c r="H506" s="21" t="s">
        <v>1968</v>
      </c>
      <c r="I506" s="21" t="s">
        <v>1968</v>
      </c>
      <c r="J506" s="21" t="s">
        <v>1968</v>
      </c>
      <c r="K506" s="21" t="s">
        <v>1968</v>
      </c>
      <c r="L506" s="22" t="str">
        <f t="shared" si="35"/>
        <v>EXCLUDE</v>
      </c>
      <c r="M506" s="22" t="str">
        <f t="shared" si="36"/>
        <v>Wrong domain (non-AECO)</v>
      </c>
      <c r="N506" s="23"/>
      <c r="O506" s="23"/>
      <c r="P506" s="24"/>
      <c r="Q506" s="24"/>
      <c r="R506" s="24"/>
      <c r="S506" s="22" t="str">
        <f t="shared" si="37"/>
        <v/>
      </c>
      <c r="T506" s="22" t="str">
        <f t="shared" si="38"/>
        <v/>
      </c>
      <c r="U506" s="25"/>
      <c r="V506" s="25"/>
      <c r="W506" s="25"/>
      <c r="X506" s="25"/>
      <c r="Y506" s="22" t="str">
        <f t="shared" si="39"/>
        <v/>
      </c>
      <c r="Z506" s="25"/>
      <c r="AA506" s="25"/>
      <c r="AB506" s="25"/>
      <c r="AC506" s="25"/>
      <c r="AD506" s="25"/>
      <c r="AE506" s="25"/>
      <c r="AF506" s="25"/>
      <c r="AG506" s="9"/>
      <c r="AH506" s="29"/>
      <c r="AI506" s="29"/>
      <c r="AM506" s="50"/>
      <c r="AN506" s="51" t="s">
        <v>3512</v>
      </c>
      <c r="AO506" s="55" t="s">
        <v>1004</v>
      </c>
    </row>
    <row r="507" spans="1:41" ht="34.200000000000003" customHeight="1" x14ac:dyDescent="0.3">
      <c r="A507" s="20">
        <v>503</v>
      </c>
      <c r="B507" s="8" t="s">
        <v>3513</v>
      </c>
      <c r="C507" s="26">
        <v>2024</v>
      </c>
      <c r="D507" s="8"/>
      <c r="E507" s="8" t="s">
        <v>1007</v>
      </c>
      <c r="F507" s="20" t="s">
        <v>1969</v>
      </c>
      <c r="G507" s="21" t="s">
        <v>1968</v>
      </c>
      <c r="H507" s="21" t="s">
        <v>1979</v>
      </c>
      <c r="I507" s="21" t="s">
        <v>1968</v>
      </c>
      <c r="J507" s="21" t="s">
        <v>1968</v>
      </c>
      <c r="K507" s="21" t="s">
        <v>1968</v>
      </c>
      <c r="L507" s="22" t="str">
        <f t="shared" si="35"/>
        <v>EXCLUDE</v>
      </c>
      <c r="M507" s="22" t="str">
        <f t="shared" si="36"/>
        <v>Digital Twin not core / buzzword</v>
      </c>
      <c r="N507" s="23"/>
      <c r="O507" s="23"/>
      <c r="P507" s="24"/>
      <c r="Q507" s="24"/>
      <c r="R507" s="24"/>
      <c r="S507" s="22" t="str">
        <f t="shared" si="37"/>
        <v/>
      </c>
      <c r="T507" s="22" t="str">
        <f t="shared" si="38"/>
        <v/>
      </c>
      <c r="U507" s="25"/>
      <c r="V507" s="25"/>
      <c r="W507" s="25"/>
      <c r="X507" s="25"/>
      <c r="Y507" s="22" t="str">
        <f t="shared" si="39"/>
        <v/>
      </c>
      <c r="Z507" s="25"/>
      <c r="AA507" s="25"/>
      <c r="AB507" s="25"/>
      <c r="AC507" s="25"/>
      <c r="AD507" s="25"/>
      <c r="AE507" s="25"/>
      <c r="AF507" s="25"/>
      <c r="AG507" s="9"/>
      <c r="AH507" s="29"/>
      <c r="AI507" s="29"/>
      <c r="AM507" s="50"/>
      <c r="AN507" s="51" t="s">
        <v>3514</v>
      </c>
      <c r="AO507" s="55" t="s">
        <v>1006</v>
      </c>
    </row>
    <row r="508" spans="1:41" ht="125.4" customHeight="1" x14ac:dyDescent="0.3">
      <c r="A508" s="20">
        <v>504</v>
      </c>
      <c r="B508" s="8" t="s">
        <v>3515</v>
      </c>
      <c r="C508" s="26">
        <v>2023</v>
      </c>
      <c r="D508" s="8"/>
      <c r="E508" s="8" t="s">
        <v>1009</v>
      </c>
      <c r="F508" s="20" t="s">
        <v>1969</v>
      </c>
      <c r="G508" s="21" t="s">
        <v>1968</v>
      </c>
      <c r="H508" s="21" t="s">
        <v>1968</v>
      </c>
      <c r="I508" s="21" t="s">
        <v>1968</v>
      </c>
      <c r="J508" s="21" t="s">
        <v>1968</v>
      </c>
      <c r="K508" s="21" t="s">
        <v>1968</v>
      </c>
      <c r="L508" s="22" t="str">
        <f t="shared" si="35"/>
        <v>INCLUDE</v>
      </c>
      <c r="M508" s="22" t="str">
        <f t="shared" si="36"/>
        <v/>
      </c>
      <c r="N508" s="23" t="s">
        <v>1968</v>
      </c>
      <c r="O508" s="23" t="s">
        <v>1968</v>
      </c>
      <c r="P508" s="24" t="s">
        <v>1968</v>
      </c>
      <c r="Q508" s="24" t="s">
        <v>1968</v>
      </c>
      <c r="R508" s="24" t="s">
        <v>1968</v>
      </c>
      <c r="S508" s="22" t="str">
        <f t="shared" si="37"/>
        <v>INCLUDE</v>
      </c>
      <c r="T508" s="22" t="str">
        <f t="shared" si="38"/>
        <v/>
      </c>
      <c r="U508" s="25" t="s">
        <v>1982</v>
      </c>
      <c r="V508" s="25">
        <v>0</v>
      </c>
      <c r="W508" s="25">
        <v>1</v>
      </c>
      <c r="X508" s="25">
        <v>0</v>
      </c>
      <c r="Y508" s="22" t="str">
        <f t="shared" si="39"/>
        <v>Single</v>
      </c>
      <c r="Z508" s="25" t="s">
        <v>1922</v>
      </c>
      <c r="AA508" s="25" t="s">
        <v>1972</v>
      </c>
      <c r="AB508" s="25" t="s">
        <v>2016</v>
      </c>
      <c r="AC508" s="25" t="s">
        <v>1986</v>
      </c>
      <c r="AD508" s="25" t="s">
        <v>2003</v>
      </c>
      <c r="AE508" s="25">
        <v>4</v>
      </c>
      <c r="AF508" s="25" t="s">
        <v>2004</v>
      </c>
      <c r="AG508" s="9" t="s">
        <v>3516</v>
      </c>
      <c r="AH508" s="29" t="s">
        <v>3517</v>
      </c>
      <c r="AI508" s="29" t="s">
        <v>3518</v>
      </c>
      <c r="AJ508" t="s">
        <v>2005</v>
      </c>
      <c r="AK508" t="s">
        <v>3519</v>
      </c>
      <c r="AL508" t="s">
        <v>1978</v>
      </c>
      <c r="AM508" s="50"/>
      <c r="AN508" s="51" t="s">
        <v>3520</v>
      </c>
      <c r="AO508" s="55" t="s">
        <v>1008</v>
      </c>
    </row>
    <row r="509" spans="1:41" ht="68.400000000000006" customHeight="1" x14ac:dyDescent="0.3">
      <c r="A509" s="20">
        <v>505</v>
      </c>
      <c r="B509" s="8" t="s">
        <v>3521</v>
      </c>
      <c r="C509" s="26">
        <v>2018</v>
      </c>
      <c r="D509" s="8"/>
      <c r="E509" s="8" t="s">
        <v>1011</v>
      </c>
      <c r="F509" s="20" t="s">
        <v>1969</v>
      </c>
      <c r="G509" s="21" t="s">
        <v>1968</v>
      </c>
      <c r="H509" s="21" t="s">
        <v>1979</v>
      </c>
      <c r="I509" s="21" t="s">
        <v>1968</v>
      </c>
      <c r="J509" s="21" t="s">
        <v>1968</v>
      </c>
      <c r="K509" s="21" t="s">
        <v>1968</v>
      </c>
      <c r="L509" s="22" t="str">
        <f t="shared" si="35"/>
        <v>EXCLUDE</v>
      </c>
      <c r="M509" s="22" t="str">
        <f t="shared" si="36"/>
        <v>Digital Twin not core / buzzword</v>
      </c>
      <c r="N509" s="23"/>
      <c r="O509" s="23"/>
      <c r="P509" s="24"/>
      <c r="Q509" s="24"/>
      <c r="R509" s="24"/>
      <c r="S509" s="22" t="str">
        <f t="shared" si="37"/>
        <v/>
      </c>
      <c r="T509" s="22" t="str">
        <f t="shared" si="38"/>
        <v/>
      </c>
      <c r="U509" s="25"/>
      <c r="V509" s="25"/>
      <c r="W509" s="25"/>
      <c r="X509" s="25"/>
      <c r="Y509" s="22" t="str">
        <f t="shared" si="39"/>
        <v/>
      </c>
      <c r="Z509" s="25"/>
      <c r="AA509" s="25"/>
      <c r="AB509" s="25"/>
      <c r="AC509" s="25"/>
      <c r="AD509" s="25"/>
      <c r="AE509" s="25"/>
      <c r="AF509" s="25"/>
      <c r="AG509" s="9"/>
      <c r="AH509" s="29"/>
      <c r="AI509" s="29"/>
      <c r="AM509" s="50"/>
      <c r="AN509" s="51" t="s">
        <v>3522</v>
      </c>
      <c r="AO509" s="55" t="s">
        <v>1010</v>
      </c>
    </row>
    <row r="510" spans="1:41" ht="45.6" customHeight="1" x14ac:dyDescent="0.3">
      <c r="A510" s="20">
        <v>506</v>
      </c>
      <c r="B510" s="8" t="s">
        <v>3523</v>
      </c>
      <c r="C510" s="26">
        <v>2024</v>
      </c>
      <c r="D510" s="8"/>
      <c r="E510" s="8" t="s">
        <v>1013</v>
      </c>
      <c r="F510" s="20" t="s">
        <v>1969</v>
      </c>
      <c r="G510" s="21" t="s">
        <v>1968</v>
      </c>
      <c r="H510" s="21" t="s">
        <v>1968</v>
      </c>
      <c r="I510" s="21" t="s">
        <v>1968</v>
      </c>
      <c r="J510" s="21" t="s">
        <v>1968</v>
      </c>
      <c r="K510" s="21" t="s">
        <v>1968</v>
      </c>
      <c r="L510" s="22" t="str">
        <f t="shared" si="35"/>
        <v>INCLUDE</v>
      </c>
      <c r="M510" s="22" t="str">
        <f t="shared" si="36"/>
        <v/>
      </c>
      <c r="N510" s="23" t="s">
        <v>1968</v>
      </c>
      <c r="O510" s="23" t="s">
        <v>1968</v>
      </c>
      <c r="P510" s="24" t="s">
        <v>1968</v>
      </c>
      <c r="Q510" s="24" t="s">
        <v>1968</v>
      </c>
      <c r="R510" s="24" t="s">
        <v>1968</v>
      </c>
      <c r="S510" s="22" t="str">
        <f t="shared" si="37"/>
        <v>INCLUDE</v>
      </c>
      <c r="T510" s="22" t="str">
        <f t="shared" si="38"/>
        <v/>
      </c>
      <c r="U510" s="25" t="s">
        <v>1982</v>
      </c>
      <c r="V510" s="25">
        <v>0</v>
      </c>
      <c r="W510" s="25">
        <v>1</v>
      </c>
      <c r="X510" s="25">
        <v>0</v>
      </c>
      <c r="Y510" s="22" t="str">
        <f t="shared" si="39"/>
        <v>Single</v>
      </c>
      <c r="Z510" s="25" t="s">
        <v>1922</v>
      </c>
      <c r="AA510" s="25" t="s">
        <v>1972</v>
      </c>
      <c r="AB510" s="25" t="s">
        <v>2002</v>
      </c>
      <c r="AC510" s="25" t="s">
        <v>1986</v>
      </c>
      <c r="AD510" s="25" t="s">
        <v>2003</v>
      </c>
      <c r="AE510" s="25">
        <v>4</v>
      </c>
      <c r="AF510" s="25" t="s">
        <v>2004</v>
      </c>
      <c r="AG510" s="9" t="s">
        <v>3524</v>
      </c>
      <c r="AH510" s="29" t="s">
        <v>3525</v>
      </c>
      <c r="AI510" s="29" t="s">
        <v>3526</v>
      </c>
      <c r="AJ510" t="s">
        <v>2005</v>
      </c>
      <c r="AK510" t="s">
        <v>3527</v>
      </c>
      <c r="AL510" t="s">
        <v>1978</v>
      </c>
      <c r="AM510" s="50"/>
      <c r="AN510" s="51" t="s">
        <v>3528</v>
      </c>
      <c r="AO510" s="55" t="s">
        <v>1012</v>
      </c>
    </row>
    <row r="511" spans="1:41" ht="57" customHeight="1" x14ac:dyDescent="0.3">
      <c r="A511" s="20">
        <v>507</v>
      </c>
      <c r="B511" s="8" t="s">
        <v>3529</v>
      </c>
      <c r="C511" s="26">
        <v>2022</v>
      </c>
      <c r="D511" s="8"/>
      <c r="E511" s="8" t="s">
        <v>1015</v>
      </c>
      <c r="F511" s="20" t="s">
        <v>1969</v>
      </c>
      <c r="G511" s="21" t="s">
        <v>1979</v>
      </c>
      <c r="H511" s="21" t="s">
        <v>1968</v>
      </c>
      <c r="I511" s="21" t="s">
        <v>1968</v>
      </c>
      <c r="J511" s="21" t="s">
        <v>1968</v>
      </c>
      <c r="K511" s="21" t="s">
        <v>1968</v>
      </c>
      <c r="L511" s="22" t="str">
        <f t="shared" si="35"/>
        <v>EXCLUDE</v>
      </c>
      <c r="M511" s="22" t="str">
        <f t="shared" si="36"/>
        <v>Wrong domain (non-AECO)</v>
      </c>
      <c r="N511" s="23"/>
      <c r="O511" s="23"/>
      <c r="P511" s="24"/>
      <c r="Q511" s="24"/>
      <c r="R511" s="24"/>
      <c r="S511" s="22" t="str">
        <f t="shared" si="37"/>
        <v/>
      </c>
      <c r="T511" s="22" t="str">
        <f t="shared" si="38"/>
        <v/>
      </c>
      <c r="U511" s="25"/>
      <c r="V511" s="25"/>
      <c r="W511" s="25"/>
      <c r="X511" s="25"/>
      <c r="Y511" s="22" t="str">
        <f t="shared" si="39"/>
        <v/>
      </c>
      <c r="Z511" s="25"/>
      <c r="AA511" s="25"/>
      <c r="AB511" s="25"/>
      <c r="AC511" s="25"/>
      <c r="AD511" s="25"/>
      <c r="AE511" s="25"/>
      <c r="AF511" s="25"/>
      <c r="AG511" s="9"/>
      <c r="AH511" s="29"/>
      <c r="AI511" s="29"/>
      <c r="AM511" s="50"/>
      <c r="AN511" s="51" t="s">
        <v>3530</v>
      </c>
      <c r="AO511" s="55" t="s">
        <v>1014</v>
      </c>
    </row>
    <row r="512" spans="1:41" ht="68.400000000000006" customHeight="1" x14ac:dyDescent="0.3">
      <c r="A512" s="20">
        <v>508</v>
      </c>
      <c r="B512" s="8" t="s">
        <v>3531</v>
      </c>
      <c r="C512" s="26">
        <v>2024</v>
      </c>
      <c r="D512" s="8"/>
      <c r="E512" s="8" t="s">
        <v>1017</v>
      </c>
      <c r="F512" s="20" t="s">
        <v>1969</v>
      </c>
      <c r="G512" s="21" t="s">
        <v>1968</v>
      </c>
      <c r="H512" s="21" t="s">
        <v>1968</v>
      </c>
      <c r="I512" s="21" t="s">
        <v>1979</v>
      </c>
      <c r="J512" s="21" t="s">
        <v>1968</v>
      </c>
      <c r="K512" s="21" t="s">
        <v>1968</v>
      </c>
      <c r="L512" s="22" t="str">
        <f t="shared" si="35"/>
        <v>EXCLUDE</v>
      </c>
      <c r="M512" s="22" t="str">
        <f t="shared" si="36"/>
        <v>No Design for Safety / PtD focus</v>
      </c>
      <c r="N512" s="23"/>
      <c r="O512" s="23"/>
      <c r="P512" s="24"/>
      <c r="Q512" s="24"/>
      <c r="R512" s="24"/>
      <c r="S512" s="22" t="str">
        <f t="shared" si="37"/>
        <v/>
      </c>
      <c r="T512" s="22" t="str">
        <f t="shared" si="38"/>
        <v/>
      </c>
      <c r="U512" s="25"/>
      <c r="V512" s="25"/>
      <c r="W512" s="25"/>
      <c r="X512" s="25"/>
      <c r="Y512" s="22" t="str">
        <f t="shared" si="39"/>
        <v/>
      </c>
      <c r="Z512" s="25"/>
      <c r="AA512" s="25"/>
      <c r="AB512" s="25"/>
      <c r="AC512" s="25"/>
      <c r="AD512" s="25"/>
      <c r="AE512" s="25"/>
      <c r="AF512" s="25"/>
      <c r="AG512" s="9"/>
      <c r="AH512" s="29"/>
      <c r="AI512" s="29"/>
      <c r="AM512" s="50"/>
      <c r="AN512" s="51" t="s">
        <v>3532</v>
      </c>
      <c r="AO512" s="55" t="s">
        <v>1016</v>
      </c>
    </row>
    <row r="513" spans="1:41" ht="68.400000000000006" customHeight="1" x14ac:dyDescent="0.3">
      <c r="A513" s="20">
        <v>509</v>
      </c>
      <c r="B513" s="8" t="s">
        <v>3533</v>
      </c>
      <c r="C513" s="26">
        <v>2024</v>
      </c>
      <c r="D513" s="8"/>
      <c r="E513" s="8" t="s">
        <v>1019</v>
      </c>
      <c r="F513" s="20" t="s">
        <v>1969</v>
      </c>
      <c r="G513" s="21" t="s">
        <v>1979</v>
      </c>
      <c r="H513" s="21" t="s">
        <v>1968</v>
      </c>
      <c r="I513" s="21" t="s">
        <v>1968</v>
      </c>
      <c r="J513" s="21" t="s">
        <v>1968</v>
      </c>
      <c r="K513" s="21" t="s">
        <v>1968</v>
      </c>
      <c r="L513" s="22" t="str">
        <f t="shared" si="35"/>
        <v>EXCLUDE</v>
      </c>
      <c r="M513" s="22" t="str">
        <f t="shared" si="36"/>
        <v>Wrong domain (non-AECO)</v>
      </c>
      <c r="N513" s="23"/>
      <c r="O513" s="23"/>
      <c r="P513" s="24"/>
      <c r="Q513" s="24"/>
      <c r="R513" s="24"/>
      <c r="S513" s="22" t="str">
        <f t="shared" si="37"/>
        <v/>
      </c>
      <c r="T513" s="22" t="str">
        <f t="shared" si="38"/>
        <v/>
      </c>
      <c r="U513" s="25"/>
      <c r="V513" s="25"/>
      <c r="W513" s="25"/>
      <c r="X513" s="25"/>
      <c r="Y513" s="22" t="str">
        <f t="shared" si="39"/>
        <v/>
      </c>
      <c r="Z513" s="25"/>
      <c r="AA513" s="25"/>
      <c r="AB513" s="25"/>
      <c r="AC513" s="25"/>
      <c r="AD513" s="25"/>
      <c r="AE513" s="25"/>
      <c r="AF513" s="25"/>
      <c r="AG513" s="9"/>
      <c r="AH513" s="29"/>
      <c r="AI513" s="29"/>
      <c r="AM513" s="50"/>
      <c r="AN513" s="51" t="s">
        <v>3534</v>
      </c>
      <c r="AO513" s="55" t="s">
        <v>1018</v>
      </c>
    </row>
    <row r="514" spans="1:41" ht="102.6" customHeight="1" x14ac:dyDescent="0.3">
      <c r="A514" s="20">
        <v>510</v>
      </c>
      <c r="B514" s="8" t="s">
        <v>3535</v>
      </c>
      <c r="C514" s="26">
        <v>2023</v>
      </c>
      <c r="D514" s="8"/>
      <c r="E514" s="8" t="s">
        <v>1021</v>
      </c>
      <c r="F514" s="20" t="s">
        <v>1969</v>
      </c>
      <c r="G514" s="21" t="s">
        <v>1968</v>
      </c>
      <c r="H514" s="21" t="s">
        <v>1968</v>
      </c>
      <c r="I514" s="21" t="s">
        <v>1968</v>
      </c>
      <c r="J514" s="21" t="s">
        <v>1968</v>
      </c>
      <c r="K514" s="21" t="s">
        <v>1968</v>
      </c>
      <c r="L514" s="22" t="str">
        <f t="shared" si="35"/>
        <v>INCLUDE</v>
      </c>
      <c r="M514" s="22" t="str">
        <f t="shared" si="36"/>
        <v/>
      </c>
      <c r="N514" s="23" t="s">
        <v>1968</v>
      </c>
      <c r="O514" s="23" t="s">
        <v>1968</v>
      </c>
      <c r="P514" s="24" t="s">
        <v>1968</v>
      </c>
      <c r="Q514" s="24" t="s">
        <v>1968</v>
      </c>
      <c r="R514" s="24" t="s">
        <v>1968</v>
      </c>
      <c r="S514" s="22" t="str">
        <f t="shared" si="37"/>
        <v>INCLUDE</v>
      </c>
      <c r="T514" s="22" t="str">
        <f t="shared" si="38"/>
        <v/>
      </c>
      <c r="U514" s="25" t="s">
        <v>1982</v>
      </c>
      <c r="V514" s="25">
        <v>0</v>
      </c>
      <c r="W514" s="25">
        <v>1</v>
      </c>
      <c r="X514" s="25">
        <v>0</v>
      </c>
      <c r="Y514" s="22" t="str">
        <f t="shared" si="39"/>
        <v>Single</v>
      </c>
      <c r="Z514" s="25" t="s">
        <v>1922</v>
      </c>
      <c r="AA514" s="25" t="s">
        <v>1972</v>
      </c>
      <c r="AB514" s="25" t="s">
        <v>1973</v>
      </c>
      <c r="AC514" s="25" t="s">
        <v>1986</v>
      </c>
      <c r="AD514" s="25" t="s">
        <v>2003</v>
      </c>
      <c r="AE514" s="25">
        <v>4</v>
      </c>
      <c r="AF514" s="25" t="s">
        <v>1996</v>
      </c>
      <c r="AG514" s="9" t="s">
        <v>3536</v>
      </c>
      <c r="AH514" s="29" t="s">
        <v>3537</v>
      </c>
      <c r="AI514" s="29" t="s">
        <v>3538</v>
      </c>
      <c r="AJ514" t="s">
        <v>1997</v>
      </c>
      <c r="AK514" t="s">
        <v>3539</v>
      </c>
      <c r="AL514" t="s">
        <v>1978</v>
      </c>
      <c r="AM514" s="50"/>
      <c r="AN514" s="51" t="s">
        <v>3540</v>
      </c>
      <c r="AO514" s="55" t="s">
        <v>1020</v>
      </c>
    </row>
    <row r="515" spans="1:41" ht="79.8" customHeight="1" x14ac:dyDescent="0.3">
      <c r="A515" s="20">
        <v>511</v>
      </c>
      <c r="B515" s="8" t="s">
        <v>3541</v>
      </c>
      <c r="C515" s="26">
        <v>2023</v>
      </c>
      <c r="D515" s="8"/>
      <c r="E515" s="8" t="s">
        <v>1023</v>
      </c>
      <c r="F515" s="20" t="s">
        <v>1969</v>
      </c>
      <c r="G515" s="21" t="s">
        <v>1968</v>
      </c>
      <c r="H515" s="21" t="s">
        <v>1968</v>
      </c>
      <c r="I515" s="21" t="s">
        <v>1968</v>
      </c>
      <c r="J515" s="21" t="s">
        <v>1968</v>
      </c>
      <c r="K515" s="21" t="s">
        <v>1968</v>
      </c>
      <c r="L515" s="22" t="str">
        <f t="shared" si="35"/>
        <v>INCLUDE</v>
      </c>
      <c r="M515" s="22" t="str">
        <f t="shared" si="36"/>
        <v/>
      </c>
      <c r="N515" s="23" t="s">
        <v>1968</v>
      </c>
      <c r="O515" s="23" t="s">
        <v>1968</v>
      </c>
      <c r="P515" s="24" t="s">
        <v>1968</v>
      </c>
      <c r="Q515" s="24" t="s">
        <v>1968</v>
      </c>
      <c r="R515" s="24" t="s">
        <v>1968</v>
      </c>
      <c r="S515" s="22" t="str">
        <f t="shared" si="37"/>
        <v>INCLUDE</v>
      </c>
      <c r="T515" s="22" t="str">
        <f t="shared" si="38"/>
        <v/>
      </c>
      <c r="U515" s="25" t="s">
        <v>1982</v>
      </c>
      <c r="V515" s="25">
        <v>0</v>
      </c>
      <c r="W515" s="25">
        <v>1</v>
      </c>
      <c r="X515" s="25">
        <v>0</v>
      </c>
      <c r="Y515" s="22" t="str">
        <f t="shared" si="39"/>
        <v>Single</v>
      </c>
      <c r="Z515" s="25" t="s">
        <v>1922</v>
      </c>
      <c r="AA515" s="25" t="s">
        <v>1972</v>
      </c>
      <c r="AB515" s="25" t="s">
        <v>2014</v>
      </c>
      <c r="AC515" s="25" t="s">
        <v>1986</v>
      </c>
      <c r="AD515" s="25" t="s">
        <v>2003</v>
      </c>
      <c r="AE515" s="25">
        <v>3</v>
      </c>
      <c r="AF515" s="25" t="s">
        <v>2004</v>
      </c>
      <c r="AG515" s="9" t="s">
        <v>3542</v>
      </c>
      <c r="AH515" s="29" t="s">
        <v>3543</v>
      </c>
      <c r="AI515" s="29" t="s">
        <v>3544</v>
      </c>
      <c r="AJ515" t="s">
        <v>2005</v>
      </c>
      <c r="AK515" t="s">
        <v>3545</v>
      </c>
      <c r="AL515" t="s">
        <v>1990</v>
      </c>
      <c r="AM515" s="50"/>
      <c r="AN515" s="51" t="s">
        <v>3546</v>
      </c>
      <c r="AO515" s="55" t="s">
        <v>1022</v>
      </c>
    </row>
    <row r="516" spans="1:41" ht="57" customHeight="1" x14ac:dyDescent="0.3">
      <c r="A516" s="20">
        <v>512</v>
      </c>
      <c r="B516" s="8" t="s">
        <v>3547</v>
      </c>
      <c r="C516" s="26">
        <v>2023</v>
      </c>
      <c r="D516" s="8"/>
      <c r="E516" s="8" t="s">
        <v>1025</v>
      </c>
      <c r="F516" s="20" t="s">
        <v>1969</v>
      </c>
      <c r="G516" s="21" t="s">
        <v>1968</v>
      </c>
      <c r="H516" s="21" t="s">
        <v>1979</v>
      </c>
      <c r="I516" s="21" t="s">
        <v>1968</v>
      </c>
      <c r="J516" s="21" t="s">
        <v>1968</v>
      </c>
      <c r="K516" s="21" t="s">
        <v>1968</v>
      </c>
      <c r="L516" s="22" t="str">
        <f t="shared" si="35"/>
        <v>EXCLUDE</v>
      </c>
      <c r="M516" s="22" t="str">
        <f t="shared" si="36"/>
        <v>Digital Twin not core / buzzword</v>
      </c>
      <c r="N516" s="23"/>
      <c r="O516" s="23"/>
      <c r="P516" s="24"/>
      <c r="Q516" s="24"/>
      <c r="R516" s="24"/>
      <c r="S516" s="22" t="str">
        <f t="shared" si="37"/>
        <v/>
      </c>
      <c r="T516" s="22" t="str">
        <f t="shared" si="38"/>
        <v/>
      </c>
      <c r="U516" s="25"/>
      <c r="V516" s="25"/>
      <c r="W516" s="25"/>
      <c r="X516" s="25"/>
      <c r="Y516" s="22" t="str">
        <f t="shared" si="39"/>
        <v/>
      </c>
      <c r="Z516" s="25"/>
      <c r="AA516" s="25"/>
      <c r="AB516" s="25"/>
      <c r="AC516" s="25"/>
      <c r="AD516" s="25"/>
      <c r="AE516" s="25"/>
      <c r="AF516" s="25"/>
      <c r="AG516" s="9"/>
      <c r="AH516" s="29"/>
      <c r="AI516" s="29"/>
      <c r="AM516" s="50"/>
      <c r="AN516" s="51" t="s">
        <v>3548</v>
      </c>
      <c r="AO516" s="55" t="s">
        <v>1024</v>
      </c>
    </row>
    <row r="517" spans="1:41" ht="91.2" customHeight="1" x14ac:dyDescent="0.3">
      <c r="A517" s="20">
        <v>513</v>
      </c>
      <c r="B517" s="8" t="s">
        <v>3549</v>
      </c>
      <c r="C517" s="26">
        <v>2022</v>
      </c>
      <c r="D517" s="8"/>
      <c r="E517" s="8" t="s">
        <v>1027</v>
      </c>
      <c r="F517" s="20" t="s">
        <v>1969</v>
      </c>
      <c r="G517" s="21" t="s">
        <v>1968</v>
      </c>
      <c r="H517" s="21" t="s">
        <v>1968</v>
      </c>
      <c r="I517" s="21" t="s">
        <v>1968</v>
      </c>
      <c r="J517" s="21" t="s">
        <v>1968</v>
      </c>
      <c r="K517" s="21" t="s">
        <v>1968</v>
      </c>
      <c r="L517" s="22" t="str">
        <f t="shared" ref="L517:L580" si="40">IF(COUNTBLANK(G517:K517)=5,"",IF(COUNTIF(G517:K517,"No")&gt;0,"EXCLUDE","INCLUDE"))</f>
        <v>INCLUDE</v>
      </c>
      <c r="M517" s="22" t="str">
        <f t="shared" ref="M517:M580" si="41">IF(L517&lt;&gt;"EXCLUDE","",IF(G517="No","Wrong domain (non-AECO)",IF(H517="No","Digital Twin not core / buzzword",IF(I517="No","No Design for Safety / PtD focus",IF(J517="No","Wrong publication type",IF(K517="No","Non-English",""))))))</f>
        <v/>
      </c>
      <c r="N517" s="23" t="s">
        <v>1968</v>
      </c>
      <c r="O517" s="23" t="s">
        <v>1968</v>
      </c>
      <c r="P517" s="24" t="s">
        <v>1968</v>
      </c>
      <c r="Q517" s="24" t="s">
        <v>1968</v>
      </c>
      <c r="R517" s="24" t="s">
        <v>1968</v>
      </c>
      <c r="S517" s="22" t="str">
        <f t="shared" ref="S517:S580" si="42">IF(N517&lt;&gt;"Yes","",IF(COUNTBLANK(P517:R517)=3,"",IF(COUNTIF(P517:R517,"No")&gt;0,"EXCLUDE","INCLUDE")))</f>
        <v>INCLUDE</v>
      </c>
      <c r="T517" s="22" t="str">
        <f t="shared" ref="T517:T580" si="43">IF(S517&lt;&gt;"EXCLUDE","",IF(P517="No","Digital Twin mentioned only, not the subject",IF(Q517="No","No Design for Safety focus in full text",IF(R517="No","Methodology not codable",""))))</f>
        <v/>
      </c>
      <c r="U517" s="25" t="s">
        <v>2007</v>
      </c>
      <c r="V517" s="25">
        <v>0</v>
      </c>
      <c r="W517" s="25">
        <v>1</v>
      </c>
      <c r="X517" s="25">
        <v>0</v>
      </c>
      <c r="Y517" s="22" t="str">
        <f t="shared" ref="Y517:Y580" si="44">IF(SUM(V517:X517)=0,"",IF(SUM(V517:X517)&gt;=2,"Multi","Single"))</f>
        <v>Single</v>
      </c>
      <c r="Z517" s="25" t="s">
        <v>1922</v>
      </c>
      <c r="AA517" s="25" t="s">
        <v>1972</v>
      </c>
      <c r="AB517" s="25" t="s">
        <v>2017</v>
      </c>
      <c r="AC517" s="25" t="s">
        <v>1986</v>
      </c>
      <c r="AD517" s="25" t="s">
        <v>1975</v>
      </c>
      <c r="AE517" s="25">
        <v>2</v>
      </c>
      <c r="AF517" s="25" t="s">
        <v>2004</v>
      </c>
      <c r="AG517" s="9" t="s">
        <v>3550</v>
      </c>
      <c r="AH517" s="29" t="s">
        <v>3551</v>
      </c>
      <c r="AI517" s="29" t="s">
        <v>3552</v>
      </c>
      <c r="AJ517" t="s">
        <v>2007</v>
      </c>
      <c r="AK517" t="s">
        <v>3553</v>
      </c>
      <c r="AL517" t="s">
        <v>1978</v>
      </c>
      <c r="AM517" s="50" t="s">
        <v>2098</v>
      </c>
      <c r="AN517" s="51" t="s">
        <v>3554</v>
      </c>
      <c r="AO517" s="55" t="s">
        <v>1026</v>
      </c>
    </row>
    <row r="518" spans="1:41" ht="68.400000000000006" customHeight="1" x14ac:dyDescent="0.3">
      <c r="A518" s="20">
        <v>514</v>
      </c>
      <c r="B518" s="8" t="s">
        <v>3555</v>
      </c>
      <c r="C518" s="26">
        <v>2025</v>
      </c>
      <c r="D518" s="8"/>
      <c r="E518" s="8" t="s">
        <v>1029</v>
      </c>
      <c r="F518" s="20" t="s">
        <v>1969</v>
      </c>
      <c r="G518" s="21" t="s">
        <v>1979</v>
      </c>
      <c r="H518" s="21" t="s">
        <v>1968</v>
      </c>
      <c r="I518" s="21" t="s">
        <v>1968</v>
      </c>
      <c r="J518" s="21" t="s">
        <v>1968</v>
      </c>
      <c r="K518" s="21" t="s">
        <v>1968</v>
      </c>
      <c r="L518" s="22" t="str">
        <f t="shared" si="40"/>
        <v>EXCLUDE</v>
      </c>
      <c r="M518" s="22" t="str">
        <f t="shared" si="41"/>
        <v>Wrong domain (non-AECO)</v>
      </c>
      <c r="N518" s="23"/>
      <c r="O518" s="23"/>
      <c r="P518" s="24"/>
      <c r="Q518" s="24"/>
      <c r="R518" s="24"/>
      <c r="S518" s="22" t="str">
        <f t="shared" si="42"/>
        <v/>
      </c>
      <c r="T518" s="22" t="str">
        <f t="shared" si="43"/>
        <v/>
      </c>
      <c r="U518" s="25"/>
      <c r="V518" s="25"/>
      <c r="W518" s="25"/>
      <c r="X518" s="25"/>
      <c r="Y518" s="22" t="str">
        <f t="shared" si="44"/>
        <v/>
      </c>
      <c r="Z518" s="25"/>
      <c r="AA518" s="25"/>
      <c r="AB518" s="25"/>
      <c r="AC518" s="25"/>
      <c r="AD518" s="25"/>
      <c r="AE518" s="25"/>
      <c r="AF518" s="25"/>
      <c r="AG518" s="9"/>
      <c r="AH518" s="29"/>
      <c r="AI518" s="29"/>
      <c r="AM518" s="50"/>
      <c r="AN518" s="51" t="s">
        <v>3556</v>
      </c>
      <c r="AO518" s="55" t="s">
        <v>1028</v>
      </c>
    </row>
    <row r="519" spans="1:41" ht="68.400000000000006" customHeight="1" x14ac:dyDescent="0.3">
      <c r="A519" s="20">
        <v>515</v>
      </c>
      <c r="B519" s="8" t="s">
        <v>3557</v>
      </c>
      <c r="C519" s="26">
        <v>2024</v>
      </c>
      <c r="D519" s="8"/>
      <c r="E519" s="8" t="s">
        <v>1031</v>
      </c>
      <c r="F519" s="20" t="s">
        <v>1969</v>
      </c>
      <c r="G519" s="21" t="s">
        <v>1968</v>
      </c>
      <c r="H519" s="21" t="s">
        <v>1979</v>
      </c>
      <c r="I519" s="21" t="s">
        <v>1968</v>
      </c>
      <c r="J519" s="21" t="s">
        <v>1968</v>
      </c>
      <c r="K519" s="21" t="s">
        <v>1968</v>
      </c>
      <c r="L519" s="22" t="str">
        <f t="shared" si="40"/>
        <v>EXCLUDE</v>
      </c>
      <c r="M519" s="22" t="str">
        <f t="shared" si="41"/>
        <v>Digital Twin not core / buzzword</v>
      </c>
      <c r="N519" s="23"/>
      <c r="O519" s="23"/>
      <c r="P519" s="24"/>
      <c r="Q519" s="24"/>
      <c r="R519" s="24"/>
      <c r="S519" s="22" t="str">
        <f t="shared" si="42"/>
        <v/>
      </c>
      <c r="T519" s="22" t="str">
        <f t="shared" si="43"/>
        <v/>
      </c>
      <c r="U519" s="25"/>
      <c r="V519" s="25"/>
      <c r="W519" s="25"/>
      <c r="X519" s="25"/>
      <c r="Y519" s="22" t="str">
        <f t="shared" si="44"/>
        <v/>
      </c>
      <c r="Z519" s="25"/>
      <c r="AA519" s="25"/>
      <c r="AB519" s="25"/>
      <c r="AC519" s="25"/>
      <c r="AD519" s="25"/>
      <c r="AE519" s="25"/>
      <c r="AF519" s="25"/>
      <c r="AG519" s="9"/>
      <c r="AH519" s="29"/>
      <c r="AI519" s="29"/>
      <c r="AM519" s="50"/>
      <c r="AN519" s="51" t="s">
        <v>3558</v>
      </c>
      <c r="AO519" s="55" t="s">
        <v>1030</v>
      </c>
    </row>
    <row r="520" spans="1:41" ht="57" customHeight="1" x14ac:dyDescent="0.3">
      <c r="A520" s="20">
        <v>516</v>
      </c>
      <c r="B520" s="8" t="s">
        <v>3559</v>
      </c>
      <c r="C520" s="26">
        <v>2024</v>
      </c>
      <c r="D520" s="8"/>
      <c r="E520" s="8" t="s">
        <v>1033</v>
      </c>
      <c r="F520" s="20" t="s">
        <v>1969</v>
      </c>
      <c r="G520" s="21" t="s">
        <v>1979</v>
      </c>
      <c r="H520" s="21" t="s">
        <v>1968</v>
      </c>
      <c r="I520" s="21" t="s">
        <v>1968</v>
      </c>
      <c r="J520" s="21" t="s">
        <v>1968</v>
      </c>
      <c r="K520" s="21" t="s">
        <v>1968</v>
      </c>
      <c r="L520" s="22" t="str">
        <f t="shared" si="40"/>
        <v>EXCLUDE</v>
      </c>
      <c r="M520" s="22" t="str">
        <f t="shared" si="41"/>
        <v>Wrong domain (non-AECO)</v>
      </c>
      <c r="N520" s="23"/>
      <c r="O520" s="23"/>
      <c r="P520" s="24"/>
      <c r="Q520" s="24"/>
      <c r="R520" s="24"/>
      <c r="S520" s="22" t="str">
        <f t="shared" si="42"/>
        <v/>
      </c>
      <c r="T520" s="22" t="str">
        <f t="shared" si="43"/>
        <v/>
      </c>
      <c r="U520" s="25"/>
      <c r="V520" s="25"/>
      <c r="W520" s="25"/>
      <c r="X520" s="25"/>
      <c r="Y520" s="22" t="str">
        <f t="shared" si="44"/>
        <v/>
      </c>
      <c r="Z520" s="25"/>
      <c r="AA520" s="25"/>
      <c r="AB520" s="25"/>
      <c r="AC520" s="25"/>
      <c r="AD520" s="25"/>
      <c r="AE520" s="25"/>
      <c r="AF520" s="25"/>
      <c r="AG520" s="9"/>
      <c r="AH520" s="29"/>
      <c r="AI520" s="29"/>
      <c r="AM520" s="50"/>
      <c r="AN520" s="51" t="s">
        <v>3560</v>
      </c>
      <c r="AO520" s="55" t="s">
        <v>1032</v>
      </c>
    </row>
    <row r="521" spans="1:41" ht="57" customHeight="1" x14ac:dyDescent="0.3">
      <c r="A521" s="20">
        <v>517</v>
      </c>
      <c r="B521" s="8" t="s">
        <v>3561</v>
      </c>
      <c r="C521" s="26">
        <v>2024</v>
      </c>
      <c r="D521" s="8"/>
      <c r="E521" s="8" t="s">
        <v>1035</v>
      </c>
      <c r="F521" s="20" t="s">
        <v>1969</v>
      </c>
      <c r="G521" s="21" t="s">
        <v>1968</v>
      </c>
      <c r="H521" s="21" t="s">
        <v>1968</v>
      </c>
      <c r="I521" s="21" t="s">
        <v>1979</v>
      </c>
      <c r="J521" s="21" t="s">
        <v>1968</v>
      </c>
      <c r="K521" s="21" t="s">
        <v>1968</v>
      </c>
      <c r="L521" s="22" t="str">
        <f t="shared" si="40"/>
        <v>EXCLUDE</v>
      </c>
      <c r="M521" s="22" t="str">
        <f t="shared" si="41"/>
        <v>No Design for Safety / PtD focus</v>
      </c>
      <c r="N521" s="23"/>
      <c r="O521" s="23"/>
      <c r="P521" s="24"/>
      <c r="Q521" s="24"/>
      <c r="R521" s="24"/>
      <c r="S521" s="22" t="str">
        <f t="shared" si="42"/>
        <v/>
      </c>
      <c r="T521" s="22" t="str">
        <f t="shared" si="43"/>
        <v/>
      </c>
      <c r="U521" s="25"/>
      <c r="V521" s="25"/>
      <c r="W521" s="25"/>
      <c r="X521" s="25"/>
      <c r="Y521" s="22" t="str">
        <f t="shared" si="44"/>
        <v/>
      </c>
      <c r="Z521" s="25"/>
      <c r="AA521" s="25"/>
      <c r="AB521" s="25"/>
      <c r="AC521" s="25"/>
      <c r="AD521" s="25"/>
      <c r="AE521" s="25"/>
      <c r="AF521" s="25"/>
      <c r="AG521" s="9"/>
      <c r="AH521" s="29"/>
      <c r="AI521" s="29"/>
      <c r="AM521" s="50"/>
      <c r="AN521" s="51" t="s">
        <v>3562</v>
      </c>
      <c r="AO521" s="55" t="s">
        <v>1034</v>
      </c>
    </row>
    <row r="522" spans="1:41" ht="79.8" customHeight="1" x14ac:dyDescent="0.3">
      <c r="A522" s="20">
        <v>518</v>
      </c>
      <c r="B522" s="8" t="s">
        <v>3563</v>
      </c>
      <c r="C522" s="26">
        <v>2023</v>
      </c>
      <c r="D522" s="8"/>
      <c r="E522" s="8" t="s">
        <v>1037</v>
      </c>
      <c r="F522" s="20" t="s">
        <v>1969</v>
      </c>
      <c r="G522" s="21" t="s">
        <v>1968</v>
      </c>
      <c r="H522" s="21" t="s">
        <v>1979</v>
      </c>
      <c r="I522" s="21" t="s">
        <v>1968</v>
      </c>
      <c r="J522" s="21" t="s">
        <v>1968</v>
      </c>
      <c r="K522" s="21" t="s">
        <v>1968</v>
      </c>
      <c r="L522" s="22" t="str">
        <f t="shared" si="40"/>
        <v>EXCLUDE</v>
      </c>
      <c r="M522" s="22" t="str">
        <f t="shared" si="41"/>
        <v>Digital Twin not core / buzzword</v>
      </c>
      <c r="N522" s="23"/>
      <c r="O522" s="23"/>
      <c r="P522" s="24"/>
      <c r="Q522" s="24"/>
      <c r="R522" s="24"/>
      <c r="S522" s="22" t="str">
        <f t="shared" si="42"/>
        <v/>
      </c>
      <c r="T522" s="22" t="str">
        <f t="shared" si="43"/>
        <v/>
      </c>
      <c r="U522" s="25"/>
      <c r="V522" s="25"/>
      <c r="W522" s="25"/>
      <c r="X522" s="25"/>
      <c r="Y522" s="22" t="str">
        <f t="shared" si="44"/>
        <v/>
      </c>
      <c r="Z522" s="25"/>
      <c r="AA522" s="25"/>
      <c r="AB522" s="25"/>
      <c r="AC522" s="25"/>
      <c r="AD522" s="25"/>
      <c r="AE522" s="25"/>
      <c r="AF522" s="25"/>
      <c r="AG522" s="9"/>
      <c r="AH522" s="29"/>
      <c r="AI522" s="29"/>
      <c r="AM522" s="50"/>
      <c r="AN522" s="51" t="s">
        <v>3564</v>
      </c>
      <c r="AO522" s="55" t="s">
        <v>1036</v>
      </c>
    </row>
    <row r="523" spans="1:41" ht="45.6" customHeight="1" x14ac:dyDescent="0.3">
      <c r="A523" s="20">
        <v>519</v>
      </c>
      <c r="B523" s="8" t="s">
        <v>3565</v>
      </c>
      <c r="C523" s="26">
        <v>2023</v>
      </c>
      <c r="D523" s="8"/>
      <c r="E523" s="8" t="s">
        <v>1039</v>
      </c>
      <c r="F523" s="20" t="s">
        <v>1969</v>
      </c>
      <c r="G523" s="21" t="s">
        <v>1979</v>
      </c>
      <c r="H523" s="21" t="s">
        <v>1968</v>
      </c>
      <c r="I523" s="21" t="s">
        <v>1968</v>
      </c>
      <c r="J523" s="21" t="s">
        <v>1968</v>
      </c>
      <c r="K523" s="21" t="s">
        <v>1968</v>
      </c>
      <c r="L523" s="22" t="str">
        <f t="shared" si="40"/>
        <v>EXCLUDE</v>
      </c>
      <c r="M523" s="22" t="str">
        <f t="shared" si="41"/>
        <v>Wrong domain (non-AECO)</v>
      </c>
      <c r="N523" s="23"/>
      <c r="O523" s="23"/>
      <c r="P523" s="24"/>
      <c r="Q523" s="24"/>
      <c r="R523" s="24"/>
      <c r="S523" s="22" t="str">
        <f t="shared" si="42"/>
        <v/>
      </c>
      <c r="T523" s="22" t="str">
        <f t="shared" si="43"/>
        <v/>
      </c>
      <c r="U523" s="25"/>
      <c r="V523" s="25"/>
      <c r="W523" s="25"/>
      <c r="X523" s="25"/>
      <c r="Y523" s="22" t="str">
        <f t="shared" si="44"/>
        <v/>
      </c>
      <c r="Z523" s="25"/>
      <c r="AA523" s="25"/>
      <c r="AB523" s="25"/>
      <c r="AC523" s="25"/>
      <c r="AD523" s="25"/>
      <c r="AE523" s="25"/>
      <c r="AF523" s="25"/>
      <c r="AG523" s="9"/>
      <c r="AH523" s="29"/>
      <c r="AI523" s="29"/>
      <c r="AM523" s="50"/>
      <c r="AN523" s="51" t="s">
        <v>3566</v>
      </c>
      <c r="AO523" s="55" t="s">
        <v>1038</v>
      </c>
    </row>
    <row r="524" spans="1:41" ht="34.200000000000003" customHeight="1" x14ac:dyDescent="0.3">
      <c r="A524" s="20">
        <v>520</v>
      </c>
      <c r="B524" s="8" t="s">
        <v>3567</v>
      </c>
      <c r="C524" s="26">
        <v>2021</v>
      </c>
      <c r="D524" s="8"/>
      <c r="E524" s="8" t="s">
        <v>1041</v>
      </c>
      <c r="F524" s="20" t="s">
        <v>1969</v>
      </c>
      <c r="G524" s="21" t="s">
        <v>1979</v>
      </c>
      <c r="H524" s="21" t="s">
        <v>1968</v>
      </c>
      <c r="I524" s="21" t="s">
        <v>1968</v>
      </c>
      <c r="J524" s="21" t="s">
        <v>1968</v>
      </c>
      <c r="K524" s="21" t="s">
        <v>1968</v>
      </c>
      <c r="L524" s="22" t="str">
        <f t="shared" si="40"/>
        <v>EXCLUDE</v>
      </c>
      <c r="M524" s="22" t="str">
        <f t="shared" si="41"/>
        <v>Wrong domain (non-AECO)</v>
      </c>
      <c r="N524" s="23"/>
      <c r="O524" s="23"/>
      <c r="P524" s="24"/>
      <c r="Q524" s="24"/>
      <c r="R524" s="24"/>
      <c r="S524" s="22" t="str">
        <f t="shared" si="42"/>
        <v/>
      </c>
      <c r="T524" s="22" t="str">
        <f t="shared" si="43"/>
        <v/>
      </c>
      <c r="U524" s="25"/>
      <c r="V524" s="25"/>
      <c r="W524" s="25"/>
      <c r="X524" s="25"/>
      <c r="Y524" s="22" t="str">
        <f t="shared" si="44"/>
        <v/>
      </c>
      <c r="Z524" s="25"/>
      <c r="AA524" s="25"/>
      <c r="AB524" s="25"/>
      <c r="AC524" s="25"/>
      <c r="AD524" s="25"/>
      <c r="AE524" s="25"/>
      <c r="AF524" s="25"/>
      <c r="AG524" s="9"/>
      <c r="AH524" s="29"/>
      <c r="AI524" s="29"/>
      <c r="AM524" s="50"/>
      <c r="AN524" s="51" t="s">
        <v>3568</v>
      </c>
      <c r="AO524" s="55" t="s">
        <v>1040</v>
      </c>
    </row>
    <row r="525" spans="1:41" ht="45.6" customHeight="1" x14ac:dyDescent="0.3">
      <c r="A525" s="20">
        <v>521</v>
      </c>
      <c r="B525" s="8" t="s">
        <v>3569</v>
      </c>
      <c r="C525" s="26">
        <v>2024</v>
      </c>
      <c r="D525" s="8"/>
      <c r="E525" s="8" t="s">
        <v>1043</v>
      </c>
      <c r="F525" s="20" t="s">
        <v>1969</v>
      </c>
      <c r="G525" s="21" t="s">
        <v>1979</v>
      </c>
      <c r="H525" s="21" t="s">
        <v>1968</v>
      </c>
      <c r="I525" s="21" t="s">
        <v>1968</v>
      </c>
      <c r="J525" s="21" t="s">
        <v>1968</v>
      </c>
      <c r="K525" s="21" t="s">
        <v>1968</v>
      </c>
      <c r="L525" s="22" t="str">
        <f t="shared" si="40"/>
        <v>EXCLUDE</v>
      </c>
      <c r="M525" s="22" t="str">
        <f t="shared" si="41"/>
        <v>Wrong domain (non-AECO)</v>
      </c>
      <c r="N525" s="23"/>
      <c r="O525" s="23"/>
      <c r="P525" s="24"/>
      <c r="Q525" s="24"/>
      <c r="R525" s="24"/>
      <c r="S525" s="22" t="str">
        <f t="shared" si="42"/>
        <v/>
      </c>
      <c r="T525" s="22" t="str">
        <f t="shared" si="43"/>
        <v/>
      </c>
      <c r="U525" s="25"/>
      <c r="V525" s="25"/>
      <c r="W525" s="25"/>
      <c r="X525" s="25"/>
      <c r="Y525" s="22" t="str">
        <f t="shared" si="44"/>
        <v/>
      </c>
      <c r="Z525" s="25"/>
      <c r="AA525" s="25"/>
      <c r="AB525" s="25"/>
      <c r="AC525" s="25"/>
      <c r="AD525" s="25"/>
      <c r="AE525" s="25"/>
      <c r="AF525" s="25"/>
      <c r="AG525" s="9"/>
      <c r="AH525" s="29"/>
      <c r="AI525" s="29"/>
      <c r="AM525" s="50"/>
      <c r="AN525" s="51" t="s">
        <v>3570</v>
      </c>
      <c r="AO525" s="55" t="s">
        <v>1042</v>
      </c>
    </row>
    <row r="526" spans="1:41" ht="45.6" customHeight="1" x14ac:dyDescent="0.3">
      <c r="A526" s="20">
        <v>522</v>
      </c>
      <c r="B526" s="8" t="s">
        <v>3571</v>
      </c>
      <c r="C526" s="26">
        <v>2020</v>
      </c>
      <c r="D526" s="8"/>
      <c r="E526" s="8" t="s">
        <v>1045</v>
      </c>
      <c r="F526" s="20" t="s">
        <v>1969</v>
      </c>
      <c r="G526" s="21" t="s">
        <v>1979</v>
      </c>
      <c r="H526" s="21" t="s">
        <v>1968</v>
      </c>
      <c r="I526" s="21" t="s">
        <v>1968</v>
      </c>
      <c r="J526" s="21" t="s">
        <v>1968</v>
      </c>
      <c r="K526" s="21" t="s">
        <v>1968</v>
      </c>
      <c r="L526" s="22" t="str">
        <f t="shared" si="40"/>
        <v>EXCLUDE</v>
      </c>
      <c r="M526" s="22" t="str">
        <f t="shared" si="41"/>
        <v>Wrong domain (non-AECO)</v>
      </c>
      <c r="N526" s="23"/>
      <c r="O526" s="23"/>
      <c r="P526" s="24"/>
      <c r="Q526" s="24"/>
      <c r="R526" s="24"/>
      <c r="S526" s="22" t="str">
        <f t="shared" si="42"/>
        <v/>
      </c>
      <c r="T526" s="22" t="str">
        <f t="shared" si="43"/>
        <v/>
      </c>
      <c r="U526" s="25"/>
      <c r="V526" s="25"/>
      <c r="W526" s="25"/>
      <c r="X526" s="25"/>
      <c r="Y526" s="22" t="str">
        <f t="shared" si="44"/>
        <v/>
      </c>
      <c r="Z526" s="25"/>
      <c r="AA526" s="25"/>
      <c r="AB526" s="25"/>
      <c r="AC526" s="25"/>
      <c r="AD526" s="25"/>
      <c r="AE526" s="25"/>
      <c r="AF526" s="25"/>
      <c r="AG526" s="9"/>
      <c r="AH526" s="29"/>
      <c r="AI526" s="29"/>
      <c r="AM526" s="50"/>
      <c r="AN526" s="51" t="s">
        <v>3572</v>
      </c>
      <c r="AO526" s="55" t="s">
        <v>1044</v>
      </c>
    </row>
    <row r="527" spans="1:41" ht="79.8" customHeight="1" x14ac:dyDescent="0.3">
      <c r="A527" s="20">
        <v>523</v>
      </c>
      <c r="B527" s="8" t="s">
        <v>3573</v>
      </c>
      <c r="C527" s="26">
        <v>2022</v>
      </c>
      <c r="D527" s="8"/>
      <c r="E527" s="8" t="s">
        <v>1047</v>
      </c>
      <c r="F527" s="20" t="s">
        <v>1969</v>
      </c>
      <c r="G527" s="21" t="s">
        <v>1979</v>
      </c>
      <c r="H527" s="21" t="s">
        <v>1968</v>
      </c>
      <c r="I527" s="21" t="s">
        <v>1968</v>
      </c>
      <c r="J527" s="21" t="s">
        <v>1968</v>
      </c>
      <c r="K527" s="21" t="s">
        <v>1968</v>
      </c>
      <c r="L527" s="22" t="str">
        <f t="shared" si="40"/>
        <v>EXCLUDE</v>
      </c>
      <c r="M527" s="22" t="str">
        <f t="shared" si="41"/>
        <v>Wrong domain (non-AECO)</v>
      </c>
      <c r="N527" s="23"/>
      <c r="O527" s="23"/>
      <c r="P527" s="24"/>
      <c r="Q527" s="24"/>
      <c r="R527" s="24"/>
      <c r="S527" s="22" t="str">
        <f t="shared" si="42"/>
        <v/>
      </c>
      <c r="T527" s="22" t="str">
        <f t="shared" si="43"/>
        <v/>
      </c>
      <c r="U527" s="25"/>
      <c r="V527" s="25"/>
      <c r="W527" s="25"/>
      <c r="X527" s="25"/>
      <c r="Y527" s="22" t="str">
        <f t="shared" si="44"/>
        <v/>
      </c>
      <c r="Z527" s="25"/>
      <c r="AA527" s="25"/>
      <c r="AB527" s="25"/>
      <c r="AC527" s="25"/>
      <c r="AD527" s="25"/>
      <c r="AE527" s="25"/>
      <c r="AF527" s="25"/>
      <c r="AG527" s="9"/>
      <c r="AH527" s="29"/>
      <c r="AI527" s="29"/>
      <c r="AM527" s="50"/>
      <c r="AN527" s="51" t="s">
        <v>3574</v>
      </c>
      <c r="AO527" s="55" t="s">
        <v>1046</v>
      </c>
    </row>
    <row r="528" spans="1:41" ht="79.8" customHeight="1" x14ac:dyDescent="0.3">
      <c r="A528" s="20">
        <v>524</v>
      </c>
      <c r="B528" s="8" t="s">
        <v>3575</v>
      </c>
      <c r="C528" s="26">
        <v>2023</v>
      </c>
      <c r="D528" s="8"/>
      <c r="E528" s="8" t="s">
        <v>1049</v>
      </c>
      <c r="F528" s="20" t="s">
        <v>1969</v>
      </c>
      <c r="G528" s="21" t="s">
        <v>1968</v>
      </c>
      <c r="H528" s="21" t="s">
        <v>1979</v>
      </c>
      <c r="I528" s="21" t="s">
        <v>1968</v>
      </c>
      <c r="J528" s="21" t="s">
        <v>1968</v>
      </c>
      <c r="K528" s="21" t="s">
        <v>1968</v>
      </c>
      <c r="L528" s="22" t="str">
        <f t="shared" si="40"/>
        <v>EXCLUDE</v>
      </c>
      <c r="M528" s="22" t="str">
        <f t="shared" si="41"/>
        <v>Digital Twin not core / buzzword</v>
      </c>
      <c r="N528" s="23"/>
      <c r="O528" s="23"/>
      <c r="P528" s="24"/>
      <c r="Q528" s="24"/>
      <c r="R528" s="24"/>
      <c r="S528" s="22" t="str">
        <f t="shared" si="42"/>
        <v/>
      </c>
      <c r="T528" s="22" t="str">
        <f t="shared" si="43"/>
        <v/>
      </c>
      <c r="U528" s="25"/>
      <c r="V528" s="25"/>
      <c r="W528" s="25"/>
      <c r="X528" s="25"/>
      <c r="Y528" s="22" t="str">
        <f t="shared" si="44"/>
        <v/>
      </c>
      <c r="Z528" s="25"/>
      <c r="AA528" s="25"/>
      <c r="AB528" s="25"/>
      <c r="AC528" s="25"/>
      <c r="AD528" s="25"/>
      <c r="AE528" s="25"/>
      <c r="AF528" s="25"/>
      <c r="AG528" s="9"/>
      <c r="AH528" s="29"/>
      <c r="AI528" s="29"/>
      <c r="AM528" s="50"/>
      <c r="AN528" s="51" t="s">
        <v>3576</v>
      </c>
      <c r="AO528" s="55" t="s">
        <v>1048</v>
      </c>
    </row>
    <row r="529" spans="1:41" ht="91.2" customHeight="1" x14ac:dyDescent="0.3">
      <c r="A529" s="20">
        <v>525</v>
      </c>
      <c r="B529" s="8" t="s">
        <v>3577</v>
      </c>
      <c r="C529" s="26">
        <v>2025</v>
      </c>
      <c r="D529" s="8"/>
      <c r="E529" s="8" t="s">
        <v>1051</v>
      </c>
      <c r="F529" s="20" t="s">
        <v>1969</v>
      </c>
      <c r="G529" s="21" t="s">
        <v>1968</v>
      </c>
      <c r="H529" s="21" t="s">
        <v>1968</v>
      </c>
      <c r="I529" s="21" t="s">
        <v>1968</v>
      </c>
      <c r="J529" s="21" t="s">
        <v>1968</v>
      </c>
      <c r="K529" s="21" t="s">
        <v>1968</v>
      </c>
      <c r="L529" s="22" t="str">
        <f t="shared" si="40"/>
        <v>INCLUDE</v>
      </c>
      <c r="M529" s="22" t="str">
        <f t="shared" si="41"/>
        <v/>
      </c>
      <c r="N529" s="23" t="s">
        <v>1968</v>
      </c>
      <c r="O529" s="23" t="s">
        <v>1968</v>
      </c>
      <c r="P529" s="24" t="s">
        <v>1968</v>
      </c>
      <c r="Q529" s="24" t="s">
        <v>1968</v>
      </c>
      <c r="R529" s="24" t="s">
        <v>1968</v>
      </c>
      <c r="S529" s="22" t="str">
        <f t="shared" si="42"/>
        <v>INCLUDE</v>
      </c>
      <c r="T529" s="22" t="str">
        <f t="shared" si="43"/>
        <v/>
      </c>
      <c r="U529" s="25" t="s">
        <v>1982</v>
      </c>
      <c r="V529" s="25">
        <v>0</v>
      </c>
      <c r="W529" s="25">
        <v>0</v>
      </c>
      <c r="X529" s="25">
        <v>1</v>
      </c>
      <c r="Y529" s="22" t="str">
        <f t="shared" si="44"/>
        <v>Single</v>
      </c>
      <c r="Z529" s="25" t="s">
        <v>1922</v>
      </c>
      <c r="AA529" s="25" t="s">
        <v>1972</v>
      </c>
      <c r="AB529" s="25" t="s">
        <v>2018</v>
      </c>
      <c r="AC529" s="25" t="s">
        <v>1986</v>
      </c>
      <c r="AD529" s="25" t="s">
        <v>2003</v>
      </c>
      <c r="AE529" s="25">
        <v>4</v>
      </c>
      <c r="AF529" s="25" t="s">
        <v>2010</v>
      </c>
      <c r="AG529" s="9" t="s">
        <v>3578</v>
      </c>
      <c r="AH529" s="29" t="s">
        <v>3579</v>
      </c>
      <c r="AI529" s="29" t="s">
        <v>3580</v>
      </c>
      <c r="AJ529" t="s">
        <v>2005</v>
      </c>
      <c r="AK529" t="s">
        <v>3581</v>
      </c>
      <c r="AL529" t="s">
        <v>1978</v>
      </c>
      <c r="AM529" s="50"/>
      <c r="AN529" s="51" t="s">
        <v>3582</v>
      </c>
      <c r="AO529" s="55" t="s">
        <v>1050</v>
      </c>
    </row>
    <row r="530" spans="1:41" ht="57" customHeight="1" x14ac:dyDescent="0.3">
      <c r="A530" s="20">
        <v>526</v>
      </c>
      <c r="B530" s="8" t="s">
        <v>3583</v>
      </c>
      <c r="C530" s="26">
        <v>2024</v>
      </c>
      <c r="D530" s="8"/>
      <c r="E530" s="8" t="s">
        <v>1053</v>
      </c>
      <c r="F530" s="20" t="s">
        <v>1969</v>
      </c>
      <c r="G530" s="21" t="s">
        <v>1968</v>
      </c>
      <c r="H530" s="21" t="s">
        <v>1968</v>
      </c>
      <c r="I530" s="21" t="s">
        <v>1968</v>
      </c>
      <c r="J530" s="21" t="s">
        <v>1968</v>
      </c>
      <c r="K530" s="21" t="s">
        <v>1968</v>
      </c>
      <c r="L530" s="22" t="str">
        <f t="shared" si="40"/>
        <v>INCLUDE</v>
      </c>
      <c r="M530" s="22" t="str">
        <f t="shared" si="41"/>
        <v/>
      </c>
      <c r="N530" s="23" t="s">
        <v>1968</v>
      </c>
      <c r="O530" s="23" t="s">
        <v>1968</v>
      </c>
      <c r="P530" s="24" t="s">
        <v>1968</v>
      </c>
      <c r="Q530" s="24" t="s">
        <v>1979</v>
      </c>
      <c r="R530" s="24" t="s">
        <v>1968</v>
      </c>
      <c r="S530" s="22" t="str">
        <f t="shared" si="42"/>
        <v>EXCLUDE</v>
      </c>
      <c r="T530" s="22" t="str">
        <f t="shared" si="43"/>
        <v>No Design for Safety focus in full text</v>
      </c>
      <c r="U530" s="25"/>
      <c r="V530" s="25"/>
      <c r="W530" s="25"/>
      <c r="X530" s="25"/>
      <c r="Y530" s="22" t="str">
        <f t="shared" si="44"/>
        <v/>
      </c>
      <c r="Z530" s="25"/>
      <c r="AA530" s="25"/>
      <c r="AB530" s="25"/>
      <c r="AC530" s="25"/>
      <c r="AD530" s="25"/>
      <c r="AE530" s="25"/>
      <c r="AF530" s="25"/>
      <c r="AG530" s="9" t="s">
        <v>3584</v>
      </c>
      <c r="AH530" s="29"/>
      <c r="AI530" s="29"/>
      <c r="AM530" s="50"/>
      <c r="AN530" s="51" t="s">
        <v>3585</v>
      </c>
      <c r="AO530" s="55" t="s">
        <v>1052</v>
      </c>
    </row>
    <row r="531" spans="1:41" ht="57" customHeight="1" x14ac:dyDescent="0.3">
      <c r="A531" s="20">
        <v>527</v>
      </c>
      <c r="B531" s="8" t="s">
        <v>3586</v>
      </c>
      <c r="C531" s="26">
        <v>2021</v>
      </c>
      <c r="D531" s="8"/>
      <c r="E531" s="8" t="s">
        <v>1055</v>
      </c>
      <c r="F531" s="20" t="s">
        <v>1969</v>
      </c>
      <c r="G531" s="21" t="s">
        <v>1979</v>
      </c>
      <c r="H531" s="21" t="s">
        <v>1968</v>
      </c>
      <c r="I531" s="21" t="s">
        <v>1968</v>
      </c>
      <c r="J531" s="21" t="s">
        <v>1968</v>
      </c>
      <c r="K531" s="21" t="s">
        <v>1968</v>
      </c>
      <c r="L531" s="22" t="str">
        <f t="shared" si="40"/>
        <v>EXCLUDE</v>
      </c>
      <c r="M531" s="22" t="str">
        <f t="shared" si="41"/>
        <v>Wrong domain (non-AECO)</v>
      </c>
      <c r="N531" s="23"/>
      <c r="O531" s="23"/>
      <c r="P531" s="24"/>
      <c r="Q531" s="24"/>
      <c r="R531" s="24"/>
      <c r="S531" s="22" t="str">
        <f t="shared" si="42"/>
        <v/>
      </c>
      <c r="T531" s="22" t="str">
        <f t="shared" si="43"/>
        <v/>
      </c>
      <c r="U531" s="25"/>
      <c r="V531" s="25"/>
      <c r="W531" s="25"/>
      <c r="X531" s="25"/>
      <c r="Y531" s="22" t="str">
        <f t="shared" si="44"/>
        <v/>
      </c>
      <c r="Z531" s="25"/>
      <c r="AA531" s="25"/>
      <c r="AB531" s="25"/>
      <c r="AC531" s="25"/>
      <c r="AD531" s="25"/>
      <c r="AE531" s="25"/>
      <c r="AF531" s="25"/>
      <c r="AG531" s="9"/>
      <c r="AH531" s="29"/>
      <c r="AI531" s="29"/>
      <c r="AM531" s="50"/>
      <c r="AN531" s="51" t="s">
        <v>3587</v>
      </c>
      <c r="AO531" s="55" t="s">
        <v>1054</v>
      </c>
    </row>
    <row r="532" spans="1:41" ht="45.6" customHeight="1" x14ac:dyDescent="0.3">
      <c r="A532" s="20">
        <v>528</v>
      </c>
      <c r="B532" s="8" t="s">
        <v>3588</v>
      </c>
      <c r="C532" s="26">
        <v>2025</v>
      </c>
      <c r="D532" s="8"/>
      <c r="E532" s="8" t="s">
        <v>1057</v>
      </c>
      <c r="F532" s="20" t="s">
        <v>1969</v>
      </c>
      <c r="G532" s="21" t="s">
        <v>1968</v>
      </c>
      <c r="H532" s="21" t="s">
        <v>1979</v>
      </c>
      <c r="I532" s="21" t="s">
        <v>1968</v>
      </c>
      <c r="J532" s="21" t="s">
        <v>1968</v>
      </c>
      <c r="K532" s="21" t="s">
        <v>1968</v>
      </c>
      <c r="L532" s="22" t="str">
        <f t="shared" si="40"/>
        <v>EXCLUDE</v>
      </c>
      <c r="M532" s="22" t="str">
        <f t="shared" si="41"/>
        <v>Digital Twin not core / buzzword</v>
      </c>
      <c r="N532" s="23"/>
      <c r="O532" s="23"/>
      <c r="P532" s="24"/>
      <c r="Q532" s="24"/>
      <c r="R532" s="24"/>
      <c r="S532" s="22" t="str">
        <f t="shared" si="42"/>
        <v/>
      </c>
      <c r="T532" s="22" t="str">
        <f t="shared" si="43"/>
        <v/>
      </c>
      <c r="U532" s="25"/>
      <c r="V532" s="25"/>
      <c r="W532" s="25"/>
      <c r="X532" s="25"/>
      <c r="Y532" s="22" t="str">
        <f t="shared" si="44"/>
        <v/>
      </c>
      <c r="Z532" s="25"/>
      <c r="AA532" s="25"/>
      <c r="AB532" s="25"/>
      <c r="AC532" s="25"/>
      <c r="AD532" s="25"/>
      <c r="AE532" s="25"/>
      <c r="AF532" s="25"/>
      <c r="AG532" s="9"/>
      <c r="AH532" s="29"/>
      <c r="AI532" s="29"/>
      <c r="AM532" s="50"/>
      <c r="AN532" s="51" t="s">
        <v>3589</v>
      </c>
      <c r="AO532" s="55" t="s">
        <v>1056</v>
      </c>
    </row>
    <row r="533" spans="1:41" ht="91.2" customHeight="1" x14ac:dyDescent="0.3">
      <c r="A533" s="20">
        <v>529</v>
      </c>
      <c r="B533" s="8" t="s">
        <v>3590</v>
      </c>
      <c r="C533" s="26">
        <v>2023</v>
      </c>
      <c r="D533" s="8"/>
      <c r="E533" s="8" t="s">
        <v>1059</v>
      </c>
      <c r="F533" s="20" t="s">
        <v>1969</v>
      </c>
      <c r="G533" s="21" t="s">
        <v>1968</v>
      </c>
      <c r="H533" s="21" t="s">
        <v>1968</v>
      </c>
      <c r="I533" s="21" t="s">
        <v>1968</v>
      </c>
      <c r="J533" s="21" t="s">
        <v>1968</v>
      </c>
      <c r="K533" s="21" t="s">
        <v>1968</v>
      </c>
      <c r="L533" s="22" t="str">
        <f t="shared" si="40"/>
        <v>INCLUDE</v>
      </c>
      <c r="M533" s="22" t="str">
        <f t="shared" si="41"/>
        <v/>
      </c>
      <c r="N533" s="23" t="s">
        <v>1968</v>
      </c>
      <c r="O533" s="23" t="s">
        <v>1968</v>
      </c>
      <c r="P533" s="24" t="s">
        <v>1968</v>
      </c>
      <c r="Q533" s="24" t="s">
        <v>1968</v>
      </c>
      <c r="R533" s="24" t="s">
        <v>1968</v>
      </c>
      <c r="S533" s="22" t="str">
        <f t="shared" si="42"/>
        <v>INCLUDE</v>
      </c>
      <c r="T533" s="22" t="str">
        <f t="shared" si="43"/>
        <v/>
      </c>
      <c r="U533" s="25" t="s">
        <v>1982</v>
      </c>
      <c r="V533" s="25">
        <v>0</v>
      </c>
      <c r="W533" s="25">
        <v>0</v>
      </c>
      <c r="X533" s="25">
        <v>1</v>
      </c>
      <c r="Y533" s="22" t="str">
        <f t="shared" si="44"/>
        <v>Single</v>
      </c>
      <c r="Z533" s="25" t="s">
        <v>1922</v>
      </c>
      <c r="AA533" s="25" t="s">
        <v>1972</v>
      </c>
      <c r="AB533" s="25" t="s">
        <v>2014</v>
      </c>
      <c r="AC533" s="25" t="s">
        <v>1986</v>
      </c>
      <c r="AD533" s="25" t="s">
        <v>1987</v>
      </c>
      <c r="AE533" s="25">
        <v>3</v>
      </c>
      <c r="AF533" s="25" t="s">
        <v>2010</v>
      </c>
      <c r="AG533" s="9" t="s">
        <v>3591</v>
      </c>
      <c r="AH533" s="29" t="s">
        <v>3592</v>
      </c>
      <c r="AI533" s="29" t="s">
        <v>3593</v>
      </c>
      <c r="AJ533" t="s">
        <v>2005</v>
      </c>
      <c r="AK533" t="s">
        <v>3594</v>
      </c>
      <c r="AL533" t="s">
        <v>1990</v>
      </c>
      <c r="AM533" s="50"/>
      <c r="AN533" s="51" t="s">
        <v>3595</v>
      </c>
      <c r="AO533" s="55" t="s">
        <v>1058</v>
      </c>
    </row>
    <row r="534" spans="1:41" ht="34.200000000000003" customHeight="1" x14ac:dyDescent="0.3">
      <c r="A534" s="20">
        <v>530</v>
      </c>
      <c r="B534" s="8" t="s">
        <v>3596</v>
      </c>
      <c r="C534" s="26">
        <v>2020</v>
      </c>
      <c r="D534" s="8"/>
      <c r="E534" s="8" t="s">
        <v>1061</v>
      </c>
      <c r="F534" s="20" t="s">
        <v>1969</v>
      </c>
      <c r="G534" s="21" t="s">
        <v>1979</v>
      </c>
      <c r="H534" s="21" t="s">
        <v>1968</v>
      </c>
      <c r="I534" s="21" t="s">
        <v>1968</v>
      </c>
      <c r="J534" s="21" t="s">
        <v>1968</v>
      </c>
      <c r="K534" s="21" t="s">
        <v>1968</v>
      </c>
      <c r="L534" s="22" t="str">
        <f t="shared" si="40"/>
        <v>EXCLUDE</v>
      </c>
      <c r="M534" s="22" t="str">
        <f t="shared" si="41"/>
        <v>Wrong domain (non-AECO)</v>
      </c>
      <c r="N534" s="23"/>
      <c r="O534" s="23"/>
      <c r="P534" s="24"/>
      <c r="Q534" s="24"/>
      <c r="R534" s="24"/>
      <c r="S534" s="22" t="str">
        <f t="shared" si="42"/>
        <v/>
      </c>
      <c r="T534" s="22" t="str">
        <f t="shared" si="43"/>
        <v/>
      </c>
      <c r="U534" s="25"/>
      <c r="V534" s="25"/>
      <c r="W534" s="25"/>
      <c r="X534" s="25"/>
      <c r="Y534" s="22" t="str">
        <f t="shared" si="44"/>
        <v/>
      </c>
      <c r="Z534" s="25"/>
      <c r="AA534" s="25"/>
      <c r="AB534" s="25"/>
      <c r="AC534" s="25"/>
      <c r="AD534" s="25"/>
      <c r="AE534" s="25"/>
      <c r="AF534" s="25"/>
      <c r="AG534" s="9"/>
      <c r="AH534" s="29"/>
      <c r="AI534" s="29"/>
      <c r="AM534" s="50"/>
      <c r="AN534" s="51" t="s">
        <v>3597</v>
      </c>
      <c r="AO534" s="55" t="s">
        <v>1060</v>
      </c>
    </row>
    <row r="535" spans="1:41" ht="57" customHeight="1" x14ac:dyDescent="0.3">
      <c r="A535" s="20">
        <v>531</v>
      </c>
      <c r="B535" s="8" t="s">
        <v>3598</v>
      </c>
      <c r="C535" s="26">
        <v>2025</v>
      </c>
      <c r="D535" s="8"/>
      <c r="E535" s="8" t="s">
        <v>1063</v>
      </c>
      <c r="F535" s="20" t="s">
        <v>1969</v>
      </c>
      <c r="G535" s="21" t="s">
        <v>1979</v>
      </c>
      <c r="H535" s="21" t="s">
        <v>1968</v>
      </c>
      <c r="I535" s="21" t="s">
        <v>1968</v>
      </c>
      <c r="J535" s="21" t="s">
        <v>1968</v>
      </c>
      <c r="K535" s="21" t="s">
        <v>1968</v>
      </c>
      <c r="L535" s="22" t="str">
        <f t="shared" si="40"/>
        <v>EXCLUDE</v>
      </c>
      <c r="M535" s="22" t="str">
        <f t="shared" si="41"/>
        <v>Wrong domain (non-AECO)</v>
      </c>
      <c r="N535" s="23"/>
      <c r="O535" s="23"/>
      <c r="P535" s="24"/>
      <c r="Q535" s="24"/>
      <c r="R535" s="24"/>
      <c r="S535" s="22" t="str">
        <f t="shared" si="42"/>
        <v/>
      </c>
      <c r="T535" s="22" t="str">
        <f t="shared" si="43"/>
        <v/>
      </c>
      <c r="U535" s="25"/>
      <c r="V535" s="25"/>
      <c r="W535" s="25"/>
      <c r="X535" s="25"/>
      <c r="Y535" s="22" t="str">
        <f t="shared" si="44"/>
        <v/>
      </c>
      <c r="Z535" s="25"/>
      <c r="AA535" s="25"/>
      <c r="AB535" s="25"/>
      <c r="AC535" s="25"/>
      <c r="AD535" s="25"/>
      <c r="AE535" s="25"/>
      <c r="AF535" s="25"/>
      <c r="AG535" s="9"/>
      <c r="AH535" s="29"/>
      <c r="AI535" s="29"/>
      <c r="AM535" s="50"/>
      <c r="AN535" s="51" t="s">
        <v>3599</v>
      </c>
      <c r="AO535" s="55" t="s">
        <v>1062</v>
      </c>
    </row>
    <row r="536" spans="1:41" ht="45.6" customHeight="1" x14ac:dyDescent="0.3">
      <c r="A536" s="20">
        <v>532</v>
      </c>
      <c r="B536" s="8" t="s">
        <v>3600</v>
      </c>
      <c r="C536" s="26">
        <v>2022</v>
      </c>
      <c r="D536" s="8"/>
      <c r="E536" s="8" t="s">
        <v>1065</v>
      </c>
      <c r="F536" s="20" t="s">
        <v>1969</v>
      </c>
      <c r="G536" s="21" t="s">
        <v>1968</v>
      </c>
      <c r="H536" s="21" t="s">
        <v>1968</v>
      </c>
      <c r="I536" s="21" t="s">
        <v>1979</v>
      </c>
      <c r="J536" s="21" t="s">
        <v>1968</v>
      </c>
      <c r="K536" s="21" t="s">
        <v>1968</v>
      </c>
      <c r="L536" s="22" t="str">
        <f t="shared" si="40"/>
        <v>EXCLUDE</v>
      </c>
      <c r="M536" s="22" t="str">
        <f t="shared" si="41"/>
        <v>No Design for Safety / PtD focus</v>
      </c>
      <c r="N536" s="23"/>
      <c r="O536" s="23"/>
      <c r="P536" s="24"/>
      <c r="Q536" s="24"/>
      <c r="R536" s="24"/>
      <c r="S536" s="22" t="str">
        <f t="shared" si="42"/>
        <v/>
      </c>
      <c r="T536" s="22" t="str">
        <f t="shared" si="43"/>
        <v/>
      </c>
      <c r="U536" s="25"/>
      <c r="V536" s="25"/>
      <c r="W536" s="25"/>
      <c r="X536" s="25"/>
      <c r="Y536" s="22" t="str">
        <f t="shared" si="44"/>
        <v/>
      </c>
      <c r="Z536" s="25"/>
      <c r="AA536" s="25"/>
      <c r="AB536" s="25"/>
      <c r="AC536" s="25"/>
      <c r="AD536" s="25"/>
      <c r="AE536" s="25"/>
      <c r="AF536" s="25"/>
      <c r="AG536" s="9"/>
      <c r="AH536" s="29"/>
      <c r="AI536" s="29"/>
      <c r="AM536" s="50"/>
      <c r="AN536" s="51" t="s">
        <v>3601</v>
      </c>
      <c r="AO536" s="55" t="s">
        <v>1064</v>
      </c>
    </row>
    <row r="537" spans="1:41" ht="34.200000000000003" customHeight="1" x14ac:dyDescent="0.3">
      <c r="A537" s="20">
        <v>533</v>
      </c>
      <c r="B537" s="8" t="s">
        <v>3602</v>
      </c>
      <c r="C537" s="26">
        <v>2025</v>
      </c>
      <c r="D537" s="8"/>
      <c r="E537" s="8" t="s">
        <v>1067</v>
      </c>
      <c r="F537" s="20" t="s">
        <v>1969</v>
      </c>
      <c r="G537" s="21" t="s">
        <v>1968</v>
      </c>
      <c r="H537" s="21" t="s">
        <v>1979</v>
      </c>
      <c r="I537" s="21" t="s">
        <v>1968</v>
      </c>
      <c r="J537" s="21" t="s">
        <v>1968</v>
      </c>
      <c r="K537" s="21" t="s">
        <v>1968</v>
      </c>
      <c r="L537" s="22" t="str">
        <f t="shared" si="40"/>
        <v>EXCLUDE</v>
      </c>
      <c r="M537" s="22" t="str">
        <f t="shared" si="41"/>
        <v>Digital Twin not core / buzzword</v>
      </c>
      <c r="N537" s="23"/>
      <c r="O537" s="23"/>
      <c r="P537" s="24"/>
      <c r="Q537" s="24"/>
      <c r="R537" s="24"/>
      <c r="S537" s="22" t="str">
        <f t="shared" si="42"/>
        <v/>
      </c>
      <c r="T537" s="22" t="str">
        <f t="shared" si="43"/>
        <v/>
      </c>
      <c r="U537" s="25"/>
      <c r="V537" s="25"/>
      <c r="W537" s="25"/>
      <c r="X537" s="25"/>
      <c r="Y537" s="22" t="str">
        <f t="shared" si="44"/>
        <v/>
      </c>
      <c r="Z537" s="25"/>
      <c r="AA537" s="25"/>
      <c r="AB537" s="25"/>
      <c r="AC537" s="25"/>
      <c r="AD537" s="25"/>
      <c r="AE537" s="25"/>
      <c r="AF537" s="25"/>
      <c r="AG537" s="9"/>
      <c r="AH537" s="29"/>
      <c r="AI537" s="29"/>
      <c r="AM537" s="50"/>
      <c r="AN537" s="51" t="s">
        <v>3603</v>
      </c>
      <c r="AO537" s="55" t="s">
        <v>1066</v>
      </c>
    </row>
    <row r="538" spans="1:41" ht="91.2" customHeight="1" x14ac:dyDescent="0.3">
      <c r="A538" s="20">
        <v>534</v>
      </c>
      <c r="B538" s="8" t="s">
        <v>3604</v>
      </c>
      <c r="C538" s="26">
        <v>2024</v>
      </c>
      <c r="D538" s="8"/>
      <c r="E538" s="8" t="s">
        <v>1069</v>
      </c>
      <c r="F538" s="20" t="s">
        <v>1969</v>
      </c>
      <c r="G538" s="21" t="s">
        <v>1968</v>
      </c>
      <c r="H538" s="21" t="s">
        <v>1968</v>
      </c>
      <c r="I538" s="21" t="s">
        <v>1968</v>
      </c>
      <c r="J538" s="21" t="s">
        <v>1968</v>
      </c>
      <c r="K538" s="21" t="s">
        <v>1968</v>
      </c>
      <c r="L538" s="22" t="str">
        <f t="shared" si="40"/>
        <v>INCLUDE</v>
      </c>
      <c r="M538" s="22" t="str">
        <f t="shared" si="41"/>
        <v/>
      </c>
      <c r="N538" s="23" t="s">
        <v>1968</v>
      </c>
      <c r="O538" s="23" t="s">
        <v>1968</v>
      </c>
      <c r="P538" s="24" t="s">
        <v>1968</v>
      </c>
      <c r="Q538" s="24" t="s">
        <v>1968</v>
      </c>
      <c r="R538" s="24" t="s">
        <v>1968</v>
      </c>
      <c r="S538" s="22" t="str">
        <f t="shared" si="42"/>
        <v>INCLUDE</v>
      </c>
      <c r="T538" s="22" t="str">
        <f t="shared" si="43"/>
        <v/>
      </c>
      <c r="U538" s="25" t="s">
        <v>1982</v>
      </c>
      <c r="V538" s="25">
        <v>0</v>
      </c>
      <c r="W538" s="25">
        <v>0</v>
      </c>
      <c r="X538" s="25">
        <v>1</v>
      </c>
      <c r="Y538" s="22" t="str">
        <f t="shared" si="44"/>
        <v>Single</v>
      </c>
      <c r="Z538" s="25" t="s">
        <v>1922</v>
      </c>
      <c r="AA538" s="25" t="s">
        <v>1972</v>
      </c>
      <c r="AB538" s="25" t="s">
        <v>2014</v>
      </c>
      <c r="AC538" s="25" t="s">
        <v>1986</v>
      </c>
      <c r="AD538" s="25" t="s">
        <v>1987</v>
      </c>
      <c r="AE538" s="25">
        <v>3</v>
      </c>
      <c r="AF538" s="25" t="s">
        <v>2010</v>
      </c>
      <c r="AG538" s="9" t="s">
        <v>3605</v>
      </c>
      <c r="AH538" s="29" t="s">
        <v>3606</v>
      </c>
      <c r="AI538" s="29" t="s">
        <v>3607</v>
      </c>
      <c r="AJ538" t="s">
        <v>2005</v>
      </c>
      <c r="AK538" t="s">
        <v>3608</v>
      </c>
      <c r="AL538" t="s">
        <v>1990</v>
      </c>
      <c r="AM538" s="50"/>
      <c r="AN538" s="51" t="s">
        <v>3609</v>
      </c>
      <c r="AO538" s="55" t="s">
        <v>1068</v>
      </c>
    </row>
    <row r="539" spans="1:41" ht="102.6" customHeight="1" x14ac:dyDescent="0.3">
      <c r="A539" s="20">
        <v>535</v>
      </c>
      <c r="B539" s="8" t="s">
        <v>3610</v>
      </c>
      <c r="C539" s="26">
        <v>2023</v>
      </c>
      <c r="D539" s="8"/>
      <c r="E539" s="8" t="s">
        <v>1071</v>
      </c>
      <c r="F539" s="20" t="s">
        <v>1969</v>
      </c>
      <c r="G539" s="21" t="s">
        <v>1968</v>
      </c>
      <c r="H539" s="21" t="s">
        <v>1979</v>
      </c>
      <c r="I539" s="21" t="s">
        <v>1968</v>
      </c>
      <c r="J539" s="21" t="s">
        <v>1968</v>
      </c>
      <c r="K539" s="21" t="s">
        <v>1968</v>
      </c>
      <c r="L539" s="22" t="str">
        <f t="shared" si="40"/>
        <v>EXCLUDE</v>
      </c>
      <c r="M539" s="22" t="str">
        <f t="shared" si="41"/>
        <v>Digital Twin not core / buzzword</v>
      </c>
      <c r="N539" s="23"/>
      <c r="O539" s="23"/>
      <c r="P539" s="24"/>
      <c r="Q539" s="24"/>
      <c r="R539" s="24"/>
      <c r="S539" s="22" t="str">
        <f t="shared" si="42"/>
        <v/>
      </c>
      <c r="T539" s="22" t="str">
        <f t="shared" si="43"/>
        <v/>
      </c>
      <c r="U539" s="25"/>
      <c r="V539" s="25"/>
      <c r="W539" s="25"/>
      <c r="X539" s="25"/>
      <c r="Y539" s="22" t="str">
        <f t="shared" si="44"/>
        <v/>
      </c>
      <c r="Z539" s="25"/>
      <c r="AA539" s="25"/>
      <c r="AB539" s="25"/>
      <c r="AC539" s="25"/>
      <c r="AD539" s="25"/>
      <c r="AE539" s="25"/>
      <c r="AF539" s="25"/>
      <c r="AG539" s="9"/>
      <c r="AH539" s="29"/>
      <c r="AI539" s="29"/>
      <c r="AM539" s="50"/>
      <c r="AN539" s="51" t="s">
        <v>3611</v>
      </c>
      <c r="AO539" s="55" t="s">
        <v>1070</v>
      </c>
    </row>
    <row r="540" spans="1:41" ht="102.6" customHeight="1" x14ac:dyDescent="0.3">
      <c r="A540" s="20">
        <v>536</v>
      </c>
      <c r="B540" s="8" t="s">
        <v>3612</v>
      </c>
      <c r="C540" s="26">
        <v>2023</v>
      </c>
      <c r="D540" s="8"/>
      <c r="E540" s="8" t="s">
        <v>1073</v>
      </c>
      <c r="F540" s="20" t="s">
        <v>1969</v>
      </c>
      <c r="G540" s="21" t="s">
        <v>1968</v>
      </c>
      <c r="H540" s="21" t="s">
        <v>1968</v>
      </c>
      <c r="I540" s="21" t="s">
        <v>1968</v>
      </c>
      <c r="J540" s="21" t="s">
        <v>1968</v>
      </c>
      <c r="K540" s="21" t="s">
        <v>1968</v>
      </c>
      <c r="L540" s="22" t="str">
        <f t="shared" si="40"/>
        <v>INCLUDE</v>
      </c>
      <c r="M540" s="22" t="str">
        <f t="shared" si="41"/>
        <v/>
      </c>
      <c r="N540" s="23" t="s">
        <v>1968</v>
      </c>
      <c r="O540" s="23" t="s">
        <v>1968</v>
      </c>
      <c r="P540" s="24" t="s">
        <v>1968</v>
      </c>
      <c r="Q540" s="24" t="s">
        <v>1968</v>
      </c>
      <c r="R540" s="24" t="s">
        <v>1968</v>
      </c>
      <c r="S540" s="22" t="str">
        <f t="shared" si="42"/>
        <v>INCLUDE</v>
      </c>
      <c r="T540" s="22" t="str">
        <f t="shared" si="43"/>
        <v/>
      </c>
      <c r="U540" s="25" t="s">
        <v>1992</v>
      </c>
      <c r="V540" s="25">
        <v>0</v>
      </c>
      <c r="W540" s="25">
        <v>0</v>
      </c>
      <c r="X540" s="25">
        <v>1</v>
      </c>
      <c r="Y540" s="22" t="str">
        <f t="shared" si="44"/>
        <v>Single</v>
      </c>
      <c r="Z540" s="25" t="s">
        <v>1922</v>
      </c>
      <c r="AA540" s="25" t="s">
        <v>1972</v>
      </c>
      <c r="AB540" s="25" t="s">
        <v>2018</v>
      </c>
      <c r="AC540" s="25" t="s">
        <v>1986</v>
      </c>
      <c r="AD540" s="25" t="s">
        <v>2009</v>
      </c>
      <c r="AE540" s="25">
        <v>3</v>
      </c>
      <c r="AF540" s="25" t="s">
        <v>2004</v>
      </c>
      <c r="AG540" s="9" t="s">
        <v>3613</v>
      </c>
      <c r="AH540" s="29" t="s">
        <v>3614</v>
      </c>
      <c r="AI540" s="29" t="s">
        <v>3615</v>
      </c>
      <c r="AJ540" t="s">
        <v>2005</v>
      </c>
      <c r="AK540" t="s">
        <v>3616</v>
      </c>
      <c r="AL540" t="s">
        <v>1990</v>
      </c>
      <c r="AM540" s="50"/>
      <c r="AN540" s="51" t="s">
        <v>3617</v>
      </c>
      <c r="AO540" s="55" t="s">
        <v>1072</v>
      </c>
    </row>
    <row r="541" spans="1:41" ht="125.4" customHeight="1" x14ac:dyDescent="0.3">
      <c r="A541" s="20">
        <v>537</v>
      </c>
      <c r="B541" s="8" t="s">
        <v>3618</v>
      </c>
      <c r="C541" s="26">
        <v>2022</v>
      </c>
      <c r="D541" s="8"/>
      <c r="E541" s="8" t="s">
        <v>1075</v>
      </c>
      <c r="F541" s="20" t="s">
        <v>1969</v>
      </c>
      <c r="G541" s="21" t="s">
        <v>1968</v>
      </c>
      <c r="H541" s="21" t="s">
        <v>1968</v>
      </c>
      <c r="I541" s="21" t="s">
        <v>1968</v>
      </c>
      <c r="J541" s="21" t="s">
        <v>1968</v>
      </c>
      <c r="K541" s="21" t="s">
        <v>1968</v>
      </c>
      <c r="L541" s="22" t="str">
        <f t="shared" si="40"/>
        <v>INCLUDE</v>
      </c>
      <c r="M541" s="22" t="str">
        <f t="shared" si="41"/>
        <v/>
      </c>
      <c r="N541" s="23" t="s">
        <v>1968</v>
      </c>
      <c r="O541" s="23" t="s">
        <v>1968</v>
      </c>
      <c r="P541" s="24" t="s">
        <v>1968</v>
      </c>
      <c r="Q541" s="24" t="s">
        <v>1968</v>
      </c>
      <c r="R541" s="24" t="s">
        <v>1968</v>
      </c>
      <c r="S541" s="22" t="str">
        <f t="shared" si="42"/>
        <v>INCLUDE</v>
      </c>
      <c r="T541" s="22" t="str">
        <f t="shared" si="43"/>
        <v/>
      </c>
      <c r="U541" s="25" t="s">
        <v>1982</v>
      </c>
      <c r="V541" s="25">
        <v>0</v>
      </c>
      <c r="W541" s="25">
        <v>1</v>
      </c>
      <c r="X541" s="25">
        <v>0</v>
      </c>
      <c r="Y541" s="22" t="str">
        <f t="shared" si="44"/>
        <v>Single</v>
      </c>
      <c r="Z541" s="25" t="s">
        <v>1922</v>
      </c>
      <c r="AA541" s="25" t="s">
        <v>1972</v>
      </c>
      <c r="AB541" s="25" t="s">
        <v>2018</v>
      </c>
      <c r="AC541" s="25" t="s">
        <v>1986</v>
      </c>
      <c r="AD541" s="25" t="s">
        <v>2003</v>
      </c>
      <c r="AE541" s="25">
        <v>4</v>
      </c>
      <c r="AF541" s="25" t="s">
        <v>1976</v>
      </c>
      <c r="AG541" s="9" t="s">
        <v>3619</v>
      </c>
      <c r="AH541" s="29" t="s">
        <v>3620</v>
      </c>
      <c r="AI541" s="29" t="s">
        <v>3621</v>
      </c>
      <c r="AJ541" t="s">
        <v>2005</v>
      </c>
      <c r="AK541" t="s">
        <v>3622</v>
      </c>
      <c r="AL541" t="s">
        <v>1978</v>
      </c>
      <c r="AM541" s="50"/>
      <c r="AN541" s="51" t="s">
        <v>3623</v>
      </c>
      <c r="AO541" s="55" t="s">
        <v>1074</v>
      </c>
    </row>
    <row r="542" spans="1:41" ht="91.2" customHeight="1" x14ac:dyDescent="0.3">
      <c r="A542" s="20">
        <v>538</v>
      </c>
      <c r="B542" s="8" t="s">
        <v>3624</v>
      </c>
      <c r="C542" s="26">
        <v>2022</v>
      </c>
      <c r="D542" s="8"/>
      <c r="E542" s="8" t="s">
        <v>1077</v>
      </c>
      <c r="F542" s="20" t="s">
        <v>1969</v>
      </c>
      <c r="G542" s="21" t="s">
        <v>1968</v>
      </c>
      <c r="H542" s="21" t="s">
        <v>1968</v>
      </c>
      <c r="I542" s="21" t="s">
        <v>1968</v>
      </c>
      <c r="J542" s="21" t="s">
        <v>1968</v>
      </c>
      <c r="K542" s="21" t="s">
        <v>1968</v>
      </c>
      <c r="L542" s="22" t="str">
        <f t="shared" si="40"/>
        <v>INCLUDE</v>
      </c>
      <c r="M542" s="22" t="str">
        <f t="shared" si="41"/>
        <v/>
      </c>
      <c r="N542" s="23" t="s">
        <v>1968</v>
      </c>
      <c r="O542" s="23" t="s">
        <v>1968</v>
      </c>
      <c r="P542" s="24" t="s">
        <v>1968</v>
      </c>
      <c r="Q542" s="24" t="s">
        <v>1968</v>
      </c>
      <c r="R542" s="24" t="s">
        <v>1968</v>
      </c>
      <c r="S542" s="22" t="str">
        <f t="shared" si="42"/>
        <v>INCLUDE</v>
      </c>
      <c r="T542" s="22" t="str">
        <f t="shared" si="43"/>
        <v/>
      </c>
      <c r="U542" s="25" t="s">
        <v>1982</v>
      </c>
      <c r="V542" s="25">
        <v>0</v>
      </c>
      <c r="W542" s="25">
        <v>1</v>
      </c>
      <c r="X542" s="25">
        <v>0</v>
      </c>
      <c r="Y542" s="22" t="str">
        <f t="shared" si="44"/>
        <v>Single</v>
      </c>
      <c r="Z542" s="25" t="s">
        <v>1922</v>
      </c>
      <c r="AA542" s="25" t="s">
        <v>1972</v>
      </c>
      <c r="AB542" s="25" t="s">
        <v>2017</v>
      </c>
      <c r="AC542" s="25" t="s">
        <v>1986</v>
      </c>
      <c r="AD542" s="25" t="s">
        <v>2003</v>
      </c>
      <c r="AE542" s="25">
        <v>4</v>
      </c>
      <c r="AF542" s="25" t="s">
        <v>2004</v>
      </c>
      <c r="AG542" s="9" t="s">
        <v>3625</v>
      </c>
      <c r="AH542" s="29" t="s">
        <v>3626</v>
      </c>
      <c r="AI542" s="29" t="s">
        <v>3627</v>
      </c>
      <c r="AJ542" t="s">
        <v>1977</v>
      </c>
      <c r="AK542" t="s">
        <v>3628</v>
      </c>
      <c r="AL542" t="s">
        <v>1978</v>
      </c>
      <c r="AM542" s="50" t="s">
        <v>2341</v>
      </c>
      <c r="AN542" s="51" t="s">
        <v>3629</v>
      </c>
      <c r="AO542" s="55" t="s">
        <v>1076</v>
      </c>
    </row>
    <row r="543" spans="1:41" ht="34.200000000000003" customHeight="1" x14ac:dyDescent="0.3">
      <c r="A543" s="20">
        <v>539</v>
      </c>
      <c r="B543" s="8" t="s">
        <v>3630</v>
      </c>
      <c r="C543" s="26">
        <v>2025</v>
      </c>
      <c r="D543" s="8"/>
      <c r="E543" s="8" t="s">
        <v>1079</v>
      </c>
      <c r="F543" s="20" t="s">
        <v>1969</v>
      </c>
      <c r="G543" s="21" t="s">
        <v>1979</v>
      </c>
      <c r="H543" s="21" t="s">
        <v>1968</v>
      </c>
      <c r="I543" s="21" t="s">
        <v>1968</v>
      </c>
      <c r="J543" s="21" t="s">
        <v>1968</v>
      </c>
      <c r="K543" s="21" t="s">
        <v>1968</v>
      </c>
      <c r="L543" s="22" t="str">
        <f t="shared" si="40"/>
        <v>EXCLUDE</v>
      </c>
      <c r="M543" s="22" t="str">
        <f t="shared" si="41"/>
        <v>Wrong domain (non-AECO)</v>
      </c>
      <c r="N543" s="23"/>
      <c r="O543" s="23"/>
      <c r="P543" s="24"/>
      <c r="Q543" s="24"/>
      <c r="R543" s="24"/>
      <c r="S543" s="22" t="str">
        <f t="shared" si="42"/>
        <v/>
      </c>
      <c r="T543" s="22" t="str">
        <f t="shared" si="43"/>
        <v/>
      </c>
      <c r="U543" s="25"/>
      <c r="V543" s="25"/>
      <c r="W543" s="25"/>
      <c r="X543" s="25"/>
      <c r="Y543" s="22" t="str">
        <f t="shared" si="44"/>
        <v/>
      </c>
      <c r="Z543" s="25"/>
      <c r="AA543" s="25"/>
      <c r="AB543" s="25"/>
      <c r="AC543" s="25"/>
      <c r="AD543" s="25"/>
      <c r="AE543" s="25"/>
      <c r="AF543" s="25"/>
      <c r="AG543" s="9"/>
      <c r="AH543" s="29"/>
      <c r="AI543" s="29"/>
      <c r="AM543" s="50"/>
      <c r="AN543" s="51" t="s">
        <v>3631</v>
      </c>
      <c r="AO543" s="55" t="s">
        <v>1078</v>
      </c>
    </row>
    <row r="544" spans="1:41" ht="79.8" customHeight="1" x14ac:dyDescent="0.3">
      <c r="A544" s="20">
        <v>540</v>
      </c>
      <c r="B544" s="8" t="s">
        <v>3632</v>
      </c>
      <c r="C544" s="26">
        <v>2024</v>
      </c>
      <c r="D544" s="8"/>
      <c r="E544" s="8" t="s">
        <v>1081</v>
      </c>
      <c r="F544" s="20" t="s">
        <v>1969</v>
      </c>
      <c r="G544" s="21" t="s">
        <v>1979</v>
      </c>
      <c r="H544" s="21" t="s">
        <v>1968</v>
      </c>
      <c r="I544" s="21" t="s">
        <v>1968</v>
      </c>
      <c r="J544" s="21" t="s">
        <v>1968</v>
      </c>
      <c r="K544" s="21" t="s">
        <v>1968</v>
      </c>
      <c r="L544" s="22" t="str">
        <f t="shared" si="40"/>
        <v>EXCLUDE</v>
      </c>
      <c r="M544" s="22" t="str">
        <f t="shared" si="41"/>
        <v>Wrong domain (non-AECO)</v>
      </c>
      <c r="N544" s="23"/>
      <c r="O544" s="23"/>
      <c r="P544" s="24"/>
      <c r="Q544" s="24"/>
      <c r="R544" s="24"/>
      <c r="S544" s="22" t="str">
        <f t="shared" si="42"/>
        <v/>
      </c>
      <c r="T544" s="22" t="str">
        <f t="shared" si="43"/>
        <v/>
      </c>
      <c r="U544" s="25"/>
      <c r="V544" s="25"/>
      <c r="W544" s="25"/>
      <c r="X544" s="25"/>
      <c r="Y544" s="22" t="str">
        <f t="shared" si="44"/>
        <v/>
      </c>
      <c r="Z544" s="25"/>
      <c r="AA544" s="25"/>
      <c r="AB544" s="25"/>
      <c r="AC544" s="25"/>
      <c r="AD544" s="25"/>
      <c r="AE544" s="25"/>
      <c r="AF544" s="25"/>
      <c r="AG544" s="9"/>
      <c r="AH544" s="29"/>
      <c r="AI544" s="29"/>
      <c r="AM544" s="50"/>
      <c r="AN544" s="51" t="s">
        <v>3633</v>
      </c>
      <c r="AO544" s="55" t="s">
        <v>1080</v>
      </c>
    </row>
    <row r="545" spans="1:41" ht="45.6" customHeight="1" x14ac:dyDescent="0.3">
      <c r="A545" s="20">
        <v>541</v>
      </c>
      <c r="B545" s="8" t="s">
        <v>3634</v>
      </c>
      <c r="C545" s="26">
        <v>2024</v>
      </c>
      <c r="D545" s="8"/>
      <c r="E545" s="8" t="s">
        <v>1083</v>
      </c>
      <c r="F545" s="20" t="s">
        <v>1969</v>
      </c>
      <c r="G545" s="21" t="s">
        <v>1979</v>
      </c>
      <c r="H545" s="21" t="s">
        <v>1968</v>
      </c>
      <c r="I545" s="21" t="s">
        <v>1968</v>
      </c>
      <c r="J545" s="21" t="s">
        <v>1968</v>
      </c>
      <c r="K545" s="21" t="s">
        <v>1968</v>
      </c>
      <c r="L545" s="22" t="str">
        <f t="shared" si="40"/>
        <v>EXCLUDE</v>
      </c>
      <c r="M545" s="22" t="str">
        <f t="shared" si="41"/>
        <v>Wrong domain (non-AECO)</v>
      </c>
      <c r="N545" s="23"/>
      <c r="O545" s="23"/>
      <c r="P545" s="24"/>
      <c r="Q545" s="24"/>
      <c r="R545" s="24"/>
      <c r="S545" s="22" t="str">
        <f t="shared" si="42"/>
        <v/>
      </c>
      <c r="T545" s="22" t="str">
        <f t="shared" si="43"/>
        <v/>
      </c>
      <c r="U545" s="25"/>
      <c r="V545" s="25"/>
      <c r="W545" s="25"/>
      <c r="X545" s="25"/>
      <c r="Y545" s="22" t="str">
        <f t="shared" si="44"/>
        <v/>
      </c>
      <c r="Z545" s="25"/>
      <c r="AA545" s="25"/>
      <c r="AB545" s="25"/>
      <c r="AC545" s="25"/>
      <c r="AD545" s="25"/>
      <c r="AE545" s="25"/>
      <c r="AF545" s="25"/>
      <c r="AG545" s="9"/>
      <c r="AH545" s="29"/>
      <c r="AI545" s="29"/>
      <c r="AM545" s="50"/>
      <c r="AN545" s="51" t="s">
        <v>3635</v>
      </c>
      <c r="AO545" s="55" t="s">
        <v>1082</v>
      </c>
    </row>
    <row r="546" spans="1:41" ht="79.8" customHeight="1" x14ac:dyDescent="0.3">
      <c r="A546" s="20">
        <v>542</v>
      </c>
      <c r="B546" s="8" t="s">
        <v>3636</v>
      </c>
      <c r="C546" s="26">
        <v>2023</v>
      </c>
      <c r="D546" s="8"/>
      <c r="E546" s="8" t="s">
        <v>1085</v>
      </c>
      <c r="F546" s="20" t="s">
        <v>1969</v>
      </c>
      <c r="G546" s="21" t="s">
        <v>1979</v>
      </c>
      <c r="H546" s="21" t="s">
        <v>1968</v>
      </c>
      <c r="I546" s="21" t="s">
        <v>1968</v>
      </c>
      <c r="J546" s="21" t="s">
        <v>1968</v>
      </c>
      <c r="K546" s="21" t="s">
        <v>1968</v>
      </c>
      <c r="L546" s="22" t="str">
        <f t="shared" si="40"/>
        <v>EXCLUDE</v>
      </c>
      <c r="M546" s="22" t="str">
        <f t="shared" si="41"/>
        <v>Wrong domain (non-AECO)</v>
      </c>
      <c r="N546" s="23"/>
      <c r="O546" s="23"/>
      <c r="P546" s="24"/>
      <c r="Q546" s="24"/>
      <c r="R546" s="24"/>
      <c r="S546" s="22" t="str">
        <f t="shared" si="42"/>
        <v/>
      </c>
      <c r="T546" s="22" t="str">
        <f t="shared" si="43"/>
        <v/>
      </c>
      <c r="U546" s="25"/>
      <c r="V546" s="25"/>
      <c r="W546" s="25"/>
      <c r="X546" s="25"/>
      <c r="Y546" s="22" t="str">
        <f t="shared" si="44"/>
        <v/>
      </c>
      <c r="Z546" s="25"/>
      <c r="AA546" s="25"/>
      <c r="AB546" s="25"/>
      <c r="AC546" s="25"/>
      <c r="AD546" s="25"/>
      <c r="AE546" s="25"/>
      <c r="AF546" s="25"/>
      <c r="AG546" s="9"/>
      <c r="AH546" s="29"/>
      <c r="AI546" s="29"/>
      <c r="AM546" s="50"/>
      <c r="AN546" s="51" t="s">
        <v>3637</v>
      </c>
      <c r="AO546" s="55" t="s">
        <v>1084</v>
      </c>
    </row>
    <row r="547" spans="1:41" ht="45.6" customHeight="1" x14ac:dyDescent="0.3">
      <c r="A547" s="20">
        <v>543</v>
      </c>
      <c r="B547" s="8" t="s">
        <v>3638</v>
      </c>
      <c r="C547" s="26">
        <v>2022</v>
      </c>
      <c r="D547" s="8"/>
      <c r="E547" s="8" t="s">
        <v>1087</v>
      </c>
      <c r="F547" s="20" t="s">
        <v>1969</v>
      </c>
      <c r="G547" s="21" t="s">
        <v>1979</v>
      </c>
      <c r="H547" s="21" t="s">
        <v>1968</v>
      </c>
      <c r="I547" s="21" t="s">
        <v>1968</v>
      </c>
      <c r="J547" s="21" t="s">
        <v>1968</v>
      </c>
      <c r="K547" s="21" t="s">
        <v>1968</v>
      </c>
      <c r="L547" s="22" t="str">
        <f t="shared" si="40"/>
        <v>EXCLUDE</v>
      </c>
      <c r="M547" s="22" t="str">
        <f t="shared" si="41"/>
        <v>Wrong domain (non-AECO)</v>
      </c>
      <c r="N547" s="23"/>
      <c r="O547" s="23"/>
      <c r="P547" s="24"/>
      <c r="Q547" s="24"/>
      <c r="R547" s="24"/>
      <c r="S547" s="22" t="str">
        <f t="shared" si="42"/>
        <v/>
      </c>
      <c r="T547" s="22" t="str">
        <f t="shared" si="43"/>
        <v/>
      </c>
      <c r="U547" s="25"/>
      <c r="V547" s="25"/>
      <c r="W547" s="25"/>
      <c r="X547" s="25"/>
      <c r="Y547" s="22" t="str">
        <f t="shared" si="44"/>
        <v/>
      </c>
      <c r="Z547" s="25"/>
      <c r="AA547" s="25"/>
      <c r="AB547" s="25"/>
      <c r="AC547" s="25"/>
      <c r="AD547" s="25"/>
      <c r="AE547" s="25"/>
      <c r="AF547" s="25"/>
      <c r="AG547" s="9"/>
      <c r="AH547" s="29"/>
      <c r="AI547" s="29"/>
      <c r="AM547" s="50"/>
      <c r="AN547" s="51" t="s">
        <v>3639</v>
      </c>
      <c r="AO547" s="55" t="s">
        <v>1086</v>
      </c>
    </row>
    <row r="548" spans="1:41" ht="45.6" customHeight="1" x14ac:dyDescent="0.3">
      <c r="A548" s="20">
        <v>544</v>
      </c>
      <c r="B548" s="8" t="s">
        <v>3640</v>
      </c>
      <c r="C548" s="26">
        <v>2024</v>
      </c>
      <c r="D548" s="8"/>
      <c r="E548" s="8" t="s">
        <v>1089</v>
      </c>
      <c r="F548" s="20" t="s">
        <v>1969</v>
      </c>
      <c r="G548" s="21" t="s">
        <v>1979</v>
      </c>
      <c r="H548" s="21" t="s">
        <v>1968</v>
      </c>
      <c r="I548" s="21" t="s">
        <v>1968</v>
      </c>
      <c r="J548" s="21" t="s">
        <v>1968</v>
      </c>
      <c r="K548" s="21" t="s">
        <v>1968</v>
      </c>
      <c r="L548" s="22" t="str">
        <f t="shared" si="40"/>
        <v>EXCLUDE</v>
      </c>
      <c r="M548" s="22" t="str">
        <f t="shared" si="41"/>
        <v>Wrong domain (non-AECO)</v>
      </c>
      <c r="N548" s="23"/>
      <c r="O548" s="23"/>
      <c r="P548" s="24"/>
      <c r="Q548" s="24"/>
      <c r="R548" s="24"/>
      <c r="S548" s="22" t="str">
        <f t="shared" si="42"/>
        <v/>
      </c>
      <c r="T548" s="22" t="str">
        <f t="shared" si="43"/>
        <v/>
      </c>
      <c r="U548" s="25"/>
      <c r="V548" s="25"/>
      <c r="W548" s="25"/>
      <c r="X548" s="25"/>
      <c r="Y548" s="22" t="str">
        <f t="shared" si="44"/>
        <v/>
      </c>
      <c r="Z548" s="25"/>
      <c r="AA548" s="25"/>
      <c r="AB548" s="25"/>
      <c r="AC548" s="25"/>
      <c r="AD548" s="25"/>
      <c r="AE548" s="25"/>
      <c r="AF548" s="25"/>
      <c r="AG548" s="9"/>
      <c r="AH548" s="29"/>
      <c r="AI548" s="29"/>
      <c r="AM548" s="50"/>
      <c r="AN548" s="51" t="s">
        <v>3641</v>
      </c>
      <c r="AO548" s="55" t="s">
        <v>1088</v>
      </c>
    </row>
    <row r="549" spans="1:41" ht="57" customHeight="1" x14ac:dyDescent="0.3">
      <c r="A549" s="20">
        <v>545</v>
      </c>
      <c r="B549" s="8" t="s">
        <v>3642</v>
      </c>
      <c r="C549" s="26">
        <v>2024</v>
      </c>
      <c r="D549" s="8"/>
      <c r="E549" s="8" t="s">
        <v>1091</v>
      </c>
      <c r="F549" s="20" t="s">
        <v>1969</v>
      </c>
      <c r="G549" s="21" t="s">
        <v>1968</v>
      </c>
      <c r="H549" s="21" t="s">
        <v>1979</v>
      </c>
      <c r="I549" s="21" t="s">
        <v>1968</v>
      </c>
      <c r="J549" s="21" t="s">
        <v>1968</v>
      </c>
      <c r="K549" s="21" t="s">
        <v>1968</v>
      </c>
      <c r="L549" s="22" t="str">
        <f t="shared" si="40"/>
        <v>EXCLUDE</v>
      </c>
      <c r="M549" s="22" t="str">
        <f t="shared" si="41"/>
        <v>Digital Twin not core / buzzword</v>
      </c>
      <c r="N549" s="23"/>
      <c r="O549" s="23"/>
      <c r="P549" s="24"/>
      <c r="Q549" s="24"/>
      <c r="R549" s="24"/>
      <c r="S549" s="22" t="str">
        <f t="shared" si="42"/>
        <v/>
      </c>
      <c r="T549" s="22" t="str">
        <f t="shared" si="43"/>
        <v/>
      </c>
      <c r="U549" s="25"/>
      <c r="V549" s="25"/>
      <c r="W549" s="25"/>
      <c r="X549" s="25"/>
      <c r="Y549" s="22" t="str">
        <f t="shared" si="44"/>
        <v/>
      </c>
      <c r="Z549" s="25"/>
      <c r="AA549" s="25"/>
      <c r="AB549" s="25"/>
      <c r="AC549" s="25"/>
      <c r="AD549" s="25"/>
      <c r="AE549" s="25"/>
      <c r="AF549" s="25"/>
      <c r="AG549" s="9"/>
      <c r="AH549" s="29"/>
      <c r="AI549" s="29"/>
      <c r="AM549" s="50"/>
      <c r="AN549" s="51" t="s">
        <v>3643</v>
      </c>
      <c r="AO549" s="55" t="s">
        <v>1090</v>
      </c>
    </row>
    <row r="550" spans="1:41" ht="45.6" customHeight="1" x14ac:dyDescent="0.3">
      <c r="A550" s="20">
        <v>546</v>
      </c>
      <c r="B550" s="8" t="s">
        <v>3644</v>
      </c>
      <c r="C550" s="26">
        <v>2024</v>
      </c>
      <c r="D550" s="8"/>
      <c r="E550" s="8" t="s">
        <v>1093</v>
      </c>
      <c r="F550" s="20" t="s">
        <v>1969</v>
      </c>
      <c r="G550" s="21" t="s">
        <v>1968</v>
      </c>
      <c r="H550" s="21" t="s">
        <v>1968</v>
      </c>
      <c r="I550" s="21" t="s">
        <v>1968</v>
      </c>
      <c r="J550" s="21" t="s">
        <v>1968</v>
      </c>
      <c r="K550" s="21" t="s">
        <v>1968</v>
      </c>
      <c r="L550" s="22" t="str">
        <f t="shared" si="40"/>
        <v>INCLUDE</v>
      </c>
      <c r="M550" s="22" t="str">
        <f t="shared" si="41"/>
        <v/>
      </c>
      <c r="N550" s="23" t="s">
        <v>1979</v>
      </c>
      <c r="O550" s="23" t="s">
        <v>1979</v>
      </c>
      <c r="P550" s="24"/>
      <c r="Q550" s="24"/>
      <c r="R550" s="24"/>
      <c r="S550" s="22" t="str">
        <f t="shared" si="42"/>
        <v/>
      </c>
      <c r="T550" s="22" t="str">
        <f t="shared" si="43"/>
        <v/>
      </c>
      <c r="U550" s="25"/>
      <c r="V550" s="25"/>
      <c r="W550" s="25"/>
      <c r="X550" s="25"/>
      <c r="Y550" s="22" t="str">
        <f t="shared" si="44"/>
        <v/>
      </c>
      <c r="Z550" s="25"/>
      <c r="AA550" s="25"/>
      <c r="AB550" s="25"/>
      <c r="AC550" s="25"/>
      <c r="AD550" s="25"/>
      <c r="AE550" s="25"/>
      <c r="AF550" s="25"/>
      <c r="AG550" s="9"/>
      <c r="AH550" s="29"/>
      <c r="AI550" s="29"/>
      <c r="AM550" s="50"/>
      <c r="AN550" s="51" t="s">
        <v>3645</v>
      </c>
      <c r="AO550" s="55" t="s">
        <v>1092</v>
      </c>
    </row>
    <row r="551" spans="1:41" ht="79.8" customHeight="1" x14ac:dyDescent="0.3">
      <c r="A551" s="20">
        <v>547</v>
      </c>
      <c r="B551" s="8" t="s">
        <v>3646</v>
      </c>
      <c r="C551" s="26">
        <v>2022</v>
      </c>
      <c r="D551" s="8"/>
      <c r="E551" s="8" t="s">
        <v>1095</v>
      </c>
      <c r="F551" s="20" t="s">
        <v>1969</v>
      </c>
      <c r="G551" s="21" t="s">
        <v>1968</v>
      </c>
      <c r="H551" s="21" t="s">
        <v>1979</v>
      </c>
      <c r="I551" s="21" t="s">
        <v>1968</v>
      </c>
      <c r="J551" s="21" t="s">
        <v>1968</v>
      </c>
      <c r="K551" s="21" t="s">
        <v>1968</v>
      </c>
      <c r="L551" s="22" t="str">
        <f t="shared" si="40"/>
        <v>EXCLUDE</v>
      </c>
      <c r="M551" s="22" t="str">
        <f t="shared" si="41"/>
        <v>Digital Twin not core / buzzword</v>
      </c>
      <c r="N551" s="23"/>
      <c r="O551" s="23"/>
      <c r="P551" s="24"/>
      <c r="Q551" s="24"/>
      <c r="R551" s="24"/>
      <c r="S551" s="22" t="str">
        <f t="shared" si="42"/>
        <v/>
      </c>
      <c r="T551" s="22" t="str">
        <f t="shared" si="43"/>
        <v/>
      </c>
      <c r="U551" s="25"/>
      <c r="V551" s="25"/>
      <c r="W551" s="25"/>
      <c r="X551" s="25"/>
      <c r="Y551" s="22" t="str">
        <f t="shared" si="44"/>
        <v/>
      </c>
      <c r="Z551" s="25"/>
      <c r="AA551" s="25"/>
      <c r="AB551" s="25"/>
      <c r="AC551" s="25"/>
      <c r="AD551" s="25"/>
      <c r="AE551" s="25"/>
      <c r="AF551" s="25"/>
      <c r="AG551" s="9"/>
      <c r="AH551" s="29"/>
      <c r="AI551" s="29"/>
      <c r="AM551" s="50"/>
      <c r="AN551" s="51" t="s">
        <v>3647</v>
      </c>
      <c r="AO551" s="55" t="s">
        <v>1094</v>
      </c>
    </row>
    <row r="552" spans="1:41" ht="102.6" customHeight="1" x14ac:dyDescent="0.3">
      <c r="A552" s="20">
        <v>548</v>
      </c>
      <c r="B552" s="8" t="s">
        <v>3648</v>
      </c>
      <c r="C552" s="26">
        <v>2022</v>
      </c>
      <c r="D552" s="8"/>
      <c r="E552" s="8" t="s">
        <v>1097</v>
      </c>
      <c r="F552" s="20" t="s">
        <v>1969</v>
      </c>
      <c r="G552" s="21" t="s">
        <v>1968</v>
      </c>
      <c r="H552" s="21" t="s">
        <v>1968</v>
      </c>
      <c r="I552" s="21" t="s">
        <v>1968</v>
      </c>
      <c r="J552" s="21" t="s">
        <v>1968</v>
      </c>
      <c r="K552" s="21" t="s">
        <v>1968</v>
      </c>
      <c r="L552" s="22" t="str">
        <f t="shared" si="40"/>
        <v>INCLUDE</v>
      </c>
      <c r="M552" s="22" t="str">
        <f t="shared" si="41"/>
        <v/>
      </c>
      <c r="N552" s="23" t="s">
        <v>1968</v>
      </c>
      <c r="O552" s="23" t="s">
        <v>1968</v>
      </c>
      <c r="P552" s="24" t="s">
        <v>1968</v>
      </c>
      <c r="Q552" s="24" t="s">
        <v>1968</v>
      </c>
      <c r="R552" s="24" t="s">
        <v>1968</v>
      </c>
      <c r="S552" s="22" t="str">
        <f t="shared" si="42"/>
        <v>INCLUDE</v>
      </c>
      <c r="T552" s="22" t="str">
        <f t="shared" si="43"/>
        <v/>
      </c>
      <c r="U552" s="25" t="s">
        <v>1982</v>
      </c>
      <c r="V552" s="25">
        <v>0</v>
      </c>
      <c r="W552" s="25">
        <v>1</v>
      </c>
      <c r="X552" s="25">
        <v>0</v>
      </c>
      <c r="Y552" s="22" t="str">
        <f t="shared" si="44"/>
        <v>Single</v>
      </c>
      <c r="Z552" s="25" t="s">
        <v>1922</v>
      </c>
      <c r="AA552" s="25" t="s">
        <v>1972</v>
      </c>
      <c r="AB552" s="25" t="s">
        <v>2014</v>
      </c>
      <c r="AC552" s="25" t="s">
        <v>1986</v>
      </c>
      <c r="AD552" s="25" t="s">
        <v>1987</v>
      </c>
      <c r="AE552" s="25">
        <v>4</v>
      </c>
      <c r="AF552" s="25" t="s">
        <v>2004</v>
      </c>
      <c r="AG552" s="9" t="s">
        <v>3649</v>
      </c>
      <c r="AH552" s="29" t="s">
        <v>3650</v>
      </c>
      <c r="AI552" s="29" t="s">
        <v>3651</v>
      </c>
      <c r="AJ552" t="s">
        <v>2005</v>
      </c>
      <c r="AK552" t="s">
        <v>3652</v>
      </c>
      <c r="AL552" t="s">
        <v>1990</v>
      </c>
      <c r="AM552" s="50"/>
      <c r="AN552" s="51" t="s">
        <v>3653</v>
      </c>
      <c r="AO552" s="55" t="s">
        <v>1096</v>
      </c>
    </row>
    <row r="553" spans="1:41" ht="68.400000000000006" customHeight="1" x14ac:dyDescent="0.3">
      <c r="A553" s="20">
        <v>549</v>
      </c>
      <c r="B553" s="8" t="s">
        <v>3654</v>
      </c>
      <c r="C553" s="26">
        <v>2022</v>
      </c>
      <c r="D553" s="8"/>
      <c r="E553" s="8" t="s">
        <v>1099</v>
      </c>
      <c r="F553" s="20" t="s">
        <v>1969</v>
      </c>
      <c r="G553" s="21" t="s">
        <v>1979</v>
      </c>
      <c r="H553" s="21" t="s">
        <v>1968</v>
      </c>
      <c r="I553" s="21" t="s">
        <v>1968</v>
      </c>
      <c r="J553" s="21" t="s">
        <v>1968</v>
      </c>
      <c r="K553" s="21" t="s">
        <v>1968</v>
      </c>
      <c r="L553" s="22" t="str">
        <f t="shared" si="40"/>
        <v>EXCLUDE</v>
      </c>
      <c r="M553" s="22" t="str">
        <f t="shared" si="41"/>
        <v>Wrong domain (non-AECO)</v>
      </c>
      <c r="N553" s="23"/>
      <c r="O553" s="23"/>
      <c r="P553" s="24"/>
      <c r="Q553" s="24"/>
      <c r="R553" s="24"/>
      <c r="S553" s="22" t="str">
        <f t="shared" si="42"/>
        <v/>
      </c>
      <c r="T553" s="22" t="str">
        <f t="shared" si="43"/>
        <v/>
      </c>
      <c r="U553" s="25"/>
      <c r="V553" s="25"/>
      <c r="W553" s="25"/>
      <c r="X553" s="25"/>
      <c r="Y553" s="22" t="str">
        <f t="shared" si="44"/>
        <v/>
      </c>
      <c r="Z553" s="25"/>
      <c r="AA553" s="25"/>
      <c r="AB553" s="25"/>
      <c r="AC553" s="25"/>
      <c r="AD553" s="25"/>
      <c r="AE553" s="25"/>
      <c r="AF553" s="25"/>
      <c r="AG553" s="9"/>
      <c r="AH553" s="29"/>
      <c r="AI553" s="29"/>
      <c r="AM553" s="50"/>
      <c r="AN553" s="51" t="s">
        <v>3655</v>
      </c>
      <c r="AO553" s="55" t="s">
        <v>1098</v>
      </c>
    </row>
    <row r="554" spans="1:41" ht="91.2" customHeight="1" x14ac:dyDescent="0.3">
      <c r="A554" s="20">
        <v>550</v>
      </c>
      <c r="B554" s="8" t="s">
        <v>3656</v>
      </c>
      <c r="C554" s="26">
        <v>2020</v>
      </c>
      <c r="D554" s="8"/>
      <c r="E554" s="8" t="s">
        <v>1101</v>
      </c>
      <c r="F554" s="20" t="s">
        <v>1969</v>
      </c>
      <c r="G554" s="21" t="s">
        <v>1968</v>
      </c>
      <c r="H554" s="21" t="s">
        <v>1968</v>
      </c>
      <c r="I554" s="21" t="s">
        <v>1968</v>
      </c>
      <c r="J554" s="21" t="s">
        <v>1968</v>
      </c>
      <c r="K554" s="21" t="s">
        <v>1968</v>
      </c>
      <c r="L554" s="22" t="str">
        <f t="shared" si="40"/>
        <v>INCLUDE</v>
      </c>
      <c r="M554" s="22" t="str">
        <f t="shared" si="41"/>
        <v/>
      </c>
      <c r="N554" s="23" t="s">
        <v>1968</v>
      </c>
      <c r="O554" s="23" t="s">
        <v>1968</v>
      </c>
      <c r="P554" s="24" t="s">
        <v>1968</v>
      </c>
      <c r="Q554" s="24" t="s">
        <v>1968</v>
      </c>
      <c r="R554" s="24" t="s">
        <v>1968</v>
      </c>
      <c r="S554" s="22" t="str">
        <f t="shared" si="42"/>
        <v>INCLUDE</v>
      </c>
      <c r="T554" s="22" t="str">
        <f t="shared" si="43"/>
        <v/>
      </c>
      <c r="U554" s="25" t="s">
        <v>1992</v>
      </c>
      <c r="V554" s="25">
        <v>0</v>
      </c>
      <c r="W554" s="25">
        <v>1</v>
      </c>
      <c r="X554" s="25">
        <v>0</v>
      </c>
      <c r="Y554" s="22" t="str">
        <f t="shared" si="44"/>
        <v>Single</v>
      </c>
      <c r="Z554" s="25" t="s">
        <v>1922</v>
      </c>
      <c r="AA554" s="25" t="s">
        <v>1972</v>
      </c>
      <c r="AB554" s="25" t="s">
        <v>2018</v>
      </c>
      <c r="AC554" s="25" t="s">
        <v>1986</v>
      </c>
      <c r="AD554" s="25" t="s">
        <v>2003</v>
      </c>
      <c r="AE554" s="25">
        <v>4</v>
      </c>
      <c r="AF554" s="25" t="s">
        <v>2004</v>
      </c>
      <c r="AG554" s="9" t="s">
        <v>3657</v>
      </c>
      <c r="AH554" s="29" t="s">
        <v>3658</v>
      </c>
      <c r="AI554" s="29" t="s">
        <v>3659</v>
      </c>
      <c r="AJ554" t="s">
        <v>2005</v>
      </c>
      <c r="AK554" t="s">
        <v>3660</v>
      </c>
      <c r="AL554" t="s">
        <v>1990</v>
      </c>
      <c r="AM554" s="50"/>
      <c r="AN554" s="51" t="s">
        <v>3661</v>
      </c>
      <c r="AO554" s="55" t="s">
        <v>1100</v>
      </c>
    </row>
    <row r="555" spans="1:41" ht="91.2" customHeight="1" x14ac:dyDescent="0.3">
      <c r="A555" s="20">
        <v>551</v>
      </c>
      <c r="B555" s="8" t="s">
        <v>3662</v>
      </c>
      <c r="C555" s="26">
        <v>2024</v>
      </c>
      <c r="D555" s="8"/>
      <c r="E555" s="8" t="s">
        <v>1103</v>
      </c>
      <c r="F555" s="20" t="s">
        <v>1969</v>
      </c>
      <c r="G555" s="21" t="s">
        <v>1968</v>
      </c>
      <c r="H555" s="21" t="s">
        <v>1968</v>
      </c>
      <c r="I555" s="21" t="s">
        <v>1968</v>
      </c>
      <c r="J555" s="21" t="s">
        <v>1968</v>
      </c>
      <c r="K555" s="21" t="s">
        <v>1968</v>
      </c>
      <c r="L555" s="22" t="str">
        <f t="shared" si="40"/>
        <v>INCLUDE</v>
      </c>
      <c r="M555" s="22" t="str">
        <f t="shared" si="41"/>
        <v/>
      </c>
      <c r="N555" s="23" t="s">
        <v>1968</v>
      </c>
      <c r="O555" s="23" t="s">
        <v>1968</v>
      </c>
      <c r="P555" s="24" t="s">
        <v>1968</v>
      </c>
      <c r="Q555" s="24" t="s">
        <v>1968</v>
      </c>
      <c r="R555" s="24" t="s">
        <v>1968</v>
      </c>
      <c r="S555" s="22" t="str">
        <f t="shared" si="42"/>
        <v>INCLUDE</v>
      </c>
      <c r="T555" s="22" t="str">
        <f t="shared" si="43"/>
        <v/>
      </c>
      <c r="U555" s="25" t="s">
        <v>1982</v>
      </c>
      <c r="V555" s="25">
        <v>0</v>
      </c>
      <c r="W555" s="25">
        <v>0</v>
      </c>
      <c r="X555" s="25">
        <v>1</v>
      </c>
      <c r="Y555" s="22" t="str">
        <f t="shared" si="44"/>
        <v>Single</v>
      </c>
      <c r="Z555" s="25" t="s">
        <v>1922</v>
      </c>
      <c r="AA555" s="25" t="s">
        <v>1972</v>
      </c>
      <c r="AB555" s="25" t="s">
        <v>2017</v>
      </c>
      <c r="AC555" s="25" t="s">
        <v>1986</v>
      </c>
      <c r="AD555" s="25" t="s">
        <v>2003</v>
      </c>
      <c r="AE555" s="25">
        <v>4</v>
      </c>
      <c r="AF555" s="25" t="s">
        <v>2004</v>
      </c>
      <c r="AG555" s="9" t="s">
        <v>3663</v>
      </c>
      <c r="AH555" s="29" t="s">
        <v>3664</v>
      </c>
      <c r="AI555" s="29" t="s">
        <v>3665</v>
      </c>
      <c r="AJ555" t="s">
        <v>1997</v>
      </c>
      <c r="AK555" t="s">
        <v>3666</v>
      </c>
      <c r="AL555" t="s">
        <v>1978</v>
      </c>
      <c r="AM555" s="50"/>
      <c r="AN555" s="51" t="s">
        <v>3667</v>
      </c>
      <c r="AO555" s="55" t="s">
        <v>1102</v>
      </c>
    </row>
    <row r="556" spans="1:41" ht="57" customHeight="1" x14ac:dyDescent="0.3">
      <c r="A556" s="20">
        <v>552</v>
      </c>
      <c r="B556" s="8" t="s">
        <v>3668</v>
      </c>
      <c r="C556" s="26">
        <v>2023</v>
      </c>
      <c r="D556" s="8"/>
      <c r="E556" s="8" t="s">
        <v>1105</v>
      </c>
      <c r="F556" s="20" t="s">
        <v>1969</v>
      </c>
      <c r="G556" s="21" t="s">
        <v>1968</v>
      </c>
      <c r="H556" s="21" t="s">
        <v>1979</v>
      </c>
      <c r="I556" s="21" t="s">
        <v>1968</v>
      </c>
      <c r="J556" s="21" t="s">
        <v>1968</v>
      </c>
      <c r="K556" s="21" t="s">
        <v>1968</v>
      </c>
      <c r="L556" s="22" t="str">
        <f t="shared" si="40"/>
        <v>EXCLUDE</v>
      </c>
      <c r="M556" s="22" t="str">
        <f t="shared" si="41"/>
        <v>Digital Twin not core / buzzword</v>
      </c>
      <c r="N556" s="23"/>
      <c r="O556" s="23"/>
      <c r="P556" s="24"/>
      <c r="Q556" s="24"/>
      <c r="R556" s="24"/>
      <c r="S556" s="22" t="str">
        <f t="shared" si="42"/>
        <v/>
      </c>
      <c r="T556" s="22" t="str">
        <f t="shared" si="43"/>
        <v/>
      </c>
      <c r="U556" s="25"/>
      <c r="V556" s="25"/>
      <c r="W556" s="25"/>
      <c r="X556" s="25"/>
      <c r="Y556" s="22" t="str">
        <f t="shared" si="44"/>
        <v/>
      </c>
      <c r="Z556" s="25"/>
      <c r="AA556" s="25"/>
      <c r="AB556" s="25"/>
      <c r="AC556" s="25"/>
      <c r="AD556" s="25"/>
      <c r="AE556" s="25"/>
      <c r="AF556" s="25"/>
      <c r="AG556" s="9"/>
      <c r="AH556" s="29"/>
      <c r="AI556" s="29"/>
      <c r="AM556" s="50"/>
      <c r="AN556" s="51" t="s">
        <v>3669</v>
      </c>
      <c r="AO556" s="55" t="s">
        <v>1104</v>
      </c>
    </row>
    <row r="557" spans="1:41" ht="45.6" customHeight="1" x14ac:dyDescent="0.3">
      <c r="A557" s="20">
        <v>553</v>
      </c>
      <c r="B557" s="8" t="s">
        <v>3670</v>
      </c>
      <c r="C557" s="26">
        <v>2021</v>
      </c>
      <c r="D557" s="8"/>
      <c r="E557" s="8" t="s">
        <v>1107</v>
      </c>
      <c r="F557" s="20" t="s">
        <v>1969</v>
      </c>
      <c r="G557" s="21" t="s">
        <v>1979</v>
      </c>
      <c r="H557" s="21" t="s">
        <v>1968</v>
      </c>
      <c r="I557" s="21" t="s">
        <v>1968</v>
      </c>
      <c r="J557" s="21" t="s">
        <v>1968</v>
      </c>
      <c r="K557" s="21" t="s">
        <v>1968</v>
      </c>
      <c r="L557" s="22" t="str">
        <f t="shared" si="40"/>
        <v>EXCLUDE</v>
      </c>
      <c r="M557" s="22" t="str">
        <f t="shared" si="41"/>
        <v>Wrong domain (non-AECO)</v>
      </c>
      <c r="N557" s="23"/>
      <c r="O557" s="23"/>
      <c r="P557" s="24"/>
      <c r="Q557" s="24"/>
      <c r="R557" s="24"/>
      <c r="S557" s="22" t="str">
        <f t="shared" si="42"/>
        <v/>
      </c>
      <c r="T557" s="22" t="str">
        <f t="shared" si="43"/>
        <v/>
      </c>
      <c r="U557" s="25"/>
      <c r="V557" s="25"/>
      <c r="W557" s="25"/>
      <c r="X557" s="25"/>
      <c r="Y557" s="22" t="str">
        <f t="shared" si="44"/>
        <v/>
      </c>
      <c r="Z557" s="25"/>
      <c r="AA557" s="25"/>
      <c r="AB557" s="25"/>
      <c r="AC557" s="25"/>
      <c r="AD557" s="25"/>
      <c r="AE557" s="25"/>
      <c r="AF557" s="25"/>
      <c r="AG557" s="9"/>
      <c r="AH557" s="29"/>
      <c r="AI557" s="29"/>
      <c r="AM557" s="50"/>
      <c r="AN557" s="51" t="s">
        <v>3671</v>
      </c>
      <c r="AO557" s="55" t="s">
        <v>1106</v>
      </c>
    </row>
    <row r="558" spans="1:41" ht="45.6" customHeight="1" x14ac:dyDescent="0.3">
      <c r="A558" s="20">
        <v>554</v>
      </c>
      <c r="B558" s="8" t="s">
        <v>3672</v>
      </c>
      <c r="C558" s="26">
        <v>2024</v>
      </c>
      <c r="D558" s="8"/>
      <c r="E558" s="8" t="s">
        <v>1109</v>
      </c>
      <c r="F558" s="20" t="s">
        <v>1969</v>
      </c>
      <c r="G558" s="21" t="s">
        <v>1979</v>
      </c>
      <c r="H558" s="21" t="s">
        <v>1968</v>
      </c>
      <c r="I558" s="21" t="s">
        <v>1968</v>
      </c>
      <c r="J558" s="21" t="s">
        <v>1968</v>
      </c>
      <c r="K558" s="21" t="s">
        <v>1968</v>
      </c>
      <c r="L558" s="22" t="str">
        <f t="shared" si="40"/>
        <v>EXCLUDE</v>
      </c>
      <c r="M558" s="22" t="str">
        <f t="shared" si="41"/>
        <v>Wrong domain (non-AECO)</v>
      </c>
      <c r="N558" s="23"/>
      <c r="O558" s="23"/>
      <c r="P558" s="24"/>
      <c r="Q558" s="24"/>
      <c r="R558" s="24"/>
      <c r="S558" s="22" t="str">
        <f t="shared" si="42"/>
        <v/>
      </c>
      <c r="T558" s="22" t="str">
        <f t="shared" si="43"/>
        <v/>
      </c>
      <c r="U558" s="25"/>
      <c r="V558" s="25"/>
      <c r="W558" s="25"/>
      <c r="X558" s="25"/>
      <c r="Y558" s="22" t="str">
        <f t="shared" si="44"/>
        <v/>
      </c>
      <c r="Z558" s="25"/>
      <c r="AA558" s="25"/>
      <c r="AB558" s="25"/>
      <c r="AC558" s="25"/>
      <c r="AD558" s="25"/>
      <c r="AE558" s="25"/>
      <c r="AF558" s="25"/>
      <c r="AG558" s="9"/>
      <c r="AH558" s="29"/>
      <c r="AI558" s="29"/>
      <c r="AM558" s="50"/>
      <c r="AN558" s="51" t="s">
        <v>3673</v>
      </c>
      <c r="AO558" s="55" t="s">
        <v>1108</v>
      </c>
    </row>
    <row r="559" spans="1:41" ht="102.6" customHeight="1" x14ac:dyDescent="0.3">
      <c r="A559" s="20">
        <v>555</v>
      </c>
      <c r="B559" s="8" t="s">
        <v>3674</v>
      </c>
      <c r="C559" s="26">
        <v>2025</v>
      </c>
      <c r="D559" s="8"/>
      <c r="E559" s="8" t="s">
        <v>1111</v>
      </c>
      <c r="F559" s="20" t="s">
        <v>1969</v>
      </c>
      <c r="G559" s="21" t="s">
        <v>1979</v>
      </c>
      <c r="H559" s="21" t="s">
        <v>1968</v>
      </c>
      <c r="I559" s="21" t="s">
        <v>1968</v>
      </c>
      <c r="J559" s="21" t="s">
        <v>1968</v>
      </c>
      <c r="K559" s="21" t="s">
        <v>1968</v>
      </c>
      <c r="L559" s="22" t="str">
        <f t="shared" si="40"/>
        <v>EXCLUDE</v>
      </c>
      <c r="M559" s="22" t="str">
        <f t="shared" si="41"/>
        <v>Wrong domain (non-AECO)</v>
      </c>
      <c r="N559" s="23"/>
      <c r="O559" s="23"/>
      <c r="P559" s="24"/>
      <c r="Q559" s="24"/>
      <c r="R559" s="24"/>
      <c r="S559" s="22" t="str">
        <f t="shared" si="42"/>
        <v/>
      </c>
      <c r="T559" s="22" t="str">
        <f t="shared" si="43"/>
        <v/>
      </c>
      <c r="U559" s="25"/>
      <c r="V559" s="25"/>
      <c r="W559" s="25"/>
      <c r="X559" s="25"/>
      <c r="Y559" s="22" t="str">
        <f t="shared" si="44"/>
        <v/>
      </c>
      <c r="Z559" s="25"/>
      <c r="AA559" s="25"/>
      <c r="AB559" s="25"/>
      <c r="AC559" s="25"/>
      <c r="AD559" s="25"/>
      <c r="AE559" s="25"/>
      <c r="AF559" s="25"/>
      <c r="AG559" s="9"/>
      <c r="AH559" s="29"/>
      <c r="AI559" s="29"/>
      <c r="AM559" s="50"/>
      <c r="AN559" s="51" t="s">
        <v>3675</v>
      </c>
      <c r="AO559" s="55" t="s">
        <v>1110</v>
      </c>
    </row>
    <row r="560" spans="1:41" ht="68.400000000000006" customHeight="1" x14ac:dyDescent="0.3">
      <c r="A560" s="20">
        <v>556</v>
      </c>
      <c r="B560" s="8" t="s">
        <v>3676</v>
      </c>
      <c r="C560" s="26">
        <v>2023</v>
      </c>
      <c r="D560" s="8"/>
      <c r="E560" s="8" t="s">
        <v>1113</v>
      </c>
      <c r="F560" s="20" t="s">
        <v>1969</v>
      </c>
      <c r="G560" s="21" t="s">
        <v>1979</v>
      </c>
      <c r="H560" s="21" t="s">
        <v>1968</v>
      </c>
      <c r="I560" s="21" t="s">
        <v>1968</v>
      </c>
      <c r="J560" s="21" t="s">
        <v>1968</v>
      </c>
      <c r="K560" s="21" t="s">
        <v>1968</v>
      </c>
      <c r="L560" s="22" t="str">
        <f t="shared" si="40"/>
        <v>EXCLUDE</v>
      </c>
      <c r="M560" s="22" t="str">
        <f t="shared" si="41"/>
        <v>Wrong domain (non-AECO)</v>
      </c>
      <c r="N560" s="23"/>
      <c r="O560" s="23"/>
      <c r="P560" s="24"/>
      <c r="Q560" s="24"/>
      <c r="R560" s="24"/>
      <c r="S560" s="22" t="str">
        <f t="shared" si="42"/>
        <v/>
      </c>
      <c r="T560" s="22" t="str">
        <f t="shared" si="43"/>
        <v/>
      </c>
      <c r="U560" s="25"/>
      <c r="V560" s="25"/>
      <c r="W560" s="25"/>
      <c r="X560" s="25"/>
      <c r="Y560" s="22" t="str">
        <f t="shared" si="44"/>
        <v/>
      </c>
      <c r="Z560" s="25"/>
      <c r="AA560" s="25"/>
      <c r="AB560" s="25"/>
      <c r="AC560" s="25"/>
      <c r="AD560" s="25"/>
      <c r="AE560" s="25"/>
      <c r="AF560" s="25"/>
      <c r="AG560" s="9"/>
      <c r="AH560" s="29"/>
      <c r="AI560" s="29"/>
      <c r="AM560" s="50"/>
      <c r="AN560" s="51" t="s">
        <v>3677</v>
      </c>
      <c r="AO560" s="55" t="s">
        <v>1112</v>
      </c>
    </row>
    <row r="561" spans="1:41" ht="57" customHeight="1" x14ac:dyDescent="0.3">
      <c r="A561" s="20">
        <v>557</v>
      </c>
      <c r="B561" s="8" t="s">
        <v>3678</v>
      </c>
      <c r="C561" s="26">
        <v>2022</v>
      </c>
      <c r="D561" s="8"/>
      <c r="E561" s="8" t="s">
        <v>1115</v>
      </c>
      <c r="F561" s="20" t="s">
        <v>1969</v>
      </c>
      <c r="G561" s="21" t="s">
        <v>1979</v>
      </c>
      <c r="H561" s="21" t="s">
        <v>1968</v>
      </c>
      <c r="I561" s="21" t="s">
        <v>1968</v>
      </c>
      <c r="J561" s="21" t="s">
        <v>1968</v>
      </c>
      <c r="K561" s="21" t="s">
        <v>1968</v>
      </c>
      <c r="L561" s="22" t="str">
        <f t="shared" si="40"/>
        <v>EXCLUDE</v>
      </c>
      <c r="M561" s="22" t="str">
        <f t="shared" si="41"/>
        <v>Wrong domain (non-AECO)</v>
      </c>
      <c r="N561" s="23"/>
      <c r="O561" s="23"/>
      <c r="P561" s="24"/>
      <c r="Q561" s="24"/>
      <c r="R561" s="24"/>
      <c r="S561" s="22" t="str">
        <f t="shared" si="42"/>
        <v/>
      </c>
      <c r="T561" s="22" t="str">
        <f t="shared" si="43"/>
        <v/>
      </c>
      <c r="U561" s="25"/>
      <c r="V561" s="25"/>
      <c r="W561" s="25"/>
      <c r="X561" s="25"/>
      <c r="Y561" s="22" t="str">
        <f t="shared" si="44"/>
        <v/>
      </c>
      <c r="Z561" s="25"/>
      <c r="AA561" s="25"/>
      <c r="AB561" s="25"/>
      <c r="AC561" s="25"/>
      <c r="AD561" s="25"/>
      <c r="AE561" s="25"/>
      <c r="AF561" s="25"/>
      <c r="AG561" s="9"/>
      <c r="AH561" s="29"/>
      <c r="AI561" s="29"/>
      <c r="AM561" s="50"/>
      <c r="AN561" s="51" t="s">
        <v>3679</v>
      </c>
      <c r="AO561" s="55" t="s">
        <v>1114</v>
      </c>
    </row>
    <row r="562" spans="1:41" ht="91.2" customHeight="1" x14ac:dyDescent="0.3">
      <c r="A562" s="20">
        <v>558</v>
      </c>
      <c r="B562" s="8" t="s">
        <v>3680</v>
      </c>
      <c r="C562" s="26">
        <v>2025</v>
      </c>
      <c r="D562" s="8"/>
      <c r="E562" s="8" t="s">
        <v>1117</v>
      </c>
      <c r="F562" s="20" t="s">
        <v>1969</v>
      </c>
      <c r="G562" s="21" t="s">
        <v>1968</v>
      </c>
      <c r="H562" s="21" t="s">
        <v>1968</v>
      </c>
      <c r="I562" s="21" t="s">
        <v>1968</v>
      </c>
      <c r="J562" s="21" t="s">
        <v>1968</v>
      </c>
      <c r="K562" s="21" t="s">
        <v>1968</v>
      </c>
      <c r="L562" s="22" t="str">
        <f t="shared" si="40"/>
        <v>INCLUDE</v>
      </c>
      <c r="M562" s="22" t="str">
        <f t="shared" si="41"/>
        <v/>
      </c>
      <c r="N562" s="23" t="s">
        <v>1968</v>
      </c>
      <c r="O562" s="23" t="s">
        <v>1968</v>
      </c>
      <c r="P562" s="24" t="s">
        <v>1968</v>
      </c>
      <c r="Q562" s="24" t="s">
        <v>1968</v>
      </c>
      <c r="R562" s="24" t="s">
        <v>1968</v>
      </c>
      <c r="S562" s="22" t="str">
        <f t="shared" si="42"/>
        <v>INCLUDE</v>
      </c>
      <c r="T562" s="22" t="str">
        <f t="shared" si="43"/>
        <v/>
      </c>
      <c r="U562" s="25" t="s">
        <v>1982</v>
      </c>
      <c r="V562" s="25">
        <v>0</v>
      </c>
      <c r="W562" s="25">
        <v>0</v>
      </c>
      <c r="X562" s="25">
        <v>1</v>
      </c>
      <c r="Y562" s="22" t="str">
        <f t="shared" si="44"/>
        <v>Single</v>
      </c>
      <c r="Z562" s="25" t="s">
        <v>1922</v>
      </c>
      <c r="AA562" s="25" t="s">
        <v>1972</v>
      </c>
      <c r="AB562" s="25" t="s">
        <v>2018</v>
      </c>
      <c r="AC562" s="25" t="s">
        <v>1986</v>
      </c>
      <c r="AD562" s="25" t="s">
        <v>1987</v>
      </c>
      <c r="AE562" s="25">
        <v>3</v>
      </c>
      <c r="AF562" s="25" t="s">
        <v>2010</v>
      </c>
      <c r="AG562" s="9" t="s">
        <v>3681</v>
      </c>
      <c r="AH562" s="29" t="s">
        <v>3682</v>
      </c>
      <c r="AI562" s="29" t="s">
        <v>3683</v>
      </c>
      <c r="AJ562" t="s">
        <v>2005</v>
      </c>
      <c r="AK562" t="s">
        <v>3684</v>
      </c>
      <c r="AL562" t="s">
        <v>1998</v>
      </c>
      <c r="AM562" s="50" t="s">
        <v>2098</v>
      </c>
      <c r="AN562" s="51" t="s">
        <v>3685</v>
      </c>
      <c r="AO562" s="55" t="s">
        <v>1116</v>
      </c>
    </row>
    <row r="563" spans="1:41" ht="91.2" customHeight="1" x14ac:dyDescent="0.3">
      <c r="A563" s="20">
        <v>559</v>
      </c>
      <c r="B563" s="8" t="s">
        <v>3686</v>
      </c>
      <c r="C563" s="26">
        <v>2025</v>
      </c>
      <c r="D563" s="8"/>
      <c r="E563" s="8" t="s">
        <v>1119</v>
      </c>
      <c r="F563" s="20" t="s">
        <v>1969</v>
      </c>
      <c r="G563" s="21" t="s">
        <v>1968</v>
      </c>
      <c r="H563" s="21" t="s">
        <v>1968</v>
      </c>
      <c r="I563" s="21" t="s">
        <v>1968</v>
      </c>
      <c r="J563" s="21" t="s">
        <v>1968</v>
      </c>
      <c r="K563" s="21" t="s">
        <v>1968</v>
      </c>
      <c r="L563" s="22" t="str">
        <f t="shared" si="40"/>
        <v>INCLUDE</v>
      </c>
      <c r="M563" s="22" t="str">
        <f t="shared" si="41"/>
        <v/>
      </c>
      <c r="N563" s="23" t="s">
        <v>1968</v>
      </c>
      <c r="O563" s="23" t="s">
        <v>1968</v>
      </c>
      <c r="P563" s="24" t="s">
        <v>1968</v>
      </c>
      <c r="Q563" s="24" t="s">
        <v>1968</v>
      </c>
      <c r="R563" s="24" t="s">
        <v>1968</v>
      </c>
      <c r="S563" s="22" t="str">
        <f t="shared" si="42"/>
        <v>INCLUDE</v>
      </c>
      <c r="T563" s="22" t="str">
        <f t="shared" si="43"/>
        <v/>
      </c>
      <c r="U563" s="25" t="s">
        <v>1982</v>
      </c>
      <c r="V563" s="25">
        <v>0</v>
      </c>
      <c r="W563" s="25">
        <v>0</v>
      </c>
      <c r="X563" s="25">
        <v>1</v>
      </c>
      <c r="Y563" s="22" t="str">
        <f t="shared" si="44"/>
        <v>Single</v>
      </c>
      <c r="Z563" s="25" t="s">
        <v>1922</v>
      </c>
      <c r="AA563" s="25" t="s">
        <v>1972</v>
      </c>
      <c r="AB563" s="25" t="s">
        <v>2015</v>
      </c>
      <c r="AC563" s="25" t="s">
        <v>1986</v>
      </c>
      <c r="AD563" s="25" t="s">
        <v>2003</v>
      </c>
      <c r="AE563" s="25">
        <v>4</v>
      </c>
      <c r="AF563" s="25" t="s">
        <v>2010</v>
      </c>
      <c r="AG563" s="9" t="s">
        <v>3687</v>
      </c>
      <c r="AH563" s="29" t="s">
        <v>3688</v>
      </c>
      <c r="AI563" s="29" t="s">
        <v>3689</v>
      </c>
      <c r="AJ563" t="s">
        <v>2005</v>
      </c>
      <c r="AK563" t="s">
        <v>3690</v>
      </c>
      <c r="AL563" t="s">
        <v>1990</v>
      </c>
      <c r="AM563" s="50"/>
      <c r="AN563" s="51" t="s">
        <v>3691</v>
      </c>
      <c r="AO563" s="55" t="s">
        <v>1118</v>
      </c>
    </row>
    <row r="564" spans="1:41" ht="57" customHeight="1" x14ac:dyDescent="0.3">
      <c r="A564" s="20">
        <v>560</v>
      </c>
      <c r="B564" s="8" t="s">
        <v>3692</v>
      </c>
      <c r="C564" s="26">
        <v>2024</v>
      </c>
      <c r="D564" s="8"/>
      <c r="E564" s="8" t="s">
        <v>1121</v>
      </c>
      <c r="F564" s="20" t="s">
        <v>1969</v>
      </c>
      <c r="G564" s="21" t="s">
        <v>1968</v>
      </c>
      <c r="H564" s="21" t="s">
        <v>1968</v>
      </c>
      <c r="I564" s="21" t="s">
        <v>1979</v>
      </c>
      <c r="J564" s="21" t="s">
        <v>1968</v>
      </c>
      <c r="K564" s="21" t="s">
        <v>1968</v>
      </c>
      <c r="L564" s="22" t="str">
        <f t="shared" si="40"/>
        <v>EXCLUDE</v>
      </c>
      <c r="M564" s="22" t="str">
        <f t="shared" si="41"/>
        <v>No Design for Safety / PtD focus</v>
      </c>
      <c r="N564" s="23"/>
      <c r="O564" s="23"/>
      <c r="P564" s="24"/>
      <c r="Q564" s="24"/>
      <c r="R564" s="24"/>
      <c r="S564" s="22" t="str">
        <f t="shared" si="42"/>
        <v/>
      </c>
      <c r="T564" s="22" t="str">
        <f t="shared" si="43"/>
        <v/>
      </c>
      <c r="U564" s="25"/>
      <c r="V564" s="25"/>
      <c r="W564" s="25"/>
      <c r="X564" s="25"/>
      <c r="Y564" s="22" t="str">
        <f t="shared" si="44"/>
        <v/>
      </c>
      <c r="Z564" s="25"/>
      <c r="AA564" s="25"/>
      <c r="AB564" s="25"/>
      <c r="AC564" s="25"/>
      <c r="AD564" s="25"/>
      <c r="AE564" s="25"/>
      <c r="AF564" s="25"/>
      <c r="AG564" s="9"/>
      <c r="AH564" s="29"/>
      <c r="AI564" s="29"/>
      <c r="AM564" s="50"/>
      <c r="AN564" s="51" t="s">
        <v>3693</v>
      </c>
      <c r="AO564" s="55" t="s">
        <v>1120</v>
      </c>
    </row>
    <row r="565" spans="1:41" ht="28.8" customHeight="1" x14ac:dyDescent="0.3">
      <c r="A565" s="20">
        <v>561</v>
      </c>
      <c r="B565" s="8" t="s">
        <v>3694</v>
      </c>
      <c r="C565" s="26">
        <v>2021</v>
      </c>
      <c r="D565" s="8"/>
      <c r="E565" s="8" t="s">
        <v>1123</v>
      </c>
      <c r="F565" s="20" t="s">
        <v>1969</v>
      </c>
      <c r="G565" s="21" t="s">
        <v>1968</v>
      </c>
      <c r="H565" s="21" t="s">
        <v>1979</v>
      </c>
      <c r="I565" s="21" t="s">
        <v>1968</v>
      </c>
      <c r="J565" s="21" t="s">
        <v>1968</v>
      </c>
      <c r="K565" s="21" t="s">
        <v>1968</v>
      </c>
      <c r="L565" s="22" t="str">
        <f t="shared" si="40"/>
        <v>EXCLUDE</v>
      </c>
      <c r="M565" s="22" t="str">
        <f t="shared" si="41"/>
        <v>Digital Twin not core / buzzword</v>
      </c>
      <c r="N565" s="23"/>
      <c r="O565" s="23"/>
      <c r="P565" s="24"/>
      <c r="Q565" s="24"/>
      <c r="R565" s="24"/>
      <c r="S565" s="22" t="str">
        <f t="shared" si="42"/>
        <v/>
      </c>
      <c r="T565" s="22" t="str">
        <f t="shared" si="43"/>
        <v/>
      </c>
      <c r="U565" s="25"/>
      <c r="V565" s="25"/>
      <c r="W565" s="25"/>
      <c r="X565" s="25"/>
      <c r="Y565" s="22" t="str">
        <f t="shared" si="44"/>
        <v/>
      </c>
      <c r="Z565" s="25"/>
      <c r="AA565" s="25"/>
      <c r="AB565" s="25"/>
      <c r="AC565" s="25"/>
      <c r="AD565" s="25"/>
      <c r="AE565" s="25"/>
      <c r="AF565" s="25"/>
      <c r="AG565" s="9"/>
      <c r="AH565" s="29"/>
      <c r="AI565" s="29"/>
      <c r="AM565" s="50"/>
      <c r="AN565" s="51" t="s">
        <v>3695</v>
      </c>
      <c r="AO565" s="55" t="s">
        <v>1122</v>
      </c>
    </row>
    <row r="566" spans="1:41" ht="79.8" customHeight="1" x14ac:dyDescent="0.3">
      <c r="A566" s="20">
        <v>562</v>
      </c>
      <c r="B566" s="8" t="s">
        <v>3696</v>
      </c>
      <c r="C566" s="26">
        <v>2023</v>
      </c>
      <c r="D566" s="8"/>
      <c r="E566" s="8" t="s">
        <v>1125</v>
      </c>
      <c r="F566" s="20" t="s">
        <v>1969</v>
      </c>
      <c r="G566" s="21" t="s">
        <v>1968</v>
      </c>
      <c r="H566" s="21" t="s">
        <v>1968</v>
      </c>
      <c r="I566" s="21" t="s">
        <v>1968</v>
      </c>
      <c r="J566" s="21" t="s">
        <v>1968</v>
      </c>
      <c r="K566" s="21" t="s">
        <v>1968</v>
      </c>
      <c r="L566" s="22" t="str">
        <f t="shared" si="40"/>
        <v>INCLUDE</v>
      </c>
      <c r="M566" s="22" t="str">
        <f t="shared" si="41"/>
        <v/>
      </c>
      <c r="N566" s="23" t="s">
        <v>1968</v>
      </c>
      <c r="O566" s="23" t="s">
        <v>1968</v>
      </c>
      <c r="P566" s="24" t="s">
        <v>1968</v>
      </c>
      <c r="Q566" s="24" t="s">
        <v>1968</v>
      </c>
      <c r="R566" s="24" t="s">
        <v>1968</v>
      </c>
      <c r="S566" s="22" t="str">
        <f t="shared" si="42"/>
        <v>INCLUDE</v>
      </c>
      <c r="T566" s="22" t="str">
        <f t="shared" si="43"/>
        <v/>
      </c>
      <c r="U566" s="25" t="s">
        <v>1971</v>
      </c>
      <c r="V566" s="25">
        <v>0</v>
      </c>
      <c r="W566" s="25">
        <v>0</v>
      </c>
      <c r="X566" s="25">
        <v>1</v>
      </c>
      <c r="Y566" s="22" t="str">
        <f t="shared" si="44"/>
        <v>Single</v>
      </c>
      <c r="Z566" s="25" t="s">
        <v>1922</v>
      </c>
      <c r="AA566" s="25" t="s">
        <v>1972</v>
      </c>
      <c r="AB566" s="25" t="s">
        <v>2017</v>
      </c>
      <c r="AC566" s="25" t="s">
        <v>1986</v>
      </c>
      <c r="AD566" s="25" t="s">
        <v>2003</v>
      </c>
      <c r="AE566" s="25">
        <v>3</v>
      </c>
      <c r="AF566" s="25" t="s">
        <v>2012</v>
      </c>
      <c r="AG566" s="9" t="s">
        <v>3697</v>
      </c>
      <c r="AH566" s="29" t="s">
        <v>3698</v>
      </c>
      <c r="AI566" s="29" t="s">
        <v>3699</v>
      </c>
      <c r="AJ566" t="s">
        <v>2005</v>
      </c>
      <c r="AK566" t="s">
        <v>3700</v>
      </c>
      <c r="AL566" t="s">
        <v>1990</v>
      </c>
      <c r="AM566" s="50"/>
      <c r="AN566" s="51" t="s">
        <v>3701</v>
      </c>
      <c r="AO566" s="55" t="s">
        <v>1124</v>
      </c>
    </row>
    <row r="567" spans="1:41" ht="45.6" customHeight="1" x14ac:dyDescent="0.3">
      <c r="A567" s="20">
        <v>563</v>
      </c>
      <c r="B567" s="8" t="s">
        <v>3702</v>
      </c>
      <c r="C567" s="26">
        <v>2022</v>
      </c>
      <c r="D567" s="8"/>
      <c r="E567" s="8" t="s">
        <v>1127</v>
      </c>
      <c r="F567" s="20" t="s">
        <v>1969</v>
      </c>
      <c r="G567" s="21" t="s">
        <v>1968</v>
      </c>
      <c r="H567" s="21" t="s">
        <v>1979</v>
      </c>
      <c r="I567" s="21" t="s">
        <v>1968</v>
      </c>
      <c r="J567" s="21" t="s">
        <v>1968</v>
      </c>
      <c r="K567" s="21" t="s">
        <v>1968</v>
      </c>
      <c r="L567" s="22" t="str">
        <f t="shared" si="40"/>
        <v>EXCLUDE</v>
      </c>
      <c r="M567" s="22" t="str">
        <f t="shared" si="41"/>
        <v>Digital Twin not core / buzzword</v>
      </c>
      <c r="N567" s="23"/>
      <c r="O567" s="23"/>
      <c r="P567" s="24"/>
      <c r="Q567" s="24"/>
      <c r="R567" s="24"/>
      <c r="S567" s="22" t="str">
        <f t="shared" si="42"/>
        <v/>
      </c>
      <c r="T567" s="22" t="str">
        <f t="shared" si="43"/>
        <v/>
      </c>
      <c r="U567" s="25"/>
      <c r="V567" s="25"/>
      <c r="W567" s="25"/>
      <c r="X567" s="25"/>
      <c r="Y567" s="22" t="str">
        <f t="shared" si="44"/>
        <v/>
      </c>
      <c r="Z567" s="25"/>
      <c r="AA567" s="25"/>
      <c r="AB567" s="25"/>
      <c r="AC567" s="25"/>
      <c r="AD567" s="25"/>
      <c r="AE567" s="25"/>
      <c r="AF567" s="25"/>
      <c r="AG567" s="9"/>
      <c r="AH567" s="29"/>
      <c r="AI567" s="29"/>
      <c r="AM567" s="50"/>
      <c r="AN567" s="51" t="s">
        <v>3703</v>
      </c>
      <c r="AO567" s="55" t="s">
        <v>1126</v>
      </c>
    </row>
    <row r="568" spans="1:41" ht="45.6" customHeight="1" x14ac:dyDescent="0.3">
      <c r="A568" s="20">
        <v>564</v>
      </c>
      <c r="B568" s="8" t="s">
        <v>3704</v>
      </c>
      <c r="C568" s="26">
        <v>2024</v>
      </c>
      <c r="D568" s="8"/>
      <c r="E568" s="8" t="s">
        <v>1129</v>
      </c>
      <c r="F568" s="20" t="s">
        <v>1969</v>
      </c>
      <c r="G568" s="21" t="s">
        <v>1979</v>
      </c>
      <c r="H568" s="21" t="s">
        <v>1968</v>
      </c>
      <c r="I568" s="21" t="s">
        <v>1968</v>
      </c>
      <c r="J568" s="21" t="s">
        <v>1968</v>
      </c>
      <c r="K568" s="21" t="s">
        <v>1968</v>
      </c>
      <c r="L568" s="22" t="str">
        <f t="shared" si="40"/>
        <v>EXCLUDE</v>
      </c>
      <c r="M568" s="22" t="str">
        <f t="shared" si="41"/>
        <v>Wrong domain (non-AECO)</v>
      </c>
      <c r="N568" s="23"/>
      <c r="O568" s="23"/>
      <c r="P568" s="24"/>
      <c r="Q568" s="24"/>
      <c r="R568" s="24"/>
      <c r="S568" s="22" t="str">
        <f t="shared" si="42"/>
        <v/>
      </c>
      <c r="T568" s="22" t="str">
        <f t="shared" si="43"/>
        <v/>
      </c>
      <c r="U568" s="25"/>
      <c r="V568" s="25"/>
      <c r="W568" s="25"/>
      <c r="X568" s="25"/>
      <c r="Y568" s="22" t="str">
        <f t="shared" si="44"/>
        <v/>
      </c>
      <c r="Z568" s="25"/>
      <c r="AA568" s="25"/>
      <c r="AB568" s="25"/>
      <c r="AC568" s="25"/>
      <c r="AD568" s="25"/>
      <c r="AE568" s="25"/>
      <c r="AF568" s="25"/>
      <c r="AG568" s="9"/>
      <c r="AH568" s="29"/>
      <c r="AI568" s="29"/>
      <c r="AM568" s="50"/>
      <c r="AN568" s="51" t="s">
        <v>3705</v>
      </c>
      <c r="AO568" s="55" t="s">
        <v>1128</v>
      </c>
    </row>
    <row r="569" spans="1:41" ht="68.400000000000006" customHeight="1" x14ac:dyDescent="0.3">
      <c r="A569" s="20">
        <v>565</v>
      </c>
      <c r="B569" s="8" t="s">
        <v>3706</v>
      </c>
      <c r="C569" s="26">
        <v>2024</v>
      </c>
      <c r="D569" s="8"/>
      <c r="E569" s="8" t="s">
        <v>1131</v>
      </c>
      <c r="F569" s="20" t="s">
        <v>1969</v>
      </c>
      <c r="G569" s="21" t="s">
        <v>1968</v>
      </c>
      <c r="H569" s="21" t="s">
        <v>1979</v>
      </c>
      <c r="I569" s="21" t="s">
        <v>1968</v>
      </c>
      <c r="J569" s="21" t="s">
        <v>1968</v>
      </c>
      <c r="K569" s="21" t="s">
        <v>1968</v>
      </c>
      <c r="L569" s="22" t="str">
        <f t="shared" si="40"/>
        <v>EXCLUDE</v>
      </c>
      <c r="M569" s="22" t="str">
        <f t="shared" si="41"/>
        <v>Digital Twin not core / buzzword</v>
      </c>
      <c r="N569" s="23"/>
      <c r="O569" s="23"/>
      <c r="P569" s="24"/>
      <c r="Q569" s="24"/>
      <c r="R569" s="24"/>
      <c r="S569" s="22" t="str">
        <f t="shared" si="42"/>
        <v/>
      </c>
      <c r="T569" s="22" t="str">
        <f t="shared" si="43"/>
        <v/>
      </c>
      <c r="U569" s="25"/>
      <c r="V569" s="25"/>
      <c r="W569" s="25"/>
      <c r="X569" s="25"/>
      <c r="Y569" s="22" t="str">
        <f t="shared" si="44"/>
        <v/>
      </c>
      <c r="Z569" s="25"/>
      <c r="AA569" s="25"/>
      <c r="AB569" s="25"/>
      <c r="AC569" s="25"/>
      <c r="AD569" s="25"/>
      <c r="AE569" s="25"/>
      <c r="AF569" s="25"/>
      <c r="AG569" s="9"/>
      <c r="AH569" s="29"/>
      <c r="AI569" s="29"/>
      <c r="AM569" s="50"/>
      <c r="AN569" s="51" t="s">
        <v>3707</v>
      </c>
      <c r="AO569" s="55" t="s">
        <v>1130</v>
      </c>
    </row>
    <row r="570" spans="1:41" ht="91.2" customHeight="1" x14ac:dyDescent="0.3">
      <c r="A570" s="20">
        <v>566</v>
      </c>
      <c r="B570" s="8" t="s">
        <v>3708</v>
      </c>
      <c r="C570" s="26">
        <v>2021</v>
      </c>
      <c r="D570" s="8"/>
      <c r="E570" s="8" t="s">
        <v>1133</v>
      </c>
      <c r="F570" s="20" t="s">
        <v>1969</v>
      </c>
      <c r="G570" s="21" t="s">
        <v>1968</v>
      </c>
      <c r="H570" s="21" t="s">
        <v>1968</v>
      </c>
      <c r="I570" s="21" t="s">
        <v>1968</v>
      </c>
      <c r="J570" s="21" t="s">
        <v>1968</v>
      </c>
      <c r="K570" s="21" t="s">
        <v>1968</v>
      </c>
      <c r="L570" s="22" t="str">
        <f t="shared" si="40"/>
        <v>INCLUDE</v>
      </c>
      <c r="M570" s="22" t="str">
        <f t="shared" si="41"/>
        <v/>
      </c>
      <c r="N570" s="23" t="s">
        <v>1979</v>
      </c>
      <c r="O570" s="23" t="s">
        <v>1979</v>
      </c>
      <c r="P570" s="24"/>
      <c r="Q570" s="24"/>
      <c r="R570" s="24"/>
      <c r="S570" s="22" t="str">
        <f t="shared" si="42"/>
        <v/>
      </c>
      <c r="T570" s="22" t="str">
        <f t="shared" si="43"/>
        <v/>
      </c>
      <c r="U570" s="25"/>
      <c r="V570" s="25"/>
      <c r="W570" s="25"/>
      <c r="X570" s="25"/>
      <c r="Y570" s="22" t="str">
        <f t="shared" si="44"/>
        <v/>
      </c>
      <c r="Z570" s="25"/>
      <c r="AA570" s="25"/>
      <c r="AB570" s="25"/>
      <c r="AC570" s="25"/>
      <c r="AD570" s="25"/>
      <c r="AE570" s="25"/>
      <c r="AF570" s="25"/>
      <c r="AG570" s="9"/>
      <c r="AH570" s="29"/>
      <c r="AI570" s="29"/>
      <c r="AM570" s="50"/>
      <c r="AN570" s="51" t="s">
        <v>3709</v>
      </c>
      <c r="AO570" s="55" t="s">
        <v>1132</v>
      </c>
    </row>
    <row r="571" spans="1:41" ht="45.6" customHeight="1" x14ac:dyDescent="0.3">
      <c r="A571" s="20">
        <v>567</v>
      </c>
      <c r="B571" s="8" t="s">
        <v>3710</v>
      </c>
      <c r="C571" s="26">
        <v>2023</v>
      </c>
      <c r="D571" s="8"/>
      <c r="E571" s="8" t="s">
        <v>1135</v>
      </c>
      <c r="F571" s="20" t="s">
        <v>1969</v>
      </c>
      <c r="G571" s="21" t="s">
        <v>1968</v>
      </c>
      <c r="H571" s="21" t="s">
        <v>1979</v>
      </c>
      <c r="I571" s="21" t="s">
        <v>1968</v>
      </c>
      <c r="J571" s="21" t="s">
        <v>1968</v>
      </c>
      <c r="K571" s="21" t="s">
        <v>1968</v>
      </c>
      <c r="L571" s="22" t="str">
        <f t="shared" si="40"/>
        <v>EXCLUDE</v>
      </c>
      <c r="M571" s="22" t="str">
        <f t="shared" si="41"/>
        <v>Digital Twin not core / buzzword</v>
      </c>
      <c r="N571" s="23"/>
      <c r="O571" s="23"/>
      <c r="P571" s="24"/>
      <c r="Q571" s="24"/>
      <c r="R571" s="24"/>
      <c r="S571" s="22" t="str">
        <f t="shared" si="42"/>
        <v/>
      </c>
      <c r="T571" s="22" t="str">
        <f t="shared" si="43"/>
        <v/>
      </c>
      <c r="U571" s="25"/>
      <c r="V571" s="25"/>
      <c r="W571" s="25"/>
      <c r="X571" s="25"/>
      <c r="Y571" s="22" t="str">
        <f t="shared" si="44"/>
        <v/>
      </c>
      <c r="Z571" s="25"/>
      <c r="AA571" s="25"/>
      <c r="AB571" s="25"/>
      <c r="AC571" s="25"/>
      <c r="AD571" s="25"/>
      <c r="AE571" s="25"/>
      <c r="AF571" s="25"/>
      <c r="AG571" s="9"/>
      <c r="AH571" s="29"/>
      <c r="AI571" s="29"/>
      <c r="AM571" s="50"/>
      <c r="AN571" s="51" t="s">
        <v>3711</v>
      </c>
      <c r="AO571" s="55" t="s">
        <v>1134</v>
      </c>
    </row>
    <row r="572" spans="1:41" ht="102.6" customHeight="1" x14ac:dyDescent="0.3">
      <c r="A572" s="20">
        <v>568</v>
      </c>
      <c r="B572" s="8" t="s">
        <v>3712</v>
      </c>
      <c r="C572" s="26">
        <v>2021</v>
      </c>
      <c r="D572" s="8"/>
      <c r="E572" s="8" t="s">
        <v>1137</v>
      </c>
      <c r="F572" s="20" t="s">
        <v>1969</v>
      </c>
      <c r="G572" s="21" t="s">
        <v>1979</v>
      </c>
      <c r="H572" s="21" t="s">
        <v>1968</v>
      </c>
      <c r="I572" s="21" t="s">
        <v>1968</v>
      </c>
      <c r="J572" s="21" t="s">
        <v>1968</v>
      </c>
      <c r="K572" s="21" t="s">
        <v>1968</v>
      </c>
      <c r="L572" s="22" t="str">
        <f t="shared" si="40"/>
        <v>EXCLUDE</v>
      </c>
      <c r="M572" s="22" t="str">
        <f t="shared" si="41"/>
        <v>Wrong domain (non-AECO)</v>
      </c>
      <c r="N572" s="23"/>
      <c r="O572" s="23"/>
      <c r="P572" s="24"/>
      <c r="Q572" s="24"/>
      <c r="R572" s="24"/>
      <c r="S572" s="22" t="str">
        <f t="shared" si="42"/>
        <v/>
      </c>
      <c r="T572" s="22" t="str">
        <f t="shared" si="43"/>
        <v/>
      </c>
      <c r="U572" s="25"/>
      <c r="V572" s="25"/>
      <c r="W572" s="25"/>
      <c r="X572" s="25"/>
      <c r="Y572" s="22" t="str">
        <f t="shared" si="44"/>
        <v/>
      </c>
      <c r="Z572" s="25"/>
      <c r="AA572" s="25"/>
      <c r="AB572" s="25"/>
      <c r="AC572" s="25"/>
      <c r="AD572" s="25"/>
      <c r="AE572" s="25"/>
      <c r="AF572" s="25"/>
      <c r="AG572" s="9"/>
      <c r="AH572" s="29"/>
      <c r="AI572" s="29"/>
      <c r="AM572" s="50"/>
      <c r="AN572" s="51" t="s">
        <v>3713</v>
      </c>
      <c r="AO572" s="55" t="s">
        <v>1136</v>
      </c>
    </row>
    <row r="573" spans="1:41" ht="102.6" customHeight="1" x14ac:dyDescent="0.3">
      <c r="A573" s="20">
        <v>569</v>
      </c>
      <c r="B573" s="8" t="s">
        <v>3714</v>
      </c>
      <c r="C573" s="26">
        <v>2024</v>
      </c>
      <c r="D573" s="8"/>
      <c r="E573" s="8" t="s">
        <v>1139</v>
      </c>
      <c r="F573" s="20" t="s">
        <v>1969</v>
      </c>
      <c r="G573" s="21" t="s">
        <v>1968</v>
      </c>
      <c r="H573" s="21" t="s">
        <v>1968</v>
      </c>
      <c r="I573" s="21" t="s">
        <v>1968</v>
      </c>
      <c r="J573" s="21" t="s">
        <v>1968</v>
      </c>
      <c r="K573" s="21" t="s">
        <v>1968</v>
      </c>
      <c r="L573" s="22" t="str">
        <f t="shared" si="40"/>
        <v>INCLUDE</v>
      </c>
      <c r="M573" s="22" t="str">
        <f t="shared" si="41"/>
        <v/>
      </c>
      <c r="N573" s="23" t="s">
        <v>1968</v>
      </c>
      <c r="O573" s="23" t="s">
        <v>1968</v>
      </c>
      <c r="P573" s="24" t="s">
        <v>1968</v>
      </c>
      <c r="Q573" s="24" t="s">
        <v>1968</v>
      </c>
      <c r="R573" s="24" t="s">
        <v>1968</v>
      </c>
      <c r="S573" s="22" t="str">
        <f t="shared" si="42"/>
        <v>INCLUDE</v>
      </c>
      <c r="T573" s="22" t="str">
        <f t="shared" si="43"/>
        <v/>
      </c>
      <c r="U573" s="25" t="s">
        <v>1982</v>
      </c>
      <c r="V573" s="25">
        <v>0</v>
      </c>
      <c r="W573" s="25">
        <v>1</v>
      </c>
      <c r="X573" s="25">
        <v>0</v>
      </c>
      <c r="Y573" s="22" t="str">
        <f t="shared" si="44"/>
        <v>Single</v>
      </c>
      <c r="Z573" s="25" t="s">
        <v>1922</v>
      </c>
      <c r="AA573" s="25" t="s">
        <v>1972</v>
      </c>
      <c r="AB573" s="25" t="s">
        <v>2011</v>
      </c>
      <c r="AC573" s="25" t="s">
        <v>1986</v>
      </c>
      <c r="AD573" s="25" t="s">
        <v>2003</v>
      </c>
      <c r="AE573" s="25">
        <v>4</v>
      </c>
      <c r="AF573" s="25" t="s">
        <v>2010</v>
      </c>
      <c r="AG573" s="9" t="s">
        <v>3715</v>
      </c>
      <c r="AH573" s="29" t="s">
        <v>3716</v>
      </c>
      <c r="AI573" s="29" t="s">
        <v>3717</v>
      </c>
      <c r="AJ573" t="s">
        <v>2005</v>
      </c>
      <c r="AK573" t="s">
        <v>3718</v>
      </c>
      <c r="AL573" t="s">
        <v>1978</v>
      </c>
      <c r="AM573" s="50"/>
      <c r="AN573" s="51" t="s">
        <v>3719</v>
      </c>
      <c r="AO573" s="55" t="s">
        <v>1138</v>
      </c>
    </row>
    <row r="574" spans="1:41" ht="45.6" customHeight="1" x14ac:dyDescent="0.3">
      <c r="A574" s="20">
        <v>570</v>
      </c>
      <c r="B574" s="8" t="s">
        <v>2136</v>
      </c>
      <c r="C574" s="26">
        <v>2025</v>
      </c>
      <c r="D574" s="8"/>
      <c r="E574" s="8" t="s">
        <v>1141</v>
      </c>
      <c r="F574" s="20" t="s">
        <v>1969</v>
      </c>
      <c r="G574" s="21" t="s">
        <v>1979</v>
      </c>
      <c r="H574" s="21" t="s">
        <v>1968</v>
      </c>
      <c r="I574" s="21" t="s">
        <v>1968</v>
      </c>
      <c r="J574" s="21" t="s">
        <v>1968</v>
      </c>
      <c r="K574" s="21" t="s">
        <v>1968</v>
      </c>
      <c r="L574" s="22" t="str">
        <f t="shared" si="40"/>
        <v>EXCLUDE</v>
      </c>
      <c r="M574" s="22" t="str">
        <f t="shared" si="41"/>
        <v>Wrong domain (non-AECO)</v>
      </c>
      <c r="N574" s="23"/>
      <c r="O574" s="23"/>
      <c r="P574" s="24"/>
      <c r="Q574" s="24"/>
      <c r="R574" s="24"/>
      <c r="S574" s="22" t="str">
        <f t="shared" si="42"/>
        <v/>
      </c>
      <c r="T574" s="22" t="str">
        <f t="shared" si="43"/>
        <v/>
      </c>
      <c r="U574" s="25"/>
      <c r="V574" s="25"/>
      <c r="W574" s="25"/>
      <c r="X574" s="25"/>
      <c r="Y574" s="22" t="str">
        <f t="shared" si="44"/>
        <v/>
      </c>
      <c r="Z574" s="25"/>
      <c r="AA574" s="25"/>
      <c r="AB574" s="25"/>
      <c r="AC574" s="25"/>
      <c r="AD574" s="25"/>
      <c r="AE574" s="25"/>
      <c r="AF574" s="25"/>
      <c r="AG574" s="9"/>
      <c r="AH574" s="29"/>
      <c r="AI574" s="29"/>
      <c r="AM574" s="50"/>
      <c r="AN574" s="51" t="s">
        <v>3720</v>
      </c>
      <c r="AO574" s="55" t="s">
        <v>1140</v>
      </c>
    </row>
    <row r="575" spans="1:41" ht="102.6" customHeight="1" x14ac:dyDescent="0.3">
      <c r="A575" s="20">
        <v>571</v>
      </c>
      <c r="B575" s="8" t="s">
        <v>3721</v>
      </c>
      <c r="C575" s="26">
        <v>2021</v>
      </c>
      <c r="D575" s="8"/>
      <c r="E575" s="8" t="s">
        <v>1143</v>
      </c>
      <c r="F575" s="20" t="s">
        <v>1969</v>
      </c>
      <c r="G575" s="21" t="s">
        <v>1968</v>
      </c>
      <c r="H575" s="21" t="s">
        <v>1968</v>
      </c>
      <c r="I575" s="21" t="s">
        <v>1968</v>
      </c>
      <c r="J575" s="21" t="s">
        <v>1968</v>
      </c>
      <c r="K575" s="21" t="s">
        <v>1968</v>
      </c>
      <c r="L575" s="22" t="str">
        <f t="shared" si="40"/>
        <v>INCLUDE</v>
      </c>
      <c r="M575" s="22" t="str">
        <f t="shared" si="41"/>
        <v/>
      </c>
      <c r="N575" s="23" t="s">
        <v>1968</v>
      </c>
      <c r="O575" s="23" t="s">
        <v>1968</v>
      </c>
      <c r="P575" s="24" t="s">
        <v>1968</v>
      </c>
      <c r="Q575" s="24" t="s">
        <v>1968</v>
      </c>
      <c r="R575" s="24" t="s">
        <v>1968</v>
      </c>
      <c r="S575" s="22" t="str">
        <f t="shared" si="42"/>
        <v>INCLUDE</v>
      </c>
      <c r="T575" s="22" t="str">
        <f t="shared" si="43"/>
        <v/>
      </c>
      <c r="U575" s="25" t="s">
        <v>1982</v>
      </c>
      <c r="V575" s="25">
        <v>0</v>
      </c>
      <c r="W575" s="25">
        <v>1</v>
      </c>
      <c r="X575" s="25">
        <v>0</v>
      </c>
      <c r="Y575" s="22" t="str">
        <f t="shared" si="44"/>
        <v>Single</v>
      </c>
      <c r="Z575" s="25" t="s">
        <v>1922</v>
      </c>
      <c r="AA575" s="25" t="s">
        <v>1972</v>
      </c>
      <c r="AB575" s="25" t="s">
        <v>2016</v>
      </c>
      <c r="AC575" s="25" t="s">
        <v>1986</v>
      </c>
      <c r="AD575" s="25" t="s">
        <v>2003</v>
      </c>
      <c r="AE575" s="25">
        <v>4</v>
      </c>
      <c r="AF575" s="25" t="s">
        <v>2010</v>
      </c>
      <c r="AG575" s="9" t="s">
        <v>3722</v>
      </c>
      <c r="AH575" s="29" t="s">
        <v>3723</v>
      </c>
      <c r="AI575" s="29" t="s">
        <v>3724</v>
      </c>
      <c r="AJ575" t="s">
        <v>2005</v>
      </c>
      <c r="AK575" t="s">
        <v>3725</v>
      </c>
      <c r="AL575" t="s">
        <v>1990</v>
      </c>
      <c r="AM575" s="50"/>
      <c r="AN575" s="51" t="s">
        <v>3726</v>
      </c>
      <c r="AO575" s="55" t="s">
        <v>1142</v>
      </c>
    </row>
    <row r="576" spans="1:41" ht="45.6" customHeight="1" x14ac:dyDescent="0.3">
      <c r="A576" s="20">
        <v>572</v>
      </c>
      <c r="B576" s="8" t="s">
        <v>3727</v>
      </c>
      <c r="C576" s="26">
        <v>2024</v>
      </c>
      <c r="D576" s="8"/>
      <c r="E576" s="8" t="s">
        <v>1145</v>
      </c>
      <c r="F576" s="20" t="s">
        <v>1969</v>
      </c>
      <c r="G576" s="21" t="s">
        <v>1968</v>
      </c>
      <c r="H576" s="21" t="s">
        <v>1968</v>
      </c>
      <c r="I576" s="21" t="s">
        <v>1979</v>
      </c>
      <c r="J576" s="21" t="s">
        <v>1968</v>
      </c>
      <c r="K576" s="21" t="s">
        <v>1968</v>
      </c>
      <c r="L576" s="22" t="str">
        <f t="shared" si="40"/>
        <v>EXCLUDE</v>
      </c>
      <c r="M576" s="22" t="str">
        <f t="shared" si="41"/>
        <v>No Design for Safety / PtD focus</v>
      </c>
      <c r="N576" s="23"/>
      <c r="O576" s="23"/>
      <c r="P576" s="24"/>
      <c r="Q576" s="24"/>
      <c r="R576" s="24"/>
      <c r="S576" s="22" t="str">
        <f t="shared" si="42"/>
        <v/>
      </c>
      <c r="T576" s="22" t="str">
        <f t="shared" si="43"/>
        <v/>
      </c>
      <c r="U576" s="25"/>
      <c r="V576" s="25"/>
      <c r="W576" s="25"/>
      <c r="X576" s="25"/>
      <c r="Y576" s="22" t="str">
        <f t="shared" si="44"/>
        <v/>
      </c>
      <c r="Z576" s="25"/>
      <c r="AA576" s="25"/>
      <c r="AB576" s="25"/>
      <c r="AC576" s="25"/>
      <c r="AD576" s="25"/>
      <c r="AE576" s="25"/>
      <c r="AF576" s="25"/>
      <c r="AG576" s="9"/>
      <c r="AH576" s="29"/>
      <c r="AI576" s="29"/>
      <c r="AM576" s="50"/>
      <c r="AN576" s="51" t="s">
        <v>3728</v>
      </c>
      <c r="AO576" s="55" t="s">
        <v>1144</v>
      </c>
    </row>
    <row r="577" spans="1:41" ht="102.6" customHeight="1" x14ac:dyDescent="0.3">
      <c r="A577" s="20">
        <v>573</v>
      </c>
      <c r="B577" s="8" t="s">
        <v>3729</v>
      </c>
      <c r="C577" s="26">
        <v>2023</v>
      </c>
      <c r="D577" s="8"/>
      <c r="E577" s="8" t="s">
        <v>1147</v>
      </c>
      <c r="F577" s="20" t="s">
        <v>1969</v>
      </c>
      <c r="G577" s="21" t="s">
        <v>1968</v>
      </c>
      <c r="H577" s="21" t="s">
        <v>1968</v>
      </c>
      <c r="I577" s="21" t="s">
        <v>1968</v>
      </c>
      <c r="J577" s="21" t="s">
        <v>1968</v>
      </c>
      <c r="K577" s="21" t="s">
        <v>1968</v>
      </c>
      <c r="L577" s="22" t="str">
        <f t="shared" si="40"/>
        <v>INCLUDE</v>
      </c>
      <c r="M577" s="22" t="str">
        <f t="shared" si="41"/>
        <v/>
      </c>
      <c r="N577" s="23" t="s">
        <v>1968</v>
      </c>
      <c r="O577" s="23" t="s">
        <v>1968</v>
      </c>
      <c r="P577" s="24" t="s">
        <v>1968</v>
      </c>
      <c r="Q577" s="24" t="s">
        <v>1968</v>
      </c>
      <c r="R577" s="24" t="s">
        <v>1968</v>
      </c>
      <c r="S577" s="22" t="str">
        <f t="shared" si="42"/>
        <v>INCLUDE</v>
      </c>
      <c r="T577" s="22" t="str">
        <f t="shared" si="43"/>
        <v/>
      </c>
      <c r="U577" s="25" t="s">
        <v>1992</v>
      </c>
      <c r="V577" s="25">
        <v>0</v>
      </c>
      <c r="W577" s="25">
        <v>0</v>
      </c>
      <c r="X577" s="25">
        <v>1</v>
      </c>
      <c r="Y577" s="22" t="str">
        <f t="shared" si="44"/>
        <v>Single</v>
      </c>
      <c r="Z577" s="25" t="s">
        <v>1922</v>
      </c>
      <c r="AA577" s="25" t="s">
        <v>1972</v>
      </c>
      <c r="AB577" s="25" t="s">
        <v>2015</v>
      </c>
      <c r="AC577" s="25" t="s">
        <v>1986</v>
      </c>
      <c r="AD577" s="25" t="s">
        <v>1987</v>
      </c>
      <c r="AE577" s="25">
        <v>4</v>
      </c>
      <c r="AF577" s="25" t="s">
        <v>2004</v>
      </c>
      <c r="AG577" s="9" t="s">
        <v>3730</v>
      </c>
      <c r="AH577" s="29" t="s">
        <v>3731</v>
      </c>
      <c r="AI577" s="29" t="s">
        <v>3732</v>
      </c>
      <c r="AJ577" t="s">
        <v>2005</v>
      </c>
      <c r="AK577" t="s">
        <v>3733</v>
      </c>
      <c r="AL577" t="s">
        <v>1990</v>
      </c>
      <c r="AM577" s="50"/>
      <c r="AN577" s="51" t="s">
        <v>3734</v>
      </c>
      <c r="AO577" s="55" t="s">
        <v>1146</v>
      </c>
    </row>
    <row r="578" spans="1:41" ht="57" customHeight="1" x14ac:dyDescent="0.3">
      <c r="A578" s="20">
        <v>574</v>
      </c>
      <c r="B578" s="8" t="s">
        <v>3735</v>
      </c>
      <c r="C578" s="26">
        <v>2024</v>
      </c>
      <c r="D578" s="8"/>
      <c r="E578" s="8" t="s">
        <v>1149</v>
      </c>
      <c r="F578" s="20" t="s">
        <v>1969</v>
      </c>
      <c r="G578" s="21" t="s">
        <v>1979</v>
      </c>
      <c r="H578" s="21" t="s">
        <v>1968</v>
      </c>
      <c r="I578" s="21" t="s">
        <v>1968</v>
      </c>
      <c r="J578" s="21" t="s">
        <v>1968</v>
      </c>
      <c r="K578" s="21" t="s">
        <v>1968</v>
      </c>
      <c r="L578" s="22" t="str">
        <f t="shared" si="40"/>
        <v>EXCLUDE</v>
      </c>
      <c r="M578" s="22" t="str">
        <f t="shared" si="41"/>
        <v>Wrong domain (non-AECO)</v>
      </c>
      <c r="N578" s="23"/>
      <c r="O578" s="23"/>
      <c r="P578" s="24"/>
      <c r="Q578" s="24"/>
      <c r="R578" s="24"/>
      <c r="S578" s="22" t="str">
        <f t="shared" si="42"/>
        <v/>
      </c>
      <c r="T578" s="22" t="str">
        <f t="shared" si="43"/>
        <v/>
      </c>
      <c r="U578" s="25"/>
      <c r="V578" s="25"/>
      <c r="W578" s="25"/>
      <c r="X578" s="25"/>
      <c r="Y578" s="22" t="str">
        <f t="shared" si="44"/>
        <v/>
      </c>
      <c r="Z578" s="25"/>
      <c r="AA578" s="25"/>
      <c r="AB578" s="25"/>
      <c r="AC578" s="25"/>
      <c r="AD578" s="25"/>
      <c r="AE578" s="25"/>
      <c r="AF578" s="25"/>
      <c r="AG578" s="9"/>
      <c r="AH578" s="29"/>
      <c r="AI578" s="29"/>
      <c r="AM578" s="50"/>
      <c r="AN578" s="51" t="s">
        <v>3736</v>
      </c>
      <c r="AO578" s="55" t="s">
        <v>1148</v>
      </c>
    </row>
    <row r="579" spans="1:41" ht="68.400000000000006" customHeight="1" x14ac:dyDescent="0.3">
      <c r="A579" s="20">
        <v>575</v>
      </c>
      <c r="B579" s="8" t="s">
        <v>3737</v>
      </c>
      <c r="C579" s="26">
        <v>2021</v>
      </c>
      <c r="D579" s="8"/>
      <c r="E579" s="8" t="s">
        <v>1151</v>
      </c>
      <c r="F579" s="20" t="s">
        <v>1969</v>
      </c>
      <c r="G579" s="21" t="s">
        <v>1979</v>
      </c>
      <c r="H579" s="21" t="s">
        <v>1968</v>
      </c>
      <c r="I579" s="21" t="s">
        <v>1968</v>
      </c>
      <c r="J579" s="21" t="s">
        <v>1968</v>
      </c>
      <c r="K579" s="21" t="s">
        <v>1979</v>
      </c>
      <c r="L579" s="22" t="str">
        <f t="shared" si="40"/>
        <v>EXCLUDE</v>
      </c>
      <c r="M579" s="22" t="str">
        <f t="shared" si="41"/>
        <v>Wrong domain (non-AECO)</v>
      </c>
      <c r="N579" s="23"/>
      <c r="O579" s="23"/>
      <c r="P579" s="24"/>
      <c r="Q579" s="24"/>
      <c r="R579" s="24"/>
      <c r="S579" s="22" t="str">
        <f t="shared" si="42"/>
        <v/>
      </c>
      <c r="T579" s="22" t="str">
        <f t="shared" si="43"/>
        <v/>
      </c>
      <c r="U579" s="25"/>
      <c r="V579" s="25"/>
      <c r="W579" s="25"/>
      <c r="X579" s="25"/>
      <c r="Y579" s="22" t="str">
        <f t="shared" si="44"/>
        <v/>
      </c>
      <c r="Z579" s="25"/>
      <c r="AA579" s="25"/>
      <c r="AB579" s="25"/>
      <c r="AC579" s="25"/>
      <c r="AD579" s="25"/>
      <c r="AE579" s="25"/>
      <c r="AF579" s="25"/>
      <c r="AG579" s="9"/>
      <c r="AH579" s="29"/>
      <c r="AI579" s="29"/>
      <c r="AM579" s="50"/>
      <c r="AN579" s="51" t="s">
        <v>3738</v>
      </c>
      <c r="AO579" s="55" t="s">
        <v>1150</v>
      </c>
    </row>
    <row r="580" spans="1:41" ht="57" customHeight="1" x14ac:dyDescent="0.3">
      <c r="A580" s="20">
        <v>576</v>
      </c>
      <c r="B580" s="8" t="s">
        <v>3739</v>
      </c>
      <c r="C580" s="26">
        <v>2023</v>
      </c>
      <c r="D580" s="8"/>
      <c r="E580" s="8" t="s">
        <v>1153</v>
      </c>
      <c r="F580" s="20" t="s">
        <v>1969</v>
      </c>
      <c r="G580" s="21" t="s">
        <v>1968</v>
      </c>
      <c r="H580" s="21" t="s">
        <v>1968</v>
      </c>
      <c r="I580" s="21" t="s">
        <v>1979</v>
      </c>
      <c r="J580" s="21" t="s">
        <v>1968</v>
      </c>
      <c r="K580" s="21" t="s">
        <v>1968</v>
      </c>
      <c r="L580" s="22" t="str">
        <f t="shared" si="40"/>
        <v>EXCLUDE</v>
      </c>
      <c r="M580" s="22" t="str">
        <f t="shared" si="41"/>
        <v>No Design for Safety / PtD focus</v>
      </c>
      <c r="N580" s="23"/>
      <c r="O580" s="23"/>
      <c r="P580" s="24"/>
      <c r="Q580" s="24"/>
      <c r="R580" s="24"/>
      <c r="S580" s="22" t="str">
        <f t="shared" si="42"/>
        <v/>
      </c>
      <c r="T580" s="22" t="str">
        <f t="shared" si="43"/>
        <v/>
      </c>
      <c r="U580" s="25"/>
      <c r="V580" s="25"/>
      <c r="W580" s="25"/>
      <c r="X580" s="25"/>
      <c r="Y580" s="22" t="str">
        <f t="shared" si="44"/>
        <v/>
      </c>
      <c r="Z580" s="25"/>
      <c r="AA580" s="25"/>
      <c r="AB580" s="25"/>
      <c r="AC580" s="25"/>
      <c r="AD580" s="25"/>
      <c r="AE580" s="25"/>
      <c r="AF580" s="25"/>
      <c r="AG580" s="9"/>
      <c r="AH580" s="29"/>
      <c r="AI580" s="29"/>
      <c r="AM580" s="50"/>
      <c r="AN580" s="51" t="s">
        <v>3740</v>
      </c>
      <c r="AO580" s="55" t="s">
        <v>1152</v>
      </c>
    </row>
    <row r="581" spans="1:41" ht="34.200000000000003" customHeight="1" x14ac:dyDescent="0.3">
      <c r="A581" s="20">
        <v>577</v>
      </c>
      <c r="B581" s="8" t="s">
        <v>3741</v>
      </c>
      <c r="C581" s="26">
        <v>2023</v>
      </c>
      <c r="D581" s="8"/>
      <c r="E581" s="8" t="s">
        <v>1155</v>
      </c>
      <c r="F581" s="20" t="s">
        <v>1969</v>
      </c>
      <c r="G581" s="21" t="s">
        <v>1979</v>
      </c>
      <c r="H581" s="21" t="s">
        <v>1968</v>
      </c>
      <c r="I581" s="21" t="s">
        <v>1968</v>
      </c>
      <c r="J581" s="21" t="s">
        <v>1968</v>
      </c>
      <c r="K581" s="21" t="s">
        <v>1968</v>
      </c>
      <c r="L581" s="22" t="str">
        <f t="shared" ref="L581:L644" si="45">IF(COUNTBLANK(G581:K581)=5,"",IF(COUNTIF(G581:K581,"No")&gt;0,"EXCLUDE","INCLUDE"))</f>
        <v>EXCLUDE</v>
      </c>
      <c r="M581" s="22" t="str">
        <f t="shared" ref="M581:M644" si="46">IF(L581&lt;&gt;"EXCLUDE","",IF(G581="No","Wrong domain (non-AECO)",IF(H581="No","Digital Twin not core / buzzword",IF(I581="No","No Design for Safety / PtD focus",IF(J581="No","Wrong publication type",IF(K581="No","Non-English",""))))))</f>
        <v>Wrong domain (non-AECO)</v>
      </c>
      <c r="N581" s="23"/>
      <c r="O581" s="23"/>
      <c r="P581" s="24"/>
      <c r="Q581" s="24"/>
      <c r="R581" s="24"/>
      <c r="S581" s="22" t="str">
        <f t="shared" ref="S581:S644" si="47">IF(N581&lt;&gt;"Yes","",IF(COUNTBLANK(P581:R581)=3,"",IF(COUNTIF(P581:R581,"No")&gt;0,"EXCLUDE","INCLUDE")))</f>
        <v/>
      </c>
      <c r="T581" s="22" t="str">
        <f t="shared" ref="T581:T644" si="48">IF(S581&lt;&gt;"EXCLUDE","",IF(P581="No","Digital Twin mentioned only, not the subject",IF(Q581="No","No Design for Safety focus in full text",IF(R581="No","Methodology not codable",""))))</f>
        <v/>
      </c>
      <c r="U581" s="25"/>
      <c r="V581" s="25"/>
      <c r="W581" s="25"/>
      <c r="X581" s="25"/>
      <c r="Y581" s="22" t="str">
        <f t="shared" ref="Y581:Y644" si="49">IF(SUM(V581:X581)=0,"",IF(SUM(V581:X581)&gt;=2,"Multi","Single"))</f>
        <v/>
      </c>
      <c r="Z581" s="25"/>
      <c r="AA581" s="25"/>
      <c r="AB581" s="25"/>
      <c r="AC581" s="25"/>
      <c r="AD581" s="25"/>
      <c r="AE581" s="25"/>
      <c r="AF581" s="25"/>
      <c r="AG581" s="9"/>
      <c r="AH581" s="29"/>
      <c r="AI581" s="29"/>
      <c r="AM581" s="50"/>
      <c r="AN581" s="51" t="s">
        <v>3742</v>
      </c>
      <c r="AO581" s="55" t="s">
        <v>1154</v>
      </c>
    </row>
    <row r="582" spans="1:41" ht="79.8" customHeight="1" x14ac:dyDescent="0.3">
      <c r="A582" s="20">
        <v>578</v>
      </c>
      <c r="B582" s="8" t="s">
        <v>3743</v>
      </c>
      <c r="C582" s="26">
        <v>2020</v>
      </c>
      <c r="D582" s="8"/>
      <c r="E582" s="8" t="s">
        <v>1157</v>
      </c>
      <c r="F582" s="20" t="s">
        <v>1969</v>
      </c>
      <c r="G582" s="21" t="s">
        <v>1968</v>
      </c>
      <c r="H582" s="21" t="s">
        <v>1979</v>
      </c>
      <c r="I582" s="21" t="s">
        <v>1968</v>
      </c>
      <c r="J582" s="21" t="s">
        <v>1968</v>
      </c>
      <c r="K582" s="21" t="s">
        <v>1968</v>
      </c>
      <c r="L582" s="22" t="str">
        <f t="shared" si="45"/>
        <v>EXCLUDE</v>
      </c>
      <c r="M582" s="22" t="str">
        <f t="shared" si="46"/>
        <v>Digital Twin not core / buzzword</v>
      </c>
      <c r="N582" s="23"/>
      <c r="O582" s="23"/>
      <c r="P582" s="24"/>
      <c r="Q582" s="24"/>
      <c r="R582" s="24"/>
      <c r="S582" s="22" t="str">
        <f t="shared" si="47"/>
        <v/>
      </c>
      <c r="T582" s="22" t="str">
        <f t="shared" si="48"/>
        <v/>
      </c>
      <c r="U582" s="25"/>
      <c r="V582" s="25"/>
      <c r="W582" s="25"/>
      <c r="X582" s="25"/>
      <c r="Y582" s="22" t="str">
        <f t="shared" si="49"/>
        <v/>
      </c>
      <c r="Z582" s="25"/>
      <c r="AA582" s="25"/>
      <c r="AB582" s="25"/>
      <c r="AC582" s="25"/>
      <c r="AD582" s="25"/>
      <c r="AE582" s="25"/>
      <c r="AF582" s="25"/>
      <c r="AG582" s="9"/>
      <c r="AH582" s="29"/>
      <c r="AI582" s="29"/>
      <c r="AM582" s="50"/>
      <c r="AN582" s="51" t="s">
        <v>3744</v>
      </c>
      <c r="AO582" s="55" t="s">
        <v>1156</v>
      </c>
    </row>
    <row r="583" spans="1:41" ht="114" customHeight="1" x14ac:dyDescent="0.3">
      <c r="A583" s="20">
        <v>579</v>
      </c>
      <c r="B583" s="8" t="s">
        <v>3745</v>
      </c>
      <c r="C583" s="26">
        <v>2024</v>
      </c>
      <c r="D583" s="8"/>
      <c r="E583" s="8" t="s">
        <v>1159</v>
      </c>
      <c r="F583" s="20" t="s">
        <v>1969</v>
      </c>
      <c r="G583" s="21" t="s">
        <v>1968</v>
      </c>
      <c r="H583" s="21" t="s">
        <v>1968</v>
      </c>
      <c r="I583" s="21" t="s">
        <v>1968</v>
      </c>
      <c r="J583" s="21" t="s">
        <v>1968</v>
      </c>
      <c r="K583" s="21" t="s">
        <v>1968</v>
      </c>
      <c r="L583" s="22" t="str">
        <f t="shared" si="45"/>
        <v>INCLUDE</v>
      </c>
      <c r="M583" s="22" t="str">
        <f t="shared" si="46"/>
        <v/>
      </c>
      <c r="N583" s="23" t="s">
        <v>1968</v>
      </c>
      <c r="O583" s="23" t="s">
        <v>1968</v>
      </c>
      <c r="P583" s="24" t="s">
        <v>1968</v>
      </c>
      <c r="Q583" s="24" t="s">
        <v>1968</v>
      </c>
      <c r="R583" s="24" t="s">
        <v>1968</v>
      </c>
      <c r="S583" s="22" t="str">
        <f t="shared" si="47"/>
        <v>INCLUDE</v>
      </c>
      <c r="T583" s="22" t="str">
        <f t="shared" si="48"/>
        <v/>
      </c>
      <c r="U583" s="25" t="s">
        <v>1982</v>
      </c>
      <c r="V583" s="25">
        <v>0</v>
      </c>
      <c r="W583" s="25">
        <v>1</v>
      </c>
      <c r="X583" s="25">
        <v>0</v>
      </c>
      <c r="Y583" s="22" t="str">
        <f t="shared" si="49"/>
        <v>Single</v>
      </c>
      <c r="Z583" s="25" t="s">
        <v>1922</v>
      </c>
      <c r="AA583" s="25" t="s">
        <v>1972</v>
      </c>
      <c r="AB583" s="25" t="s">
        <v>2018</v>
      </c>
      <c r="AC583" s="25" t="s">
        <v>1986</v>
      </c>
      <c r="AD583" s="25" t="s">
        <v>2003</v>
      </c>
      <c r="AE583" s="25">
        <v>3</v>
      </c>
      <c r="AF583" s="25" t="s">
        <v>2012</v>
      </c>
      <c r="AG583" s="9" t="s">
        <v>3746</v>
      </c>
      <c r="AH583" s="29" t="s">
        <v>3747</v>
      </c>
      <c r="AI583" s="29" t="s">
        <v>3748</v>
      </c>
      <c r="AJ583" t="s">
        <v>2005</v>
      </c>
      <c r="AK583" t="s">
        <v>3749</v>
      </c>
      <c r="AL583" t="s">
        <v>1990</v>
      </c>
      <c r="AM583" s="50"/>
      <c r="AN583" s="51" t="s">
        <v>3750</v>
      </c>
      <c r="AO583" s="55" t="s">
        <v>1158</v>
      </c>
    </row>
    <row r="584" spans="1:41" ht="102.6" customHeight="1" x14ac:dyDescent="0.3">
      <c r="A584" s="20">
        <v>580</v>
      </c>
      <c r="B584" s="8" t="s">
        <v>3751</v>
      </c>
      <c r="C584" s="26">
        <v>2024</v>
      </c>
      <c r="D584" s="8"/>
      <c r="E584" s="8" t="s">
        <v>1161</v>
      </c>
      <c r="F584" s="20" t="s">
        <v>1969</v>
      </c>
      <c r="G584" s="21" t="s">
        <v>1968</v>
      </c>
      <c r="H584" s="21" t="s">
        <v>1968</v>
      </c>
      <c r="I584" s="21" t="s">
        <v>1968</v>
      </c>
      <c r="J584" s="21" t="s">
        <v>1968</v>
      </c>
      <c r="K584" s="21" t="s">
        <v>1968</v>
      </c>
      <c r="L584" s="22" t="str">
        <f t="shared" si="45"/>
        <v>INCLUDE</v>
      </c>
      <c r="M584" s="22" t="str">
        <f t="shared" si="46"/>
        <v/>
      </c>
      <c r="N584" s="23" t="s">
        <v>1968</v>
      </c>
      <c r="O584" s="23" t="s">
        <v>1968</v>
      </c>
      <c r="P584" s="24" t="s">
        <v>1968</v>
      </c>
      <c r="Q584" s="24" t="s">
        <v>1968</v>
      </c>
      <c r="R584" s="24" t="s">
        <v>1968</v>
      </c>
      <c r="S584" s="22" t="str">
        <f t="shared" si="47"/>
        <v>INCLUDE</v>
      </c>
      <c r="T584" s="22" t="str">
        <f t="shared" si="48"/>
        <v/>
      </c>
      <c r="U584" s="25" t="s">
        <v>1982</v>
      </c>
      <c r="V584" s="25">
        <v>0</v>
      </c>
      <c r="W584" s="25">
        <v>0</v>
      </c>
      <c r="X584" s="25">
        <v>1</v>
      </c>
      <c r="Y584" s="22" t="str">
        <f t="shared" si="49"/>
        <v>Single</v>
      </c>
      <c r="Z584" s="25" t="s">
        <v>1922</v>
      </c>
      <c r="AA584" s="25" t="s">
        <v>1972</v>
      </c>
      <c r="AB584" s="25" t="s">
        <v>2017</v>
      </c>
      <c r="AC584" s="25" t="s">
        <v>1986</v>
      </c>
      <c r="AD584" s="25" t="s">
        <v>2003</v>
      </c>
      <c r="AE584" s="25">
        <v>4</v>
      </c>
      <c r="AF584" s="25" t="s">
        <v>2012</v>
      </c>
      <c r="AG584" s="9" t="s">
        <v>3752</v>
      </c>
      <c r="AH584" s="29" t="s">
        <v>3753</v>
      </c>
      <c r="AI584" s="29" t="s">
        <v>3754</v>
      </c>
      <c r="AJ584" t="s">
        <v>1997</v>
      </c>
      <c r="AK584" t="s">
        <v>3755</v>
      </c>
      <c r="AL584" t="s">
        <v>1978</v>
      </c>
      <c r="AM584" s="50"/>
      <c r="AN584" s="51" t="s">
        <v>3756</v>
      </c>
      <c r="AO584" s="55" t="s">
        <v>1160</v>
      </c>
    </row>
    <row r="585" spans="1:41" ht="57" customHeight="1" x14ac:dyDescent="0.3">
      <c r="A585" s="20">
        <v>581</v>
      </c>
      <c r="B585" s="8" t="s">
        <v>3757</v>
      </c>
      <c r="C585" s="26">
        <v>2024</v>
      </c>
      <c r="D585" s="8"/>
      <c r="E585" s="8" t="s">
        <v>1163</v>
      </c>
      <c r="F585" s="20" t="s">
        <v>1969</v>
      </c>
      <c r="G585" s="21" t="s">
        <v>1968</v>
      </c>
      <c r="H585" s="21" t="s">
        <v>1979</v>
      </c>
      <c r="I585" s="21" t="s">
        <v>1968</v>
      </c>
      <c r="J585" s="21" t="s">
        <v>1968</v>
      </c>
      <c r="K585" s="21" t="s">
        <v>1968</v>
      </c>
      <c r="L585" s="22" t="str">
        <f t="shared" si="45"/>
        <v>EXCLUDE</v>
      </c>
      <c r="M585" s="22" t="str">
        <f t="shared" si="46"/>
        <v>Digital Twin not core / buzzword</v>
      </c>
      <c r="N585" s="23"/>
      <c r="O585" s="23"/>
      <c r="P585" s="24"/>
      <c r="Q585" s="24"/>
      <c r="R585" s="24"/>
      <c r="S585" s="22" t="str">
        <f t="shared" si="47"/>
        <v/>
      </c>
      <c r="T585" s="22" t="str">
        <f t="shared" si="48"/>
        <v/>
      </c>
      <c r="U585" s="25"/>
      <c r="V585" s="25"/>
      <c r="W585" s="25"/>
      <c r="X585" s="25"/>
      <c r="Y585" s="22" t="str">
        <f t="shared" si="49"/>
        <v/>
      </c>
      <c r="Z585" s="25"/>
      <c r="AA585" s="25"/>
      <c r="AB585" s="25"/>
      <c r="AC585" s="25"/>
      <c r="AD585" s="25"/>
      <c r="AE585" s="25"/>
      <c r="AF585" s="25"/>
      <c r="AG585" s="9"/>
      <c r="AH585" s="29"/>
      <c r="AI585" s="29"/>
      <c r="AM585" s="50"/>
      <c r="AN585" s="51" t="s">
        <v>3758</v>
      </c>
      <c r="AO585" s="55" t="s">
        <v>1162</v>
      </c>
    </row>
    <row r="586" spans="1:41" ht="148.19999999999999" customHeight="1" x14ac:dyDescent="0.3">
      <c r="A586" s="20">
        <v>582</v>
      </c>
      <c r="B586" s="8" t="s">
        <v>3759</v>
      </c>
      <c r="C586" s="26">
        <v>2025</v>
      </c>
      <c r="D586" s="8"/>
      <c r="E586" s="8" t="s">
        <v>1165</v>
      </c>
      <c r="F586" s="20" t="s">
        <v>1969</v>
      </c>
      <c r="G586" s="21" t="s">
        <v>1979</v>
      </c>
      <c r="H586" s="21" t="s">
        <v>1968</v>
      </c>
      <c r="I586" s="21" t="s">
        <v>1968</v>
      </c>
      <c r="J586" s="21" t="s">
        <v>1968</v>
      </c>
      <c r="K586" s="21" t="s">
        <v>1968</v>
      </c>
      <c r="L586" s="22" t="str">
        <f t="shared" si="45"/>
        <v>EXCLUDE</v>
      </c>
      <c r="M586" s="22" t="str">
        <f t="shared" si="46"/>
        <v>Wrong domain (non-AECO)</v>
      </c>
      <c r="N586" s="23"/>
      <c r="O586" s="23"/>
      <c r="P586" s="24"/>
      <c r="Q586" s="24"/>
      <c r="R586" s="24"/>
      <c r="S586" s="22" t="str">
        <f t="shared" si="47"/>
        <v/>
      </c>
      <c r="T586" s="22" t="str">
        <f t="shared" si="48"/>
        <v/>
      </c>
      <c r="U586" s="25"/>
      <c r="V586" s="25"/>
      <c r="W586" s="25"/>
      <c r="X586" s="25"/>
      <c r="Y586" s="22" t="str">
        <f t="shared" si="49"/>
        <v/>
      </c>
      <c r="Z586" s="25"/>
      <c r="AA586" s="25"/>
      <c r="AB586" s="25"/>
      <c r="AC586" s="25"/>
      <c r="AD586" s="25"/>
      <c r="AE586" s="25"/>
      <c r="AF586" s="25"/>
      <c r="AG586" s="9"/>
      <c r="AH586" s="29"/>
      <c r="AI586" s="29"/>
      <c r="AM586" s="50"/>
      <c r="AN586" s="51" t="s">
        <v>3760</v>
      </c>
      <c r="AO586" s="55" t="s">
        <v>1164</v>
      </c>
    </row>
    <row r="587" spans="1:41" ht="45.6" customHeight="1" x14ac:dyDescent="0.3">
      <c r="A587" s="20">
        <v>583</v>
      </c>
      <c r="B587" s="8" t="s">
        <v>3761</v>
      </c>
      <c r="C587" s="26">
        <v>2021</v>
      </c>
      <c r="D587" s="8"/>
      <c r="E587" s="8" t="s">
        <v>1167</v>
      </c>
      <c r="F587" s="20" t="s">
        <v>1969</v>
      </c>
      <c r="G587" s="21" t="s">
        <v>1979</v>
      </c>
      <c r="H587" s="21" t="s">
        <v>1968</v>
      </c>
      <c r="I587" s="21" t="s">
        <v>1968</v>
      </c>
      <c r="J587" s="21" t="s">
        <v>1968</v>
      </c>
      <c r="K587" s="21" t="s">
        <v>1968</v>
      </c>
      <c r="L587" s="22" t="str">
        <f t="shared" si="45"/>
        <v>EXCLUDE</v>
      </c>
      <c r="M587" s="22" t="str">
        <f t="shared" si="46"/>
        <v>Wrong domain (non-AECO)</v>
      </c>
      <c r="N587" s="23"/>
      <c r="O587" s="23"/>
      <c r="P587" s="24"/>
      <c r="Q587" s="24"/>
      <c r="R587" s="24"/>
      <c r="S587" s="22" t="str">
        <f t="shared" si="47"/>
        <v/>
      </c>
      <c r="T587" s="22" t="str">
        <f t="shared" si="48"/>
        <v/>
      </c>
      <c r="U587" s="25"/>
      <c r="V587" s="25"/>
      <c r="W587" s="25"/>
      <c r="X587" s="25"/>
      <c r="Y587" s="22" t="str">
        <f t="shared" si="49"/>
        <v/>
      </c>
      <c r="Z587" s="25"/>
      <c r="AA587" s="25"/>
      <c r="AB587" s="25"/>
      <c r="AC587" s="25"/>
      <c r="AD587" s="25"/>
      <c r="AE587" s="25"/>
      <c r="AF587" s="25"/>
      <c r="AG587" s="9"/>
      <c r="AH587" s="29"/>
      <c r="AI587" s="29"/>
      <c r="AM587" s="50"/>
      <c r="AN587" s="51" t="s">
        <v>3762</v>
      </c>
      <c r="AO587" s="55" t="s">
        <v>1166</v>
      </c>
    </row>
    <row r="588" spans="1:41" ht="45.6" customHeight="1" x14ac:dyDescent="0.3">
      <c r="A588" s="20">
        <v>584</v>
      </c>
      <c r="B588" s="8" t="s">
        <v>3763</v>
      </c>
      <c r="C588" s="26">
        <v>2024</v>
      </c>
      <c r="D588" s="8"/>
      <c r="E588" s="8" t="s">
        <v>1169</v>
      </c>
      <c r="F588" s="20" t="s">
        <v>1969</v>
      </c>
      <c r="G588" s="21" t="s">
        <v>1979</v>
      </c>
      <c r="H588" s="21" t="s">
        <v>1968</v>
      </c>
      <c r="I588" s="21" t="s">
        <v>1968</v>
      </c>
      <c r="J588" s="21" t="s">
        <v>1968</v>
      </c>
      <c r="K588" s="21" t="s">
        <v>1968</v>
      </c>
      <c r="L588" s="22" t="str">
        <f t="shared" si="45"/>
        <v>EXCLUDE</v>
      </c>
      <c r="M588" s="22" t="str">
        <f t="shared" si="46"/>
        <v>Wrong domain (non-AECO)</v>
      </c>
      <c r="N588" s="23"/>
      <c r="O588" s="23"/>
      <c r="P588" s="24"/>
      <c r="Q588" s="24"/>
      <c r="R588" s="24"/>
      <c r="S588" s="22" t="str">
        <f t="shared" si="47"/>
        <v/>
      </c>
      <c r="T588" s="22" t="str">
        <f t="shared" si="48"/>
        <v/>
      </c>
      <c r="U588" s="25"/>
      <c r="V588" s="25"/>
      <c r="W588" s="25"/>
      <c r="X588" s="25"/>
      <c r="Y588" s="22" t="str">
        <f t="shared" si="49"/>
        <v/>
      </c>
      <c r="Z588" s="25"/>
      <c r="AA588" s="25"/>
      <c r="AB588" s="25"/>
      <c r="AC588" s="25"/>
      <c r="AD588" s="25"/>
      <c r="AE588" s="25"/>
      <c r="AF588" s="25"/>
      <c r="AG588" s="9"/>
      <c r="AH588" s="29"/>
      <c r="AI588" s="29"/>
      <c r="AM588" s="50"/>
      <c r="AN588" s="51" t="s">
        <v>3764</v>
      </c>
      <c r="AO588" s="55" t="s">
        <v>1168</v>
      </c>
    </row>
    <row r="589" spans="1:41" ht="45.6" customHeight="1" x14ac:dyDescent="0.3">
      <c r="A589" s="20">
        <v>585</v>
      </c>
      <c r="B589" s="8" t="s">
        <v>3765</v>
      </c>
      <c r="C589" s="26">
        <v>2023</v>
      </c>
      <c r="D589" s="8"/>
      <c r="E589" s="8" t="s">
        <v>1171</v>
      </c>
      <c r="F589" s="20" t="s">
        <v>1969</v>
      </c>
      <c r="G589" s="21" t="s">
        <v>1979</v>
      </c>
      <c r="H589" s="21" t="s">
        <v>1968</v>
      </c>
      <c r="I589" s="21" t="s">
        <v>1968</v>
      </c>
      <c r="J589" s="21" t="s">
        <v>1968</v>
      </c>
      <c r="K589" s="21" t="s">
        <v>1968</v>
      </c>
      <c r="L589" s="22" t="str">
        <f t="shared" si="45"/>
        <v>EXCLUDE</v>
      </c>
      <c r="M589" s="22" t="str">
        <f t="shared" si="46"/>
        <v>Wrong domain (non-AECO)</v>
      </c>
      <c r="N589" s="23"/>
      <c r="O589" s="23"/>
      <c r="P589" s="24"/>
      <c r="Q589" s="24"/>
      <c r="R589" s="24"/>
      <c r="S589" s="22" t="str">
        <f t="shared" si="47"/>
        <v/>
      </c>
      <c r="T589" s="22" t="str">
        <f t="shared" si="48"/>
        <v/>
      </c>
      <c r="U589" s="25"/>
      <c r="V589" s="25"/>
      <c r="W589" s="25"/>
      <c r="X589" s="25"/>
      <c r="Y589" s="22" t="str">
        <f t="shared" si="49"/>
        <v/>
      </c>
      <c r="Z589" s="25"/>
      <c r="AA589" s="25"/>
      <c r="AB589" s="25"/>
      <c r="AC589" s="25"/>
      <c r="AD589" s="25"/>
      <c r="AE589" s="25"/>
      <c r="AF589" s="25"/>
      <c r="AG589" s="9"/>
      <c r="AH589" s="29"/>
      <c r="AI589" s="29"/>
      <c r="AM589" s="50"/>
      <c r="AN589" s="51" t="s">
        <v>3766</v>
      </c>
      <c r="AO589" s="55" t="s">
        <v>1170</v>
      </c>
    </row>
    <row r="590" spans="1:41" ht="45.6" customHeight="1" x14ac:dyDescent="0.3">
      <c r="A590" s="20">
        <v>586</v>
      </c>
      <c r="B590" s="8" t="s">
        <v>3767</v>
      </c>
      <c r="C590" s="26">
        <v>2024</v>
      </c>
      <c r="D590" s="8"/>
      <c r="E590" s="8" t="s">
        <v>1173</v>
      </c>
      <c r="F590" s="20" t="s">
        <v>1969</v>
      </c>
      <c r="G590" s="21" t="s">
        <v>1979</v>
      </c>
      <c r="H590" s="21" t="s">
        <v>1968</v>
      </c>
      <c r="I590" s="21" t="s">
        <v>1968</v>
      </c>
      <c r="J590" s="21" t="s">
        <v>1968</v>
      </c>
      <c r="K590" s="21" t="s">
        <v>1968</v>
      </c>
      <c r="L590" s="22" t="str">
        <f t="shared" si="45"/>
        <v>EXCLUDE</v>
      </c>
      <c r="M590" s="22" t="str">
        <f t="shared" si="46"/>
        <v>Wrong domain (non-AECO)</v>
      </c>
      <c r="N590" s="23"/>
      <c r="O590" s="23"/>
      <c r="P590" s="24"/>
      <c r="Q590" s="24"/>
      <c r="R590" s="24"/>
      <c r="S590" s="22" t="str">
        <f t="shared" si="47"/>
        <v/>
      </c>
      <c r="T590" s="22" t="str">
        <f t="shared" si="48"/>
        <v/>
      </c>
      <c r="U590" s="25"/>
      <c r="V590" s="25"/>
      <c r="W590" s="25"/>
      <c r="X590" s="25"/>
      <c r="Y590" s="22" t="str">
        <f t="shared" si="49"/>
        <v/>
      </c>
      <c r="Z590" s="25"/>
      <c r="AA590" s="25"/>
      <c r="AB590" s="25"/>
      <c r="AC590" s="25"/>
      <c r="AD590" s="25"/>
      <c r="AE590" s="25"/>
      <c r="AF590" s="25"/>
      <c r="AG590" s="9"/>
      <c r="AH590" s="29"/>
      <c r="AI590" s="29"/>
      <c r="AM590" s="50"/>
      <c r="AN590" s="51" t="s">
        <v>3768</v>
      </c>
      <c r="AO590" s="55" t="s">
        <v>1172</v>
      </c>
    </row>
    <row r="591" spans="1:41" ht="34.200000000000003" customHeight="1" x14ac:dyDescent="0.3">
      <c r="A591" s="20">
        <v>587</v>
      </c>
      <c r="B591" s="8" t="s">
        <v>3769</v>
      </c>
      <c r="C591" s="26">
        <v>2022</v>
      </c>
      <c r="D591" s="8"/>
      <c r="E591" s="8" t="s">
        <v>1175</v>
      </c>
      <c r="F591" s="20" t="s">
        <v>1969</v>
      </c>
      <c r="G591" s="21" t="s">
        <v>1979</v>
      </c>
      <c r="H591" s="21" t="s">
        <v>1968</v>
      </c>
      <c r="I591" s="21" t="s">
        <v>1968</v>
      </c>
      <c r="J591" s="21" t="s">
        <v>1968</v>
      </c>
      <c r="K591" s="21" t="s">
        <v>1968</v>
      </c>
      <c r="L591" s="22" t="str">
        <f t="shared" si="45"/>
        <v>EXCLUDE</v>
      </c>
      <c r="M591" s="22" t="str">
        <f t="shared" si="46"/>
        <v>Wrong domain (non-AECO)</v>
      </c>
      <c r="N591" s="23"/>
      <c r="O591" s="23"/>
      <c r="P591" s="24"/>
      <c r="Q591" s="24"/>
      <c r="R591" s="24"/>
      <c r="S591" s="22" t="str">
        <f t="shared" si="47"/>
        <v/>
      </c>
      <c r="T591" s="22" t="str">
        <f t="shared" si="48"/>
        <v/>
      </c>
      <c r="U591" s="25"/>
      <c r="V591" s="25"/>
      <c r="W591" s="25"/>
      <c r="X591" s="25"/>
      <c r="Y591" s="22" t="str">
        <f t="shared" si="49"/>
        <v/>
      </c>
      <c r="Z591" s="25"/>
      <c r="AA591" s="25"/>
      <c r="AB591" s="25"/>
      <c r="AC591" s="25"/>
      <c r="AD591" s="25"/>
      <c r="AE591" s="25"/>
      <c r="AF591" s="25"/>
      <c r="AG591" s="9"/>
      <c r="AH591" s="29"/>
      <c r="AI591" s="29"/>
      <c r="AM591" s="50"/>
      <c r="AN591" s="51" t="s">
        <v>3770</v>
      </c>
      <c r="AO591" s="55" t="s">
        <v>1174</v>
      </c>
    </row>
    <row r="592" spans="1:41" ht="57" customHeight="1" x14ac:dyDescent="0.3">
      <c r="A592" s="20">
        <v>588</v>
      </c>
      <c r="B592" s="8" t="s">
        <v>3771</v>
      </c>
      <c r="C592" s="26">
        <v>2024</v>
      </c>
      <c r="D592" s="8"/>
      <c r="E592" s="8" t="s">
        <v>1177</v>
      </c>
      <c r="F592" s="20" t="s">
        <v>1969</v>
      </c>
      <c r="G592" s="21" t="s">
        <v>1968</v>
      </c>
      <c r="H592" s="21" t="s">
        <v>1968</v>
      </c>
      <c r="I592" s="21" t="s">
        <v>1968</v>
      </c>
      <c r="J592" s="21" t="s">
        <v>1968</v>
      </c>
      <c r="K592" s="21" t="s">
        <v>1968</v>
      </c>
      <c r="L592" s="22" t="str">
        <f t="shared" si="45"/>
        <v>INCLUDE</v>
      </c>
      <c r="M592" s="22" t="str">
        <f t="shared" si="46"/>
        <v/>
      </c>
      <c r="N592" s="23" t="s">
        <v>1968</v>
      </c>
      <c r="O592" s="23" t="s">
        <v>1968</v>
      </c>
      <c r="P592" s="24" t="s">
        <v>1968</v>
      </c>
      <c r="Q592" s="24" t="s">
        <v>1968</v>
      </c>
      <c r="R592" s="24" t="s">
        <v>1968</v>
      </c>
      <c r="S592" s="22" t="str">
        <f t="shared" si="47"/>
        <v>INCLUDE</v>
      </c>
      <c r="T592" s="22" t="str">
        <f t="shared" si="48"/>
        <v/>
      </c>
      <c r="U592" s="25" t="s">
        <v>1992</v>
      </c>
      <c r="V592" s="25">
        <v>0</v>
      </c>
      <c r="W592" s="25">
        <v>1</v>
      </c>
      <c r="X592" s="25">
        <v>0</v>
      </c>
      <c r="Y592" s="22" t="str">
        <f t="shared" si="49"/>
        <v>Single</v>
      </c>
      <c r="Z592" s="25" t="s">
        <v>1922</v>
      </c>
      <c r="AA592" s="25" t="s">
        <v>1972</v>
      </c>
      <c r="AB592" s="25" t="s">
        <v>2017</v>
      </c>
      <c r="AC592" s="25" t="s">
        <v>1986</v>
      </c>
      <c r="AD592" s="25" t="s">
        <v>2003</v>
      </c>
      <c r="AE592" s="25">
        <v>4</v>
      </c>
      <c r="AF592" s="25" t="s">
        <v>2004</v>
      </c>
      <c r="AG592" s="9" t="s">
        <v>3772</v>
      </c>
      <c r="AH592" s="29" t="s">
        <v>3773</v>
      </c>
      <c r="AI592" s="29" t="s">
        <v>3774</v>
      </c>
      <c r="AJ592" t="s">
        <v>2005</v>
      </c>
      <c r="AK592" t="s">
        <v>3775</v>
      </c>
      <c r="AL592" t="s">
        <v>1978</v>
      </c>
      <c r="AM592" s="50"/>
      <c r="AN592" s="51" t="s">
        <v>3776</v>
      </c>
      <c r="AO592" s="55" t="s">
        <v>1176</v>
      </c>
    </row>
    <row r="593" spans="1:41" ht="45.6" customHeight="1" x14ac:dyDescent="0.3">
      <c r="A593" s="20">
        <v>589</v>
      </c>
      <c r="B593" s="8" t="s">
        <v>3777</v>
      </c>
      <c r="C593" s="26">
        <v>2024</v>
      </c>
      <c r="D593" s="8"/>
      <c r="E593" s="8" t="s">
        <v>1179</v>
      </c>
      <c r="F593" s="20" t="s">
        <v>1969</v>
      </c>
      <c r="G593" s="21" t="s">
        <v>1968</v>
      </c>
      <c r="H593" s="21" t="s">
        <v>1968</v>
      </c>
      <c r="I593" s="21" t="s">
        <v>1979</v>
      </c>
      <c r="J593" s="21" t="s">
        <v>1968</v>
      </c>
      <c r="K593" s="21" t="s">
        <v>1968</v>
      </c>
      <c r="L593" s="22" t="str">
        <f t="shared" si="45"/>
        <v>EXCLUDE</v>
      </c>
      <c r="M593" s="22" t="str">
        <f t="shared" si="46"/>
        <v>No Design for Safety / PtD focus</v>
      </c>
      <c r="N593" s="23"/>
      <c r="O593" s="23"/>
      <c r="P593" s="24"/>
      <c r="Q593" s="24"/>
      <c r="R593" s="24"/>
      <c r="S593" s="22" t="str">
        <f t="shared" si="47"/>
        <v/>
      </c>
      <c r="T593" s="22" t="str">
        <f t="shared" si="48"/>
        <v/>
      </c>
      <c r="U593" s="25"/>
      <c r="V593" s="25"/>
      <c r="W593" s="25"/>
      <c r="X593" s="25"/>
      <c r="Y593" s="22" t="str">
        <f t="shared" si="49"/>
        <v/>
      </c>
      <c r="Z593" s="25"/>
      <c r="AA593" s="25"/>
      <c r="AB593" s="25"/>
      <c r="AC593" s="25"/>
      <c r="AD593" s="25"/>
      <c r="AE593" s="25"/>
      <c r="AF593" s="25"/>
      <c r="AG593" s="9"/>
      <c r="AH593" s="29"/>
      <c r="AI593" s="29"/>
      <c r="AM593" s="50"/>
      <c r="AN593" s="51" t="s">
        <v>3778</v>
      </c>
      <c r="AO593" s="55" t="s">
        <v>1178</v>
      </c>
    </row>
    <row r="594" spans="1:41" ht="79.8" customHeight="1" x14ac:dyDescent="0.3">
      <c r="A594" s="20">
        <v>590</v>
      </c>
      <c r="B594" s="8" t="s">
        <v>3779</v>
      </c>
      <c r="C594" s="26">
        <v>2022</v>
      </c>
      <c r="D594" s="8"/>
      <c r="E594" s="8" t="s">
        <v>1181</v>
      </c>
      <c r="F594" s="20" t="s">
        <v>1969</v>
      </c>
      <c r="G594" s="21" t="s">
        <v>1968</v>
      </c>
      <c r="H594" s="21" t="s">
        <v>1968</v>
      </c>
      <c r="I594" s="21" t="s">
        <v>1968</v>
      </c>
      <c r="J594" s="21" t="s">
        <v>1968</v>
      </c>
      <c r="K594" s="21" t="s">
        <v>1968</v>
      </c>
      <c r="L594" s="22" t="str">
        <f t="shared" si="45"/>
        <v>INCLUDE</v>
      </c>
      <c r="M594" s="22" t="str">
        <f t="shared" si="46"/>
        <v/>
      </c>
      <c r="N594" s="23" t="s">
        <v>1968</v>
      </c>
      <c r="O594" s="23" t="s">
        <v>1968</v>
      </c>
      <c r="P594" s="24" t="s">
        <v>1968</v>
      </c>
      <c r="Q594" s="24" t="s">
        <v>1968</v>
      </c>
      <c r="R594" s="24" t="s">
        <v>1968</v>
      </c>
      <c r="S594" s="22" t="str">
        <f t="shared" si="47"/>
        <v>INCLUDE</v>
      </c>
      <c r="T594" s="22" t="str">
        <f t="shared" si="48"/>
        <v/>
      </c>
      <c r="U594" s="25" t="s">
        <v>1982</v>
      </c>
      <c r="V594" s="25">
        <v>0</v>
      </c>
      <c r="W594" s="25">
        <v>1</v>
      </c>
      <c r="X594" s="25">
        <v>0</v>
      </c>
      <c r="Y594" s="22" t="str">
        <f t="shared" si="49"/>
        <v>Single</v>
      </c>
      <c r="Z594" s="25" t="s">
        <v>1922</v>
      </c>
      <c r="AA594" s="25" t="s">
        <v>1972</v>
      </c>
      <c r="AB594" s="25" t="s">
        <v>2011</v>
      </c>
      <c r="AC594" s="25" t="s">
        <v>1986</v>
      </c>
      <c r="AD594" s="25" t="s">
        <v>1975</v>
      </c>
      <c r="AE594" s="25">
        <v>3</v>
      </c>
      <c r="AF594" s="25" t="s">
        <v>2004</v>
      </c>
      <c r="AG594" s="9" t="s">
        <v>3780</v>
      </c>
      <c r="AH594" s="29" t="s">
        <v>3781</v>
      </c>
      <c r="AI594" s="29" t="s">
        <v>3782</v>
      </c>
      <c r="AJ594" t="s">
        <v>2007</v>
      </c>
      <c r="AK594" t="s">
        <v>3783</v>
      </c>
      <c r="AL594" t="s">
        <v>1978</v>
      </c>
      <c r="AM594" s="50" t="s">
        <v>2098</v>
      </c>
      <c r="AN594" s="51" t="s">
        <v>3784</v>
      </c>
      <c r="AO594" s="55" t="s">
        <v>1180</v>
      </c>
    </row>
    <row r="595" spans="1:41" ht="57.6" customHeight="1" x14ac:dyDescent="0.3">
      <c r="A595" s="20">
        <v>591</v>
      </c>
      <c r="B595" s="8" t="s">
        <v>3785</v>
      </c>
      <c r="C595" s="26">
        <v>2024</v>
      </c>
      <c r="D595" s="8"/>
      <c r="E595" s="8" t="s">
        <v>1183</v>
      </c>
      <c r="F595" s="20" t="s">
        <v>1969</v>
      </c>
      <c r="G595" s="21" t="s">
        <v>1968</v>
      </c>
      <c r="H595" s="21" t="s">
        <v>1968</v>
      </c>
      <c r="I595" s="21" t="s">
        <v>1968</v>
      </c>
      <c r="J595" s="21" t="s">
        <v>1968</v>
      </c>
      <c r="K595" s="21" t="s">
        <v>1968</v>
      </c>
      <c r="L595" s="22" t="str">
        <f t="shared" si="45"/>
        <v>INCLUDE</v>
      </c>
      <c r="M595" s="22" t="str">
        <f t="shared" si="46"/>
        <v/>
      </c>
      <c r="N595" s="23" t="s">
        <v>1968</v>
      </c>
      <c r="O595" s="23" t="s">
        <v>1968</v>
      </c>
      <c r="P595" s="24" t="s">
        <v>1968</v>
      </c>
      <c r="Q595" s="24" t="s">
        <v>1968</v>
      </c>
      <c r="R595" s="24" t="s">
        <v>1968</v>
      </c>
      <c r="S595" s="22" t="str">
        <f t="shared" si="47"/>
        <v>INCLUDE</v>
      </c>
      <c r="T595" s="22" t="str">
        <f t="shared" si="48"/>
        <v/>
      </c>
      <c r="U595" s="25" t="s">
        <v>1992</v>
      </c>
      <c r="V595" s="25">
        <v>0</v>
      </c>
      <c r="W595" s="25">
        <v>0</v>
      </c>
      <c r="X595" s="25">
        <v>1</v>
      </c>
      <c r="Y595" s="22" t="str">
        <f t="shared" si="49"/>
        <v>Single</v>
      </c>
      <c r="Z595" s="25" t="s">
        <v>1922</v>
      </c>
      <c r="AA595" s="25" t="s">
        <v>1984</v>
      </c>
      <c r="AB595" s="25" t="s">
        <v>2017</v>
      </c>
      <c r="AC595" s="25" t="s">
        <v>1986</v>
      </c>
      <c r="AD595" s="25" t="s">
        <v>1975</v>
      </c>
      <c r="AE595" s="25">
        <v>3</v>
      </c>
      <c r="AF595" s="25" t="s">
        <v>2004</v>
      </c>
      <c r="AG595" s="9" t="s">
        <v>3786</v>
      </c>
      <c r="AH595" s="29" t="s">
        <v>3787</v>
      </c>
      <c r="AI595" s="29" t="s">
        <v>3788</v>
      </c>
      <c r="AJ595" t="s">
        <v>2007</v>
      </c>
      <c r="AK595" t="s">
        <v>3789</v>
      </c>
      <c r="AL595" t="s">
        <v>1978</v>
      </c>
      <c r="AM595" s="50" t="s">
        <v>2098</v>
      </c>
      <c r="AN595" s="51" t="s">
        <v>3790</v>
      </c>
      <c r="AO595" s="55" t="s">
        <v>1182</v>
      </c>
    </row>
    <row r="596" spans="1:41" ht="45.6" customHeight="1" x14ac:dyDescent="0.3">
      <c r="A596" s="20">
        <v>592</v>
      </c>
      <c r="B596" s="8" t="s">
        <v>3791</v>
      </c>
      <c r="C596" s="26">
        <v>2023</v>
      </c>
      <c r="D596" s="8"/>
      <c r="E596" s="8" t="s">
        <v>1185</v>
      </c>
      <c r="F596" s="20" t="s">
        <v>1969</v>
      </c>
      <c r="G596" s="21" t="s">
        <v>1968</v>
      </c>
      <c r="H596" s="21" t="s">
        <v>1979</v>
      </c>
      <c r="I596" s="21" t="s">
        <v>1968</v>
      </c>
      <c r="J596" s="21" t="s">
        <v>1968</v>
      </c>
      <c r="K596" s="21" t="s">
        <v>1968</v>
      </c>
      <c r="L596" s="22" t="str">
        <f t="shared" si="45"/>
        <v>EXCLUDE</v>
      </c>
      <c r="M596" s="22" t="str">
        <f t="shared" si="46"/>
        <v>Digital Twin not core / buzzword</v>
      </c>
      <c r="N596" s="23"/>
      <c r="O596" s="23"/>
      <c r="P596" s="24"/>
      <c r="Q596" s="24"/>
      <c r="R596" s="24"/>
      <c r="S596" s="22" t="str">
        <f t="shared" si="47"/>
        <v/>
      </c>
      <c r="T596" s="22" t="str">
        <f t="shared" si="48"/>
        <v/>
      </c>
      <c r="U596" s="25"/>
      <c r="V596" s="25"/>
      <c r="W596" s="25"/>
      <c r="X596" s="25"/>
      <c r="Y596" s="22" t="str">
        <f t="shared" si="49"/>
        <v/>
      </c>
      <c r="Z596" s="25"/>
      <c r="AA596" s="25"/>
      <c r="AB596" s="25"/>
      <c r="AC596" s="25"/>
      <c r="AD596" s="25"/>
      <c r="AE596" s="25"/>
      <c r="AF596" s="25"/>
      <c r="AG596" s="9"/>
      <c r="AH596" s="29"/>
      <c r="AI596" s="29"/>
      <c r="AM596" s="50"/>
      <c r="AN596" s="51" t="s">
        <v>3792</v>
      </c>
      <c r="AO596" s="55" t="s">
        <v>1184</v>
      </c>
    </row>
    <row r="597" spans="1:41" ht="68.400000000000006" customHeight="1" x14ac:dyDescent="0.3">
      <c r="A597" s="20">
        <v>593</v>
      </c>
      <c r="B597" s="8" t="s">
        <v>3793</v>
      </c>
      <c r="C597" s="26">
        <v>2023</v>
      </c>
      <c r="D597" s="8"/>
      <c r="E597" s="8" t="s">
        <v>1187</v>
      </c>
      <c r="F597" s="20" t="s">
        <v>1969</v>
      </c>
      <c r="G597" s="21" t="s">
        <v>1968</v>
      </c>
      <c r="H597" s="21" t="s">
        <v>1968</v>
      </c>
      <c r="I597" s="21" t="s">
        <v>1979</v>
      </c>
      <c r="J597" s="21" t="s">
        <v>1968</v>
      </c>
      <c r="K597" s="21" t="s">
        <v>1968</v>
      </c>
      <c r="L597" s="22" t="str">
        <f t="shared" si="45"/>
        <v>EXCLUDE</v>
      </c>
      <c r="M597" s="22" t="str">
        <f t="shared" si="46"/>
        <v>No Design for Safety / PtD focus</v>
      </c>
      <c r="N597" s="23"/>
      <c r="O597" s="23"/>
      <c r="P597" s="24"/>
      <c r="Q597" s="24"/>
      <c r="R597" s="24"/>
      <c r="S597" s="22" t="str">
        <f t="shared" si="47"/>
        <v/>
      </c>
      <c r="T597" s="22" t="str">
        <f t="shared" si="48"/>
        <v/>
      </c>
      <c r="U597" s="25"/>
      <c r="V597" s="25"/>
      <c r="W597" s="25"/>
      <c r="X597" s="25"/>
      <c r="Y597" s="22" t="str">
        <f t="shared" si="49"/>
        <v/>
      </c>
      <c r="Z597" s="25"/>
      <c r="AA597" s="25"/>
      <c r="AB597" s="25"/>
      <c r="AC597" s="25"/>
      <c r="AD597" s="25"/>
      <c r="AE597" s="25"/>
      <c r="AF597" s="25"/>
      <c r="AG597" s="9"/>
      <c r="AH597" s="29"/>
      <c r="AI597" s="29"/>
      <c r="AM597" s="50"/>
      <c r="AN597" s="51" t="s">
        <v>3794</v>
      </c>
      <c r="AO597" s="55" t="s">
        <v>1186</v>
      </c>
    </row>
    <row r="598" spans="1:41" ht="45.6" customHeight="1" x14ac:dyDescent="0.3">
      <c r="A598" s="20">
        <v>594</v>
      </c>
      <c r="B598" s="8" t="s">
        <v>3795</v>
      </c>
      <c r="C598" s="26">
        <v>2024</v>
      </c>
      <c r="D598" s="8"/>
      <c r="E598" s="8" t="s">
        <v>1189</v>
      </c>
      <c r="F598" s="20" t="s">
        <v>1969</v>
      </c>
      <c r="G598" s="21" t="s">
        <v>1968</v>
      </c>
      <c r="H598" s="21" t="s">
        <v>1968</v>
      </c>
      <c r="I598" s="21" t="s">
        <v>1979</v>
      </c>
      <c r="J598" s="21" t="s">
        <v>1968</v>
      </c>
      <c r="K598" s="21" t="s">
        <v>1968</v>
      </c>
      <c r="L598" s="22" t="str">
        <f t="shared" si="45"/>
        <v>EXCLUDE</v>
      </c>
      <c r="M598" s="22" t="str">
        <f t="shared" si="46"/>
        <v>No Design for Safety / PtD focus</v>
      </c>
      <c r="N598" s="23"/>
      <c r="O598" s="23"/>
      <c r="P598" s="24"/>
      <c r="Q598" s="24"/>
      <c r="R598" s="24"/>
      <c r="S598" s="22" t="str">
        <f t="shared" si="47"/>
        <v/>
      </c>
      <c r="T598" s="22" t="str">
        <f t="shared" si="48"/>
        <v/>
      </c>
      <c r="U598" s="25"/>
      <c r="V598" s="25"/>
      <c r="W598" s="25"/>
      <c r="X598" s="25"/>
      <c r="Y598" s="22" t="str">
        <f t="shared" si="49"/>
        <v/>
      </c>
      <c r="Z598" s="25"/>
      <c r="AA598" s="25"/>
      <c r="AB598" s="25"/>
      <c r="AC598" s="25"/>
      <c r="AD598" s="25"/>
      <c r="AE598" s="25"/>
      <c r="AF598" s="25"/>
      <c r="AG598" s="9"/>
      <c r="AH598" s="29"/>
      <c r="AI598" s="29"/>
      <c r="AM598" s="50"/>
      <c r="AN598" s="51" t="s">
        <v>3796</v>
      </c>
      <c r="AO598" s="55" t="s">
        <v>1188</v>
      </c>
    </row>
    <row r="599" spans="1:41" ht="114" customHeight="1" x14ac:dyDescent="0.3">
      <c r="A599" s="20">
        <v>595</v>
      </c>
      <c r="B599" s="8" t="s">
        <v>3797</v>
      </c>
      <c r="C599" s="26">
        <v>2024</v>
      </c>
      <c r="D599" s="8"/>
      <c r="E599" s="8" t="s">
        <v>1191</v>
      </c>
      <c r="F599" s="20" t="s">
        <v>1969</v>
      </c>
      <c r="G599" s="21" t="s">
        <v>1968</v>
      </c>
      <c r="H599" s="21" t="s">
        <v>1968</v>
      </c>
      <c r="I599" s="21" t="s">
        <v>1968</v>
      </c>
      <c r="J599" s="21" t="s">
        <v>1968</v>
      </c>
      <c r="K599" s="21" t="s">
        <v>1968</v>
      </c>
      <c r="L599" s="22" t="str">
        <f t="shared" si="45"/>
        <v>INCLUDE</v>
      </c>
      <c r="M599" s="22" t="str">
        <f t="shared" si="46"/>
        <v/>
      </c>
      <c r="N599" s="23" t="s">
        <v>1968</v>
      </c>
      <c r="O599" s="23" t="s">
        <v>1968</v>
      </c>
      <c r="P599" s="24" t="s">
        <v>1968</v>
      </c>
      <c r="Q599" s="24" t="s">
        <v>1968</v>
      </c>
      <c r="R599" s="24" t="s">
        <v>1968</v>
      </c>
      <c r="S599" s="22" t="str">
        <f t="shared" si="47"/>
        <v>INCLUDE</v>
      </c>
      <c r="T599" s="22" t="str">
        <f t="shared" si="48"/>
        <v/>
      </c>
      <c r="U599" s="25" t="s">
        <v>1971</v>
      </c>
      <c r="V599" s="25">
        <v>0</v>
      </c>
      <c r="W599" s="25">
        <v>1</v>
      </c>
      <c r="X599" s="25">
        <v>0</v>
      </c>
      <c r="Y599" s="22" t="str">
        <f t="shared" si="49"/>
        <v>Single</v>
      </c>
      <c r="Z599" s="25" t="s">
        <v>1922</v>
      </c>
      <c r="AA599" s="25" t="s">
        <v>1984</v>
      </c>
      <c r="AB599" s="25" t="s">
        <v>2017</v>
      </c>
      <c r="AC599" s="25" t="s">
        <v>1986</v>
      </c>
      <c r="AD599" s="25" t="s">
        <v>1975</v>
      </c>
      <c r="AE599" s="25">
        <v>3</v>
      </c>
      <c r="AF599" s="25" t="s">
        <v>1976</v>
      </c>
      <c r="AG599" s="9" t="s">
        <v>3798</v>
      </c>
      <c r="AH599" s="29" t="s">
        <v>3799</v>
      </c>
      <c r="AI599" s="29" t="s">
        <v>3800</v>
      </c>
      <c r="AJ599" t="s">
        <v>2007</v>
      </c>
      <c r="AK599" t="s">
        <v>3801</v>
      </c>
      <c r="AL599" t="s">
        <v>1978</v>
      </c>
      <c r="AM599" s="50" t="s">
        <v>2098</v>
      </c>
      <c r="AN599" s="51" t="s">
        <v>3802</v>
      </c>
      <c r="AO599" s="55" t="s">
        <v>1190</v>
      </c>
    </row>
    <row r="600" spans="1:41" ht="57" customHeight="1" x14ac:dyDescent="0.3">
      <c r="A600" s="20">
        <v>596</v>
      </c>
      <c r="B600" s="8" t="s">
        <v>3803</v>
      </c>
      <c r="C600" s="26">
        <v>2022</v>
      </c>
      <c r="D600" s="8"/>
      <c r="E600" s="8" t="s">
        <v>1193</v>
      </c>
      <c r="F600" s="20" t="s">
        <v>1969</v>
      </c>
      <c r="G600" s="21" t="s">
        <v>1968</v>
      </c>
      <c r="H600" s="21" t="s">
        <v>1979</v>
      </c>
      <c r="I600" s="21" t="s">
        <v>1968</v>
      </c>
      <c r="J600" s="21" t="s">
        <v>1968</v>
      </c>
      <c r="K600" s="21" t="s">
        <v>1968</v>
      </c>
      <c r="L600" s="22" t="str">
        <f t="shared" si="45"/>
        <v>EXCLUDE</v>
      </c>
      <c r="M600" s="22" t="str">
        <f t="shared" si="46"/>
        <v>Digital Twin not core / buzzword</v>
      </c>
      <c r="N600" s="23"/>
      <c r="O600" s="23"/>
      <c r="P600" s="24"/>
      <c r="Q600" s="24"/>
      <c r="R600" s="24"/>
      <c r="S600" s="22" t="str">
        <f t="shared" si="47"/>
        <v/>
      </c>
      <c r="T600" s="22" t="str">
        <f t="shared" si="48"/>
        <v/>
      </c>
      <c r="U600" s="25"/>
      <c r="V600" s="25"/>
      <c r="W600" s="25"/>
      <c r="X600" s="25"/>
      <c r="Y600" s="22" t="str">
        <f t="shared" si="49"/>
        <v/>
      </c>
      <c r="Z600" s="25"/>
      <c r="AA600" s="25"/>
      <c r="AB600" s="25"/>
      <c r="AC600" s="25"/>
      <c r="AD600" s="25"/>
      <c r="AE600" s="25"/>
      <c r="AF600" s="25"/>
      <c r="AG600" s="9"/>
      <c r="AH600" s="29"/>
      <c r="AI600" s="29"/>
      <c r="AM600" s="50"/>
      <c r="AN600" s="51" t="s">
        <v>3804</v>
      </c>
      <c r="AO600" s="55" t="s">
        <v>1192</v>
      </c>
    </row>
    <row r="601" spans="1:41" ht="45.6" customHeight="1" x14ac:dyDescent="0.3">
      <c r="A601" s="20">
        <v>597</v>
      </c>
      <c r="B601" s="8" t="s">
        <v>3805</v>
      </c>
      <c r="C601" s="26">
        <v>2024</v>
      </c>
      <c r="D601" s="8"/>
      <c r="E601" s="8" t="s">
        <v>1195</v>
      </c>
      <c r="F601" s="20" t="s">
        <v>1969</v>
      </c>
      <c r="G601" s="21" t="s">
        <v>1968</v>
      </c>
      <c r="H601" s="21" t="s">
        <v>1968</v>
      </c>
      <c r="I601" s="21" t="s">
        <v>1979</v>
      </c>
      <c r="J601" s="21" t="s">
        <v>1968</v>
      </c>
      <c r="K601" s="21" t="s">
        <v>1968</v>
      </c>
      <c r="L601" s="22" t="str">
        <f t="shared" si="45"/>
        <v>EXCLUDE</v>
      </c>
      <c r="M601" s="22" t="str">
        <f t="shared" si="46"/>
        <v>No Design for Safety / PtD focus</v>
      </c>
      <c r="N601" s="23"/>
      <c r="O601" s="23"/>
      <c r="P601" s="24"/>
      <c r="Q601" s="24"/>
      <c r="R601" s="24"/>
      <c r="S601" s="22" t="str">
        <f t="shared" si="47"/>
        <v/>
      </c>
      <c r="T601" s="22" t="str">
        <f t="shared" si="48"/>
        <v/>
      </c>
      <c r="U601" s="25"/>
      <c r="V601" s="25"/>
      <c r="W601" s="25"/>
      <c r="X601" s="25"/>
      <c r="Y601" s="22" t="str">
        <f t="shared" si="49"/>
        <v/>
      </c>
      <c r="Z601" s="25"/>
      <c r="AA601" s="25"/>
      <c r="AB601" s="25"/>
      <c r="AC601" s="25"/>
      <c r="AD601" s="25"/>
      <c r="AE601" s="25"/>
      <c r="AF601" s="25"/>
      <c r="AG601" s="9"/>
      <c r="AH601" s="29"/>
      <c r="AI601" s="29"/>
      <c r="AM601" s="50"/>
      <c r="AN601" s="51" t="s">
        <v>3806</v>
      </c>
      <c r="AO601" s="55" t="s">
        <v>1194</v>
      </c>
    </row>
    <row r="602" spans="1:41" ht="68.400000000000006" customHeight="1" x14ac:dyDescent="0.3">
      <c r="A602" s="20">
        <v>598</v>
      </c>
      <c r="B602" s="8" t="s">
        <v>3807</v>
      </c>
      <c r="C602" s="26">
        <v>2025</v>
      </c>
      <c r="D602" s="8"/>
      <c r="E602" s="8" t="s">
        <v>1197</v>
      </c>
      <c r="F602" s="20" t="s">
        <v>1969</v>
      </c>
      <c r="G602" s="21" t="s">
        <v>1968</v>
      </c>
      <c r="H602" s="21" t="s">
        <v>1968</v>
      </c>
      <c r="I602" s="21" t="s">
        <v>1968</v>
      </c>
      <c r="J602" s="21" t="s">
        <v>1968</v>
      </c>
      <c r="K602" s="21" t="s">
        <v>1968</v>
      </c>
      <c r="L602" s="22" t="str">
        <f t="shared" si="45"/>
        <v>INCLUDE</v>
      </c>
      <c r="M602" s="22" t="str">
        <f t="shared" si="46"/>
        <v/>
      </c>
      <c r="N602" s="23" t="s">
        <v>1968</v>
      </c>
      <c r="O602" s="23" t="s">
        <v>1968</v>
      </c>
      <c r="P602" s="24" t="s">
        <v>1979</v>
      </c>
      <c r="Q602" s="24" t="s">
        <v>1968</v>
      </c>
      <c r="R602" s="24" t="s">
        <v>1979</v>
      </c>
      <c r="S602" s="22" t="str">
        <f t="shared" si="47"/>
        <v>EXCLUDE</v>
      </c>
      <c r="T602" s="22" t="str">
        <f t="shared" si="48"/>
        <v>Digital Twin mentioned only, not the subject</v>
      </c>
      <c r="U602" s="25"/>
      <c r="V602" s="25"/>
      <c r="W602" s="25"/>
      <c r="X602" s="25"/>
      <c r="Y602" s="22" t="str">
        <f t="shared" si="49"/>
        <v/>
      </c>
      <c r="Z602" s="25"/>
      <c r="AA602" s="25"/>
      <c r="AB602" s="25"/>
      <c r="AC602" s="25"/>
      <c r="AD602" s="25"/>
      <c r="AE602" s="25"/>
      <c r="AF602" s="25"/>
      <c r="AG602" s="9" t="s">
        <v>3808</v>
      </c>
      <c r="AH602" s="29"/>
      <c r="AI602" s="29"/>
      <c r="AM602" s="50"/>
      <c r="AN602" s="51" t="s">
        <v>3809</v>
      </c>
      <c r="AO602" s="55" t="s">
        <v>1196</v>
      </c>
    </row>
    <row r="603" spans="1:41" ht="91.2" customHeight="1" x14ac:dyDescent="0.3">
      <c r="A603" s="20">
        <v>599</v>
      </c>
      <c r="B603" s="8" t="s">
        <v>3810</v>
      </c>
      <c r="C603" s="26">
        <v>2024</v>
      </c>
      <c r="D603" s="8"/>
      <c r="E603" s="8" t="s">
        <v>1199</v>
      </c>
      <c r="F603" s="20" t="s">
        <v>1969</v>
      </c>
      <c r="G603" s="21" t="s">
        <v>1968</v>
      </c>
      <c r="H603" s="21" t="s">
        <v>1968</v>
      </c>
      <c r="I603" s="21" t="s">
        <v>1968</v>
      </c>
      <c r="J603" s="21" t="s">
        <v>1968</v>
      </c>
      <c r="K603" s="21" t="s">
        <v>1968</v>
      </c>
      <c r="L603" s="22" t="str">
        <f t="shared" si="45"/>
        <v>INCLUDE</v>
      </c>
      <c r="M603" s="22" t="str">
        <f t="shared" si="46"/>
        <v/>
      </c>
      <c r="N603" s="23" t="s">
        <v>1968</v>
      </c>
      <c r="O603" s="23" t="s">
        <v>1968</v>
      </c>
      <c r="P603" s="24" t="s">
        <v>1968</v>
      </c>
      <c r="Q603" s="24" t="s">
        <v>1968</v>
      </c>
      <c r="R603" s="24" t="s">
        <v>1968</v>
      </c>
      <c r="S603" s="22" t="str">
        <f t="shared" si="47"/>
        <v>INCLUDE</v>
      </c>
      <c r="T603" s="22" t="str">
        <f t="shared" si="48"/>
        <v/>
      </c>
      <c r="U603" s="25" t="s">
        <v>1971</v>
      </c>
      <c r="V603" s="25">
        <v>0</v>
      </c>
      <c r="W603" s="25">
        <v>0</v>
      </c>
      <c r="X603" s="25">
        <v>1</v>
      </c>
      <c r="Y603" s="22" t="str">
        <f t="shared" si="49"/>
        <v>Single</v>
      </c>
      <c r="Z603" s="25" t="s">
        <v>1922</v>
      </c>
      <c r="AA603" s="25" t="s">
        <v>1972</v>
      </c>
      <c r="AB603" s="25" t="s">
        <v>2014</v>
      </c>
      <c r="AC603" s="25" t="s">
        <v>1986</v>
      </c>
      <c r="AD603" s="25" t="s">
        <v>1987</v>
      </c>
      <c r="AE603" s="25">
        <v>4</v>
      </c>
      <c r="AF603" s="25" t="s">
        <v>1996</v>
      </c>
      <c r="AG603" s="9" t="s">
        <v>3811</v>
      </c>
      <c r="AH603" s="29" t="s">
        <v>3812</v>
      </c>
      <c r="AI603" s="29" t="s">
        <v>3813</v>
      </c>
      <c r="AJ603" t="s">
        <v>1997</v>
      </c>
      <c r="AK603" t="s">
        <v>3814</v>
      </c>
      <c r="AL603" t="s">
        <v>1990</v>
      </c>
      <c r="AM603" s="50"/>
      <c r="AN603" s="51" t="s">
        <v>3815</v>
      </c>
      <c r="AO603" s="55" t="s">
        <v>1198</v>
      </c>
    </row>
    <row r="604" spans="1:41" ht="79.8" customHeight="1" x14ac:dyDescent="0.3">
      <c r="A604" s="20">
        <v>600</v>
      </c>
      <c r="B604" s="8" t="s">
        <v>3816</v>
      </c>
      <c r="C604" s="26">
        <v>2023</v>
      </c>
      <c r="D604" s="8"/>
      <c r="E604" s="8" t="s">
        <v>1201</v>
      </c>
      <c r="F604" s="20" t="s">
        <v>1969</v>
      </c>
      <c r="G604" s="21" t="s">
        <v>1979</v>
      </c>
      <c r="H604" s="21" t="s">
        <v>1968</v>
      </c>
      <c r="I604" s="21" t="s">
        <v>1968</v>
      </c>
      <c r="J604" s="21" t="s">
        <v>1968</v>
      </c>
      <c r="K604" s="21" t="s">
        <v>1968</v>
      </c>
      <c r="L604" s="22" t="str">
        <f t="shared" si="45"/>
        <v>EXCLUDE</v>
      </c>
      <c r="M604" s="22" t="str">
        <f t="shared" si="46"/>
        <v>Wrong domain (non-AECO)</v>
      </c>
      <c r="N604" s="23"/>
      <c r="O604" s="23"/>
      <c r="P604" s="24"/>
      <c r="Q604" s="24"/>
      <c r="R604" s="24"/>
      <c r="S604" s="22" t="str">
        <f t="shared" si="47"/>
        <v/>
      </c>
      <c r="T604" s="22" t="str">
        <f t="shared" si="48"/>
        <v/>
      </c>
      <c r="U604" s="25"/>
      <c r="V604" s="25"/>
      <c r="W604" s="25"/>
      <c r="X604" s="25"/>
      <c r="Y604" s="22" t="str">
        <f t="shared" si="49"/>
        <v/>
      </c>
      <c r="Z604" s="25"/>
      <c r="AA604" s="25"/>
      <c r="AB604" s="25"/>
      <c r="AC604" s="25"/>
      <c r="AD604" s="25"/>
      <c r="AE604" s="25"/>
      <c r="AF604" s="25"/>
      <c r="AG604" s="9"/>
      <c r="AH604" s="29"/>
      <c r="AI604" s="29"/>
      <c r="AM604" s="50"/>
      <c r="AN604" s="51" t="s">
        <v>3817</v>
      </c>
      <c r="AO604" s="55" t="s">
        <v>1200</v>
      </c>
    </row>
    <row r="605" spans="1:41" ht="68.400000000000006" customHeight="1" x14ac:dyDescent="0.3">
      <c r="A605" s="20">
        <v>601</v>
      </c>
      <c r="B605" s="8" t="s">
        <v>3818</v>
      </c>
      <c r="C605" s="26">
        <v>2024</v>
      </c>
      <c r="D605" s="8"/>
      <c r="E605" s="8" t="s">
        <v>1203</v>
      </c>
      <c r="F605" s="20" t="s">
        <v>1969</v>
      </c>
      <c r="G605" s="21" t="s">
        <v>1979</v>
      </c>
      <c r="H605" s="21" t="s">
        <v>1968</v>
      </c>
      <c r="I605" s="21" t="s">
        <v>1968</v>
      </c>
      <c r="J605" s="21" t="s">
        <v>1968</v>
      </c>
      <c r="K605" s="21" t="s">
        <v>1968</v>
      </c>
      <c r="L605" s="22" t="str">
        <f t="shared" si="45"/>
        <v>EXCLUDE</v>
      </c>
      <c r="M605" s="22" t="str">
        <f t="shared" si="46"/>
        <v>Wrong domain (non-AECO)</v>
      </c>
      <c r="N605" s="23"/>
      <c r="O605" s="23"/>
      <c r="P605" s="24"/>
      <c r="Q605" s="24"/>
      <c r="R605" s="24"/>
      <c r="S605" s="22" t="str">
        <f t="shared" si="47"/>
        <v/>
      </c>
      <c r="T605" s="22" t="str">
        <f t="shared" si="48"/>
        <v/>
      </c>
      <c r="U605" s="25"/>
      <c r="V605" s="25"/>
      <c r="W605" s="25"/>
      <c r="X605" s="25"/>
      <c r="Y605" s="22" t="str">
        <f t="shared" si="49"/>
        <v/>
      </c>
      <c r="Z605" s="25"/>
      <c r="AA605" s="25"/>
      <c r="AB605" s="25"/>
      <c r="AC605" s="25"/>
      <c r="AD605" s="25"/>
      <c r="AE605" s="25"/>
      <c r="AF605" s="25"/>
      <c r="AG605" s="9"/>
      <c r="AH605" s="29"/>
      <c r="AI605" s="29"/>
      <c r="AM605" s="50"/>
      <c r="AN605" s="51" t="s">
        <v>3819</v>
      </c>
      <c r="AO605" s="55" t="s">
        <v>1202</v>
      </c>
    </row>
    <row r="606" spans="1:41" ht="45.6" customHeight="1" x14ac:dyDescent="0.3">
      <c r="A606" s="20">
        <v>602</v>
      </c>
      <c r="B606" s="8" t="s">
        <v>3820</v>
      </c>
      <c r="C606" s="26">
        <v>2024</v>
      </c>
      <c r="D606" s="8"/>
      <c r="E606" s="8" t="s">
        <v>1205</v>
      </c>
      <c r="F606" s="20" t="s">
        <v>1969</v>
      </c>
      <c r="G606" s="21" t="s">
        <v>1979</v>
      </c>
      <c r="H606" s="21" t="s">
        <v>1968</v>
      </c>
      <c r="I606" s="21" t="s">
        <v>1968</v>
      </c>
      <c r="J606" s="21" t="s">
        <v>1968</v>
      </c>
      <c r="K606" s="21" t="s">
        <v>1968</v>
      </c>
      <c r="L606" s="22" t="str">
        <f t="shared" si="45"/>
        <v>EXCLUDE</v>
      </c>
      <c r="M606" s="22" t="str">
        <f t="shared" si="46"/>
        <v>Wrong domain (non-AECO)</v>
      </c>
      <c r="N606" s="23"/>
      <c r="O606" s="23"/>
      <c r="P606" s="24"/>
      <c r="Q606" s="24"/>
      <c r="R606" s="24"/>
      <c r="S606" s="22" t="str">
        <f t="shared" si="47"/>
        <v/>
      </c>
      <c r="T606" s="22" t="str">
        <f t="shared" si="48"/>
        <v/>
      </c>
      <c r="U606" s="25"/>
      <c r="V606" s="25"/>
      <c r="W606" s="25"/>
      <c r="X606" s="25"/>
      <c r="Y606" s="22" t="str">
        <f t="shared" si="49"/>
        <v/>
      </c>
      <c r="Z606" s="25"/>
      <c r="AA606" s="25"/>
      <c r="AB606" s="25"/>
      <c r="AC606" s="25"/>
      <c r="AD606" s="25"/>
      <c r="AE606" s="25"/>
      <c r="AF606" s="25"/>
      <c r="AG606" s="9"/>
      <c r="AH606" s="29"/>
      <c r="AI606" s="29"/>
      <c r="AM606" s="50"/>
      <c r="AN606" s="51" t="s">
        <v>3821</v>
      </c>
      <c r="AO606" s="55" t="s">
        <v>1204</v>
      </c>
    </row>
    <row r="607" spans="1:41" ht="68.400000000000006" customHeight="1" x14ac:dyDescent="0.3">
      <c r="A607" s="20">
        <v>603</v>
      </c>
      <c r="B607" s="8" t="s">
        <v>3822</v>
      </c>
      <c r="C607" s="26">
        <v>2023</v>
      </c>
      <c r="D607" s="8"/>
      <c r="E607" s="8" t="s">
        <v>1207</v>
      </c>
      <c r="F607" s="20" t="s">
        <v>1969</v>
      </c>
      <c r="G607" s="21" t="s">
        <v>1979</v>
      </c>
      <c r="H607" s="21" t="s">
        <v>1968</v>
      </c>
      <c r="I607" s="21" t="s">
        <v>1968</v>
      </c>
      <c r="J607" s="21" t="s">
        <v>1968</v>
      </c>
      <c r="K607" s="21" t="s">
        <v>1968</v>
      </c>
      <c r="L607" s="22" t="str">
        <f t="shared" si="45"/>
        <v>EXCLUDE</v>
      </c>
      <c r="M607" s="22" t="str">
        <f t="shared" si="46"/>
        <v>Wrong domain (non-AECO)</v>
      </c>
      <c r="N607" s="23"/>
      <c r="O607" s="23"/>
      <c r="P607" s="24"/>
      <c r="Q607" s="24"/>
      <c r="R607" s="24"/>
      <c r="S607" s="22" t="str">
        <f t="shared" si="47"/>
        <v/>
      </c>
      <c r="T607" s="22" t="str">
        <f t="shared" si="48"/>
        <v/>
      </c>
      <c r="U607" s="25"/>
      <c r="V607" s="25"/>
      <c r="W607" s="25"/>
      <c r="X607" s="25"/>
      <c r="Y607" s="22" t="str">
        <f t="shared" si="49"/>
        <v/>
      </c>
      <c r="Z607" s="25"/>
      <c r="AA607" s="25"/>
      <c r="AB607" s="25"/>
      <c r="AC607" s="25"/>
      <c r="AD607" s="25"/>
      <c r="AE607" s="25"/>
      <c r="AF607" s="25"/>
      <c r="AG607" s="9"/>
      <c r="AH607" s="29"/>
      <c r="AI607" s="29"/>
      <c r="AM607" s="50"/>
      <c r="AN607" s="51" t="s">
        <v>3823</v>
      </c>
      <c r="AO607" s="55" t="s">
        <v>1206</v>
      </c>
    </row>
    <row r="608" spans="1:41" ht="79.8" customHeight="1" x14ac:dyDescent="0.3">
      <c r="A608" s="20">
        <v>604</v>
      </c>
      <c r="B608" s="8" t="s">
        <v>3824</v>
      </c>
      <c r="C608" s="26">
        <v>2022</v>
      </c>
      <c r="D608" s="8"/>
      <c r="E608" s="8" t="s">
        <v>1209</v>
      </c>
      <c r="F608" s="20" t="s">
        <v>1969</v>
      </c>
      <c r="G608" s="21" t="s">
        <v>1968</v>
      </c>
      <c r="H608" s="21" t="s">
        <v>1968</v>
      </c>
      <c r="I608" s="21" t="s">
        <v>1968</v>
      </c>
      <c r="J608" s="21" t="s">
        <v>1968</v>
      </c>
      <c r="K608" s="21" t="s">
        <v>1968</v>
      </c>
      <c r="L608" s="22" t="str">
        <f t="shared" si="45"/>
        <v>INCLUDE</v>
      </c>
      <c r="M608" s="22" t="str">
        <f t="shared" si="46"/>
        <v/>
      </c>
      <c r="N608" s="23" t="s">
        <v>1968</v>
      </c>
      <c r="O608" s="23" t="s">
        <v>1968</v>
      </c>
      <c r="P608" s="24" t="s">
        <v>1968</v>
      </c>
      <c r="Q608" s="24" t="s">
        <v>1968</v>
      </c>
      <c r="R608" s="24" t="s">
        <v>1968</v>
      </c>
      <c r="S608" s="22" t="str">
        <f t="shared" si="47"/>
        <v>INCLUDE</v>
      </c>
      <c r="T608" s="22" t="str">
        <f t="shared" si="48"/>
        <v/>
      </c>
      <c r="U608" s="25" t="s">
        <v>1982</v>
      </c>
      <c r="V608" s="25">
        <v>0</v>
      </c>
      <c r="W608" s="25">
        <v>0</v>
      </c>
      <c r="X608" s="25">
        <v>1</v>
      </c>
      <c r="Y608" s="22" t="str">
        <f t="shared" si="49"/>
        <v>Single</v>
      </c>
      <c r="Z608" s="25" t="s">
        <v>1922</v>
      </c>
      <c r="AA608" s="25" t="s">
        <v>1972</v>
      </c>
      <c r="AB608" s="25" t="s">
        <v>2017</v>
      </c>
      <c r="AC608" s="25" t="s">
        <v>1986</v>
      </c>
      <c r="AD608" s="25" t="s">
        <v>2003</v>
      </c>
      <c r="AE608" s="25">
        <v>4</v>
      </c>
      <c r="AF608" s="25" t="s">
        <v>2004</v>
      </c>
      <c r="AG608" s="9" t="s">
        <v>3825</v>
      </c>
      <c r="AH608" s="29" t="s">
        <v>3826</v>
      </c>
      <c r="AI608" s="29" t="s">
        <v>3827</v>
      </c>
      <c r="AJ608" t="s">
        <v>1997</v>
      </c>
      <c r="AK608" t="s">
        <v>3828</v>
      </c>
      <c r="AL608" t="s">
        <v>1978</v>
      </c>
      <c r="AM608" s="50"/>
      <c r="AN608" s="51" t="s">
        <v>3829</v>
      </c>
      <c r="AO608" s="55" t="s">
        <v>1208</v>
      </c>
    </row>
    <row r="609" spans="1:41" ht="45.6" customHeight="1" x14ac:dyDescent="0.3">
      <c r="A609" s="20">
        <v>605</v>
      </c>
      <c r="B609" s="8" t="s">
        <v>3830</v>
      </c>
      <c r="C609" s="26">
        <v>2024</v>
      </c>
      <c r="D609" s="8"/>
      <c r="E609" s="8" t="s">
        <v>1211</v>
      </c>
      <c r="F609" s="20" t="s">
        <v>1969</v>
      </c>
      <c r="G609" s="21" t="s">
        <v>1979</v>
      </c>
      <c r="H609" s="21" t="s">
        <v>1968</v>
      </c>
      <c r="I609" s="21" t="s">
        <v>1968</v>
      </c>
      <c r="J609" s="21" t="s">
        <v>1968</v>
      </c>
      <c r="K609" s="21" t="s">
        <v>1968</v>
      </c>
      <c r="L609" s="22" t="str">
        <f t="shared" si="45"/>
        <v>EXCLUDE</v>
      </c>
      <c r="M609" s="22" t="str">
        <f t="shared" si="46"/>
        <v>Wrong domain (non-AECO)</v>
      </c>
      <c r="N609" s="23"/>
      <c r="O609" s="23"/>
      <c r="P609" s="24"/>
      <c r="Q609" s="24"/>
      <c r="R609" s="24"/>
      <c r="S609" s="22" t="str">
        <f t="shared" si="47"/>
        <v/>
      </c>
      <c r="T609" s="22" t="str">
        <f t="shared" si="48"/>
        <v/>
      </c>
      <c r="U609" s="25"/>
      <c r="V609" s="25"/>
      <c r="W609" s="25"/>
      <c r="X609" s="25"/>
      <c r="Y609" s="22" t="str">
        <f t="shared" si="49"/>
        <v/>
      </c>
      <c r="Z609" s="25"/>
      <c r="AA609" s="25"/>
      <c r="AB609" s="25"/>
      <c r="AC609" s="25"/>
      <c r="AD609" s="25"/>
      <c r="AE609" s="25"/>
      <c r="AF609" s="25"/>
      <c r="AG609" s="9"/>
      <c r="AH609" s="29"/>
      <c r="AI609" s="29"/>
      <c r="AM609" s="50"/>
      <c r="AN609" s="51" t="s">
        <v>3831</v>
      </c>
      <c r="AO609" s="55" t="s">
        <v>1210</v>
      </c>
    </row>
    <row r="610" spans="1:41" ht="68.400000000000006" customHeight="1" x14ac:dyDescent="0.3">
      <c r="A610" s="20">
        <v>606</v>
      </c>
      <c r="B610" s="8" t="s">
        <v>3832</v>
      </c>
      <c r="C610" s="26">
        <v>2024</v>
      </c>
      <c r="D610" s="8"/>
      <c r="E610" s="8" t="s">
        <v>1213</v>
      </c>
      <c r="F610" s="20" t="s">
        <v>1969</v>
      </c>
      <c r="G610" s="21" t="s">
        <v>1979</v>
      </c>
      <c r="H610" s="21" t="s">
        <v>1968</v>
      </c>
      <c r="I610" s="21" t="s">
        <v>1968</v>
      </c>
      <c r="J610" s="21" t="s">
        <v>1968</v>
      </c>
      <c r="K610" s="21" t="s">
        <v>1968</v>
      </c>
      <c r="L610" s="22" t="str">
        <f t="shared" si="45"/>
        <v>EXCLUDE</v>
      </c>
      <c r="M610" s="22" t="str">
        <f t="shared" si="46"/>
        <v>Wrong domain (non-AECO)</v>
      </c>
      <c r="N610" s="23"/>
      <c r="O610" s="23"/>
      <c r="P610" s="24"/>
      <c r="Q610" s="24"/>
      <c r="R610" s="24"/>
      <c r="S610" s="22" t="str">
        <f t="shared" si="47"/>
        <v/>
      </c>
      <c r="T610" s="22" t="str">
        <f t="shared" si="48"/>
        <v/>
      </c>
      <c r="U610" s="25"/>
      <c r="V610" s="25"/>
      <c r="W610" s="25"/>
      <c r="X610" s="25"/>
      <c r="Y610" s="22" t="str">
        <f t="shared" si="49"/>
        <v/>
      </c>
      <c r="Z610" s="25"/>
      <c r="AA610" s="25"/>
      <c r="AB610" s="25"/>
      <c r="AC610" s="25"/>
      <c r="AD610" s="25"/>
      <c r="AE610" s="25"/>
      <c r="AF610" s="25"/>
      <c r="AG610" s="9"/>
      <c r="AH610" s="29"/>
      <c r="AI610" s="29"/>
      <c r="AM610" s="50"/>
      <c r="AN610" s="51" t="s">
        <v>3833</v>
      </c>
      <c r="AO610" s="55" t="s">
        <v>1212</v>
      </c>
    </row>
    <row r="611" spans="1:41" ht="91.2" customHeight="1" x14ac:dyDescent="0.3">
      <c r="A611" s="20">
        <v>607</v>
      </c>
      <c r="B611" s="8" t="s">
        <v>3834</v>
      </c>
      <c r="C611" s="26">
        <v>2023</v>
      </c>
      <c r="D611" s="8"/>
      <c r="E611" s="8" t="s">
        <v>1215</v>
      </c>
      <c r="F611" s="20" t="s">
        <v>1969</v>
      </c>
      <c r="G611" s="21" t="s">
        <v>1968</v>
      </c>
      <c r="H611" s="21" t="s">
        <v>1979</v>
      </c>
      <c r="I611" s="21" t="s">
        <v>1968</v>
      </c>
      <c r="J611" s="21" t="s">
        <v>1968</v>
      </c>
      <c r="K611" s="21" t="s">
        <v>1968</v>
      </c>
      <c r="L611" s="22" t="str">
        <f t="shared" si="45"/>
        <v>EXCLUDE</v>
      </c>
      <c r="M611" s="22" t="str">
        <f t="shared" si="46"/>
        <v>Digital Twin not core / buzzword</v>
      </c>
      <c r="N611" s="23"/>
      <c r="O611" s="23"/>
      <c r="P611" s="24"/>
      <c r="Q611" s="24"/>
      <c r="R611" s="24"/>
      <c r="S611" s="22" t="str">
        <f t="shared" si="47"/>
        <v/>
      </c>
      <c r="T611" s="22" t="str">
        <f t="shared" si="48"/>
        <v/>
      </c>
      <c r="U611" s="25"/>
      <c r="V611" s="25"/>
      <c r="W611" s="25"/>
      <c r="X611" s="25"/>
      <c r="Y611" s="22" t="str">
        <f t="shared" si="49"/>
        <v/>
      </c>
      <c r="Z611" s="25"/>
      <c r="AA611" s="25"/>
      <c r="AB611" s="25"/>
      <c r="AC611" s="25"/>
      <c r="AD611" s="25"/>
      <c r="AE611" s="25"/>
      <c r="AF611" s="25"/>
      <c r="AG611" s="9"/>
      <c r="AH611" s="29"/>
      <c r="AI611" s="29"/>
      <c r="AM611" s="50"/>
      <c r="AN611" s="51" t="s">
        <v>3835</v>
      </c>
      <c r="AO611" s="55" t="s">
        <v>1214</v>
      </c>
    </row>
    <row r="612" spans="1:41" ht="68.400000000000006" customHeight="1" x14ac:dyDescent="0.3">
      <c r="A612" s="20">
        <v>608</v>
      </c>
      <c r="B612" s="8" t="s">
        <v>3638</v>
      </c>
      <c r="C612" s="26">
        <v>2022</v>
      </c>
      <c r="D612" s="8"/>
      <c r="E612" s="8" t="s">
        <v>1217</v>
      </c>
      <c r="F612" s="20" t="s">
        <v>1969</v>
      </c>
      <c r="G612" s="21" t="s">
        <v>1968</v>
      </c>
      <c r="H612" s="21" t="s">
        <v>1968</v>
      </c>
      <c r="I612" s="21" t="s">
        <v>1968</v>
      </c>
      <c r="J612" s="21" t="s">
        <v>1968</v>
      </c>
      <c r="K612" s="21" t="s">
        <v>1968</v>
      </c>
      <c r="L612" s="22" t="str">
        <f t="shared" si="45"/>
        <v>INCLUDE</v>
      </c>
      <c r="M612" s="22" t="str">
        <f t="shared" si="46"/>
        <v/>
      </c>
      <c r="N612" s="23" t="s">
        <v>1968</v>
      </c>
      <c r="O612" s="23" t="s">
        <v>1968</v>
      </c>
      <c r="P612" s="24" t="s">
        <v>1968</v>
      </c>
      <c r="Q612" s="24" t="s">
        <v>1968</v>
      </c>
      <c r="R612" s="24" t="s">
        <v>1968</v>
      </c>
      <c r="S612" s="22" t="str">
        <f t="shared" si="47"/>
        <v>INCLUDE</v>
      </c>
      <c r="T612" s="22" t="str">
        <f t="shared" si="48"/>
        <v/>
      </c>
      <c r="U612" s="25" t="s">
        <v>1982</v>
      </c>
      <c r="V612" s="25">
        <v>0</v>
      </c>
      <c r="W612" s="25">
        <v>0</v>
      </c>
      <c r="X612" s="25">
        <v>1</v>
      </c>
      <c r="Y612" s="22" t="str">
        <f t="shared" si="49"/>
        <v>Single</v>
      </c>
      <c r="Z612" s="25" t="s">
        <v>1922</v>
      </c>
      <c r="AA612" s="25" t="s">
        <v>1972</v>
      </c>
      <c r="AB612" s="25" t="s">
        <v>2018</v>
      </c>
      <c r="AC612" s="25" t="s">
        <v>1986</v>
      </c>
      <c r="AD612" s="25" t="s">
        <v>2003</v>
      </c>
      <c r="AE612" s="25">
        <v>4</v>
      </c>
      <c r="AF612" s="25" t="s">
        <v>2010</v>
      </c>
      <c r="AG612" s="9" t="s">
        <v>3836</v>
      </c>
      <c r="AH612" s="29" t="s">
        <v>3837</v>
      </c>
      <c r="AI612" s="29" t="s">
        <v>3838</v>
      </c>
      <c r="AJ612" t="s">
        <v>1997</v>
      </c>
      <c r="AK612" t="s">
        <v>3839</v>
      </c>
      <c r="AL612" t="s">
        <v>1990</v>
      </c>
      <c r="AM612" s="50"/>
      <c r="AN612" s="51" t="s">
        <v>3840</v>
      </c>
      <c r="AO612" s="55" t="s">
        <v>1216</v>
      </c>
    </row>
    <row r="613" spans="1:41" ht="68.400000000000006" customHeight="1" x14ac:dyDescent="0.3">
      <c r="A613" s="20">
        <v>609</v>
      </c>
      <c r="B613" s="8" t="s">
        <v>3841</v>
      </c>
      <c r="C613" s="26">
        <v>2024</v>
      </c>
      <c r="D613" s="8"/>
      <c r="E613" s="8" t="s">
        <v>1219</v>
      </c>
      <c r="F613" s="20" t="s">
        <v>1969</v>
      </c>
      <c r="G613" s="21" t="s">
        <v>1968</v>
      </c>
      <c r="H613" s="21" t="s">
        <v>1968</v>
      </c>
      <c r="I613" s="21" t="s">
        <v>1979</v>
      </c>
      <c r="J613" s="21" t="s">
        <v>1968</v>
      </c>
      <c r="K613" s="21" t="s">
        <v>1968</v>
      </c>
      <c r="L613" s="22" t="str">
        <f t="shared" si="45"/>
        <v>EXCLUDE</v>
      </c>
      <c r="M613" s="22" t="str">
        <f t="shared" si="46"/>
        <v>No Design for Safety / PtD focus</v>
      </c>
      <c r="N613" s="23"/>
      <c r="O613" s="23"/>
      <c r="P613" s="24"/>
      <c r="Q613" s="24"/>
      <c r="R613" s="24"/>
      <c r="S613" s="22" t="str">
        <f t="shared" si="47"/>
        <v/>
      </c>
      <c r="T613" s="22" t="str">
        <f t="shared" si="48"/>
        <v/>
      </c>
      <c r="U613" s="25"/>
      <c r="V613" s="25"/>
      <c r="W613" s="25"/>
      <c r="X613" s="25"/>
      <c r="Y613" s="22" t="str">
        <f t="shared" si="49"/>
        <v/>
      </c>
      <c r="Z613" s="25"/>
      <c r="AA613" s="25"/>
      <c r="AB613" s="25"/>
      <c r="AC613" s="25"/>
      <c r="AD613" s="25"/>
      <c r="AE613" s="25"/>
      <c r="AF613" s="25"/>
      <c r="AG613" s="9"/>
      <c r="AH613" s="29"/>
      <c r="AI613" s="29"/>
      <c r="AM613" s="50"/>
      <c r="AN613" s="51" t="s">
        <v>3842</v>
      </c>
      <c r="AO613" s="55" t="s">
        <v>1218</v>
      </c>
    </row>
    <row r="614" spans="1:41" ht="57" customHeight="1" x14ac:dyDescent="0.3">
      <c r="A614" s="20">
        <v>610</v>
      </c>
      <c r="B614" s="8" t="s">
        <v>3843</v>
      </c>
      <c r="C614" s="26">
        <v>2023</v>
      </c>
      <c r="D614" s="8"/>
      <c r="E614" s="8" t="s">
        <v>1221</v>
      </c>
      <c r="F614" s="20" t="s">
        <v>1969</v>
      </c>
      <c r="G614" s="21" t="s">
        <v>1979</v>
      </c>
      <c r="H614" s="21" t="s">
        <v>1968</v>
      </c>
      <c r="I614" s="21" t="s">
        <v>1968</v>
      </c>
      <c r="J614" s="21" t="s">
        <v>1968</v>
      </c>
      <c r="K614" s="21" t="s">
        <v>1968</v>
      </c>
      <c r="L614" s="22" t="str">
        <f t="shared" si="45"/>
        <v>EXCLUDE</v>
      </c>
      <c r="M614" s="22" t="str">
        <f t="shared" si="46"/>
        <v>Wrong domain (non-AECO)</v>
      </c>
      <c r="N614" s="23"/>
      <c r="O614" s="23"/>
      <c r="P614" s="24"/>
      <c r="Q614" s="24"/>
      <c r="R614" s="24"/>
      <c r="S614" s="22" t="str">
        <f t="shared" si="47"/>
        <v/>
      </c>
      <c r="T614" s="22" t="str">
        <f t="shared" si="48"/>
        <v/>
      </c>
      <c r="U614" s="25"/>
      <c r="V614" s="25"/>
      <c r="W614" s="25"/>
      <c r="X614" s="25"/>
      <c r="Y614" s="22" t="str">
        <f t="shared" si="49"/>
        <v/>
      </c>
      <c r="Z614" s="25"/>
      <c r="AA614" s="25"/>
      <c r="AB614" s="25"/>
      <c r="AC614" s="25"/>
      <c r="AD614" s="25"/>
      <c r="AE614" s="25"/>
      <c r="AF614" s="25"/>
      <c r="AG614" s="9"/>
      <c r="AH614" s="29"/>
      <c r="AI614" s="29"/>
      <c r="AM614" s="50"/>
      <c r="AN614" s="51" t="s">
        <v>3844</v>
      </c>
      <c r="AO614" s="55" t="s">
        <v>1220</v>
      </c>
    </row>
    <row r="615" spans="1:41" ht="79.8" customHeight="1" x14ac:dyDescent="0.3">
      <c r="A615" s="20">
        <v>611</v>
      </c>
      <c r="B615" s="8" t="s">
        <v>3845</v>
      </c>
      <c r="C615" s="26">
        <v>2024</v>
      </c>
      <c r="D615" s="8"/>
      <c r="E615" s="8" t="s">
        <v>1223</v>
      </c>
      <c r="F615" s="20" t="s">
        <v>1969</v>
      </c>
      <c r="G615" s="21" t="s">
        <v>1979</v>
      </c>
      <c r="H615" s="21" t="s">
        <v>1968</v>
      </c>
      <c r="I615" s="21" t="s">
        <v>1968</v>
      </c>
      <c r="J615" s="21" t="s">
        <v>1968</v>
      </c>
      <c r="K615" s="21" t="s">
        <v>1968</v>
      </c>
      <c r="L615" s="22" t="str">
        <f t="shared" si="45"/>
        <v>EXCLUDE</v>
      </c>
      <c r="M615" s="22" t="str">
        <f t="shared" si="46"/>
        <v>Wrong domain (non-AECO)</v>
      </c>
      <c r="N615" s="23"/>
      <c r="O615" s="23"/>
      <c r="P615" s="24"/>
      <c r="Q615" s="24"/>
      <c r="R615" s="24"/>
      <c r="S615" s="22" t="str">
        <f t="shared" si="47"/>
        <v/>
      </c>
      <c r="T615" s="22" t="str">
        <f t="shared" si="48"/>
        <v/>
      </c>
      <c r="U615" s="25"/>
      <c r="V615" s="25"/>
      <c r="W615" s="25"/>
      <c r="X615" s="25"/>
      <c r="Y615" s="22" t="str">
        <f t="shared" si="49"/>
        <v/>
      </c>
      <c r="Z615" s="25"/>
      <c r="AA615" s="25"/>
      <c r="AB615" s="25"/>
      <c r="AC615" s="25"/>
      <c r="AD615" s="25"/>
      <c r="AE615" s="25"/>
      <c r="AF615" s="25"/>
      <c r="AG615" s="9"/>
      <c r="AH615" s="29"/>
      <c r="AI615" s="29"/>
      <c r="AM615" s="50"/>
      <c r="AN615" s="51" t="s">
        <v>3846</v>
      </c>
      <c r="AO615" s="55" t="s">
        <v>1222</v>
      </c>
    </row>
    <row r="616" spans="1:41" ht="91.2" customHeight="1" x14ac:dyDescent="0.3">
      <c r="A616" s="20">
        <v>612</v>
      </c>
      <c r="B616" s="8" t="s">
        <v>3847</v>
      </c>
      <c r="C616" s="26">
        <v>2024</v>
      </c>
      <c r="D616" s="8"/>
      <c r="E616" s="8" t="s">
        <v>1225</v>
      </c>
      <c r="F616" s="20" t="s">
        <v>1969</v>
      </c>
      <c r="G616" s="21" t="s">
        <v>1968</v>
      </c>
      <c r="H616" s="21" t="s">
        <v>1968</v>
      </c>
      <c r="I616" s="21" t="s">
        <v>1968</v>
      </c>
      <c r="J616" s="21" t="s">
        <v>1968</v>
      </c>
      <c r="K616" s="21" t="s">
        <v>1968</v>
      </c>
      <c r="L616" s="22" t="str">
        <f t="shared" si="45"/>
        <v>INCLUDE</v>
      </c>
      <c r="M616" s="22" t="str">
        <f t="shared" si="46"/>
        <v/>
      </c>
      <c r="N616" s="23" t="s">
        <v>1968</v>
      </c>
      <c r="O616" s="23" t="s">
        <v>1968</v>
      </c>
      <c r="P616" s="24" t="s">
        <v>1979</v>
      </c>
      <c r="Q616" s="24" t="s">
        <v>1968</v>
      </c>
      <c r="R616" s="24" t="s">
        <v>1979</v>
      </c>
      <c r="S616" s="22" t="str">
        <f t="shared" si="47"/>
        <v>EXCLUDE</v>
      </c>
      <c r="T616" s="22" t="str">
        <f t="shared" si="48"/>
        <v>Digital Twin mentioned only, not the subject</v>
      </c>
      <c r="U616" s="25"/>
      <c r="V616" s="25"/>
      <c r="W616" s="25"/>
      <c r="X616" s="25"/>
      <c r="Y616" s="22" t="str">
        <f t="shared" si="49"/>
        <v/>
      </c>
      <c r="Z616" s="25"/>
      <c r="AA616" s="25"/>
      <c r="AB616" s="25"/>
      <c r="AC616" s="25"/>
      <c r="AD616" s="25"/>
      <c r="AE616" s="25"/>
      <c r="AF616" s="25"/>
      <c r="AG616" s="9" t="s">
        <v>3848</v>
      </c>
      <c r="AH616" s="29"/>
      <c r="AI616" s="29"/>
      <c r="AM616" s="50"/>
      <c r="AN616" s="51" t="s">
        <v>3849</v>
      </c>
      <c r="AO616" s="55" t="s">
        <v>1224</v>
      </c>
    </row>
    <row r="617" spans="1:41" ht="34.200000000000003" customHeight="1" x14ac:dyDescent="0.3">
      <c r="A617" s="20">
        <v>613</v>
      </c>
      <c r="B617" s="8" t="s">
        <v>3850</v>
      </c>
      <c r="C617" s="26">
        <v>2024</v>
      </c>
      <c r="D617" s="8"/>
      <c r="E617" s="8" t="s">
        <v>1227</v>
      </c>
      <c r="F617" s="20" t="s">
        <v>1969</v>
      </c>
      <c r="G617" s="21" t="s">
        <v>1968</v>
      </c>
      <c r="H617" s="21" t="s">
        <v>1979</v>
      </c>
      <c r="I617" s="21" t="s">
        <v>1979</v>
      </c>
      <c r="J617" s="21" t="s">
        <v>1968</v>
      </c>
      <c r="K617" s="21" t="s">
        <v>1968</v>
      </c>
      <c r="L617" s="22" t="str">
        <f t="shared" si="45"/>
        <v>EXCLUDE</v>
      </c>
      <c r="M617" s="22" t="str">
        <f t="shared" si="46"/>
        <v>Digital Twin not core / buzzword</v>
      </c>
      <c r="N617" s="23"/>
      <c r="O617" s="23"/>
      <c r="P617" s="24"/>
      <c r="Q617" s="24"/>
      <c r="R617" s="24"/>
      <c r="S617" s="22" t="str">
        <f t="shared" si="47"/>
        <v/>
      </c>
      <c r="T617" s="22" t="str">
        <f t="shared" si="48"/>
        <v/>
      </c>
      <c r="U617" s="25"/>
      <c r="V617" s="25"/>
      <c r="W617" s="25"/>
      <c r="X617" s="25"/>
      <c r="Y617" s="22" t="str">
        <f t="shared" si="49"/>
        <v/>
      </c>
      <c r="Z617" s="25"/>
      <c r="AA617" s="25"/>
      <c r="AB617" s="25"/>
      <c r="AC617" s="25"/>
      <c r="AD617" s="25"/>
      <c r="AE617" s="25"/>
      <c r="AF617" s="25"/>
      <c r="AG617" s="9"/>
      <c r="AH617" s="29"/>
      <c r="AI617" s="29"/>
      <c r="AM617" s="50"/>
      <c r="AN617" s="51" t="s">
        <v>3851</v>
      </c>
      <c r="AO617" s="55" t="s">
        <v>1226</v>
      </c>
    </row>
    <row r="618" spans="1:41" ht="34.200000000000003" customHeight="1" x14ac:dyDescent="0.3">
      <c r="A618" s="20">
        <v>614</v>
      </c>
      <c r="B618" s="8" t="s">
        <v>3852</v>
      </c>
      <c r="C618" s="26">
        <v>2024</v>
      </c>
      <c r="D618" s="8"/>
      <c r="E618" s="8" t="s">
        <v>1229</v>
      </c>
      <c r="F618" s="20" t="s">
        <v>1969</v>
      </c>
      <c r="G618" s="21" t="s">
        <v>1979</v>
      </c>
      <c r="H618" s="21" t="s">
        <v>1968</v>
      </c>
      <c r="I618" s="21" t="s">
        <v>1968</v>
      </c>
      <c r="J618" s="21" t="s">
        <v>1968</v>
      </c>
      <c r="K618" s="21" t="s">
        <v>1968</v>
      </c>
      <c r="L618" s="22" t="str">
        <f t="shared" si="45"/>
        <v>EXCLUDE</v>
      </c>
      <c r="M618" s="22" t="str">
        <f t="shared" si="46"/>
        <v>Wrong domain (non-AECO)</v>
      </c>
      <c r="N618" s="23"/>
      <c r="O618" s="23"/>
      <c r="P618" s="24"/>
      <c r="Q618" s="24"/>
      <c r="R618" s="24"/>
      <c r="S618" s="22" t="str">
        <f t="shared" si="47"/>
        <v/>
      </c>
      <c r="T618" s="22" t="str">
        <f t="shared" si="48"/>
        <v/>
      </c>
      <c r="U618" s="25"/>
      <c r="V618" s="25"/>
      <c r="W618" s="25"/>
      <c r="X618" s="25"/>
      <c r="Y618" s="22" t="str">
        <f t="shared" si="49"/>
        <v/>
      </c>
      <c r="Z618" s="25"/>
      <c r="AA618" s="25"/>
      <c r="AB618" s="25"/>
      <c r="AC618" s="25"/>
      <c r="AD618" s="25"/>
      <c r="AE618" s="25"/>
      <c r="AF618" s="25"/>
      <c r="AG618" s="9"/>
      <c r="AH618" s="29"/>
      <c r="AI618" s="29"/>
      <c r="AM618" s="50"/>
      <c r="AN618" s="51" t="s">
        <v>3853</v>
      </c>
      <c r="AO618" s="55" t="s">
        <v>1228</v>
      </c>
    </row>
    <row r="619" spans="1:41" ht="57" customHeight="1" x14ac:dyDescent="0.3">
      <c r="A619" s="20">
        <v>615</v>
      </c>
      <c r="B619" s="8" t="s">
        <v>3854</v>
      </c>
      <c r="C619" s="26">
        <v>2023</v>
      </c>
      <c r="D619" s="8"/>
      <c r="E619" s="8" t="s">
        <v>1231</v>
      </c>
      <c r="F619" s="20" t="s">
        <v>1969</v>
      </c>
      <c r="G619" s="21" t="s">
        <v>1979</v>
      </c>
      <c r="H619" s="21" t="s">
        <v>1968</v>
      </c>
      <c r="I619" s="21" t="s">
        <v>1968</v>
      </c>
      <c r="J619" s="21" t="s">
        <v>1968</v>
      </c>
      <c r="K619" s="21" t="s">
        <v>1968</v>
      </c>
      <c r="L619" s="22" t="str">
        <f t="shared" si="45"/>
        <v>EXCLUDE</v>
      </c>
      <c r="M619" s="22" t="str">
        <f t="shared" si="46"/>
        <v>Wrong domain (non-AECO)</v>
      </c>
      <c r="N619" s="23"/>
      <c r="O619" s="23"/>
      <c r="P619" s="24"/>
      <c r="Q619" s="24"/>
      <c r="R619" s="24"/>
      <c r="S619" s="22" t="str">
        <f t="shared" si="47"/>
        <v/>
      </c>
      <c r="T619" s="22" t="str">
        <f t="shared" si="48"/>
        <v/>
      </c>
      <c r="U619" s="25"/>
      <c r="V619" s="25"/>
      <c r="W619" s="25"/>
      <c r="X619" s="25"/>
      <c r="Y619" s="22" t="str">
        <f t="shared" si="49"/>
        <v/>
      </c>
      <c r="Z619" s="25"/>
      <c r="AA619" s="25"/>
      <c r="AB619" s="25"/>
      <c r="AC619" s="25"/>
      <c r="AD619" s="25"/>
      <c r="AE619" s="25"/>
      <c r="AF619" s="25"/>
      <c r="AG619" s="9"/>
      <c r="AH619" s="29"/>
      <c r="AI619" s="29"/>
      <c r="AM619" s="50"/>
      <c r="AN619" s="51" t="s">
        <v>3855</v>
      </c>
      <c r="AO619" s="55" t="s">
        <v>1230</v>
      </c>
    </row>
    <row r="620" spans="1:41" ht="114" customHeight="1" x14ac:dyDescent="0.3">
      <c r="A620" s="20">
        <v>616</v>
      </c>
      <c r="B620" s="8" t="s">
        <v>3856</v>
      </c>
      <c r="C620" s="26">
        <v>2024</v>
      </c>
      <c r="D620" s="8"/>
      <c r="E620" s="8" t="s">
        <v>1233</v>
      </c>
      <c r="F620" s="20" t="s">
        <v>1969</v>
      </c>
      <c r="G620" s="21" t="s">
        <v>1968</v>
      </c>
      <c r="H620" s="21" t="s">
        <v>1968</v>
      </c>
      <c r="I620" s="21" t="s">
        <v>1968</v>
      </c>
      <c r="J620" s="21" t="s">
        <v>1968</v>
      </c>
      <c r="K620" s="21" t="s">
        <v>1968</v>
      </c>
      <c r="L620" s="22" t="str">
        <f t="shared" si="45"/>
        <v>INCLUDE</v>
      </c>
      <c r="M620" s="22" t="str">
        <f t="shared" si="46"/>
        <v/>
      </c>
      <c r="N620" s="23" t="s">
        <v>1968</v>
      </c>
      <c r="O620" s="23" t="s">
        <v>1968</v>
      </c>
      <c r="P620" s="24" t="s">
        <v>1968</v>
      </c>
      <c r="Q620" s="24" t="s">
        <v>1968</v>
      </c>
      <c r="R620" s="24" t="s">
        <v>1968</v>
      </c>
      <c r="S620" s="22" t="str">
        <f t="shared" si="47"/>
        <v>INCLUDE</v>
      </c>
      <c r="T620" s="22" t="str">
        <f t="shared" si="48"/>
        <v/>
      </c>
      <c r="U620" s="25" t="s">
        <v>1971</v>
      </c>
      <c r="V620" s="25">
        <v>0</v>
      </c>
      <c r="W620" s="25">
        <v>1</v>
      </c>
      <c r="X620" s="25">
        <v>0</v>
      </c>
      <c r="Y620" s="22" t="str">
        <f t="shared" si="49"/>
        <v>Single</v>
      </c>
      <c r="Z620" s="25" t="s">
        <v>1922</v>
      </c>
      <c r="AA620" s="25" t="s">
        <v>1984</v>
      </c>
      <c r="AB620" s="25" t="s">
        <v>2018</v>
      </c>
      <c r="AC620" s="25" t="s">
        <v>1986</v>
      </c>
      <c r="AD620" s="25" t="s">
        <v>1987</v>
      </c>
      <c r="AE620" s="25">
        <v>2</v>
      </c>
      <c r="AF620" s="25" t="s">
        <v>2004</v>
      </c>
      <c r="AG620" s="9" t="s">
        <v>3857</v>
      </c>
      <c r="AH620" s="29" t="s">
        <v>3858</v>
      </c>
      <c r="AI620" s="29" t="s">
        <v>3859</v>
      </c>
      <c r="AJ620" t="s">
        <v>2005</v>
      </c>
      <c r="AK620" t="s">
        <v>3860</v>
      </c>
      <c r="AL620" t="s">
        <v>1998</v>
      </c>
      <c r="AM620" s="50" t="s">
        <v>2098</v>
      </c>
      <c r="AN620" s="51" t="s">
        <v>3861</v>
      </c>
      <c r="AO620" s="55" t="s">
        <v>1232</v>
      </c>
    </row>
    <row r="621" spans="1:41" ht="68.400000000000006" customHeight="1" x14ac:dyDescent="0.3">
      <c r="A621" s="20">
        <v>617</v>
      </c>
      <c r="B621" s="8" t="s">
        <v>3862</v>
      </c>
      <c r="C621" s="26">
        <v>2023</v>
      </c>
      <c r="D621" s="8"/>
      <c r="E621" s="8" t="s">
        <v>1235</v>
      </c>
      <c r="F621" s="20" t="s">
        <v>1969</v>
      </c>
      <c r="G621" s="21" t="s">
        <v>1979</v>
      </c>
      <c r="H621" s="21" t="s">
        <v>1968</v>
      </c>
      <c r="I621" s="21" t="s">
        <v>1968</v>
      </c>
      <c r="J621" s="21" t="s">
        <v>1968</v>
      </c>
      <c r="K621" s="21" t="s">
        <v>1968</v>
      </c>
      <c r="L621" s="22" t="str">
        <f t="shared" si="45"/>
        <v>EXCLUDE</v>
      </c>
      <c r="M621" s="22" t="str">
        <f t="shared" si="46"/>
        <v>Wrong domain (non-AECO)</v>
      </c>
      <c r="N621" s="23"/>
      <c r="O621" s="23"/>
      <c r="P621" s="24"/>
      <c r="Q621" s="24"/>
      <c r="R621" s="24"/>
      <c r="S621" s="22" t="str">
        <f t="shared" si="47"/>
        <v/>
      </c>
      <c r="T621" s="22" t="str">
        <f t="shared" si="48"/>
        <v/>
      </c>
      <c r="U621" s="25"/>
      <c r="V621" s="25"/>
      <c r="W621" s="25"/>
      <c r="X621" s="25"/>
      <c r="Y621" s="22" t="str">
        <f t="shared" si="49"/>
        <v/>
      </c>
      <c r="Z621" s="25"/>
      <c r="AA621" s="25"/>
      <c r="AB621" s="25"/>
      <c r="AC621" s="25"/>
      <c r="AD621" s="25"/>
      <c r="AE621" s="25"/>
      <c r="AF621" s="25"/>
      <c r="AG621" s="9"/>
      <c r="AH621" s="29"/>
      <c r="AI621" s="29"/>
      <c r="AM621" s="50"/>
      <c r="AN621" s="51" t="s">
        <v>3863</v>
      </c>
      <c r="AO621" s="55" t="s">
        <v>1234</v>
      </c>
    </row>
    <row r="622" spans="1:41" ht="34.200000000000003" customHeight="1" x14ac:dyDescent="0.3">
      <c r="A622" s="20">
        <v>618</v>
      </c>
      <c r="B622" s="8" t="s">
        <v>3864</v>
      </c>
      <c r="C622" s="26">
        <v>2023</v>
      </c>
      <c r="D622" s="8"/>
      <c r="E622" s="8" t="s">
        <v>1237</v>
      </c>
      <c r="F622" s="20" t="s">
        <v>1969</v>
      </c>
      <c r="G622" s="21" t="s">
        <v>1979</v>
      </c>
      <c r="H622" s="21" t="s">
        <v>1968</v>
      </c>
      <c r="I622" s="21" t="s">
        <v>1968</v>
      </c>
      <c r="J622" s="21" t="s">
        <v>1968</v>
      </c>
      <c r="K622" s="21" t="s">
        <v>1968</v>
      </c>
      <c r="L622" s="22" t="str">
        <f t="shared" si="45"/>
        <v>EXCLUDE</v>
      </c>
      <c r="M622" s="22" t="str">
        <f t="shared" si="46"/>
        <v>Wrong domain (non-AECO)</v>
      </c>
      <c r="N622" s="23"/>
      <c r="O622" s="23"/>
      <c r="P622" s="24"/>
      <c r="Q622" s="24"/>
      <c r="R622" s="24"/>
      <c r="S622" s="22" t="str">
        <f t="shared" si="47"/>
        <v/>
      </c>
      <c r="T622" s="22" t="str">
        <f t="shared" si="48"/>
        <v/>
      </c>
      <c r="U622" s="25"/>
      <c r="V622" s="25"/>
      <c r="W622" s="25"/>
      <c r="X622" s="25"/>
      <c r="Y622" s="22" t="str">
        <f t="shared" si="49"/>
        <v/>
      </c>
      <c r="Z622" s="25"/>
      <c r="AA622" s="25"/>
      <c r="AB622" s="25"/>
      <c r="AC622" s="25"/>
      <c r="AD622" s="25"/>
      <c r="AE622" s="25"/>
      <c r="AF622" s="25"/>
      <c r="AG622" s="9"/>
      <c r="AH622" s="29"/>
      <c r="AI622" s="29"/>
      <c r="AM622" s="50"/>
      <c r="AN622" s="51" t="s">
        <v>3865</v>
      </c>
      <c r="AO622" s="55" t="s">
        <v>1236</v>
      </c>
    </row>
    <row r="623" spans="1:41" ht="57" customHeight="1" x14ac:dyDescent="0.3">
      <c r="A623" s="20">
        <v>619</v>
      </c>
      <c r="B623" s="8" t="s">
        <v>3009</v>
      </c>
      <c r="C623" s="26">
        <v>2025</v>
      </c>
      <c r="D623" s="8"/>
      <c r="E623" s="8" t="s">
        <v>1239</v>
      </c>
      <c r="F623" s="20" t="s">
        <v>1969</v>
      </c>
      <c r="G623" s="21" t="s">
        <v>1979</v>
      </c>
      <c r="H623" s="21" t="s">
        <v>1968</v>
      </c>
      <c r="I623" s="21" t="s">
        <v>1968</v>
      </c>
      <c r="J623" s="21" t="s">
        <v>1968</v>
      </c>
      <c r="K623" s="21" t="s">
        <v>1968</v>
      </c>
      <c r="L623" s="22" t="str">
        <f t="shared" si="45"/>
        <v>EXCLUDE</v>
      </c>
      <c r="M623" s="22" t="str">
        <f t="shared" si="46"/>
        <v>Wrong domain (non-AECO)</v>
      </c>
      <c r="N623" s="23"/>
      <c r="O623" s="23"/>
      <c r="P623" s="24"/>
      <c r="Q623" s="24"/>
      <c r="R623" s="24"/>
      <c r="S623" s="22" t="str">
        <f t="shared" si="47"/>
        <v/>
      </c>
      <c r="T623" s="22" t="str">
        <f t="shared" si="48"/>
        <v/>
      </c>
      <c r="U623" s="25"/>
      <c r="V623" s="25"/>
      <c r="W623" s="25"/>
      <c r="X623" s="25"/>
      <c r="Y623" s="22" t="str">
        <f t="shared" si="49"/>
        <v/>
      </c>
      <c r="Z623" s="25"/>
      <c r="AA623" s="25"/>
      <c r="AB623" s="25"/>
      <c r="AC623" s="25"/>
      <c r="AD623" s="25"/>
      <c r="AE623" s="25"/>
      <c r="AF623" s="25"/>
      <c r="AG623" s="9"/>
      <c r="AH623" s="29"/>
      <c r="AI623" s="29"/>
      <c r="AM623" s="50"/>
      <c r="AN623" s="51" t="s">
        <v>3866</v>
      </c>
      <c r="AO623" s="55" t="s">
        <v>1238</v>
      </c>
    </row>
    <row r="624" spans="1:41" ht="57" customHeight="1" x14ac:dyDescent="0.3">
      <c r="A624" s="20">
        <v>620</v>
      </c>
      <c r="B624" s="8" t="s">
        <v>3867</v>
      </c>
      <c r="C624" s="26">
        <v>2024</v>
      </c>
      <c r="D624" s="8"/>
      <c r="E624" s="8" t="s">
        <v>1241</v>
      </c>
      <c r="F624" s="20" t="s">
        <v>1969</v>
      </c>
      <c r="G624" s="21" t="s">
        <v>1968</v>
      </c>
      <c r="H624" s="21" t="s">
        <v>1979</v>
      </c>
      <c r="I624" s="21" t="s">
        <v>1979</v>
      </c>
      <c r="J624" s="21" t="s">
        <v>1968</v>
      </c>
      <c r="K624" s="21" t="s">
        <v>1968</v>
      </c>
      <c r="L624" s="22" t="str">
        <f t="shared" si="45"/>
        <v>EXCLUDE</v>
      </c>
      <c r="M624" s="22" t="str">
        <f t="shared" si="46"/>
        <v>Digital Twin not core / buzzword</v>
      </c>
      <c r="N624" s="23"/>
      <c r="O624" s="23"/>
      <c r="P624" s="24"/>
      <c r="Q624" s="24"/>
      <c r="R624" s="24"/>
      <c r="S624" s="22" t="str">
        <f t="shared" si="47"/>
        <v/>
      </c>
      <c r="T624" s="22" t="str">
        <f t="shared" si="48"/>
        <v/>
      </c>
      <c r="U624" s="25"/>
      <c r="V624" s="25"/>
      <c r="W624" s="25"/>
      <c r="X624" s="25"/>
      <c r="Y624" s="22" t="str">
        <f t="shared" si="49"/>
        <v/>
      </c>
      <c r="Z624" s="25"/>
      <c r="AA624" s="25"/>
      <c r="AB624" s="25"/>
      <c r="AC624" s="25"/>
      <c r="AD624" s="25"/>
      <c r="AE624" s="25"/>
      <c r="AF624" s="25"/>
      <c r="AG624" s="9"/>
      <c r="AH624" s="29"/>
      <c r="AI624" s="29"/>
      <c r="AM624" s="50"/>
      <c r="AN624" s="51" t="s">
        <v>3868</v>
      </c>
      <c r="AO624" s="55" t="s">
        <v>1240</v>
      </c>
    </row>
    <row r="625" spans="1:41" ht="91.2" customHeight="1" x14ac:dyDescent="0.3">
      <c r="A625" s="20">
        <v>621</v>
      </c>
      <c r="B625" s="8" t="s">
        <v>3869</v>
      </c>
      <c r="C625" s="26">
        <v>2024</v>
      </c>
      <c r="D625" s="8"/>
      <c r="E625" s="8" t="s">
        <v>1243</v>
      </c>
      <c r="F625" s="20" t="s">
        <v>1969</v>
      </c>
      <c r="G625" s="21" t="s">
        <v>1968</v>
      </c>
      <c r="H625" s="21" t="s">
        <v>1968</v>
      </c>
      <c r="I625" s="21" t="s">
        <v>1968</v>
      </c>
      <c r="J625" s="21" t="s">
        <v>1968</v>
      </c>
      <c r="K625" s="21" t="s">
        <v>1968</v>
      </c>
      <c r="L625" s="22" t="str">
        <f t="shared" si="45"/>
        <v>INCLUDE</v>
      </c>
      <c r="M625" s="22" t="str">
        <f t="shared" si="46"/>
        <v/>
      </c>
      <c r="N625" s="23" t="s">
        <v>1968</v>
      </c>
      <c r="O625" s="23" t="s">
        <v>1968</v>
      </c>
      <c r="P625" s="24" t="s">
        <v>1968</v>
      </c>
      <c r="Q625" s="24" t="s">
        <v>1968</v>
      </c>
      <c r="R625" s="24" t="s">
        <v>1968</v>
      </c>
      <c r="S625" s="22" t="str">
        <f t="shared" si="47"/>
        <v>INCLUDE</v>
      </c>
      <c r="T625" s="22" t="str">
        <f t="shared" si="48"/>
        <v/>
      </c>
      <c r="U625" s="25" t="s">
        <v>1992</v>
      </c>
      <c r="V625" s="25">
        <v>0</v>
      </c>
      <c r="W625" s="25">
        <v>1</v>
      </c>
      <c r="X625" s="25">
        <v>0</v>
      </c>
      <c r="Y625" s="22" t="str">
        <f t="shared" si="49"/>
        <v>Single</v>
      </c>
      <c r="Z625" s="25" t="s">
        <v>1922</v>
      </c>
      <c r="AA625" s="25" t="s">
        <v>1972</v>
      </c>
      <c r="AB625" s="25" t="s">
        <v>2017</v>
      </c>
      <c r="AC625" s="25" t="s">
        <v>1986</v>
      </c>
      <c r="AD625" s="25" t="s">
        <v>2009</v>
      </c>
      <c r="AE625" s="25">
        <v>3</v>
      </c>
      <c r="AF625" s="25" t="s">
        <v>1976</v>
      </c>
      <c r="AG625" s="9" t="s">
        <v>3870</v>
      </c>
      <c r="AH625" s="29" t="s">
        <v>3871</v>
      </c>
      <c r="AI625" s="29" t="s">
        <v>3872</v>
      </c>
      <c r="AJ625" t="s">
        <v>1997</v>
      </c>
      <c r="AK625" t="s">
        <v>3873</v>
      </c>
      <c r="AL625" t="s">
        <v>1978</v>
      </c>
      <c r="AM625" s="50"/>
      <c r="AN625" s="51" t="s">
        <v>3874</v>
      </c>
      <c r="AO625" s="55" t="s">
        <v>1242</v>
      </c>
    </row>
    <row r="626" spans="1:41" ht="91.2" customHeight="1" x14ac:dyDescent="0.3">
      <c r="A626" s="20">
        <v>622</v>
      </c>
      <c r="B626" s="8" t="s">
        <v>3875</v>
      </c>
      <c r="C626" s="26">
        <v>2021</v>
      </c>
      <c r="D626" s="8"/>
      <c r="E626" s="8" t="s">
        <v>1245</v>
      </c>
      <c r="F626" s="20" t="s">
        <v>1969</v>
      </c>
      <c r="G626" s="21" t="s">
        <v>1968</v>
      </c>
      <c r="H626" s="21" t="s">
        <v>1968</v>
      </c>
      <c r="I626" s="21" t="s">
        <v>1968</v>
      </c>
      <c r="J626" s="21" t="s">
        <v>1968</v>
      </c>
      <c r="K626" s="21" t="s">
        <v>1968</v>
      </c>
      <c r="L626" s="22" t="str">
        <f t="shared" si="45"/>
        <v>INCLUDE</v>
      </c>
      <c r="M626" s="22" t="str">
        <f t="shared" si="46"/>
        <v/>
      </c>
      <c r="N626" s="23" t="s">
        <v>1968</v>
      </c>
      <c r="O626" s="23" t="s">
        <v>1968</v>
      </c>
      <c r="P626" s="24" t="s">
        <v>1968</v>
      </c>
      <c r="Q626" s="24" t="s">
        <v>1968</v>
      </c>
      <c r="R626" s="24" t="s">
        <v>1968</v>
      </c>
      <c r="S626" s="22" t="str">
        <f t="shared" si="47"/>
        <v>INCLUDE</v>
      </c>
      <c r="T626" s="22" t="str">
        <f t="shared" si="48"/>
        <v/>
      </c>
      <c r="U626" s="25" t="s">
        <v>1971</v>
      </c>
      <c r="V626" s="25">
        <v>0</v>
      </c>
      <c r="W626" s="25">
        <v>0</v>
      </c>
      <c r="X626" s="25">
        <v>1</v>
      </c>
      <c r="Y626" s="22" t="str">
        <f t="shared" si="49"/>
        <v>Single</v>
      </c>
      <c r="Z626" s="25" t="s">
        <v>1922</v>
      </c>
      <c r="AA626" s="25" t="s">
        <v>1972</v>
      </c>
      <c r="AB626" s="25" t="s">
        <v>2017</v>
      </c>
      <c r="AC626" s="25" t="s">
        <v>1986</v>
      </c>
      <c r="AD626" s="25" t="s">
        <v>2003</v>
      </c>
      <c r="AE626" s="25">
        <v>4</v>
      </c>
      <c r="AF626" s="25" t="s">
        <v>2010</v>
      </c>
      <c r="AG626" s="9" t="s">
        <v>3876</v>
      </c>
      <c r="AH626" s="29" t="s">
        <v>3877</v>
      </c>
      <c r="AI626" s="29" t="s">
        <v>3878</v>
      </c>
      <c r="AJ626" t="s">
        <v>2005</v>
      </c>
      <c r="AK626" t="s">
        <v>3879</v>
      </c>
      <c r="AL626" t="s">
        <v>1990</v>
      </c>
      <c r="AM626" s="50"/>
      <c r="AN626" s="51" t="s">
        <v>3880</v>
      </c>
      <c r="AO626" s="55" t="s">
        <v>1244</v>
      </c>
    </row>
    <row r="627" spans="1:41" ht="91.2" customHeight="1" x14ac:dyDescent="0.3">
      <c r="A627" s="20">
        <v>623</v>
      </c>
      <c r="B627" s="8" t="s">
        <v>3881</v>
      </c>
      <c r="C627" s="26">
        <v>2024</v>
      </c>
      <c r="D627" s="8"/>
      <c r="E627" s="8" t="s">
        <v>1247</v>
      </c>
      <c r="F627" s="20" t="s">
        <v>1969</v>
      </c>
      <c r="G627" s="21" t="s">
        <v>1979</v>
      </c>
      <c r="H627" s="21" t="s">
        <v>1968</v>
      </c>
      <c r="I627" s="21" t="s">
        <v>1968</v>
      </c>
      <c r="J627" s="21" t="s">
        <v>1968</v>
      </c>
      <c r="K627" s="21" t="s">
        <v>1968</v>
      </c>
      <c r="L627" s="22" t="str">
        <f t="shared" si="45"/>
        <v>EXCLUDE</v>
      </c>
      <c r="M627" s="22" t="str">
        <f t="shared" si="46"/>
        <v>Wrong domain (non-AECO)</v>
      </c>
      <c r="N627" s="23"/>
      <c r="O627" s="23"/>
      <c r="P627" s="24"/>
      <c r="Q627" s="24"/>
      <c r="R627" s="24"/>
      <c r="S627" s="22" t="str">
        <f t="shared" si="47"/>
        <v/>
      </c>
      <c r="T627" s="22" t="str">
        <f t="shared" si="48"/>
        <v/>
      </c>
      <c r="U627" s="25"/>
      <c r="V627" s="25"/>
      <c r="W627" s="25"/>
      <c r="X627" s="25"/>
      <c r="Y627" s="22" t="str">
        <f t="shared" si="49"/>
        <v/>
      </c>
      <c r="Z627" s="25"/>
      <c r="AA627" s="25"/>
      <c r="AB627" s="25"/>
      <c r="AC627" s="25"/>
      <c r="AD627" s="25"/>
      <c r="AE627" s="25"/>
      <c r="AF627" s="25"/>
      <c r="AG627" s="9"/>
      <c r="AH627" s="29"/>
      <c r="AI627" s="29"/>
      <c r="AM627" s="50"/>
      <c r="AN627" s="51" t="s">
        <v>3882</v>
      </c>
      <c r="AO627" s="55" t="s">
        <v>1246</v>
      </c>
    </row>
    <row r="628" spans="1:41" ht="91.2" customHeight="1" x14ac:dyDescent="0.3">
      <c r="A628" s="20">
        <v>624</v>
      </c>
      <c r="B628" s="8" t="s">
        <v>3883</v>
      </c>
      <c r="C628" s="26">
        <v>2023</v>
      </c>
      <c r="D628" s="8"/>
      <c r="E628" s="8" t="s">
        <v>1249</v>
      </c>
      <c r="F628" s="20" t="s">
        <v>1969</v>
      </c>
      <c r="G628" s="21" t="s">
        <v>1968</v>
      </c>
      <c r="H628" s="21" t="s">
        <v>1968</v>
      </c>
      <c r="I628" s="21" t="s">
        <v>1968</v>
      </c>
      <c r="J628" s="21" t="s">
        <v>1968</v>
      </c>
      <c r="K628" s="21" t="s">
        <v>1968</v>
      </c>
      <c r="L628" s="22" t="str">
        <f t="shared" si="45"/>
        <v>INCLUDE</v>
      </c>
      <c r="M628" s="22" t="str">
        <f t="shared" si="46"/>
        <v/>
      </c>
      <c r="N628" s="23" t="s">
        <v>1968</v>
      </c>
      <c r="O628" s="23" t="s">
        <v>1968</v>
      </c>
      <c r="P628" s="24" t="s">
        <v>1968</v>
      </c>
      <c r="Q628" s="24" t="s">
        <v>1968</v>
      </c>
      <c r="R628" s="24" t="s">
        <v>1968</v>
      </c>
      <c r="S628" s="22" t="str">
        <f t="shared" si="47"/>
        <v>INCLUDE</v>
      </c>
      <c r="T628" s="22" t="str">
        <f t="shared" si="48"/>
        <v/>
      </c>
      <c r="U628" s="25" t="s">
        <v>1971</v>
      </c>
      <c r="V628" s="25">
        <v>0</v>
      </c>
      <c r="W628" s="25">
        <v>0</v>
      </c>
      <c r="X628" s="25">
        <v>1</v>
      </c>
      <c r="Y628" s="22" t="str">
        <f t="shared" si="49"/>
        <v>Single</v>
      </c>
      <c r="Z628" s="25" t="s">
        <v>1922</v>
      </c>
      <c r="AA628" s="25" t="s">
        <v>1972</v>
      </c>
      <c r="AB628" s="25" t="s">
        <v>2018</v>
      </c>
      <c r="AC628" s="25" t="s">
        <v>1986</v>
      </c>
      <c r="AD628" s="25" t="s">
        <v>2003</v>
      </c>
      <c r="AE628" s="25">
        <v>3</v>
      </c>
      <c r="AF628" s="25" t="s">
        <v>2010</v>
      </c>
      <c r="AG628" s="9" t="s">
        <v>3884</v>
      </c>
      <c r="AH628" s="29" t="s">
        <v>3885</v>
      </c>
      <c r="AI628" s="29" t="s">
        <v>3886</v>
      </c>
      <c r="AJ628" t="s">
        <v>2005</v>
      </c>
      <c r="AK628" t="s">
        <v>3887</v>
      </c>
      <c r="AL628" t="s">
        <v>1990</v>
      </c>
      <c r="AM628" s="50"/>
      <c r="AN628" s="51" t="s">
        <v>3888</v>
      </c>
      <c r="AO628" s="55" t="s">
        <v>1248</v>
      </c>
    </row>
    <row r="629" spans="1:41" ht="79.8" customHeight="1" x14ac:dyDescent="0.3">
      <c r="A629" s="20">
        <v>625</v>
      </c>
      <c r="B629" s="8" t="s">
        <v>3889</v>
      </c>
      <c r="C629" s="26">
        <v>2023</v>
      </c>
      <c r="D629" s="8"/>
      <c r="E629" s="8" t="s">
        <v>1251</v>
      </c>
      <c r="F629" s="20" t="s">
        <v>1969</v>
      </c>
      <c r="G629" s="21" t="s">
        <v>1968</v>
      </c>
      <c r="H629" s="21" t="s">
        <v>1968</v>
      </c>
      <c r="I629" s="21" t="s">
        <v>1968</v>
      </c>
      <c r="J629" s="21" t="s">
        <v>1968</v>
      </c>
      <c r="K629" s="21" t="s">
        <v>1968</v>
      </c>
      <c r="L629" s="22" t="str">
        <f t="shared" si="45"/>
        <v>INCLUDE</v>
      </c>
      <c r="M629" s="22" t="str">
        <f t="shared" si="46"/>
        <v/>
      </c>
      <c r="N629" s="23" t="s">
        <v>1968</v>
      </c>
      <c r="O629" s="23" t="s">
        <v>1968</v>
      </c>
      <c r="P629" s="24" t="s">
        <v>1968</v>
      </c>
      <c r="Q629" s="24" t="s">
        <v>1968</v>
      </c>
      <c r="R629" s="24" t="s">
        <v>1968</v>
      </c>
      <c r="S629" s="22" t="str">
        <f t="shared" si="47"/>
        <v>INCLUDE</v>
      </c>
      <c r="T629" s="22" t="str">
        <f t="shared" si="48"/>
        <v/>
      </c>
      <c r="U629" s="25" t="s">
        <v>1971</v>
      </c>
      <c r="V629" s="25">
        <v>0</v>
      </c>
      <c r="W629" s="25">
        <v>1</v>
      </c>
      <c r="X629" s="25">
        <v>0</v>
      </c>
      <c r="Y629" s="22" t="str">
        <f t="shared" si="49"/>
        <v>Single</v>
      </c>
      <c r="Z629" s="25" t="s">
        <v>1922</v>
      </c>
      <c r="AA629" s="25" t="s">
        <v>1972</v>
      </c>
      <c r="AB629" s="25" t="s">
        <v>2013</v>
      </c>
      <c r="AC629" s="25" t="s">
        <v>1974</v>
      </c>
      <c r="AD629" s="25" t="s">
        <v>1987</v>
      </c>
      <c r="AE629" s="25">
        <v>4</v>
      </c>
      <c r="AF629" s="25" t="s">
        <v>2010</v>
      </c>
      <c r="AG629" s="9" t="s">
        <v>3890</v>
      </c>
      <c r="AH629" s="29" t="s">
        <v>3891</v>
      </c>
      <c r="AI629" s="29" t="s">
        <v>3892</v>
      </c>
      <c r="AJ629" t="s">
        <v>1977</v>
      </c>
      <c r="AK629" t="s">
        <v>3893</v>
      </c>
      <c r="AL629" t="s">
        <v>1978</v>
      </c>
      <c r="AM629" s="50"/>
      <c r="AN629" s="51" t="s">
        <v>3894</v>
      </c>
      <c r="AO629" s="55" t="s">
        <v>1250</v>
      </c>
    </row>
    <row r="630" spans="1:41" ht="34.200000000000003" customHeight="1" x14ac:dyDescent="0.3">
      <c r="A630" s="20">
        <v>626</v>
      </c>
      <c r="B630" s="8" t="s">
        <v>3895</v>
      </c>
      <c r="C630" s="26">
        <v>2023</v>
      </c>
      <c r="D630" s="8"/>
      <c r="E630" s="8" t="s">
        <v>1253</v>
      </c>
      <c r="F630" s="20" t="s">
        <v>1969</v>
      </c>
      <c r="G630" s="21" t="s">
        <v>1979</v>
      </c>
      <c r="H630" s="21" t="s">
        <v>1968</v>
      </c>
      <c r="I630" s="21" t="s">
        <v>1968</v>
      </c>
      <c r="J630" s="21" t="s">
        <v>1968</v>
      </c>
      <c r="K630" s="21" t="s">
        <v>1968</v>
      </c>
      <c r="L630" s="22" t="str">
        <f t="shared" si="45"/>
        <v>EXCLUDE</v>
      </c>
      <c r="M630" s="22" t="str">
        <f t="shared" si="46"/>
        <v>Wrong domain (non-AECO)</v>
      </c>
      <c r="N630" s="23"/>
      <c r="O630" s="23"/>
      <c r="P630" s="24"/>
      <c r="Q630" s="24"/>
      <c r="R630" s="24"/>
      <c r="S630" s="22" t="str">
        <f t="shared" si="47"/>
        <v/>
      </c>
      <c r="T630" s="22" t="str">
        <f t="shared" si="48"/>
        <v/>
      </c>
      <c r="U630" s="25"/>
      <c r="V630" s="25"/>
      <c r="W630" s="25"/>
      <c r="X630" s="25"/>
      <c r="Y630" s="22" t="str">
        <f t="shared" si="49"/>
        <v/>
      </c>
      <c r="Z630" s="25"/>
      <c r="AA630" s="25"/>
      <c r="AB630" s="25"/>
      <c r="AC630" s="25"/>
      <c r="AD630" s="25"/>
      <c r="AE630" s="25"/>
      <c r="AF630" s="25"/>
      <c r="AG630" s="9"/>
      <c r="AH630" s="29"/>
      <c r="AI630" s="29"/>
      <c r="AM630" s="50"/>
      <c r="AN630" s="51" t="s">
        <v>3896</v>
      </c>
      <c r="AO630" s="55" t="s">
        <v>1252</v>
      </c>
    </row>
    <row r="631" spans="1:41" ht="57" customHeight="1" x14ac:dyDescent="0.3">
      <c r="A631" s="20">
        <v>627</v>
      </c>
      <c r="B631" s="8" t="s">
        <v>3897</v>
      </c>
      <c r="C631" s="26">
        <v>2023</v>
      </c>
      <c r="D631" s="8"/>
      <c r="E631" s="8" t="s">
        <v>1255</v>
      </c>
      <c r="F631" s="20" t="s">
        <v>1969</v>
      </c>
      <c r="G631" s="21" t="s">
        <v>1979</v>
      </c>
      <c r="H631" s="21" t="s">
        <v>1968</v>
      </c>
      <c r="I631" s="21" t="s">
        <v>1968</v>
      </c>
      <c r="J631" s="21" t="s">
        <v>1968</v>
      </c>
      <c r="K631" s="21" t="s">
        <v>1968</v>
      </c>
      <c r="L631" s="22" t="str">
        <f t="shared" si="45"/>
        <v>EXCLUDE</v>
      </c>
      <c r="M631" s="22" t="str">
        <f t="shared" si="46"/>
        <v>Wrong domain (non-AECO)</v>
      </c>
      <c r="N631" s="23"/>
      <c r="O631" s="23"/>
      <c r="P631" s="24"/>
      <c r="Q631" s="24"/>
      <c r="R631" s="24"/>
      <c r="S631" s="22" t="str">
        <f t="shared" si="47"/>
        <v/>
      </c>
      <c r="T631" s="22" t="str">
        <f t="shared" si="48"/>
        <v/>
      </c>
      <c r="U631" s="25"/>
      <c r="V631" s="25"/>
      <c r="W631" s="25"/>
      <c r="X631" s="25"/>
      <c r="Y631" s="22" t="str">
        <f t="shared" si="49"/>
        <v/>
      </c>
      <c r="Z631" s="25"/>
      <c r="AA631" s="25"/>
      <c r="AB631" s="25"/>
      <c r="AC631" s="25"/>
      <c r="AD631" s="25"/>
      <c r="AE631" s="25"/>
      <c r="AF631" s="25"/>
      <c r="AG631" s="9"/>
      <c r="AH631" s="29"/>
      <c r="AI631" s="29"/>
      <c r="AM631" s="50"/>
      <c r="AN631" s="51" t="s">
        <v>3898</v>
      </c>
      <c r="AO631" s="55" t="s">
        <v>1254</v>
      </c>
    </row>
    <row r="632" spans="1:41" ht="68.400000000000006" customHeight="1" x14ac:dyDescent="0.3">
      <c r="A632" s="20">
        <v>628</v>
      </c>
      <c r="B632" s="8" t="s">
        <v>3899</v>
      </c>
      <c r="C632" s="26">
        <v>2020</v>
      </c>
      <c r="D632" s="8"/>
      <c r="E632" s="8" t="s">
        <v>1257</v>
      </c>
      <c r="F632" s="20" t="s">
        <v>1969</v>
      </c>
      <c r="G632" s="21" t="s">
        <v>1979</v>
      </c>
      <c r="H632" s="21" t="s">
        <v>1968</v>
      </c>
      <c r="I632" s="21" t="s">
        <v>1968</v>
      </c>
      <c r="J632" s="21" t="s">
        <v>1968</v>
      </c>
      <c r="K632" s="21" t="s">
        <v>1968</v>
      </c>
      <c r="L632" s="22" t="str">
        <f t="shared" si="45"/>
        <v>EXCLUDE</v>
      </c>
      <c r="M632" s="22" t="str">
        <f t="shared" si="46"/>
        <v>Wrong domain (non-AECO)</v>
      </c>
      <c r="N632" s="23"/>
      <c r="O632" s="23"/>
      <c r="P632" s="24"/>
      <c r="Q632" s="24"/>
      <c r="R632" s="24"/>
      <c r="S632" s="22" t="str">
        <f t="shared" si="47"/>
        <v/>
      </c>
      <c r="T632" s="22" t="str">
        <f t="shared" si="48"/>
        <v/>
      </c>
      <c r="U632" s="25"/>
      <c r="V632" s="25"/>
      <c r="W632" s="25"/>
      <c r="X632" s="25"/>
      <c r="Y632" s="22" t="str">
        <f t="shared" si="49"/>
        <v/>
      </c>
      <c r="Z632" s="25"/>
      <c r="AA632" s="25"/>
      <c r="AB632" s="25"/>
      <c r="AC632" s="25"/>
      <c r="AD632" s="25"/>
      <c r="AE632" s="25"/>
      <c r="AF632" s="25"/>
      <c r="AG632" s="9"/>
      <c r="AH632" s="29"/>
      <c r="AI632" s="29"/>
      <c r="AM632" s="50"/>
      <c r="AN632" s="51" t="s">
        <v>3900</v>
      </c>
      <c r="AO632" s="55" t="s">
        <v>1256</v>
      </c>
    </row>
    <row r="633" spans="1:41" ht="68.400000000000006" customHeight="1" x14ac:dyDescent="0.3">
      <c r="A633" s="20">
        <v>629</v>
      </c>
      <c r="B633" s="8" t="s">
        <v>3901</v>
      </c>
      <c r="C633" s="26">
        <v>2023</v>
      </c>
      <c r="D633" s="8"/>
      <c r="E633" s="8" t="s">
        <v>1259</v>
      </c>
      <c r="F633" s="20" t="s">
        <v>1969</v>
      </c>
      <c r="G633" s="21" t="s">
        <v>1979</v>
      </c>
      <c r="H633" s="21" t="s">
        <v>1968</v>
      </c>
      <c r="I633" s="21" t="s">
        <v>1968</v>
      </c>
      <c r="J633" s="21" t="s">
        <v>1968</v>
      </c>
      <c r="K633" s="21" t="s">
        <v>1968</v>
      </c>
      <c r="L633" s="22" t="str">
        <f t="shared" si="45"/>
        <v>EXCLUDE</v>
      </c>
      <c r="M633" s="22" t="str">
        <f t="shared" si="46"/>
        <v>Wrong domain (non-AECO)</v>
      </c>
      <c r="N633" s="23"/>
      <c r="O633" s="23"/>
      <c r="P633" s="24"/>
      <c r="Q633" s="24"/>
      <c r="R633" s="24"/>
      <c r="S633" s="22" t="str">
        <f t="shared" si="47"/>
        <v/>
      </c>
      <c r="T633" s="22" t="str">
        <f t="shared" si="48"/>
        <v/>
      </c>
      <c r="U633" s="25"/>
      <c r="V633" s="25"/>
      <c r="W633" s="25"/>
      <c r="X633" s="25"/>
      <c r="Y633" s="22" t="str">
        <f t="shared" si="49"/>
        <v/>
      </c>
      <c r="Z633" s="25"/>
      <c r="AA633" s="25"/>
      <c r="AB633" s="25"/>
      <c r="AC633" s="25"/>
      <c r="AD633" s="25"/>
      <c r="AE633" s="25"/>
      <c r="AF633" s="25"/>
      <c r="AG633" s="9"/>
      <c r="AH633" s="29"/>
      <c r="AI633" s="29"/>
      <c r="AM633" s="50"/>
      <c r="AN633" s="51" t="s">
        <v>3902</v>
      </c>
      <c r="AO633" s="55" t="s">
        <v>1258</v>
      </c>
    </row>
    <row r="634" spans="1:41" ht="79.8" customHeight="1" x14ac:dyDescent="0.3">
      <c r="A634" s="20">
        <v>630</v>
      </c>
      <c r="B634" s="8" t="s">
        <v>3903</v>
      </c>
      <c r="C634" s="26">
        <v>2024</v>
      </c>
      <c r="D634" s="8"/>
      <c r="E634" s="8" t="s">
        <v>1261</v>
      </c>
      <c r="F634" s="20" t="s">
        <v>1969</v>
      </c>
      <c r="G634" s="21" t="s">
        <v>1968</v>
      </c>
      <c r="H634" s="21" t="s">
        <v>1968</v>
      </c>
      <c r="I634" s="21" t="s">
        <v>1968</v>
      </c>
      <c r="J634" s="21" t="s">
        <v>1968</v>
      </c>
      <c r="K634" s="21" t="s">
        <v>1968</v>
      </c>
      <c r="L634" s="22" t="str">
        <f t="shared" si="45"/>
        <v>INCLUDE</v>
      </c>
      <c r="M634" s="22" t="str">
        <f t="shared" si="46"/>
        <v/>
      </c>
      <c r="N634" s="23" t="s">
        <v>1968</v>
      </c>
      <c r="O634" s="23" t="s">
        <v>1968</v>
      </c>
      <c r="P634" s="24" t="s">
        <v>1979</v>
      </c>
      <c r="Q634" s="24" t="s">
        <v>1968</v>
      </c>
      <c r="R634" s="24" t="s">
        <v>1979</v>
      </c>
      <c r="S634" s="22" t="str">
        <f t="shared" si="47"/>
        <v>EXCLUDE</v>
      </c>
      <c r="T634" s="22" t="str">
        <f t="shared" si="48"/>
        <v>Digital Twin mentioned only, not the subject</v>
      </c>
      <c r="U634" s="25"/>
      <c r="V634" s="25"/>
      <c r="W634" s="25"/>
      <c r="X634" s="25"/>
      <c r="Y634" s="22" t="str">
        <f t="shared" si="49"/>
        <v/>
      </c>
      <c r="Z634" s="25"/>
      <c r="AA634" s="25"/>
      <c r="AB634" s="25"/>
      <c r="AC634" s="25"/>
      <c r="AD634" s="25"/>
      <c r="AE634" s="25"/>
      <c r="AF634" s="25"/>
      <c r="AG634" s="9" t="s">
        <v>3904</v>
      </c>
      <c r="AH634" s="29"/>
      <c r="AI634" s="29"/>
      <c r="AM634" s="50"/>
      <c r="AN634" s="51" t="s">
        <v>3905</v>
      </c>
      <c r="AO634" s="55" t="s">
        <v>1260</v>
      </c>
    </row>
    <row r="635" spans="1:41" ht="45.6" customHeight="1" x14ac:dyDescent="0.3">
      <c r="A635" s="20">
        <v>631</v>
      </c>
      <c r="B635" s="8" t="s">
        <v>3906</v>
      </c>
      <c r="C635" s="26">
        <v>2024</v>
      </c>
      <c r="D635" s="8"/>
      <c r="E635" s="8" t="s">
        <v>1263</v>
      </c>
      <c r="F635" s="20" t="s">
        <v>1969</v>
      </c>
      <c r="G635" s="21" t="s">
        <v>1979</v>
      </c>
      <c r="H635" s="21" t="s">
        <v>1968</v>
      </c>
      <c r="I635" s="21" t="s">
        <v>1968</v>
      </c>
      <c r="J635" s="21" t="s">
        <v>1968</v>
      </c>
      <c r="K635" s="21" t="s">
        <v>1968</v>
      </c>
      <c r="L635" s="22" t="str">
        <f t="shared" si="45"/>
        <v>EXCLUDE</v>
      </c>
      <c r="M635" s="22" t="str">
        <f t="shared" si="46"/>
        <v>Wrong domain (non-AECO)</v>
      </c>
      <c r="N635" s="23"/>
      <c r="O635" s="23"/>
      <c r="P635" s="24"/>
      <c r="Q635" s="24"/>
      <c r="R635" s="24"/>
      <c r="S635" s="22" t="str">
        <f t="shared" si="47"/>
        <v/>
      </c>
      <c r="T635" s="22" t="str">
        <f t="shared" si="48"/>
        <v/>
      </c>
      <c r="U635" s="25"/>
      <c r="V635" s="25"/>
      <c r="W635" s="25"/>
      <c r="X635" s="25"/>
      <c r="Y635" s="22" t="str">
        <f t="shared" si="49"/>
        <v/>
      </c>
      <c r="Z635" s="25"/>
      <c r="AA635" s="25"/>
      <c r="AB635" s="25"/>
      <c r="AC635" s="25"/>
      <c r="AD635" s="25"/>
      <c r="AE635" s="25"/>
      <c r="AF635" s="25"/>
      <c r="AG635" s="9"/>
      <c r="AH635" s="29"/>
      <c r="AI635" s="29"/>
      <c r="AM635" s="50"/>
      <c r="AN635" s="51" t="s">
        <v>3907</v>
      </c>
      <c r="AO635" s="55" t="s">
        <v>1262</v>
      </c>
    </row>
    <row r="636" spans="1:41" ht="114" customHeight="1" x14ac:dyDescent="0.3">
      <c r="A636" s="20">
        <v>632</v>
      </c>
      <c r="B636" s="8" t="s">
        <v>3908</v>
      </c>
      <c r="C636" s="26">
        <v>2022</v>
      </c>
      <c r="D636" s="8"/>
      <c r="E636" s="8" t="s">
        <v>1265</v>
      </c>
      <c r="F636" s="20" t="s">
        <v>1969</v>
      </c>
      <c r="G636" s="21" t="s">
        <v>1968</v>
      </c>
      <c r="H636" s="21" t="s">
        <v>1968</v>
      </c>
      <c r="I636" s="21" t="s">
        <v>1968</v>
      </c>
      <c r="J636" s="21" t="s">
        <v>1968</v>
      </c>
      <c r="K636" s="21" t="s">
        <v>1968</v>
      </c>
      <c r="L636" s="22" t="str">
        <f t="shared" si="45"/>
        <v>INCLUDE</v>
      </c>
      <c r="M636" s="22" t="str">
        <f t="shared" si="46"/>
        <v/>
      </c>
      <c r="N636" s="23" t="s">
        <v>1968</v>
      </c>
      <c r="O636" s="23" t="s">
        <v>1968</v>
      </c>
      <c r="P636" s="24" t="s">
        <v>1968</v>
      </c>
      <c r="Q636" s="24" t="s">
        <v>1968</v>
      </c>
      <c r="R636" s="24" t="s">
        <v>1968</v>
      </c>
      <c r="S636" s="22" t="str">
        <f t="shared" si="47"/>
        <v>INCLUDE</v>
      </c>
      <c r="T636" s="22" t="str">
        <f t="shared" si="48"/>
        <v/>
      </c>
      <c r="U636" s="25" t="s">
        <v>1982</v>
      </c>
      <c r="V636" s="25">
        <v>0</v>
      </c>
      <c r="W636" s="25">
        <v>0</v>
      </c>
      <c r="X636" s="25">
        <v>1</v>
      </c>
      <c r="Y636" s="22" t="str">
        <f t="shared" si="49"/>
        <v>Single</v>
      </c>
      <c r="Z636" s="25" t="s">
        <v>1922</v>
      </c>
      <c r="AA636" s="25" t="s">
        <v>1972</v>
      </c>
      <c r="AB636" s="25" t="s">
        <v>1973</v>
      </c>
      <c r="AC636" s="25" t="s">
        <v>1986</v>
      </c>
      <c r="AD636" s="25" t="s">
        <v>2003</v>
      </c>
      <c r="AE636" s="25">
        <v>4</v>
      </c>
      <c r="AF636" s="25" t="s">
        <v>1996</v>
      </c>
      <c r="AG636" s="9" t="s">
        <v>3909</v>
      </c>
      <c r="AH636" s="29" t="s">
        <v>3910</v>
      </c>
      <c r="AI636" s="29" t="s">
        <v>3911</v>
      </c>
      <c r="AJ636" t="s">
        <v>1997</v>
      </c>
      <c r="AK636" t="s">
        <v>3912</v>
      </c>
      <c r="AL636" t="s">
        <v>1978</v>
      </c>
      <c r="AM636" s="50"/>
      <c r="AN636" s="51" t="s">
        <v>3913</v>
      </c>
      <c r="AO636" s="55" t="s">
        <v>1264</v>
      </c>
    </row>
    <row r="637" spans="1:41" ht="57" customHeight="1" x14ac:dyDescent="0.3">
      <c r="A637" s="20">
        <v>633</v>
      </c>
      <c r="B637" s="8" t="s">
        <v>3914</v>
      </c>
      <c r="C637" s="26">
        <v>2023</v>
      </c>
      <c r="D637" s="8"/>
      <c r="E637" s="8" t="s">
        <v>1267</v>
      </c>
      <c r="F637" s="20" t="s">
        <v>1969</v>
      </c>
      <c r="G637" s="21" t="s">
        <v>1979</v>
      </c>
      <c r="H637" s="21" t="s">
        <v>1968</v>
      </c>
      <c r="I637" s="21" t="s">
        <v>1968</v>
      </c>
      <c r="J637" s="21" t="s">
        <v>1968</v>
      </c>
      <c r="K637" s="21" t="s">
        <v>1968</v>
      </c>
      <c r="L637" s="22" t="str">
        <f t="shared" si="45"/>
        <v>EXCLUDE</v>
      </c>
      <c r="M637" s="22" t="str">
        <f t="shared" si="46"/>
        <v>Wrong domain (non-AECO)</v>
      </c>
      <c r="N637" s="23"/>
      <c r="O637" s="23"/>
      <c r="P637" s="24"/>
      <c r="Q637" s="24"/>
      <c r="R637" s="24"/>
      <c r="S637" s="22" t="str">
        <f t="shared" si="47"/>
        <v/>
      </c>
      <c r="T637" s="22" t="str">
        <f t="shared" si="48"/>
        <v/>
      </c>
      <c r="U637" s="25"/>
      <c r="V637" s="25"/>
      <c r="W637" s="25"/>
      <c r="X637" s="25"/>
      <c r="Y637" s="22" t="str">
        <f t="shared" si="49"/>
        <v/>
      </c>
      <c r="Z637" s="25"/>
      <c r="AA637" s="25"/>
      <c r="AB637" s="25"/>
      <c r="AC637" s="25"/>
      <c r="AD637" s="25"/>
      <c r="AE637" s="25"/>
      <c r="AF637" s="25"/>
      <c r="AG637" s="9"/>
      <c r="AH637" s="29"/>
      <c r="AI637" s="29"/>
      <c r="AM637" s="50"/>
      <c r="AN637" s="51" t="s">
        <v>3915</v>
      </c>
      <c r="AO637" s="55" t="s">
        <v>1266</v>
      </c>
    </row>
    <row r="638" spans="1:41" ht="57" customHeight="1" x14ac:dyDescent="0.3">
      <c r="A638" s="20">
        <v>634</v>
      </c>
      <c r="B638" s="8" t="s">
        <v>3916</v>
      </c>
      <c r="C638" s="26">
        <v>2022</v>
      </c>
      <c r="D638" s="8"/>
      <c r="E638" s="8" t="s">
        <v>1269</v>
      </c>
      <c r="F638" s="20" t="s">
        <v>1969</v>
      </c>
      <c r="G638" s="21" t="s">
        <v>1979</v>
      </c>
      <c r="H638" s="21" t="s">
        <v>1968</v>
      </c>
      <c r="I638" s="21" t="s">
        <v>1968</v>
      </c>
      <c r="J638" s="21" t="s">
        <v>1968</v>
      </c>
      <c r="K638" s="21" t="s">
        <v>1968</v>
      </c>
      <c r="L638" s="22" t="str">
        <f t="shared" si="45"/>
        <v>EXCLUDE</v>
      </c>
      <c r="M638" s="22" t="str">
        <f t="shared" si="46"/>
        <v>Wrong domain (non-AECO)</v>
      </c>
      <c r="N638" s="23"/>
      <c r="O638" s="23"/>
      <c r="P638" s="24"/>
      <c r="Q638" s="24"/>
      <c r="R638" s="24"/>
      <c r="S638" s="22" t="str">
        <f t="shared" si="47"/>
        <v/>
      </c>
      <c r="T638" s="22" t="str">
        <f t="shared" si="48"/>
        <v/>
      </c>
      <c r="U638" s="25"/>
      <c r="V638" s="25"/>
      <c r="W638" s="25"/>
      <c r="X638" s="25"/>
      <c r="Y638" s="22" t="str">
        <f t="shared" si="49"/>
        <v/>
      </c>
      <c r="Z638" s="25"/>
      <c r="AA638" s="25"/>
      <c r="AB638" s="25"/>
      <c r="AC638" s="25"/>
      <c r="AD638" s="25"/>
      <c r="AE638" s="25"/>
      <c r="AF638" s="25"/>
      <c r="AG638" s="9"/>
      <c r="AH638" s="29"/>
      <c r="AI638" s="29"/>
      <c r="AM638" s="50"/>
      <c r="AN638" s="51" t="s">
        <v>3917</v>
      </c>
      <c r="AO638" s="55" t="s">
        <v>1268</v>
      </c>
    </row>
    <row r="639" spans="1:41" ht="45.6" customHeight="1" x14ac:dyDescent="0.3">
      <c r="A639" s="20">
        <v>635</v>
      </c>
      <c r="B639" s="8" t="s">
        <v>3918</v>
      </c>
      <c r="C639" s="26">
        <v>2024</v>
      </c>
      <c r="D639" s="8"/>
      <c r="E639" s="8" t="s">
        <v>1271</v>
      </c>
      <c r="F639" s="20" t="s">
        <v>1969</v>
      </c>
      <c r="G639" s="21" t="s">
        <v>1979</v>
      </c>
      <c r="H639" s="21" t="s">
        <v>1968</v>
      </c>
      <c r="I639" s="21" t="s">
        <v>1968</v>
      </c>
      <c r="J639" s="21" t="s">
        <v>1968</v>
      </c>
      <c r="K639" s="21" t="s">
        <v>1968</v>
      </c>
      <c r="L639" s="22" t="str">
        <f t="shared" si="45"/>
        <v>EXCLUDE</v>
      </c>
      <c r="M639" s="22" t="str">
        <f t="shared" si="46"/>
        <v>Wrong domain (non-AECO)</v>
      </c>
      <c r="N639" s="23"/>
      <c r="O639" s="23"/>
      <c r="P639" s="24"/>
      <c r="Q639" s="24"/>
      <c r="R639" s="24"/>
      <c r="S639" s="22" t="str">
        <f t="shared" si="47"/>
        <v/>
      </c>
      <c r="T639" s="22" t="str">
        <f t="shared" si="48"/>
        <v/>
      </c>
      <c r="U639" s="25"/>
      <c r="V639" s="25"/>
      <c r="W639" s="25"/>
      <c r="X639" s="25"/>
      <c r="Y639" s="22" t="str">
        <f t="shared" si="49"/>
        <v/>
      </c>
      <c r="Z639" s="25"/>
      <c r="AA639" s="25"/>
      <c r="AB639" s="25"/>
      <c r="AC639" s="25"/>
      <c r="AD639" s="25"/>
      <c r="AE639" s="25"/>
      <c r="AF639" s="25"/>
      <c r="AG639" s="9"/>
      <c r="AH639" s="29"/>
      <c r="AI639" s="29"/>
      <c r="AM639" s="50"/>
      <c r="AN639" s="51" t="s">
        <v>3919</v>
      </c>
      <c r="AO639" s="55" t="s">
        <v>1270</v>
      </c>
    </row>
    <row r="640" spans="1:41" ht="45.6" customHeight="1" x14ac:dyDescent="0.3">
      <c r="A640" s="20">
        <v>636</v>
      </c>
      <c r="B640" s="8" t="s">
        <v>3920</v>
      </c>
      <c r="C640" s="26">
        <v>2021</v>
      </c>
      <c r="D640" s="8"/>
      <c r="E640" s="8" t="s">
        <v>1273</v>
      </c>
      <c r="F640" s="20" t="s">
        <v>1969</v>
      </c>
      <c r="G640" s="21" t="s">
        <v>1968</v>
      </c>
      <c r="H640" s="21" t="s">
        <v>1968</v>
      </c>
      <c r="I640" s="21" t="s">
        <v>1979</v>
      </c>
      <c r="J640" s="21" t="s">
        <v>1968</v>
      </c>
      <c r="K640" s="21" t="s">
        <v>1968</v>
      </c>
      <c r="L640" s="22" t="str">
        <f t="shared" si="45"/>
        <v>EXCLUDE</v>
      </c>
      <c r="M640" s="22" t="str">
        <f t="shared" si="46"/>
        <v>No Design for Safety / PtD focus</v>
      </c>
      <c r="N640" s="23"/>
      <c r="O640" s="23"/>
      <c r="P640" s="24"/>
      <c r="Q640" s="24"/>
      <c r="R640" s="24"/>
      <c r="S640" s="22" t="str">
        <f t="shared" si="47"/>
        <v/>
      </c>
      <c r="T640" s="22" t="str">
        <f t="shared" si="48"/>
        <v/>
      </c>
      <c r="U640" s="25"/>
      <c r="V640" s="25"/>
      <c r="W640" s="25"/>
      <c r="X640" s="25"/>
      <c r="Y640" s="22" t="str">
        <f t="shared" si="49"/>
        <v/>
      </c>
      <c r="Z640" s="25"/>
      <c r="AA640" s="25"/>
      <c r="AB640" s="25"/>
      <c r="AC640" s="25"/>
      <c r="AD640" s="25"/>
      <c r="AE640" s="25"/>
      <c r="AF640" s="25"/>
      <c r="AG640" s="9"/>
      <c r="AH640" s="29"/>
      <c r="AI640" s="29"/>
      <c r="AM640" s="50"/>
      <c r="AN640" s="51" t="s">
        <v>3921</v>
      </c>
      <c r="AO640" s="55" t="s">
        <v>1272</v>
      </c>
    </row>
    <row r="641" spans="1:41" ht="45.6" customHeight="1" x14ac:dyDescent="0.3">
      <c r="A641" s="20">
        <v>637</v>
      </c>
      <c r="B641" s="8" t="s">
        <v>3922</v>
      </c>
      <c r="C641" s="26">
        <v>2024</v>
      </c>
      <c r="D641" s="8"/>
      <c r="E641" s="8" t="s">
        <v>1275</v>
      </c>
      <c r="F641" s="20" t="s">
        <v>1969</v>
      </c>
      <c r="G641" s="21" t="s">
        <v>1968</v>
      </c>
      <c r="H641" s="21" t="s">
        <v>1968</v>
      </c>
      <c r="I641" s="21" t="s">
        <v>1979</v>
      </c>
      <c r="J641" s="21" t="s">
        <v>1968</v>
      </c>
      <c r="K641" s="21" t="s">
        <v>1968</v>
      </c>
      <c r="L641" s="22" t="str">
        <f t="shared" si="45"/>
        <v>EXCLUDE</v>
      </c>
      <c r="M641" s="22" t="str">
        <f t="shared" si="46"/>
        <v>No Design for Safety / PtD focus</v>
      </c>
      <c r="N641" s="23"/>
      <c r="O641" s="23"/>
      <c r="P641" s="24"/>
      <c r="Q641" s="24"/>
      <c r="R641" s="24"/>
      <c r="S641" s="22" t="str">
        <f t="shared" si="47"/>
        <v/>
      </c>
      <c r="T641" s="22" t="str">
        <f t="shared" si="48"/>
        <v/>
      </c>
      <c r="U641" s="25"/>
      <c r="V641" s="25"/>
      <c r="W641" s="25"/>
      <c r="X641" s="25"/>
      <c r="Y641" s="22" t="str">
        <f t="shared" si="49"/>
        <v/>
      </c>
      <c r="Z641" s="25"/>
      <c r="AA641" s="25"/>
      <c r="AB641" s="25"/>
      <c r="AC641" s="25"/>
      <c r="AD641" s="25"/>
      <c r="AE641" s="25"/>
      <c r="AF641" s="25"/>
      <c r="AG641" s="9"/>
      <c r="AH641" s="29"/>
      <c r="AI641" s="29"/>
      <c r="AM641" s="50"/>
      <c r="AN641" s="51" t="s">
        <v>3923</v>
      </c>
      <c r="AO641" s="55" t="s">
        <v>1274</v>
      </c>
    </row>
    <row r="642" spans="1:41" ht="57" customHeight="1" x14ac:dyDescent="0.3">
      <c r="A642" s="20">
        <v>638</v>
      </c>
      <c r="B642" s="8" t="s">
        <v>3924</v>
      </c>
      <c r="C642" s="26">
        <v>2022</v>
      </c>
      <c r="D642" s="8"/>
      <c r="E642" s="8" t="s">
        <v>1277</v>
      </c>
      <c r="F642" s="20" t="s">
        <v>1969</v>
      </c>
      <c r="G642" s="21" t="s">
        <v>1968</v>
      </c>
      <c r="H642" s="21" t="s">
        <v>1968</v>
      </c>
      <c r="I642" s="21" t="s">
        <v>1979</v>
      </c>
      <c r="J642" s="21" t="s">
        <v>1968</v>
      </c>
      <c r="K642" s="21" t="s">
        <v>1968</v>
      </c>
      <c r="L642" s="22" t="str">
        <f t="shared" si="45"/>
        <v>EXCLUDE</v>
      </c>
      <c r="M642" s="22" t="str">
        <f t="shared" si="46"/>
        <v>No Design for Safety / PtD focus</v>
      </c>
      <c r="N642" s="23"/>
      <c r="O642" s="23"/>
      <c r="P642" s="24"/>
      <c r="Q642" s="24"/>
      <c r="R642" s="24"/>
      <c r="S642" s="22" t="str">
        <f t="shared" si="47"/>
        <v/>
      </c>
      <c r="T642" s="22" t="str">
        <f t="shared" si="48"/>
        <v/>
      </c>
      <c r="U642" s="25"/>
      <c r="V642" s="25"/>
      <c r="W642" s="25"/>
      <c r="X642" s="25"/>
      <c r="Y642" s="22" t="str">
        <f t="shared" si="49"/>
        <v/>
      </c>
      <c r="Z642" s="25"/>
      <c r="AA642" s="25"/>
      <c r="AB642" s="25"/>
      <c r="AC642" s="25"/>
      <c r="AD642" s="25"/>
      <c r="AE642" s="25"/>
      <c r="AF642" s="25"/>
      <c r="AG642" s="9"/>
      <c r="AH642" s="29"/>
      <c r="AI642" s="29"/>
      <c r="AM642" s="50"/>
      <c r="AN642" s="51" t="s">
        <v>3925</v>
      </c>
      <c r="AO642" s="55" t="s">
        <v>1276</v>
      </c>
    </row>
    <row r="643" spans="1:41" ht="68.400000000000006" customHeight="1" x14ac:dyDescent="0.3">
      <c r="A643" s="20">
        <v>639</v>
      </c>
      <c r="B643" s="8" t="s">
        <v>3926</v>
      </c>
      <c r="C643" s="26">
        <v>2024</v>
      </c>
      <c r="D643" s="8"/>
      <c r="E643" s="8" t="s">
        <v>1279</v>
      </c>
      <c r="F643" s="20" t="s">
        <v>1969</v>
      </c>
      <c r="G643" s="21" t="s">
        <v>1968</v>
      </c>
      <c r="H643" s="21" t="s">
        <v>1968</v>
      </c>
      <c r="I643" s="21" t="s">
        <v>1968</v>
      </c>
      <c r="J643" s="21" t="s">
        <v>1968</v>
      </c>
      <c r="K643" s="21" t="s">
        <v>1968</v>
      </c>
      <c r="L643" s="22" t="str">
        <f t="shared" si="45"/>
        <v>INCLUDE</v>
      </c>
      <c r="M643" s="22" t="str">
        <f t="shared" si="46"/>
        <v/>
      </c>
      <c r="N643" s="23" t="s">
        <v>1968</v>
      </c>
      <c r="O643" s="23" t="s">
        <v>1968</v>
      </c>
      <c r="P643" s="24" t="s">
        <v>1979</v>
      </c>
      <c r="Q643" s="24" t="s">
        <v>1968</v>
      </c>
      <c r="R643" s="24" t="s">
        <v>1979</v>
      </c>
      <c r="S643" s="22" t="str">
        <f t="shared" si="47"/>
        <v>EXCLUDE</v>
      </c>
      <c r="T643" s="22" t="str">
        <f t="shared" si="48"/>
        <v>Digital Twin mentioned only, not the subject</v>
      </c>
      <c r="U643" s="25"/>
      <c r="V643" s="25"/>
      <c r="W643" s="25"/>
      <c r="X643" s="25"/>
      <c r="Y643" s="22" t="str">
        <f t="shared" si="49"/>
        <v/>
      </c>
      <c r="Z643" s="25"/>
      <c r="AA643" s="25"/>
      <c r="AB643" s="25"/>
      <c r="AC643" s="25"/>
      <c r="AD643" s="25"/>
      <c r="AE643" s="25"/>
      <c r="AF643" s="25"/>
      <c r="AG643" s="9" t="s">
        <v>3927</v>
      </c>
      <c r="AH643" s="29"/>
      <c r="AI643" s="29"/>
      <c r="AM643" s="50"/>
      <c r="AN643" s="51" t="s">
        <v>3928</v>
      </c>
      <c r="AO643" s="55" t="s">
        <v>1278</v>
      </c>
    </row>
    <row r="644" spans="1:41" ht="57" customHeight="1" x14ac:dyDescent="0.3">
      <c r="A644" s="20">
        <v>640</v>
      </c>
      <c r="B644" s="8" t="s">
        <v>3929</v>
      </c>
      <c r="C644" s="26">
        <v>2022</v>
      </c>
      <c r="D644" s="8"/>
      <c r="E644" s="8" t="s">
        <v>1281</v>
      </c>
      <c r="F644" s="20" t="s">
        <v>1969</v>
      </c>
      <c r="G644" s="21" t="s">
        <v>1979</v>
      </c>
      <c r="H644" s="21" t="s">
        <v>1968</v>
      </c>
      <c r="I644" s="21" t="s">
        <v>1968</v>
      </c>
      <c r="J644" s="21" t="s">
        <v>1968</v>
      </c>
      <c r="K644" s="21" t="s">
        <v>1968</v>
      </c>
      <c r="L644" s="22" t="str">
        <f t="shared" si="45"/>
        <v>EXCLUDE</v>
      </c>
      <c r="M644" s="22" t="str">
        <f t="shared" si="46"/>
        <v>Wrong domain (non-AECO)</v>
      </c>
      <c r="N644" s="23"/>
      <c r="O644" s="23"/>
      <c r="P644" s="24"/>
      <c r="Q644" s="24"/>
      <c r="R644" s="24"/>
      <c r="S644" s="22" t="str">
        <f t="shared" si="47"/>
        <v/>
      </c>
      <c r="T644" s="22" t="str">
        <f t="shared" si="48"/>
        <v/>
      </c>
      <c r="U644" s="25"/>
      <c r="V644" s="25"/>
      <c r="W644" s="25"/>
      <c r="X644" s="25"/>
      <c r="Y644" s="22" t="str">
        <f t="shared" si="49"/>
        <v/>
      </c>
      <c r="Z644" s="25"/>
      <c r="AA644" s="25"/>
      <c r="AB644" s="25"/>
      <c r="AC644" s="25"/>
      <c r="AD644" s="25"/>
      <c r="AE644" s="25"/>
      <c r="AF644" s="25"/>
      <c r="AG644" s="9"/>
      <c r="AH644" s="29"/>
      <c r="AI644" s="29"/>
      <c r="AM644" s="50"/>
      <c r="AN644" s="51" t="s">
        <v>3930</v>
      </c>
      <c r="AO644" s="55" t="s">
        <v>1280</v>
      </c>
    </row>
    <row r="645" spans="1:41" ht="91.2" customHeight="1" x14ac:dyDescent="0.3">
      <c r="A645" s="20">
        <v>641</v>
      </c>
      <c r="B645" s="8" t="s">
        <v>3931</v>
      </c>
      <c r="C645" s="26">
        <v>2024</v>
      </c>
      <c r="D645" s="8"/>
      <c r="E645" s="8" t="s">
        <v>1283</v>
      </c>
      <c r="F645" s="20" t="s">
        <v>1969</v>
      </c>
      <c r="G645" s="21" t="s">
        <v>1968</v>
      </c>
      <c r="H645" s="21" t="s">
        <v>1968</v>
      </c>
      <c r="I645" s="21" t="s">
        <v>1968</v>
      </c>
      <c r="J645" s="21" t="s">
        <v>1968</v>
      </c>
      <c r="K645" s="21" t="s">
        <v>1968</v>
      </c>
      <c r="L645" s="22" t="str">
        <f t="shared" ref="L645:L708" si="50">IF(COUNTBLANK(G645:K645)=5,"",IF(COUNTIF(G645:K645,"No")&gt;0,"EXCLUDE","INCLUDE"))</f>
        <v>INCLUDE</v>
      </c>
      <c r="M645" s="22" t="str">
        <f t="shared" ref="M645:M708" si="51">IF(L645&lt;&gt;"EXCLUDE","",IF(G645="No","Wrong domain (non-AECO)",IF(H645="No","Digital Twin not core / buzzword",IF(I645="No","No Design for Safety / PtD focus",IF(J645="No","Wrong publication type",IF(K645="No","Non-English",""))))))</f>
        <v/>
      </c>
      <c r="N645" s="23" t="s">
        <v>1968</v>
      </c>
      <c r="O645" s="23" t="s">
        <v>1968</v>
      </c>
      <c r="P645" s="24" t="s">
        <v>1968</v>
      </c>
      <c r="Q645" s="24" t="s">
        <v>1968</v>
      </c>
      <c r="R645" s="24" t="s">
        <v>1968</v>
      </c>
      <c r="S645" s="22" t="str">
        <f t="shared" ref="S645:S708" si="52">IF(N645&lt;&gt;"Yes","",IF(COUNTBLANK(P645:R645)=3,"",IF(COUNTIF(P645:R645,"No")&gt;0,"EXCLUDE","INCLUDE")))</f>
        <v>INCLUDE</v>
      </c>
      <c r="T645" s="22" t="str">
        <f t="shared" ref="T645:T708" si="53">IF(S645&lt;&gt;"EXCLUDE","",IF(P645="No","Digital Twin mentioned only, not the subject",IF(Q645="No","No Design for Safety focus in full text",IF(R645="No","Methodology not codable",""))))</f>
        <v/>
      </c>
      <c r="U645" s="25" t="s">
        <v>1982</v>
      </c>
      <c r="V645" s="25">
        <v>0</v>
      </c>
      <c r="W645" s="25">
        <v>0</v>
      </c>
      <c r="X645" s="25">
        <v>1</v>
      </c>
      <c r="Y645" s="22" t="str">
        <f t="shared" ref="Y645:Y708" si="54">IF(SUM(V645:X645)=0,"",IF(SUM(V645:X645)&gt;=2,"Multi","Single"))</f>
        <v>Single</v>
      </c>
      <c r="Z645" s="25" t="s">
        <v>1922</v>
      </c>
      <c r="AA645" s="25" t="s">
        <v>1972</v>
      </c>
      <c r="AB645" s="25" t="s">
        <v>2018</v>
      </c>
      <c r="AC645" s="25" t="s">
        <v>1986</v>
      </c>
      <c r="AD645" s="25" t="s">
        <v>2003</v>
      </c>
      <c r="AE645" s="25">
        <v>4</v>
      </c>
      <c r="AF645" s="25" t="s">
        <v>2010</v>
      </c>
      <c r="AG645" s="9" t="s">
        <v>3932</v>
      </c>
      <c r="AH645" s="29" t="s">
        <v>3933</v>
      </c>
      <c r="AI645" s="29" t="s">
        <v>3934</v>
      </c>
      <c r="AJ645" t="s">
        <v>2005</v>
      </c>
      <c r="AK645" t="s">
        <v>3935</v>
      </c>
      <c r="AL645" t="s">
        <v>1978</v>
      </c>
      <c r="AM645" s="50"/>
      <c r="AN645" s="51" t="s">
        <v>3936</v>
      </c>
      <c r="AO645" s="55" t="s">
        <v>1282</v>
      </c>
    </row>
    <row r="646" spans="1:41" ht="68.400000000000006" customHeight="1" x14ac:dyDescent="0.3">
      <c r="A646" s="20">
        <v>642</v>
      </c>
      <c r="B646" s="8" t="s">
        <v>3937</v>
      </c>
      <c r="C646" s="26">
        <v>2024</v>
      </c>
      <c r="D646" s="8"/>
      <c r="E646" s="8" t="s">
        <v>1285</v>
      </c>
      <c r="F646" s="20" t="s">
        <v>1969</v>
      </c>
      <c r="G646" s="21" t="s">
        <v>1979</v>
      </c>
      <c r="H646" s="21" t="s">
        <v>1968</v>
      </c>
      <c r="I646" s="21" t="s">
        <v>1968</v>
      </c>
      <c r="J646" s="21" t="s">
        <v>1968</v>
      </c>
      <c r="K646" s="21" t="s">
        <v>1968</v>
      </c>
      <c r="L646" s="22" t="str">
        <f t="shared" si="50"/>
        <v>EXCLUDE</v>
      </c>
      <c r="M646" s="22" t="str">
        <f t="shared" si="51"/>
        <v>Wrong domain (non-AECO)</v>
      </c>
      <c r="N646" s="23"/>
      <c r="O646" s="23"/>
      <c r="P646" s="24"/>
      <c r="Q646" s="24"/>
      <c r="R646" s="24"/>
      <c r="S646" s="22" t="str">
        <f t="shared" si="52"/>
        <v/>
      </c>
      <c r="T646" s="22" t="str">
        <f t="shared" si="53"/>
        <v/>
      </c>
      <c r="U646" s="25"/>
      <c r="V646" s="25"/>
      <c r="W646" s="25"/>
      <c r="X646" s="25"/>
      <c r="Y646" s="22" t="str">
        <f t="shared" si="54"/>
        <v/>
      </c>
      <c r="Z646" s="25"/>
      <c r="AA646" s="25"/>
      <c r="AB646" s="25"/>
      <c r="AC646" s="25"/>
      <c r="AD646" s="25"/>
      <c r="AE646" s="25"/>
      <c r="AF646" s="25"/>
      <c r="AG646" s="9"/>
      <c r="AH646" s="29"/>
      <c r="AI646" s="29"/>
      <c r="AM646" s="50"/>
      <c r="AN646" s="51" t="s">
        <v>3938</v>
      </c>
      <c r="AO646" s="55" t="s">
        <v>1284</v>
      </c>
    </row>
    <row r="647" spans="1:41" ht="79.8" customHeight="1" x14ac:dyDescent="0.3">
      <c r="A647" s="20">
        <v>643</v>
      </c>
      <c r="B647" s="8" t="s">
        <v>3939</v>
      </c>
      <c r="C647" s="26">
        <v>2021</v>
      </c>
      <c r="D647" s="8"/>
      <c r="E647" s="8" t="s">
        <v>1287</v>
      </c>
      <c r="F647" s="20" t="s">
        <v>1969</v>
      </c>
      <c r="G647" s="21" t="s">
        <v>1968</v>
      </c>
      <c r="H647" s="21" t="s">
        <v>1968</v>
      </c>
      <c r="I647" s="21" t="s">
        <v>1979</v>
      </c>
      <c r="J647" s="21" t="s">
        <v>1968</v>
      </c>
      <c r="K647" s="21" t="s">
        <v>1968</v>
      </c>
      <c r="L647" s="22" t="str">
        <f t="shared" si="50"/>
        <v>EXCLUDE</v>
      </c>
      <c r="M647" s="22" t="str">
        <f t="shared" si="51"/>
        <v>No Design for Safety / PtD focus</v>
      </c>
      <c r="N647" s="23"/>
      <c r="O647" s="23"/>
      <c r="P647" s="24"/>
      <c r="Q647" s="24"/>
      <c r="R647" s="24"/>
      <c r="S647" s="22" t="str">
        <f t="shared" si="52"/>
        <v/>
      </c>
      <c r="T647" s="22" t="str">
        <f t="shared" si="53"/>
        <v/>
      </c>
      <c r="U647" s="25"/>
      <c r="V647" s="25"/>
      <c r="W647" s="25"/>
      <c r="X647" s="25"/>
      <c r="Y647" s="22" t="str">
        <f t="shared" si="54"/>
        <v/>
      </c>
      <c r="Z647" s="25"/>
      <c r="AA647" s="25"/>
      <c r="AB647" s="25"/>
      <c r="AC647" s="25"/>
      <c r="AD647" s="25"/>
      <c r="AE647" s="25"/>
      <c r="AF647" s="25"/>
      <c r="AG647" s="9"/>
      <c r="AH647" s="29"/>
      <c r="AI647" s="29"/>
      <c r="AM647" s="50"/>
      <c r="AN647" s="51" t="s">
        <v>3940</v>
      </c>
      <c r="AO647" s="55" t="s">
        <v>1286</v>
      </c>
    </row>
    <row r="648" spans="1:41" ht="68.400000000000006" customHeight="1" x14ac:dyDescent="0.3">
      <c r="A648" s="20">
        <v>644</v>
      </c>
      <c r="B648" s="8" t="s">
        <v>3941</v>
      </c>
      <c r="C648" s="26">
        <v>2025</v>
      </c>
      <c r="D648" s="8"/>
      <c r="E648" s="8" t="s">
        <v>1289</v>
      </c>
      <c r="F648" s="20" t="s">
        <v>1969</v>
      </c>
      <c r="G648" s="21" t="s">
        <v>1968</v>
      </c>
      <c r="H648" s="21" t="s">
        <v>1968</v>
      </c>
      <c r="I648" s="21" t="s">
        <v>1979</v>
      </c>
      <c r="J648" s="21" t="s">
        <v>1968</v>
      </c>
      <c r="K648" s="21" t="s">
        <v>1968</v>
      </c>
      <c r="L648" s="22" t="str">
        <f t="shared" si="50"/>
        <v>EXCLUDE</v>
      </c>
      <c r="M648" s="22" t="str">
        <f t="shared" si="51"/>
        <v>No Design for Safety / PtD focus</v>
      </c>
      <c r="N648" s="23"/>
      <c r="O648" s="23"/>
      <c r="P648" s="24"/>
      <c r="Q648" s="24"/>
      <c r="R648" s="24"/>
      <c r="S648" s="22" t="str">
        <f t="shared" si="52"/>
        <v/>
      </c>
      <c r="T648" s="22" t="str">
        <f t="shared" si="53"/>
        <v/>
      </c>
      <c r="U648" s="25"/>
      <c r="V648" s="25"/>
      <c r="W648" s="25"/>
      <c r="X648" s="25"/>
      <c r="Y648" s="22" t="str">
        <f t="shared" si="54"/>
        <v/>
      </c>
      <c r="Z648" s="25"/>
      <c r="AA648" s="25"/>
      <c r="AB648" s="25"/>
      <c r="AC648" s="25"/>
      <c r="AD648" s="25"/>
      <c r="AE648" s="25"/>
      <c r="AF648" s="25"/>
      <c r="AG648" s="9"/>
      <c r="AH648" s="29"/>
      <c r="AI648" s="29"/>
      <c r="AM648" s="50"/>
      <c r="AN648" s="51" t="s">
        <v>3942</v>
      </c>
      <c r="AO648" s="55" t="s">
        <v>1288</v>
      </c>
    </row>
    <row r="649" spans="1:41" ht="57" customHeight="1" x14ac:dyDescent="0.3">
      <c r="A649" s="20">
        <v>645</v>
      </c>
      <c r="B649" s="8" t="s">
        <v>3943</v>
      </c>
      <c r="C649" s="26">
        <v>2022</v>
      </c>
      <c r="D649" s="8"/>
      <c r="E649" s="8" t="s">
        <v>1291</v>
      </c>
      <c r="F649" s="20" t="s">
        <v>1969</v>
      </c>
      <c r="G649" s="21" t="s">
        <v>1979</v>
      </c>
      <c r="H649" s="21" t="s">
        <v>1968</v>
      </c>
      <c r="I649" s="21" t="s">
        <v>1968</v>
      </c>
      <c r="J649" s="21" t="s">
        <v>1968</v>
      </c>
      <c r="K649" s="21" t="s">
        <v>1968</v>
      </c>
      <c r="L649" s="22" t="str">
        <f t="shared" si="50"/>
        <v>EXCLUDE</v>
      </c>
      <c r="M649" s="22" t="str">
        <f t="shared" si="51"/>
        <v>Wrong domain (non-AECO)</v>
      </c>
      <c r="N649" s="23"/>
      <c r="O649" s="23"/>
      <c r="P649" s="24"/>
      <c r="Q649" s="24"/>
      <c r="R649" s="24"/>
      <c r="S649" s="22" t="str">
        <f t="shared" si="52"/>
        <v/>
      </c>
      <c r="T649" s="22" t="str">
        <f t="shared" si="53"/>
        <v/>
      </c>
      <c r="U649" s="25"/>
      <c r="V649" s="25"/>
      <c r="W649" s="25"/>
      <c r="X649" s="25"/>
      <c r="Y649" s="22" t="str">
        <f t="shared" si="54"/>
        <v/>
      </c>
      <c r="Z649" s="25"/>
      <c r="AA649" s="25"/>
      <c r="AB649" s="25"/>
      <c r="AC649" s="25"/>
      <c r="AD649" s="25"/>
      <c r="AE649" s="25"/>
      <c r="AF649" s="25"/>
      <c r="AG649" s="9"/>
      <c r="AH649" s="29"/>
      <c r="AI649" s="29"/>
      <c r="AM649" s="50"/>
      <c r="AN649" s="51" t="s">
        <v>3944</v>
      </c>
      <c r="AO649" s="55" t="s">
        <v>1290</v>
      </c>
    </row>
    <row r="650" spans="1:41" ht="57" customHeight="1" x14ac:dyDescent="0.3">
      <c r="A650" s="20">
        <v>646</v>
      </c>
      <c r="B650" s="8" t="s">
        <v>3945</v>
      </c>
      <c r="C650" s="26">
        <v>2024</v>
      </c>
      <c r="D650" s="8"/>
      <c r="E650" s="8" t="s">
        <v>1293</v>
      </c>
      <c r="F650" s="20" t="s">
        <v>1969</v>
      </c>
      <c r="G650" s="21" t="s">
        <v>1979</v>
      </c>
      <c r="H650" s="21" t="s">
        <v>1968</v>
      </c>
      <c r="I650" s="21" t="s">
        <v>1968</v>
      </c>
      <c r="J650" s="21" t="s">
        <v>1968</v>
      </c>
      <c r="K650" s="21" t="s">
        <v>1968</v>
      </c>
      <c r="L650" s="22" t="str">
        <f t="shared" si="50"/>
        <v>EXCLUDE</v>
      </c>
      <c r="M650" s="22" t="str">
        <f t="shared" si="51"/>
        <v>Wrong domain (non-AECO)</v>
      </c>
      <c r="N650" s="23"/>
      <c r="O650" s="23"/>
      <c r="P650" s="24"/>
      <c r="Q650" s="24"/>
      <c r="R650" s="24"/>
      <c r="S650" s="22" t="str">
        <f t="shared" si="52"/>
        <v/>
      </c>
      <c r="T650" s="22" t="str">
        <f t="shared" si="53"/>
        <v/>
      </c>
      <c r="U650" s="25"/>
      <c r="V650" s="25"/>
      <c r="W650" s="25"/>
      <c r="X650" s="25"/>
      <c r="Y650" s="22" t="str">
        <f t="shared" si="54"/>
        <v/>
      </c>
      <c r="Z650" s="25"/>
      <c r="AA650" s="25"/>
      <c r="AB650" s="25"/>
      <c r="AC650" s="25"/>
      <c r="AD650" s="25"/>
      <c r="AE650" s="25"/>
      <c r="AF650" s="25"/>
      <c r="AG650" s="9"/>
      <c r="AH650" s="29"/>
      <c r="AI650" s="29"/>
      <c r="AM650" s="50"/>
      <c r="AN650" s="51" t="s">
        <v>3946</v>
      </c>
      <c r="AO650" s="55" t="s">
        <v>1292</v>
      </c>
    </row>
    <row r="651" spans="1:41" ht="57" customHeight="1" x14ac:dyDescent="0.3">
      <c r="A651" s="20">
        <v>647</v>
      </c>
      <c r="B651" s="8" t="s">
        <v>3947</v>
      </c>
      <c r="C651" s="26">
        <v>2021</v>
      </c>
      <c r="D651" s="8"/>
      <c r="E651" s="8" t="s">
        <v>1295</v>
      </c>
      <c r="F651" s="20" t="s">
        <v>1969</v>
      </c>
      <c r="G651" s="21" t="s">
        <v>1979</v>
      </c>
      <c r="H651" s="21" t="s">
        <v>1968</v>
      </c>
      <c r="I651" s="21" t="s">
        <v>1968</v>
      </c>
      <c r="J651" s="21" t="s">
        <v>1968</v>
      </c>
      <c r="K651" s="21" t="s">
        <v>1968</v>
      </c>
      <c r="L651" s="22" t="str">
        <f t="shared" si="50"/>
        <v>EXCLUDE</v>
      </c>
      <c r="M651" s="22" t="str">
        <f t="shared" si="51"/>
        <v>Wrong domain (non-AECO)</v>
      </c>
      <c r="N651" s="23"/>
      <c r="O651" s="23"/>
      <c r="P651" s="24"/>
      <c r="Q651" s="24"/>
      <c r="R651" s="24"/>
      <c r="S651" s="22" t="str">
        <f t="shared" si="52"/>
        <v/>
      </c>
      <c r="T651" s="22" t="str">
        <f t="shared" si="53"/>
        <v/>
      </c>
      <c r="U651" s="25"/>
      <c r="V651" s="25"/>
      <c r="W651" s="25"/>
      <c r="X651" s="25"/>
      <c r="Y651" s="22" t="str">
        <f t="shared" si="54"/>
        <v/>
      </c>
      <c r="Z651" s="25"/>
      <c r="AA651" s="25"/>
      <c r="AB651" s="25"/>
      <c r="AC651" s="25"/>
      <c r="AD651" s="25"/>
      <c r="AE651" s="25"/>
      <c r="AF651" s="25"/>
      <c r="AG651" s="9"/>
      <c r="AH651" s="29"/>
      <c r="AI651" s="29"/>
      <c r="AM651" s="50"/>
      <c r="AN651" s="51" t="s">
        <v>3948</v>
      </c>
      <c r="AO651" s="55" t="s">
        <v>1294</v>
      </c>
    </row>
    <row r="652" spans="1:41" ht="91.2" customHeight="1" x14ac:dyDescent="0.3">
      <c r="A652" s="20">
        <v>648</v>
      </c>
      <c r="B652" s="8" t="s">
        <v>3949</v>
      </c>
      <c r="C652" s="26">
        <v>2024</v>
      </c>
      <c r="D652" s="8"/>
      <c r="E652" s="8" t="s">
        <v>1297</v>
      </c>
      <c r="F652" s="20" t="s">
        <v>1969</v>
      </c>
      <c r="G652" s="21" t="s">
        <v>1968</v>
      </c>
      <c r="H652" s="21" t="s">
        <v>1968</v>
      </c>
      <c r="I652" s="21" t="s">
        <v>1968</v>
      </c>
      <c r="J652" s="21" t="s">
        <v>1968</v>
      </c>
      <c r="K652" s="21" t="s">
        <v>1968</v>
      </c>
      <c r="L652" s="22" t="str">
        <f t="shared" si="50"/>
        <v>INCLUDE</v>
      </c>
      <c r="M652" s="22" t="str">
        <f t="shared" si="51"/>
        <v/>
      </c>
      <c r="N652" s="23" t="s">
        <v>1968</v>
      </c>
      <c r="O652" s="23" t="s">
        <v>1968</v>
      </c>
      <c r="P652" s="24" t="s">
        <v>1968</v>
      </c>
      <c r="Q652" s="24" t="s">
        <v>1968</v>
      </c>
      <c r="R652" s="24" t="s">
        <v>1968</v>
      </c>
      <c r="S652" s="22" t="str">
        <f t="shared" si="52"/>
        <v>INCLUDE</v>
      </c>
      <c r="T652" s="22" t="str">
        <f t="shared" si="53"/>
        <v/>
      </c>
      <c r="U652" s="25" t="s">
        <v>1971</v>
      </c>
      <c r="V652" s="25">
        <v>0</v>
      </c>
      <c r="W652" s="25">
        <v>0</v>
      </c>
      <c r="X652" s="25">
        <v>1</v>
      </c>
      <c r="Y652" s="22" t="str">
        <f t="shared" si="54"/>
        <v>Single</v>
      </c>
      <c r="Z652" s="25" t="s">
        <v>1922</v>
      </c>
      <c r="AA652" s="25" t="s">
        <v>1984</v>
      </c>
      <c r="AB652" s="25" t="s">
        <v>2011</v>
      </c>
      <c r="AC652" s="25" t="s">
        <v>1986</v>
      </c>
      <c r="AD652" s="25" t="s">
        <v>2003</v>
      </c>
      <c r="AE652" s="25">
        <v>3</v>
      </c>
      <c r="AF652" s="25" t="s">
        <v>2010</v>
      </c>
      <c r="AG652" s="9" t="s">
        <v>3950</v>
      </c>
      <c r="AH652" s="29" t="s">
        <v>3951</v>
      </c>
      <c r="AI652" s="29" t="s">
        <v>3952</v>
      </c>
      <c r="AJ652" t="s">
        <v>2005</v>
      </c>
      <c r="AK652" t="s">
        <v>3953</v>
      </c>
      <c r="AL652" t="s">
        <v>1978</v>
      </c>
      <c r="AM652" s="50"/>
      <c r="AN652" s="51" t="s">
        <v>3954</v>
      </c>
      <c r="AO652" s="55" t="s">
        <v>1296</v>
      </c>
    </row>
    <row r="653" spans="1:41" ht="57" customHeight="1" x14ac:dyDescent="0.3">
      <c r="A653" s="20">
        <v>649</v>
      </c>
      <c r="B653" s="8" t="s">
        <v>3955</v>
      </c>
      <c r="C653" s="26">
        <v>2025</v>
      </c>
      <c r="D653" s="8"/>
      <c r="E653" s="8" t="s">
        <v>1299</v>
      </c>
      <c r="F653" s="20" t="s">
        <v>1969</v>
      </c>
      <c r="G653" s="21" t="s">
        <v>1979</v>
      </c>
      <c r="H653" s="21" t="s">
        <v>1968</v>
      </c>
      <c r="I653" s="21" t="s">
        <v>1968</v>
      </c>
      <c r="J653" s="21" t="s">
        <v>1968</v>
      </c>
      <c r="K653" s="21" t="s">
        <v>1968</v>
      </c>
      <c r="L653" s="22" t="str">
        <f t="shared" si="50"/>
        <v>EXCLUDE</v>
      </c>
      <c r="M653" s="22" t="str">
        <f t="shared" si="51"/>
        <v>Wrong domain (non-AECO)</v>
      </c>
      <c r="N653" s="23"/>
      <c r="O653" s="23"/>
      <c r="P653" s="24"/>
      <c r="Q653" s="24"/>
      <c r="R653" s="24"/>
      <c r="S653" s="22" t="str">
        <f t="shared" si="52"/>
        <v/>
      </c>
      <c r="T653" s="22" t="str">
        <f t="shared" si="53"/>
        <v/>
      </c>
      <c r="U653" s="25"/>
      <c r="V653" s="25"/>
      <c r="W653" s="25"/>
      <c r="X653" s="25"/>
      <c r="Y653" s="22" t="str">
        <f t="shared" si="54"/>
        <v/>
      </c>
      <c r="Z653" s="25"/>
      <c r="AA653" s="25"/>
      <c r="AB653" s="25"/>
      <c r="AC653" s="25"/>
      <c r="AD653" s="25"/>
      <c r="AE653" s="25"/>
      <c r="AF653" s="25"/>
      <c r="AG653" s="9"/>
      <c r="AH653" s="29"/>
      <c r="AI653" s="29"/>
      <c r="AM653" s="50"/>
      <c r="AN653" s="51" t="s">
        <v>3956</v>
      </c>
      <c r="AO653" s="55" t="s">
        <v>1298</v>
      </c>
    </row>
    <row r="654" spans="1:41" ht="45.6" customHeight="1" x14ac:dyDescent="0.3">
      <c r="A654" s="20">
        <v>650</v>
      </c>
      <c r="B654" s="8" t="s">
        <v>3957</v>
      </c>
      <c r="C654" s="26">
        <v>2024</v>
      </c>
      <c r="D654" s="8"/>
      <c r="E654" s="8" t="s">
        <v>1301</v>
      </c>
      <c r="F654" s="20" t="s">
        <v>1969</v>
      </c>
      <c r="G654" s="21" t="s">
        <v>1968</v>
      </c>
      <c r="H654" s="21" t="s">
        <v>1979</v>
      </c>
      <c r="I654" s="21" t="s">
        <v>1968</v>
      </c>
      <c r="J654" s="21" t="s">
        <v>1968</v>
      </c>
      <c r="K654" s="21" t="s">
        <v>1968</v>
      </c>
      <c r="L654" s="22" t="str">
        <f t="shared" si="50"/>
        <v>EXCLUDE</v>
      </c>
      <c r="M654" s="22" t="str">
        <f t="shared" si="51"/>
        <v>Digital Twin not core / buzzword</v>
      </c>
      <c r="N654" s="23"/>
      <c r="O654" s="23"/>
      <c r="P654" s="24"/>
      <c r="Q654" s="24"/>
      <c r="R654" s="24"/>
      <c r="S654" s="22" t="str">
        <f t="shared" si="52"/>
        <v/>
      </c>
      <c r="T654" s="22" t="str">
        <f t="shared" si="53"/>
        <v/>
      </c>
      <c r="U654" s="25"/>
      <c r="V654" s="25"/>
      <c r="W654" s="25"/>
      <c r="X654" s="25"/>
      <c r="Y654" s="22" t="str">
        <f t="shared" si="54"/>
        <v/>
      </c>
      <c r="Z654" s="25"/>
      <c r="AA654" s="25"/>
      <c r="AB654" s="25"/>
      <c r="AC654" s="25"/>
      <c r="AD654" s="25"/>
      <c r="AE654" s="25"/>
      <c r="AF654" s="25"/>
      <c r="AG654" s="9"/>
      <c r="AH654" s="29"/>
      <c r="AI654" s="29"/>
      <c r="AM654" s="50"/>
      <c r="AN654" s="51" t="s">
        <v>3958</v>
      </c>
      <c r="AO654" s="55" t="s">
        <v>1300</v>
      </c>
    </row>
    <row r="655" spans="1:41" ht="79.8" customHeight="1" x14ac:dyDescent="0.3">
      <c r="A655" s="20">
        <v>651</v>
      </c>
      <c r="B655" s="8" t="s">
        <v>3959</v>
      </c>
      <c r="C655" s="26">
        <v>2024</v>
      </c>
      <c r="D655" s="8"/>
      <c r="E655" s="8" t="s">
        <v>1303</v>
      </c>
      <c r="F655" s="20" t="s">
        <v>1969</v>
      </c>
      <c r="G655" s="21" t="s">
        <v>1968</v>
      </c>
      <c r="H655" s="21" t="s">
        <v>1968</v>
      </c>
      <c r="I655" s="21" t="s">
        <v>1968</v>
      </c>
      <c r="J655" s="21" t="s">
        <v>1968</v>
      </c>
      <c r="K655" s="21" t="s">
        <v>1968</v>
      </c>
      <c r="L655" s="22" t="str">
        <f t="shared" si="50"/>
        <v>INCLUDE</v>
      </c>
      <c r="M655" s="22" t="str">
        <f t="shared" si="51"/>
        <v/>
      </c>
      <c r="N655" s="23" t="s">
        <v>1968</v>
      </c>
      <c r="O655" s="23" t="s">
        <v>1968</v>
      </c>
      <c r="P655" s="24" t="s">
        <v>1968</v>
      </c>
      <c r="Q655" s="24" t="s">
        <v>1968</v>
      </c>
      <c r="R655" s="24" t="s">
        <v>1968</v>
      </c>
      <c r="S655" s="22" t="str">
        <f t="shared" si="52"/>
        <v>INCLUDE</v>
      </c>
      <c r="T655" s="22" t="str">
        <f t="shared" si="53"/>
        <v/>
      </c>
      <c r="U655" s="25" t="s">
        <v>1982</v>
      </c>
      <c r="V655" s="25">
        <v>0</v>
      </c>
      <c r="W655" s="25">
        <v>0</v>
      </c>
      <c r="X655" s="25">
        <v>1</v>
      </c>
      <c r="Y655" s="22" t="str">
        <f t="shared" si="54"/>
        <v>Single</v>
      </c>
      <c r="Z655" s="25" t="s">
        <v>1922</v>
      </c>
      <c r="AA655" s="25" t="s">
        <v>1972</v>
      </c>
      <c r="AB655" s="25" t="s">
        <v>2018</v>
      </c>
      <c r="AC655" s="25" t="s">
        <v>1986</v>
      </c>
      <c r="AD655" s="25" t="s">
        <v>2003</v>
      </c>
      <c r="AE655" s="25">
        <v>3</v>
      </c>
      <c r="AF655" s="25" t="s">
        <v>2004</v>
      </c>
      <c r="AG655" s="9" t="s">
        <v>3960</v>
      </c>
      <c r="AH655" s="29" t="s">
        <v>3961</v>
      </c>
      <c r="AI655" s="29" t="s">
        <v>3962</v>
      </c>
      <c r="AJ655" t="s">
        <v>2005</v>
      </c>
      <c r="AK655" t="s">
        <v>3963</v>
      </c>
      <c r="AL655" t="s">
        <v>1990</v>
      </c>
      <c r="AM655" s="50"/>
      <c r="AN655" s="51" t="s">
        <v>3964</v>
      </c>
      <c r="AO655" s="55" t="s">
        <v>1302</v>
      </c>
    </row>
    <row r="656" spans="1:41" ht="57" customHeight="1" x14ac:dyDescent="0.3">
      <c r="A656" s="20">
        <v>652</v>
      </c>
      <c r="B656" s="8" t="s">
        <v>3965</v>
      </c>
      <c r="C656" s="26">
        <v>2025</v>
      </c>
      <c r="D656" s="8"/>
      <c r="E656" s="8" t="s">
        <v>1305</v>
      </c>
      <c r="F656" s="20" t="s">
        <v>1969</v>
      </c>
      <c r="G656" s="21" t="s">
        <v>1968</v>
      </c>
      <c r="H656" s="21" t="s">
        <v>1968</v>
      </c>
      <c r="I656" s="21" t="s">
        <v>1968</v>
      </c>
      <c r="J656" s="21" t="s">
        <v>1968</v>
      </c>
      <c r="K656" s="21" t="s">
        <v>1979</v>
      </c>
      <c r="L656" s="22" t="str">
        <f t="shared" si="50"/>
        <v>EXCLUDE</v>
      </c>
      <c r="M656" s="22" t="str">
        <f t="shared" si="51"/>
        <v>Non-English</v>
      </c>
      <c r="N656" s="23"/>
      <c r="O656" s="23"/>
      <c r="P656" s="24"/>
      <c r="Q656" s="24"/>
      <c r="R656" s="24"/>
      <c r="S656" s="22" t="str">
        <f t="shared" si="52"/>
        <v/>
      </c>
      <c r="T656" s="22" t="str">
        <f t="shared" si="53"/>
        <v/>
      </c>
      <c r="U656" s="25"/>
      <c r="V656" s="25"/>
      <c r="W656" s="25"/>
      <c r="X656" s="25"/>
      <c r="Y656" s="22" t="str">
        <f t="shared" si="54"/>
        <v/>
      </c>
      <c r="Z656" s="25"/>
      <c r="AA656" s="25"/>
      <c r="AB656" s="25"/>
      <c r="AC656" s="25"/>
      <c r="AD656" s="25"/>
      <c r="AE656" s="25"/>
      <c r="AF656" s="25"/>
      <c r="AG656" s="9"/>
      <c r="AH656" s="29"/>
      <c r="AI656" s="29"/>
      <c r="AM656" s="50"/>
      <c r="AN656" s="51" t="s">
        <v>3966</v>
      </c>
      <c r="AO656" s="55" t="s">
        <v>1304</v>
      </c>
    </row>
    <row r="657" spans="1:41" ht="57" customHeight="1" x14ac:dyDescent="0.3">
      <c r="A657" s="20">
        <v>653</v>
      </c>
      <c r="B657" s="8" t="s">
        <v>3967</v>
      </c>
      <c r="C657" s="26">
        <v>2024</v>
      </c>
      <c r="D657" s="8"/>
      <c r="E657" s="8" t="s">
        <v>1307</v>
      </c>
      <c r="F657" s="20" t="s">
        <v>1969</v>
      </c>
      <c r="G657" s="21" t="s">
        <v>1979</v>
      </c>
      <c r="H657" s="21" t="s">
        <v>1968</v>
      </c>
      <c r="I657" s="21" t="s">
        <v>1968</v>
      </c>
      <c r="J657" s="21" t="s">
        <v>1968</v>
      </c>
      <c r="K657" s="21" t="s">
        <v>1968</v>
      </c>
      <c r="L657" s="22" t="str">
        <f t="shared" si="50"/>
        <v>EXCLUDE</v>
      </c>
      <c r="M657" s="22" t="str">
        <f t="shared" si="51"/>
        <v>Wrong domain (non-AECO)</v>
      </c>
      <c r="N657" s="23"/>
      <c r="O657" s="23"/>
      <c r="P657" s="24"/>
      <c r="Q657" s="24"/>
      <c r="R657" s="24"/>
      <c r="S657" s="22" t="str">
        <f t="shared" si="52"/>
        <v/>
      </c>
      <c r="T657" s="22" t="str">
        <f t="shared" si="53"/>
        <v/>
      </c>
      <c r="U657" s="25"/>
      <c r="V657" s="25"/>
      <c r="W657" s="25"/>
      <c r="X657" s="25"/>
      <c r="Y657" s="22" t="str">
        <f t="shared" si="54"/>
        <v/>
      </c>
      <c r="Z657" s="25"/>
      <c r="AA657" s="25"/>
      <c r="AB657" s="25"/>
      <c r="AC657" s="25"/>
      <c r="AD657" s="25"/>
      <c r="AE657" s="25"/>
      <c r="AF657" s="25"/>
      <c r="AG657" s="9"/>
      <c r="AH657" s="29"/>
      <c r="AI657" s="29"/>
      <c r="AM657" s="50"/>
      <c r="AN657" s="51" t="s">
        <v>3968</v>
      </c>
      <c r="AO657" s="55" t="s">
        <v>1306</v>
      </c>
    </row>
    <row r="658" spans="1:41" ht="72" customHeight="1" x14ac:dyDescent="0.3">
      <c r="A658" s="20">
        <v>654</v>
      </c>
      <c r="B658" s="8" t="s">
        <v>3969</v>
      </c>
      <c r="C658" s="26">
        <v>2024</v>
      </c>
      <c r="D658" s="8"/>
      <c r="E658" s="8" t="s">
        <v>1309</v>
      </c>
      <c r="F658" s="20" t="s">
        <v>1969</v>
      </c>
      <c r="G658" s="21" t="s">
        <v>1968</v>
      </c>
      <c r="H658" s="21" t="s">
        <v>1968</v>
      </c>
      <c r="I658" s="21" t="s">
        <v>1968</v>
      </c>
      <c r="J658" s="21" t="s">
        <v>1968</v>
      </c>
      <c r="K658" s="21" t="s">
        <v>1968</v>
      </c>
      <c r="L658" s="22" t="str">
        <f t="shared" si="50"/>
        <v>INCLUDE</v>
      </c>
      <c r="M658" s="22" t="str">
        <f t="shared" si="51"/>
        <v/>
      </c>
      <c r="N658" s="23" t="s">
        <v>1968</v>
      </c>
      <c r="O658" s="23" t="s">
        <v>1968</v>
      </c>
      <c r="P658" s="24" t="s">
        <v>1979</v>
      </c>
      <c r="Q658" s="24" t="s">
        <v>1968</v>
      </c>
      <c r="R658" s="24" t="s">
        <v>1968</v>
      </c>
      <c r="S658" s="22" t="str">
        <f t="shared" si="52"/>
        <v>EXCLUDE</v>
      </c>
      <c r="T658" s="22" t="str">
        <f t="shared" si="53"/>
        <v>Digital Twin mentioned only, not the subject</v>
      </c>
      <c r="U658" s="25"/>
      <c r="V658" s="25"/>
      <c r="W658" s="25"/>
      <c r="X658" s="25"/>
      <c r="Y658" s="22" t="str">
        <f t="shared" si="54"/>
        <v/>
      </c>
      <c r="Z658" s="25"/>
      <c r="AA658" s="25"/>
      <c r="AB658" s="25"/>
      <c r="AC658" s="25"/>
      <c r="AD658" s="25"/>
      <c r="AE658" s="25"/>
      <c r="AF658" s="25"/>
      <c r="AG658" s="9" t="s">
        <v>3970</v>
      </c>
      <c r="AH658" s="29"/>
      <c r="AI658" s="29"/>
      <c r="AM658" s="50"/>
      <c r="AN658" s="51" t="s">
        <v>3971</v>
      </c>
      <c r="AO658" s="55" t="s">
        <v>1308</v>
      </c>
    </row>
    <row r="659" spans="1:41" ht="68.400000000000006" customHeight="1" x14ac:dyDescent="0.3">
      <c r="A659" s="20">
        <v>655</v>
      </c>
      <c r="B659" s="8" t="s">
        <v>3972</v>
      </c>
      <c r="C659" s="26">
        <v>2023</v>
      </c>
      <c r="D659" s="8"/>
      <c r="E659" s="8" t="s">
        <v>1311</v>
      </c>
      <c r="F659" s="20" t="s">
        <v>1969</v>
      </c>
      <c r="G659" s="21" t="s">
        <v>1979</v>
      </c>
      <c r="H659" s="21" t="s">
        <v>1968</v>
      </c>
      <c r="I659" s="21" t="s">
        <v>1968</v>
      </c>
      <c r="J659" s="21" t="s">
        <v>1968</v>
      </c>
      <c r="K659" s="21" t="s">
        <v>1968</v>
      </c>
      <c r="L659" s="22" t="str">
        <f t="shared" si="50"/>
        <v>EXCLUDE</v>
      </c>
      <c r="M659" s="22" t="str">
        <f t="shared" si="51"/>
        <v>Wrong domain (non-AECO)</v>
      </c>
      <c r="N659" s="23"/>
      <c r="O659" s="23"/>
      <c r="P659" s="24"/>
      <c r="Q659" s="24"/>
      <c r="R659" s="24"/>
      <c r="S659" s="22" t="str">
        <f t="shared" si="52"/>
        <v/>
      </c>
      <c r="T659" s="22" t="str">
        <f t="shared" si="53"/>
        <v/>
      </c>
      <c r="U659" s="25"/>
      <c r="V659" s="25"/>
      <c r="W659" s="25"/>
      <c r="X659" s="25"/>
      <c r="Y659" s="22" t="str">
        <f t="shared" si="54"/>
        <v/>
      </c>
      <c r="Z659" s="25"/>
      <c r="AA659" s="25"/>
      <c r="AB659" s="25"/>
      <c r="AC659" s="25"/>
      <c r="AD659" s="25"/>
      <c r="AE659" s="25"/>
      <c r="AF659" s="25"/>
      <c r="AG659" s="9"/>
      <c r="AH659" s="29"/>
      <c r="AI659" s="29"/>
      <c r="AM659" s="50"/>
      <c r="AN659" s="51" t="s">
        <v>3973</v>
      </c>
      <c r="AO659" s="55" t="s">
        <v>1310</v>
      </c>
    </row>
    <row r="660" spans="1:41" ht="45.6" customHeight="1" x14ac:dyDescent="0.3">
      <c r="A660" s="20">
        <v>656</v>
      </c>
      <c r="B660" s="8" t="s">
        <v>3974</v>
      </c>
      <c r="C660" s="26">
        <v>2024</v>
      </c>
      <c r="D660" s="8"/>
      <c r="E660" s="8" t="s">
        <v>1313</v>
      </c>
      <c r="F660" s="20" t="s">
        <v>1969</v>
      </c>
      <c r="G660" s="21" t="s">
        <v>1968</v>
      </c>
      <c r="H660" s="21" t="s">
        <v>1979</v>
      </c>
      <c r="I660" s="21" t="s">
        <v>1968</v>
      </c>
      <c r="J660" s="21" t="s">
        <v>1968</v>
      </c>
      <c r="K660" s="21" t="s">
        <v>1968</v>
      </c>
      <c r="L660" s="22" t="str">
        <f t="shared" si="50"/>
        <v>EXCLUDE</v>
      </c>
      <c r="M660" s="22" t="str">
        <f t="shared" si="51"/>
        <v>Digital Twin not core / buzzword</v>
      </c>
      <c r="N660" s="23"/>
      <c r="O660" s="23"/>
      <c r="P660" s="24"/>
      <c r="Q660" s="24"/>
      <c r="R660" s="24"/>
      <c r="S660" s="22" t="str">
        <f t="shared" si="52"/>
        <v/>
      </c>
      <c r="T660" s="22" t="str">
        <f t="shared" si="53"/>
        <v/>
      </c>
      <c r="U660" s="25"/>
      <c r="V660" s="25"/>
      <c r="W660" s="25"/>
      <c r="X660" s="25"/>
      <c r="Y660" s="22" t="str">
        <f t="shared" si="54"/>
        <v/>
      </c>
      <c r="Z660" s="25"/>
      <c r="AA660" s="25"/>
      <c r="AB660" s="25"/>
      <c r="AC660" s="25"/>
      <c r="AD660" s="25"/>
      <c r="AE660" s="25"/>
      <c r="AF660" s="25"/>
      <c r="AG660" s="9"/>
      <c r="AH660" s="29"/>
      <c r="AI660" s="29"/>
      <c r="AM660" s="50"/>
      <c r="AN660" s="51" t="s">
        <v>3975</v>
      </c>
      <c r="AO660" s="55" t="s">
        <v>1312</v>
      </c>
    </row>
    <row r="661" spans="1:41" ht="68.400000000000006" customHeight="1" x14ac:dyDescent="0.3">
      <c r="A661" s="20">
        <v>657</v>
      </c>
      <c r="B661" s="8" t="s">
        <v>3976</v>
      </c>
      <c r="C661" s="26">
        <v>2024</v>
      </c>
      <c r="D661" s="8"/>
      <c r="E661" s="8" t="s">
        <v>1315</v>
      </c>
      <c r="F661" s="20" t="s">
        <v>1969</v>
      </c>
      <c r="G661" s="21" t="s">
        <v>1968</v>
      </c>
      <c r="H661" s="21" t="s">
        <v>1979</v>
      </c>
      <c r="I661" s="21" t="s">
        <v>1968</v>
      </c>
      <c r="J661" s="21" t="s">
        <v>1968</v>
      </c>
      <c r="K661" s="21" t="s">
        <v>1968</v>
      </c>
      <c r="L661" s="22" t="str">
        <f t="shared" si="50"/>
        <v>EXCLUDE</v>
      </c>
      <c r="M661" s="22" t="str">
        <f t="shared" si="51"/>
        <v>Digital Twin not core / buzzword</v>
      </c>
      <c r="N661" s="23"/>
      <c r="O661" s="23"/>
      <c r="P661" s="24"/>
      <c r="Q661" s="24"/>
      <c r="R661" s="24"/>
      <c r="S661" s="22" t="str">
        <f t="shared" si="52"/>
        <v/>
      </c>
      <c r="T661" s="22" t="str">
        <f t="shared" si="53"/>
        <v/>
      </c>
      <c r="U661" s="25"/>
      <c r="V661" s="25"/>
      <c r="W661" s="25"/>
      <c r="X661" s="25"/>
      <c r="Y661" s="22" t="str">
        <f t="shared" si="54"/>
        <v/>
      </c>
      <c r="Z661" s="25"/>
      <c r="AA661" s="25"/>
      <c r="AB661" s="25"/>
      <c r="AC661" s="25"/>
      <c r="AD661" s="25"/>
      <c r="AE661" s="25"/>
      <c r="AF661" s="25"/>
      <c r="AG661" s="9"/>
      <c r="AH661" s="29"/>
      <c r="AI661" s="29"/>
      <c r="AM661" s="50"/>
      <c r="AN661" s="51" t="s">
        <v>3977</v>
      </c>
      <c r="AO661" s="55" t="s">
        <v>1314</v>
      </c>
    </row>
    <row r="662" spans="1:41" ht="45.6" customHeight="1" x14ac:dyDescent="0.3">
      <c r="A662" s="20">
        <v>658</v>
      </c>
      <c r="B662" s="8" t="s">
        <v>3978</v>
      </c>
      <c r="C662" s="26">
        <v>2025</v>
      </c>
      <c r="D662" s="8"/>
      <c r="E662" s="8" t="s">
        <v>1317</v>
      </c>
      <c r="F662" s="20" t="s">
        <v>1969</v>
      </c>
      <c r="G662" s="21" t="s">
        <v>1979</v>
      </c>
      <c r="H662" s="21" t="s">
        <v>1968</v>
      </c>
      <c r="I662" s="21" t="s">
        <v>1968</v>
      </c>
      <c r="J662" s="21" t="s">
        <v>1968</v>
      </c>
      <c r="K662" s="21" t="s">
        <v>1968</v>
      </c>
      <c r="L662" s="22" t="str">
        <f t="shared" si="50"/>
        <v>EXCLUDE</v>
      </c>
      <c r="M662" s="22" t="str">
        <f t="shared" si="51"/>
        <v>Wrong domain (non-AECO)</v>
      </c>
      <c r="N662" s="23"/>
      <c r="O662" s="23"/>
      <c r="P662" s="24"/>
      <c r="Q662" s="24"/>
      <c r="R662" s="24"/>
      <c r="S662" s="22" t="str">
        <f t="shared" si="52"/>
        <v/>
      </c>
      <c r="T662" s="22" t="str">
        <f t="shared" si="53"/>
        <v/>
      </c>
      <c r="U662" s="25"/>
      <c r="V662" s="25"/>
      <c r="W662" s="25"/>
      <c r="X662" s="25"/>
      <c r="Y662" s="22" t="str">
        <f t="shared" si="54"/>
        <v/>
      </c>
      <c r="Z662" s="25"/>
      <c r="AA662" s="25"/>
      <c r="AB662" s="25"/>
      <c r="AC662" s="25"/>
      <c r="AD662" s="25"/>
      <c r="AE662" s="25"/>
      <c r="AF662" s="25"/>
      <c r="AG662" s="9"/>
      <c r="AH662" s="29"/>
      <c r="AI662" s="29"/>
      <c r="AM662" s="50"/>
      <c r="AN662" s="51" t="s">
        <v>3979</v>
      </c>
      <c r="AO662" s="55" t="s">
        <v>1316</v>
      </c>
    </row>
    <row r="663" spans="1:41" ht="34.200000000000003" customHeight="1" x14ac:dyDescent="0.3">
      <c r="A663" s="20">
        <v>659</v>
      </c>
      <c r="B663" s="8" t="s">
        <v>3980</v>
      </c>
      <c r="C663" s="26">
        <v>2020</v>
      </c>
      <c r="D663" s="8"/>
      <c r="E663" s="8" t="s">
        <v>1319</v>
      </c>
      <c r="F663" s="20" t="s">
        <v>1969</v>
      </c>
      <c r="G663" s="21" t="s">
        <v>1979</v>
      </c>
      <c r="H663" s="21" t="s">
        <v>1968</v>
      </c>
      <c r="I663" s="21" t="s">
        <v>1968</v>
      </c>
      <c r="J663" s="21" t="s">
        <v>1968</v>
      </c>
      <c r="K663" s="21" t="s">
        <v>1968</v>
      </c>
      <c r="L663" s="22" t="str">
        <f t="shared" si="50"/>
        <v>EXCLUDE</v>
      </c>
      <c r="M663" s="22" t="str">
        <f t="shared" si="51"/>
        <v>Wrong domain (non-AECO)</v>
      </c>
      <c r="N663" s="23"/>
      <c r="O663" s="23"/>
      <c r="P663" s="24"/>
      <c r="Q663" s="24"/>
      <c r="R663" s="24"/>
      <c r="S663" s="22" t="str">
        <f t="shared" si="52"/>
        <v/>
      </c>
      <c r="T663" s="22" t="str">
        <f t="shared" si="53"/>
        <v/>
      </c>
      <c r="U663" s="25"/>
      <c r="V663" s="25"/>
      <c r="W663" s="25"/>
      <c r="X663" s="25"/>
      <c r="Y663" s="22" t="str">
        <f t="shared" si="54"/>
        <v/>
      </c>
      <c r="Z663" s="25"/>
      <c r="AA663" s="25"/>
      <c r="AB663" s="25"/>
      <c r="AC663" s="25"/>
      <c r="AD663" s="25"/>
      <c r="AE663" s="25"/>
      <c r="AF663" s="25"/>
      <c r="AG663" s="9"/>
      <c r="AH663" s="29"/>
      <c r="AI663" s="29"/>
      <c r="AM663" s="50"/>
      <c r="AN663" s="51" t="s">
        <v>3981</v>
      </c>
      <c r="AO663" s="55" t="s">
        <v>1318</v>
      </c>
    </row>
    <row r="664" spans="1:41" ht="79.8" customHeight="1" x14ac:dyDescent="0.3">
      <c r="A664" s="20">
        <v>660</v>
      </c>
      <c r="B664" s="8" t="s">
        <v>3982</v>
      </c>
      <c r="C664" s="26">
        <v>2025</v>
      </c>
      <c r="D664" s="8"/>
      <c r="E664" s="8" t="s">
        <v>1321</v>
      </c>
      <c r="F664" s="20" t="s">
        <v>1969</v>
      </c>
      <c r="G664" s="21" t="s">
        <v>1968</v>
      </c>
      <c r="H664" s="21" t="s">
        <v>1968</v>
      </c>
      <c r="I664" s="21" t="s">
        <v>1979</v>
      </c>
      <c r="J664" s="21" t="s">
        <v>1968</v>
      </c>
      <c r="K664" s="21" t="s">
        <v>1968</v>
      </c>
      <c r="L664" s="22" t="str">
        <f t="shared" si="50"/>
        <v>EXCLUDE</v>
      </c>
      <c r="M664" s="22" t="str">
        <f t="shared" si="51"/>
        <v>No Design for Safety / PtD focus</v>
      </c>
      <c r="N664" s="23"/>
      <c r="O664" s="23"/>
      <c r="P664" s="24"/>
      <c r="Q664" s="24"/>
      <c r="R664" s="24"/>
      <c r="S664" s="22" t="str">
        <f t="shared" si="52"/>
        <v/>
      </c>
      <c r="T664" s="22" t="str">
        <f t="shared" si="53"/>
        <v/>
      </c>
      <c r="U664" s="25"/>
      <c r="V664" s="25"/>
      <c r="W664" s="25"/>
      <c r="X664" s="25"/>
      <c r="Y664" s="22" t="str">
        <f t="shared" si="54"/>
        <v/>
      </c>
      <c r="Z664" s="25"/>
      <c r="AA664" s="25"/>
      <c r="AB664" s="25"/>
      <c r="AC664" s="25"/>
      <c r="AD664" s="25"/>
      <c r="AE664" s="25"/>
      <c r="AF664" s="25"/>
      <c r="AG664" s="9"/>
      <c r="AH664" s="29"/>
      <c r="AI664" s="29"/>
      <c r="AM664" s="50"/>
      <c r="AN664" s="51" t="s">
        <v>3983</v>
      </c>
      <c r="AO664" s="55" t="s">
        <v>1320</v>
      </c>
    </row>
    <row r="665" spans="1:41" ht="45.6" customHeight="1" x14ac:dyDescent="0.3">
      <c r="A665" s="20">
        <v>661</v>
      </c>
      <c r="B665" s="8" t="s">
        <v>3984</v>
      </c>
      <c r="C665" s="26">
        <v>2025</v>
      </c>
      <c r="D665" s="8"/>
      <c r="E665" s="8" t="s">
        <v>1323</v>
      </c>
      <c r="F665" s="20" t="s">
        <v>1969</v>
      </c>
      <c r="G665" s="21" t="s">
        <v>1979</v>
      </c>
      <c r="H665" s="21" t="s">
        <v>1968</v>
      </c>
      <c r="I665" s="21" t="s">
        <v>1968</v>
      </c>
      <c r="J665" s="21" t="s">
        <v>1968</v>
      </c>
      <c r="K665" s="21" t="s">
        <v>1968</v>
      </c>
      <c r="L665" s="22" t="str">
        <f t="shared" si="50"/>
        <v>EXCLUDE</v>
      </c>
      <c r="M665" s="22" t="str">
        <f t="shared" si="51"/>
        <v>Wrong domain (non-AECO)</v>
      </c>
      <c r="N665" s="23"/>
      <c r="O665" s="23"/>
      <c r="P665" s="24"/>
      <c r="Q665" s="24"/>
      <c r="R665" s="24"/>
      <c r="S665" s="22" t="str">
        <f t="shared" si="52"/>
        <v/>
      </c>
      <c r="T665" s="22" t="str">
        <f t="shared" si="53"/>
        <v/>
      </c>
      <c r="U665" s="25"/>
      <c r="V665" s="25"/>
      <c r="W665" s="25"/>
      <c r="X665" s="25"/>
      <c r="Y665" s="22" t="str">
        <f t="shared" si="54"/>
        <v/>
      </c>
      <c r="Z665" s="25"/>
      <c r="AA665" s="25"/>
      <c r="AB665" s="25"/>
      <c r="AC665" s="25"/>
      <c r="AD665" s="25"/>
      <c r="AE665" s="25"/>
      <c r="AF665" s="25"/>
      <c r="AG665" s="9"/>
      <c r="AH665" s="29"/>
      <c r="AI665" s="29"/>
      <c r="AM665" s="50"/>
      <c r="AN665" s="51" t="s">
        <v>3985</v>
      </c>
      <c r="AO665" s="55" t="s">
        <v>1322</v>
      </c>
    </row>
    <row r="666" spans="1:41" ht="45.6" customHeight="1" x14ac:dyDescent="0.3">
      <c r="A666" s="20">
        <v>662</v>
      </c>
      <c r="B666" s="8" t="s">
        <v>3986</v>
      </c>
      <c r="C666" s="26">
        <v>2025</v>
      </c>
      <c r="D666" s="8"/>
      <c r="E666" s="8" t="s">
        <v>1325</v>
      </c>
      <c r="F666" s="20" t="s">
        <v>1969</v>
      </c>
      <c r="G666" s="21" t="s">
        <v>1979</v>
      </c>
      <c r="H666" s="21" t="s">
        <v>1968</v>
      </c>
      <c r="I666" s="21" t="s">
        <v>1968</v>
      </c>
      <c r="J666" s="21" t="s">
        <v>1968</v>
      </c>
      <c r="K666" s="21" t="s">
        <v>1968</v>
      </c>
      <c r="L666" s="22" t="str">
        <f t="shared" si="50"/>
        <v>EXCLUDE</v>
      </c>
      <c r="M666" s="22" t="str">
        <f t="shared" si="51"/>
        <v>Wrong domain (non-AECO)</v>
      </c>
      <c r="N666" s="23"/>
      <c r="O666" s="23"/>
      <c r="P666" s="24"/>
      <c r="Q666" s="24"/>
      <c r="R666" s="24"/>
      <c r="S666" s="22" t="str">
        <f t="shared" si="52"/>
        <v/>
      </c>
      <c r="T666" s="22" t="str">
        <f t="shared" si="53"/>
        <v/>
      </c>
      <c r="U666" s="25"/>
      <c r="V666" s="25"/>
      <c r="W666" s="25"/>
      <c r="X666" s="25"/>
      <c r="Y666" s="22" t="str">
        <f t="shared" si="54"/>
        <v/>
      </c>
      <c r="Z666" s="25"/>
      <c r="AA666" s="25"/>
      <c r="AB666" s="25"/>
      <c r="AC666" s="25"/>
      <c r="AD666" s="25"/>
      <c r="AE666" s="25"/>
      <c r="AF666" s="25"/>
      <c r="AG666" s="9"/>
      <c r="AH666" s="29"/>
      <c r="AI666" s="29"/>
      <c r="AM666" s="50"/>
      <c r="AN666" s="51" t="s">
        <v>3987</v>
      </c>
      <c r="AO666" s="55" t="s">
        <v>1324</v>
      </c>
    </row>
    <row r="667" spans="1:41" ht="45.6" customHeight="1" x14ac:dyDescent="0.3">
      <c r="A667" s="20">
        <v>663</v>
      </c>
      <c r="B667" s="8" t="s">
        <v>3988</v>
      </c>
      <c r="C667" s="26">
        <v>2024</v>
      </c>
      <c r="D667" s="8"/>
      <c r="E667" s="8" t="s">
        <v>1327</v>
      </c>
      <c r="F667" s="20" t="s">
        <v>1969</v>
      </c>
      <c r="G667" s="21" t="s">
        <v>1979</v>
      </c>
      <c r="H667" s="21" t="s">
        <v>1968</v>
      </c>
      <c r="I667" s="21" t="s">
        <v>1968</v>
      </c>
      <c r="J667" s="21" t="s">
        <v>1968</v>
      </c>
      <c r="K667" s="21" t="s">
        <v>1968</v>
      </c>
      <c r="L667" s="22" t="str">
        <f t="shared" si="50"/>
        <v>EXCLUDE</v>
      </c>
      <c r="M667" s="22" t="str">
        <f t="shared" si="51"/>
        <v>Wrong domain (non-AECO)</v>
      </c>
      <c r="N667" s="23"/>
      <c r="O667" s="23"/>
      <c r="P667" s="24"/>
      <c r="Q667" s="24"/>
      <c r="R667" s="24"/>
      <c r="S667" s="22" t="str">
        <f t="shared" si="52"/>
        <v/>
      </c>
      <c r="T667" s="22" t="str">
        <f t="shared" si="53"/>
        <v/>
      </c>
      <c r="U667" s="25"/>
      <c r="V667" s="25"/>
      <c r="W667" s="25"/>
      <c r="X667" s="25"/>
      <c r="Y667" s="22" t="str">
        <f t="shared" si="54"/>
        <v/>
      </c>
      <c r="Z667" s="25"/>
      <c r="AA667" s="25"/>
      <c r="AB667" s="25"/>
      <c r="AC667" s="25"/>
      <c r="AD667" s="25"/>
      <c r="AE667" s="25"/>
      <c r="AF667" s="25"/>
      <c r="AG667" s="9"/>
      <c r="AH667" s="29"/>
      <c r="AI667" s="29"/>
      <c r="AM667" s="50"/>
      <c r="AN667" s="51" t="s">
        <v>3989</v>
      </c>
      <c r="AO667" s="55" t="s">
        <v>1326</v>
      </c>
    </row>
    <row r="668" spans="1:41" ht="57" customHeight="1" x14ac:dyDescent="0.3">
      <c r="A668" s="20">
        <v>664</v>
      </c>
      <c r="B668" s="8" t="s">
        <v>3990</v>
      </c>
      <c r="C668" s="26">
        <v>2020</v>
      </c>
      <c r="D668" s="8"/>
      <c r="E668" s="8" t="s">
        <v>1329</v>
      </c>
      <c r="F668" s="20" t="s">
        <v>1969</v>
      </c>
      <c r="G668" s="21" t="s">
        <v>1968</v>
      </c>
      <c r="H668" s="21" t="s">
        <v>1979</v>
      </c>
      <c r="I668" s="21" t="s">
        <v>1968</v>
      </c>
      <c r="J668" s="21" t="s">
        <v>1968</v>
      </c>
      <c r="K668" s="21" t="s">
        <v>1968</v>
      </c>
      <c r="L668" s="22" t="str">
        <f t="shared" si="50"/>
        <v>EXCLUDE</v>
      </c>
      <c r="M668" s="22" t="str">
        <f t="shared" si="51"/>
        <v>Digital Twin not core / buzzword</v>
      </c>
      <c r="N668" s="23"/>
      <c r="O668" s="23"/>
      <c r="P668" s="24"/>
      <c r="Q668" s="24"/>
      <c r="R668" s="24"/>
      <c r="S668" s="22" t="str">
        <f t="shared" si="52"/>
        <v/>
      </c>
      <c r="T668" s="22" t="str">
        <f t="shared" si="53"/>
        <v/>
      </c>
      <c r="U668" s="25"/>
      <c r="V668" s="25"/>
      <c r="W668" s="25"/>
      <c r="X668" s="25"/>
      <c r="Y668" s="22" t="str">
        <f t="shared" si="54"/>
        <v/>
      </c>
      <c r="Z668" s="25"/>
      <c r="AA668" s="25"/>
      <c r="AB668" s="25"/>
      <c r="AC668" s="25"/>
      <c r="AD668" s="25"/>
      <c r="AE668" s="25"/>
      <c r="AF668" s="25"/>
      <c r="AG668" s="9"/>
      <c r="AH668" s="29"/>
      <c r="AI668" s="29"/>
      <c r="AM668" s="50"/>
      <c r="AN668" s="51" t="s">
        <v>3991</v>
      </c>
      <c r="AO668" s="55" t="s">
        <v>1328</v>
      </c>
    </row>
    <row r="669" spans="1:41" ht="68.400000000000006" customHeight="1" x14ac:dyDescent="0.3">
      <c r="A669" s="20">
        <v>665</v>
      </c>
      <c r="B669" s="8" t="s">
        <v>3992</v>
      </c>
      <c r="C669" s="26">
        <v>2022</v>
      </c>
      <c r="D669" s="8"/>
      <c r="E669" s="8" t="s">
        <v>1331</v>
      </c>
      <c r="F669" s="20" t="s">
        <v>1969</v>
      </c>
      <c r="G669" s="21" t="s">
        <v>1979</v>
      </c>
      <c r="H669" s="21" t="s">
        <v>1968</v>
      </c>
      <c r="I669" s="21" t="s">
        <v>1968</v>
      </c>
      <c r="J669" s="21" t="s">
        <v>1968</v>
      </c>
      <c r="K669" s="21" t="s">
        <v>1968</v>
      </c>
      <c r="L669" s="22" t="str">
        <f t="shared" si="50"/>
        <v>EXCLUDE</v>
      </c>
      <c r="M669" s="22" t="str">
        <f t="shared" si="51"/>
        <v>Wrong domain (non-AECO)</v>
      </c>
      <c r="N669" s="23"/>
      <c r="O669" s="23"/>
      <c r="P669" s="24"/>
      <c r="Q669" s="24"/>
      <c r="R669" s="24"/>
      <c r="S669" s="22" t="str">
        <f t="shared" si="52"/>
        <v/>
      </c>
      <c r="T669" s="22" t="str">
        <f t="shared" si="53"/>
        <v/>
      </c>
      <c r="U669" s="25"/>
      <c r="V669" s="25"/>
      <c r="W669" s="25"/>
      <c r="X669" s="25"/>
      <c r="Y669" s="22" t="str">
        <f t="shared" si="54"/>
        <v/>
      </c>
      <c r="Z669" s="25"/>
      <c r="AA669" s="25"/>
      <c r="AB669" s="25"/>
      <c r="AC669" s="25"/>
      <c r="AD669" s="25"/>
      <c r="AE669" s="25"/>
      <c r="AF669" s="25"/>
      <c r="AG669" s="9"/>
      <c r="AH669" s="29"/>
      <c r="AI669" s="29"/>
      <c r="AM669" s="50"/>
      <c r="AN669" s="51" t="s">
        <v>3993</v>
      </c>
      <c r="AO669" s="55" t="s">
        <v>1330</v>
      </c>
    </row>
    <row r="670" spans="1:41" ht="91.2" customHeight="1" x14ac:dyDescent="0.3">
      <c r="A670" s="20">
        <v>666</v>
      </c>
      <c r="B670" s="8" t="s">
        <v>3994</v>
      </c>
      <c r="C670" s="26">
        <v>2024</v>
      </c>
      <c r="D670" s="8"/>
      <c r="E670" s="8" t="s">
        <v>1333</v>
      </c>
      <c r="F670" s="20" t="s">
        <v>1969</v>
      </c>
      <c r="G670" s="21" t="s">
        <v>1968</v>
      </c>
      <c r="H670" s="21" t="s">
        <v>1968</v>
      </c>
      <c r="I670" s="21" t="s">
        <v>1968</v>
      </c>
      <c r="J670" s="21" t="s">
        <v>1968</v>
      </c>
      <c r="K670" s="21" t="s">
        <v>1968</v>
      </c>
      <c r="L670" s="22" t="str">
        <f t="shared" si="50"/>
        <v>INCLUDE</v>
      </c>
      <c r="M670" s="22" t="str">
        <f t="shared" si="51"/>
        <v/>
      </c>
      <c r="N670" s="23" t="s">
        <v>1968</v>
      </c>
      <c r="O670" s="23" t="s">
        <v>1968</v>
      </c>
      <c r="P670" s="24" t="s">
        <v>1968</v>
      </c>
      <c r="Q670" s="24" t="s">
        <v>1968</v>
      </c>
      <c r="R670" s="24" t="s">
        <v>1968</v>
      </c>
      <c r="S670" s="22" t="str">
        <f t="shared" si="52"/>
        <v>INCLUDE</v>
      </c>
      <c r="T670" s="22" t="str">
        <f t="shared" si="53"/>
        <v/>
      </c>
      <c r="U670" s="25" t="s">
        <v>1971</v>
      </c>
      <c r="V670" s="25">
        <v>0</v>
      </c>
      <c r="W670" s="25">
        <v>1</v>
      </c>
      <c r="X670" s="25">
        <v>0</v>
      </c>
      <c r="Y670" s="22" t="str">
        <f t="shared" si="54"/>
        <v>Single</v>
      </c>
      <c r="Z670" s="25" t="s">
        <v>1922</v>
      </c>
      <c r="AA670" s="25" t="s">
        <v>1972</v>
      </c>
      <c r="AB670" s="25" t="s">
        <v>1973</v>
      </c>
      <c r="AC670" s="25" t="s">
        <v>1974</v>
      </c>
      <c r="AD670" s="25" t="s">
        <v>2003</v>
      </c>
      <c r="AE670" s="25">
        <v>4</v>
      </c>
      <c r="AF670" s="25" t="s">
        <v>1996</v>
      </c>
      <c r="AG670" s="9" t="s">
        <v>3995</v>
      </c>
      <c r="AH670" s="29" t="s">
        <v>3996</v>
      </c>
      <c r="AI670" s="29" t="s">
        <v>3997</v>
      </c>
      <c r="AJ670" t="s">
        <v>1977</v>
      </c>
      <c r="AK670" t="s">
        <v>3998</v>
      </c>
      <c r="AL670" t="s">
        <v>1978</v>
      </c>
      <c r="AM670" s="50"/>
      <c r="AN670" s="51" t="s">
        <v>3999</v>
      </c>
      <c r="AO670" s="55" t="s">
        <v>1332</v>
      </c>
    </row>
    <row r="671" spans="1:41" ht="91.2" customHeight="1" x14ac:dyDescent="0.3">
      <c r="A671" s="20">
        <v>667</v>
      </c>
      <c r="B671" s="8" t="s">
        <v>4000</v>
      </c>
      <c r="C671" s="26">
        <v>2023</v>
      </c>
      <c r="D671" s="8"/>
      <c r="E671" s="8" t="s">
        <v>1335</v>
      </c>
      <c r="F671" s="20" t="s">
        <v>1969</v>
      </c>
      <c r="G671" s="21" t="s">
        <v>1979</v>
      </c>
      <c r="H671" s="21" t="s">
        <v>1968</v>
      </c>
      <c r="I671" s="21" t="s">
        <v>1968</v>
      </c>
      <c r="J671" s="21" t="s">
        <v>1968</v>
      </c>
      <c r="K671" s="21" t="s">
        <v>1979</v>
      </c>
      <c r="L671" s="22" t="str">
        <f t="shared" si="50"/>
        <v>EXCLUDE</v>
      </c>
      <c r="M671" s="22" t="str">
        <f t="shared" si="51"/>
        <v>Wrong domain (non-AECO)</v>
      </c>
      <c r="N671" s="23"/>
      <c r="O671" s="23"/>
      <c r="P671" s="24"/>
      <c r="Q671" s="24"/>
      <c r="R671" s="24"/>
      <c r="S671" s="22" t="str">
        <f t="shared" si="52"/>
        <v/>
      </c>
      <c r="T671" s="22" t="str">
        <f t="shared" si="53"/>
        <v/>
      </c>
      <c r="U671" s="25"/>
      <c r="V671" s="25"/>
      <c r="W671" s="25"/>
      <c r="X671" s="25"/>
      <c r="Y671" s="22" t="str">
        <f t="shared" si="54"/>
        <v/>
      </c>
      <c r="Z671" s="25"/>
      <c r="AA671" s="25"/>
      <c r="AB671" s="25"/>
      <c r="AC671" s="25"/>
      <c r="AD671" s="25"/>
      <c r="AE671" s="25"/>
      <c r="AF671" s="25"/>
      <c r="AG671" s="9"/>
      <c r="AH671" s="29"/>
      <c r="AI671" s="29"/>
      <c r="AM671" s="50"/>
      <c r="AN671" s="51" t="s">
        <v>4001</v>
      </c>
      <c r="AO671" s="55" t="s">
        <v>1334</v>
      </c>
    </row>
    <row r="672" spans="1:41" ht="34.200000000000003" customHeight="1" x14ac:dyDescent="0.3">
      <c r="A672" s="20">
        <v>668</v>
      </c>
      <c r="B672" s="8" t="s">
        <v>4002</v>
      </c>
      <c r="C672" s="26">
        <v>2025</v>
      </c>
      <c r="D672" s="8"/>
      <c r="E672" s="8" t="s">
        <v>1337</v>
      </c>
      <c r="F672" s="20" t="s">
        <v>1969</v>
      </c>
      <c r="G672" s="21" t="s">
        <v>1979</v>
      </c>
      <c r="H672" s="21" t="s">
        <v>1968</v>
      </c>
      <c r="I672" s="21" t="s">
        <v>1968</v>
      </c>
      <c r="J672" s="21" t="s">
        <v>1968</v>
      </c>
      <c r="K672" s="21" t="s">
        <v>1968</v>
      </c>
      <c r="L672" s="22" t="str">
        <f t="shared" si="50"/>
        <v>EXCLUDE</v>
      </c>
      <c r="M672" s="22" t="str">
        <f t="shared" si="51"/>
        <v>Wrong domain (non-AECO)</v>
      </c>
      <c r="N672" s="23"/>
      <c r="O672" s="23"/>
      <c r="P672" s="24"/>
      <c r="Q672" s="24"/>
      <c r="R672" s="24"/>
      <c r="S672" s="22" t="str">
        <f t="shared" si="52"/>
        <v/>
      </c>
      <c r="T672" s="22" t="str">
        <f t="shared" si="53"/>
        <v/>
      </c>
      <c r="U672" s="25"/>
      <c r="V672" s="25"/>
      <c r="W672" s="25"/>
      <c r="X672" s="25"/>
      <c r="Y672" s="22" t="str">
        <f t="shared" si="54"/>
        <v/>
      </c>
      <c r="Z672" s="25"/>
      <c r="AA672" s="25"/>
      <c r="AB672" s="25"/>
      <c r="AC672" s="25"/>
      <c r="AD672" s="25"/>
      <c r="AE672" s="25"/>
      <c r="AF672" s="25"/>
      <c r="AG672" s="9"/>
      <c r="AH672" s="29"/>
      <c r="AI672" s="29"/>
      <c r="AM672" s="50"/>
      <c r="AN672" s="51" t="s">
        <v>4003</v>
      </c>
      <c r="AO672" s="55" t="s">
        <v>1336</v>
      </c>
    </row>
    <row r="673" spans="1:41" ht="91.2" customHeight="1" x14ac:dyDescent="0.3">
      <c r="A673" s="20">
        <v>669</v>
      </c>
      <c r="B673" s="8" t="s">
        <v>4004</v>
      </c>
      <c r="C673" s="26">
        <v>2021</v>
      </c>
      <c r="D673" s="8"/>
      <c r="E673" s="8" t="s">
        <v>1339</v>
      </c>
      <c r="F673" s="20" t="s">
        <v>1969</v>
      </c>
      <c r="G673" s="21" t="s">
        <v>1968</v>
      </c>
      <c r="H673" s="21" t="s">
        <v>1968</v>
      </c>
      <c r="I673" s="21" t="s">
        <v>1968</v>
      </c>
      <c r="J673" s="21" t="s">
        <v>1968</v>
      </c>
      <c r="K673" s="21" t="s">
        <v>1968</v>
      </c>
      <c r="L673" s="22" t="str">
        <f t="shared" si="50"/>
        <v>INCLUDE</v>
      </c>
      <c r="M673" s="22" t="str">
        <f t="shared" si="51"/>
        <v/>
      </c>
      <c r="N673" s="23" t="s">
        <v>1968</v>
      </c>
      <c r="O673" s="23" t="s">
        <v>1968</v>
      </c>
      <c r="P673" s="24" t="s">
        <v>1968</v>
      </c>
      <c r="Q673" s="24" t="s">
        <v>1968</v>
      </c>
      <c r="R673" s="24" t="s">
        <v>1968</v>
      </c>
      <c r="S673" s="22" t="str">
        <f t="shared" si="52"/>
        <v>INCLUDE</v>
      </c>
      <c r="T673" s="22" t="str">
        <f t="shared" si="53"/>
        <v/>
      </c>
      <c r="U673" s="25" t="s">
        <v>1971</v>
      </c>
      <c r="V673" s="25">
        <v>0</v>
      </c>
      <c r="W673" s="25">
        <v>0</v>
      </c>
      <c r="X673" s="25">
        <v>1</v>
      </c>
      <c r="Y673" s="22" t="str">
        <f t="shared" si="54"/>
        <v>Single</v>
      </c>
      <c r="Z673" s="25" t="s">
        <v>1922</v>
      </c>
      <c r="AA673" s="25" t="s">
        <v>1972</v>
      </c>
      <c r="AB673" s="25" t="s">
        <v>2017</v>
      </c>
      <c r="AC673" s="25" t="s">
        <v>1986</v>
      </c>
      <c r="AD673" s="25" t="s">
        <v>2003</v>
      </c>
      <c r="AE673" s="25">
        <v>3</v>
      </c>
      <c r="AF673" s="25" t="s">
        <v>2004</v>
      </c>
      <c r="AG673" s="9" t="s">
        <v>4005</v>
      </c>
      <c r="AH673" s="29" t="s">
        <v>4006</v>
      </c>
      <c r="AI673" s="29" t="s">
        <v>4007</v>
      </c>
      <c r="AJ673" t="s">
        <v>2005</v>
      </c>
      <c r="AK673" t="s">
        <v>4008</v>
      </c>
      <c r="AL673" t="s">
        <v>1998</v>
      </c>
      <c r="AM673" s="50" t="s">
        <v>2098</v>
      </c>
      <c r="AN673" s="51" t="s">
        <v>4009</v>
      </c>
      <c r="AO673" s="55" t="s">
        <v>1338</v>
      </c>
    </row>
    <row r="674" spans="1:41" ht="79.8" customHeight="1" x14ac:dyDescent="0.3">
      <c r="A674" s="20">
        <v>670</v>
      </c>
      <c r="B674" s="8" t="s">
        <v>4010</v>
      </c>
      <c r="C674" s="26">
        <v>2022</v>
      </c>
      <c r="D674" s="8"/>
      <c r="E674" s="8" t="s">
        <v>1341</v>
      </c>
      <c r="F674" s="20" t="s">
        <v>1969</v>
      </c>
      <c r="G674" s="21" t="s">
        <v>1968</v>
      </c>
      <c r="H674" s="21" t="s">
        <v>1979</v>
      </c>
      <c r="I674" s="21" t="s">
        <v>1968</v>
      </c>
      <c r="J674" s="21" t="s">
        <v>1968</v>
      </c>
      <c r="K674" s="21" t="s">
        <v>1968</v>
      </c>
      <c r="L674" s="22" t="str">
        <f t="shared" si="50"/>
        <v>EXCLUDE</v>
      </c>
      <c r="M674" s="22" t="str">
        <f t="shared" si="51"/>
        <v>Digital Twin not core / buzzword</v>
      </c>
      <c r="N674" s="23"/>
      <c r="O674" s="23"/>
      <c r="P674" s="24"/>
      <c r="Q674" s="24"/>
      <c r="R674" s="24"/>
      <c r="S674" s="22" t="str">
        <f t="shared" si="52"/>
        <v/>
      </c>
      <c r="T674" s="22" t="str">
        <f t="shared" si="53"/>
        <v/>
      </c>
      <c r="U674" s="25"/>
      <c r="V674" s="25"/>
      <c r="W674" s="25"/>
      <c r="X674" s="25"/>
      <c r="Y674" s="22" t="str">
        <f t="shared" si="54"/>
        <v/>
      </c>
      <c r="Z674" s="25"/>
      <c r="AA674" s="25"/>
      <c r="AB674" s="25"/>
      <c r="AC674" s="25"/>
      <c r="AD674" s="25"/>
      <c r="AE674" s="25"/>
      <c r="AF674" s="25"/>
      <c r="AG674" s="9"/>
      <c r="AH674" s="29"/>
      <c r="AI674" s="29"/>
      <c r="AM674" s="50"/>
      <c r="AN674" s="51" t="s">
        <v>4011</v>
      </c>
      <c r="AO674" s="55" t="s">
        <v>1340</v>
      </c>
    </row>
    <row r="675" spans="1:41" ht="79.8" customHeight="1" x14ac:dyDescent="0.3">
      <c r="A675" s="20">
        <v>671</v>
      </c>
      <c r="B675" s="8" t="s">
        <v>4012</v>
      </c>
      <c r="C675" s="26">
        <v>2023</v>
      </c>
      <c r="D675" s="8"/>
      <c r="E675" s="8" t="s">
        <v>1343</v>
      </c>
      <c r="F675" s="20" t="s">
        <v>1969</v>
      </c>
      <c r="G675" s="21" t="s">
        <v>1968</v>
      </c>
      <c r="H675" s="21" t="s">
        <v>1968</v>
      </c>
      <c r="I675" s="21" t="s">
        <v>1968</v>
      </c>
      <c r="J675" s="21" t="s">
        <v>1968</v>
      </c>
      <c r="K675" s="21" t="s">
        <v>1968</v>
      </c>
      <c r="L675" s="22" t="str">
        <f t="shared" si="50"/>
        <v>INCLUDE</v>
      </c>
      <c r="M675" s="22" t="str">
        <f t="shared" si="51"/>
        <v/>
      </c>
      <c r="N675" s="23" t="s">
        <v>1968</v>
      </c>
      <c r="O675" s="23" t="s">
        <v>1968</v>
      </c>
      <c r="P675" s="24" t="s">
        <v>1968</v>
      </c>
      <c r="Q675" s="24" t="s">
        <v>1968</v>
      </c>
      <c r="R675" s="24" t="s">
        <v>1968</v>
      </c>
      <c r="S675" s="22" t="str">
        <f t="shared" si="52"/>
        <v>INCLUDE</v>
      </c>
      <c r="T675" s="22" t="str">
        <f t="shared" si="53"/>
        <v/>
      </c>
      <c r="U675" s="25" t="s">
        <v>1971</v>
      </c>
      <c r="V675" s="25">
        <v>0</v>
      </c>
      <c r="W675" s="25">
        <v>0</v>
      </c>
      <c r="X675" s="25">
        <v>1</v>
      </c>
      <c r="Y675" s="22" t="str">
        <f t="shared" si="54"/>
        <v>Single</v>
      </c>
      <c r="Z675" s="25" t="s">
        <v>1922</v>
      </c>
      <c r="AA675" s="25" t="s">
        <v>1972</v>
      </c>
      <c r="AB675" s="25" t="s">
        <v>2018</v>
      </c>
      <c r="AC675" s="25" t="s">
        <v>1974</v>
      </c>
      <c r="AD675" s="25" t="s">
        <v>2003</v>
      </c>
      <c r="AE675" s="25">
        <v>3</v>
      </c>
      <c r="AF675" s="25" t="s">
        <v>2004</v>
      </c>
      <c r="AG675" s="9" t="s">
        <v>4013</v>
      </c>
      <c r="AH675" s="29" t="s">
        <v>4014</v>
      </c>
      <c r="AI675" s="29" t="s">
        <v>4015</v>
      </c>
      <c r="AJ675" t="s">
        <v>1977</v>
      </c>
      <c r="AK675" t="s">
        <v>4016</v>
      </c>
      <c r="AL675" t="s">
        <v>1998</v>
      </c>
      <c r="AM675" s="50" t="s">
        <v>2098</v>
      </c>
      <c r="AN675" s="51" t="s">
        <v>4017</v>
      </c>
      <c r="AO675" s="55" t="s">
        <v>1342</v>
      </c>
    </row>
    <row r="676" spans="1:41" ht="45.6" customHeight="1" x14ac:dyDescent="0.3">
      <c r="A676" s="20">
        <v>672</v>
      </c>
      <c r="B676" s="8" t="s">
        <v>4018</v>
      </c>
      <c r="C676" s="26">
        <v>2025</v>
      </c>
      <c r="D676" s="8"/>
      <c r="E676" s="8" t="s">
        <v>1345</v>
      </c>
      <c r="F676" s="20" t="s">
        <v>1969</v>
      </c>
      <c r="G676" s="21" t="s">
        <v>1968</v>
      </c>
      <c r="H676" s="21" t="s">
        <v>1979</v>
      </c>
      <c r="I676" s="21" t="s">
        <v>1968</v>
      </c>
      <c r="J676" s="21" t="s">
        <v>1968</v>
      </c>
      <c r="K676" s="21" t="s">
        <v>1968</v>
      </c>
      <c r="L676" s="22" t="str">
        <f t="shared" si="50"/>
        <v>EXCLUDE</v>
      </c>
      <c r="M676" s="22" t="str">
        <f t="shared" si="51"/>
        <v>Digital Twin not core / buzzword</v>
      </c>
      <c r="N676" s="23"/>
      <c r="O676" s="23"/>
      <c r="P676" s="24"/>
      <c r="Q676" s="24"/>
      <c r="R676" s="24"/>
      <c r="S676" s="22" t="str">
        <f t="shared" si="52"/>
        <v/>
      </c>
      <c r="T676" s="22" t="str">
        <f t="shared" si="53"/>
        <v/>
      </c>
      <c r="U676" s="25"/>
      <c r="V676" s="25"/>
      <c r="W676" s="25"/>
      <c r="X676" s="25"/>
      <c r="Y676" s="22" t="str">
        <f t="shared" si="54"/>
        <v/>
      </c>
      <c r="Z676" s="25"/>
      <c r="AA676" s="25"/>
      <c r="AB676" s="25"/>
      <c r="AC676" s="25"/>
      <c r="AD676" s="25"/>
      <c r="AE676" s="25"/>
      <c r="AF676" s="25"/>
      <c r="AG676" s="9"/>
      <c r="AH676" s="29"/>
      <c r="AI676" s="29"/>
      <c r="AM676" s="50"/>
      <c r="AN676" s="51" t="s">
        <v>4019</v>
      </c>
      <c r="AO676" s="55" t="s">
        <v>1344</v>
      </c>
    </row>
    <row r="677" spans="1:41" ht="22.8" customHeight="1" x14ac:dyDescent="0.3">
      <c r="A677" s="20">
        <v>673</v>
      </c>
      <c r="B677" s="8" t="s">
        <v>4020</v>
      </c>
      <c r="C677" s="26">
        <v>2022</v>
      </c>
      <c r="D677" s="8"/>
      <c r="E677" s="8" t="s">
        <v>1347</v>
      </c>
      <c r="F677" s="20" t="s">
        <v>1969</v>
      </c>
      <c r="G677" s="21" t="s">
        <v>1979</v>
      </c>
      <c r="H677" s="21" t="s">
        <v>1968</v>
      </c>
      <c r="I677" s="21" t="s">
        <v>1968</v>
      </c>
      <c r="J677" s="21" t="s">
        <v>1968</v>
      </c>
      <c r="K677" s="21" t="s">
        <v>1968</v>
      </c>
      <c r="L677" s="22" t="str">
        <f t="shared" si="50"/>
        <v>EXCLUDE</v>
      </c>
      <c r="M677" s="22" t="str">
        <f t="shared" si="51"/>
        <v>Wrong domain (non-AECO)</v>
      </c>
      <c r="N677" s="23"/>
      <c r="O677" s="23"/>
      <c r="P677" s="24"/>
      <c r="Q677" s="24"/>
      <c r="R677" s="24"/>
      <c r="S677" s="22" t="str">
        <f t="shared" si="52"/>
        <v/>
      </c>
      <c r="T677" s="22" t="str">
        <f t="shared" si="53"/>
        <v/>
      </c>
      <c r="U677" s="25"/>
      <c r="V677" s="25"/>
      <c r="W677" s="25"/>
      <c r="X677" s="25"/>
      <c r="Y677" s="22" t="str">
        <f t="shared" si="54"/>
        <v/>
      </c>
      <c r="Z677" s="25"/>
      <c r="AA677" s="25"/>
      <c r="AB677" s="25"/>
      <c r="AC677" s="25"/>
      <c r="AD677" s="25"/>
      <c r="AE677" s="25"/>
      <c r="AF677" s="25"/>
      <c r="AG677" s="9"/>
      <c r="AH677" s="29"/>
      <c r="AI677" s="29"/>
      <c r="AM677" s="50"/>
      <c r="AN677" s="51" t="s">
        <v>4021</v>
      </c>
      <c r="AO677" s="55" t="s">
        <v>1346</v>
      </c>
    </row>
    <row r="678" spans="1:41" ht="45.6" customHeight="1" x14ac:dyDescent="0.3">
      <c r="A678" s="20">
        <v>674</v>
      </c>
      <c r="B678" s="8" t="s">
        <v>4022</v>
      </c>
      <c r="C678" s="26">
        <v>2021</v>
      </c>
      <c r="D678" s="8"/>
      <c r="E678" s="8" t="s">
        <v>1349</v>
      </c>
      <c r="F678" s="20" t="s">
        <v>1969</v>
      </c>
      <c r="G678" s="21" t="s">
        <v>1979</v>
      </c>
      <c r="H678" s="21" t="s">
        <v>1968</v>
      </c>
      <c r="I678" s="21" t="s">
        <v>1968</v>
      </c>
      <c r="J678" s="21" t="s">
        <v>1968</v>
      </c>
      <c r="K678" s="21" t="s">
        <v>1968</v>
      </c>
      <c r="L678" s="22" t="str">
        <f t="shared" si="50"/>
        <v>EXCLUDE</v>
      </c>
      <c r="M678" s="22" t="str">
        <f t="shared" si="51"/>
        <v>Wrong domain (non-AECO)</v>
      </c>
      <c r="N678" s="23"/>
      <c r="O678" s="23"/>
      <c r="P678" s="24"/>
      <c r="Q678" s="24"/>
      <c r="R678" s="24"/>
      <c r="S678" s="22" t="str">
        <f t="shared" si="52"/>
        <v/>
      </c>
      <c r="T678" s="22" t="str">
        <f t="shared" si="53"/>
        <v/>
      </c>
      <c r="U678" s="25"/>
      <c r="V678" s="25"/>
      <c r="W678" s="25"/>
      <c r="X678" s="25"/>
      <c r="Y678" s="22" t="str">
        <f t="shared" si="54"/>
        <v/>
      </c>
      <c r="Z678" s="25"/>
      <c r="AA678" s="25"/>
      <c r="AB678" s="25"/>
      <c r="AC678" s="25"/>
      <c r="AD678" s="25"/>
      <c r="AE678" s="25"/>
      <c r="AF678" s="25"/>
      <c r="AG678" s="9"/>
      <c r="AH678" s="29"/>
      <c r="AI678" s="29"/>
      <c r="AM678" s="50"/>
      <c r="AN678" s="51" t="s">
        <v>4023</v>
      </c>
      <c r="AO678" s="55" t="s">
        <v>1348</v>
      </c>
    </row>
    <row r="679" spans="1:41" ht="34.200000000000003" customHeight="1" x14ac:dyDescent="0.3">
      <c r="A679" s="20">
        <v>675</v>
      </c>
      <c r="B679" s="8" t="s">
        <v>4024</v>
      </c>
      <c r="C679" s="26">
        <v>2020</v>
      </c>
      <c r="D679" s="8"/>
      <c r="E679" s="8" t="s">
        <v>1351</v>
      </c>
      <c r="F679" s="20" t="s">
        <v>1969</v>
      </c>
      <c r="G679" s="21" t="s">
        <v>1968</v>
      </c>
      <c r="H679" s="21" t="s">
        <v>1979</v>
      </c>
      <c r="I679" s="21" t="s">
        <v>1968</v>
      </c>
      <c r="J679" s="21" t="s">
        <v>1968</v>
      </c>
      <c r="K679" s="21" t="s">
        <v>1968</v>
      </c>
      <c r="L679" s="22" t="str">
        <f t="shared" si="50"/>
        <v>EXCLUDE</v>
      </c>
      <c r="M679" s="22" t="str">
        <f t="shared" si="51"/>
        <v>Digital Twin not core / buzzword</v>
      </c>
      <c r="N679" s="23"/>
      <c r="O679" s="23"/>
      <c r="P679" s="24"/>
      <c r="Q679" s="24"/>
      <c r="R679" s="24"/>
      <c r="S679" s="22" t="str">
        <f t="shared" si="52"/>
        <v/>
      </c>
      <c r="T679" s="22" t="str">
        <f t="shared" si="53"/>
        <v/>
      </c>
      <c r="U679" s="25"/>
      <c r="V679" s="25"/>
      <c r="W679" s="25"/>
      <c r="X679" s="25"/>
      <c r="Y679" s="22" t="str">
        <f t="shared" si="54"/>
        <v/>
      </c>
      <c r="Z679" s="25"/>
      <c r="AA679" s="25"/>
      <c r="AB679" s="25"/>
      <c r="AC679" s="25"/>
      <c r="AD679" s="25"/>
      <c r="AE679" s="25"/>
      <c r="AF679" s="25"/>
      <c r="AG679" s="9"/>
      <c r="AH679" s="29"/>
      <c r="AI679" s="29"/>
      <c r="AM679" s="50"/>
      <c r="AN679" s="51" t="s">
        <v>4025</v>
      </c>
      <c r="AO679" s="55" t="s">
        <v>1350</v>
      </c>
    </row>
    <row r="680" spans="1:41" ht="45.6" customHeight="1" x14ac:dyDescent="0.3">
      <c r="A680" s="20">
        <v>676</v>
      </c>
      <c r="B680" s="8" t="s">
        <v>4026</v>
      </c>
      <c r="C680" s="26">
        <v>2024</v>
      </c>
      <c r="D680" s="8"/>
      <c r="E680" s="8" t="s">
        <v>1353</v>
      </c>
      <c r="F680" s="20" t="s">
        <v>1969</v>
      </c>
      <c r="G680" s="21" t="s">
        <v>1968</v>
      </c>
      <c r="H680" s="21" t="s">
        <v>1979</v>
      </c>
      <c r="I680" s="21" t="s">
        <v>1968</v>
      </c>
      <c r="J680" s="21" t="s">
        <v>1968</v>
      </c>
      <c r="K680" s="21" t="s">
        <v>1968</v>
      </c>
      <c r="L680" s="22" t="str">
        <f t="shared" si="50"/>
        <v>EXCLUDE</v>
      </c>
      <c r="M680" s="22" t="str">
        <f t="shared" si="51"/>
        <v>Digital Twin not core / buzzword</v>
      </c>
      <c r="N680" s="23"/>
      <c r="O680" s="23"/>
      <c r="P680" s="24"/>
      <c r="Q680" s="24"/>
      <c r="R680" s="24"/>
      <c r="S680" s="22" t="str">
        <f t="shared" si="52"/>
        <v/>
      </c>
      <c r="T680" s="22" t="str">
        <f t="shared" si="53"/>
        <v/>
      </c>
      <c r="U680" s="25"/>
      <c r="V680" s="25"/>
      <c r="W680" s="25"/>
      <c r="X680" s="25"/>
      <c r="Y680" s="22" t="str">
        <f t="shared" si="54"/>
        <v/>
      </c>
      <c r="Z680" s="25"/>
      <c r="AA680" s="25"/>
      <c r="AB680" s="25"/>
      <c r="AC680" s="25"/>
      <c r="AD680" s="25"/>
      <c r="AE680" s="25"/>
      <c r="AF680" s="25"/>
      <c r="AG680" s="9"/>
      <c r="AH680" s="29"/>
      <c r="AI680" s="29"/>
      <c r="AM680" s="50"/>
      <c r="AN680" s="51" t="s">
        <v>4027</v>
      </c>
      <c r="AO680" s="55" t="s">
        <v>1352</v>
      </c>
    </row>
    <row r="681" spans="1:41" ht="102.6" customHeight="1" x14ac:dyDescent="0.3">
      <c r="A681" s="20">
        <v>677</v>
      </c>
      <c r="B681" s="8" t="s">
        <v>3563</v>
      </c>
      <c r="C681" s="26">
        <v>2023</v>
      </c>
      <c r="D681" s="8"/>
      <c r="E681" s="8" t="s">
        <v>1355</v>
      </c>
      <c r="F681" s="20" t="s">
        <v>1969</v>
      </c>
      <c r="G681" s="21" t="s">
        <v>1968</v>
      </c>
      <c r="H681" s="21" t="s">
        <v>1968</v>
      </c>
      <c r="I681" s="21" t="s">
        <v>1968</v>
      </c>
      <c r="J681" s="21" t="s">
        <v>1968</v>
      </c>
      <c r="K681" s="21" t="s">
        <v>1968</v>
      </c>
      <c r="L681" s="22" t="str">
        <f t="shared" si="50"/>
        <v>INCLUDE</v>
      </c>
      <c r="M681" s="22" t="str">
        <f t="shared" si="51"/>
        <v/>
      </c>
      <c r="N681" s="23" t="s">
        <v>1968</v>
      </c>
      <c r="O681" s="23" t="s">
        <v>1968</v>
      </c>
      <c r="P681" s="24" t="s">
        <v>1968</v>
      </c>
      <c r="Q681" s="24" t="s">
        <v>1968</v>
      </c>
      <c r="R681" s="24" t="s">
        <v>1968</v>
      </c>
      <c r="S681" s="22" t="str">
        <f t="shared" si="52"/>
        <v>INCLUDE</v>
      </c>
      <c r="T681" s="22" t="str">
        <f t="shared" si="53"/>
        <v/>
      </c>
      <c r="U681" s="25" t="s">
        <v>1982</v>
      </c>
      <c r="V681" s="25">
        <v>0</v>
      </c>
      <c r="W681" s="25">
        <v>0</v>
      </c>
      <c r="X681" s="25">
        <v>1</v>
      </c>
      <c r="Y681" s="22" t="str">
        <f t="shared" si="54"/>
        <v>Single</v>
      </c>
      <c r="Z681" s="25" t="s">
        <v>1922</v>
      </c>
      <c r="AA681" s="25" t="s">
        <v>1993</v>
      </c>
      <c r="AB681" s="25" t="s">
        <v>2008</v>
      </c>
      <c r="AC681" s="25" t="s">
        <v>1986</v>
      </c>
      <c r="AD681" s="25" t="s">
        <v>2003</v>
      </c>
      <c r="AE681" s="25">
        <v>4</v>
      </c>
      <c r="AF681" s="25" t="s">
        <v>2010</v>
      </c>
      <c r="AG681" s="9" t="s">
        <v>4028</v>
      </c>
      <c r="AH681" s="29" t="s">
        <v>4029</v>
      </c>
      <c r="AI681" s="29" t="s">
        <v>4030</v>
      </c>
      <c r="AJ681" t="s">
        <v>2005</v>
      </c>
      <c r="AK681" t="s">
        <v>4031</v>
      </c>
      <c r="AL681" t="s">
        <v>1978</v>
      </c>
      <c r="AM681" s="50"/>
      <c r="AN681" s="51" t="s">
        <v>4032</v>
      </c>
      <c r="AO681" s="55" t="s">
        <v>1354</v>
      </c>
    </row>
    <row r="682" spans="1:41" ht="91.2" customHeight="1" x14ac:dyDescent="0.3">
      <c r="A682" s="20">
        <v>678</v>
      </c>
      <c r="B682" s="8" t="s">
        <v>4033</v>
      </c>
      <c r="C682" s="26">
        <v>2025</v>
      </c>
      <c r="D682" s="8"/>
      <c r="E682" s="8" t="s">
        <v>1357</v>
      </c>
      <c r="F682" s="20" t="s">
        <v>1969</v>
      </c>
      <c r="G682" s="21" t="s">
        <v>1968</v>
      </c>
      <c r="H682" s="21" t="s">
        <v>1968</v>
      </c>
      <c r="I682" s="21" t="s">
        <v>1968</v>
      </c>
      <c r="J682" s="21" t="s">
        <v>1968</v>
      </c>
      <c r="K682" s="21" t="s">
        <v>1968</v>
      </c>
      <c r="L682" s="22" t="str">
        <f t="shared" si="50"/>
        <v>INCLUDE</v>
      </c>
      <c r="M682" s="22" t="str">
        <f t="shared" si="51"/>
        <v/>
      </c>
      <c r="N682" s="23" t="s">
        <v>1968</v>
      </c>
      <c r="O682" s="23" t="s">
        <v>1968</v>
      </c>
      <c r="P682" s="24" t="s">
        <v>1968</v>
      </c>
      <c r="Q682" s="24" t="s">
        <v>1968</v>
      </c>
      <c r="R682" s="24" t="s">
        <v>1968</v>
      </c>
      <c r="S682" s="22" t="str">
        <f t="shared" si="52"/>
        <v>INCLUDE</v>
      </c>
      <c r="T682" s="22" t="str">
        <f t="shared" si="53"/>
        <v/>
      </c>
      <c r="U682" s="25" t="s">
        <v>1971</v>
      </c>
      <c r="V682" s="25">
        <v>0</v>
      </c>
      <c r="W682" s="25">
        <v>0</v>
      </c>
      <c r="X682" s="25">
        <v>1</v>
      </c>
      <c r="Y682" s="22" t="str">
        <f t="shared" si="54"/>
        <v>Single</v>
      </c>
      <c r="Z682" s="25" t="s">
        <v>1922</v>
      </c>
      <c r="AA682" s="25" t="s">
        <v>1972</v>
      </c>
      <c r="AB682" s="25" t="s">
        <v>2017</v>
      </c>
      <c r="AC682" s="25" t="s">
        <v>1974</v>
      </c>
      <c r="AD682" s="25" t="s">
        <v>2003</v>
      </c>
      <c r="AE682" s="25">
        <v>3</v>
      </c>
      <c r="AF682" s="25" t="s">
        <v>2004</v>
      </c>
      <c r="AG682" s="9" t="s">
        <v>4034</v>
      </c>
      <c r="AH682" s="29" t="s">
        <v>4035</v>
      </c>
      <c r="AI682" s="29" t="s">
        <v>4036</v>
      </c>
      <c r="AJ682" t="s">
        <v>1977</v>
      </c>
      <c r="AK682" t="s">
        <v>4037</v>
      </c>
      <c r="AL682" t="s">
        <v>1978</v>
      </c>
      <c r="AM682" s="50"/>
      <c r="AN682" s="51" t="s">
        <v>4038</v>
      </c>
      <c r="AO682" s="55" t="s">
        <v>1356</v>
      </c>
    </row>
    <row r="683" spans="1:41" ht="68.400000000000006" customHeight="1" x14ac:dyDescent="0.3">
      <c r="A683" s="20">
        <v>679</v>
      </c>
      <c r="B683" s="8" t="s">
        <v>4039</v>
      </c>
      <c r="C683" s="26">
        <v>2023</v>
      </c>
      <c r="D683" s="8"/>
      <c r="E683" s="8" t="s">
        <v>1359</v>
      </c>
      <c r="F683" s="20" t="s">
        <v>1969</v>
      </c>
      <c r="G683" s="21" t="s">
        <v>1979</v>
      </c>
      <c r="H683" s="21" t="s">
        <v>1968</v>
      </c>
      <c r="I683" s="21" t="s">
        <v>1968</v>
      </c>
      <c r="J683" s="21" t="s">
        <v>1968</v>
      </c>
      <c r="K683" s="21" t="s">
        <v>1968</v>
      </c>
      <c r="L683" s="22" t="str">
        <f t="shared" si="50"/>
        <v>EXCLUDE</v>
      </c>
      <c r="M683" s="22" t="str">
        <f t="shared" si="51"/>
        <v>Wrong domain (non-AECO)</v>
      </c>
      <c r="N683" s="23"/>
      <c r="O683" s="23"/>
      <c r="P683" s="24"/>
      <c r="Q683" s="24"/>
      <c r="R683" s="24"/>
      <c r="S683" s="22" t="str">
        <f t="shared" si="52"/>
        <v/>
      </c>
      <c r="T683" s="22" t="str">
        <f t="shared" si="53"/>
        <v/>
      </c>
      <c r="U683" s="25"/>
      <c r="V683" s="25"/>
      <c r="W683" s="25"/>
      <c r="X683" s="25"/>
      <c r="Y683" s="22" t="str">
        <f t="shared" si="54"/>
        <v/>
      </c>
      <c r="Z683" s="25"/>
      <c r="AA683" s="25"/>
      <c r="AB683" s="25"/>
      <c r="AC683" s="25"/>
      <c r="AD683" s="25"/>
      <c r="AE683" s="25"/>
      <c r="AF683" s="25"/>
      <c r="AG683" s="9"/>
      <c r="AH683" s="29"/>
      <c r="AI683" s="29"/>
      <c r="AM683" s="50"/>
      <c r="AN683" s="51" t="s">
        <v>4040</v>
      </c>
      <c r="AO683" s="55" t="s">
        <v>1358</v>
      </c>
    </row>
    <row r="684" spans="1:41" ht="57" customHeight="1" x14ac:dyDescent="0.3">
      <c r="A684" s="20">
        <v>680</v>
      </c>
      <c r="B684" s="8" t="s">
        <v>4041</v>
      </c>
      <c r="C684" s="26">
        <v>2025</v>
      </c>
      <c r="D684" s="8"/>
      <c r="E684" s="8" t="s">
        <v>1361</v>
      </c>
      <c r="F684" s="20" t="s">
        <v>1969</v>
      </c>
      <c r="G684" s="21" t="s">
        <v>1968</v>
      </c>
      <c r="H684" s="21" t="s">
        <v>1979</v>
      </c>
      <c r="I684" s="21" t="s">
        <v>1968</v>
      </c>
      <c r="J684" s="21" t="s">
        <v>1968</v>
      </c>
      <c r="K684" s="21" t="s">
        <v>1968</v>
      </c>
      <c r="L684" s="22" t="str">
        <f t="shared" si="50"/>
        <v>EXCLUDE</v>
      </c>
      <c r="M684" s="22" t="str">
        <f t="shared" si="51"/>
        <v>Digital Twin not core / buzzword</v>
      </c>
      <c r="N684" s="23"/>
      <c r="O684" s="23"/>
      <c r="P684" s="24"/>
      <c r="Q684" s="24"/>
      <c r="R684" s="24"/>
      <c r="S684" s="22" t="str">
        <f t="shared" si="52"/>
        <v/>
      </c>
      <c r="T684" s="22" t="str">
        <f t="shared" si="53"/>
        <v/>
      </c>
      <c r="U684" s="25"/>
      <c r="V684" s="25"/>
      <c r="W684" s="25"/>
      <c r="X684" s="25"/>
      <c r="Y684" s="22" t="str">
        <f t="shared" si="54"/>
        <v/>
      </c>
      <c r="Z684" s="25"/>
      <c r="AA684" s="25"/>
      <c r="AB684" s="25"/>
      <c r="AC684" s="25"/>
      <c r="AD684" s="25"/>
      <c r="AE684" s="25"/>
      <c r="AF684" s="25"/>
      <c r="AG684" s="9"/>
      <c r="AH684" s="29"/>
      <c r="AI684" s="29"/>
      <c r="AM684" s="50"/>
      <c r="AN684" s="51" t="s">
        <v>4042</v>
      </c>
      <c r="AO684" s="55" t="s">
        <v>1360</v>
      </c>
    </row>
    <row r="685" spans="1:41" ht="57" customHeight="1" x14ac:dyDescent="0.3">
      <c r="A685" s="20">
        <v>681</v>
      </c>
      <c r="B685" s="8" t="s">
        <v>4043</v>
      </c>
      <c r="C685" s="26">
        <v>2023</v>
      </c>
      <c r="D685" s="8"/>
      <c r="E685" s="8" t="s">
        <v>1363</v>
      </c>
      <c r="F685" s="20" t="s">
        <v>1969</v>
      </c>
      <c r="G685" s="21" t="s">
        <v>1979</v>
      </c>
      <c r="H685" s="21" t="s">
        <v>1968</v>
      </c>
      <c r="I685" s="21" t="s">
        <v>1968</v>
      </c>
      <c r="J685" s="21" t="s">
        <v>1968</v>
      </c>
      <c r="K685" s="21" t="s">
        <v>1968</v>
      </c>
      <c r="L685" s="22" t="str">
        <f t="shared" si="50"/>
        <v>EXCLUDE</v>
      </c>
      <c r="M685" s="22" t="str">
        <f t="shared" si="51"/>
        <v>Wrong domain (non-AECO)</v>
      </c>
      <c r="N685" s="23"/>
      <c r="O685" s="23"/>
      <c r="P685" s="24"/>
      <c r="Q685" s="24"/>
      <c r="R685" s="24"/>
      <c r="S685" s="22" t="str">
        <f t="shared" si="52"/>
        <v/>
      </c>
      <c r="T685" s="22" t="str">
        <f t="shared" si="53"/>
        <v/>
      </c>
      <c r="U685" s="25"/>
      <c r="V685" s="25"/>
      <c r="W685" s="25"/>
      <c r="X685" s="25"/>
      <c r="Y685" s="22" t="str">
        <f t="shared" si="54"/>
        <v/>
      </c>
      <c r="Z685" s="25"/>
      <c r="AA685" s="25"/>
      <c r="AB685" s="25"/>
      <c r="AC685" s="25"/>
      <c r="AD685" s="25"/>
      <c r="AE685" s="25"/>
      <c r="AF685" s="25"/>
      <c r="AG685" s="9"/>
      <c r="AH685" s="29"/>
      <c r="AI685" s="29"/>
      <c r="AM685" s="50"/>
      <c r="AN685" s="51" t="s">
        <v>4044</v>
      </c>
      <c r="AO685" s="55" t="s">
        <v>1362</v>
      </c>
    </row>
    <row r="686" spans="1:41" ht="45.6" customHeight="1" x14ac:dyDescent="0.3">
      <c r="A686" s="20">
        <v>682</v>
      </c>
      <c r="B686" s="8" t="s">
        <v>4045</v>
      </c>
      <c r="C686" s="26">
        <v>2022</v>
      </c>
      <c r="D686" s="8"/>
      <c r="E686" s="8" t="s">
        <v>1365</v>
      </c>
      <c r="F686" s="20" t="s">
        <v>1969</v>
      </c>
      <c r="G686" s="21" t="s">
        <v>1968</v>
      </c>
      <c r="H686" s="21" t="s">
        <v>1968</v>
      </c>
      <c r="I686" s="21" t="s">
        <v>1979</v>
      </c>
      <c r="J686" s="21" t="s">
        <v>1968</v>
      </c>
      <c r="K686" s="21" t="s">
        <v>1968</v>
      </c>
      <c r="L686" s="22" t="str">
        <f t="shared" si="50"/>
        <v>EXCLUDE</v>
      </c>
      <c r="M686" s="22" t="str">
        <f t="shared" si="51"/>
        <v>No Design for Safety / PtD focus</v>
      </c>
      <c r="N686" s="23"/>
      <c r="O686" s="23"/>
      <c r="P686" s="24"/>
      <c r="Q686" s="24"/>
      <c r="R686" s="24"/>
      <c r="S686" s="22" t="str">
        <f t="shared" si="52"/>
        <v/>
      </c>
      <c r="T686" s="22" t="str">
        <f t="shared" si="53"/>
        <v/>
      </c>
      <c r="U686" s="25"/>
      <c r="V686" s="25"/>
      <c r="W686" s="25"/>
      <c r="X686" s="25"/>
      <c r="Y686" s="22" t="str">
        <f t="shared" si="54"/>
        <v/>
      </c>
      <c r="Z686" s="25"/>
      <c r="AA686" s="25"/>
      <c r="AB686" s="25"/>
      <c r="AC686" s="25"/>
      <c r="AD686" s="25"/>
      <c r="AE686" s="25"/>
      <c r="AF686" s="25"/>
      <c r="AG686" s="9"/>
      <c r="AH686" s="29"/>
      <c r="AI686" s="29"/>
      <c r="AM686" s="50"/>
      <c r="AN686" s="51" t="s">
        <v>4046</v>
      </c>
      <c r="AO686" s="55" t="s">
        <v>1364</v>
      </c>
    </row>
    <row r="687" spans="1:41" ht="45.6" customHeight="1" x14ac:dyDescent="0.3">
      <c r="A687" s="20">
        <v>683</v>
      </c>
      <c r="B687" s="8" t="s">
        <v>4047</v>
      </c>
      <c r="C687" s="26">
        <v>2025</v>
      </c>
      <c r="D687" s="8"/>
      <c r="E687" s="8" t="s">
        <v>1367</v>
      </c>
      <c r="F687" s="20" t="s">
        <v>1969</v>
      </c>
      <c r="G687" s="21" t="s">
        <v>1968</v>
      </c>
      <c r="H687" s="21" t="s">
        <v>1979</v>
      </c>
      <c r="I687" s="21" t="s">
        <v>1968</v>
      </c>
      <c r="J687" s="21" t="s">
        <v>1968</v>
      </c>
      <c r="K687" s="21" t="s">
        <v>1968</v>
      </c>
      <c r="L687" s="22" t="str">
        <f t="shared" si="50"/>
        <v>EXCLUDE</v>
      </c>
      <c r="M687" s="22" t="str">
        <f t="shared" si="51"/>
        <v>Digital Twin not core / buzzword</v>
      </c>
      <c r="N687" s="23"/>
      <c r="O687" s="23"/>
      <c r="P687" s="24"/>
      <c r="Q687" s="24"/>
      <c r="R687" s="24"/>
      <c r="S687" s="22" t="str">
        <f t="shared" si="52"/>
        <v/>
      </c>
      <c r="T687" s="22" t="str">
        <f t="shared" si="53"/>
        <v/>
      </c>
      <c r="U687" s="25"/>
      <c r="V687" s="25"/>
      <c r="W687" s="25"/>
      <c r="X687" s="25"/>
      <c r="Y687" s="22" t="str">
        <f t="shared" si="54"/>
        <v/>
      </c>
      <c r="Z687" s="25"/>
      <c r="AA687" s="25"/>
      <c r="AB687" s="25"/>
      <c r="AC687" s="25"/>
      <c r="AD687" s="25"/>
      <c r="AE687" s="25"/>
      <c r="AF687" s="25"/>
      <c r="AG687" s="9"/>
      <c r="AH687" s="29"/>
      <c r="AI687" s="29"/>
      <c r="AM687" s="50"/>
      <c r="AN687" s="51" t="s">
        <v>4048</v>
      </c>
      <c r="AO687" s="55" t="s">
        <v>1366</v>
      </c>
    </row>
    <row r="688" spans="1:41" ht="57" customHeight="1" x14ac:dyDescent="0.3">
      <c r="A688" s="20">
        <v>684</v>
      </c>
      <c r="B688" s="8" t="s">
        <v>4049</v>
      </c>
      <c r="C688" s="26">
        <v>2025</v>
      </c>
      <c r="D688" s="8"/>
      <c r="E688" s="8" t="s">
        <v>1369</v>
      </c>
      <c r="F688" s="20" t="s">
        <v>1969</v>
      </c>
      <c r="G688" s="21" t="s">
        <v>1979</v>
      </c>
      <c r="H688" s="21" t="s">
        <v>1968</v>
      </c>
      <c r="I688" s="21" t="s">
        <v>1968</v>
      </c>
      <c r="J688" s="21" t="s">
        <v>1968</v>
      </c>
      <c r="K688" s="21" t="s">
        <v>1968</v>
      </c>
      <c r="L688" s="22" t="str">
        <f t="shared" si="50"/>
        <v>EXCLUDE</v>
      </c>
      <c r="M688" s="22" t="str">
        <f t="shared" si="51"/>
        <v>Wrong domain (non-AECO)</v>
      </c>
      <c r="N688" s="23"/>
      <c r="O688" s="23"/>
      <c r="P688" s="24"/>
      <c r="Q688" s="24"/>
      <c r="R688" s="24"/>
      <c r="S688" s="22" t="str">
        <f t="shared" si="52"/>
        <v/>
      </c>
      <c r="T688" s="22" t="str">
        <f t="shared" si="53"/>
        <v/>
      </c>
      <c r="U688" s="25"/>
      <c r="V688" s="25"/>
      <c r="W688" s="25"/>
      <c r="X688" s="25"/>
      <c r="Y688" s="22" t="str">
        <f t="shared" si="54"/>
        <v/>
      </c>
      <c r="Z688" s="25"/>
      <c r="AA688" s="25"/>
      <c r="AB688" s="25"/>
      <c r="AC688" s="25"/>
      <c r="AD688" s="25"/>
      <c r="AE688" s="25"/>
      <c r="AF688" s="25"/>
      <c r="AG688" s="9"/>
      <c r="AH688" s="29"/>
      <c r="AI688" s="29"/>
      <c r="AM688" s="50"/>
      <c r="AN688" s="51" t="s">
        <v>4050</v>
      </c>
      <c r="AO688" s="55" t="s">
        <v>1368</v>
      </c>
    </row>
    <row r="689" spans="1:41" ht="102.6" customHeight="1" x14ac:dyDescent="0.3">
      <c r="A689" s="20">
        <v>685</v>
      </c>
      <c r="B689" s="8" t="s">
        <v>4051</v>
      </c>
      <c r="C689" s="26">
        <v>2024</v>
      </c>
      <c r="D689" s="8"/>
      <c r="E689" s="8" t="s">
        <v>1371</v>
      </c>
      <c r="F689" s="20" t="s">
        <v>1969</v>
      </c>
      <c r="G689" s="21" t="s">
        <v>1979</v>
      </c>
      <c r="H689" s="21" t="s">
        <v>1968</v>
      </c>
      <c r="I689" s="21" t="s">
        <v>1968</v>
      </c>
      <c r="J689" s="21" t="s">
        <v>1968</v>
      </c>
      <c r="K689" s="21" t="s">
        <v>1968</v>
      </c>
      <c r="L689" s="22" t="str">
        <f t="shared" si="50"/>
        <v>EXCLUDE</v>
      </c>
      <c r="M689" s="22" t="str">
        <f t="shared" si="51"/>
        <v>Wrong domain (non-AECO)</v>
      </c>
      <c r="N689" s="23"/>
      <c r="O689" s="23"/>
      <c r="P689" s="24"/>
      <c r="Q689" s="24"/>
      <c r="R689" s="24"/>
      <c r="S689" s="22" t="str">
        <f t="shared" si="52"/>
        <v/>
      </c>
      <c r="T689" s="22" t="str">
        <f t="shared" si="53"/>
        <v/>
      </c>
      <c r="U689" s="25"/>
      <c r="V689" s="25"/>
      <c r="W689" s="25"/>
      <c r="X689" s="25"/>
      <c r="Y689" s="22" t="str">
        <f t="shared" si="54"/>
        <v/>
      </c>
      <c r="Z689" s="25"/>
      <c r="AA689" s="25"/>
      <c r="AB689" s="25"/>
      <c r="AC689" s="25"/>
      <c r="AD689" s="25"/>
      <c r="AE689" s="25"/>
      <c r="AF689" s="25"/>
      <c r="AG689" s="9"/>
      <c r="AH689" s="29"/>
      <c r="AI689" s="29"/>
      <c r="AM689" s="50"/>
      <c r="AN689" s="51" t="s">
        <v>4052</v>
      </c>
      <c r="AO689" s="55" t="s">
        <v>1370</v>
      </c>
    </row>
    <row r="690" spans="1:41" ht="68.400000000000006" customHeight="1" x14ac:dyDescent="0.3">
      <c r="A690" s="20">
        <v>686</v>
      </c>
      <c r="B690" s="8" t="s">
        <v>4053</v>
      </c>
      <c r="C690" s="26">
        <v>2023</v>
      </c>
      <c r="D690" s="8"/>
      <c r="E690" s="8" t="s">
        <v>1373</v>
      </c>
      <c r="F690" s="20" t="s">
        <v>1969</v>
      </c>
      <c r="G690" s="21" t="s">
        <v>1979</v>
      </c>
      <c r="H690" s="21" t="s">
        <v>1968</v>
      </c>
      <c r="I690" s="21" t="s">
        <v>1968</v>
      </c>
      <c r="J690" s="21" t="s">
        <v>1968</v>
      </c>
      <c r="K690" s="21" t="s">
        <v>1968</v>
      </c>
      <c r="L690" s="22" t="str">
        <f t="shared" si="50"/>
        <v>EXCLUDE</v>
      </c>
      <c r="M690" s="22" t="str">
        <f t="shared" si="51"/>
        <v>Wrong domain (non-AECO)</v>
      </c>
      <c r="N690" s="23"/>
      <c r="O690" s="23"/>
      <c r="P690" s="24"/>
      <c r="Q690" s="24"/>
      <c r="R690" s="24"/>
      <c r="S690" s="22" t="str">
        <f t="shared" si="52"/>
        <v/>
      </c>
      <c r="T690" s="22" t="str">
        <f t="shared" si="53"/>
        <v/>
      </c>
      <c r="U690" s="25"/>
      <c r="V690" s="25"/>
      <c r="W690" s="25"/>
      <c r="X690" s="25"/>
      <c r="Y690" s="22" t="str">
        <f t="shared" si="54"/>
        <v/>
      </c>
      <c r="Z690" s="25"/>
      <c r="AA690" s="25"/>
      <c r="AB690" s="25"/>
      <c r="AC690" s="25"/>
      <c r="AD690" s="25"/>
      <c r="AE690" s="25"/>
      <c r="AF690" s="25"/>
      <c r="AG690" s="9"/>
      <c r="AH690" s="29"/>
      <c r="AI690" s="29"/>
      <c r="AM690" s="50"/>
      <c r="AN690" s="51" t="s">
        <v>4054</v>
      </c>
      <c r="AO690" s="55" t="s">
        <v>1372</v>
      </c>
    </row>
    <row r="691" spans="1:41" ht="79.8" customHeight="1" x14ac:dyDescent="0.3">
      <c r="A691" s="20">
        <v>687</v>
      </c>
      <c r="B691" s="8" t="s">
        <v>4055</v>
      </c>
      <c r="C691" s="26">
        <v>2024</v>
      </c>
      <c r="D691" s="8"/>
      <c r="E691" s="8" t="s">
        <v>1375</v>
      </c>
      <c r="F691" s="20" t="s">
        <v>1969</v>
      </c>
      <c r="G691" s="21" t="s">
        <v>1968</v>
      </c>
      <c r="H691" s="21" t="s">
        <v>1968</v>
      </c>
      <c r="I691" s="21" t="s">
        <v>1968</v>
      </c>
      <c r="J691" s="21" t="s">
        <v>1968</v>
      </c>
      <c r="K691" s="21" t="s">
        <v>1968</v>
      </c>
      <c r="L691" s="22" t="str">
        <f t="shared" si="50"/>
        <v>INCLUDE</v>
      </c>
      <c r="M691" s="22" t="str">
        <f t="shared" si="51"/>
        <v/>
      </c>
      <c r="N691" s="23" t="s">
        <v>1968</v>
      </c>
      <c r="O691" s="23" t="s">
        <v>1968</v>
      </c>
      <c r="P691" s="24" t="s">
        <v>1968</v>
      </c>
      <c r="Q691" s="24" t="s">
        <v>1968</v>
      </c>
      <c r="R691" s="24" t="s">
        <v>1968</v>
      </c>
      <c r="S691" s="22" t="str">
        <f t="shared" si="52"/>
        <v>INCLUDE</v>
      </c>
      <c r="T691" s="22" t="str">
        <f t="shared" si="53"/>
        <v/>
      </c>
      <c r="U691" s="25" t="s">
        <v>1982</v>
      </c>
      <c r="V691" s="25">
        <v>0</v>
      </c>
      <c r="W691" s="25">
        <v>1</v>
      </c>
      <c r="X691" s="25">
        <v>0</v>
      </c>
      <c r="Y691" s="22" t="str">
        <f t="shared" si="54"/>
        <v>Single</v>
      </c>
      <c r="Z691" s="25" t="s">
        <v>1922</v>
      </c>
      <c r="AA691" s="25" t="s">
        <v>1972</v>
      </c>
      <c r="AB691" s="25" t="s">
        <v>2018</v>
      </c>
      <c r="AC691" s="25" t="s">
        <v>1986</v>
      </c>
      <c r="AD691" s="25" t="s">
        <v>2003</v>
      </c>
      <c r="AE691" s="25">
        <v>4</v>
      </c>
      <c r="AF691" s="25" t="s">
        <v>2004</v>
      </c>
      <c r="AG691" s="9" t="s">
        <v>4056</v>
      </c>
      <c r="AH691" s="29" t="s">
        <v>4057</v>
      </c>
      <c r="AI691" s="29" t="s">
        <v>4058</v>
      </c>
      <c r="AJ691" t="s">
        <v>2005</v>
      </c>
      <c r="AK691" t="s">
        <v>4059</v>
      </c>
      <c r="AL691" t="s">
        <v>1978</v>
      </c>
      <c r="AM691" s="50"/>
      <c r="AN691" s="51" t="s">
        <v>4060</v>
      </c>
      <c r="AO691" s="55" t="s">
        <v>1374</v>
      </c>
    </row>
    <row r="692" spans="1:41" ht="57" customHeight="1" x14ac:dyDescent="0.3">
      <c r="A692" s="20">
        <v>688</v>
      </c>
      <c r="B692" s="8" t="s">
        <v>4061</v>
      </c>
      <c r="C692" s="26">
        <v>2025</v>
      </c>
      <c r="D692" s="8"/>
      <c r="E692" s="8" t="s">
        <v>1377</v>
      </c>
      <c r="F692" s="20" t="s">
        <v>1969</v>
      </c>
      <c r="G692" s="21" t="s">
        <v>1979</v>
      </c>
      <c r="H692" s="21" t="s">
        <v>1968</v>
      </c>
      <c r="I692" s="21" t="s">
        <v>1968</v>
      </c>
      <c r="J692" s="21" t="s">
        <v>1968</v>
      </c>
      <c r="K692" s="21" t="s">
        <v>1968</v>
      </c>
      <c r="L692" s="22" t="str">
        <f t="shared" si="50"/>
        <v>EXCLUDE</v>
      </c>
      <c r="M692" s="22" t="str">
        <f t="shared" si="51"/>
        <v>Wrong domain (non-AECO)</v>
      </c>
      <c r="N692" s="23"/>
      <c r="O692" s="23"/>
      <c r="P692" s="24"/>
      <c r="Q692" s="24"/>
      <c r="R692" s="24"/>
      <c r="S692" s="22" t="str">
        <f t="shared" si="52"/>
        <v/>
      </c>
      <c r="T692" s="22" t="str">
        <f t="shared" si="53"/>
        <v/>
      </c>
      <c r="U692" s="25"/>
      <c r="V692" s="25"/>
      <c r="W692" s="25"/>
      <c r="X692" s="25"/>
      <c r="Y692" s="22" t="str">
        <f t="shared" si="54"/>
        <v/>
      </c>
      <c r="Z692" s="25"/>
      <c r="AA692" s="25"/>
      <c r="AB692" s="25"/>
      <c r="AC692" s="25"/>
      <c r="AD692" s="25"/>
      <c r="AE692" s="25"/>
      <c r="AF692" s="25"/>
      <c r="AG692" s="9"/>
      <c r="AH692" s="29"/>
      <c r="AI692" s="29"/>
      <c r="AM692" s="50"/>
      <c r="AN692" s="51" t="s">
        <v>4062</v>
      </c>
      <c r="AO692" s="55" t="s">
        <v>1376</v>
      </c>
    </row>
    <row r="693" spans="1:41" ht="68.400000000000006" customHeight="1" x14ac:dyDescent="0.3">
      <c r="A693" s="20">
        <v>689</v>
      </c>
      <c r="B693" s="8" t="s">
        <v>4063</v>
      </c>
      <c r="C693" s="26">
        <v>2025</v>
      </c>
      <c r="D693" s="8"/>
      <c r="E693" s="8" t="s">
        <v>1379</v>
      </c>
      <c r="F693" s="20" t="s">
        <v>1969</v>
      </c>
      <c r="G693" s="21" t="s">
        <v>1968</v>
      </c>
      <c r="H693" s="21" t="s">
        <v>1979</v>
      </c>
      <c r="I693" s="21" t="s">
        <v>1968</v>
      </c>
      <c r="J693" s="21" t="s">
        <v>1968</v>
      </c>
      <c r="K693" s="21" t="s">
        <v>1968</v>
      </c>
      <c r="L693" s="22" t="str">
        <f t="shared" si="50"/>
        <v>EXCLUDE</v>
      </c>
      <c r="M693" s="22" t="str">
        <f t="shared" si="51"/>
        <v>Digital Twin not core / buzzword</v>
      </c>
      <c r="N693" s="23"/>
      <c r="O693" s="23"/>
      <c r="P693" s="24"/>
      <c r="Q693" s="24"/>
      <c r="R693" s="24"/>
      <c r="S693" s="22" t="str">
        <f t="shared" si="52"/>
        <v/>
      </c>
      <c r="T693" s="22" t="str">
        <f t="shared" si="53"/>
        <v/>
      </c>
      <c r="U693" s="25"/>
      <c r="V693" s="25"/>
      <c r="W693" s="25"/>
      <c r="X693" s="25"/>
      <c r="Y693" s="22" t="str">
        <f t="shared" si="54"/>
        <v/>
      </c>
      <c r="Z693" s="25"/>
      <c r="AA693" s="25"/>
      <c r="AB693" s="25"/>
      <c r="AC693" s="25"/>
      <c r="AD693" s="25"/>
      <c r="AE693" s="25"/>
      <c r="AF693" s="25"/>
      <c r="AG693" s="9"/>
      <c r="AH693" s="29"/>
      <c r="AI693" s="29"/>
      <c r="AM693" s="50"/>
      <c r="AN693" s="51" t="s">
        <v>4064</v>
      </c>
      <c r="AO693" s="55" t="s">
        <v>1378</v>
      </c>
    </row>
    <row r="694" spans="1:41" ht="57" customHeight="1" x14ac:dyDescent="0.3">
      <c r="A694" s="20">
        <v>690</v>
      </c>
      <c r="B694" s="8" t="s">
        <v>4065</v>
      </c>
      <c r="C694" s="26">
        <v>2022</v>
      </c>
      <c r="D694" s="8"/>
      <c r="E694" s="8" t="s">
        <v>1381</v>
      </c>
      <c r="F694" s="20" t="s">
        <v>1969</v>
      </c>
      <c r="G694" s="21" t="s">
        <v>1968</v>
      </c>
      <c r="H694" s="21" t="s">
        <v>1979</v>
      </c>
      <c r="I694" s="21" t="s">
        <v>1968</v>
      </c>
      <c r="J694" s="21" t="s">
        <v>1968</v>
      </c>
      <c r="K694" s="21" t="s">
        <v>1968</v>
      </c>
      <c r="L694" s="22" t="str">
        <f t="shared" si="50"/>
        <v>EXCLUDE</v>
      </c>
      <c r="M694" s="22" t="str">
        <f t="shared" si="51"/>
        <v>Digital Twin not core / buzzword</v>
      </c>
      <c r="N694" s="23"/>
      <c r="O694" s="23"/>
      <c r="P694" s="24"/>
      <c r="Q694" s="24"/>
      <c r="R694" s="24"/>
      <c r="S694" s="22" t="str">
        <f t="shared" si="52"/>
        <v/>
      </c>
      <c r="T694" s="22" t="str">
        <f t="shared" si="53"/>
        <v/>
      </c>
      <c r="U694" s="25"/>
      <c r="V694" s="25"/>
      <c r="W694" s="25"/>
      <c r="X694" s="25"/>
      <c r="Y694" s="22" t="str">
        <f t="shared" si="54"/>
        <v/>
      </c>
      <c r="Z694" s="25"/>
      <c r="AA694" s="25"/>
      <c r="AB694" s="25"/>
      <c r="AC694" s="25"/>
      <c r="AD694" s="25"/>
      <c r="AE694" s="25"/>
      <c r="AF694" s="25"/>
      <c r="AG694" s="9"/>
      <c r="AH694" s="29"/>
      <c r="AI694" s="29"/>
      <c r="AM694" s="50"/>
      <c r="AN694" s="51" t="s">
        <v>4066</v>
      </c>
      <c r="AO694" s="55" t="s">
        <v>1380</v>
      </c>
    </row>
    <row r="695" spans="1:41" ht="57" customHeight="1" x14ac:dyDescent="0.3">
      <c r="A695" s="20">
        <v>691</v>
      </c>
      <c r="B695" s="8" t="s">
        <v>4067</v>
      </c>
      <c r="C695" s="26">
        <v>2024</v>
      </c>
      <c r="D695" s="8"/>
      <c r="E695" s="8" t="s">
        <v>1383</v>
      </c>
      <c r="F695" s="20" t="s">
        <v>1969</v>
      </c>
      <c r="G695" s="21" t="s">
        <v>1979</v>
      </c>
      <c r="H695" s="21" t="s">
        <v>1968</v>
      </c>
      <c r="I695" s="21" t="s">
        <v>1968</v>
      </c>
      <c r="J695" s="21" t="s">
        <v>1968</v>
      </c>
      <c r="K695" s="21" t="s">
        <v>1968</v>
      </c>
      <c r="L695" s="22" t="str">
        <f t="shared" si="50"/>
        <v>EXCLUDE</v>
      </c>
      <c r="M695" s="22" t="str">
        <f t="shared" si="51"/>
        <v>Wrong domain (non-AECO)</v>
      </c>
      <c r="N695" s="23"/>
      <c r="O695" s="23"/>
      <c r="P695" s="24"/>
      <c r="Q695" s="24"/>
      <c r="R695" s="24"/>
      <c r="S695" s="22" t="str">
        <f t="shared" si="52"/>
        <v/>
      </c>
      <c r="T695" s="22" t="str">
        <f t="shared" si="53"/>
        <v/>
      </c>
      <c r="U695" s="25"/>
      <c r="V695" s="25"/>
      <c r="W695" s="25"/>
      <c r="X695" s="25"/>
      <c r="Y695" s="22" t="str">
        <f t="shared" si="54"/>
        <v/>
      </c>
      <c r="Z695" s="25"/>
      <c r="AA695" s="25"/>
      <c r="AB695" s="25"/>
      <c r="AC695" s="25"/>
      <c r="AD695" s="25"/>
      <c r="AE695" s="25"/>
      <c r="AF695" s="25"/>
      <c r="AG695" s="9"/>
      <c r="AH695" s="29"/>
      <c r="AI695" s="29"/>
      <c r="AM695" s="50"/>
      <c r="AN695" s="51" t="s">
        <v>4068</v>
      </c>
      <c r="AO695" s="55" t="s">
        <v>1382</v>
      </c>
    </row>
    <row r="696" spans="1:41" ht="34.200000000000003" customHeight="1" x14ac:dyDescent="0.3">
      <c r="A696" s="20">
        <v>692</v>
      </c>
      <c r="B696" s="8" t="s">
        <v>4069</v>
      </c>
      <c r="C696" s="26">
        <v>2022</v>
      </c>
      <c r="D696" s="8"/>
      <c r="E696" s="8" t="s">
        <v>1385</v>
      </c>
      <c r="F696" s="20" t="s">
        <v>1969</v>
      </c>
      <c r="G696" s="21" t="s">
        <v>1979</v>
      </c>
      <c r="H696" s="21" t="s">
        <v>1968</v>
      </c>
      <c r="I696" s="21" t="s">
        <v>1968</v>
      </c>
      <c r="J696" s="21" t="s">
        <v>1968</v>
      </c>
      <c r="K696" s="21" t="s">
        <v>1968</v>
      </c>
      <c r="L696" s="22" t="str">
        <f t="shared" si="50"/>
        <v>EXCLUDE</v>
      </c>
      <c r="M696" s="22" t="str">
        <f t="shared" si="51"/>
        <v>Wrong domain (non-AECO)</v>
      </c>
      <c r="N696" s="23"/>
      <c r="O696" s="23"/>
      <c r="P696" s="24"/>
      <c r="Q696" s="24"/>
      <c r="R696" s="24"/>
      <c r="S696" s="22" t="str">
        <f t="shared" si="52"/>
        <v/>
      </c>
      <c r="T696" s="22" t="str">
        <f t="shared" si="53"/>
        <v/>
      </c>
      <c r="U696" s="25"/>
      <c r="V696" s="25"/>
      <c r="W696" s="25"/>
      <c r="X696" s="25"/>
      <c r="Y696" s="22" t="str">
        <f t="shared" si="54"/>
        <v/>
      </c>
      <c r="Z696" s="25"/>
      <c r="AA696" s="25"/>
      <c r="AB696" s="25"/>
      <c r="AC696" s="25"/>
      <c r="AD696" s="25"/>
      <c r="AE696" s="25"/>
      <c r="AF696" s="25"/>
      <c r="AG696" s="9"/>
      <c r="AH696" s="29"/>
      <c r="AI696" s="29"/>
      <c r="AM696" s="50"/>
      <c r="AN696" s="51" t="s">
        <v>4070</v>
      </c>
      <c r="AO696" s="55" t="s">
        <v>1384</v>
      </c>
    </row>
    <row r="697" spans="1:41" ht="57" customHeight="1" x14ac:dyDescent="0.3">
      <c r="A697" s="20">
        <v>693</v>
      </c>
      <c r="B697" s="8" t="s">
        <v>4071</v>
      </c>
      <c r="C697" s="26">
        <v>2021</v>
      </c>
      <c r="D697" s="8"/>
      <c r="E697" s="8" t="s">
        <v>1387</v>
      </c>
      <c r="F697" s="20" t="s">
        <v>1969</v>
      </c>
      <c r="G697" s="21" t="s">
        <v>1979</v>
      </c>
      <c r="H697" s="21" t="s">
        <v>1968</v>
      </c>
      <c r="I697" s="21" t="s">
        <v>1968</v>
      </c>
      <c r="J697" s="21" t="s">
        <v>1968</v>
      </c>
      <c r="K697" s="21" t="s">
        <v>1968</v>
      </c>
      <c r="L697" s="22" t="str">
        <f t="shared" si="50"/>
        <v>EXCLUDE</v>
      </c>
      <c r="M697" s="22" t="str">
        <f t="shared" si="51"/>
        <v>Wrong domain (non-AECO)</v>
      </c>
      <c r="N697" s="23"/>
      <c r="O697" s="23"/>
      <c r="P697" s="24"/>
      <c r="Q697" s="24"/>
      <c r="R697" s="24"/>
      <c r="S697" s="22" t="str">
        <f t="shared" si="52"/>
        <v/>
      </c>
      <c r="T697" s="22" t="str">
        <f t="shared" si="53"/>
        <v/>
      </c>
      <c r="U697" s="25"/>
      <c r="V697" s="25"/>
      <c r="W697" s="25"/>
      <c r="X697" s="25"/>
      <c r="Y697" s="22" t="str">
        <f t="shared" si="54"/>
        <v/>
      </c>
      <c r="Z697" s="25"/>
      <c r="AA697" s="25"/>
      <c r="AB697" s="25"/>
      <c r="AC697" s="25"/>
      <c r="AD697" s="25"/>
      <c r="AE697" s="25"/>
      <c r="AF697" s="25"/>
      <c r="AG697" s="9"/>
      <c r="AH697" s="29"/>
      <c r="AI697" s="29"/>
      <c r="AM697" s="50"/>
      <c r="AN697" s="51" t="s">
        <v>4072</v>
      </c>
      <c r="AO697" s="55" t="s">
        <v>1386</v>
      </c>
    </row>
    <row r="698" spans="1:41" ht="57" customHeight="1" x14ac:dyDescent="0.3">
      <c r="A698" s="20">
        <v>694</v>
      </c>
      <c r="B698" s="8" t="s">
        <v>4073</v>
      </c>
      <c r="C698" s="26">
        <v>2023</v>
      </c>
      <c r="D698" s="8"/>
      <c r="E698" s="8" t="s">
        <v>1389</v>
      </c>
      <c r="F698" s="20" t="s">
        <v>1969</v>
      </c>
      <c r="G698" s="21" t="s">
        <v>1979</v>
      </c>
      <c r="H698" s="21" t="s">
        <v>1968</v>
      </c>
      <c r="I698" s="21" t="s">
        <v>1968</v>
      </c>
      <c r="J698" s="21" t="s">
        <v>1968</v>
      </c>
      <c r="K698" s="21" t="s">
        <v>1968</v>
      </c>
      <c r="L698" s="22" t="str">
        <f t="shared" si="50"/>
        <v>EXCLUDE</v>
      </c>
      <c r="M698" s="22" t="str">
        <f t="shared" si="51"/>
        <v>Wrong domain (non-AECO)</v>
      </c>
      <c r="N698" s="23"/>
      <c r="O698" s="23"/>
      <c r="P698" s="24"/>
      <c r="Q698" s="24"/>
      <c r="R698" s="24"/>
      <c r="S698" s="22" t="str">
        <f t="shared" si="52"/>
        <v/>
      </c>
      <c r="T698" s="22" t="str">
        <f t="shared" si="53"/>
        <v/>
      </c>
      <c r="U698" s="25"/>
      <c r="V698" s="25"/>
      <c r="W698" s="25"/>
      <c r="X698" s="25"/>
      <c r="Y698" s="22" t="str">
        <f t="shared" si="54"/>
        <v/>
      </c>
      <c r="Z698" s="25"/>
      <c r="AA698" s="25"/>
      <c r="AB698" s="25"/>
      <c r="AC698" s="25"/>
      <c r="AD698" s="25"/>
      <c r="AE698" s="25"/>
      <c r="AF698" s="25"/>
      <c r="AG698" s="9"/>
      <c r="AH698" s="29"/>
      <c r="AI698" s="29"/>
      <c r="AM698" s="50"/>
      <c r="AN698" s="51" t="s">
        <v>4074</v>
      </c>
      <c r="AO698" s="55" t="s">
        <v>1388</v>
      </c>
    </row>
    <row r="699" spans="1:41" ht="28.8" customHeight="1" x14ac:dyDescent="0.3">
      <c r="A699" s="20">
        <v>695</v>
      </c>
      <c r="B699" s="8" t="s">
        <v>4075</v>
      </c>
      <c r="C699" s="26">
        <v>2024</v>
      </c>
      <c r="D699" s="8"/>
      <c r="E699" s="8" t="s">
        <v>1391</v>
      </c>
      <c r="F699" s="20" t="s">
        <v>1969</v>
      </c>
      <c r="G699" s="21" t="s">
        <v>1979</v>
      </c>
      <c r="H699" s="21" t="s">
        <v>1968</v>
      </c>
      <c r="I699" s="21" t="s">
        <v>1968</v>
      </c>
      <c r="J699" s="21" t="s">
        <v>1968</v>
      </c>
      <c r="K699" s="21" t="s">
        <v>1968</v>
      </c>
      <c r="L699" s="22" t="str">
        <f t="shared" si="50"/>
        <v>EXCLUDE</v>
      </c>
      <c r="M699" s="22" t="str">
        <f t="shared" si="51"/>
        <v>Wrong domain (non-AECO)</v>
      </c>
      <c r="N699" s="23"/>
      <c r="O699" s="23"/>
      <c r="P699" s="24"/>
      <c r="Q699" s="24"/>
      <c r="R699" s="24"/>
      <c r="S699" s="22" t="str">
        <f t="shared" si="52"/>
        <v/>
      </c>
      <c r="T699" s="22" t="str">
        <f t="shared" si="53"/>
        <v/>
      </c>
      <c r="U699" s="25"/>
      <c r="V699" s="25"/>
      <c r="W699" s="25"/>
      <c r="X699" s="25"/>
      <c r="Y699" s="22" t="str">
        <f t="shared" si="54"/>
        <v/>
      </c>
      <c r="Z699" s="25"/>
      <c r="AA699" s="25"/>
      <c r="AB699" s="25"/>
      <c r="AC699" s="25"/>
      <c r="AD699" s="25"/>
      <c r="AE699" s="25"/>
      <c r="AF699" s="25"/>
      <c r="AG699" s="9"/>
      <c r="AH699" s="29"/>
      <c r="AI699" s="29"/>
      <c r="AM699" s="50"/>
      <c r="AN699" s="51" t="s">
        <v>4076</v>
      </c>
      <c r="AO699" s="55" t="s">
        <v>1390</v>
      </c>
    </row>
    <row r="700" spans="1:41" ht="57" customHeight="1" x14ac:dyDescent="0.3">
      <c r="A700" s="20">
        <v>696</v>
      </c>
      <c r="B700" s="8" t="s">
        <v>4077</v>
      </c>
      <c r="C700" s="26">
        <v>2024</v>
      </c>
      <c r="D700" s="8"/>
      <c r="E700" s="8" t="s">
        <v>1393</v>
      </c>
      <c r="F700" s="20" t="s">
        <v>1969</v>
      </c>
      <c r="G700" s="21" t="s">
        <v>1968</v>
      </c>
      <c r="H700" s="21" t="s">
        <v>1968</v>
      </c>
      <c r="I700" s="21" t="s">
        <v>1979</v>
      </c>
      <c r="J700" s="21" t="s">
        <v>1968</v>
      </c>
      <c r="K700" s="21" t="s">
        <v>1968</v>
      </c>
      <c r="L700" s="22" t="str">
        <f t="shared" si="50"/>
        <v>EXCLUDE</v>
      </c>
      <c r="M700" s="22" t="str">
        <f t="shared" si="51"/>
        <v>No Design for Safety / PtD focus</v>
      </c>
      <c r="N700" s="23"/>
      <c r="O700" s="23"/>
      <c r="P700" s="24"/>
      <c r="Q700" s="24"/>
      <c r="R700" s="24"/>
      <c r="S700" s="22" t="str">
        <f t="shared" si="52"/>
        <v/>
      </c>
      <c r="T700" s="22" t="str">
        <f t="shared" si="53"/>
        <v/>
      </c>
      <c r="U700" s="25"/>
      <c r="V700" s="25"/>
      <c r="W700" s="25"/>
      <c r="X700" s="25"/>
      <c r="Y700" s="22" t="str">
        <f t="shared" si="54"/>
        <v/>
      </c>
      <c r="Z700" s="25"/>
      <c r="AA700" s="25"/>
      <c r="AB700" s="25"/>
      <c r="AC700" s="25"/>
      <c r="AD700" s="25"/>
      <c r="AE700" s="25"/>
      <c r="AF700" s="25"/>
      <c r="AG700" s="9"/>
      <c r="AH700" s="29"/>
      <c r="AI700" s="29"/>
      <c r="AM700" s="50"/>
      <c r="AN700" s="51" t="s">
        <v>4078</v>
      </c>
      <c r="AO700" s="55" t="s">
        <v>1392</v>
      </c>
    </row>
    <row r="701" spans="1:41" ht="68.400000000000006" customHeight="1" x14ac:dyDescent="0.3">
      <c r="A701" s="20">
        <v>697</v>
      </c>
      <c r="B701" s="8" t="s">
        <v>4079</v>
      </c>
      <c r="C701" s="26">
        <v>2024</v>
      </c>
      <c r="D701" s="8"/>
      <c r="E701" s="8" t="s">
        <v>1395</v>
      </c>
      <c r="F701" s="20" t="s">
        <v>1969</v>
      </c>
      <c r="G701" s="21" t="s">
        <v>1968</v>
      </c>
      <c r="H701" s="21" t="s">
        <v>1979</v>
      </c>
      <c r="I701" s="21" t="s">
        <v>1968</v>
      </c>
      <c r="J701" s="21" t="s">
        <v>1968</v>
      </c>
      <c r="K701" s="21" t="s">
        <v>1968</v>
      </c>
      <c r="L701" s="22" t="str">
        <f t="shared" si="50"/>
        <v>EXCLUDE</v>
      </c>
      <c r="M701" s="22" t="str">
        <f t="shared" si="51"/>
        <v>Digital Twin not core / buzzword</v>
      </c>
      <c r="N701" s="23"/>
      <c r="O701" s="23"/>
      <c r="P701" s="24"/>
      <c r="Q701" s="24"/>
      <c r="R701" s="24"/>
      <c r="S701" s="22" t="str">
        <f t="shared" si="52"/>
        <v/>
      </c>
      <c r="T701" s="22" t="str">
        <f t="shared" si="53"/>
        <v/>
      </c>
      <c r="U701" s="25"/>
      <c r="V701" s="25"/>
      <c r="W701" s="25"/>
      <c r="X701" s="25"/>
      <c r="Y701" s="22" t="str">
        <f t="shared" si="54"/>
        <v/>
      </c>
      <c r="Z701" s="25"/>
      <c r="AA701" s="25"/>
      <c r="AB701" s="25"/>
      <c r="AC701" s="25"/>
      <c r="AD701" s="25"/>
      <c r="AE701" s="25"/>
      <c r="AF701" s="25"/>
      <c r="AG701" s="9"/>
      <c r="AH701" s="29"/>
      <c r="AI701" s="29"/>
      <c r="AM701" s="50"/>
      <c r="AN701" s="51" t="s">
        <v>4080</v>
      </c>
      <c r="AO701" s="55" t="s">
        <v>1394</v>
      </c>
    </row>
    <row r="702" spans="1:41" ht="57" customHeight="1" x14ac:dyDescent="0.3">
      <c r="A702" s="20">
        <v>698</v>
      </c>
      <c r="B702" s="8" t="s">
        <v>4081</v>
      </c>
      <c r="C702" s="26">
        <v>2024</v>
      </c>
      <c r="D702" s="8"/>
      <c r="E702" s="8" t="s">
        <v>1397</v>
      </c>
      <c r="F702" s="20" t="s">
        <v>1969</v>
      </c>
      <c r="G702" s="21" t="s">
        <v>1979</v>
      </c>
      <c r="H702" s="21" t="s">
        <v>1968</v>
      </c>
      <c r="I702" s="21" t="s">
        <v>1968</v>
      </c>
      <c r="J702" s="21" t="s">
        <v>1968</v>
      </c>
      <c r="K702" s="21" t="s">
        <v>1968</v>
      </c>
      <c r="L702" s="22" t="str">
        <f t="shared" si="50"/>
        <v>EXCLUDE</v>
      </c>
      <c r="M702" s="22" t="str">
        <f t="shared" si="51"/>
        <v>Wrong domain (non-AECO)</v>
      </c>
      <c r="N702" s="23"/>
      <c r="O702" s="23"/>
      <c r="P702" s="24"/>
      <c r="Q702" s="24"/>
      <c r="R702" s="24"/>
      <c r="S702" s="22" t="str">
        <f t="shared" si="52"/>
        <v/>
      </c>
      <c r="T702" s="22" t="str">
        <f t="shared" si="53"/>
        <v/>
      </c>
      <c r="U702" s="25"/>
      <c r="V702" s="25"/>
      <c r="W702" s="25"/>
      <c r="X702" s="25"/>
      <c r="Y702" s="22" t="str">
        <f t="shared" si="54"/>
        <v/>
      </c>
      <c r="Z702" s="25"/>
      <c r="AA702" s="25"/>
      <c r="AB702" s="25"/>
      <c r="AC702" s="25"/>
      <c r="AD702" s="25"/>
      <c r="AE702" s="25"/>
      <c r="AF702" s="25"/>
      <c r="AG702" s="9"/>
      <c r="AH702" s="29"/>
      <c r="AI702" s="29"/>
      <c r="AM702" s="50"/>
      <c r="AN702" s="51" t="s">
        <v>4082</v>
      </c>
      <c r="AO702" s="55" t="s">
        <v>1396</v>
      </c>
    </row>
    <row r="703" spans="1:41" ht="34.200000000000003" customHeight="1" x14ac:dyDescent="0.3">
      <c r="A703" s="20">
        <v>699</v>
      </c>
      <c r="B703" s="8" t="s">
        <v>4083</v>
      </c>
      <c r="C703" s="26">
        <v>2024</v>
      </c>
      <c r="D703" s="8"/>
      <c r="E703" s="8" t="s">
        <v>1399</v>
      </c>
      <c r="F703" s="20" t="s">
        <v>1969</v>
      </c>
      <c r="G703" s="21" t="s">
        <v>1979</v>
      </c>
      <c r="H703" s="21" t="s">
        <v>1968</v>
      </c>
      <c r="I703" s="21" t="s">
        <v>1968</v>
      </c>
      <c r="J703" s="21" t="s">
        <v>1968</v>
      </c>
      <c r="K703" s="21" t="s">
        <v>1968</v>
      </c>
      <c r="L703" s="22" t="str">
        <f t="shared" si="50"/>
        <v>EXCLUDE</v>
      </c>
      <c r="M703" s="22" t="str">
        <f t="shared" si="51"/>
        <v>Wrong domain (non-AECO)</v>
      </c>
      <c r="N703" s="23"/>
      <c r="O703" s="23"/>
      <c r="P703" s="24"/>
      <c r="Q703" s="24"/>
      <c r="R703" s="24"/>
      <c r="S703" s="22" t="str">
        <f t="shared" si="52"/>
        <v/>
      </c>
      <c r="T703" s="22" t="str">
        <f t="shared" si="53"/>
        <v/>
      </c>
      <c r="U703" s="25"/>
      <c r="V703" s="25"/>
      <c r="W703" s="25"/>
      <c r="X703" s="25"/>
      <c r="Y703" s="22" t="str">
        <f t="shared" si="54"/>
        <v/>
      </c>
      <c r="Z703" s="25"/>
      <c r="AA703" s="25"/>
      <c r="AB703" s="25"/>
      <c r="AC703" s="25"/>
      <c r="AD703" s="25"/>
      <c r="AE703" s="25"/>
      <c r="AF703" s="25"/>
      <c r="AG703" s="9"/>
      <c r="AH703" s="29"/>
      <c r="AI703" s="29"/>
      <c r="AM703" s="50"/>
      <c r="AN703" s="51" t="s">
        <v>4084</v>
      </c>
      <c r="AO703" s="55" t="s">
        <v>1398</v>
      </c>
    </row>
    <row r="704" spans="1:41" ht="102.6" customHeight="1" x14ac:dyDescent="0.3">
      <c r="A704" s="20">
        <v>700</v>
      </c>
      <c r="B704" s="8" t="s">
        <v>4085</v>
      </c>
      <c r="C704" s="26">
        <v>2023</v>
      </c>
      <c r="D704" s="8"/>
      <c r="E704" s="8" t="s">
        <v>1401</v>
      </c>
      <c r="F704" s="20" t="s">
        <v>1969</v>
      </c>
      <c r="G704" s="21" t="s">
        <v>1968</v>
      </c>
      <c r="H704" s="21" t="s">
        <v>1968</v>
      </c>
      <c r="I704" s="21" t="s">
        <v>1968</v>
      </c>
      <c r="J704" s="21" t="s">
        <v>1968</v>
      </c>
      <c r="K704" s="21" t="s">
        <v>1968</v>
      </c>
      <c r="L704" s="22" t="str">
        <f t="shared" si="50"/>
        <v>INCLUDE</v>
      </c>
      <c r="M704" s="22" t="str">
        <f t="shared" si="51"/>
        <v/>
      </c>
      <c r="N704" s="23" t="s">
        <v>1968</v>
      </c>
      <c r="O704" s="23" t="s">
        <v>1968</v>
      </c>
      <c r="P704" s="24" t="s">
        <v>1968</v>
      </c>
      <c r="Q704" s="24" t="s">
        <v>1968</v>
      </c>
      <c r="R704" s="24" t="s">
        <v>1968</v>
      </c>
      <c r="S704" s="22" t="str">
        <f t="shared" si="52"/>
        <v>INCLUDE</v>
      </c>
      <c r="T704" s="22" t="str">
        <f t="shared" si="53"/>
        <v/>
      </c>
      <c r="U704" s="25" t="s">
        <v>1992</v>
      </c>
      <c r="V704" s="25">
        <v>0</v>
      </c>
      <c r="W704" s="25">
        <v>0</v>
      </c>
      <c r="X704" s="25">
        <v>1</v>
      </c>
      <c r="Y704" s="22" t="str">
        <f t="shared" si="54"/>
        <v>Single</v>
      </c>
      <c r="Z704" s="25" t="s">
        <v>1922</v>
      </c>
      <c r="AA704" s="25" t="s">
        <v>1972</v>
      </c>
      <c r="AB704" s="25" t="s">
        <v>2017</v>
      </c>
      <c r="AC704" s="25" t="s">
        <v>1974</v>
      </c>
      <c r="AD704" s="25" t="s">
        <v>1975</v>
      </c>
      <c r="AE704" s="25">
        <v>3</v>
      </c>
      <c r="AF704" s="25" t="s">
        <v>2004</v>
      </c>
      <c r="AG704" s="9" t="s">
        <v>4086</v>
      </c>
      <c r="AH704" s="29" t="s">
        <v>4087</v>
      </c>
      <c r="AI704" s="29" t="s">
        <v>4088</v>
      </c>
      <c r="AJ704" t="s">
        <v>1977</v>
      </c>
      <c r="AK704" t="s">
        <v>4089</v>
      </c>
      <c r="AL704" t="s">
        <v>1990</v>
      </c>
      <c r="AM704" s="50"/>
      <c r="AN704" s="51" t="s">
        <v>4090</v>
      </c>
      <c r="AO704" s="55" t="s">
        <v>1400</v>
      </c>
    </row>
    <row r="705" spans="1:41" ht="68.400000000000006" customHeight="1" x14ac:dyDescent="0.3">
      <c r="A705" s="20">
        <v>701</v>
      </c>
      <c r="B705" s="8" t="s">
        <v>4091</v>
      </c>
      <c r="C705" s="26">
        <v>2025</v>
      </c>
      <c r="D705" s="8"/>
      <c r="E705" s="8" t="s">
        <v>1403</v>
      </c>
      <c r="F705" s="20" t="s">
        <v>1969</v>
      </c>
      <c r="G705" s="21" t="s">
        <v>1979</v>
      </c>
      <c r="H705" s="21" t="s">
        <v>1968</v>
      </c>
      <c r="I705" s="21" t="s">
        <v>1968</v>
      </c>
      <c r="J705" s="21" t="s">
        <v>1968</v>
      </c>
      <c r="K705" s="21" t="s">
        <v>1968</v>
      </c>
      <c r="L705" s="22" t="str">
        <f t="shared" si="50"/>
        <v>EXCLUDE</v>
      </c>
      <c r="M705" s="22" t="str">
        <f t="shared" si="51"/>
        <v>Wrong domain (non-AECO)</v>
      </c>
      <c r="N705" s="23"/>
      <c r="O705" s="23"/>
      <c r="P705" s="24"/>
      <c r="Q705" s="24"/>
      <c r="R705" s="24"/>
      <c r="S705" s="22" t="str">
        <f t="shared" si="52"/>
        <v/>
      </c>
      <c r="T705" s="22" t="str">
        <f t="shared" si="53"/>
        <v/>
      </c>
      <c r="U705" s="25"/>
      <c r="V705" s="25"/>
      <c r="W705" s="25"/>
      <c r="X705" s="25"/>
      <c r="Y705" s="22" t="str">
        <f t="shared" si="54"/>
        <v/>
      </c>
      <c r="Z705" s="25"/>
      <c r="AA705" s="25"/>
      <c r="AB705" s="25"/>
      <c r="AC705" s="25"/>
      <c r="AD705" s="25"/>
      <c r="AE705" s="25"/>
      <c r="AF705" s="25"/>
      <c r="AG705" s="9"/>
      <c r="AH705" s="29"/>
      <c r="AI705" s="29"/>
      <c r="AM705" s="50"/>
      <c r="AN705" s="51" t="s">
        <v>4092</v>
      </c>
      <c r="AO705" s="55" t="s">
        <v>1402</v>
      </c>
    </row>
    <row r="706" spans="1:41" ht="57" customHeight="1" x14ac:dyDescent="0.3">
      <c r="A706" s="20">
        <v>702</v>
      </c>
      <c r="B706" s="8" t="s">
        <v>4093</v>
      </c>
      <c r="C706" s="26">
        <v>2025</v>
      </c>
      <c r="D706" s="8"/>
      <c r="E706" s="8" t="s">
        <v>1405</v>
      </c>
      <c r="F706" s="20" t="s">
        <v>1969</v>
      </c>
      <c r="G706" s="21" t="s">
        <v>1979</v>
      </c>
      <c r="H706" s="21" t="s">
        <v>1968</v>
      </c>
      <c r="I706" s="21" t="s">
        <v>1968</v>
      </c>
      <c r="J706" s="21" t="s">
        <v>1968</v>
      </c>
      <c r="K706" s="21" t="s">
        <v>1968</v>
      </c>
      <c r="L706" s="22" t="str">
        <f t="shared" si="50"/>
        <v>EXCLUDE</v>
      </c>
      <c r="M706" s="22" t="str">
        <f t="shared" si="51"/>
        <v>Wrong domain (non-AECO)</v>
      </c>
      <c r="N706" s="23"/>
      <c r="O706" s="23"/>
      <c r="P706" s="24"/>
      <c r="Q706" s="24"/>
      <c r="R706" s="24"/>
      <c r="S706" s="22" t="str">
        <f t="shared" si="52"/>
        <v/>
      </c>
      <c r="T706" s="22" t="str">
        <f t="shared" si="53"/>
        <v/>
      </c>
      <c r="U706" s="25"/>
      <c r="V706" s="25"/>
      <c r="W706" s="25"/>
      <c r="X706" s="25"/>
      <c r="Y706" s="22" t="str">
        <f t="shared" si="54"/>
        <v/>
      </c>
      <c r="Z706" s="25"/>
      <c r="AA706" s="25"/>
      <c r="AB706" s="25"/>
      <c r="AC706" s="25"/>
      <c r="AD706" s="25"/>
      <c r="AE706" s="25"/>
      <c r="AF706" s="25"/>
      <c r="AG706" s="9"/>
      <c r="AH706" s="29"/>
      <c r="AI706" s="29"/>
      <c r="AM706" s="50"/>
      <c r="AN706" s="51" t="s">
        <v>4094</v>
      </c>
      <c r="AO706" s="55" t="s">
        <v>1404</v>
      </c>
    </row>
    <row r="707" spans="1:41" ht="68.400000000000006" customHeight="1" x14ac:dyDescent="0.3">
      <c r="A707" s="20">
        <v>703</v>
      </c>
      <c r="B707" s="8" t="s">
        <v>4095</v>
      </c>
      <c r="C707" s="26">
        <v>2025</v>
      </c>
      <c r="D707" s="8"/>
      <c r="E707" s="8" t="s">
        <v>1407</v>
      </c>
      <c r="F707" s="20" t="s">
        <v>1969</v>
      </c>
      <c r="G707" s="21" t="s">
        <v>1968</v>
      </c>
      <c r="H707" s="21" t="s">
        <v>1979</v>
      </c>
      <c r="I707" s="21" t="s">
        <v>1968</v>
      </c>
      <c r="J707" s="21" t="s">
        <v>1968</v>
      </c>
      <c r="K707" s="21" t="s">
        <v>1968</v>
      </c>
      <c r="L707" s="22" t="str">
        <f t="shared" si="50"/>
        <v>EXCLUDE</v>
      </c>
      <c r="M707" s="22" t="str">
        <f t="shared" si="51"/>
        <v>Digital Twin not core / buzzword</v>
      </c>
      <c r="N707" s="23"/>
      <c r="O707" s="23"/>
      <c r="P707" s="24"/>
      <c r="Q707" s="24"/>
      <c r="R707" s="24"/>
      <c r="S707" s="22" t="str">
        <f t="shared" si="52"/>
        <v/>
      </c>
      <c r="T707" s="22" t="str">
        <f t="shared" si="53"/>
        <v/>
      </c>
      <c r="U707" s="25"/>
      <c r="V707" s="25"/>
      <c r="W707" s="25"/>
      <c r="X707" s="25"/>
      <c r="Y707" s="22" t="str">
        <f t="shared" si="54"/>
        <v/>
      </c>
      <c r="Z707" s="25"/>
      <c r="AA707" s="25"/>
      <c r="AB707" s="25"/>
      <c r="AC707" s="25"/>
      <c r="AD707" s="25"/>
      <c r="AE707" s="25"/>
      <c r="AF707" s="25"/>
      <c r="AG707" s="9"/>
      <c r="AH707" s="29"/>
      <c r="AI707" s="29"/>
      <c r="AM707" s="50"/>
      <c r="AN707" s="51" t="s">
        <v>4096</v>
      </c>
      <c r="AO707" s="55" t="s">
        <v>1406</v>
      </c>
    </row>
    <row r="708" spans="1:41" ht="79.8" customHeight="1" x14ac:dyDescent="0.3">
      <c r="A708" s="20">
        <v>704</v>
      </c>
      <c r="B708" s="8" t="s">
        <v>4063</v>
      </c>
      <c r="C708" s="26">
        <v>2025</v>
      </c>
      <c r="D708" s="8"/>
      <c r="E708" s="8" t="s">
        <v>1409</v>
      </c>
      <c r="F708" s="20" t="s">
        <v>1969</v>
      </c>
      <c r="G708" s="21" t="s">
        <v>1968</v>
      </c>
      <c r="H708" s="21" t="s">
        <v>1968</v>
      </c>
      <c r="I708" s="21" t="s">
        <v>1968</v>
      </c>
      <c r="J708" s="21" t="s">
        <v>1968</v>
      </c>
      <c r="K708" s="21" t="s">
        <v>1968</v>
      </c>
      <c r="L708" s="22" t="str">
        <f t="shared" si="50"/>
        <v>INCLUDE</v>
      </c>
      <c r="M708" s="22" t="str">
        <f t="shared" si="51"/>
        <v/>
      </c>
      <c r="N708" s="23" t="s">
        <v>1968</v>
      </c>
      <c r="O708" s="23" t="s">
        <v>1968</v>
      </c>
      <c r="P708" s="24" t="s">
        <v>1968</v>
      </c>
      <c r="Q708" s="24" t="s">
        <v>1968</v>
      </c>
      <c r="R708" s="24" t="s">
        <v>1968</v>
      </c>
      <c r="S708" s="22" t="str">
        <f t="shared" si="52"/>
        <v>INCLUDE</v>
      </c>
      <c r="T708" s="22" t="str">
        <f t="shared" si="53"/>
        <v/>
      </c>
      <c r="U708" s="25" t="s">
        <v>1982</v>
      </c>
      <c r="V708" s="25">
        <v>0</v>
      </c>
      <c r="W708" s="25">
        <v>1</v>
      </c>
      <c r="X708" s="25">
        <v>0</v>
      </c>
      <c r="Y708" s="22" t="str">
        <f t="shared" si="54"/>
        <v>Single</v>
      </c>
      <c r="Z708" s="25" t="s">
        <v>1922</v>
      </c>
      <c r="AA708" s="25" t="s">
        <v>1972</v>
      </c>
      <c r="AB708" s="25" t="s">
        <v>2018</v>
      </c>
      <c r="AC708" s="25" t="s">
        <v>1986</v>
      </c>
      <c r="AD708" s="25" t="s">
        <v>2003</v>
      </c>
      <c r="AE708" s="25">
        <v>4</v>
      </c>
      <c r="AF708" s="25" t="s">
        <v>2010</v>
      </c>
      <c r="AG708" s="9" t="s">
        <v>4097</v>
      </c>
      <c r="AH708" s="29" t="s">
        <v>4098</v>
      </c>
      <c r="AI708" s="29" t="s">
        <v>4099</v>
      </c>
      <c r="AJ708" t="s">
        <v>2005</v>
      </c>
      <c r="AK708" t="s">
        <v>4100</v>
      </c>
      <c r="AL708" t="s">
        <v>1978</v>
      </c>
      <c r="AM708" s="50"/>
      <c r="AN708" s="51" t="s">
        <v>4101</v>
      </c>
      <c r="AO708" s="55" t="s">
        <v>1408</v>
      </c>
    </row>
    <row r="709" spans="1:41" ht="79.8" customHeight="1" x14ac:dyDescent="0.3">
      <c r="A709" s="20">
        <v>705</v>
      </c>
      <c r="B709" s="8" t="s">
        <v>4102</v>
      </c>
      <c r="C709" s="26">
        <v>2025</v>
      </c>
      <c r="D709" s="8"/>
      <c r="E709" s="8" t="s">
        <v>1411</v>
      </c>
      <c r="F709" s="20" t="s">
        <v>1969</v>
      </c>
      <c r="G709" s="21" t="s">
        <v>1968</v>
      </c>
      <c r="H709" s="21" t="s">
        <v>1968</v>
      </c>
      <c r="I709" s="21" t="s">
        <v>1968</v>
      </c>
      <c r="J709" s="21" t="s">
        <v>1968</v>
      </c>
      <c r="K709" s="21" t="s">
        <v>1968</v>
      </c>
      <c r="L709" s="22" t="str">
        <f t="shared" ref="L709:L772" si="55">IF(COUNTBLANK(G709:K709)=5,"",IF(COUNTIF(G709:K709,"No")&gt;0,"EXCLUDE","INCLUDE"))</f>
        <v>INCLUDE</v>
      </c>
      <c r="M709" s="22" t="str">
        <f t="shared" ref="M709:M772" si="56">IF(L709&lt;&gt;"EXCLUDE","",IF(G709="No","Wrong domain (non-AECO)",IF(H709="No","Digital Twin not core / buzzword",IF(I709="No","No Design for Safety / PtD focus",IF(J709="No","Wrong publication type",IF(K709="No","Non-English",""))))))</f>
        <v/>
      </c>
      <c r="N709" s="23" t="s">
        <v>1968</v>
      </c>
      <c r="O709" s="23" t="s">
        <v>1968</v>
      </c>
      <c r="P709" s="24" t="s">
        <v>1968</v>
      </c>
      <c r="Q709" s="24" t="s">
        <v>1968</v>
      </c>
      <c r="R709" s="24" t="s">
        <v>1968</v>
      </c>
      <c r="S709" s="22" t="str">
        <f t="shared" ref="S709:S772" si="57">IF(N709&lt;&gt;"Yes","",IF(COUNTBLANK(P709:R709)=3,"",IF(COUNTIF(P709:R709,"No")&gt;0,"EXCLUDE","INCLUDE")))</f>
        <v>INCLUDE</v>
      </c>
      <c r="T709" s="22" t="str">
        <f t="shared" ref="T709:T772" si="58">IF(S709&lt;&gt;"EXCLUDE","",IF(P709="No","Digital Twin mentioned only, not the subject",IF(Q709="No","No Design for Safety focus in full text",IF(R709="No","Methodology not codable",""))))</f>
        <v/>
      </c>
      <c r="U709" s="25" t="s">
        <v>1971</v>
      </c>
      <c r="V709" s="25">
        <v>0</v>
      </c>
      <c r="W709" s="25">
        <v>0</v>
      </c>
      <c r="X709" s="25">
        <v>1</v>
      </c>
      <c r="Y709" s="22" t="str">
        <f t="shared" ref="Y709:Y772" si="59">IF(SUM(V709:X709)=0,"",IF(SUM(V709:X709)&gt;=2,"Multi","Single"))</f>
        <v>Single</v>
      </c>
      <c r="Z709" s="25" t="s">
        <v>1922</v>
      </c>
      <c r="AA709" s="25" t="s">
        <v>1972</v>
      </c>
      <c r="AB709" s="25" t="s">
        <v>2014</v>
      </c>
      <c r="AC709" s="25" t="s">
        <v>1986</v>
      </c>
      <c r="AD709" s="25" t="s">
        <v>1987</v>
      </c>
      <c r="AE709" s="25">
        <v>3</v>
      </c>
      <c r="AF709" s="25" t="s">
        <v>2010</v>
      </c>
      <c r="AG709" s="9" t="s">
        <v>4103</v>
      </c>
      <c r="AH709" s="29" t="s">
        <v>4104</v>
      </c>
      <c r="AI709" s="29" t="s">
        <v>4105</v>
      </c>
      <c r="AJ709" t="s">
        <v>2005</v>
      </c>
      <c r="AK709" t="s">
        <v>4106</v>
      </c>
      <c r="AL709" t="s">
        <v>1990</v>
      </c>
      <c r="AM709" s="50"/>
      <c r="AN709" s="51" t="s">
        <v>4107</v>
      </c>
      <c r="AO709" s="55" t="s">
        <v>1410</v>
      </c>
    </row>
    <row r="710" spans="1:41" ht="45.6" customHeight="1" x14ac:dyDescent="0.3">
      <c r="A710" s="20">
        <v>706</v>
      </c>
      <c r="B710" s="8" t="s">
        <v>4108</v>
      </c>
      <c r="C710" s="26">
        <v>2025</v>
      </c>
      <c r="D710" s="8"/>
      <c r="E710" s="8" t="s">
        <v>1413</v>
      </c>
      <c r="F710" s="20" t="s">
        <v>1969</v>
      </c>
      <c r="G710" s="21" t="s">
        <v>1968</v>
      </c>
      <c r="H710" s="21" t="s">
        <v>1979</v>
      </c>
      <c r="I710" s="21" t="s">
        <v>1968</v>
      </c>
      <c r="J710" s="21" t="s">
        <v>1968</v>
      </c>
      <c r="K710" s="21" t="s">
        <v>1968</v>
      </c>
      <c r="L710" s="22" t="str">
        <f t="shared" si="55"/>
        <v>EXCLUDE</v>
      </c>
      <c r="M710" s="22" t="str">
        <f t="shared" si="56"/>
        <v>Digital Twin not core / buzzword</v>
      </c>
      <c r="N710" s="23"/>
      <c r="O710" s="23"/>
      <c r="P710" s="24"/>
      <c r="Q710" s="24"/>
      <c r="R710" s="24"/>
      <c r="S710" s="22" t="str">
        <f t="shared" si="57"/>
        <v/>
      </c>
      <c r="T710" s="22" t="str">
        <f t="shared" si="58"/>
        <v/>
      </c>
      <c r="U710" s="25"/>
      <c r="V710" s="25"/>
      <c r="W710" s="25"/>
      <c r="X710" s="25"/>
      <c r="Y710" s="22" t="str">
        <f t="shared" si="59"/>
        <v/>
      </c>
      <c r="Z710" s="25"/>
      <c r="AA710" s="25"/>
      <c r="AB710" s="25"/>
      <c r="AC710" s="25"/>
      <c r="AD710" s="25"/>
      <c r="AE710" s="25"/>
      <c r="AF710" s="25"/>
      <c r="AG710" s="9"/>
      <c r="AH710" s="29"/>
      <c r="AI710" s="29"/>
      <c r="AM710" s="50"/>
      <c r="AN710" s="51" t="s">
        <v>4109</v>
      </c>
      <c r="AO710" s="55" t="s">
        <v>1412</v>
      </c>
    </row>
    <row r="711" spans="1:41" ht="68.400000000000006" customHeight="1" x14ac:dyDescent="0.3">
      <c r="A711" s="20">
        <v>707</v>
      </c>
      <c r="B711" s="8" t="s">
        <v>3604</v>
      </c>
      <c r="C711" s="26">
        <v>2024</v>
      </c>
      <c r="D711" s="8"/>
      <c r="E711" s="8" t="s">
        <v>1415</v>
      </c>
      <c r="F711" s="20" t="s">
        <v>1969</v>
      </c>
      <c r="G711" s="21" t="s">
        <v>1968</v>
      </c>
      <c r="H711" s="21" t="s">
        <v>1979</v>
      </c>
      <c r="I711" s="21" t="s">
        <v>1968</v>
      </c>
      <c r="J711" s="21" t="s">
        <v>1968</v>
      </c>
      <c r="K711" s="21" t="s">
        <v>1968</v>
      </c>
      <c r="L711" s="22" t="str">
        <f t="shared" si="55"/>
        <v>EXCLUDE</v>
      </c>
      <c r="M711" s="22" t="str">
        <f t="shared" si="56"/>
        <v>Digital Twin not core / buzzword</v>
      </c>
      <c r="N711" s="23"/>
      <c r="O711" s="23"/>
      <c r="P711" s="24"/>
      <c r="Q711" s="24"/>
      <c r="R711" s="24"/>
      <c r="S711" s="22" t="str">
        <f t="shared" si="57"/>
        <v/>
      </c>
      <c r="T711" s="22" t="str">
        <f t="shared" si="58"/>
        <v/>
      </c>
      <c r="U711" s="25"/>
      <c r="V711" s="25"/>
      <c r="W711" s="25"/>
      <c r="X711" s="25"/>
      <c r="Y711" s="22" t="str">
        <f t="shared" si="59"/>
        <v/>
      </c>
      <c r="Z711" s="25"/>
      <c r="AA711" s="25"/>
      <c r="AB711" s="25"/>
      <c r="AC711" s="25"/>
      <c r="AD711" s="25"/>
      <c r="AE711" s="25"/>
      <c r="AF711" s="25"/>
      <c r="AG711" s="9"/>
      <c r="AH711" s="29"/>
      <c r="AI711" s="29"/>
      <c r="AM711" s="50"/>
      <c r="AN711" s="51" t="s">
        <v>4110</v>
      </c>
      <c r="AO711" s="55" t="s">
        <v>1414</v>
      </c>
    </row>
    <row r="712" spans="1:41" ht="57" customHeight="1" x14ac:dyDescent="0.3">
      <c r="A712" s="20">
        <v>708</v>
      </c>
      <c r="B712" s="8" t="s">
        <v>4111</v>
      </c>
      <c r="C712" s="26">
        <v>2024</v>
      </c>
      <c r="D712" s="8"/>
      <c r="E712" s="8" t="s">
        <v>1417</v>
      </c>
      <c r="F712" s="20" t="s">
        <v>1969</v>
      </c>
      <c r="G712" s="21" t="s">
        <v>1979</v>
      </c>
      <c r="H712" s="21" t="s">
        <v>1968</v>
      </c>
      <c r="I712" s="21" t="s">
        <v>1968</v>
      </c>
      <c r="J712" s="21" t="s">
        <v>1968</v>
      </c>
      <c r="K712" s="21" t="s">
        <v>1968</v>
      </c>
      <c r="L712" s="22" t="str">
        <f t="shared" si="55"/>
        <v>EXCLUDE</v>
      </c>
      <c r="M712" s="22" t="str">
        <f t="shared" si="56"/>
        <v>Wrong domain (non-AECO)</v>
      </c>
      <c r="N712" s="23"/>
      <c r="O712" s="23"/>
      <c r="P712" s="24"/>
      <c r="Q712" s="24"/>
      <c r="R712" s="24"/>
      <c r="S712" s="22" t="str">
        <f t="shared" si="57"/>
        <v/>
      </c>
      <c r="T712" s="22" t="str">
        <f t="shared" si="58"/>
        <v/>
      </c>
      <c r="U712" s="25"/>
      <c r="V712" s="25"/>
      <c r="W712" s="25"/>
      <c r="X712" s="25"/>
      <c r="Y712" s="22" t="str">
        <f t="shared" si="59"/>
        <v/>
      </c>
      <c r="Z712" s="25"/>
      <c r="AA712" s="25"/>
      <c r="AB712" s="25"/>
      <c r="AC712" s="25"/>
      <c r="AD712" s="25"/>
      <c r="AE712" s="25"/>
      <c r="AF712" s="25"/>
      <c r="AG712" s="9"/>
      <c r="AH712" s="29"/>
      <c r="AI712" s="29"/>
      <c r="AM712" s="50"/>
      <c r="AN712" s="51" t="s">
        <v>4112</v>
      </c>
      <c r="AO712" s="55" t="s">
        <v>1416</v>
      </c>
    </row>
    <row r="713" spans="1:41" ht="57" customHeight="1" x14ac:dyDescent="0.3">
      <c r="A713" s="20">
        <v>709</v>
      </c>
      <c r="B713" s="8" t="s">
        <v>4113</v>
      </c>
      <c r="C713" s="26">
        <v>2024</v>
      </c>
      <c r="D713" s="8"/>
      <c r="E713" s="8" t="s">
        <v>1419</v>
      </c>
      <c r="F713" s="20" t="s">
        <v>1969</v>
      </c>
      <c r="G713" s="21" t="s">
        <v>1968</v>
      </c>
      <c r="H713" s="21" t="s">
        <v>1968</v>
      </c>
      <c r="I713" s="21" t="s">
        <v>1979</v>
      </c>
      <c r="J713" s="21" t="s">
        <v>1968</v>
      </c>
      <c r="K713" s="21" t="s">
        <v>1968</v>
      </c>
      <c r="L713" s="22" t="str">
        <f t="shared" si="55"/>
        <v>EXCLUDE</v>
      </c>
      <c r="M713" s="22" t="str">
        <f t="shared" si="56"/>
        <v>No Design for Safety / PtD focus</v>
      </c>
      <c r="N713" s="23"/>
      <c r="O713" s="23"/>
      <c r="P713" s="24"/>
      <c r="Q713" s="24"/>
      <c r="R713" s="24"/>
      <c r="S713" s="22" t="str">
        <f t="shared" si="57"/>
        <v/>
      </c>
      <c r="T713" s="22" t="str">
        <f t="shared" si="58"/>
        <v/>
      </c>
      <c r="U713" s="25"/>
      <c r="V713" s="25"/>
      <c r="W713" s="25"/>
      <c r="X713" s="25"/>
      <c r="Y713" s="22" t="str">
        <f t="shared" si="59"/>
        <v/>
      </c>
      <c r="Z713" s="25"/>
      <c r="AA713" s="25"/>
      <c r="AB713" s="25"/>
      <c r="AC713" s="25"/>
      <c r="AD713" s="25"/>
      <c r="AE713" s="25"/>
      <c r="AF713" s="25"/>
      <c r="AG713" s="9"/>
      <c r="AH713" s="29"/>
      <c r="AI713" s="29"/>
      <c r="AM713" s="50"/>
      <c r="AN713" s="51" t="s">
        <v>4114</v>
      </c>
      <c r="AO713" s="55" t="s">
        <v>1418</v>
      </c>
    </row>
    <row r="714" spans="1:41" ht="34.200000000000003" customHeight="1" x14ac:dyDescent="0.3">
      <c r="A714" s="20">
        <v>710</v>
      </c>
      <c r="B714" s="8" t="s">
        <v>4115</v>
      </c>
      <c r="C714" s="26">
        <v>2022</v>
      </c>
      <c r="D714" s="8"/>
      <c r="E714" s="8" t="s">
        <v>1421</v>
      </c>
      <c r="F714" s="20" t="s">
        <v>1969</v>
      </c>
      <c r="G714" s="21" t="s">
        <v>1979</v>
      </c>
      <c r="H714" s="21" t="s">
        <v>1968</v>
      </c>
      <c r="I714" s="21" t="s">
        <v>1968</v>
      </c>
      <c r="J714" s="21" t="s">
        <v>1968</v>
      </c>
      <c r="K714" s="21" t="s">
        <v>1968</v>
      </c>
      <c r="L714" s="22" t="str">
        <f t="shared" si="55"/>
        <v>EXCLUDE</v>
      </c>
      <c r="M714" s="22" t="str">
        <f t="shared" si="56"/>
        <v>Wrong domain (non-AECO)</v>
      </c>
      <c r="N714" s="23"/>
      <c r="O714" s="23"/>
      <c r="P714" s="24"/>
      <c r="Q714" s="24"/>
      <c r="R714" s="24"/>
      <c r="S714" s="22" t="str">
        <f t="shared" si="57"/>
        <v/>
      </c>
      <c r="T714" s="22" t="str">
        <f t="shared" si="58"/>
        <v/>
      </c>
      <c r="U714" s="25"/>
      <c r="V714" s="25"/>
      <c r="W714" s="25"/>
      <c r="X714" s="25"/>
      <c r="Y714" s="22" t="str">
        <f t="shared" si="59"/>
        <v/>
      </c>
      <c r="Z714" s="25"/>
      <c r="AA714" s="25"/>
      <c r="AB714" s="25"/>
      <c r="AC714" s="25"/>
      <c r="AD714" s="25"/>
      <c r="AE714" s="25"/>
      <c r="AF714" s="25"/>
      <c r="AG714" s="9"/>
      <c r="AH714" s="29"/>
      <c r="AI714" s="29"/>
      <c r="AM714" s="50"/>
      <c r="AN714" s="51" t="s">
        <v>4116</v>
      </c>
      <c r="AO714" s="55" t="s">
        <v>1420</v>
      </c>
    </row>
    <row r="715" spans="1:41" ht="57" customHeight="1" x14ac:dyDescent="0.3">
      <c r="A715" s="20">
        <v>711</v>
      </c>
      <c r="B715" s="8" t="s">
        <v>4117</v>
      </c>
      <c r="C715" s="26">
        <v>2023</v>
      </c>
      <c r="D715" s="8"/>
      <c r="E715" s="8" t="s">
        <v>1423</v>
      </c>
      <c r="F715" s="20" t="s">
        <v>1969</v>
      </c>
      <c r="G715" s="21" t="s">
        <v>1968</v>
      </c>
      <c r="H715" s="21" t="s">
        <v>1968</v>
      </c>
      <c r="I715" s="21" t="s">
        <v>1979</v>
      </c>
      <c r="J715" s="21" t="s">
        <v>1968</v>
      </c>
      <c r="K715" s="21" t="s">
        <v>1968</v>
      </c>
      <c r="L715" s="22" t="str">
        <f t="shared" si="55"/>
        <v>EXCLUDE</v>
      </c>
      <c r="M715" s="22" t="str">
        <f t="shared" si="56"/>
        <v>No Design for Safety / PtD focus</v>
      </c>
      <c r="N715" s="23"/>
      <c r="O715" s="23"/>
      <c r="P715" s="24"/>
      <c r="Q715" s="24"/>
      <c r="R715" s="24"/>
      <c r="S715" s="22" t="str">
        <f t="shared" si="57"/>
        <v/>
      </c>
      <c r="T715" s="22" t="str">
        <f t="shared" si="58"/>
        <v/>
      </c>
      <c r="U715" s="25"/>
      <c r="V715" s="25"/>
      <c r="W715" s="25"/>
      <c r="X715" s="25"/>
      <c r="Y715" s="22" t="str">
        <f t="shared" si="59"/>
        <v/>
      </c>
      <c r="Z715" s="25"/>
      <c r="AA715" s="25"/>
      <c r="AB715" s="25"/>
      <c r="AC715" s="25"/>
      <c r="AD715" s="25"/>
      <c r="AE715" s="25"/>
      <c r="AF715" s="25"/>
      <c r="AG715" s="9"/>
      <c r="AH715" s="29"/>
      <c r="AI715" s="29"/>
      <c r="AM715" s="50"/>
      <c r="AN715" s="51" t="s">
        <v>4118</v>
      </c>
      <c r="AO715" s="55" t="s">
        <v>1422</v>
      </c>
    </row>
    <row r="716" spans="1:41" ht="57" customHeight="1" x14ac:dyDescent="0.3">
      <c r="A716" s="20">
        <v>712</v>
      </c>
      <c r="B716" s="8" t="s">
        <v>4119</v>
      </c>
      <c r="C716" s="26">
        <v>2022</v>
      </c>
      <c r="D716" s="8"/>
      <c r="E716" s="8" t="s">
        <v>1425</v>
      </c>
      <c r="F716" s="20" t="s">
        <v>1969</v>
      </c>
      <c r="G716" s="21" t="s">
        <v>1979</v>
      </c>
      <c r="H716" s="21" t="s">
        <v>1968</v>
      </c>
      <c r="I716" s="21" t="s">
        <v>1968</v>
      </c>
      <c r="J716" s="21" t="s">
        <v>1968</v>
      </c>
      <c r="K716" s="21" t="s">
        <v>1968</v>
      </c>
      <c r="L716" s="22" t="str">
        <f t="shared" si="55"/>
        <v>EXCLUDE</v>
      </c>
      <c r="M716" s="22" t="str">
        <f t="shared" si="56"/>
        <v>Wrong domain (non-AECO)</v>
      </c>
      <c r="N716" s="23"/>
      <c r="O716" s="23"/>
      <c r="P716" s="24"/>
      <c r="Q716" s="24"/>
      <c r="R716" s="24"/>
      <c r="S716" s="22" t="str">
        <f t="shared" si="57"/>
        <v/>
      </c>
      <c r="T716" s="22" t="str">
        <f t="shared" si="58"/>
        <v/>
      </c>
      <c r="U716" s="25"/>
      <c r="V716" s="25"/>
      <c r="W716" s="25"/>
      <c r="X716" s="25"/>
      <c r="Y716" s="22" t="str">
        <f t="shared" si="59"/>
        <v/>
      </c>
      <c r="Z716" s="25"/>
      <c r="AA716" s="25"/>
      <c r="AB716" s="25"/>
      <c r="AC716" s="25"/>
      <c r="AD716" s="25"/>
      <c r="AE716" s="25"/>
      <c r="AF716" s="25"/>
      <c r="AG716" s="9"/>
      <c r="AH716" s="29"/>
      <c r="AI716" s="29"/>
      <c r="AM716" s="50"/>
      <c r="AN716" s="51" t="s">
        <v>4120</v>
      </c>
      <c r="AO716" s="55" t="s">
        <v>1424</v>
      </c>
    </row>
    <row r="717" spans="1:41" ht="45.6" customHeight="1" x14ac:dyDescent="0.3">
      <c r="A717" s="20">
        <v>713</v>
      </c>
      <c r="B717" s="8" t="s">
        <v>4121</v>
      </c>
      <c r="C717" s="26">
        <v>2023</v>
      </c>
      <c r="D717" s="8"/>
      <c r="E717" s="8" t="s">
        <v>1427</v>
      </c>
      <c r="F717" s="20" t="s">
        <v>1969</v>
      </c>
      <c r="G717" s="21" t="s">
        <v>1968</v>
      </c>
      <c r="H717" s="21" t="s">
        <v>1979</v>
      </c>
      <c r="I717" s="21" t="s">
        <v>1968</v>
      </c>
      <c r="J717" s="21" t="s">
        <v>1968</v>
      </c>
      <c r="K717" s="21" t="s">
        <v>1968</v>
      </c>
      <c r="L717" s="22" t="str">
        <f t="shared" si="55"/>
        <v>EXCLUDE</v>
      </c>
      <c r="M717" s="22" t="str">
        <f t="shared" si="56"/>
        <v>Digital Twin not core / buzzword</v>
      </c>
      <c r="N717" s="23"/>
      <c r="O717" s="23"/>
      <c r="P717" s="24"/>
      <c r="Q717" s="24"/>
      <c r="R717" s="24"/>
      <c r="S717" s="22" t="str">
        <f t="shared" si="57"/>
        <v/>
      </c>
      <c r="T717" s="22" t="str">
        <f t="shared" si="58"/>
        <v/>
      </c>
      <c r="U717" s="25"/>
      <c r="V717" s="25"/>
      <c r="W717" s="25"/>
      <c r="X717" s="25"/>
      <c r="Y717" s="22" t="str">
        <f t="shared" si="59"/>
        <v/>
      </c>
      <c r="Z717" s="25"/>
      <c r="AA717" s="25"/>
      <c r="AB717" s="25"/>
      <c r="AC717" s="25"/>
      <c r="AD717" s="25"/>
      <c r="AE717" s="25"/>
      <c r="AF717" s="25"/>
      <c r="AG717" s="9"/>
      <c r="AH717" s="29"/>
      <c r="AI717" s="29"/>
      <c r="AM717" s="50"/>
      <c r="AN717" s="51" t="s">
        <v>4122</v>
      </c>
      <c r="AO717" s="55" t="s">
        <v>1426</v>
      </c>
    </row>
    <row r="718" spans="1:41" ht="79.8" customHeight="1" x14ac:dyDescent="0.3">
      <c r="A718" s="20">
        <v>714</v>
      </c>
      <c r="B718" s="8" t="s">
        <v>4123</v>
      </c>
      <c r="C718" s="26">
        <v>2018</v>
      </c>
      <c r="D718" s="8"/>
      <c r="E718" s="8" t="s">
        <v>1429</v>
      </c>
      <c r="F718" s="20" t="s">
        <v>1969</v>
      </c>
      <c r="G718" s="21" t="s">
        <v>1979</v>
      </c>
      <c r="H718" s="21" t="s">
        <v>1968</v>
      </c>
      <c r="I718" s="21" t="s">
        <v>1968</v>
      </c>
      <c r="J718" s="21" t="s">
        <v>1968</v>
      </c>
      <c r="K718" s="21" t="s">
        <v>1968</v>
      </c>
      <c r="L718" s="22" t="str">
        <f t="shared" si="55"/>
        <v>EXCLUDE</v>
      </c>
      <c r="M718" s="22" t="str">
        <f t="shared" si="56"/>
        <v>Wrong domain (non-AECO)</v>
      </c>
      <c r="N718" s="23"/>
      <c r="O718" s="23"/>
      <c r="P718" s="24"/>
      <c r="Q718" s="24"/>
      <c r="R718" s="24"/>
      <c r="S718" s="22" t="str">
        <f t="shared" si="57"/>
        <v/>
      </c>
      <c r="T718" s="22" t="str">
        <f t="shared" si="58"/>
        <v/>
      </c>
      <c r="U718" s="25"/>
      <c r="V718" s="25"/>
      <c r="W718" s="25"/>
      <c r="X718" s="25"/>
      <c r="Y718" s="22" t="str">
        <f t="shared" si="59"/>
        <v/>
      </c>
      <c r="Z718" s="25"/>
      <c r="AA718" s="25"/>
      <c r="AB718" s="25"/>
      <c r="AC718" s="25"/>
      <c r="AD718" s="25"/>
      <c r="AE718" s="25"/>
      <c r="AF718" s="25"/>
      <c r="AG718" s="9"/>
      <c r="AH718" s="29"/>
      <c r="AI718" s="29"/>
      <c r="AM718" s="50"/>
      <c r="AN718" s="51" t="s">
        <v>4124</v>
      </c>
      <c r="AO718" s="55" t="s">
        <v>1428</v>
      </c>
    </row>
    <row r="719" spans="1:41" ht="45.6" customHeight="1" x14ac:dyDescent="0.3">
      <c r="A719" s="20">
        <v>715</v>
      </c>
      <c r="B719" s="8" t="s">
        <v>4125</v>
      </c>
      <c r="C719" s="26">
        <v>2023</v>
      </c>
      <c r="D719" s="8"/>
      <c r="E719" s="8" t="s">
        <v>1431</v>
      </c>
      <c r="F719" s="20" t="s">
        <v>1969</v>
      </c>
      <c r="G719" s="21" t="s">
        <v>1979</v>
      </c>
      <c r="H719" s="21" t="s">
        <v>1968</v>
      </c>
      <c r="I719" s="21" t="s">
        <v>1968</v>
      </c>
      <c r="J719" s="21" t="s">
        <v>1968</v>
      </c>
      <c r="K719" s="21" t="s">
        <v>1968</v>
      </c>
      <c r="L719" s="22" t="str">
        <f t="shared" si="55"/>
        <v>EXCLUDE</v>
      </c>
      <c r="M719" s="22" t="str">
        <f t="shared" si="56"/>
        <v>Wrong domain (non-AECO)</v>
      </c>
      <c r="N719" s="23"/>
      <c r="O719" s="23"/>
      <c r="P719" s="24"/>
      <c r="Q719" s="24"/>
      <c r="R719" s="24"/>
      <c r="S719" s="22" t="str">
        <f t="shared" si="57"/>
        <v/>
      </c>
      <c r="T719" s="22" t="str">
        <f t="shared" si="58"/>
        <v/>
      </c>
      <c r="U719" s="25"/>
      <c r="V719" s="25"/>
      <c r="W719" s="25"/>
      <c r="X719" s="25"/>
      <c r="Y719" s="22" t="str">
        <f t="shared" si="59"/>
        <v/>
      </c>
      <c r="Z719" s="25"/>
      <c r="AA719" s="25"/>
      <c r="AB719" s="25"/>
      <c r="AC719" s="25"/>
      <c r="AD719" s="25"/>
      <c r="AE719" s="25"/>
      <c r="AF719" s="25"/>
      <c r="AG719" s="9"/>
      <c r="AH719" s="29"/>
      <c r="AI719" s="29"/>
      <c r="AM719" s="50"/>
      <c r="AN719" s="51" t="s">
        <v>4126</v>
      </c>
      <c r="AO719" s="55" t="s">
        <v>1430</v>
      </c>
    </row>
    <row r="720" spans="1:41" ht="79.8" customHeight="1" x14ac:dyDescent="0.3">
      <c r="A720" s="20">
        <v>716</v>
      </c>
      <c r="B720" s="8" t="s">
        <v>4127</v>
      </c>
      <c r="C720" s="26">
        <v>2022</v>
      </c>
      <c r="D720" s="8"/>
      <c r="E720" s="8" t="s">
        <v>1433</v>
      </c>
      <c r="F720" s="20" t="s">
        <v>1969</v>
      </c>
      <c r="G720" s="21" t="s">
        <v>1968</v>
      </c>
      <c r="H720" s="21" t="s">
        <v>1968</v>
      </c>
      <c r="I720" s="21" t="s">
        <v>1968</v>
      </c>
      <c r="J720" s="21" t="s">
        <v>1968</v>
      </c>
      <c r="K720" s="21" t="s">
        <v>1968</v>
      </c>
      <c r="L720" s="22" t="str">
        <f t="shared" si="55"/>
        <v>INCLUDE</v>
      </c>
      <c r="M720" s="22" t="str">
        <f t="shared" si="56"/>
        <v/>
      </c>
      <c r="N720" s="23" t="s">
        <v>1968</v>
      </c>
      <c r="O720" s="23" t="s">
        <v>1968</v>
      </c>
      <c r="P720" s="24" t="s">
        <v>1968</v>
      </c>
      <c r="Q720" s="24" t="s">
        <v>1968</v>
      </c>
      <c r="R720" s="24" t="s">
        <v>1968</v>
      </c>
      <c r="S720" s="22" t="str">
        <f t="shared" si="57"/>
        <v>INCLUDE</v>
      </c>
      <c r="T720" s="22" t="str">
        <f t="shared" si="58"/>
        <v/>
      </c>
      <c r="U720" s="25" t="s">
        <v>1971</v>
      </c>
      <c r="V720" s="25">
        <v>1</v>
      </c>
      <c r="W720" s="25">
        <v>0</v>
      </c>
      <c r="X720" s="25">
        <v>0</v>
      </c>
      <c r="Y720" s="22" t="str">
        <f t="shared" si="59"/>
        <v>Single</v>
      </c>
      <c r="Z720" s="25" t="s">
        <v>1922</v>
      </c>
      <c r="AA720" s="25" t="s">
        <v>1972</v>
      </c>
      <c r="AB720" s="25" t="s">
        <v>2017</v>
      </c>
      <c r="AC720" s="25" t="s">
        <v>1986</v>
      </c>
      <c r="AD720" s="25" t="s">
        <v>2003</v>
      </c>
      <c r="AE720" s="25">
        <v>3</v>
      </c>
      <c r="AF720" s="25" t="s">
        <v>2004</v>
      </c>
      <c r="AG720" s="9" t="s">
        <v>4128</v>
      </c>
      <c r="AH720" s="29" t="s">
        <v>4129</v>
      </c>
      <c r="AI720" s="29" t="s">
        <v>4130</v>
      </c>
      <c r="AJ720" t="s">
        <v>2005</v>
      </c>
      <c r="AK720" t="s">
        <v>4131</v>
      </c>
      <c r="AL720" t="s">
        <v>1990</v>
      </c>
      <c r="AM720" s="50"/>
      <c r="AN720" s="51" t="s">
        <v>4132</v>
      </c>
      <c r="AO720" s="55" t="s">
        <v>1432</v>
      </c>
    </row>
    <row r="721" spans="1:41" ht="45.6" customHeight="1" x14ac:dyDescent="0.3">
      <c r="A721" s="20">
        <v>717</v>
      </c>
      <c r="B721" s="8" t="s">
        <v>4133</v>
      </c>
      <c r="C721" s="26">
        <v>2020</v>
      </c>
      <c r="D721" s="8"/>
      <c r="E721" s="8" t="s">
        <v>1435</v>
      </c>
      <c r="F721" s="20" t="s">
        <v>1969</v>
      </c>
      <c r="G721" s="21" t="s">
        <v>1968</v>
      </c>
      <c r="H721" s="21" t="s">
        <v>1979</v>
      </c>
      <c r="I721" s="21" t="s">
        <v>1968</v>
      </c>
      <c r="J721" s="21" t="s">
        <v>1968</v>
      </c>
      <c r="K721" s="21" t="s">
        <v>1968</v>
      </c>
      <c r="L721" s="22" t="str">
        <f t="shared" si="55"/>
        <v>EXCLUDE</v>
      </c>
      <c r="M721" s="22" t="str">
        <f t="shared" si="56"/>
        <v>Digital Twin not core / buzzword</v>
      </c>
      <c r="N721" s="23"/>
      <c r="O721" s="23"/>
      <c r="P721" s="24"/>
      <c r="Q721" s="24"/>
      <c r="R721" s="24"/>
      <c r="S721" s="22" t="str">
        <f t="shared" si="57"/>
        <v/>
      </c>
      <c r="T721" s="22" t="str">
        <f t="shared" si="58"/>
        <v/>
      </c>
      <c r="U721" s="25"/>
      <c r="V721" s="25"/>
      <c r="W721" s="25"/>
      <c r="X721" s="25"/>
      <c r="Y721" s="22" t="str">
        <f t="shared" si="59"/>
        <v/>
      </c>
      <c r="Z721" s="25"/>
      <c r="AA721" s="25"/>
      <c r="AB721" s="25"/>
      <c r="AC721" s="25"/>
      <c r="AD721" s="25"/>
      <c r="AE721" s="25"/>
      <c r="AF721" s="25"/>
      <c r="AG721" s="9"/>
      <c r="AH721" s="29"/>
      <c r="AI721" s="29"/>
      <c r="AM721" s="50"/>
      <c r="AN721" s="51" t="s">
        <v>4134</v>
      </c>
      <c r="AO721" s="55" t="s">
        <v>1434</v>
      </c>
    </row>
    <row r="722" spans="1:41" ht="57" customHeight="1" x14ac:dyDescent="0.3">
      <c r="A722" s="20">
        <v>718</v>
      </c>
      <c r="B722" s="8" t="s">
        <v>4135</v>
      </c>
      <c r="C722" s="26">
        <v>2025</v>
      </c>
      <c r="D722" s="8"/>
      <c r="E722" s="8" t="s">
        <v>1437</v>
      </c>
      <c r="F722" s="20" t="s">
        <v>1969</v>
      </c>
      <c r="G722" s="21" t="s">
        <v>1968</v>
      </c>
      <c r="H722" s="21" t="s">
        <v>1979</v>
      </c>
      <c r="I722" s="21" t="s">
        <v>1968</v>
      </c>
      <c r="J722" s="21" t="s">
        <v>1968</v>
      </c>
      <c r="K722" s="21" t="s">
        <v>1968</v>
      </c>
      <c r="L722" s="22" t="str">
        <f t="shared" si="55"/>
        <v>EXCLUDE</v>
      </c>
      <c r="M722" s="22" t="str">
        <f t="shared" si="56"/>
        <v>Digital Twin not core / buzzword</v>
      </c>
      <c r="N722" s="23"/>
      <c r="O722" s="23"/>
      <c r="P722" s="24"/>
      <c r="Q722" s="24"/>
      <c r="R722" s="24"/>
      <c r="S722" s="22" t="str">
        <f t="shared" si="57"/>
        <v/>
      </c>
      <c r="T722" s="22" t="str">
        <f t="shared" si="58"/>
        <v/>
      </c>
      <c r="U722" s="25"/>
      <c r="V722" s="25"/>
      <c r="W722" s="25"/>
      <c r="X722" s="25"/>
      <c r="Y722" s="22" t="str">
        <f t="shared" si="59"/>
        <v/>
      </c>
      <c r="Z722" s="25"/>
      <c r="AA722" s="25"/>
      <c r="AB722" s="25"/>
      <c r="AC722" s="25"/>
      <c r="AD722" s="25"/>
      <c r="AE722" s="25"/>
      <c r="AF722" s="25"/>
      <c r="AG722" s="9"/>
      <c r="AH722" s="29"/>
      <c r="AI722" s="29"/>
      <c r="AM722" s="50"/>
      <c r="AN722" s="51" t="s">
        <v>4136</v>
      </c>
      <c r="AO722" s="55" t="s">
        <v>1436</v>
      </c>
    </row>
    <row r="723" spans="1:41" ht="91.2" customHeight="1" x14ac:dyDescent="0.3">
      <c r="A723" s="20">
        <v>719</v>
      </c>
      <c r="B723" s="8" t="s">
        <v>4137</v>
      </c>
      <c r="C723" s="26">
        <v>2025</v>
      </c>
      <c r="D723" s="8"/>
      <c r="E723" s="8" t="s">
        <v>1439</v>
      </c>
      <c r="F723" s="20" t="s">
        <v>1969</v>
      </c>
      <c r="G723" s="21" t="s">
        <v>1979</v>
      </c>
      <c r="H723" s="21" t="s">
        <v>1968</v>
      </c>
      <c r="I723" s="21" t="s">
        <v>1968</v>
      </c>
      <c r="J723" s="21" t="s">
        <v>1968</v>
      </c>
      <c r="K723" s="21" t="s">
        <v>1979</v>
      </c>
      <c r="L723" s="22" t="str">
        <f t="shared" si="55"/>
        <v>EXCLUDE</v>
      </c>
      <c r="M723" s="22" t="str">
        <f t="shared" si="56"/>
        <v>Wrong domain (non-AECO)</v>
      </c>
      <c r="N723" s="23"/>
      <c r="O723" s="23"/>
      <c r="P723" s="24"/>
      <c r="Q723" s="24"/>
      <c r="R723" s="24"/>
      <c r="S723" s="22" t="str">
        <f t="shared" si="57"/>
        <v/>
      </c>
      <c r="T723" s="22" t="str">
        <f t="shared" si="58"/>
        <v/>
      </c>
      <c r="U723" s="25"/>
      <c r="V723" s="25"/>
      <c r="W723" s="25"/>
      <c r="X723" s="25"/>
      <c r="Y723" s="22" t="str">
        <f t="shared" si="59"/>
        <v/>
      </c>
      <c r="Z723" s="25"/>
      <c r="AA723" s="25"/>
      <c r="AB723" s="25"/>
      <c r="AC723" s="25"/>
      <c r="AD723" s="25"/>
      <c r="AE723" s="25"/>
      <c r="AF723" s="25"/>
      <c r="AG723" s="9"/>
      <c r="AH723" s="29"/>
      <c r="AI723" s="29"/>
      <c r="AM723" s="50"/>
      <c r="AN723" s="51" t="s">
        <v>4138</v>
      </c>
      <c r="AO723" s="55" t="s">
        <v>1438</v>
      </c>
    </row>
    <row r="724" spans="1:41" ht="57" customHeight="1" x14ac:dyDescent="0.3">
      <c r="A724" s="20">
        <v>720</v>
      </c>
      <c r="B724" s="8" t="s">
        <v>4139</v>
      </c>
      <c r="C724" s="26">
        <v>2023</v>
      </c>
      <c r="D724" s="8"/>
      <c r="E724" s="8" t="s">
        <v>1441</v>
      </c>
      <c r="F724" s="20" t="s">
        <v>1969</v>
      </c>
      <c r="G724" s="21" t="s">
        <v>1968</v>
      </c>
      <c r="H724" s="21" t="s">
        <v>1979</v>
      </c>
      <c r="I724" s="21" t="s">
        <v>1968</v>
      </c>
      <c r="J724" s="21" t="s">
        <v>1968</v>
      </c>
      <c r="K724" s="21" t="s">
        <v>1968</v>
      </c>
      <c r="L724" s="22" t="str">
        <f t="shared" si="55"/>
        <v>EXCLUDE</v>
      </c>
      <c r="M724" s="22" t="str">
        <f t="shared" si="56"/>
        <v>Digital Twin not core / buzzword</v>
      </c>
      <c r="N724" s="23"/>
      <c r="O724" s="23"/>
      <c r="P724" s="24"/>
      <c r="Q724" s="24"/>
      <c r="R724" s="24"/>
      <c r="S724" s="22" t="str">
        <f t="shared" si="57"/>
        <v/>
      </c>
      <c r="T724" s="22" t="str">
        <f t="shared" si="58"/>
        <v/>
      </c>
      <c r="U724" s="25"/>
      <c r="V724" s="25"/>
      <c r="W724" s="25"/>
      <c r="X724" s="25"/>
      <c r="Y724" s="22" t="str">
        <f t="shared" si="59"/>
        <v/>
      </c>
      <c r="Z724" s="25"/>
      <c r="AA724" s="25"/>
      <c r="AB724" s="25"/>
      <c r="AC724" s="25"/>
      <c r="AD724" s="25"/>
      <c r="AE724" s="25"/>
      <c r="AF724" s="25"/>
      <c r="AG724" s="9"/>
      <c r="AH724" s="29"/>
      <c r="AI724" s="29"/>
      <c r="AM724" s="50"/>
      <c r="AN724" s="51" t="s">
        <v>4140</v>
      </c>
      <c r="AO724" s="55" t="s">
        <v>1440</v>
      </c>
    </row>
    <row r="725" spans="1:41" ht="57" customHeight="1" x14ac:dyDescent="0.3">
      <c r="A725" s="20">
        <v>721</v>
      </c>
      <c r="B725" s="8" t="s">
        <v>4141</v>
      </c>
      <c r="C725" s="26">
        <v>2019</v>
      </c>
      <c r="D725" s="8"/>
      <c r="E725" s="8" t="s">
        <v>1443</v>
      </c>
      <c r="F725" s="20" t="s">
        <v>1969</v>
      </c>
      <c r="G725" s="21" t="s">
        <v>1979</v>
      </c>
      <c r="H725" s="21" t="s">
        <v>1968</v>
      </c>
      <c r="I725" s="21" t="s">
        <v>1968</v>
      </c>
      <c r="J725" s="21" t="s">
        <v>1968</v>
      </c>
      <c r="K725" s="21" t="s">
        <v>1968</v>
      </c>
      <c r="L725" s="22" t="str">
        <f t="shared" si="55"/>
        <v>EXCLUDE</v>
      </c>
      <c r="M725" s="22" t="str">
        <f t="shared" si="56"/>
        <v>Wrong domain (non-AECO)</v>
      </c>
      <c r="N725" s="23"/>
      <c r="O725" s="23"/>
      <c r="P725" s="24"/>
      <c r="Q725" s="24"/>
      <c r="R725" s="24"/>
      <c r="S725" s="22" t="str">
        <f t="shared" si="57"/>
        <v/>
      </c>
      <c r="T725" s="22" t="str">
        <f t="shared" si="58"/>
        <v/>
      </c>
      <c r="U725" s="25"/>
      <c r="V725" s="25"/>
      <c r="W725" s="25"/>
      <c r="X725" s="25"/>
      <c r="Y725" s="22" t="str">
        <f t="shared" si="59"/>
        <v/>
      </c>
      <c r="Z725" s="25"/>
      <c r="AA725" s="25"/>
      <c r="AB725" s="25"/>
      <c r="AC725" s="25"/>
      <c r="AD725" s="25"/>
      <c r="AE725" s="25"/>
      <c r="AF725" s="25"/>
      <c r="AG725" s="9"/>
      <c r="AH725" s="29"/>
      <c r="AI725" s="29"/>
      <c r="AM725" s="50"/>
      <c r="AN725" s="51" t="s">
        <v>4142</v>
      </c>
      <c r="AO725" s="55" t="s">
        <v>1442</v>
      </c>
    </row>
    <row r="726" spans="1:41" ht="125.4" customHeight="1" x14ac:dyDescent="0.3">
      <c r="A726" s="20">
        <v>722</v>
      </c>
      <c r="B726" s="8" t="s">
        <v>4143</v>
      </c>
      <c r="C726" s="26">
        <v>2025</v>
      </c>
      <c r="D726" s="8"/>
      <c r="E726" s="8" t="s">
        <v>1445</v>
      </c>
      <c r="F726" s="20" t="s">
        <v>1969</v>
      </c>
      <c r="G726" s="21" t="s">
        <v>1968</v>
      </c>
      <c r="H726" s="21" t="s">
        <v>1968</v>
      </c>
      <c r="I726" s="21" t="s">
        <v>1968</v>
      </c>
      <c r="J726" s="21" t="s">
        <v>1968</v>
      </c>
      <c r="K726" s="21" t="s">
        <v>1968</v>
      </c>
      <c r="L726" s="22" t="str">
        <f t="shared" si="55"/>
        <v>INCLUDE</v>
      </c>
      <c r="M726" s="22" t="str">
        <f t="shared" si="56"/>
        <v/>
      </c>
      <c r="N726" s="23" t="s">
        <v>1968</v>
      </c>
      <c r="O726" s="23" t="s">
        <v>1968</v>
      </c>
      <c r="P726" s="24" t="s">
        <v>1968</v>
      </c>
      <c r="Q726" s="24" t="s">
        <v>1968</v>
      </c>
      <c r="R726" s="24" t="s">
        <v>1968</v>
      </c>
      <c r="S726" s="22" t="str">
        <f t="shared" si="57"/>
        <v>INCLUDE</v>
      </c>
      <c r="T726" s="22" t="str">
        <f t="shared" si="58"/>
        <v/>
      </c>
      <c r="U726" s="25" t="s">
        <v>1982</v>
      </c>
      <c r="V726" s="25">
        <v>0</v>
      </c>
      <c r="W726" s="25">
        <v>1</v>
      </c>
      <c r="X726" s="25">
        <v>0</v>
      </c>
      <c r="Y726" s="22" t="str">
        <f t="shared" si="59"/>
        <v>Single</v>
      </c>
      <c r="Z726" s="25" t="s">
        <v>1922</v>
      </c>
      <c r="AA726" s="25" t="s">
        <v>1972</v>
      </c>
      <c r="AB726" s="25" t="s">
        <v>1973</v>
      </c>
      <c r="AC726" s="25" t="s">
        <v>1986</v>
      </c>
      <c r="AD726" s="25" t="s">
        <v>1987</v>
      </c>
      <c r="AE726" s="25">
        <v>4</v>
      </c>
      <c r="AF726" s="25" t="s">
        <v>1996</v>
      </c>
      <c r="AG726" s="9" t="s">
        <v>4144</v>
      </c>
      <c r="AH726" s="29" t="s">
        <v>4145</v>
      </c>
      <c r="AI726" s="29" t="s">
        <v>4146</v>
      </c>
      <c r="AJ726" t="s">
        <v>2005</v>
      </c>
      <c r="AK726" t="s">
        <v>4147</v>
      </c>
      <c r="AL726" t="s">
        <v>1978</v>
      </c>
      <c r="AM726" s="50"/>
      <c r="AN726" s="51" t="s">
        <v>4148</v>
      </c>
      <c r="AO726" s="55" t="s">
        <v>1444</v>
      </c>
    </row>
    <row r="727" spans="1:41" ht="91.2" customHeight="1" x14ac:dyDescent="0.3">
      <c r="A727" s="20">
        <v>723</v>
      </c>
      <c r="B727" s="8" t="s">
        <v>4149</v>
      </c>
      <c r="C727" s="26">
        <v>2023</v>
      </c>
      <c r="D727" s="8"/>
      <c r="E727" s="8" t="s">
        <v>1447</v>
      </c>
      <c r="F727" s="20" t="s">
        <v>1969</v>
      </c>
      <c r="G727" s="21" t="s">
        <v>1968</v>
      </c>
      <c r="H727" s="21" t="s">
        <v>1968</v>
      </c>
      <c r="I727" s="21" t="s">
        <v>1968</v>
      </c>
      <c r="J727" s="21" t="s">
        <v>1968</v>
      </c>
      <c r="K727" s="21" t="s">
        <v>1968</v>
      </c>
      <c r="L727" s="22" t="str">
        <f t="shared" si="55"/>
        <v>INCLUDE</v>
      </c>
      <c r="M727" s="22" t="str">
        <f t="shared" si="56"/>
        <v/>
      </c>
      <c r="N727" s="23" t="s">
        <v>1968</v>
      </c>
      <c r="O727" s="23" t="s">
        <v>1968</v>
      </c>
      <c r="P727" s="24" t="s">
        <v>1968</v>
      </c>
      <c r="Q727" s="24" t="s">
        <v>1968</v>
      </c>
      <c r="R727" s="24" t="s">
        <v>1968</v>
      </c>
      <c r="S727" s="22" t="str">
        <f t="shared" si="57"/>
        <v>INCLUDE</v>
      </c>
      <c r="T727" s="22" t="str">
        <f t="shared" si="58"/>
        <v/>
      </c>
      <c r="U727" s="25" t="s">
        <v>1982</v>
      </c>
      <c r="V727" s="25">
        <v>0</v>
      </c>
      <c r="W727" s="25">
        <v>0</v>
      </c>
      <c r="X727" s="25">
        <v>1</v>
      </c>
      <c r="Y727" s="22" t="str">
        <f t="shared" si="59"/>
        <v>Single</v>
      </c>
      <c r="Z727" s="25" t="s">
        <v>1922</v>
      </c>
      <c r="AA727" s="25" t="s">
        <v>1972</v>
      </c>
      <c r="AB727" s="25" t="s">
        <v>2017</v>
      </c>
      <c r="AC727" s="25" t="s">
        <v>1986</v>
      </c>
      <c r="AD727" s="25" t="s">
        <v>2003</v>
      </c>
      <c r="AE727" s="25">
        <v>4</v>
      </c>
      <c r="AF727" s="25" t="s">
        <v>2004</v>
      </c>
      <c r="AG727" s="9" t="s">
        <v>4150</v>
      </c>
      <c r="AH727" s="29" t="s">
        <v>4151</v>
      </c>
      <c r="AI727" s="29" t="s">
        <v>4152</v>
      </c>
      <c r="AJ727" t="s">
        <v>2005</v>
      </c>
      <c r="AK727" t="s">
        <v>4153</v>
      </c>
      <c r="AL727" t="s">
        <v>1978</v>
      </c>
      <c r="AM727" s="50"/>
      <c r="AN727" s="51" t="s">
        <v>4154</v>
      </c>
      <c r="AO727" s="55" t="s">
        <v>1446</v>
      </c>
    </row>
    <row r="728" spans="1:41" ht="22.8" customHeight="1" x14ac:dyDescent="0.3">
      <c r="A728" s="20">
        <v>724</v>
      </c>
      <c r="B728" s="8" t="s">
        <v>4155</v>
      </c>
      <c r="C728" s="26">
        <v>2023</v>
      </c>
      <c r="D728" s="8"/>
      <c r="E728" s="8" t="s">
        <v>1449</v>
      </c>
      <c r="F728" s="20" t="s">
        <v>1969</v>
      </c>
      <c r="G728" s="21" t="s">
        <v>1979</v>
      </c>
      <c r="H728" s="21" t="s">
        <v>1968</v>
      </c>
      <c r="I728" s="21" t="s">
        <v>1968</v>
      </c>
      <c r="J728" s="21" t="s">
        <v>1968</v>
      </c>
      <c r="K728" s="21" t="s">
        <v>1968</v>
      </c>
      <c r="L728" s="22" t="str">
        <f t="shared" si="55"/>
        <v>EXCLUDE</v>
      </c>
      <c r="M728" s="22" t="str">
        <f t="shared" si="56"/>
        <v>Wrong domain (non-AECO)</v>
      </c>
      <c r="N728" s="23"/>
      <c r="O728" s="23"/>
      <c r="P728" s="24"/>
      <c r="Q728" s="24"/>
      <c r="R728" s="24"/>
      <c r="S728" s="22" t="str">
        <f t="shared" si="57"/>
        <v/>
      </c>
      <c r="T728" s="22" t="str">
        <f t="shared" si="58"/>
        <v/>
      </c>
      <c r="U728" s="25"/>
      <c r="V728" s="25"/>
      <c r="W728" s="25"/>
      <c r="X728" s="25"/>
      <c r="Y728" s="22" t="str">
        <f t="shared" si="59"/>
        <v/>
      </c>
      <c r="Z728" s="25"/>
      <c r="AA728" s="25"/>
      <c r="AB728" s="25"/>
      <c r="AC728" s="25"/>
      <c r="AD728" s="25"/>
      <c r="AE728" s="25"/>
      <c r="AF728" s="25"/>
      <c r="AG728" s="9"/>
      <c r="AH728" s="29"/>
      <c r="AI728" s="29"/>
      <c r="AM728" s="50"/>
      <c r="AN728" s="51" t="s">
        <v>4156</v>
      </c>
      <c r="AO728" s="55" t="s">
        <v>1448</v>
      </c>
    </row>
    <row r="729" spans="1:41" ht="68.400000000000006" customHeight="1" x14ac:dyDescent="0.3">
      <c r="A729" s="20">
        <v>725</v>
      </c>
      <c r="B729" s="8" t="s">
        <v>4157</v>
      </c>
      <c r="C729" s="26">
        <v>2023</v>
      </c>
      <c r="D729" s="8"/>
      <c r="E729" s="8" t="s">
        <v>1451</v>
      </c>
      <c r="F729" s="20" t="s">
        <v>1969</v>
      </c>
      <c r="G729" s="21" t="s">
        <v>1979</v>
      </c>
      <c r="H729" s="21" t="s">
        <v>1968</v>
      </c>
      <c r="I729" s="21" t="s">
        <v>1968</v>
      </c>
      <c r="J729" s="21" t="s">
        <v>1968</v>
      </c>
      <c r="K729" s="21" t="s">
        <v>1968</v>
      </c>
      <c r="L729" s="22" t="str">
        <f t="shared" si="55"/>
        <v>EXCLUDE</v>
      </c>
      <c r="M729" s="22" t="str">
        <f t="shared" si="56"/>
        <v>Wrong domain (non-AECO)</v>
      </c>
      <c r="N729" s="23"/>
      <c r="O729" s="23"/>
      <c r="P729" s="24"/>
      <c r="Q729" s="24"/>
      <c r="R729" s="24"/>
      <c r="S729" s="22" t="str">
        <f t="shared" si="57"/>
        <v/>
      </c>
      <c r="T729" s="22" t="str">
        <f t="shared" si="58"/>
        <v/>
      </c>
      <c r="U729" s="25"/>
      <c r="V729" s="25"/>
      <c r="W729" s="25"/>
      <c r="X729" s="25"/>
      <c r="Y729" s="22" t="str">
        <f t="shared" si="59"/>
        <v/>
      </c>
      <c r="Z729" s="25"/>
      <c r="AA729" s="25"/>
      <c r="AB729" s="25"/>
      <c r="AC729" s="25"/>
      <c r="AD729" s="25"/>
      <c r="AE729" s="25"/>
      <c r="AF729" s="25"/>
      <c r="AG729" s="9"/>
      <c r="AH729" s="29"/>
      <c r="AI729" s="29"/>
      <c r="AM729" s="50"/>
      <c r="AN729" s="51" t="s">
        <v>4158</v>
      </c>
      <c r="AO729" s="55" t="s">
        <v>1450</v>
      </c>
    </row>
    <row r="730" spans="1:41" ht="57" customHeight="1" x14ac:dyDescent="0.3">
      <c r="A730" s="20">
        <v>726</v>
      </c>
      <c r="B730" s="8" t="s">
        <v>4159</v>
      </c>
      <c r="C730" s="26">
        <v>2023</v>
      </c>
      <c r="D730" s="8"/>
      <c r="E730" s="8" t="s">
        <v>1453</v>
      </c>
      <c r="F730" s="20" t="s">
        <v>1969</v>
      </c>
      <c r="G730" s="21" t="s">
        <v>1979</v>
      </c>
      <c r="H730" s="21" t="s">
        <v>1968</v>
      </c>
      <c r="I730" s="21" t="s">
        <v>1968</v>
      </c>
      <c r="J730" s="21" t="s">
        <v>1968</v>
      </c>
      <c r="K730" s="21" t="s">
        <v>1968</v>
      </c>
      <c r="L730" s="22" t="str">
        <f t="shared" si="55"/>
        <v>EXCLUDE</v>
      </c>
      <c r="M730" s="22" t="str">
        <f t="shared" si="56"/>
        <v>Wrong domain (non-AECO)</v>
      </c>
      <c r="N730" s="23"/>
      <c r="O730" s="23"/>
      <c r="P730" s="24"/>
      <c r="Q730" s="24"/>
      <c r="R730" s="24"/>
      <c r="S730" s="22" t="str">
        <f t="shared" si="57"/>
        <v/>
      </c>
      <c r="T730" s="22" t="str">
        <f t="shared" si="58"/>
        <v/>
      </c>
      <c r="U730" s="25"/>
      <c r="V730" s="25"/>
      <c r="W730" s="25"/>
      <c r="X730" s="25"/>
      <c r="Y730" s="22" t="str">
        <f t="shared" si="59"/>
        <v/>
      </c>
      <c r="Z730" s="25"/>
      <c r="AA730" s="25"/>
      <c r="AB730" s="25"/>
      <c r="AC730" s="25"/>
      <c r="AD730" s="25"/>
      <c r="AE730" s="25"/>
      <c r="AF730" s="25"/>
      <c r="AG730" s="9"/>
      <c r="AH730" s="29"/>
      <c r="AI730" s="29"/>
      <c r="AM730" s="50"/>
      <c r="AN730" s="51" t="s">
        <v>4160</v>
      </c>
      <c r="AO730" s="55" t="s">
        <v>1452</v>
      </c>
    </row>
    <row r="731" spans="1:41" ht="34.200000000000003" customHeight="1" x14ac:dyDescent="0.3">
      <c r="A731" s="20">
        <v>727</v>
      </c>
      <c r="B731" s="8" t="s">
        <v>4161</v>
      </c>
      <c r="C731" s="26">
        <v>2022</v>
      </c>
      <c r="D731" s="8"/>
      <c r="E731" s="8" t="s">
        <v>1455</v>
      </c>
      <c r="F731" s="20" t="s">
        <v>1969</v>
      </c>
      <c r="G731" s="21" t="s">
        <v>1979</v>
      </c>
      <c r="H731" s="21" t="s">
        <v>1968</v>
      </c>
      <c r="I731" s="21" t="s">
        <v>1968</v>
      </c>
      <c r="J731" s="21" t="s">
        <v>1968</v>
      </c>
      <c r="K731" s="21" t="s">
        <v>1968</v>
      </c>
      <c r="L731" s="22" t="str">
        <f t="shared" si="55"/>
        <v>EXCLUDE</v>
      </c>
      <c r="M731" s="22" t="str">
        <f t="shared" si="56"/>
        <v>Wrong domain (non-AECO)</v>
      </c>
      <c r="N731" s="23"/>
      <c r="O731" s="23"/>
      <c r="P731" s="24"/>
      <c r="Q731" s="24"/>
      <c r="R731" s="24"/>
      <c r="S731" s="22" t="str">
        <f t="shared" si="57"/>
        <v/>
      </c>
      <c r="T731" s="22" t="str">
        <f t="shared" si="58"/>
        <v/>
      </c>
      <c r="U731" s="25"/>
      <c r="V731" s="25"/>
      <c r="W731" s="25"/>
      <c r="X731" s="25"/>
      <c r="Y731" s="22" t="str">
        <f t="shared" si="59"/>
        <v/>
      </c>
      <c r="Z731" s="25"/>
      <c r="AA731" s="25"/>
      <c r="AB731" s="25"/>
      <c r="AC731" s="25"/>
      <c r="AD731" s="25"/>
      <c r="AE731" s="25"/>
      <c r="AF731" s="25"/>
      <c r="AG731" s="9"/>
      <c r="AH731" s="29"/>
      <c r="AI731" s="29"/>
      <c r="AM731" s="50"/>
      <c r="AN731" s="51" t="s">
        <v>4162</v>
      </c>
      <c r="AO731" s="55" t="s">
        <v>1454</v>
      </c>
    </row>
    <row r="732" spans="1:41" ht="57" customHeight="1" x14ac:dyDescent="0.3">
      <c r="A732" s="20">
        <v>728</v>
      </c>
      <c r="B732" s="8" t="s">
        <v>4163</v>
      </c>
      <c r="C732" s="26">
        <v>2021</v>
      </c>
      <c r="D732" s="8"/>
      <c r="E732" s="8" t="s">
        <v>1457</v>
      </c>
      <c r="F732" s="20" t="s">
        <v>1969</v>
      </c>
      <c r="G732" s="21" t="s">
        <v>1979</v>
      </c>
      <c r="H732" s="21" t="s">
        <v>1968</v>
      </c>
      <c r="I732" s="21" t="s">
        <v>1968</v>
      </c>
      <c r="J732" s="21" t="s">
        <v>1968</v>
      </c>
      <c r="K732" s="21" t="s">
        <v>1968</v>
      </c>
      <c r="L732" s="22" t="str">
        <f t="shared" si="55"/>
        <v>EXCLUDE</v>
      </c>
      <c r="M732" s="22" t="str">
        <f t="shared" si="56"/>
        <v>Wrong domain (non-AECO)</v>
      </c>
      <c r="N732" s="23"/>
      <c r="O732" s="23"/>
      <c r="P732" s="24"/>
      <c r="Q732" s="24"/>
      <c r="R732" s="24"/>
      <c r="S732" s="22" t="str">
        <f t="shared" si="57"/>
        <v/>
      </c>
      <c r="T732" s="22" t="str">
        <f t="shared" si="58"/>
        <v/>
      </c>
      <c r="U732" s="25"/>
      <c r="V732" s="25"/>
      <c r="W732" s="25"/>
      <c r="X732" s="25"/>
      <c r="Y732" s="22" t="str">
        <f t="shared" si="59"/>
        <v/>
      </c>
      <c r="Z732" s="25"/>
      <c r="AA732" s="25"/>
      <c r="AB732" s="25"/>
      <c r="AC732" s="25"/>
      <c r="AD732" s="25"/>
      <c r="AE732" s="25"/>
      <c r="AF732" s="25"/>
      <c r="AG732" s="9"/>
      <c r="AH732" s="29"/>
      <c r="AI732" s="29"/>
      <c r="AM732" s="50"/>
      <c r="AN732" s="51" t="s">
        <v>4164</v>
      </c>
      <c r="AO732" s="55" t="s">
        <v>1456</v>
      </c>
    </row>
    <row r="733" spans="1:41" ht="45.6" customHeight="1" x14ac:dyDescent="0.3">
      <c r="A733" s="20">
        <v>729</v>
      </c>
      <c r="B733" s="8" t="s">
        <v>4165</v>
      </c>
      <c r="C733" s="26">
        <v>2024</v>
      </c>
      <c r="D733" s="8"/>
      <c r="E733" s="8" t="s">
        <v>1459</v>
      </c>
      <c r="F733" s="20" t="s">
        <v>1969</v>
      </c>
      <c r="G733" s="21" t="s">
        <v>1979</v>
      </c>
      <c r="H733" s="21" t="s">
        <v>1968</v>
      </c>
      <c r="I733" s="21" t="s">
        <v>1968</v>
      </c>
      <c r="J733" s="21" t="s">
        <v>1968</v>
      </c>
      <c r="K733" s="21" t="s">
        <v>1968</v>
      </c>
      <c r="L733" s="22" t="str">
        <f t="shared" si="55"/>
        <v>EXCLUDE</v>
      </c>
      <c r="M733" s="22" t="str">
        <f t="shared" si="56"/>
        <v>Wrong domain (non-AECO)</v>
      </c>
      <c r="N733" s="23"/>
      <c r="O733" s="23"/>
      <c r="P733" s="24"/>
      <c r="Q733" s="24"/>
      <c r="R733" s="24"/>
      <c r="S733" s="22" t="str">
        <f t="shared" si="57"/>
        <v/>
      </c>
      <c r="T733" s="22" t="str">
        <f t="shared" si="58"/>
        <v/>
      </c>
      <c r="U733" s="25"/>
      <c r="V733" s="25"/>
      <c r="W733" s="25"/>
      <c r="X733" s="25"/>
      <c r="Y733" s="22" t="str">
        <f t="shared" si="59"/>
        <v/>
      </c>
      <c r="Z733" s="25"/>
      <c r="AA733" s="25"/>
      <c r="AB733" s="25"/>
      <c r="AC733" s="25"/>
      <c r="AD733" s="25"/>
      <c r="AE733" s="25"/>
      <c r="AF733" s="25"/>
      <c r="AG733" s="9"/>
      <c r="AH733" s="29"/>
      <c r="AI733" s="29"/>
      <c r="AM733" s="50"/>
      <c r="AN733" s="51" t="s">
        <v>4166</v>
      </c>
      <c r="AO733" s="55" t="s">
        <v>1458</v>
      </c>
    </row>
    <row r="734" spans="1:41" ht="28.8" customHeight="1" x14ac:dyDescent="0.3">
      <c r="A734" s="20">
        <v>730</v>
      </c>
      <c r="B734" s="8" t="s">
        <v>4167</v>
      </c>
      <c r="C734" s="26">
        <v>2020</v>
      </c>
      <c r="D734" s="8"/>
      <c r="E734" s="8" t="s">
        <v>1461</v>
      </c>
      <c r="F734" s="20" t="s">
        <v>1969</v>
      </c>
      <c r="G734" s="21" t="s">
        <v>1979</v>
      </c>
      <c r="H734" s="21" t="s">
        <v>1968</v>
      </c>
      <c r="I734" s="21" t="s">
        <v>1968</v>
      </c>
      <c r="J734" s="21" t="s">
        <v>1968</v>
      </c>
      <c r="K734" s="21" t="s">
        <v>1968</v>
      </c>
      <c r="L734" s="22" t="str">
        <f t="shared" si="55"/>
        <v>EXCLUDE</v>
      </c>
      <c r="M734" s="22" t="str">
        <f t="shared" si="56"/>
        <v>Wrong domain (non-AECO)</v>
      </c>
      <c r="N734" s="23"/>
      <c r="O734" s="23"/>
      <c r="P734" s="24"/>
      <c r="Q734" s="24"/>
      <c r="R734" s="24"/>
      <c r="S734" s="22" t="str">
        <f t="shared" si="57"/>
        <v/>
      </c>
      <c r="T734" s="22" t="str">
        <f t="shared" si="58"/>
        <v/>
      </c>
      <c r="U734" s="25"/>
      <c r="V734" s="25"/>
      <c r="W734" s="25"/>
      <c r="X734" s="25"/>
      <c r="Y734" s="22" t="str">
        <f t="shared" si="59"/>
        <v/>
      </c>
      <c r="Z734" s="25"/>
      <c r="AA734" s="25"/>
      <c r="AB734" s="25"/>
      <c r="AC734" s="25"/>
      <c r="AD734" s="25"/>
      <c r="AE734" s="25"/>
      <c r="AF734" s="25"/>
      <c r="AG734" s="9"/>
      <c r="AH734" s="29"/>
      <c r="AI734" s="29"/>
      <c r="AM734" s="50"/>
      <c r="AN734" s="51" t="s">
        <v>4168</v>
      </c>
      <c r="AO734" s="55" t="s">
        <v>1460</v>
      </c>
    </row>
    <row r="735" spans="1:41" ht="86.4" customHeight="1" x14ac:dyDescent="0.3">
      <c r="A735" s="20">
        <v>731</v>
      </c>
      <c r="B735" s="8" t="s">
        <v>4169</v>
      </c>
      <c r="C735" s="26">
        <v>2025</v>
      </c>
      <c r="D735" s="8"/>
      <c r="E735" s="8" t="s">
        <v>1463</v>
      </c>
      <c r="F735" s="20" t="s">
        <v>1969</v>
      </c>
      <c r="G735" s="21" t="s">
        <v>1968</v>
      </c>
      <c r="H735" s="21" t="s">
        <v>1968</v>
      </c>
      <c r="I735" s="21" t="s">
        <v>1968</v>
      </c>
      <c r="J735" s="21" t="s">
        <v>1968</v>
      </c>
      <c r="K735" s="21" t="s">
        <v>1968</v>
      </c>
      <c r="L735" s="22" t="str">
        <f t="shared" si="55"/>
        <v>INCLUDE</v>
      </c>
      <c r="M735" s="22" t="str">
        <f t="shared" si="56"/>
        <v/>
      </c>
      <c r="N735" s="23" t="s">
        <v>1968</v>
      </c>
      <c r="O735" s="23" t="s">
        <v>1968</v>
      </c>
      <c r="P735" s="24" t="s">
        <v>1979</v>
      </c>
      <c r="Q735" s="24" t="s">
        <v>1979</v>
      </c>
      <c r="R735" s="24" t="s">
        <v>1979</v>
      </c>
      <c r="S735" s="22" t="str">
        <f t="shared" si="57"/>
        <v>EXCLUDE</v>
      </c>
      <c r="T735" s="22" t="str">
        <f t="shared" si="58"/>
        <v>Digital Twin mentioned only, not the subject</v>
      </c>
      <c r="U735" s="25"/>
      <c r="V735" s="25"/>
      <c r="W735" s="25"/>
      <c r="X735" s="25"/>
      <c r="Y735" s="22" t="str">
        <f t="shared" si="59"/>
        <v/>
      </c>
      <c r="Z735" s="25"/>
      <c r="AA735" s="25"/>
      <c r="AB735" s="25"/>
      <c r="AC735" s="25"/>
      <c r="AD735" s="25"/>
      <c r="AE735" s="25"/>
      <c r="AF735" s="25"/>
      <c r="AG735" s="9" t="s">
        <v>4170</v>
      </c>
      <c r="AH735" s="29"/>
      <c r="AI735" s="29"/>
      <c r="AM735" s="50"/>
      <c r="AN735" s="51" t="s">
        <v>4171</v>
      </c>
      <c r="AO735" s="55" t="s">
        <v>1462</v>
      </c>
    </row>
    <row r="736" spans="1:41" ht="57" customHeight="1" x14ac:dyDescent="0.3">
      <c r="A736" s="20">
        <v>732</v>
      </c>
      <c r="B736" s="8" t="s">
        <v>4172</v>
      </c>
      <c r="C736" s="26">
        <v>2021</v>
      </c>
      <c r="D736" s="8"/>
      <c r="E736" s="8" t="s">
        <v>1465</v>
      </c>
      <c r="F736" s="20" t="s">
        <v>1969</v>
      </c>
      <c r="G736" s="21" t="s">
        <v>1979</v>
      </c>
      <c r="H736" s="21" t="s">
        <v>1968</v>
      </c>
      <c r="I736" s="21" t="s">
        <v>1968</v>
      </c>
      <c r="J736" s="21" t="s">
        <v>1968</v>
      </c>
      <c r="K736" s="21" t="s">
        <v>1968</v>
      </c>
      <c r="L736" s="22" t="str">
        <f t="shared" si="55"/>
        <v>EXCLUDE</v>
      </c>
      <c r="M736" s="22" t="str">
        <f t="shared" si="56"/>
        <v>Wrong domain (non-AECO)</v>
      </c>
      <c r="N736" s="23"/>
      <c r="O736" s="23"/>
      <c r="P736" s="24"/>
      <c r="Q736" s="24"/>
      <c r="R736" s="24"/>
      <c r="S736" s="22" t="str">
        <f t="shared" si="57"/>
        <v/>
      </c>
      <c r="T736" s="22" t="str">
        <f t="shared" si="58"/>
        <v/>
      </c>
      <c r="U736" s="25"/>
      <c r="V736" s="25"/>
      <c r="W736" s="25"/>
      <c r="X736" s="25"/>
      <c r="Y736" s="22" t="str">
        <f t="shared" si="59"/>
        <v/>
      </c>
      <c r="Z736" s="25"/>
      <c r="AA736" s="25"/>
      <c r="AB736" s="25"/>
      <c r="AC736" s="25"/>
      <c r="AD736" s="25"/>
      <c r="AE736" s="25"/>
      <c r="AF736" s="25"/>
      <c r="AG736" s="9"/>
      <c r="AH736" s="29"/>
      <c r="AI736" s="29"/>
      <c r="AM736" s="50"/>
      <c r="AN736" s="51" t="s">
        <v>4173</v>
      </c>
      <c r="AO736" s="55" t="s">
        <v>1464</v>
      </c>
    </row>
    <row r="737" spans="1:41" ht="57" customHeight="1" x14ac:dyDescent="0.3">
      <c r="A737" s="20">
        <v>733</v>
      </c>
      <c r="B737" s="8" t="s">
        <v>4174</v>
      </c>
      <c r="C737" s="26">
        <v>2023</v>
      </c>
      <c r="D737" s="8"/>
      <c r="E737" s="8" t="s">
        <v>1467</v>
      </c>
      <c r="F737" s="20" t="s">
        <v>1969</v>
      </c>
      <c r="G737" s="21" t="s">
        <v>1968</v>
      </c>
      <c r="H737" s="21" t="s">
        <v>1979</v>
      </c>
      <c r="I737" s="21" t="s">
        <v>1968</v>
      </c>
      <c r="J737" s="21" t="s">
        <v>1968</v>
      </c>
      <c r="K737" s="21" t="s">
        <v>1968</v>
      </c>
      <c r="L737" s="22" t="str">
        <f t="shared" si="55"/>
        <v>EXCLUDE</v>
      </c>
      <c r="M737" s="22" t="str">
        <f t="shared" si="56"/>
        <v>Digital Twin not core / buzzword</v>
      </c>
      <c r="N737" s="23"/>
      <c r="O737" s="23"/>
      <c r="P737" s="24"/>
      <c r="Q737" s="24"/>
      <c r="R737" s="24"/>
      <c r="S737" s="22" t="str">
        <f t="shared" si="57"/>
        <v/>
      </c>
      <c r="T737" s="22" t="str">
        <f t="shared" si="58"/>
        <v/>
      </c>
      <c r="U737" s="25"/>
      <c r="V737" s="25"/>
      <c r="W737" s="25"/>
      <c r="X737" s="25"/>
      <c r="Y737" s="22" t="str">
        <f t="shared" si="59"/>
        <v/>
      </c>
      <c r="Z737" s="25"/>
      <c r="AA737" s="25"/>
      <c r="AB737" s="25"/>
      <c r="AC737" s="25"/>
      <c r="AD737" s="25"/>
      <c r="AE737" s="25"/>
      <c r="AF737" s="25"/>
      <c r="AG737" s="9"/>
      <c r="AH737" s="29"/>
      <c r="AI737" s="29"/>
      <c r="AM737" s="50"/>
      <c r="AN737" s="51" t="s">
        <v>4175</v>
      </c>
      <c r="AO737" s="55" t="s">
        <v>1466</v>
      </c>
    </row>
    <row r="738" spans="1:41" ht="34.200000000000003" customHeight="1" x14ac:dyDescent="0.3">
      <c r="A738" s="20">
        <v>734</v>
      </c>
      <c r="B738" s="8" t="s">
        <v>4176</v>
      </c>
      <c r="C738" s="26">
        <v>2025</v>
      </c>
      <c r="D738" s="8"/>
      <c r="E738" s="8" t="s">
        <v>1469</v>
      </c>
      <c r="F738" s="20" t="s">
        <v>1969</v>
      </c>
      <c r="G738" s="21" t="s">
        <v>1979</v>
      </c>
      <c r="H738" s="21" t="s">
        <v>1968</v>
      </c>
      <c r="I738" s="21" t="s">
        <v>1968</v>
      </c>
      <c r="J738" s="21" t="s">
        <v>1968</v>
      </c>
      <c r="K738" s="21" t="s">
        <v>1968</v>
      </c>
      <c r="L738" s="22" t="str">
        <f t="shared" si="55"/>
        <v>EXCLUDE</v>
      </c>
      <c r="M738" s="22" t="str">
        <f t="shared" si="56"/>
        <v>Wrong domain (non-AECO)</v>
      </c>
      <c r="N738" s="23"/>
      <c r="O738" s="23"/>
      <c r="P738" s="24"/>
      <c r="Q738" s="24"/>
      <c r="R738" s="24"/>
      <c r="S738" s="22" t="str">
        <f t="shared" si="57"/>
        <v/>
      </c>
      <c r="T738" s="22" t="str">
        <f t="shared" si="58"/>
        <v/>
      </c>
      <c r="U738" s="25"/>
      <c r="V738" s="25"/>
      <c r="W738" s="25"/>
      <c r="X738" s="25"/>
      <c r="Y738" s="22" t="str">
        <f t="shared" si="59"/>
        <v/>
      </c>
      <c r="Z738" s="25"/>
      <c r="AA738" s="25"/>
      <c r="AB738" s="25"/>
      <c r="AC738" s="25"/>
      <c r="AD738" s="25"/>
      <c r="AE738" s="25"/>
      <c r="AF738" s="25"/>
      <c r="AG738" s="9"/>
      <c r="AH738" s="29"/>
      <c r="AI738" s="29"/>
      <c r="AM738" s="50"/>
      <c r="AN738" s="51" t="s">
        <v>4177</v>
      </c>
      <c r="AO738" s="55" t="s">
        <v>1468</v>
      </c>
    </row>
    <row r="739" spans="1:41" ht="57" customHeight="1" x14ac:dyDescent="0.3">
      <c r="A739" s="20">
        <v>735</v>
      </c>
      <c r="B739" s="8" t="s">
        <v>4178</v>
      </c>
      <c r="C739" s="26">
        <v>2025</v>
      </c>
      <c r="D739" s="8"/>
      <c r="E739" s="8" t="s">
        <v>1471</v>
      </c>
      <c r="F739" s="20" t="s">
        <v>1969</v>
      </c>
      <c r="G739" s="21" t="s">
        <v>1968</v>
      </c>
      <c r="H739" s="21" t="s">
        <v>1979</v>
      </c>
      <c r="I739" s="21" t="s">
        <v>1968</v>
      </c>
      <c r="J739" s="21" t="s">
        <v>1968</v>
      </c>
      <c r="K739" s="21" t="s">
        <v>1968</v>
      </c>
      <c r="L739" s="22" t="str">
        <f t="shared" si="55"/>
        <v>EXCLUDE</v>
      </c>
      <c r="M739" s="22" t="str">
        <f t="shared" si="56"/>
        <v>Digital Twin not core / buzzword</v>
      </c>
      <c r="N739" s="23"/>
      <c r="O739" s="23"/>
      <c r="P739" s="24"/>
      <c r="Q739" s="24"/>
      <c r="R739" s="24"/>
      <c r="S739" s="22" t="str">
        <f t="shared" si="57"/>
        <v/>
      </c>
      <c r="T739" s="22" t="str">
        <f t="shared" si="58"/>
        <v/>
      </c>
      <c r="U739" s="25"/>
      <c r="V739" s="25"/>
      <c r="W739" s="25"/>
      <c r="X739" s="25"/>
      <c r="Y739" s="22" t="str">
        <f t="shared" si="59"/>
        <v/>
      </c>
      <c r="Z739" s="25"/>
      <c r="AA739" s="25"/>
      <c r="AB739" s="25"/>
      <c r="AC739" s="25"/>
      <c r="AD739" s="25"/>
      <c r="AE739" s="25"/>
      <c r="AF739" s="25"/>
      <c r="AG739" s="9"/>
      <c r="AH739" s="29"/>
      <c r="AI739" s="29"/>
      <c r="AM739" s="50"/>
      <c r="AN739" s="51" t="s">
        <v>4179</v>
      </c>
      <c r="AO739" s="55" t="s">
        <v>1470</v>
      </c>
    </row>
    <row r="740" spans="1:41" ht="91.2" customHeight="1" x14ac:dyDescent="0.3">
      <c r="A740" s="20">
        <v>736</v>
      </c>
      <c r="B740" s="8" t="s">
        <v>4180</v>
      </c>
      <c r="C740" s="26">
        <v>2024</v>
      </c>
      <c r="D740" s="8"/>
      <c r="E740" s="8" t="s">
        <v>1473</v>
      </c>
      <c r="F740" s="20" t="s">
        <v>1969</v>
      </c>
      <c r="G740" s="21" t="s">
        <v>1968</v>
      </c>
      <c r="H740" s="21" t="s">
        <v>1968</v>
      </c>
      <c r="I740" s="21" t="s">
        <v>1968</v>
      </c>
      <c r="J740" s="21" t="s">
        <v>1968</v>
      </c>
      <c r="K740" s="21" t="s">
        <v>1968</v>
      </c>
      <c r="L740" s="22" t="str">
        <f t="shared" si="55"/>
        <v>INCLUDE</v>
      </c>
      <c r="M740" s="22" t="str">
        <f t="shared" si="56"/>
        <v/>
      </c>
      <c r="N740" s="23" t="s">
        <v>1968</v>
      </c>
      <c r="O740" s="23" t="s">
        <v>1968</v>
      </c>
      <c r="P740" s="24" t="s">
        <v>1968</v>
      </c>
      <c r="Q740" s="24" t="s">
        <v>1968</v>
      </c>
      <c r="R740" s="24" t="s">
        <v>1968</v>
      </c>
      <c r="S740" s="22" t="str">
        <f t="shared" si="57"/>
        <v>INCLUDE</v>
      </c>
      <c r="T740" s="22" t="str">
        <f t="shared" si="58"/>
        <v/>
      </c>
      <c r="U740" s="25" t="s">
        <v>1982</v>
      </c>
      <c r="V740" s="25">
        <v>0</v>
      </c>
      <c r="W740" s="25">
        <v>1</v>
      </c>
      <c r="X740" s="25">
        <v>0</v>
      </c>
      <c r="Y740" s="22" t="str">
        <f t="shared" si="59"/>
        <v>Single</v>
      </c>
      <c r="Z740" s="25" t="s">
        <v>1922</v>
      </c>
      <c r="AA740" s="25" t="s">
        <v>1972</v>
      </c>
      <c r="AB740" s="25" t="s">
        <v>2018</v>
      </c>
      <c r="AC740" s="25" t="s">
        <v>1986</v>
      </c>
      <c r="AD740" s="25" t="s">
        <v>2003</v>
      </c>
      <c r="AE740" s="25">
        <v>4</v>
      </c>
      <c r="AF740" s="25" t="s">
        <v>2004</v>
      </c>
      <c r="AG740" s="9" t="s">
        <v>4181</v>
      </c>
      <c r="AH740" s="29" t="s">
        <v>4182</v>
      </c>
      <c r="AI740" s="29" t="s">
        <v>4183</v>
      </c>
      <c r="AJ740" t="s">
        <v>2005</v>
      </c>
      <c r="AK740" t="s">
        <v>4184</v>
      </c>
      <c r="AL740" t="s">
        <v>1990</v>
      </c>
      <c r="AM740" s="50"/>
      <c r="AN740" s="51" t="s">
        <v>4185</v>
      </c>
      <c r="AO740" s="55" t="s">
        <v>1472</v>
      </c>
    </row>
    <row r="741" spans="1:41" ht="57" customHeight="1" x14ac:dyDescent="0.3">
      <c r="A741" s="20">
        <v>737</v>
      </c>
      <c r="B741" s="8" t="s">
        <v>4186</v>
      </c>
      <c r="C741" s="26">
        <v>2020</v>
      </c>
      <c r="D741" s="8"/>
      <c r="E741" s="8" t="s">
        <v>1475</v>
      </c>
      <c r="F741" s="20" t="s">
        <v>1969</v>
      </c>
      <c r="G741" s="21" t="s">
        <v>1979</v>
      </c>
      <c r="H741" s="21" t="s">
        <v>1968</v>
      </c>
      <c r="I741" s="21" t="s">
        <v>1968</v>
      </c>
      <c r="J741" s="21" t="s">
        <v>1968</v>
      </c>
      <c r="K741" s="21" t="s">
        <v>1968</v>
      </c>
      <c r="L741" s="22" t="str">
        <f t="shared" si="55"/>
        <v>EXCLUDE</v>
      </c>
      <c r="M741" s="22" t="str">
        <f t="shared" si="56"/>
        <v>Wrong domain (non-AECO)</v>
      </c>
      <c r="N741" s="23"/>
      <c r="O741" s="23"/>
      <c r="P741" s="24"/>
      <c r="Q741" s="24"/>
      <c r="R741" s="24"/>
      <c r="S741" s="22" t="str">
        <f t="shared" si="57"/>
        <v/>
      </c>
      <c r="T741" s="22" t="str">
        <f t="shared" si="58"/>
        <v/>
      </c>
      <c r="U741" s="25"/>
      <c r="V741" s="25"/>
      <c r="W741" s="25"/>
      <c r="X741" s="25"/>
      <c r="Y741" s="22" t="str">
        <f t="shared" si="59"/>
        <v/>
      </c>
      <c r="Z741" s="25"/>
      <c r="AA741" s="25"/>
      <c r="AB741" s="25"/>
      <c r="AC741" s="25"/>
      <c r="AD741" s="25"/>
      <c r="AE741" s="25"/>
      <c r="AF741" s="25"/>
      <c r="AG741" s="9"/>
      <c r="AH741" s="29"/>
      <c r="AI741" s="29"/>
      <c r="AM741" s="50"/>
      <c r="AN741" s="51" t="s">
        <v>4187</v>
      </c>
      <c r="AO741" s="55" t="s">
        <v>1474</v>
      </c>
    </row>
    <row r="742" spans="1:41" ht="45.6" customHeight="1" x14ac:dyDescent="0.3">
      <c r="A742" s="20">
        <v>738</v>
      </c>
      <c r="B742" s="8" t="s">
        <v>4188</v>
      </c>
      <c r="C742" s="26">
        <v>2024</v>
      </c>
      <c r="D742" s="8"/>
      <c r="E742" s="8" t="s">
        <v>1477</v>
      </c>
      <c r="F742" s="20" t="s">
        <v>1969</v>
      </c>
      <c r="G742" s="21" t="s">
        <v>1979</v>
      </c>
      <c r="H742" s="21" t="s">
        <v>1968</v>
      </c>
      <c r="I742" s="21" t="s">
        <v>1968</v>
      </c>
      <c r="J742" s="21" t="s">
        <v>1968</v>
      </c>
      <c r="K742" s="21" t="s">
        <v>1968</v>
      </c>
      <c r="L742" s="22" t="str">
        <f t="shared" si="55"/>
        <v>EXCLUDE</v>
      </c>
      <c r="M742" s="22" t="str">
        <f t="shared" si="56"/>
        <v>Wrong domain (non-AECO)</v>
      </c>
      <c r="N742" s="23"/>
      <c r="O742" s="23"/>
      <c r="P742" s="24"/>
      <c r="Q742" s="24"/>
      <c r="R742" s="24"/>
      <c r="S742" s="22" t="str">
        <f t="shared" si="57"/>
        <v/>
      </c>
      <c r="T742" s="22" t="str">
        <f t="shared" si="58"/>
        <v/>
      </c>
      <c r="U742" s="25"/>
      <c r="V742" s="25"/>
      <c r="W742" s="25"/>
      <c r="X742" s="25"/>
      <c r="Y742" s="22" t="str">
        <f t="shared" si="59"/>
        <v/>
      </c>
      <c r="Z742" s="25"/>
      <c r="AA742" s="25"/>
      <c r="AB742" s="25"/>
      <c r="AC742" s="25"/>
      <c r="AD742" s="25"/>
      <c r="AE742" s="25"/>
      <c r="AF742" s="25"/>
      <c r="AG742" s="9"/>
      <c r="AH742" s="29"/>
      <c r="AI742" s="29"/>
      <c r="AM742" s="50"/>
      <c r="AN742" s="51" t="s">
        <v>4189</v>
      </c>
      <c r="AO742" s="55" t="s">
        <v>1476</v>
      </c>
    </row>
    <row r="743" spans="1:41" ht="45.6" customHeight="1" x14ac:dyDescent="0.3">
      <c r="A743" s="20">
        <v>739</v>
      </c>
      <c r="B743" s="8" t="s">
        <v>4190</v>
      </c>
      <c r="C743" s="26">
        <v>2023</v>
      </c>
      <c r="D743" s="8"/>
      <c r="E743" s="8" t="s">
        <v>1479</v>
      </c>
      <c r="F743" s="20" t="s">
        <v>1969</v>
      </c>
      <c r="G743" s="21" t="s">
        <v>1979</v>
      </c>
      <c r="H743" s="21" t="s">
        <v>1968</v>
      </c>
      <c r="I743" s="21" t="s">
        <v>1968</v>
      </c>
      <c r="J743" s="21" t="s">
        <v>1968</v>
      </c>
      <c r="K743" s="21" t="s">
        <v>1968</v>
      </c>
      <c r="L743" s="22" t="str">
        <f t="shared" si="55"/>
        <v>EXCLUDE</v>
      </c>
      <c r="M743" s="22" t="str">
        <f t="shared" si="56"/>
        <v>Wrong domain (non-AECO)</v>
      </c>
      <c r="N743" s="23"/>
      <c r="O743" s="23"/>
      <c r="P743" s="24"/>
      <c r="Q743" s="24"/>
      <c r="R743" s="24"/>
      <c r="S743" s="22" t="str">
        <f t="shared" si="57"/>
        <v/>
      </c>
      <c r="T743" s="22" t="str">
        <f t="shared" si="58"/>
        <v/>
      </c>
      <c r="U743" s="25"/>
      <c r="V743" s="25"/>
      <c r="W743" s="25"/>
      <c r="X743" s="25"/>
      <c r="Y743" s="22" t="str">
        <f t="shared" si="59"/>
        <v/>
      </c>
      <c r="Z743" s="25"/>
      <c r="AA743" s="25"/>
      <c r="AB743" s="25"/>
      <c r="AC743" s="25"/>
      <c r="AD743" s="25"/>
      <c r="AE743" s="25"/>
      <c r="AF743" s="25"/>
      <c r="AG743" s="9"/>
      <c r="AH743" s="29"/>
      <c r="AI743" s="29"/>
      <c r="AM743" s="50"/>
      <c r="AN743" s="51" t="s">
        <v>4191</v>
      </c>
      <c r="AO743" s="55" t="s">
        <v>1478</v>
      </c>
    </row>
    <row r="744" spans="1:41" ht="79.8" customHeight="1" x14ac:dyDescent="0.3">
      <c r="A744" s="20">
        <v>740</v>
      </c>
      <c r="B744" s="8" t="s">
        <v>4192</v>
      </c>
      <c r="C744" s="26">
        <v>2022</v>
      </c>
      <c r="D744" s="8"/>
      <c r="E744" s="8" t="s">
        <v>1481</v>
      </c>
      <c r="F744" s="20" t="s">
        <v>1969</v>
      </c>
      <c r="G744" s="21" t="s">
        <v>1968</v>
      </c>
      <c r="H744" s="21" t="s">
        <v>1968</v>
      </c>
      <c r="I744" s="21" t="s">
        <v>1968</v>
      </c>
      <c r="J744" s="21" t="s">
        <v>1968</v>
      </c>
      <c r="K744" s="21" t="s">
        <v>1968</v>
      </c>
      <c r="L744" s="22" t="str">
        <f t="shared" si="55"/>
        <v>INCLUDE</v>
      </c>
      <c r="M744" s="22" t="str">
        <f t="shared" si="56"/>
        <v/>
      </c>
      <c r="N744" s="23" t="s">
        <v>1968</v>
      </c>
      <c r="O744" s="23" t="s">
        <v>1968</v>
      </c>
      <c r="P744" s="24" t="s">
        <v>1968</v>
      </c>
      <c r="Q744" s="24" t="s">
        <v>1968</v>
      </c>
      <c r="R744" s="24" t="s">
        <v>1968</v>
      </c>
      <c r="S744" s="22" t="str">
        <f t="shared" si="57"/>
        <v>INCLUDE</v>
      </c>
      <c r="T744" s="22" t="str">
        <f t="shared" si="58"/>
        <v/>
      </c>
      <c r="U744" s="25" t="s">
        <v>1982</v>
      </c>
      <c r="V744" s="25">
        <v>0</v>
      </c>
      <c r="W744" s="25">
        <v>1</v>
      </c>
      <c r="X744" s="25">
        <v>0</v>
      </c>
      <c r="Y744" s="22" t="str">
        <f t="shared" si="59"/>
        <v>Single</v>
      </c>
      <c r="Z744" s="25" t="s">
        <v>1922</v>
      </c>
      <c r="AA744" s="25" t="s">
        <v>1972</v>
      </c>
      <c r="AB744" s="25" t="s">
        <v>2018</v>
      </c>
      <c r="AC744" s="25" t="s">
        <v>1986</v>
      </c>
      <c r="AD744" s="25" t="s">
        <v>2003</v>
      </c>
      <c r="AE744" s="25">
        <v>3</v>
      </c>
      <c r="AF744" s="25" t="s">
        <v>2004</v>
      </c>
      <c r="AG744" s="9" t="s">
        <v>4193</v>
      </c>
      <c r="AH744" s="29" t="s">
        <v>4194</v>
      </c>
      <c r="AI744" s="29" t="s">
        <v>4195</v>
      </c>
      <c r="AJ744" t="s">
        <v>2005</v>
      </c>
      <c r="AK744" t="s">
        <v>4196</v>
      </c>
      <c r="AL744" t="s">
        <v>1990</v>
      </c>
      <c r="AM744" s="50"/>
      <c r="AN744" s="51" t="s">
        <v>4197</v>
      </c>
      <c r="AO744" s="55" t="s">
        <v>1480</v>
      </c>
    </row>
    <row r="745" spans="1:41" ht="57" customHeight="1" x14ac:dyDescent="0.3">
      <c r="A745" s="20">
        <v>741</v>
      </c>
      <c r="B745" s="8" t="s">
        <v>4198</v>
      </c>
      <c r="C745" s="26">
        <v>2022</v>
      </c>
      <c r="D745" s="8"/>
      <c r="E745" s="8" t="s">
        <v>1483</v>
      </c>
      <c r="F745" s="20" t="s">
        <v>1969</v>
      </c>
      <c r="G745" s="21" t="s">
        <v>1968</v>
      </c>
      <c r="H745" s="21" t="s">
        <v>1968</v>
      </c>
      <c r="I745" s="21" t="s">
        <v>1979</v>
      </c>
      <c r="J745" s="21" t="s">
        <v>1968</v>
      </c>
      <c r="K745" s="21" t="s">
        <v>1968</v>
      </c>
      <c r="L745" s="22" t="str">
        <f t="shared" si="55"/>
        <v>EXCLUDE</v>
      </c>
      <c r="M745" s="22" t="str">
        <f t="shared" si="56"/>
        <v>No Design for Safety / PtD focus</v>
      </c>
      <c r="N745" s="23"/>
      <c r="O745" s="23"/>
      <c r="P745" s="24"/>
      <c r="Q745" s="24"/>
      <c r="R745" s="24"/>
      <c r="S745" s="22" t="str">
        <f t="shared" si="57"/>
        <v/>
      </c>
      <c r="T745" s="22" t="str">
        <f t="shared" si="58"/>
        <v/>
      </c>
      <c r="U745" s="25"/>
      <c r="V745" s="25"/>
      <c r="W745" s="25"/>
      <c r="X745" s="25"/>
      <c r="Y745" s="22" t="str">
        <f t="shared" si="59"/>
        <v/>
      </c>
      <c r="Z745" s="25"/>
      <c r="AA745" s="25"/>
      <c r="AB745" s="25"/>
      <c r="AC745" s="25"/>
      <c r="AD745" s="25"/>
      <c r="AE745" s="25"/>
      <c r="AF745" s="25"/>
      <c r="AG745" s="9"/>
      <c r="AH745" s="29"/>
      <c r="AI745" s="29"/>
      <c r="AM745" s="50"/>
      <c r="AN745" s="51" t="s">
        <v>4199</v>
      </c>
      <c r="AO745" s="55" t="s">
        <v>1482</v>
      </c>
    </row>
    <row r="746" spans="1:41" ht="57" customHeight="1" x14ac:dyDescent="0.3">
      <c r="A746" s="20">
        <v>742</v>
      </c>
      <c r="B746" s="8" t="s">
        <v>4200</v>
      </c>
      <c r="C746" s="26">
        <v>2023</v>
      </c>
      <c r="D746" s="8"/>
      <c r="E746" s="8" t="s">
        <v>1485</v>
      </c>
      <c r="F746" s="20" t="s">
        <v>1969</v>
      </c>
      <c r="G746" s="21" t="s">
        <v>1979</v>
      </c>
      <c r="H746" s="21" t="s">
        <v>1968</v>
      </c>
      <c r="I746" s="21" t="s">
        <v>1968</v>
      </c>
      <c r="J746" s="21" t="s">
        <v>1968</v>
      </c>
      <c r="K746" s="21" t="s">
        <v>1968</v>
      </c>
      <c r="L746" s="22" t="str">
        <f t="shared" si="55"/>
        <v>EXCLUDE</v>
      </c>
      <c r="M746" s="22" t="str">
        <f t="shared" si="56"/>
        <v>Wrong domain (non-AECO)</v>
      </c>
      <c r="N746" s="23"/>
      <c r="O746" s="23"/>
      <c r="P746" s="24"/>
      <c r="Q746" s="24"/>
      <c r="R746" s="24"/>
      <c r="S746" s="22" t="str">
        <f t="shared" si="57"/>
        <v/>
      </c>
      <c r="T746" s="22" t="str">
        <f t="shared" si="58"/>
        <v/>
      </c>
      <c r="U746" s="25"/>
      <c r="V746" s="25"/>
      <c r="W746" s="25"/>
      <c r="X746" s="25"/>
      <c r="Y746" s="22" t="str">
        <f t="shared" si="59"/>
        <v/>
      </c>
      <c r="Z746" s="25"/>
      <c r="AA746" s="25"/>
      <c r="AB746" s="25"/>
      <c r="AC746" s="25"/>
      <c r="AD746" s="25"/>
      <c r="AE746" s="25"/>
      <c r="AF746" s="25"/>
      <c r="AG746" s="9"/>
      <c r="AH746" s="29"/>
      <c r="AI746" s="29"/>
      <c r="AM746" s="50"/>
      <c r="AN746" s="51" t="s">
        <v>4201</v>
      </c>
      <c r="AO746" s="55" t="s">
        <v>1484</v>
      </c>
    </row>
    <row r="747" spans="1:41" ht="57" customHeight="1" x14ac:dyDescent="0.3">
      <c r="A747" s="20">
        <v>743</v>
      </c>
      <c r="B747" s="8" t="s">
        <v>3272</v>
      </c>
      <c r="C747" s="26">
        <v>2025</v>
      </c>
      <c r="D747" s="8"/>
      <c r="E747" s="8" t="s">
        <v>1487</v>
      </c>
      <c r="F747" s="20" t="s">
        <v>1969</v>
      </c>
      <c r="G747" s="21" t="s">
        <v>1979</v>
      </c>
      <c r="H747" s="21" t="s">
        <v>1968</v>
      </c>
      <c r="I747" s="21" t="s">
        <v>1968</v>
      </c>
      <c r="J747" s="21" t="s">
        <v>1968</v>
      </c>
      <c r="K747" s="21" t="s">
        <v>1968</v>
      </c>
      <c r="L747" s="22" t="str">
        <f t="shared" si="55"/>
        <v>EXCLUDE</v>
      </c>
      <c r="M747" s="22" t="str">
        <f t="shared" si="56"/>
        <v>Wrong domain (non-AECO)</v>
      </c>
      <c r="N747" s="23"/>
      <c r="O747" s="23"/>
      <c r="P747" s="24"/>
      <c r="Q747" s="24"/>
      <c r="R747" s="24"/>
      <c r="S747" s="22" t="str">
        <f t="shared" si="57"/>
        <v/>
      </c>
      <c r="T747" s="22" t="str">
        <f t="shared" si="58"/>
        <v/>
      </c>
      <c r="U747" s="25"/>
      <c r="V747" s="25"/>
      <c r="W747" s="25"/>
      <c r="X747" s="25"/>
      <c r="Y747" s="22" t="str">
        <f t="shared" si="59"/>
        <v/>
      </c>
      <c r="Z747" s="25"/>
      <c r="AA747" s="25"/>
      <c r="AB747" s="25"/>
      <c r="AC747" s="25"/>
      <c r="AD747" s="25"/>
      <c r="AE747" s="25"/>
      <c r="AF747" s="25"/>
      <c r="AG747" s="9"/>
      <c r="AH747" s="29"/>
      <c r="AI747" s="29"/>
      <c r="AM747" s="50"/>
      <c r="AN747" s="51" t="s">
        <v>4202</v>
      </c>
      <c r="AO747" s="55" t="s">
        <v>1486</v>
      </c>
    </row>
    <row r="748" spans="1:41" ht="79.8" customHeight="1" x14ac:dyDescent="0.3">
      <c r="A748" s="20">
        <v>744</v>
      </c>
      <c r="B748" s="8" t="s">
        <v>4203</v>
      </c>
      <c r="C748" s="26">
        <v>2022</v>
      </c>
      <c r="D748" s="8"/>
      <c r="E748" s="8" t="s">
        <v>1489</v>
      </c>
      <c r="F748" s="20" t="s">
        <v>1969</v>
      </c>
      <c r="G748" s="21" t="s">
        <v>1979</v>
      </c>
      <c r="H748" s="21" t="s">
        <v>1968</v>
      </c>
      <c r="I748" s="21" t="s">
        <v>1968</v>
      </c>
      <c r="J748" s="21" t="s">
        <v>1968</v>
      </c>
      <c r="K748" s="21" t="s">
        <v>1968</v>
      </c>
      <c r="L748" s="22" t="str">
        <f t="shared" si="55"/>
        <v>EXCLUDE</v>
      </c>
      <c r="M748" s="22" t="str">
        <f t="shared" si="56"/>
        <v>Wrong domain (non-AECO)</v>
      </c>
      <c r="N748" s="23"/>
      <c r="O748" s="23"/>
      <c r="P748" s="24"/>
      <c r="Q748" s="24"/>
      <c r="R748" s="24"/>
      <c r="S748" s="22" t="str">
        <f t="shared" si="57"/>
        <v/>
      </c>
      <c r="T748" s="22" t="str">
        <f t="shared" si="58"/>
        <v/>
      </c>
      <c r="U748" s="25"/>
      <c r="V748" s="25"/>
      <c r="W748" s="25"/>
      <c r="X748" s="25"/>
      <c r="Y748" s="22" t="str">
        <f t="shared" si="59"/>
        <v/>
      </c>
      <c r="Z748" s="25"/>
      <c r="AA748" s="25"/>
      <c r="AB748" s="25"/>
      <c r="AC748" s="25"/>
      <c r="AD748" s="25"/>
      <c r="AE748" s="25"/>
      <c r="AF748" s="25"/>
      <c r="AG748" s="9"/>
      <c r="AH748" s="29"/>
      <c r="AI748" s="29"/>
      <c r="AM748" s="50"/>
      <c r="AN748" s="51" t="s">
        <v>4204</v>
      </c>
      <c r="AO748" s="55" t="s">
        <v>1488</v>
      </c>
    </row>
    <row r="749" spans="1:41" ht="91.2" customHeight="1" x14ac:dyDescent="0.3">
      <c r="A749" s="20">
        <v>745</v>
      </c>
      <c r="B749" s="8" t="s">
        <v>3638</v>
      </c>
      <c r="C749" s="26">
        <v>2022</v>
      </c>
      <c r="D749" s="8"/>
      <c r="E749" s="8" t="s">
        <v>1491</v>
      </c>
      <c r="F749" s="20" t="s">
        <v>1969</v>
      </c>
      <c r="G749" s="21" t="s">
        <v>1968</v>
      </c>
      <c r="H749" s="21" t="s">
        <v>1968</v>
      </c>
      <c r="I749" s="21" t="s">
        <v>1968</v>
      </c>
      <c r="J749" s="21" t="s">
        <v>1968</v>
      </c>
      <c r="K749" s="21" t="s">
        <v>1968</v>
      </c>
      <c r="L749" s="22" t="str">
        <f t="shared" si="55"/>
        <v>INCLUDE</v>
      </c>
      <c r="M749" s="22" t="str">
        <f t="shared" si="56"/>
        <v/>
      </c>
      <c r="N749" s="23" t="s">
        <v>1968</v>
      </c>
      <c r="O749" s="23" t="s">
        <v>1968</v>
      </c>
      <c r="P749" s="24" t="s">
        <v>1968</v>
      </c>
      <c r="Q749" s="24" t="s">
        <v>1968</v>
      </c>
      <c r="R749" s="24" t="s">
        <v>1968</v>
      </c>
      <c r="S749" s="22" t="str">
        <f t="shared" si="57"/>
        <v>INCLUDE</v>
      </c>
      <c r="T749" s="22" t="str">
        <f t="shared" si="58"/>
        <v/>
      </c>
      <c r="U749" s="25" t="s">
        <v>1982</v>
      </c>
      <c r="V749" s="25">
        <v>0</v>
      </c>
      <c r="W749" s="25">
        <v>1</v>
      </c>
      <c r="X749" s="25">
        <v>0</v>
      </c>
      <c r="Y749" s="22" t="str">
        <f t="shared" si="59"/>
        <v>Single</v>
      </c>
      <c r="Z749" s="25" t="s">
        <v>1922</v>
      </c>
      <c r="AA749" s="25" t="s">
        <v>1972</v>
      </c>
      <c r="AB749" s="25" t="s">
        <v>2011</v>
      </c>
      <c r="AC749" s="25" t="s">
        <v>1986</v>
      </c>
      <c r="AD749" s="25" t="s">
        <v>2003</v>
      </c>
      <c r="AE749" s="25">
        <v>4</v>
      </c>
      <c r="AF749" s="25" t="s">
        <v>2010</v>
      </c>
      <c r="AG749" s="9" t="s">
        <v>4205</v>
      </c>
      <c r="AH749" s="29" t="s">
        <v>4206</v>
      </c>
      <c r="AI749" s="29" t="s">
        <v>4207</v>
      </c>
      <c r="AJ749" t="s">
        <v>2005</v>
      </c>
      <c r="AK749" t="s">
        <v>4208</v>
      </c>
      <c r="AL749" t="s">
        <v>1990</v>
      </c>
      <c r="AM749" s="50"/>
      <c r="AN749" s="51" t="s">
        <v>4209</v>
      </c>
      <c r="AO749" s="55" t="s">
        <v>1490</v>
      </c>
    </row>
    <row r="750" spans="1:41" ht="91.2" customHeight="1" x14ac:dyDescent="0.3">
      <c r="A750" s="20">
        <v>746</v>
      </c>
      <c r="B750" s="8" t="s">
        <v>4210</v>
      </c>
      <c r="C750" s="26">
        <v>2024</v>
      </c>
      <c r="D750" s="8"/>
      <c r="E750" s="8" t="s">
        <v>1493</v>
      </c>
      <c r="F750" s="20" t="s">
        <v>1969</v>
      </c>
      <c r="G750" s="21" t="s">
        <v>1968</v>
      </c>
      <c r="H750" s="21" t="s">
        <v>1968</v>
      </c>
      <c r="I750" s="21" t="s">
        <v>1968</v>
      </c>
      <c r="J750" s="21" t="s">
        <v>1968</v>
      </c>
      <c r="K750" s="21" t="s">
        <v>1968</v>
      </c>
      <c r="L750" s="22" t="str">
        <f t="shared" si="55"/>
        <v>INCLUDE</v>
      </c>
      <c r="M750" s="22" t="str">
        <f t="shared" si="56"/>
        <v/>
      </c>
      <c r="N750" s="23" t="s">
        <v>1968</v>
      </c>
      <c r="O750" s="23" t="s">
        <v>1968</v>
      </c>
      <c r="P750" s="24" t="s">
        <v>1968</v>
      </c>
      <c r="Q750" s="24" t="s">
        <v>1968</v>
      </c>
      <c r="R750" s="24" t="s">
        <v>1968</v>
      </c>
      <c r="S750" s="22" t="str">
        <f t="shared" si="57"/>
        <v>INCLUDE</v>
      </c>
      <c r="T750" s="22" t="str">
        <f t="shared" si="58"/>
        <v/>
      </c>
      <c r="U750" s="25" t="s">
        <v>1982</v>
      </c>
      <c r="V750" s="25">
        <v>0</v>
      </c>
      <c r="W750" s="25">
        <v>0</v>
      </c>
      <c r="X750" s="25">
        <v>1</v>
      </c>
      <c r="Y750" s="22" t="str">
        <f t="shared" si="59"/>
        <v>Single</v>
      </c>
      <c r="Z750" s="25" t="s">
        <v>1922</v>
      </c>
      <c r="AA750" s="25" t="s">
        <v>1972</v>
      </c>
      <c r="AB750" s="25" t="s">
        <v>2018</v>
      </c>
      <c r="AC750" s="25" t="s">
        <v>1986</v>
      </c>
      <c r="AD750" s="25" t="s">
        <v>1987</v>
      </c>
      <c r="AE750" s="25">
        <v>3</v>
      </c>
      <c r="AF750" s="25" t="s">
        <v>2010</v>
      </c>
      <c r="AG750" s="9" t="s">
        <v>4211</v>
      </c>
      <c r="AH750" s="29" t="s">
        <v>4212</v>
      </c>
      <c r="AI750" s="29" t="s">
        <v>4213</v>
      </c>
      <c r="AJ750" t="s">
        <v>2005</v>
      </c>
      <c r="AK750" t="s">
        <v>4214</v>
      </c>
      <c r="AL750" t="s">
        <v>1990</v>
      </c>
      <c r="AM750" s="50"/>
      <c r="AN750" s="51" t="s">
        <v>4215</v>
      </c>
      <c r="AO750" s="55" t="s">
        <v>1492</v>
      </c>
    </row>
    <row r="751" spans="1:41" ht="45.6" customHeight="1" x14ac:dyDescent="0.3">
      <c r="A751" s="20">
        <v>747</v>
      </c>
      <c r="B751" s="8" t="s">
        <v>4216</v>
      </c>
      <c r="C751" s="26">
        <v>2024</v>
      </c>
      <c r="D751" s="8"/>
      <c r="E751" s="8" t="s">
        <v>1495</v>
      </c>
      <c r="F751" s="20" t="s">
        <v>1969</v>
      </c>
      <c r="G751" s="21" t="s">
        <v>1979</v>
      </c>
      <c r="H751" s="21" t="s">
        <v>1968</v>
      </c>
      <c r="I751" s="21" t="s">
        <v>1968</v>
      </c>
      <c r="J751" s="21" t="s">
        <v>1968</v>
      </c>
      <c r="K751" s="21" t="s">
        <v>1968</v>
      </c>
      <c r="L751" s="22" t="str">
        <f t="shared" si="55"/>
        <v>EXCLUDE</v>
      </c>
      <c r="M751" s="22" t="str">
        <f t="shared" si="56"/>
        <v>Wrong domain (non-AECO)</v>
      </c>
      <c r="N751" s="23"/>
      <c r="O751" s="23"/>
      <c r="P751" s="24"/>
      <c r="Q751" s="24"/>
      <c r="R751" s="24"/>
      <c r="S751" s="22" t="str">
        <f t="shared" si="57"/>
        <v/>
      </c>
      <c r="T751" s="22" t="str">
        <f t="shared" si="58"/>
        <v/>
      </c>
      <c r="U751" s="25"/>
      <c r="V751" s="25"/>
      <c r="W751" s="25"/>
      <c r="X751" s="25"/>
      <c r="Y751" s="22" t="str">
        <f t="shared" si="59"/>
        <v/>
      </c>
      <c r="Z751" s="25"/>
      <c r="AA751" s="25"/>
      <c r="AB751" s="25"/>
      <c r="AC751" s="25"/>
      <c r="AD751" s="25"/>
      <c r="AE751" s="25"/>
      <c r="AF751" s="25"/>
      <c r="AG751" s="9"/>
      <c r="AH751" s="29"/>
      <c r="AI751" s="29"/>
      <c r="AM751" s="50"/>
      <c r="AN751" s="51" t="s">
        <v>4217</v>
      </c>
      <c r="AO751" s="55" t="s">
        <v>1494</v>
      </c>
    </row>
    <row r="752" spans="1:41" ht="57" customHeight="1" x14ac:dyDescent="0.3">
      <c r="A752" s="20">
        <v>748</v>
      </c>
      <c r="B752" s="8" t="s">
        <v>4218</v>
      </c>
      <c r="C752" s="26">
        <v>2023</v>
      </c>
      <c r="D752" s="8"/>
      <c r="E752" s="8" t="s">
        <v>1497</v>
      </c>
      <c r="F752" s="20" t="s">
        <v>1969</v>
      </c>
      <c r="G752" s="21" t="s">
        <v>1968</v>
      </c>
      <c r="H752" s="21" t="s">
        <v>1979</v>
      </c>
      <c r="I752" s="21" t="s">
        <v>1968</v>
      </c>
      <c r="J752" s="21" t="s">
        <v>1968</v>
      </c>
      <c r="K752" s="21" t="s">
        <v>1968</v>
      </c>
      <c r="L752" s="22" t="str">
        <f t="shared" si="55"/>
        <v>EXCLUDE</v>
      </c>
      <c r="M752" s="22" t="str">
        <f t="shared" si="56"/>
        <v>Digital Twin not core / buzzword</v>
      </c>
      <c r="N752" s="23"/>
      <c r="O752" s="23"/>
      <c r="P752" s="24"/>
      <c r="Q752" s="24"/>
      <c r="R752" s="24"/>
      <c r="S752" s="22" t="str">
        <f t="shared" si="57"/>
        <v/>
      </c>
      <c r="T752" s="22" t="str">
        <f t="shared" si="58"/>
        <v/>
      </c>
      <c r="U752" s="25"/>
      <c r="V752" s="25"/>
      <c r="W752" s="25"/>
      <c r="X752" s="25"/>
      <c r="Y752" s="22" t="str">
        <f t="shared" si="59"/>
        <v/>
      </c>
      <c r="Z752" s="25"/>
      <c r="AA752" s="25"/>
      <c r="AB752" s="25"/>
      <c r="AC752" s="25"/>
      <c r="AD752" s="25"/>
      <c r="AE752" s="25"/>
      <c r="AF752" s="25"/>
      <c r="AG752" s="9"/>
      <c r="AH752" s="29"/>
      <c r="AI752" s="29"/>
      <c r="AM752" s="50"/>
      <c r="AN752" s="51" t="s">
        <v>4219</v>
      </c>
      <c r="AO752" s="55" t="s">
        <v>1496</v>
      </c>
    </row>
    <row r="753" spans="1:41" ht="57" customHeight="1" x14ac:dyDescent="0.3">
      <c r="A753" s="20">
        <v>749</v>
      </c>
      <c r="B753" s="8" t="s">
        <v>4220</v>
      </c>
      <c r="C753" s="26">
        <v>2024</v>
      </c>
      <c r="D753" s="8"/>
      <c r="E753" s="8" t="s">
        <v>1499</v>
      </c>
      <c r="F753" s="20" t="s">
        <v>1969</v>
      </c>
      <c r="G753" s="21" t="s">
        <v>1979</v>
      </c>
      <c r="H753" s="21" t="s">
        <v>1968</v>
      </c>
      <c r="I753" s="21" t="s">
        <v>1968</v>
      </c>
      <c r="J753" s="21" t="s">
        <v>1968</v>
      </c>
      <c r="K753" s="21" t="s">
        <v>1968</v>
      </c>
      <c r="L753" s="22" t="str">
        <f t="shared" si="55"/>
        <v>EXCLUDE</v>
      </c>
      <c r="M753" s="22" t="str">
        <f t="shared" si="56"/>
        <v>Wrong domain (non-AECO)</v>
      </c>
      <c r="N753" s="23"/>
      <c r="O753" s="23"/>
      <c r="P753" s="24"/>
      <c r="Q753" s="24"/>
      <c r="R753" s="24"/>
      <c r="S753" s="22" t="str">
        <f t="shared" si="57"/>
        <v/>
      </c>
      <c r="T753" s="22" t="str">
        <f t="shared" si="58"/>
        <v/>
      </c>
      <c r="U753" s="25"/>
      <c r="V753" s="25"/>
      <c r="W753" s="25"/>
      <c r="X753" s="25"/>
      <c r="Y753" s="22" t="str">
        <f t="shared" si="59"/>
        <v/>
      </c>
      <c r="Z753" s="25"/>
      <c r="AA753" s="25"/>
      <c r="AB753" s="25"/>
      <c r="AC753" s="25"/>
      <c r="AD753" s="25"/>
      <c r="AE753" s="25"/>
      <c r="AF753" s="25"/>
      <c r="AG753" s="9"/>
      <c r="AH753" s="29"/>
      <c r="AI753" s="29"/>
      <c r="AM753" s="50"/>
      <c r="AN753" s="51" t="s">
        <v>4221</v>
      </c>
      <c r="AO753" s="55" t="s">
        <v>1498</v>
      </c>
    </row>
    <row r="754" spans="1:41" ht="68.400000000000006" customHeight="1" x14ac:dyDescent="0.3">
      <c r="A754" s="20">
        <v>750</v>
      </c>
      <c r="B754" s="8" t="s">
        <v>4222</v>
      </c>
      <c r="C754" s="26">
        <v>2024</v>
      </c>
      <c r="D754" s="8"/>
      <c r="E754" s="8" t="s">
        <v>1501</v>
      </c>
      <c r="F754" s="20" t="s">
        <v>1969</v>
      </c>
      <c r="G754" s="21" t="s">
        <v>1979</v>
      </c>
      <c r="H754" s="21" t="s">
        <v>1968</v>
      </c>
      <c r="I754" s="21" t="s">
        <v>1968</v>
      </c>
      <c r="J754" s="21" t="s">
        <v>1968</v>
      </c>
      <c r="K754" s="21" t="s">
        <v>1968</v>
      </c>
      <c r="L754" s="22" t="str">
        <f t="shared" si="55"/>
        <v>EXCLUDE</v>
      </c>
      <c r="M754" s="22" t="str">
        <f t="shared" si="56"/>
        <v>Wrong domain (non-AECO)</v>
      </c>
      <c r="N754" s="23"/>
      <c r="O754" s="23"/>
      <c r="P754" s="24"/>
      <c r="Q754" s="24"/>
      <c r="R754" s="24"/>
      <c r="S754" s="22" t="str">
        <f t="shared" si="57"/>
        <v/>
      </c>
      <c r="T754" s="22" t="str">
        <f t="shared" si="58"/>
        <v/>
      </c>
      <c r="U754" s="25"/>
      <c r="V754" s="25"/>
      <c r="W754" s="25"/>
      <c r="X754" s="25"/>
      <c r="Y754" s="22" t="str">
        <f t="shared" si="59"/>
        <v/>
      </c>
      <c r="Z754" s="25"/>
      <c r="AA754" s="25"/>
      <c r="AB754" s="25"/>
      <c r="AC754" s="25"/>
      <c r="AD754" s="25"/>
      <c r="AE754" s="25"/>
      <c r="AF754" s="25"/>
      <c r="AG754" s="9"/>
      <c r="AH754" s="29"/>
      <c r="AI754" s="29"/>
      <c r="AM754" s="50"/>
      <c r="AN754" s="51" t="s">
        <v>4223</v>
      </c>
      <c r="AO754" s="55" t="s">
        <v>1500</v>
      </c>
    </row>
    <row r="755" spans="1:41" ht="57" customHeight="1" x14ac:dyDescent="0.3">
      <c r="A755" s="20">
        <v>751</v>
      </c>
      <c r="B755" s="8" t="s">
        <v>4224</v>
      </c>
      <c r="C755" s="26">
        <v>2022</v>
      </c>
      <c r="D755" s="8"/>
      <c r="E755" s="8" t="s">
        <v>1503</v>
      </c>
      <c r="F755" s="20" t="s">
        <v>1969</v>
      </c>
      <c r="G755" s="21" t="s">
        <v>1979</v>
      </c>
      <c r="H755" s="21" t="s">
        <v>1968</v>
      </c>
      <c r="I755" s="21" t="s">
        <v>1968</v>
      </c>
      <c r="J755" s="21" t="s">
        <v>1968</v>
      </c>
      <c r="K755" s="21" t="s">
        <v>1968</v>
      </c>
      <c r="L755" s="22" t="str">
        <f t="shared" si="55"/>
        <v>EXCLUDE</v>
      </c>
      <c r="M755" s="22" t="str">
        <f t="shared" si="56"/>
        <v>Wrong domain (non-AECO)</v>
      </c>
      <c r="N755" s="23"/>
      <c r="O755" s="23"/>
      <c r="P755" s="24"/>
      <c r="Q755" s="24"/>
      <c r="R755" s="24"/>
      <c r="S755" s="22" t="str">
        <f t="shared" si="57"/>
        <v/>
      </c>
      <c r="T755" s="22" t="str">
        <f t="shared" si="58"/>
        <v/>
      </c>
      <c r="U755" s="25"/>
      <c r="V755" s="25"/>
      <c r="W755" s="25"/>
      <c r="X755" s="25"/>
      <c r="Y755" s="22" t="str">
        <f t="shared" si="59"/>
        <v/>
      </c>
      <c r="Z755" s="25"/>
      <c r="AA755" s="25"/>
      <c r="AB755" s="25"/>
      <c r="AC755" s="25"/>
      <c r="AD755" s="25"/>
      <c r="AE755" s="25"/>
      <c r="AF755" s="25"/>
      <c r="AG755" s="9"/>
      <c r="AH755" s="29"/>
      <c r="AI755" s="29"/>
      <c r="AM755" s="50"/>
      <c r="AN755" s="51" t="s">
        <v>4225</v>
      </c>
      <c r="AO755" s="55" t="s">
        <v>1502</v>
      </c>
    </row>
    <row r="756" spans="1:41" ht="45.6" customHeight="1" x14ac:dyDescent="0.3">
      <c r="A756" s="20">
        <v>752</v>
      </c>
      <c r="B756" s="8" t="s">
        <v>4226</v>
      </c>
      <c r="C756" s="26">
        <v>2024</v>
      </c>
      <c r="D756" s="8"/>
      <c r="E756" s="8" t="s">
        <v>1505</v>
      </c>
      <c r="F756" s="20" t="s">
        <v>1969</v>
      </c>
      <c r="G756" s="21" t="s">
        <v>1979</v>
      </c>
      <c r="H756" s="21" t="s">
        <v>1968</v>
      </c>
      <c r="I756" s="21" t="s">
        <v>1968</v>
      </c>
      <c r="J756" s="21" t="s">
        <v>1968</v>
      </c>
      <c r="K756" s="21" t="s">
        <v>1968</v>
      </c>
      <c r="L756" s="22" t="str">
        <f t="shared" si="55"/>
        <v>EXCLUDE</v>
      </c>
      <c r="M756" s="22" t="str">
        <f t="shared" si="56"/>
        <v>Wrong domain (non-AECO)</v>
      </c>
      <c r="N756" s="23"/>
      <c r="O756" s="23"/>
      <c r="P756" s="24"/>
      <c r="Q756" s="24"/>
      <c r="R756" s="24"/>
      <c r="S756" s="22" t="str">
        <f t="shared" si="57"/>
        <v/>
      </c>
      <c r="T756" s="22" t="str">
        <f t="shared" si="58"/>
        <v/>
      </c>
      <c r="U756" s="25"/>
      <c r="V756" s="25"/>
      <c r="W756" s="25"/>
      <c r="X756" s="25"/>
      <c r="Y756" s="22" t="str">
        <f t="shared" si="59"/>
        <v/>
      </c>
      <c r="Z756" s="25"/>
      <c r="AA756" s="25"/>
      <c r="AB756" s="25"/>
      <c r="AC756" s="25"/>
      <c r="AD756" s="25"/>
      <c r="AE756" s="25"/>
      <c r="AF756" s="25"/>
      <c r="AG756" s="9"/>
      <c r="AH756" s="29"/>
      <c r="AI756" s="29"/>
      <c r="AM756" s="50"/>
      <c r="AN756" s="51" t="s">
        <v>4227</v>
      </c>
      <c r="AO756" s="55" t="s">
        <v>1504</v>
      </c>
    </row>
    <row r="757" spans="1:41" ht="102.6" customHeight="1" x14ac:dyDescent="0.3">
      <c r="A757" s="20">
        <v>753</v>
      </c>
      <c r="B757" s="8" t="s">
        <v>4228</v>
      </c>
      <c r="C757" s="26">
        <v>2022</v>
      </c>
      <c r="D757" s="8"/>
      <c r="E757" s="8" t="s">
        <v>1507</v>
      </c>
      <c r="F757" s="20" t="s">
        <v>1969</v>
      </c>
      <c r="G757" s="21" t="s">
        <v>1968</v>
      </c>
      <c r="H757" s="21" t="s">
        <v>1968</v>
      </c>
      <c r="I757" s="21" t="s">
        <v>1968</v>
      </c>
      <c r="J757" s="21" t="s">
        <v>1968</v>
      </c>
      <c r="K757" s="21" t="s">
        <v>1968</v>
      </c>
      <c r="L757" s="22" t="str">
        <f t="shared" si="55"/>
        <v>INCLUDE</v>
      </c>
      <c r="M757" s="22" t="str">
        <f t="shared" si="56"/>
        <v/>
      </c>
      <c r="N757" s="23" t="s">
        <v>1968</v>
      </c>
      <c r="O757" s="23" t="s">
        <v>1968</v>
      </c>
      <c r="P757" s="24" t="s">
        <v>1968</v>
      </c>
      <c r="Q757" s="24" t="s">
        <v>1968</v>
      </c>
      <c r="R757" s="24" t="s">
        <v>1968</v>
      </c>
      <c r="S757" s="22" t="str">
        <f t="shared" si="57"/>
        <v>INCLUDE</v>
      </c>
      <c r="T757" s="22" t="str">
        <f t="shared" si="58"/>
        <v/>
      </c>
      <c r="U757" s="25" t="s">
        <v>2007</v>
      </c>
      <c r="V757" s="25">
        <v>0</v>
      </c>
      <c r="W757" s="25">
        <v>1</v>
      </c>
      <c r="X757" s="25">
        <v>0</v>
      </c>
      <c r="Y757" s="22" t="str">
        <f t="shared" si="59"/>
        <v>Single</v>
      </c>
      <c r="Z757" s="25" t="s">
        <v>1922</v>
      </c>
      <c r="AA757" s="25" t="s">
        <v>1972</v>
      </c>
      <c r="AB757" s="25" t="s">
        <v>2017</v>
      </c>
      <c r="AC757" s="25" t="s">
        <v>1986</v>
      </c>
      <c r="AD757" s="25" t="s">
        <v>1975</v>
      </c>
      <c r="AE757" s="25">
        <v>2</v>
      </c>
      <c r="AF757" s="25" t="s">
        <v>1976</v>
      </c>
      <c r="AG757" s="9" t="s">
        <v>4229</v>
      </c>
      <c r="AH757" s="29" t="s">
        <v>4230</v>
      </c>
      <c r="AI757" s="29" t="s">
        <v>4231</v>
      </c>
      <c r="AJ757" t="s">
        <v>2007</v>
      </c>
      <c r="AK757" t="s">
        <v>4232</v>
      </c>
      <c r="AL757" t="s">
        <v>1978</v>
      </c>
      <c r="AM757" s="50" t="s">
        <v>2098</v>
      </c>
      <c r="AN757" s="51" t="s">
        <v>4233</v>
      </c>
      <c r="AO757" s="55" t="s">
        <v>1506</v>
      </c>
    </row>
    <row r="758" spans="1:41" ht="91.2" customHeight="1" x14ac:dyDescent="0.3">
      <c r="A758" s="20">
        <v>754</v>
      </c>
      <c r="B758" s="8" t="s">
        <v>4234</v>
      </c>
      <c r="C758" s="26">
        <v>2023</v>
      </c>
      <c r="D758" s="8"/>
      <c r="E758" s="8" t="s">
        <v>1509</v>
      </c>
      <c r="F758" s="20" t="s">
        <v>1969</v>
      </c>
      <c r="G758" s="21" t="s">
        <v>1968</v>
      </c>
      <c r="H758" s="21" t="s">
        <v>1979</v>
      </c>
      <c r="I758" s="21" t="s">
        <v>1968</v>
      </c>
      <c r="J758" s="21" t="s">
        <v>1968</v>
      </c>
      <c r="K758" s="21" t="s">
        <v>1968</v>
      </c>
      <c r="L758" s="22" t="str">
        <f t="shared" si="55"/>
        <v>EXCLUDE</v>
      </c>
      <c r="M758" s="22" t="str">
        <f t="shared" si="56"/>
        <v>Digital Twin not core / buzzword</v>
      </c>
      <c r="N758" s="23"/>
      <c r="O758" s="23"/>
      <c r="P758" s="24"/>
      <c r="Q758" s="24"/>
      <c r="R758" s="24"/>
      <c r="S758" s="22" t="str">
        <f t="shared" si="57"/>
        <v/>
      </c>
      <c r="T758" s="22" t="str">
        <f t="shared" si="58"/>
        <v/>
      </c>
      <c r="U758" s="25"/>
      <c r="V758" s="25"/>
      <c r="W758" s="25"/>
      <c r="X758" s="25"/>
      <c r="Y758" s="22" t="str">
        <f t="shared" si="59"/>
        <v/>
      </c>
      <c r="Z758" s="25"/>
      <c r="AA758" s="25"/>
      <c r="AB758" s="25"/>
      <c r="AC758" s="25"/>
      <c r="AD758" s="25"/>
      <c r="AE758" s="25"/>
      <c r="AF758" s="25"/>
      <c r="AG758" s="9"/>
      <c r="AH758" s="29"/>
      <c r="AI758" s="29"/>
      <c r="AM758" s="50"/>
      <c r="AN758" s="51" t="s">
        <v>4235</v>
      </c>
      <c r="AO758" s="55" t="s">
        <v>1508</v>
      </c>
    </row>
    <row r="759" spans="1:41" ht="57" customHeight="1" x14ac:dyDescent="0.3">
      <c r="A759" s="20">
        <v>755</v>
      </c>
      <c r="B759" s="8" t="s">
        <v>4236</v>
      </c>
      <c r="C759" s="26">
        <v>2023</v>
      </c>
      <c r="D759" s="8"/>
      <c r="E759" s="8" t="s">
        <v>1511</v>
      </c>
      <c r="F759" s="20" t="s">
        <v>1969</v>
      </c>
      <c r="G759" s="21" t="s">
        <v>1979</v>
      </c>
      <c r="H759" s="21" t="s">
        <v>1968</v>
      </c>
      <c r="I759" s="21" t="s">
        <v>1968</v>
      </c>
      <c r="J759" s="21" t="s">
        <v>1968</v>
      </c>
      <c r="K759" s="21" t="s">
        <v>1968</v>
      </c>
      <c r="L759" s="22" t="str">
        <f t="shared" si="55"/>
        <v>EXCLUDE</v>
      </c>
      <c r="M759" s="22" t="str">
        <f t="shared" si="56"/>
        <v>Wrong domain (non-AECO)</v>
      </c>
      <c r="N759" s="23"/>
      <c r="O759" s="23"/>
      <c r="P759" s="24"/>
      <c r="Q759" s="24"/>
      <c r="R759" s="24"/>
      <c r="S759" s="22" t="str">
        <f t="shared" si="57"/>
        <v/>
      </c>
      <c r="T759" s="22" t="str">
        <f t="shared" si="58"/>
        <v/>
      </c>
      <c r="U759" s="25"/>
      <c r="V759" s="25"/>
      <c r="W759" s="25"/>
      <c r="X759" s="25"/>
      <c r="Y759" s="22" t="str">
        <f t="shared" si="59"/>
        <v/>
      </c>
      <c r="Z759" s="25"/>
      <c r="AA759" s="25"/>
      <c r="AB759" s="25"/>
      <c r="AC759" s="25"/>
      <c r="AD759" s="25"/>
      <c r="AE759" s="25"/>
      <c r="AF759" s="25"/>
      <c r="AG759" s="9"/>
      <c r="AH759" s="29"/>
      <c r="AI759" s="29"/>
      <c r="AM759" s="50"/>
      <c r="AN759" s="51" t="s">
        <v>4237</v>
      </c>
      <c r="AO759" s="55" t="s">
        <v>1510</v>
      </c>
    </row>
    <row r="760" spans="1:41" ht="57" customHeight="1" x14ac:dyDescent="0.3">
      <c r="A760" s="20">
        <v>756</v>
      </c>
      <c r="B760" s="8" t="s">
        <v>4238</v>
      </c>
      <c r="C760" s="26">
        <v>2023</v>
      </c>
      <c r="D760" s="8"/>
      <c r="E760" s="8" t="s">
        <v>1513</v>
      </c>
      <c r="F760" s="20" t="s">
        <v>1969</v>
      </c>
      <c r="G760" s="21" t="s">
        <v>1979</v>
      </c>
      <c r="H760" s="21" t="s">
        <v>1968</v>
      </c>
      <c r="I760" s="21" t="s">
        <v>1968</v>
      </c>
      <c r="J760" s="21" t="s">
        <v>1968</v>
      </c>
      <c r="K760" s="21" t="s">
        <v>1968</v>
      </c>
      <c r="L760" s="22" t="str">
        <f t="shared" si="55"/>
        <v>EXCLUDE</v>
      </c>
      <c r="M760" s="22" t="str">
        <f t="shared" si="56"/>
        <v>Wrong domain (non-AECO)</v>
      </c>
      <c r="N760" s="23"/>
      <c r="O760" s="23"/>
      <c r="P760" s="24"/>
      <c r="Q760" s="24"/>
      <c r="R760" s="24"/>
      <c r="S760" s="22" t="str">
        <f t="shared" si="57"/>
        <v/>
      </c>
      <c r="T760" s="22" t="str">
        <f t="shared" si="58"/>
        <v/>
      </c>
      <c r="U760" s="25"/>
      <c r="V760" s="25"/>
      <c r="W760" s="25"/>
      <c r="X760" s="25"/>
      <c r="Y760" s="22" t="str">
        <f t="shared" si="59"/>
        <v/>
      </c>
      <c r="Z760" s="25"/>
      <c r="AA760" s="25"/>
      <c r="AB760" s="25"/>
      <c r="AC760" s="25"/>
      <c r="AD760" s="25"/>
      <c r="AE760" s="25"/>
      <c r="AF760" s="25"/>
      <c r="AG760" s="9"/>
      <c r="AH760" s="29"/>
      <c r="AI760" s="29"/>
      <c r="AM760" s="50"/>
      <c r="AN760" s="51" t="s">
        <v>4239</v>
      </c>
      <c r="AO760" s="55" t="s">
        <v>1512</v>
      </c>
    </row>
    <row r="761" spans="1:41" ht="57" customHeight="1" x14ac:dyDescent="0.3">
      <c r="A761" s="20">
        <v>757</v>
      </c>
      <c r="B761" s="8" t="s">
        <v>4240</v>
      </c>
      <c r="C761" s="26">
        <v>2024</v>
      </c>
      <c r="D761" s="8"/>
      <c r="E761" s="8" t="s">
        <v>1515</v>
      </c>
      <c r="F761" s="20" t="s">
        <v>1969</v>
      </c>
      <c r="G761" s="21" t="s">
        <v>1968</v>
      </c>
      <c r="H761" s="21" t="s">
        <v>1968</v>
      </c>
      <c r="I761" s="21" t="s">
        <v>1968</v>
      </c>
      <c r="J761" s="21" t="s">
        <v>1968</v>
      </c>
      <c r="K761" s="21" t="s">
        <v>1968</v>
      </c>
      <c r="L761" s="22" t="str">
        <f t="shared" si="55"/>
        <v>INCLUDE</v>
      </c>
      <c r="M761" s="22" t="str">
        <f t="shared" si="56"/>
        <v/>
      </c>
      <c r="N761" s="23" t="s">
        <v>1968</v>
      </c>
      <c r="O761" s="23" t="s">
        <v>1968</v>
      </c>
      <c r="P761" s="24" t="s">
        <v>1968</v>
      </c>
      <c r="Q761" s="24" t="s">
        <v>1968</v>
      </c>
      <c r="R761" s="24" t="s">
        <v>1968</v>
      </c>
      <c r="S761" s="22" t="str">
        <f t="shared" si="57"/>
        <v>INCLUDE</v>
      </c>
      <c r="T761" s="22" t="str">
        <f t="shared" si="58"/>
        <v/>
      </c>
      <c r="U761" s="25" t="s">
        <v>1992</v>
      </c>
      <c r="V761" s="25">
        <v>0</v>
      </c>
      <c r="W761" s="25">
        <v>0</v>
      </c>
      <c r="X761" s="25">
        <v>1</v>
      </c>
      <c r="Y761" s="22" t="str">
        <f t="shared" si="59"/>
        <v>Single</v>
      </c>
      <c r="Z761" s="25" t="s">
        <v>1922</v>
      </c>
      <c r="AA761" s="25" t="s">
        <v>1993</v>
      </c>
      <c r="AB761" s="25" t="s">
        <v>2018</v>
      </c>
      <c r="AC761" s="25" t="s">
        <v>1986</v>
      </c>
      <c r="AD761" s="25" t="s">
        <v>2009</v>
      </c>
      <c r="AE761" s="25">
        <v>4</v>
      </c>
      <c r="AF761" s="25" t="s">
        <v>2012</v>
      </c>
      <c r="AG761" s="9" t="s">
        <v>4241</v>
      </c>
      <c r="AH761" s="29" t="s">
        <v>4242</v>
      </c>
      <c r="AI761" s="29" t="s">
        <v>4243</v>
      </c>
      <c r="AJ761" t="s">
        <v>2005</v>
      </c>
      <c r="AK761" t="s">
        <v>4244</v>
      </c>
      <c r="AL761" t="s">
        <v>1978</v>
      </c>
      <c r="AM761" s="50"/>
      <c r="AN761" s="51" t="s">
        <v>4245</v>
      </c>
      <c r="AO761" s="55" t="s">
        <v>1514</v>
      </c>
    </row>
    <row r="762" spans="1:41" ht="102.6" customHeight="1" x14ac:dyDescent="0.3">
      <c r="A762" s="20">
        <v>758</v>
      </c>
      <c r="B762" s="8" t="s">
        <v>4246</v>
      </c>
      <c r="C762" s="26">
        <v>2022</v>
      </c>
      <c r="D762" s="8"/>
      <c r="E762" s="8" t="s">
        <v>1517</v>
      </c>
      <c r="F762" s="20" t="s">
        <v>1969</v>
      </c>
      <c r="G762" s="21" t="s">
        <v>1968</v>
      </c>
      <c r="H762" s="21" t="s">
        <v>1968</v>
      </c>
      <c r="I762" s="21" t="s">
        <v>1968</v>
      </c>
      <c r="J762" s="21" t="s">
        <v>1968</v>
      </c>
      <c r="K762" s="21" t="s">
        <v>1968</v>
      </c>
      <c r="L762" s="22" t="str">
        <f t="shared" si="55"/>
        <v>INCLUDE</v>
      </c>
      <c r="M762" s="22" t="str">
        <f t="shared" si="56"/>
        <v/>
      </c>
      <c r="N762" s="23" t="s">
        <v>1968</v>
      </c>
      <c r="O762" s="23" t="s">
        <v>1968</v>
      </c>
      <c r="P762" s="24" t="s">
        <v>1968</v>
      </c>
      <c r="Q762" s="24" t="s">
        <v>1968</v>
      </c>
      <c r="R762" s="24" t="s">
        <v>1968</v>
      </c>
      <c r="S762" s="22" t="str">
        <f t="shared" si="57"/>
        <v>INCLUDE</v>
      </c>
      <c r="T762" s="22" t="str">
        <f t="shared" si="58"/>
        <v/>
      </c>
      <c r="U762" s="25" t="s">
        <v>1982</v>
      </c>
      <c r="V762" s="25">
        <v>1</v>
      </c>
      <c r="W762" s="25">
        <v>0</v>
      </c>
      <c r="X762" s="25">
        <v>1</v>
      </c>
      <c r="Y762" s="22" t="str">
        <f t="shared" si="59"/>
        <v>Multi</v>
      </c>
      <c r="Z762" s="25" t="s">
        <v>1922</v>
      </c>
      <c r="AA762" s="25" t="s">
        <v>1972</v>
      </c>
      <c r="AB762" s="25" t="s">
        <v>2018</v>
      </c>
      <c r="AC762" s="25" t="s">
        <v>1986</v>
      </c>
      <c r="AD762" s="25" t="s">
        <v>1987</v>
      </c>
      <c r="AE762" s="25">
        <v>4</v>
      </c>
      <c r="AF762" s="25" t="s">
        <v>2004</v>
      </c>
      <c r="AG762" s="9" t="s">
        <v>4247</v>
      </c>
      <c r="AH762" s="29" t="s">
        <v>4248</v>
      </c>
      <c r="AI762" s="29" t="s">
        <v>4249</v>
      </c>
      <c r="AJ762" t="s">
        <v>2005</v>
      </c>
      <c r="AK762" t="s">
        <v>4250</v>
      </c>
      <c r="AL762" t="s">
        <v>1978</v>
      </c>
      <c r="AM762" s="50"/>
      <c r="AN762" s="51" t="s">
        <v>4251</v>
      </c>
      <c r="AO762" s="55" t="s">
        <v>1516</v>
      </c>
    </row>
    <row r="763" spans="1:41" ht="57" customHeight="1" x14ac:dyDescent="0.3">
      <c r="A763" s="20">
        <v>759</v>
      </c>
      <c r="B763" s="8" t="s">
        <v>4252</v>
      </c>
      <c r="C763" s="26">
        <v>2022</v>
      </c>
      <c r="D763" s="8"/>
      <c r="E763" s="8" t="s">
        <v>1519</v>
      </c>
      <c r="F763" s="20" t="s">
        <v>1969</v>
      </c>
      <c r="G763" s="21" t="s">
        <v>1979</v>
      </c>
      <c r="H763" s="21" t="s">
        <v>1968</v>
      </c>
      <c r="I763" s="21" t="s">
        <v>1968</v>
      </c>
      <c r="J763" s="21" t="s">
        <v>1968</v>
      </c>
      <c r="K763" s="21" t="s">
        <v>1968</v>
      </c>
      <c r="L763" s="22" t="str">
        <f t="shared" si="55"/>
        <v>EXCLUDE</v>
      </c>
      <c r="M763" s="22" t="str">
        <f t="shared" si="56"/>
        <v>Wrong domain (non-AECO)</v>
      </c>
      <c r="N763" s="23"/>
      <c r="O763" s="23"/>
      <c r="P763" s="24"/>
      <c r="Q763" s="24"/>
      <c r="R763" s="24"/>
      <c r="S763" s="22" t="str">
        <f t="shared" si="57"/>
        <v/>
      </c>
      <c r="T763" s="22" t="str">
        <f t="shared" si="58"/>
        <v/>
      </c>
      <c r="U763" s="25"/>
      <c r="V763" s="25"/>
      <c r="W763" s="25"/>
      <c r="X763" s="25"/>
      <c r="Y763" s="22" t="str">
        <f t="shared" si="59"/>
        <v/>
      </c>
      <c r="Z763" s="25"/>
      <c r="AA763" s="25"/>
      <c r="AB763" s="25"/>
      <c r="AC763" s="25"/>
      <c r="AD763" s="25"/>
      <c r="AE763" s="25"/>
      <c r="AF763" s="25"/>
      <c r="AG763" s="9"/>
      <c r="AH763" s="29"/>
      <c r="AI763" s="29"/>
      <c r="AM763" s="50"/>
      <c r="AN763" s="51" t="s">
        <v>4253</v>
      </c>
      <c r="AO763" s="55" t="s">
        <v>1518</v>
      </c>
    </row>
    <row r="764" spans="1:41" ht="34.200000000000003" customHeight="1" x14ac:dyDescent="0.3">
      <c r="A764" s="20">
        <v>760</v>
      </c>
      <c r="B764" s="8" t="s">
        <v>4254</v>
      </c>
      <c r="C764" s="26">
        <v>2024</v>
      </c>
      <c r="D764" s="8"/>
      <c r="E764" s="8" t="s">
        <v>1521</v>
      </c>
      <c r="F764" s="20" t="s">
        <v>1969</v>
      </c>
      <c r="G764" s="21" t="s">
        <v>1979</v>
      </c>
      <c r="H764" s="21" t="s">
        <v>1968</v>
      </c>
      <c r="I764" s="21" t="s">
        <v>1968</v>
      </c>
      <c r="J764" s="21" t="s">
        <v>1968</v>
      </c>
      <c r="K764" s="21" t="s">
        <v>1968</v>
      </c>
      <c r="L764" s="22" t="str">
        <f t="shared" si="55"/>
        <v>EXCLUDE</v>
      </c>
      <c r="M764" s="22" t="str">
        <f t="shared" si="56"/>
        <v>Wrong domain (non-AECO)</v>
      </c>
      <c r="N764" s="23"/>
      <c r="O764" s="23"/>
      <c r="P764" s="24"/>
      <c r="Q764" s="24"/>
      <c r="R764" s="24"/>
      <c r="S764" s="22" t="str">
        <f t="shared" si="57"/>
        <v/>
      </c>
      <c r="T764" s="22" t="str">
        <f t="shared" si="58"/>
        <v/>
      </c>
      <c r="U764" s="25"/>
      <c r="V764" s="25"/>
      <c r="W764" s="25"/>
      <c r="X764" s="25"/>
      <c r="Y764" s="22" t="str">
        <f t="shared" si="59"/>
        <v/>
      </c>
      <c r="Z764" s="25"/>
      <c r="AA764" s="25"/>
      <c r="AB764" s="25"/>
      <c r="AC764" s="25"/>
      <c r="AD764" s="25"/>
      <c r="AE764" s="25"/>
      <c r="AF764" s="25"/>
      <c r="AG764" s="9"/>
      <c r="AH764" s="29"/>
      <c r="AI764" s="29"/>
      <c r="AM764" s="50"/>
      <c r="AN764" s="51" t="s">
        <v>4255</v>
      </c>
      <c r="AO764" s="55" t="s">
        <v>1520</v>
      </c>
    </row>
    <row r="765" spans="1:41" ht="45.6" customHeight="1" x14ac:dyDescent="0.3">
      <c r="A765" s="20">
        <v>761</v>
      </c>
      <c r="B765" s="8" t="s">
        <v>4256</v>
      </c>
      <c r="C765" s="26">
        <v>2024</v>
      </c>
      <c r="D765" s="8"/>
      <c r="E765" s="8" t="s">
        <v>1523</v>
      </c>
      <c r="F765" s="20" t="s">
        <v>1969</v>
      </c>
      <c r="G765" s="21" t="s">
        <v>1968</v>
      </c>
      <c r="H765" s="21" t="s">
        <v>1979</v>
      </c>
      <c r="I765" s="21" t="s">
        <v>1968</v>
      </c>
      <c r="J765" s="21" t="s">
        <v>1968</v>
      </c>
      <c r="K765" s="21" t="s">
        <v>1968</v>
      </c>
      <c r="L765" s="22" t="str">
        <f t="shared" si="55"/>
        <v>EXCLUDE</v>
      </c>
      <c r="M765" s="22" t="str">
        <f t="shared" si="56"/>
        <v>Digital Twin not core / buzzword</v>
      </c>
      <c r="N765" s="23"/>
      <c r="O765" s="23"/>
      <c r="P765" s="24"/>
      <c r="Q765" s="24"/>
      <c r="R765" s="24"/>
      <c r="S765" s="22" t="str">
        <f t="shared" si="57"/>
        <v/>
      </c>
      <c r="T765" s="22" t="str">
        <f t="shared" si="58"/>
        <v/>
      </c>
      <c r="U765" s="25"/>
      <c r="V765" s="25"/>
      <c r="W765" s="25"/>
      <c r="X765" s="25"/>
      <c r="Y765" s="22" t="str">
        <f t="shared" si="59"/>
        <v/>
      </c>
      <c r="Z765" s="25"/>
      <c r="AA765" s="25"/>
      <c r="AB765" s="25"/>
      <c r="AC765" s="25"/>
      <c r="AD765" s="25"/>
      <c r="AE765" s="25"/>
      <c r="AF765" s="25"/>
      <c r="AG765" s="9"/>
      <c r="AH765" s="29"/>
      <c r="AI765" s="29"/>
      <c r="AM765" s="50"/>
      <c r="AN765" s="51" t="s">
        <v>4257</v>
      </c>
      <c r="AO765" s="55" t="s">
        <v>1522</v>
      </c>
    </row>
    <row r="766" spans="1:41" ht="91.2" customHeight="1" x14ac:dyDescent="0.3">
      <c r="A766" s="20">
        <v>762</v>
      </c>
      <c r="B766" s="8" t="s">
        <v>4258</v>
      </c>
      <c r="C766" s="26">
        <v>2025</v>
      </c>
      <c r="D766" s="8"/>
      <c r="E766" s="8" t="s">
        <v>1525</v>
      </c>
      <c r="F766" s="20" t="s">
        <v>1969</v>
      </c>
      <c r="G766" s="21" t="s">
        <v>1968</v>
      </c>
      <c r="H766" s="21" t="s">
        <v>1979</v>
      </c>
      <c r="I766" s="21" t="s">
        <v>1968</v>
      </c>
      <c r="J766" s="21" t="s">
        <v>1968</v>
      </c>
      <c r="K766" s="21" t="s">
        <v>1968</v>
      </c>
      <c r="L766" s="22" t="str">
        <f t="shared" si="55"/>
        <v>EXCLUDE</v>
      </c>
      <c r="M766" s="22" t="str">
        <f t="shared" si="56"/>
        <v>Digital Twin not core / buzzword</v>
      </c>
      <c r="N766" s="23"/>
      <c r="O766" s="23"/>
      <c r="P766" s="24"/>
      <c r="Q766" s="24"/>
      <c r="R766" s="24"/>
      <c r="S766" s="22" t="str">
        <f t="shared" si="57"/>
        <v/>
      </c>
      <c r="T766" s="22" t="str">
        <f t="shared" si="58"/>
        <v/>
      </c>
      <c r="U766" s="25"/>
      <c r="V766" s="25"/>
      <c r="W766" s="25"/>
      <c r="X766" s="25"/>
      <c r="Y766" s="22" t="str">
        <f t="shared" si="59"/>
        <v/>
      </c>
      <c r="Z766" s="25"/>
      <c r="AA766" s="25"/>
      <c r="AB766" s="25"/>
      <c r="AC766" s="25"/>
      <c r="AD766" s="25"/>
      <c r="AE766" s="25"/>
      <c r="AF766" s="25"/>
      <c r="AG766" s="9"/>
      <c r="AH766" s="29"/>
      <c r="AI766" s="29"/>
      <c r="AM766" s="50"/>
      <c r="AN766" s="51" t="s">
        <v>4259</v>
      </c>
      <c r="AO766" s="55" t="s">
        <v>1524</v>
      </c>
    </row>
    <row r="767" spans="1:41" ht="68.400000000000006" customHeight="1" x14ac:dyDescent="0.3">
      <c r="A767" s="20">
        <v>763</v>
      </c>
      <c r="B767" s="8" t="s">
        <v>4260</v>
      </c>
      <c r="C767" s="26">
        <v>2023</v>
      </c>
      <c r="D767" s="8"/>
      <c r="E767" s="8" t="s">
        <v>1527</v>
      </c>
      <c r="F767" s="20" t="s">
        <v>1969</v>
      </c>
      <c r="G767" s="21" t="s">
        <v>1979</v>
      </c>
      <c r="H767" s="21" t="s">
        <v>1968</v>
      </c>
      <c r="I767" s="21" t="s">
        <v>1968</v>
      </c>
      <c r="J767" s="21" t="s">
        <v>1968</v>
      </c>
      <c r="K767" s="21" t="s">
        <v>1968</v>
      </c>
      <c r="L767" s="22" t="str">
        <f t="shared" si="55"/>
        <v>EXCLUDE</v>
      </c>
      <c r="M767" s="22" t="str">
        <f t="shared" si="56"/>
        <v>Wrong domain (non-AECO)</v>
      </c>
      <c r="N767" s="23"/>
      <c r="O767" s="23"/>
      <c r="P767" s="24"/>
      <c r="Q767" s="24"/>
      <c r="R767" s="24"/>
      <c r="S767" s="22" t="str">
        <f t="shared" si="57"/>
        <v/>
      </c>
      <c r="T767" s="22" t="str">
        <f t="shared" si="58"/>
        <v/>
      </c>
      <c r="U767" s="25"/>
      <c r="V767" s="25"/>
      <c r="W767" s="25"/>
      <c r="X767" s="25"/>
      <c r="Y767" s="22" t="str">
        <f t="shared" si="59"/>
        <v/>
      </c>
      <c r="Z767" s="25"/>
      <c r="AA767" s="25"/>
      <c r="AB767" s="25"/>
      <c r="AC767" s="25"/>
      <c r="AD767" s="25"/>
      <c r="AE767" s="25"/>
      <c r="AF767" s="25"/>
      <c r="AG767" s="9"/>
      <c r="AH767" s="29"/>
      <c r="AI767" s="29"/>
      <c r="AM767" s="50"/>
      <c r="AN767" s="51" t="s">
        <v>4261</v>
      </c>
      <c r="AO767" s="55" t="s">
        <v>1526</v>
      </c>
    </row>
    <row r="768" spans="1:41" ht="45.6" customHeight="1" x14ac:dyDescent="0.3">
      <c r="A768" s="20">
        <v>764</v>
      </c>
      <c r="B768" s="8" t="s">
        <v>4262</v>
      </c>
      <c r="C768" s="26">
        <v>2023</v>
      </c>
      <c r="D768" s="8"/>
      <c r="E768" s="8" t="s">
        <v>1529</v>
      </c>
      <c r="F768" s="20" t="s">
        <v>1969</v>
      </c>
      <c r="G768" s="21" t="s">
        <v>1979</v>
      </c>
      <c r="H768" s="21" t="s">
        <v>1968</v>
      </c>
      <c r="I768" s="21" t="s">
        <v>1968</v>
      </c>
      <c r="J768" s="21" t="s">
        <v>1968</v>
      </c>
      <c r="K768" s="21" t="s">
        <v>1968</v>
      </c>
      <c r="L768" s="22" t="str">
        <f t="shared" si="55"/>
        <v>EXCLUDE</v>
      </c>
      <c r="M768" s="22" t="str">
        <f t="shared" si="56"/>
        <v>Wrong domain (non-AECO)</v>
      </c>
      <c r="N768" s="23"/>
      <c r="O768" s="23"/>
      <c r="P768" s="24"/>
      <c r="Q768" s="24"/>
      <c r="R768" s="24"/>
      <c r="S768" s="22" t="str">
        <f t="shared" si="57"/>
        <v/>
      </c>
      <c r="T768" s="22" t="str">
        <f t="shared" si="58"/>
        <v/>
      </c>
      <c r="U768" s="25"/>
      <c r="V768" s="25"/>
      <c r="W768" s="25"/>
      <c r="X768" s="25"/>
      <c r="Y768" s="22" t="str">
        <f t="shared" si="59"/>
        <v/>
      </c>
      <c r="Z768" s="25"/>
      <c r="AA768" s="25"/>
      <c r="AB768" s="25"/>
      <c r="AC768" s="25"/>
      <c r="AD768" s="25"/>
      <c r="AE768" s="25"/>
      <c r="AF768" s="25"/>
      <c r="AG768" s="9"/>
      <c r="AH768" s="29"/>
      <c r="AI768" s="29"/>
      <c r="AM768" s="50"/>
      <c r="AN768" s="51" t="s">
        <v>4263</v>
      </c>
      <c r="AO768" s="55" t="s">
        <v>1528</v>
      </c>
    </row>
    <row r="769" spans="1:41" ht="34.200000000000003" customHeight="1" x14ac:dyDescent="0.3">
      <c r="A769" s="20">
        <v>765</v>
      </c>
      <c r="B769" s="8" t="s">
        <v>4264</v>
      </c>
      <c r="C769" s="26">
        <v>2025</v>
      </c>
      <c r="D769" s="8"/>
      <c r="E769" s="8" t="s">
        <v>1531</v>
      </c>
      <c r="F769" s="20" t="s">
        <v>1969</v>
      </c>
      <c r="G769" s="21" t="s">
        <v>1979</v>
      </c>
      <c r="H769" s="21" t="s">
        <v>1968</v>
      </c>
      <c r="I769" s="21" t="s">
        <v>1968</v>
      </c>
      <c r="J769" s="21" t="s">
        <v>1968</v>
      </c>
      <c r="K769" s="21" t="s">
        <v>1968</v>
      </c>
      <c r="L769" s="22" t="str">
        <f t="shared" si="55"/>
        <v>EXCLUDE</v>
      </c>
      <c r="M769" s="22" t="str">
        <f t="shared" si="56"/>
        <v>Wrong domain (non-AECO)</v>
      </c>
      <c r="N769" s="23"/>
      <c r="O769" s="23"/>
      <c r="P769" s="24"/>
      <c r="Q769" s="24"/>
      <c r="R769" s="24"/>
      <c r="S769" s="22" t="str">
        <f t="shared" si="57"/>
        <v/>
      </c>
      <c r="T769" s="22" t="str">
        <f t="shared" si="58"/>
        <v/>
      </c>
      <c r="U769" s="25"/>
      <c r="V769" s="25"/>
      <c r="W769" s="25"/>
      <c r="X769" s="25"/>
      <c r="Y769" s="22" t="str">
        <f t="shared" si="59"/>
        <v/>
      </c>
      <c r="Z769" s="25"/>
      <c r="AA769" s="25"/>
      <c r="AB769" s="25"/>
      <c r="AC769" s="25"/>
      <c r="AD769" s="25"/>
      <c r="AE769" s="25"/>
      <c r="AF769" s="25"/>
      <c r="AG769" s="9"/>
      <c r="AH769" s="29"/>
      <c r="AI769" s="29"/>
      <c r="AM769" s="50"/>
      <c r="AN769" s="51" t="s">
        <v>4265</v>
      </c>
      <c r="AO769" s="55" t="s">
        <v>1530</v>
      </c>
    </row>
    <row r="770" spans="1:41" ht="72" customHeight="1" x14ac:dyDescent="0.3">
      <c r="A770" s="20">
        <v>766</v>
      </c>
      <c r="B770" s="8" t="s">
        <v>4266</v>
      </c>
      <c r="C770" s="26">
        <v>2025</v>
      </c>
      <c r="D770" s="8"/>
      <c r="E770" s="8" t="s">
        <v>1533</v>
      </c>
      <c r="F770" s="20" t="s">
        <v>1969</v>
      </c>
      <c r="G770" s="21" t="s">
        <v>1968</v>
      </c>
      <c r="H770" s="21" t="s">
        <v>1968</v>
      </c>
      <c r="I770" s="21" t="s">
        <v>1968</v>
      </c>
      <c r="J770" s="21" t="s">
        <v>1968</v>
      </c>
      <c r="K770" s="21" t="s">
        <v>1968</v>
      </c>
      <c r="L770" s="22" t="str">
        <f t="shared" si="55"/>
        <v>INCLUDE</v>
      </c>
      <c r="M770" s="22" t="str">
        <f t="shared" si="56"/>
        <v/>
      </c>
      <c r="N770" s="23" t="s">
        <v>1968</v>
      </c>
      <c r="O770" s="23" t="s">
        <v>1968</v>
      </c>
      <c r="P770" s="24" t="s">
        <v>1979</v>
      </c>
      <c r="Q770" s="24" t="s">
        <v>1968</v>
      </c>
      <c r="R770" s="24" t="s">
        <v>1979</v>
      </c>
      <c r="S770" s="22" t="str">
        <f t="shared" si="57"/>
        <v>EXCLUDE</v>
      </c>
      <c r="T770" s="22" t="str">
        <f t="shared" si="58"/>
        <v>Digital Twin mentioned only, not the subject</v>
      </c>
      <c r="U770" s="25"/>
      <c r="V770" s="25"/>
      <c r="W770" s="25"/>
      <c r="X770" s="25"/>
      <c r="Y770" s="22" t="str">
        <f t="shared" si="59"/>
        <v/>
      </c>
      <c r="Z770" s="25"/>
      <c r="AA770" s="25"/>
      <c r="AB770" s="25"/>
      <c r="AC770" s="25"/>
      <c r="AD770" s="25"/>
      <c r="AE770" s="25"/>
      <c r="AF770" s="25"/>
      <c r="AG770" s="9" t="s">
        <v>4267</v>
      </c>
      <c r="AH770" s="29"/>
      <c r="AI770" s="29"/>
      <c r="AM770" s="50"/>
      <c r="AN770" s="51" t="s">
        <v>4268</v>
      </c>
      <c r="AO770" s="55" t="s">
        <v>1532</v>
      </c>
    </row>
    <row r="771" spans="1:41" ht="102.6" customHeight="1" x14ac:dyDescent="0.3">
      <c r="A771" s="20">
        <v>767</v>
      </c>
      <c r="B771" s="8" t="s">
        <v>4269</v>
      </c>
      <c r="C771" s="26">
        <v>2024</v>
      </c>
      <c r="D771" s="8"/>
      <c r="E771" s="8" t="s">
        <v>1535</v>
      </c>
      <c r="F771" s="20" t="s">
        <v>1969</v>
      </c>
      <c r="G771" s="21" t="s">
        <v>1968</v>
      </c>
      <c r="H771" s="21" t="s">
        <v>1968</v>
      </c>
      <c r="I771" s="21" t="s">
        <v>1968</v>
      </c>
      <c r="J771" s="21" t="s">
        <v>1968</v>
      </c>
      <c r="K771" s="21" t="s">
        <v>1968</v>
      </c>
      <c r="L771" s="22" t="str">
        <f t="shared" si="55"/>
        <v>INCLUDE</v>
      </c>
      <c r="M771" s="22" t="str">
        <f t="shared" si="56"/>
        <v/>
      </c>
      <c r="N771" s="23" t="s">
        <v>1968</v>
      </c>
      <c r="O771" s="23" t="s">
        <v>1968</v>
      </c>
      <c r="P771" s="24" t="s">
        <v>1968</v>
      </c>
      <c r="Q771" s="24" t="s">
        <v>1968</v>
      </c>
      <c r="R771" s="24" t="s">
        <v>1968</v>
      </c>
      <c r="S771" s="22" t="str">
        <f t="shared" si="57"/>
        <v>INCLUDE</v>
      </c>
      <c r="T771" s="22" t="str">
        <f t="shared" si="58"/>
        <v/>
      </c>
      <c r="U771" s="25" t="s">
        <v>1971</v>
      </c>
      <c r="V771" s="25">
        <v>0</v>
      </c>
      <c r="W771" s="25">
        <v>0</v>
      </c>
      <c r="X771" s="25">
        <v>1</v>
      </c>
      <c r="Y771" s="22" t="str">
        <f t="shared" si="59"/>
        <v>Single</v>
      </c>
      <c r="Z771" s="25" t="s">
        <v>1922</v>
      </c>
      <c r="AA771" s="25" t="s">
        <v>1972</v>
      </c>
      <c r="AB771" s="25" t="s">
        <v>2017</v>
      </c>
      <c r="AC771" s="25" t="s">
        <v>1986</v>
      </c>
      <c r="AD771" s="25" t="s">
        <v>2003</v>
      </c>
      <c r="AE771" s="25">
        <v>3</v>
      </c>
      <c r="AF771" s="25" t="s">
        <v>1983</v>
      </c>
      <c r="AG771" s="9" t="s">
        <v>4270</v>
      </c>
      <c r="AH771" s="29" t="s">
        <v>4271</v>
      </c>
      <c r="AI771" s="29" t="s">
        <v>4272</v>
      </c>
      <c r="AJ771" t="s">
        <v>1997</v>
      </c>
      <c r="AK771" t="s">
        <v>4273</v>
      </c>
      <c r="AL771" t="s">
        <v>1990</v>
      </c>
      <c r="AM771" s="50"/>
      <c r="AN771" s="51" t="s">
        <v>4274</v>
      </c>
      <c r="AO771" s="55" t="s">
        <v>1534</v>
      </c>
    </row>
    <row r="772" spans="1:41" ht="68.400000000000006" customHeight="1" x14ac:dyDescent="0.3">
      <c r="A772" s="20">
        <v>768</v>
      </c>
      <c r="B772" s="8" t="s">
        <v>4275</v>
      </c>
      <c r="C772" s="26">
        <v>2024</v>
      </c>
      <c r="D772" s="8"/>
      <c r="E772" s="8" t="s">
        <v>1537</v>
      </c>
      <c r="F772" s="20" t="s">
        <v>1969</v>
      </c>
      <c r="G772" s="21" t="s">
        <v>1979</v>
      </c>
      <c r="H772" s="21" t="s">
        <v>1968</v>
      </c>
      <c r="I772" s="21" t="s">
        <v>1968</v>
      </c>
      <c r="J772" s="21" t="s">
        <v>1968</v>
      </c>
      <c r="K772" s="21" t="s">
        <v>1968</v>
      </c>
      <c r="L772" s="22" t="str">
        <f t="shared" si="55"/>
        <v>EXCLUDE</v>
      </c>
      <c r="M772" s="22" t="str">
        <f t="shared" si="56"/>
        <v>Wrong domain (non-AECO)</v>
      </c>
      <c r="N772" s="23"/>
      <c r="O772" s="23"/>
      <c r="P772" s="24"/>
      <c r="Q772" s="24"/>
      <c r="R772" s="24"/>
      <c r="S772" s="22" t="str">
        <f t="shared" si="57"/>
        <v/>
      </c>
      <c r="T772" s="22" t="str">
        <f t="shared" si="58"/>
        <v/>
      </c>
      <c r="U772" s="25"/>
      <c r="V772" s="25"/>
      <c r="W772" s="25"/>
      <c r="X772" s="25"/>
      <c r="Y772" s="22" t="str">
        <f t="shared" si="59"/>
        <v/>
      </c>
      <c r="Z772" s="25"/>
      <c r="AA772" s="25"/>
      <c r="AB772" s="25"/>
      <c r="AC772" s="25"/>
      <c r="AD772" s="25"/>
      <c r="AE772" s="25"/>
      <c r="AF772" s="25"/>
      <c r="AG772" s="9"/>
      <c r="AH772" s="29"/>
      <c r="AI772" s="29"/>
      <c r="AM772" s="50"/>
      <c r="AN772" s="51" t="s">
        <v>4276</v>
      </c>
      <c r="AO772" s="55" t="s">
        <v>1536</v>
      </c>
    </row>
    <row r="773" spans="1:41" ht="57" customHeight="1" x14ac:dyDescent="0.3">
      <c r="A773" s="20">
        <v>769</v>
      </c>
      <c r="B773" s="8" t="s">
        <v>4277</v>
      </c>
      <c r="C773" s="26">
        <v>2021</v>
      </c>
      <c r="D773" s="8"/>
      <c r="E773" s="8" t="s">
        <v>1539</v>
      </c>
      <c r="F773" s="20" t="s">
        <v>1969</v>
      </c>
      <c r="G773" s="21" t="s">
        <v>1979</v>
      </c>
      <c r="H773" s="21" t="s">
        <v>1968</v>
      </c>
      <c r="I773" s="21" t="s">
        <v>1968</v>
      </c>
      <c r="J773" s="21" t="s">
        <v>1968</v>
      </c>
      <c r="K773" s="21" t="s">
        <v>1968</v>
      </c>
      <c r="L773" s="22" t="str">
        <f t="shared" ref="L773:L836" si="60">IF(COUNTBLANK(G773:K773)=5,"",IF(COUNTIF(G773:K773,"No")&gt;0,"EXCLUDE","INCLUDE"))</f>
        <v>EXCLUDE</v>
      </c>
      <c r="M773" s="22" t="str">
        <f t="shared" ref="M773:M836" si="61">IF(L773&lt;&gt;"EXCLUDE","",IF(G773="No","Wrong domain (non-AECO)",IF(H773="No","Digital Twin not core / buzzword",IF(I773="No","No Design for Safety / PtD focus",IF(J773="No","Wrong publication type",IF(K773="No","Non-English",""))))))</f>
        <v>Wrong domain (non-AECO)</v>
      </c>
      <c r="N773" s="23"/>
      <c r="O773" s="23"/>
      <c r="P773" s="24"/>
      <c r="Q773" s="24"/>
      <c r="R773" s="24"/>
      <c r="S773" s="22" t="str">
        <f t="shared" ref="S773:S836" si="62">IF(N773&lt;&gt;"Yes","",IF(COUNTBLANK(P773:R773)=3,"",IF(COUNTIF(P773:R773,"No")&gt;0,"EXCLUDE","INCLUDE")))</f>
        <v/>
      </c>
      <c r="T773" s="22" t="str">
        <f t="shared" ref="T773:T836" si="63">IF(S773&lt;&gt;"EXCLUDE","",IF(P773="No","Digital Twin mentioned only, not the subject",IF(Q773="No","No Design for Safety focus in full text",IF(R773="No","Methodology not codable",""))))</f>
        <v/>
      </c>
      <c r="U773" s="25"/>
      <c r="V773" s="25"/>
      <c r="W773" s="25"/>
      <c r="X773" s="25"/>
      <c r="Y773" s="22" t="str">
        <f t="shared" ref="Y773:Y836" si="64">IF(SUM(V773:X773)=0,"",IF(SUM(V773:X773)&gt;=2,"Multi","Single"))</f>
        <v/>
      </c>
      <c r="Z773" s="25"/>
      <c r="AA773" s="25"/>
      <c r="AB773" s="25"/>
      <c r="AC773" s="25"/>
      <c r="AD773" s="25"/>
      <c r="AE773" s="25"/>
      <c r="AF773" s="25"/>
      <c r="AG773" s="9"/>
      <c r="AH773" s="29"/>
      <c r="AI773" s="29"/>
      <c r="AM773" s="50"/>
      <c r="AN773" s="51" t="s">
        <v>4278</v>
      </c>
      <c r="AO773" s="55" t="s">
        <v>1538</v>
      </c>
    </row>
    <row r="774" spans="1:41" ht="45.6" customHeight="1" x14ac:dyDescent="0.3">
      <c r="A774" s="20">
        <v>770</v>
      </c>
      <c r="B774" s="8" t="s">
        <v>4279</v>
      </c>
      <c r="C774" s="26">
        <v>2022</v>
      </c>
      <c r="D774" s="8"/>
      <c r="E774" s="8" t="s">
        <v>1541</v>
      </c>
      <c r="F774" s="20" t="s">
        <v>1969</v>
      </c>
      <c r="G774" s="21" t="s">
        <v>1979</v>
      </c>
      <c r="H774" s="21" t="s">
        <v>1968</v>
      </c>
      <c r="I774" s="21" t="s">
        <v>1968</v>
      </c>
      <c r="J774" s="21" t="s">
        <v>1968</v>
      </c>
      <c r="K774" s="21" t="s">
        <v>1968</v>
      </c>
      <c r="L774" s="22" t="str">
        <f t="shared" si="60"/>
        <v>EXCLUDE</v>
      </c>
      <c r="M774" s="22" t="str">
        <f t="shared" si="61"/>
        <v>Wrong domain (non-AECO)</v>
      </c>
      <c r="N774" s="23"/>
      <c r="O774" s="23"/>
      <c r="P774" s="24"/>
      <c r="Q774" s="24"/>
      <c r="R774" s="24"/>
      <c r="S774" s="22" t="str">
        <f t="shared" si="62"/>
        <v/>
      </c>
      <c r="T774" s="22" t="str">
        <f t="shared" si="63"/>
        <v/>
      </c>
      <c r="U774" s="25"/>
      <c r="V774" s="25"/>
      <c r="W774" s="25"/>
      <c r="X774" s="25"/>
      <c r="Y774" s="22" t="str">
        <f t="shared" si="64"/>
        <v/>
      </c>
      <c r="Z774" s="25"/>
      <c r="AA774" s="25"/>
      <c r="AB774" s="25"/>
      <c r="AC774" s="25"/>
      <c r="AD774" s="25"/>
      <c r="AE774" s="25"/>
      <c r="AF774" s="25"/>
      <c r="AG774" s="9"/>
      <c r="AH774" s="29"/>
      <c r="AI774" s="29"/>
      <c r="AM774" s="50"/>
      <c r="AN774" s="51" t="s">
        <v>4280</v>
      </c>
      <c r="AO774" s="55" t="s">
        <v>1540</v>
      </c>
    </row>
    <row r="775" spans="1:41" ht="79.8" customHeight="1" x14ac:dyDescent="0.3">
      <c r="A775" s="20">
        <v>771</v>
      </c>
      <c r="B775" s="8" t="s">
        <v>4281</v>
      </c>
      <c r="C775" s="26">
        <v>2022</v>
      </c>
      <c r="D775" s="8"/>
      <c r="E775" s="8" t="s">
        <v>1543</v>
      </c>
      <c r="F775" s="20" t="s">
        <v>1969</v>
      </c>
      <c r="G775" s="21" t="s">
        <v>1979</v>
      </c>
      <c r="H775" s="21" t="s">
        <v>1968</v>
      </c>
      <c r="I775" s="21" t="s">
        <v>1968</v>
      </c>
      <c r="J775" s="21" t="s">
        <v>1968</v>
      </c>
      <c r="K775" s="21" t="s">
        <v>1968</v>
      </c>
      <c r="L775" s="22" t="str">
        <f t="shared" si="60"/>
        <v>EXCLUDE</v>
      </c>
      <c r="M775" s="22" t="str">
        <f t="shared" si="61"/>
        <v>Wrong domain (non-AECO)</v>
      </c>
      <c r="N775" s="23"/>
      <c r="O775" s="23"/>
      <c r="P775" s="24"/>
      <c r="Q775" s="24"/>
      <c r="R775" s="24"/>
      <c r="S775" s="22" t="str">
        <f t="shared" si="62"/>
        <v/>
      </c>
      <c r="T775" s="22" t="str">
        <f t="shared" si="63"/>
        <v/>
      </c>
      <c r="U775" s="25"/>
      <c r="V775" s="25"/>
      <c r="W775" s="25"/>
      <c r="X775" s="25"/>
      <c r="Y775" s="22" t="str">
        <f t="shared" si="64"/>
        <v/>
      </c>
      <c r="Z775" s="25"/>
      <c r="AA775" s="25"/>
      <c r="AB775" s="25"/>
      <c r="AC775" s="25"/>
      <c r="AD775" s="25"/>
      <c r="AE775" s="25"/>
      <c r="AF775" s="25"/>
      <c r="AG775" s="9"/>
      <c r="AH775" s="29"/>
      <c r="AI775" s="29"/>
      <c r="AM775" s="50"/>
      <c r="AN775" s="51" t="s">
        <v>4282</v>
      </c>
      <c r="AO775" s="55" t="s">
        <v>1542</v>
      </c>
    </row>
    <row r="776" spans="1:41" ht="91.2" customHeight="1" x14ac:dyDescent="0.3">
      <c r="A776" s="20">
        <v>772</v>
      </c>
      <c r="B776" s="8" t="s">
        <v>4192</v>
      </c>
      <c r="C776" s="26">
        <v>2022</v>
      </c>
      <c r="D776" s="8"/>
      <c r="E776" s="8" t="s">
        <v>1545</v>
      </c>
      <c r="F776" s="20" t="s">
        <v>1969</v>
      </c>
      <c r="G776" s="21" t="s">
        <v>1968</v>
      </c>
      <c r="H776" s="21" t="s">
        <v>1968</v>
      </c>
      <c r="I776" s="21" t="s">
        <v>1968</v>
      </c>
      <c r="J776" s="21" t="s">
        <v>1968</v>
      </c>
      <c r="K776" s="21" t="s">
        <v>1968</v>
      </c>
      <c r="L776" s="22" t="str">
        <f t="shared" si="60"/>
        <v>INCLUDE</v>
      </c>
      <c r="M776" s="22" t="str">
        <f t="shared" si="61"/>
        <v/>
      </c>
      <c r="N776" s="23" t="s">
        <v>1968</v>
      </c>
      <c r="O776" s="23" t="s">
        <v>1968</v>
      </c>
      <c r="P776" s="24" t="s">
        <v>1968</v>
      </c>
      <c r="Q776" s="24" t="s">
        <v>1968</v>
      </c>
      <c r="R776" s="24" t="s">
        <v>1968</v>
      </c>
      <c r="S776" s="22" t="str">
        <f t="shared" si="62"/>
        <v>INCLUDE</v>
      </c>
      <c r="T776" s="22" t="str">
        <f t="shared" si="63"/>
        <v/>
      </c>
      <c r="U776" s="25" t="s">
        <v>1982</v>
      </c>
      <c r="V776" s="25">
        <v>0</v>
      </c>
      <c r="W776" s="25">
        <v>1</v>
      </c>
      <c r="X776" s="25">
        <v>0</v>
      </c>
      <c r="Y776" s="22" t="str">
        <f t="shared" si="64"/>
        <v>Single</v>
      </c>
      <c r="Z776" s="25" t="s">
        <v>1922</v>
      </c>
      <c r="AA776" s="25" t="s">
        <v>1972</v>
      </c>
      <c r="AB776" s="25" t="s">
        <v>2018</v>
      </c>
      <c r="AC776" s="25" t="s">
        <v>1986</v>
      </c>
      <c r="AD776" s="25" t="s">
        <v>2003</v>
      </c>
      <c r="AE776" s="25">
        <v>4</v>
      </c>
      <c r="AF776" s="25" t="s">
        <v>2010</v>
      </c>
      <c r="AG776" s="9" t="s">
        <v>4283</v>
      </c>
      <c r="AH776" s="29" t="s">
        <v>4284</v>
      </c>
      <c r="AI776" s="29" t="s">
        <v>4285</v>
      </c>
      <c r="AJ776" t="s">
        <v>1997</v>
      </c>
      <c r="AK776" t="s">
        <v>4286</v>
      </c>
      <c r="AL776" t="s">
        <v>1990</v>
      </c>
      <c r="AM776" s="50"/>
      <c r="AN776" s="51" t="s">
        <v>4287</v>
      </c>
      <c r="AO776" s="55" t="s">
        <v>1544</v>
      </c>
    </row>
    <row r="777" spans="1:41" ht="57" customHeight="1" x14ac:dyDescent="0.3">
      <c r="A777" s="20">
        <v>773</v>
      </c>
      <c r="B777" s="8" t="s">
        <v>4288</v>
      </c>
      <c r="C777" s="26">
        <v>2023</v>
      </c>
      <c r="D777" s="8"/>
      <c r="E777" s="8" t="s">
        <v>1547</v>
      </c>
      <c r="F777" s="20" t="s">
        <v>1969</v>
      </c>
      <c r="G777" s="21" t="s">
        <v>1979</v>
      </c>
      <c r="H777" s="21" t="s">
        <v>1968</v>
      </c>
      <c r="I777" s="21" t="s">
        <v>1968</v>
      </c>
      <c r="J777" s="21" t="s">
        <v>1968</v>
      </c>
      <c r="K777" s="21" t="s">
        <v>1968</v>
      </c>
      <c r="L777" s="22" t="str">
        <f t="shared" si="60"/>
        <v>EXCLUDE</v>
      </c>
      <c r="M777" s="22" t="str">
        <f t="shared" si="61"/>
        <v>Wrong domain (non-AECO)</v>
      </c>
      <c r="N777" s="23"/>
      <c r="O777" s="23"/>
      <c r="P777" s="24"/>
      <c r="Q777" s="24"/>
      <c r="R777" s="24"/>
      <c r="S777" s="22" t="str">
        <f t="shared" si="62"/>
        <v/>
      </c>
      <c r="T777" s="22" t="str">
        <f t="shared" si="63"/>
        <v/>
      </c>
      <c r="U777" s="25"/>
      <c r="V777" s="25"/>
      <c r="W777" s="25"/>
      <c r="X777" s="25"/>
      <c r="Y777" s="22" t="str">
        <f t="shared" si="64"/>
        <v/>
      </c>
      <c r="Z777" s="25"/>
      <c r="AA777" s="25"/>
      <c r="AB777" s="25"/>
      <c r="AC777" s="25"/>
      <c r="AD777" s="25"/>
      <c r="AE777" s="25"/>
      <c r="AF777" s="25"/>
      <c r="AG777" s="9"/>
      <c r="AH777" s="29"/>
      <c r="AI777" s="29"/>
      <c r="AM777" s="50"/>
      <c r="AN777" s="51" t="s">
        <v>4289</v>
      </c>
      <c r="AO777" s="55" t="s">
        <v>1546</v>
      </c>
    </row>
    <row r="778" spans="1:41" ht="91.2" customHeight="1" x14ac:dyDescent="0.3">
      <c r="A778" s="20">
        <v>774</v>
      </c>
      <c r="B778" s="8" t="s">
        <v>4290</v>
      </c>
      <c r="C778" s="26">
        <v>2024</v>
      </c>
      <c r="D778" s="8"/>
      <c r="E778" s="8" t="s">
        <v>1549</v>
      </c>
      <c r="F778" s="20" t="s">
        <v>1969</v>
      </c>
      <c r="G778" s="21" t="s">
        <v>1968</v>
      </c>
      <c r="H778" s="21" t="s">
        <v>1968</v>
      </c>
      <c r="I778" s="21" t="s">
        <v>1968</v>
      </c>
      <c r="J778" s="21" t="s">
        <v>1968</v>
      </c>
      <c r="K778" s="21" t="s">
        <v>1968</v>
      </c>
      <c r="L778" s="22" t="str">
        <f t="shared" si="60"/>
        <v>INCLUDE</v>
      </c>
      <c r="M778" s="22" t="str">
        <f t="shared" si="61"/>
        <v/>
      </c>
      <c r="N778" s="23" t="s">
        <v>1968</v>
      </c>
      <c r="O778" s="23" t="s">
        <v>1968</v>
      </c>
      <c r="P778" s="24" t="s">
        <v>1968</v>
      </c>
      <c r="Q778" s="24" t="s">
        <v>1968</v>
      </c>
      <c r="R778" s="24" t="s">
        <v>1968</v>
      </c>
      <c r="S778" s="22" t="str">
        <f t="shared" si="62"/>
        <v>INCLUDE</v>
      </c>
      <c r="T778" s="22" t="str">
        <f t="shared" si="63"/>
        <v/>
      </c>
      <c r="U778" s="25" t="s">
        <v>1982</v>
      </c>
      <c r="V778" s="25">
        <v>0</v>
      </c>
      <c r="W778" s="25">
        <v>1</v>
      </c>
      <c r="X778" s="25">
        <v>0</v>
      </c>
      <c r="Y778" s="22" t="str">
        <f t="shared" si="64"/>
        <v>Single</v>
      </c>
      <c r="Z778" s="25" t="s">
        <v>1922</v>
      </c>
      <c r="AA778" s="25" t="s">
        <v>1972</v>
      </c>
      <c r="AB778" s="25" t="s">
        <v>2018</v>
      </c>
      <c r="AC778" s="25" t="s">
        <v>1986</v>
      </c>
      <c r="AD778" s="25" t="s">
        <v>1987</v>
      </c>
      <c r="AE778" s="25">
        <v>3</v>
      </c>
      <c r="AF778" s="25" t="s">
        <v>2004</v>
      </c>
      <c r="AG778" s="9" t="s">
        <v>4291</v>
      </c>
      <c r="AH778" s="29" t="s">
        <v>4292</v>
      </c>
      <c r="AI778" s="29" t="s">
        <v>4293</v>
      </c>
      <c r="AJ778" t="s">
        <v>2005</v>
      </c>
      <c r="AK778" t="s">
        <v>4294</v>
      </c>
      <c r="AL778" t="s">
        <v>1990</v>
      </c>
      <c r="AM778" s="50"/>
      <c r="AN778" s="51" t="s">
        <v>4295</v>
      </c>
      <c r="AO778" s="55" t="s">
        <v>1548</v>
      </c>
    </row>
    <row r="779" spans="1:41" ht="45.6" customHeight="1" x14ac:dyDescent="0.3">
      <c r="A779" s="20">
        <v>775</v>
      </c>
      <c r="B779" s="8" t="s">
        <v>4296</v>
      </c>
      <c r="C779" s="26">
        <v>2024</v>
      </c>
      <c r="D779" s="8"/>
      <c r="E779" s="8" t="s">
        <v>1551</v>
      </c>
      <c r="F779" s="20" t="s">
        <v>1969</v>
      </c>
      <c r="G779" s="21" t="s">
        <v>1968</v>
      </c>
      <c r="H779" s="21" t="s">
        <v>1968</v>
      </c>
      <c r="I779" s="21" t="s">
        <v>1979</v>
      </c>
      <c r="J779" s="21" t="s">
        <v>1968</v>
      </c>
      <c r="K779" s="21" t="s">
        <v>1968</v>
      </c>
      <c r="L779" s="22" t="str">
        <f t="shared" si="60"/>
        <v>EXCLUDE</v>
      </c>
      <c r="M779" s="22" t="str">
        <f t="shared" si="61"/>
        <v>No Design for Safety / PtD focus</v>
      </c>
      <c r="N779" s="23"/>
      <c r="O779" s="23"/>
      <c r="P779" s="24"/>
      <c r="Q779" s="24"/>
      <c r="R779" s="24"/>
      <c r="S779" s="22" t="str">
        <f t="shared" si="62"/>
        <v/>
      </c>
      <c r="T779" s="22" t="str">
        <f t="shared" si="63"/>
        <v/>
      </c>
      <c r="U779" s="25"/>
      <c r="V779" s="25"/>
      <c r="W779" s="25"/>
      <c r="X779" s="25"/>
      <c r="Y779" s="22" t="str">
        <f t="shared" si="64"/>
        <v/>
      </c>
      <c r="Z779" s="25"/>
      <c r="AA779" s="25"/>
      <c r="AB779" s="25"/>
      <c r="AC779" s="25"/>
      <c r="AD779" s="25"/>
      <c r="AE779" s="25"/>
      <c r="AF779" s="25"/>
      <c r="AG779" s="9"/>
      <c r="AH779" s="29"/>
      <c r="AI779" s="29"/>
      <c r="AM779" s="50"/>
      <c r="AN779" s="51" t="s">
        <v>4297</v>
      </c>
      <c r="AO779" s="55" t="s">
        <v>1550</v>
      </c>
    </row>
    <row r="780" spans="1:41" ht="79.8" customHeight="1" x14ac:dyDescent="0.3">
      <c r="A780" s="20">
        <v>776</v>
      </c>
      <c r="B780" s="8" t="s">
        <v>4298</v>
      </c>
      <c r="C780" s="26">
        <v>2021</v>
      </c>
      <c r="D780" s="8"/>
      <c r="E780" s="8" t="s">
        <v>1553</v>
      </c>
      <c r="F780" s="20" t="s">
        <v>1969</v>
      </c>
      <c r="G780" s="21" t="s">
        <v>1968</v>
      </c>
      <c r="H780" s="21" t="s">
        <v>1979</v>
      </c>
      <c r="I780" s="21" t="s">
        <v>1968</v>
      </c>
      <c r="J780" s="21" t="s">
        <v>1968</v>
      </c>
      <c r="K780" s="21" t="s">
        <v>1968</v>
      </c>
      <c r="L780" s="22" t="str">
        <f t="shared" si="60"/>
        <v>EXCLUDE</v>
      </c>
      <c r="M780" s="22" t="str">
        <f t="shared" si="61"/>
        <v>Digital Twin not core / buzzword</v>
      </c>
      <c r="N780" s="23"/>
      <c r="O780" s="23"/>
      <c r="P780" s="24"/>
      <c r="Q780" s="24"/>
      <c r="R780" s="24"/>
      <c r="S780" s="22" t="str">
        <f t="shared" si="62"/>
        <v/>
      </c>
      <c r="T780" s="22" t="str">
        <f t="shared" si="63"/>
        <v/>
      </c>
      <c r="U780" s="25"/>
      <c r="V780" s="25"/>
      <c r="W780" s="25"/>
      <c r="X780" s="25"/>
      <c r="Y780" s="22" t="str">
        <f t="shared" si="64"/>
        <v/>
      </c>
      <c r="Z780" s="25"/>
      <c r="AA780" s="25"/>
      <c r="AB780" s="25"/>
      <c r="AC780" s="25"/>
      <c r="AD780" s="25"/>
      <c r="AE780" s="25"/>
      <c r="AF780" s="25"/>
      <c r="AG780" s="9"/>
      <c r="AH780" s="29"/>
      <c r="AI780" s="29"/>
      <c r="AM780" s="50"/>
      <c r="AN780" s="51" t="s">
        <v>4299</v>
      </c>
      <c r="AO780" s="55" t="s">
        <v>1552</v>
      </c>
    </row>
    <row r="781" spans="1:41" ht="57" customHeight="1" x14ac:dyDescent="0.3">
      <c r="A781" s="20">
        <v>777</v>
      </c>
      <c r="B781" s="8" t="s">
        <v>4300</v>
      </c>
      <c r="C781" s="26">
        <v>2023</v>
      </c>
      <c r="D781" s="8"/>
      <c r="E781" s="8" t="s">
        <v>1555</v>
      </c>
      <c r="F781" s="20" t="s">
        <v>1969</v>
      </c>
      <c r="G781" s="21" t="s">
        <v>1979</v>
      </c>
      <c r="H781" s="21" t="s">
        <v>1968</v>
      </c>
      <c r="I781" s="21" t="s">
        <v>1968</v>
      </c>
      <c r="J781" s="21" t="s">
        <v>1968</v>
      </c>
      <c r="K781" s="21" t="s">
        <v>1968</v>
      </c>
      <c r="L781" s="22" t="str">
        <f t="shared" si="60"/>
        <v>EXCLUDE</v>
      </c>
      <c r="M781" s="22" t="str">
        <f t="shared" si="61"/>
        <v>Wrong domain (non-AECO)</v>
      </c>
      <c r="N781" s="23"/>
      <c r="O781" s="23"/>
      <c r="P781" s="24"/>
      <c r="Q781" s="24"/>
      <c r="R781" s="24"/>
      <c r="S781" s="22" t="str">
        <f t="shared" si="62"/>
        <v/>
      </c>
      <c r="T781" s="22" t="str">
        <f t="shared" si="63"/>
        <v/>
      </c>
      <c r="U781" s="25"/>
      <c r="V781" s="25"/>
      <c r="W781" s="25"/>
      <c r="X781" s="25"/>
      <c r="Y781" s="22" t="str">
        <f t="shared" si="64"/>
        <v/>
      </c>
      <c r="Z781" s="25"/>
      <c r="AA781" s="25"/>
      <c r="AB781" s="25"/>
      <c r="AC781" s="25"/>
      <c r="AD781" s="25"/>
      <c r="AE781" s="25"/>
      <c r="AF781" s="25"/>
      <c r="AG781" s="9"/>
      <c r="AH781" s="29"/>
      <c r="AI781" s="29"/>
      <c r="AM781" s="50"/>
      <c r="AN781" s="51" t="s">
        <v>4301</v>
      </c>
      <c r="AO781" s="55" t="s">
        <v>1554</v>
      </c>
    </row>
    <row r="782" spans="1:41" ht="79.8" customHeight="1" x14ac:dyDescent="0.3">
      <c r="A782" s="20">
        <v>778</v>
      </c>
      <c r="B782" s="8" t="s">
        <v>4302</v>
      </c>
      <c r="C782" s="26">
        <v>2024</v>
      </c>
      <c r="D782" s="8"/>
      <c r="E782" s="8" t="s">
        <v>1557</v>
      </c>
      <c r="F782" s="20" t="s">
        <v>1969</v>
      </c>
      <c r="G782" s="21" t="s">
        <v>1968</v>
      </c>
      <c r="H782" s="21" t="s">
        <v>1968</v>
      </c>
      <c r="I782" s="21" t="s">
        <v>1968</v>
      </c>
      <c r="J782" s="21" t="s">
        <v>1968</v>
      </c>
      <c r="K782" s="21" t="s">
        <v>1968</v>
      </c>
      <c r="L782" s="22" t="str">
        <f t="shared" si="60"/>
        <v>INCLUDE</v>
      </c>
      <c r="M782" s="22" t="str">
        <f t="shared" si="61"/>
        <v/>
      </c>
      <c r="N782" s="23" t="s">
        <v>1968</v>
      </c>
      <c r="O782" s="23" t="s">
        <v>1968</v>
      </c>
      <c r="P782" s="24" t="s">
        <v>1968</v>
      </c>
      <c r="Q782" s="24" t="s">
        <v>1968</v>
      </c>
      <c r="R782" s="24" t="s">
        <v>1968</v>
      </c>
      <c r="S782" s="22" t="str">
        <f t="shared" si="62"/>
        <v>INCLUDE</v>
      </c>
      <c r="T782" s="22" t="str">
        <f t="shared" si="63"/>
        <v/>
      </c>
      <c r="U782" s="25" t="s">
        <v>1982</v>
      </c>
      <c r="V782" s="25">
        <v>0</v>
      </c>
      <c r="W782" s="25">
        <v>0</v>
      </c>
      <c r="X782" s="25">
        <v>1</v>
      </c>
      <c r="Y782" s="22" t="str">
        <f t="shared" si="64"/>
        <v>Single</v>
      </c>
      <c r="Z782" s="25" t="s">
        <v>1922</v>
      </c>
      <c r="AA782" s="25" t="s">
        <v>1972</v>
      </c>
      <c r="AB782" s="25" t="s">
        <v>2017</v>
      </c>
      <c r="AC782" s="25" t="s">
        <v>1986</v>
      </c>
      <c r="AD782" s="25" t="s">
        <v>1987</v>
      </c>
      <c r="AE782" s="25">
        <v>3</v>
      </c>
      <c r="AF782" s="25" t="s">
        <v>2012</v>
      </c>
      <c r="AG782" s="9" t="s">
        <v>4303</v>
      </c>
      <c r="AH782" s="29" t="s">
        <v>4304</v>
      </c>
      <c r="AI782" s="29" t="s">
        <v>4305</v>
      </c>
      <c r="AJ782" t="s">
        <v>2005</v>
      </c>
      <c r="AK782" t="s">
        <v>4306</v>
      </c>
      <c r="AL782" t="s">
        <v>1998</v>
      </c>
      <c r="AM782" s="50" t="s">
        <v>2098</v>
      </c>
      <c r="AN782" s="51" t="s">
        <v>4307</v>
      </c>
      <c r="AO782" s="55" t="s">
        <v>1556</v>
      </c>
    </row>
    <row r="783" spans="1:41" ht="57" customHeight="1" x14ac:dyDescent="0.3">
      <c r="A783" s="20">
        <v>779</v>
      </c>
      <c r="B783" s="8" t="s">
        <v>3741</v>
      </c>
      <c r="C783" s="26">
        <v>2023</v>
      </c>
      <c r="D783" s="8"/>
      <c r="E783" s="8" t="s">
        <v>1559</v>
      </c>
      <c r="F783" s="20" t="s">
        <v>1969</v>
      </c>
      <c r="G783" s="21" t="s">
        <v>1979</v>
      </c>
      <c r="H783" s="21" t="s">
        <v>1968</v>
      </c>
      <c r="I783" s="21" t="s">
        <v>1968</v>
      </c>
      <c r="J783" s="21" t="s">
        <v>1968</v>
      </c>
      <c r="K783" s="21" t="s">
        <v>1968</v>
      </c>
      <c r="L783" s="22" t="str">
        <f t="shared" si="60"/>
        <v>EXCLUDE</v>
      </c>
      <c r="M783" s="22" t="str">
        <f t="shared" si="61"/>
        <v>Wrong domain (non-AECO)</v>
      </c>
      <c r="N783" s="23"/>
      <c r="O783" s="23"/>
      <c r="P783" s="24"/>
      <c r="Q783" s="24"/>
      <c r="R783" s="24"/>
      <c r="S783" s="22" t="str">
        <f t="shared" si="62"/>
        <v/>
      </c>
      <c r="T783" s="22" t="str">
        <f t="shared" si="63"/>
        <v/>
      </c>
      <c r="U783" s="25"/>
      <c r="V783" s="25"/>
      <c r="W783" s="25"/>
      <c r="X783" s="25"/>
      <c r="Y783" s="22" t="str">
        <f t="shared" si="64"/>
        <v/>
      </c>
      <c r="Z783" s="25"/>
      <c r="AA783" s="25"/>
      <c r="AB783" s="25"/>
      <c r="AC783" s="25"/>
      <c r="AD783" s="25"/>
      <c r="AE783" s="25"/>
      <c r="AF783" s="25"/>
      <c r="AG783" s="9"/>
      <c r="AH783" s="29"/>
      <c r="AI783" s="29"/>
      <c r="AM783" s="50"/>
      <c r="AN783" s="51" t="s">
        <v>4308</v>
      </c>
      <c r="AO783" s="55" t="s">
        <v>1558</v>
      </c>
    </row>
    <row r="784" spans="1:41" ht="45.6" customHeight="1" x14ac:dyDescent="0.3">
      <c r="A784" s="20">
        <v>780</v>
      </c>
      <c r="B784" s="8" t="s">
        <v>3992</v>
      </c>
      <c r="C784" s="26">
        <v>2022</v>
      </c>
      <c r="D784" s="8"/>
      <c r="E784" s="8" t="s">
        <v>1561</v>
      </c>
      <c r="F784" s="20" t="s">
        <v>1969</v>
      </c>
      <c r="G784" s="21" t="s">
        <v>1979</v>
      </c>
      <c r="H784" s="21" t="s">
        <v>1968</v>
      </c>
      <c r="I784" s="21" t="s">
        <v>1968</v>
      </c>
      <c r="J784" s="21" t="s">
        <v>1968</v>
      </c>
      <c r="K784" s="21" t="s">
        <v>1968</v>
      </c>
      <c r="L784" s="22" t="str">
        <f t="shared" si="60"/>
        <v>EXCLUDE</v>
      </c>
      <c r="M784" s="22" t="str">
        <f t="shared" si="61"/>
        <v>Wrong domain (non-AECO)</v>
      </c>
      <c r="N784" s="23"/>
      <c r="O784" s="23"/>
      <c r="P784" s="24"/>
      <c r="Q784" s="24"/>
      <c r="R784" s="24"/>
      <c r="S784" s="22" t="str">
        <f t="shared" si="62"/>
        <v/>
      </c>
      <c r="T784" s="22" t="str">
        <f t="shared" si="63"/>
        <v/>
      </c>
      <c r="U784" s="25"/>
      <c r="V784" s="25"/>
      <c r="W784" s="25"/>
      <c r="X784" s="25"/>
      <c r="Y784" s="22" t="str">
        <f t="shared" si="64"/>
        <v/>
      </c>
      <c r="Z784" s="25"/>
      <c r="AA784" s="25"/>
      <c r="AB784" s="25"/>
      <c r="AC784" s="25"/>
      <c r="AD784" s="25"/>
      <c r="AE784" s="25"/>
      <c r="AF784" s="25"/>
      <c r="AG784" s="9"/>
      <c r="AH784" s="29"/>
      <c r="AI784" s="29"/>
      <c r="AM784" s="50"/>
      <c r="AN784" s="51" t="s">
        <v>4309</v>
      </c>
      <c r="AO784" s="55" t="s">
        <v>1560</v>
      </c>
    </row>
    <row r="785" spans="1:41" ht="34.200000000000003" customHeight="1" x14ac:dyDescent="0.3">
      <c r="A785" s="20">
        <v>781</v>
      </c>
      <c r="B785" s="8" t="s">
        <v>4310</v>
      </c>
      <c r="C785" s="26">
        <v>2023</v>
      </c>
      <c r="D785" s="8"/>
      <c r="E785" s="8" t="s">
        <v>1563</v>
      </c>
      <c r="F785" s="20" t="s">
        <v>1969</v>
      </c>
      <c r="G785" s="21" t="s">
        <v>1968</v>
      </c>
      <c r="H785" s="21" t="s">
        <v>1968</v>
      </c>
      <c r="I785" s="21" t="s">
        <v>1979</v>
      </c>
      <c r="J785" s="21" t="s">
        <v>1968</v>
      </c>
      <c r="K785" s="21" t="s">
        <v>1968</v>
      </c>
      <c r="L785" s="22" t="str">
        <f t="shared" si="60"/>
        <v>EXCLUDE</v>
      </c>
      <c r="M785" s="22" t="str">
        <f t="shared" si="61"/>
        <v>No Design for Safety / PtD focus</v>
      </c>
      <c r="N785" s="23"/>
      <c r="O785" s="23"/>
      <c r="P785" s="24"/>
      <c r="Q785" s="24"/>
      <c r="R785" s="24"/>
      <c r="S785" s="22" t="str">
        <f t="shared" si="62"/>
        <v/>
      </c>
      <c r="T785" s="22" t="str">
        <f t="shared" si="63"/>
        <v/>
      </c>
      <c r="U785" s="25"/>
      <c r="V785" s="25"/>
      <c r="W785" s="25"/>
      <c r="X785" s="25"/>
      <c r="Y785" s="22" t="str">
        <f t="shared" si="64"/>
        <v/>
      </c>
      <c r="Z785" s="25"/>
      <c r="AA785" s="25"/>
      <c r="AB785" s="25"/>
      <c r="AC785" s="25"/>
      <c r="AD785" s="25"/>
      <c r="AE785" s="25"/>
      <c r="AF785" s="25"/>
      <c r="AG785" s="9"/>
      <c r="AH785" s="29"/>
      <c r="AI785" s="29"/>
      <c r="AM785" s="50"/>
      <c r="AN785" s="51" t="s">
        <v>4311</v>
      </c>
      <c r="AO785" s="55" t="s">
        <v>1562</v>
      </c>
    </row>
    <row r="786" spans="1:41" ht="45.6" customHeight="1" x14ac:dyDescent="0.3">
      <c r="A786" s="20">
        <v>782</v>
      </c>
      <c r="B786" s="8" t="s">
        <v>4312</v>
      </c>
      <c r="C786" s="26">
        <v>2024</v>
      </c>
      <c r="D786" s="8"/>
      <c r="E786" s="8" t="s">
        <v>1565</v>
      </c>
      <c r="F786" s="20" t="s">
        <v>1969</v>
      </c>
      <c r="G786" s="21" t="s">
        <v>1979</v>
      </c>
      <c r="H786" s="21" t="s">
        <v>1968</v>
      </c>
      <c r="I786" s="21" t="s">
        <v>1968</v>
      </c>
      <c r="J786" s="21" t="s">
        <v>1968</v>
      </c>
      <c r="K786" s="21" t="s">
        <v>1968</v>
      </c>
      <c r="L786" s="22" t="str">
        <f t="shared" si="60"/>
        <v>EXCLUDE</v>
      </c>
      <c r="M786" s="22" t="str">
        <f t="shared" si="61"/>
        <v>Wrong domain (non-AECO)</v>
      </c>
      <c r="N786" s="23"/>
      <c r="O786" s="23"/>
      <c r="P786" s="24"/>
      <c r="Q786" s="24"/>
      <c r="R786" s="24"/>
      <c r="S786" s="22" t="str">
        <f t="shared" si="62"/>
        <v/>
      </c>
      <c r="T786" s="22" t="str">
        <f t="shared" si="63"/>
        <v/>
      </c>
      <c r="U786" s="25"/>
      <c r="V786" s="25"/>
      <c r="W786" s="25"/>
      <c r="X786" s="25"/>
      <c r="Y786" s="22" t="str">
        <f t="shared" si="64"/>
        <v/>
      </c>
      <c r="Z786" s="25"/>
      <c r="AA786" s="25"/>
      <c r="AB786" s="25"/>
      <c r="AC786" s="25"/>
      <c r="AD786" s="25"/>
      <c r="AE786" s="25"/>
      <c r="AF786" s="25"/>
      <c r="AG786" s="9"/>
      <c r="AH786" s="29"/>
      <c r="AI786" s="29"/>
      <c r="AM786" s="50"/>
      <c r="AN786" s="51" t="s">
        <v>4313</v>
      </c>
      <c r="AO786" s="55" t="s">
        <v>1564</v>
      </c>
    </row>
    <row r="787" spans="1:41" ht="57" customHeight="1" x14ac:dyDescent="0.3">
      <c r="A787" s="20">
        <v>783</v>
      </c>
      <c r="B787" s="8" t="s">
        <v>4314</v>
      </c>
      <c r="C787" s="26">
        <v>2025</v>
      </c>
      <c r="D787" s="8"/>
      <c r="E787" s="8" t="s">
        <v>1567</v>
      </c>
      <c r="F787" s="20" t="s">
        <v>1969</v>
      </c>
      <c r="G787" s="21" t="s">
        <v>1979</v>
      </c>
      <c r="H787" s="21" t="s">
        <v>1968</v>
      </c>
      <c r="I787" s="21" t="s">
        <v>1968</v>
      </c>
      <c r="J787" s="21" t="s">
        <v>1968</v>
      </c>
      <c r="K787" s="21" t="s">
        <v>1968</v>
      </c>
      <c r="L787" s="22" t="str">
        <f t="shared" si="60"/>
        <v>EXCLUDE</v>
      </c>
      <c r="M787" s="22" t="str">
        <f t="shared" si="61"/>
        <v>Wrong domain (non-AECO)</v>
      </c>
      <c r="N787" s="23"/>
      <c r="O787" s="23"/>
      <c r="P787" s="24"/>
      <c r="Q787" s="24"/>
      <c r="R787" s="24"/>
      <c r="S787" s="22" t="str">
        <f t="shared" si="62"/>
        <v/>
      </c>
      <c r="T787" s="22" t="str">
        <f t="shared" si="63"/>
        <v/>
      </c>
      <c r="U787" s="25"/>
      <c r="V787" s="25"/>
      <c r="W787" s="25"/>
      <c r="X787" s="25"/>
      <c r="Y787" s="22" t="str">
        <f t="shared" si="64"/>
        <v/>
      </c>
      <c r="Z787" s="25"/>
      <c r="AA787" s="25"/>
      <c r="AB787" s="25"/>
      <c r="AC787" s="25"/>
      <c r="AD787" s="25"/>
      <c r="AE787" s="25"/>
      <c r="AF787" s="25"/>
      <c r="AG787" s="9"/>
      <c r="AH787" s="29"/>
      <c r="AI787" s="29"/>
      <c r="AM787" s="50"/>
      <c r="AN787" s="51" t="s">
        <v>4315</v>
      </c>
      <c r="AO787" s="55" t="s">
        <v>1566</v>
      </c>
    </row>
    <row r="788" spans="1:41" ht="102.6" customHeight="1" x14ac:dyDescent="0.3">
      <c r="A788" s="20">
        <v>784</v>
      </c>
      <c r="B788" s="8" t="s">
        <v>3656</v>
      </c>
      <c r="C788" s="26">
        <v>2020</v>
      </c>
      <c r="D788" s="8"/>
      <c r="E788" s="8" t="s">
        <v>1569</v>
      </c>
      <c r="F788" s="20" t="s">
        <v>1969</v>
      </c>
      <c r="G788" s="21" t="s">
        <v>1968</v>
      </c>
      <c r="H788" s="21" t="s">
        <v>1968</v>
      </c>
      <c r="I788" s="21" t="s">
        <v>1968</v>
      </c>
      <c r="J788" s="21" t="s">
        <v>1968</v>
      </c>
      <c r="K788" s="21" t="s">
        <v>1968</v>
      </c>
      <c r="L788" s="22" t="str">
        <f t="shared" si="60"/>
        <v>INCLUDE</v>
      </c>
      <c r="M788" s="22" t="str">
        <f t="shared" si="61"/>
        <v/>
      </c>
      <c r="N788" s="23" t="s">
        <v>1968</v>
      </c>
      <c r="O788" s="23" t="s">
        <v>1968</v>
      </c>
      <c r="P788" s="24" t="s">
        <v>1968</v>
      </c>
      <c r="Q788" s="24" t="s">
        <v>1968</v>
      </c>
      <c r="R788" s="24" t="s">
        <v>1968</v>
      </c>
      <c r="S788" s="22" t="str">
        <f t="shared" si="62"/>
        <v>INCLUDE</v>
      </c>
      <c r="T788" s="22" t="str">
        <f t="shared" si="63"/>
        <v/>
      </c>
      <c r="U788" s="25" t="s">
        <v>1982</v>
      </c>
      <c r="V788" s="25">
        <v>0</v>
      </c>
      <c r="W788" s="25">
        <v>0</v>
      </c>
      <c r="X788" s="25">
        <v>1</v>
      </c>
      <c r="Y788" s="22" t="str">
        <f t="shared" si="64"/>
        <v>Single</v>
      </c>
      <c r="Z788" s="25" t="s">
        <v>1922</v>
      </c>
      <c r="AA788" s="25" t="s">
        <v>1972</v>
      </c>
      <c r="AB788" s="25" t="s">
        <v>2018</v>
      </c>
      <c r="AC788" s="25" t="s">
        <v>1986</v>
      </c>
      <c r="AD788" s="25" t="s">
        <v>2003</v>
      </c>
      <c r="AE788" s="25">
        <v>4</v>
      </c>
      <c r="AF788" s="25" t="s">
        <v>2010</v>
      </c>
      <c r="AG788" s="9" t="s">
        <v>4316</v>
      </c>
      <c r="AH788" s="29" t="s">
        <v>4317</v>
      </c>
      <c r="AI788" s="29" t="s">
        <v>4318</v>
      </c>
      <c r="AJ788" t="s">
        <v>2005</v>
      </c>
      <c r="AK788" t="s">
        <v>4319</v>
      </c>
      <c r="AL788" t="s">
        <v>1978</v>
      </c>
      <c r="AM788" s="50"/>
      <c r="AN788" s="51" t="s">
        <v>4320</v>
      </c>
      <c r="AO788" s="55" t="s">
        <v>1568</v>
      </c>
    </row>
    <row r="789" spans="1:41" ht="91.2" customHeight="1" x14ac:dyDescent="0.3">
      <c r="A789" s="20">
        <v>785</v>
      </c>
      <c r="B789" s="8" t="s">
        <v>4321</v>
      </c>
      <c r="C789" s="26">
        <v>2022</v>
      </c>
      <c r="D789" s="8"/>
      <c r="E789" s="8" t="s">
        <v>1571</v>
      </c>
      <c r="F789" s="20" t="s">
        <v>1969</v>
      </c>
      <c r="G789" s="21" t="s">
        <v>1968</v>
      </c>
      <c r="H789" s="21" t="s">
        <v>1968</v>
      </c>
      <c r="I789" s="21" t="s">
        <v>1968</v>
      </c>
      <c r="J789" s="21" t="s">
        <v>1968</v>
      </c>
      <c r="K789" s="21" t="s">
        <v>1968</v>
      </c>
      <c r="L789" s="22" t="str">
        <f t="shared" si="60"/>
        <v>INCLUDE</v>
      </c>
      <c r="M789" s="22" t="str">
        <f t="shared" si="61"/>
        <v/>
      </c>
      <c r="N789" s="23" t="s">
        <v>1968</v>
      </c>
      <c r="O789" s="23" t="s">
        <v>1968</v>
      </c>
      <c r="P789" s="24" t="s">
        <v>1968</v>
      </c>
      <c r="Q789" s="24" t="s">
        <v>1968</v>
      </c>
      <c r="R789" s="24" t="s">
        <v>1968</v>
      </c>
      <c r="S789" s="22" t="str">
        <f t="shared" si="62"/>
        <v>INCLUDE</v>
      </c>
      <c r="T789" s="22" t="str">
        <f t="shared" si="63"/>
        <v/>
      </c>
      <c r="U789" s="25" t="s">
        <v>1971</v>
      </c>
      <c r="V789" s="25">
        <v>0</v>
      </c>
      <c r="W789" s="25">
        <v>1</v>
      </c>
      <c r="X789" s="25">
        <v>0</v>
      </c>
      <c r="Y789" s="22" t="str">
        <f t="shared" si="64"/>
        <v>Single</v>
      </c>
      <c r="Z789" s="25" t="s">
        <v>1922</v>
      </c>
      <c r="AA789" s="25" t="s">
        <v>1972</v>
      </c>
      <c r="AB789" s="25" t="s">
        <v>1973</v>
      </c>
      <c r="AC789" s="25" t="s">
        <v>1986</v>
      </c>
      <c r="AD789" s="25" t="s">
        <v>2003</v>
      </c>
      <c r="AE789" s="25">
        <v>4</v>
      </c>
      <c r="AF789" s="25" t="s">
        <v>2004</v>
      </c>
      <c r="AG789" s="9" t="s">
        <v>4322</v>
      </c>
      <c r="AH789" s="29" t="s">
        <v>4323</v>
      </c>
      <c r="AI789" s="29" t="s">
        <v>4324</v>
      </c>
      <c r="AJ789" t="s">
        <v>2005</v>
      </c>
      <c r="AK789" t="s">
        <v>4325</v>
      </c>
      <c r="AL789" t="s">
        <v>1978</v>
      </c>
      <c r="AM789" s="50"/>
      <c r="AN789" s="51" t="s">
        <v>4326</v>
      </c>
      <c r="AO789" s="55" t="s">
        <v>1570</v>
      </c>
    </row>
    <row r="790" spans="1:41" ht="57" customHeight="1" x14ac:dyDescent="0.3">
      <c r="A790" s="20">
        <v>786</v>
      </c>
      <c r="B790" s="8" t="s">
        <v>4079</v>
      </c>
      <c r="C790" s="26">
        <v>2024</v>
      </c>
      <c r="D790" s="8"/>
      <c r="E790" s="8" t="s">
        <v>1573</v>
      </c>
      <c r="F790" s="20" t="s">
        <v>1969</v>
      </c>
      <c r="G790" s="21" t="s">
        <v>1968</v>
      </c>
      <c r="H790" s="21" t="s">
        <v>1979</v>
      </c>
      <c r="I790" s="21" t="s">
        <v>1968</v>
      </c>
      <c r="J790" s="21" t="s">
        <v>1968</v>
      </c>
      <c r="K790" s="21" t="s">
        <v>1968</v>
      </c>
      <c r="L790" s="22" t="str">
        <f t="shared" si="60"/>
        <v>EXCLUDE</v>
      </c>
      <c r="M790" s="22" t="str">
        <f t="shared" si="61"/>
        <v>Digital Twin not core / buzzword</v>
      </c>
      <c r="N790" s="23"/>
      <c r="O790" s="23"/>
      <c r="P790" s="24"/>
      <c r="Q790" s="24"/>
      <c r="R790" s="24"/>
      <c r="S790" s="22" t="str">
        <f t="shared" si="62"/>
        <v/>
      </c>
      <c r="T790" s="22" t="str">
        <f t="shared" si="63"/>
        <v/>
      </c>
      <c r="U790" s="25"/>
      <c r="V790" s="25"/>
      <c r="W790" s="25"/>
      <c r="X790" s="25"/>
      <c r="Y790" s="22" t="str">
        <f t="shared" si="64"/>
        <v/>
      </c>
      <c r="Z790" s="25"/>
      <c r="AA790" s="25"/>
      <c r="AB790" s="25"/>
      <c r="AC790" s="25"/>
      <c r="AD790" s="25"/>
      <c r="AE790" s="25"/>
      <c r="AF790" s="25"/>
      <c r="AG790" s="9"/>
      <c r="AH790" s="29"/>
      <c r="AI790" s="29"/>
      <c r="AM790" s="50"/>
      <c r="AN790" s="51" t="s">
        <v>4327</v>
      </c>
      <c r="AO790" s="55" t="s">
        <v>1572</v>
      </c>
    </row>
    <row r="791" spans="1:41" ht="45.6" customHeight="1" x14ac:dyDescent="0.3">
      <c r="A791" s="20">
        <v>787</v>
      </c>
      <c r="B791" s="8" t="s">
        <v>4328</v>
      </c>
      <c r="C791" s="26">
        <v>2024</v>
      </c>
      <c r="D791" s="8"/>
      <c r="E791" s="8" t="s">
        <v>1575</v>
      </c>
      <c r="F791" s="20" t="s">
        <v>1969</v>
      </c>
      <c r="G791" s="21" t="s">
        <v>1979</v>
      </c>
      <c r="H791" s="21" t="s">
        <v>1968</v>
      </c>
      <c r="I791" s="21" t="s">
        <v>1968</v>
      </c>
      <c r="J791" s="21" t="s">
        <v>1968</v>
      </c>
      <c r="K791" s="21" t="s">
        <v>1968</v>
      </c>
      <c r="L791" s="22" t="str">
        <f t="shared" si="60"/>
        <v>EXCLUDE</v>
      </c>
      <c r="M791" s="22" t="str">
        <f t="shared" si="61"/>
        <v>Wrong domain (non-AECO)</v>
      </c>
      <c r="N791" s="23"/>
      <c r="O791" s="23"/>
      <c r="P791" s="24"/>
      <c r="Q791" s="24"/>
      <c r="R791" s="24"/>
      <c r="S791" s="22" t="str">
        <f t="shared" si="62"/>
        <v/>
      </c>
      <c r="T791" s="22" t="str">
        <f t="shared" si="63"/>
        <v/>
      </c>
      <c r="U791" s="25"/>
      <c r="V791" s="25"/>
      <c r="W791" s="25"/>
      <c r="X791" s="25"/>
      <c r="Y791" s="22" t="str">
        <f t="shared" si="64"/>
        <v/>
      </c>
      <c r="Z791" s="25"/>
      <c r="AA791" s="25"/>
      <c r="AB791" s="25"/>
      <c r="AC791" s="25"/>
      <c r="AD791" s="25"/>
      <c r="AE791" s="25"/>
      <c r="AF791" s="25"/>
      <c r="AG791" s="9"/>
      <c r="AH791" s="29"/>
      <c r="AI791" s="29"/>
      <c r="AM791" s="50"/>
      <c r="AN791" s="51" t="s">
        <v>4329</v>
      </c>
      <c r="AO791" s="55" t="s">
        <v>1574</v>
      </c>
    </row>
    <row r="792" spans="1:41" ht="34.200000000000003" customHeight="1" x14ac:dyDescent="0.3">
      <c r="A792" s="20">
        <v>788</v>
      </c>
      <c r="B792" s="8" t="s">
        <v>4330</v>
      </c>
      <c r="C792" s="26">
        <v>2024</v>
      </c>
      <c r="D792" s="8"/>
      <c r="E792" s="8" t="s">
        <v>1577</v>
      </c>
      <c r="F792" s="20" t="s">
        <v>1969</v>
      </c>
      <c r="G792" s="21" t="s">
        <v>1979</v>
      </c>
      <c r="H792" s="21" t="s">
        <v>1968</v>
      </c>
      <c r="I792" s="21" t="s">
        <v>1968</v>
      </c>
      <c r="J792" s="21" t="s">
        <v>1968</v>
      </c>
      <c r="K792" s="21" t="s">
        <v>1968</v>
      </c>
      <c r="L792" s="22" t="str">
        <f t="shared" si="60"/>
        <v>EXCLUDE</v>
      </c>
      <c r="M792" s="22" t="str">
        <f t="shared" si="61"/>
        <v>Wrong domain (non-AECO)</v>
      </c>
      <c r="N792" s="23"/>
      <c r="O792" s="23"/>
      <c r="P792" s="24"/>
      <c r="Q792" s="24"/>
      <c r="R792" s="24"/>
      <c r="S792" s="22" t="str">
        <f t="shared" si="62"/>
        <v/>
      </c>
      <c r="T792" s="22" t="str">
        <f t="shared" si="63"/>
        <v/>
      </c>
      <c r="U792" s="25"/>
      <c r="V792" s="25"/>
      <c r="W792" s="25"/>
      <c r="X792" s="25"/>
      <c r="Y792" s="22" t="str">
        <f t="shared" si="64"/>
        <v/>
      </c>
      <c r="Z792" s="25"/>
      <c r="AA792" s="25"/>
      <c r="AB792" s="25"/>
      <c r="AC792" s="25"/>
      <c r="AD792" s="25"/>
      <c r="AE792" s="25"/>
      <c r="AF792" s="25"/>
      <c r="AG792" s="9"/>
      <c r="AH792" s="29"/>
      <c r="AI792" s="29"/>
      <c r="AM792" s="50"/>
      <c r="AN792" s="51" t="s">
        <v>4331</v>
      </c>
      <c r="AO792" s="55" t="s">
        <v>1576</v>
      </c>
    </row>
    <row r="793" spans="1:41" ht="68.400000000000006" customHeight="1" x14ac:dyDescent="0.3">
      <c r="A793" s="20">
        <v>789</v>
      </c>
      <c r="B793" s="8" t="s">
        <v>4332</v>
      </c>
      <c r="C793" s="26">
        <v>2025</v>
      </c>
      <c r="D793" s="8"/>
      <c r="E793" s="8" t="s">
        <v>1579</v>
      </c>
      <c r="F793" s="20" t="s">
        <v>1969</v>
      </c>
      <c r="G793" s="21" t="s">
        <v>1968</v>
      </c>
      <c r="H793" s="21" t="s">
        <v>1979</v>
      </c>
      <c r="I793" s="21" t="s">
        <v>1968</v>
      </c>
      <c r="J793" s="21" t="s">
        <v>1968</v>
      </c>
      <c r="K793" s="21" t="s">
        <v>1968</v>
      </c>
      <c r="L793" s="22" t="str">
        <f t="shared" si="60"/>
        <v>EXCLUDE</v>
      </c>
      <c r="M793" s="22" t="str">
        <f t="shared" si="61"/>
        <v>Digital Twin not core / buzzword</v>
      </c>
      <c r="N793" s="23"/>
      <c r="O793" s="23"/>
      <c r="P793" s="24"/>
      <c r="Q793" s="24"/>
      <c r="R793" s="24"/>
      <c r="S793" s="22" t="str">
        <f t="shared" si="62"/>
        <v/>
      </c>
      <c r="T793" s="22" t="str">
        <f t="shared" si="63"/>
        <v/>
      </c>
      <c r="U793" s="25"/>
      <c r="V793" s="25"/>
      <c r="W793" s="25"/>
      <c r="X793" s="25"/>
      <c r="Y793" s="22" t="str">
        <f t="shared" si="64"/>
        <v/>
      </c>
      <c r="Z793" s="25"/>
      <c r="AA793" s="25"/>
      <c r="AB793" s="25"/>
      <c r="AC793" s="25"/>
      <c r="AD793" s="25"/>
      <c r="AE793" s="25"/>
      <c r="AF793" s="25"/>
      <c r="AG793" s="9"/>
      <c r="AH793" s="29"/>
      <c r="AI793" s="29"/>
      <c r="AM793" s="50"/>
      <c r="AN793" s="51" t="s">
        <v>4333</v>
      </c>
      <c r="AO793" s="55" t="s">
        <v>1578</v>
      </c>
    </row>
    <row r="794" spans="1:41" ht="57" customHeight="1" x14ac:dyDescent="0.3">
      <c r="A794" s="20">
        <v>790</v>
      </c>
      <c r="B794" s="8" t="s">
        <v>4334</v>
      </c>
      <c r="C794" s="26">
        <v>2023</v>
      </c>
      <c r="D794" s="8"/>
      <c r="E794" s="8" t="s">
        <v>1581</v>
      </c>
      <c r="F794" s="20" t="s">
        <v>1969</v>
      </c>
      <c r="G794" s="21" t="s">
        <v>1979</v>
      </c>
      <c r="H794" s="21" t="s">
        <v>1968</v>
      </c>
      <c r="I794" s="21" t="s">
        <v>1968</v>
      </c>
      <c r="J794" s="21" t="s">
        <v>1968</v>
      </c>
      <c r="K794" s="21" t="s">
        <v>1968</v>
      </c>
      <c r="L794" s="22" t="str">
        <f t="shared" si="60"/>
        <v>EXCLUDE</v>
      </c>
      <c r="M794" s="22" t="str">
        <f t="shared" si="61"/>
        <v>Wrong domain (non-AECO)</v>
      </c>
      <c r="N794" s="23"/>
      <c r="O794" s="23"/>
      <c r="P794" s="24"/>
      <c r="Q794" s="24"/>
      <c r="R794" s="24"/>
      <c r="S794" s="22" t="str">
        <f t="shared" si="62"/>
        <v/>
      </c>
      <c r="T794" s="22" t="str">
        <f t="shared" si="63"/>
        <v/>
      </c>
      <c r="U794" s="25"/>
      <c r="V794" s="25"/>
      <c r="W794" s="25"/>
      <c r="X794" s="25"/>
      <c r="Y794" s="22" t="str">
        <f t="shared" si="64"/>
        <v/>
      </c>
      <c r="Z794" s="25"/>
      <c r="AA794" s="25"/>
      <c r="AB794" s="25"/>
      <c r="AC794" s="25"/>
      <c r="AD794" s="25"/>
      <c r="AE794" s="25"/>
      <c r="AF794" s="25"/>
      <c r="AG794" s="9"/>
      <c r="AH794" s="29"/>
      <c r="AI794" s="29"/>
      <c r="AM794" s="50"/>
      <c r="AN794" s="51" t="s">
        <v>4335</v>
      </c>
      <c r="AO794" s="55" t="s">
        <v>1580</v>
      </c>
    </row>
    <row r="795" spans="1:41" ht="79.8" customHeight="1" x14ac:dyDescent="0.3">
      <c r="A795" s="20">
        <v>791</v>
      </c>
      <c r="B795" s="8" t="s">
        <v>4336</v>
      </c>
      <c r="C795" s="26">
        <v>2022</v>
      </c>
      <c r="D795" s="8"/>
      <c r="E795" s="8" t="s">
        <v>1583</v>
      </c>
      <c r="F795" s="20" t="s">
        <v>1969</v>
      </c>
      <c r="G795" s="21" t="s">
        <v>1968</v>
      </c>
      <c r="H795" s="21" t="s">
        <v>1968</v>
      </c>
      <c r="I795" s="21" t="s">
        <v>1968</v>
      </c>
      <c r="J795" s="21" t="s">
        <v>1968</v>
      </c>
      <c r="K795" s="21" t="s">
        <v>1968</v>
      </c>
      <c r="L795" s="22" t="str">
        <f t="shared" si="60"/>
        <v>INCLUDE</v>
      </c>
      <c r="M795" s="22" t="str">
        <f t="shared" si="61"/>
        <v/>
      </c>
      <c r="N795" s="23" t="s">
        <v>1968</v>
      </c>
      <c r="O795" s="23" t="s">
        <v>1968</v>
      </c>
      <c r="P795" s="24" t="s">
        <v>1968</v>
      </c>
      <c r="Q795" s="24" t="s">
        <v>1968</v>
      </c>
      <c r="R795" s="24" t="s">
        <v>1968</v>
      </c>
      <c r="S795" s="22" t="str">
        <f t="shared" si="62"/>
        <v>INCLUDE</v>
      </c>
      <c r="T795" s="22" t="str">
        <f t="shared" si="63"/>
        <v/>
      </c>
      <c r="U795" s="25" t="s">
        <v>1982</v>
      </c>
      <c r="V795" s="25">
        <v>0</v>
      </c>
      <c r="W795" s="25">
        <v>1</v>
      </c>
      <c r="X795" s="25">
        <v>0</v>
      </c>
      <c r="Y795" s="22" t="str">
        <f t="shared" si="64"/>
        <v>Single</v>
      </c>
      <c r="Z795" s="25" t="s">
        <v>1922</v>
      </c>
      <c r="AA795" s="25" t="s">
        <v>1972</v>
      </c>
      <c r="AB795" s="25" t="s">
        <v>1994</v>
      </c>
      <c r="AC795" s="25" t="s">
        <v>1986</v>
      </c>
      <c r="AD795" s="25" t="s">
        <v>2003</v>
      </c>
      <c r="AE795" s="25">
        <v>3</v>
      </c>
      <c r="AF795" s="25" t="s">
        <v>2010</v>
      </c>
      <c r="AG795" s="9" t="s">
        <v>4337</v>
      </c>
      <c r="AH795" s="29" t="s">
        <v>4338</v>
      </c>
      <c r="AI795" s="29" t="s">
        <v>4339</v>
      </c>
      <c r="AJ795" t="s">
        <v>2005</v>
      </c>
      <c r="AK795" t="s">
        <v>4340</v>
      </c>
      <c r="AL795" t="s">
        <v>1978</v>
      </c>
      <c r="AM795" s="50"/>
      <c r="AN795" s="51" t="s">
        <v>4341</v>
      </c>
      <c r="AO795" s="55" t="s">
        <v>1582</v>
      </c>
    </row>
    <row r="796" spans="1:41" ht="57" customHeight="1" x14ac:dyDescent="0.3">
      <c r="A796" s="20">
        <v>792</v>
      </c>
      <c r="B796" s="8" t="s">
        <v>4342</v>
      </c>
      <c r="C796" s="26">
        <v>2023</v>
      </c>
      <c r="D796" s="8"/>
      <c r="E796" s="8" t="s">
        <v>1585</v>
      </c>
      <c r="F796" s="20" t="s">
        <v>1969</v>
      </c>
      <c r="G796" s="21" t="s">
        <v>1979</v>
      </c>
      <c r="H796" s="21" t="s">
        <v>1968</v>
      </c>
      <c r="I796" s="21" t="s">
        <v>1968</v>
      </c>
      <c r="J796" s="21" t="s">
        <v>1968</v>
      </c>
      <c r="K796" s="21" t="s">
        <v>1968</v>
      </c>
      <c r="L796" s="22" t="str">
        <f t="shared" si="60"/>
        <v>EXCLUDE</v>
      </c>
      <c r="M796" s="22" t="str">
        <f t="shared" si="61"/>
        <v>Wrong domain (non-AECO)</v>
      </c>
      <c r="N796" s="23"/>
      <c r="O796" s="23"/>
      <c r="P796" s="24"/>
      <c r="Q796" s="24"/>
      <c r="R796" s="24"/>
      <c r="S796" s="22" t="str">
        <f t="shared" si="62"/>
        <v/>
      </c>
      <c r="T796" s="22" t="str">
        <f t="shared" si="63"/>
        <v/>
      </c>
      <c r="U796" s="25"/>
      <c r="V796" s="25"/>
      <c r="W796" s="25"/>
      <c r="X796" s="25"/>
      <c r="Y796" s="22" t="str">
        <f t="shared" si="64"/>
        <v/>
      </c>
      <c r="Z796" s="25"/>
      <c r="AA796" s="25"/>
      <c r="AB796" s="25"/>
      <c r="AC796" s="25"/>
      <c r="AD796" s="25"/>
      <c r="AE796" s="25"/>
      <c r="AF796" s="25"/>
      <c r="AG796" s="9"/>
      <c r="AH796" s="29"/>
      <c r="AI796" s="29"/>
      <c r="AM796" s="50"/>
      <c r="AN796" s="51" t="s">
        <v>4343</v>
      </c>
      <c r="AO796" s="55" t="s">
        <v>1584</v>
      </c>
    </row>
    <row r="797" spans="1:41" ht="102.6" customHeight="1" x14ac:dyDescent="0.3">
      <c r="A797" s="20">
        <v>793</v>
      </c>
      <c r="B797" s="8" t="s">
        <v>4344</v>
      </c>
      <c r="C797" s="26">
        <v>2024</v>
      </c>
      <c r="D797" s="8"/>
      <c r="E797" s="8" t="s">
        <v>1587</v>
      </c>
      <c r="F797" s="20" t="s">
        <v>1969</v>
      </c>
      <c r="G797" s="21" t="s">
        <v>1968</v>
      </c>
      <c r="H797" s="21" t="s">
        <v>1968</v>
      </c>
      <c r="I797" s="21" t="s">
        <v>1968</v>
      </c>
      <c r="J797" s="21" t="s">
        <v>1968</v>
      </c>
      <c r="K797" s="21" t="s">
        <v>1968</v>
      </c>
      <c r="L797" s="22" t="str">
        <f t="shared" si="60"/>
        <v>INCLUDE</v>
      </c>
      <c r="M797" s="22" t="str">
        <f t="shared" si="61"/>
        <v/>
      </c>
      <c r="N797" s="23" t="s">
        <v>1968</v>
      </c>
      <c r="O797" s="23" t="s">
        <v>1968</v>
      </c>
      <c r="P797" s="24" t="s">
        <v>1968</v>
      </c>
      <c r="Q797" s="24" t="s">
        <v>1979</v>
      </c>
      <c r="R797" s="24" t="s">
        <v>1968</v>
      </c>
      <c r="S797" s="22" t="str">
        <f t="shared" si="62"/>
        <v>EXCLUDE</v>
      </c>
      <c r="T797" s="22" t="str">
        <f t="shared" si="63"/>
        <v>No Design for Safety focus in full text</v>
      </c>
      <c r="U797" s="25"/>
      <c r="V797" s="25"/>
      <c r="W797" s="25"/>
      <c r="X797" s="25"/>
      <c r="Y797" s="22" t="str">
        <f t="shared" si="64"/>
        <v/>
      </c>
      <c r="Z797" s="25"/>
      <c r="AA797" s="25"/>
      <c r="AB797" s="25"/>
      <c r="AC797" s="25"/>
      <c r="AD797" s="25"/>
      <c r="AE797" s="25"/>
      <c r="AF797" s="25"/>
      <c r="AG797" s="9" t="s">
        <v>4345</v>
      </c>
      <c r="AH797" s="29"/>
      <c r="AI797" s="29"/>
      <c r="AM797" s="50"/>
      <c r="AN797" s="51" t="s">
        <v>4346</v>
      </c>
      <c r="AO797" s="55" t="s">
        <v>1586</v>
      </c>
    </row>
    <row r="798" spans="1:41" ht="57.6" customHeight="1" x14ac:dyDescent="0.3">
      <c r="A798" s="20">
        <v>794</v>
      </c>
      <c r="B798" s="8" t="s">
        <v>4347</v>
      </c>
      <c r="C798" s="26">
        <v>2024</v>
      </c>
      <c r="D798" s="8"/>
      <c r="E798" s="8" t="s">
        <v>1589</v>
      </c>
      <c r="F798" s="20" t="s">
        <v>1969</v>
      </c>
      <c r="G798" s="21" t="s">
        <v>1968</v>
      </c>
      <c r="H798" s="21" t="s">
        <v>1968</v>
      </c>
      <c r="I798" s="21" t="s">
        <v>1968</v>
      </c>
      <c r="J798" s="21" t="s">
        <v>1968</v>
      </c>
      <c r="K798" s="21" t="s">
        <v>1968</v>
      </c>
      <c r="L798" s="22" t="str">
        <f t="shared" si="60"/>
        <v>INCLUDE</v>
      </c>
      <c r="M798" s="22" t="str">
        <f t="shared" si="61"/>
        <v/>
      </c>
      <c r="N798" s="23" t="s">
        <v>1968</v>
      </c>
      <c r="O798" s="23" t="s">
        <v>1968</v>
      </c>
      <c r="P798" s="24" t="s">
        <v>1968</v>
      </c>
      <c r="Q798" s="24" t="s">
        <v>1968</v>
      </c>
      <c r="R798" s="24" t="s">
        <v>1968</v>
      </c>
      <c r="S798" s="22" t="str">
        <f t="shared" si="62"/>
        <v>INCLUDE</v>
      </c>
      <c r="T798" s="22" t="str">
        <f t="shared" si="63"/>
        <v/>
      </c>
      <c r="U798" s="25" t="s">
        <v>1982</v>
      </c>
      <c r="V798" s="25">
        <v>0</v>
      </c>
      <c r="W798" s="25">
        <v>0</v>
      </c>
      <c r="X798" s="25">
        <v>1</v>
      </c>
      <c r="Y798" s="22" t="str">
        <f t="shared" si="64"/>
        <v>Single</v>
      </c>
      <c r="Z798" s="25" t="s">
        <v>1922</v>
      </c>
      <c r="AA798" s="25" t="s">
        <v>1993</v>
      </c>
      <c r="AB798" s="25" t="s">
        <v>2018</v>
      </c>
      <c r="AC798" s="25" t="s">
        <v>1974</v>
      </c>
      <c r="AD798" s="25" t="s">
        <v>2003</v>
      </c>
      <c r="AE798" s="25">
        <v>4</v>
      </c>
      <c r="AF798" s="25" t="s">
        <v>2010</v>
      </c>
      <c r="AG798" s="9" t="s">
        <v>4348</v>
      </c>
      <c r="AH798" s="29" t="s">
        <v>4349</v>
      </c>
      <c r="AI798" s="29" t="s">
        <v>4350</v>
      </c>
      <c r="AJ798" t="s">
        <v>1977</v>
      </c>
      <c r="AK798" t="s">
        <v>4351</v>
      </c>
      <c r="AL798" t="s">
        <v>1978</v>
      </c>
      <c r="AM798" s="50"/>
      <c r="AN798" s="51" t="s">
        <v>4352</v>
      </c>
      <c r="AO798" s="55" t="s">
        <v>1588</v>
      </c>
    </row>
    <row r="799" spans="1:41" ht="57" customHeight="1" x14ac:dyDescent="0.3">
      <c r="A799" s="20">
        <v>795</v>
      </c>
      <c r="B799" s="8" t="s">
        <v>4353</v>
      </c>
      <c r="C799" s="26">
        <v>2024</v>
      </c>
      <c r="D799" s="8"/>
      <c r="E799" s="8" t="s">
        <v>1591</v>
      </c>
      <c r="F799" s="20" t="s">
        <v>1969</v>
      </c>
      <c r="G799" s="21" t="s">
        <v>1979</v>
      </c>
      <c r="H799" s="21" t="s">
        <v>1968</v>
      </c>
      <c r="I799" s="21" t="s">
        <v>1968</v>
      </c>
      <c r="J799" s="21" t="s">
        <v>1968</v>
      </c>
      <c r="K799" s="21" t="s">
        <v>1968</v>
      </c>
      <c r="L799" s="22" t="str">
        <f t="shared" si="60"/>
        <v>EXCLUDE</v>
      </c>
      <c r="M799" s="22" t="str">
        <f t="shared" si="61"/>
        <v>Wrong domain (non-AECO)</v>
      </c>
      <c r="N799" s="23"/>
      <c r="O799" s="23"/>
      <c r="P799" s="24"/>
      <c r="Q799" s="24"/>
      <c r="R799" s="24"/>
      <c r="S799" s="22" t="str">
        <f t="shared" si="62"/>
        <v/>
      </c>
      <c r="T799" s="22" t="str">
        <f t="shared" si="63"/>
        <v/>
      </c>
      <c r="U799" s="25"/>
      <c r="V799" s="25"/>
      <c r="W799" s="25"/>
      <c r="X799" s="25"/>
      <c r="Y799" s="22" t="str">
        <f t="shared" si="64"/>
        <v/>
      </c>
      <c r="Z799" s="25"/>
      <c r="AA799" s="25"/>
      <c r="AB799" s="25"/>
      <c r="AC799" s="25"/>
      <c r="AD799" s="25"/>
      <c r="AE799" s="25"/>
      <c r="AF799" s="25"/>
      <c r="AG799" s="9"/>
      <c r="AH799" s="29"/>
      <c r="AI799" s="29"/>
      <c r="AM799" s="50"/>
      <c r="AN799" s="51" t="s">
        <v>4354</v>
      </c>
      <c r="AO799" s="55" t="s">
        <v>1590</v>
      </c>
    </row>
    <row r="800" spans="1:41" ht="79.8" customHeight="1" x14ac:dyDescent="0.3">
      <c r="A800" s="20">
        <v>796</v>
      </c>
      <c r="B800" s="8" t="s">
        <v>4355</v>
      </c>
      <c r="C800" s="26">
        <v>2024</v>
      </c>
      <c r="D800" s="8"/>
      <c r="E800" s="8" t="s">
        <v>1593</v>
      </c>
      <c r="F800" s="20" t="s">
        <v>1969</v>
      </c>
      <c r="G800" s="21" t="s">
        <v>1968</v>
      </c>
      <c r="H800" s="21" t="s">
        <v>1968</v>
      </c>
      <c r="I800" s="21" t="s">
        <v>1968</v>
      </c>
      <c r="J800" s="21" t="s">
        <v>1968</v>
      </c>
      <c r="K800" s="21" t="s">
        <v>1968</v>
      </c>
      <c r="L800" s="22" t="str">
        <f t="shared" si="60"/>
        <v>INCLUDE</v>
      </c>
      <c r="M800" s="22" t="str">
        <f t="shared" si="61"/>
        <v/>
      </c>
      <c r="N800" s="23" t="s">
        <v>1968</v>
      </c>
      <c r="O800" s="23" t="s">
        <v>1968</v>
      </c>
      <c r="P800" s="24" t="s">
        <v>1968</v>
      </c>
      <c r="Q800" s="24" t="s">
        <v>1968</v>
      </c>
      <c r="R800" s="24" t="s">
        <v>1968</v>
      </c>
      <c r="S800" s="22" t="str">
        <f t="shared" si="62"/>
        <v>INCLUDE</v>
      </c>
      <c r="T800" s="22" t="str">
        <f t="shared" si="63"/>
        <v/>
      </c>
      <c r="U800" s="25" t="s">
        <v>1982</v>
      </c>
      <c r="V800" s="25">
        <v>0</v>
      </c>
      <c r="W800" s="25">
        <v>1</v>
      </c>
      <c r="X800" s="25">
        <v>0</v>
      </c>
      <c r="Y800" s="22" t="str">
        <f t="shared" si="64"/>
        <v>Single</v>
      </c>
      <c r="Z800" s="25" t="s">
        <v>1922</v>
      </c>
      <c r="AA800" s="25" t="s">
        <v>1972</v>
      </c>
      <c r="AB800" s="25" t="s">
        <v>2018</v>
      </c>
      <c r="AC800" s="25" t="s">
        <v>1986</v>
      </c>
      <c r="AD800" s="25" t="s">
        <v>2003</v>
      </c>
      <c r="AE800" s="25">
        <v>4</v>
      </c>
      <c r="AF800" s="25" t="s">
        <v>2010</v>
      </c>
      <c r="AG800" s="9" t="s">
        <v>4356</v>
      </c>
      <c r="AH800" s="29" t="s">
        <v>4357</v>
      </c>
      <c r="AI800" s="29" t="s">
        <v>4358</v>
      </c>
      <c r="AJ800" t="s">
        <v>2005</v>
      </c>
      <c r="AK800" t="s">
        <v>4359</v>
      </c>
      <c r="AL800" t="s">
        <v>1978</v>
      </c>
      <c r="AM800" s="50"/>
      <c r="AN800" s="51" t="s">
        <v>4360</v>
      </c>
      <c r="AO800" s="55" t="s">
        <v>1592</v>
      </c>
    </row>
    <row r="801" spans="1:41" ht="57" customHeight="1" x14ac:dyDescent="0.3">
      <c r="A801" s="20">
        <v>797</v>
      </c>
      <c r="B801" s="8" t="s">
        <v>4361</v>
      </c>
      <c r="C801" s="26">
        <v>2023</v>
      </c>
      <c r="D801" s="8"/>
      <c r="E801" s="8" t="s">
        <v>1595</v>
      </c>
      <c r="F801" s="20" t="s">
        <v>1969</v>
      </c>
      <c r="G801" s="21" t="s">
        <v>1979</v>
      </c>
      <c r="H801" s="21" t="s">
        <v>1968</v>
      </c>
      <c r="I801" s="21" t="s">
        <v>1968</v>
      </c>
      <c r="J801" s="21" t="s">
        <v>1968</v>
      </c>
      <c r="K801" s="21" t="s">
        <v>1968</v>
      </c>
      <c r="L801" s="22" t="str">
        <f t="shared" si="60"/>
        <v>EXCLUDE</v>
      </c>
      <c r="M801" s="22" t="str">
        <f t="shared" si="61"/>
        <v>Wrong domain (non-AECO)</v>
      </c>
      <c r="N801" s="23"/>
      <c r="O801" s="23"/>
      <c r="P801" s="24"/>
      <c r="Q801" s="24"/>
      <c r="R801" s="24"/>
      <c r="S801" s="22" t="str">
        <f t="shared" si="62"/>
        <v/>
      </c>
      <c r="T801" s="22" t="str">
        <f t="shared" si="63"/>
        <v/>
      </c>
      <c r="U801" s="25"/>
      <c r="V801" s="25"/>
      <c r="W801" s="25"/>
      <c r="X801" s="25"/>
      <c r="Y801" s="22" t="str">
        <f t="shared" si="64"/>
        <v/>
      </c>
      <c r="Z801" s="25"/>
      <c r="AA801" s="25"/>
      <c r="AB801" s="25"/>
      <c r="AC801" s="25"/>
      <c r="AD801" s="25"/>
      <c r="AE801" s="25"/>
      <c r="AF801" s="25"/>
      <c r="AG801" s="9"/>
      <c r="AH801" s="29"/>
      <c r="AI801" s="29"/>
      <c r="AM801" s="50"/>
      <c r="AN801" s="51" t="s">
        <v>4362</v>
      </c>
      <c r="AO801" s="55" t="s">
        <v>1594</v>
      </c>
    </row>
    <row r="802" spans="1:41" ht="57" customHeight="1" x14ac:dyDescent="0.3">
      <c r="A802" s="20">
        <v>798</v>
      </c>
      <c r="B802" s="8" t="s">
        <v>4363</v>
      </c>
      <c r="C802" s="26">
        <v>2025</v>
      </c>
      <c r="D802" s="8"/>
      <c r="E802" s="8" t="s">
        <v>1597</v>
      </c>
      <c r="F802" s="20" t="s">
        <v>1969</v>
      </c>
      <c r="G802" s="21" t="s">
        <v>1968</v>
      </c>
      <c r="H802" s="21" t="s">
        <v>1979</v>
      </c>
      <c r="I802" s="21" t="s">
        <v>1968</v>
      </c>
      <c r="J802" s="21" t="s">
        <v>1968</v>
      </c>
      <c r="K802" s="21" t="s">
        <v>1968</v>
      </c>
      <c r="L802" s="22" t="str">
        <f t="shared" si="60"/>
        <v>EXCLUDE</v>
      </c>
      <c r="M802" s="22" t="str">
        <f t="shared" si="61"/>
        <v>Digital Twin not core / buzzword</v>
      </c>
      <c r="N802" s="23"/>
      <c r="O802" s="23"/>
      <c r="P802" s="24"/>
      <c r="Q802" s="24"/>
      <c r="R802" s="24"/>
      <c r="S802" s="22" t="str">
        <f t="shared" si="62"/>
        <v/>
      </c>
      <c r="T802" s="22" t="str">
        <f t="shared" si="63"/>
        <v/>
      </c>
      <c r="U802" s="25"/>
      <c r="V802" s="25"/>
      <c r="W802" s="25"/>
      <c r="X802" s="25"/>
      <c r="Y802" s="22" t="str">
        <f t="shared" si="64"/>
        <v/>
      </c>
      <c r="Z802" s="25"/>
      <c r="AA802" s="25"/>
      <c r="AB802" s="25"/>
      <c r="AC802" s="25"/>
      <c r="AD802" s="25"/>
      <c r="AE802" s="25"/>
      <c r="AF802" s="25"/>
      <c r="AG802" s="9"/>
      <c r="AH802" s="29"/>
      <c r="AI802" s="29"/>
      <c r="AM802" s="50"/>
      <c r="AN802" s="51" t="s">
        <v>4364</v>
      </c>
      <c r="AO802" s="55" t="s">
        <v>1596</v>
      </c>
    </row>
    <row r="803" spans="1:41" ht="68.400000000000006" customHeight="1" x14ac:dyDescent="0.3">
      <c r="A803" s="20">
        <v>799</v>
      </c>
      <c r="B803" s="8" t="s">
        <v>3638</v>
      </c>
      <c r="C803" s="26">
        <v>2022</v>
      </c>
      <c r="D803" s="8"/>
      <c r="E803" s="8" t="s">
        <v>1599</v>
      </c>
      <c r="F803" s="20" t="s">
        <v>1969</v>
      </c>
      <c r="G803" s="21" t="s">
        <v>1968</v>
      </c>
      <c r="H803" s="21" t="s">
        <v>1968</v>
      </c>
      <c r="I803" s="21" t="s">
        <v>1979</v>
      </c>
      <c r="J803" s="21" t="s">
        <v>1968</v>
      </c>
      <c r="K803" s="21" t="s">
        <v>1968</v>
      </c>
      <c r="L803" s="22" t="str">
        <f t="shared" si="60"/>
        <v>EXCLUDE</v>
      </c>
      <c r="M803" s="22" t="str">
        <f t="shared" si="61"/>
        <v>No Design for Safety / PtD focus</v>
      </c>
      <c r="N803" s="23"/>
      <c r="O803" s="23"/>
      <c r="P803" s="24"/>
      <c r="Q803" s="24"/>
      <c r="R803" s="24"/>
      <c r="S803" s="22" t="str">
        <f t="shared" si="62"/>
        <v/>
      </c>
      <c r="T803" s="22" t="str">
        <f t="shared" si="63"/>
        <v/>
      </c>
      <c r="U803" s="25"/>
      <c r="V803" s="25"/>
      <c r="W803" s="25"/>
      <c r="X803" s="25"/>
      <c r="Y803" s="22" t="str">
        <f t="shared" si="64"/>
        <v/>
      </c>
      <c r="Z803" s="25"/>
      <c r="AA803" s="25"/>
      <c r="AB803" s="25"/>
      <c r="AC803" s="25"/>
      <c r="AD803" s="25"/>
      <c r="AE803" s="25"/>
      <c r="AF803" s="25"/>
      <c r="AG803" s="9"/>
      <c r="AH803" s="29"/>
      <c r="AI803" s="29"/>
      <c r="AM803" s="50"/>
      <c r="AN803" s="51" t="s">
        <v>4365</v>
      </c>
      <c r="AO803" s="55" t="s">
        <v>1598</v>
      </c>
    </row>
    <row r="804" spans="1:41" ht="91.2" customHeight="1" x14ac:dyDescent="0.3">
      <c r="A804" s="20">
        <v>800</v>
      </c>
      <c r="B804" s="8" t="s">
        <v>4366</v>
      </c>
      <c r="C804" s="26">
        <v>2022</v>
      </c>
      <c r="D804" s="8"/>
      <c r="E804" s="8" t="s">
        <v>1601</v>
      </c>
      <c r="F804" s="20" t="s">
        <v>1969</v>
      </c>
      <c r="G804" s="21" t="s">
        <v>1968</v>
      </c>
      <c r="H804" s="21" t="s">
        <v>1968</v>
      </c>
      <c r="I804" s="21" t="s">
        <v>1968</v>
      </c>
      <c r="J804" s="21" t="s">
        <v>1968</v>
      </c>
      <c r="K804" s="21" t="s">
        <v>1968</v>
      </c>
      <c r="L804" s="22" t="str">
        <f t="shared" si="60"/>
        <v>INCLUDE</v>
      </c>
      <c r="M804" s="22" t="str">
        <f t="shared" si="61"/>
        <v/>
      </c>
      <c r="N804" s="23" t="s">
        <v>1968</v>
      </c>
      <c r="O804" s="23" t="s">
        <v>1968</v>
      </c>
      <c r="P804" s="24" t="s">
        <v>1968</v>
      </c>
      <c r="Q804" s="24" t="s">
        <v>1968</v>
      </c>
      <c r="R804" s="24" t="s">
        <v>1968</v>
      </c>
      <c r="S804" s="22" t="str">
        <f t="shared" si="62"/>
        <v>INCLUDE</v>
      </c>
      <c r="T804" s="22" t="str">
        <f t="shared" si="63"/>
        <v/>
      </c>
      <c r="U804" s="25" t="s">
        <v>1982</v>
      </c>
      <c r="V804" s="25">
        <v>0</v>
      </c>
      <c r="W804" s="25">
        <v>0</v>
      </c>
      <c r="X804" s="25">
        <v>1</v>
      </c>
      <c r="Y804" s="22" t="str">
        <f t="shared" si="64"/>
        <v>Single</v>
      </c>
      <c r="Z804" s="25" t="s">
        <v>1922</v>
      </c>
      <c r="AA804" s="25" t="s">
        <v>1972</v>
      </c>
      <c r="AB804" s="25" t="s">
        <v>2014</v>
      </c>
      <c r="AC804" s="25" t="s">
        <v>1986</v>
      </c>
      <c r="AD804" s="25" t="s">
        <v>2003</v>
      </c>
      <c r="AE804" s="25">
        <v>4</v>
      </c>
      <c r="AF804" s="25" t="s">
        <v>2004</v>
      </c>
      <c r="AG804" s="9" t="s">
        <v>4367</v>
      </c>
      <c r="AH804" s="29" t="s">
        <v>4368</v>
      </c>
      <c r="AI804" s="29" t="s">
        <v>4369</v>
      </c>
      <c r="AJ804" t="s">
        <v>1997</v>
      </c>
      <c r="AK804" t="s">
        <v>4370</v>
      </c>
      <c r="AL804" t="s">
        <v>1990</v>
      </c>
      <c r="AM804" s="50"/>
      <c r="AN804" s="51" t="s">
        <v>4371</v>
      </c>
      <c r="AO804" s="55" t="s">
        <v>1600</v>
      </c>
    </row>
    <row r="805" spans="1:41" ht="45.6" customHeight="1" x14ac:dyDescent="0.3">
      <c r="A805" s="20">
        <v>801</v>
      </c>
      <c r="B805" s="8" t="s">
        <v>4372</v>
      </c>
      <c r="C805" s="26">
        <v>2024</v>
      </c>
      <c r="D805" s="8"/>
      <c r="E805" s="8" t="s">
        <v>1603</v>
      </c>
      <c r="F805" s="20" t="s">
        <v>1969</v>
      </c>
      <c r="G805" s="21" t="s">
        <v>1979</v>
      </c>
      <c r="H805" s="21" t="s">
        <v>1968</v>
      </c>
      <c r="I805" s="21" t="s">
        <v>1968</v>
      </c>
      <c r="J805" s="21" t="s">
        <v>1968</v>
      </c>
      <c r="K805" s="21" t="s">
        <v>1968</v>
      </c>
      <c r="L805" s="22" t="str">
        <f t="shared" si="60"/>
        <v>EXCLUDE</v>
      </c>
      <c r="M805" s="22" t="str">
        <f t="shared" si="61"/>
        <v>Wrong domain (non-AECO)</v>
      </c>
      <c r="N805" s="23"/>
      <c r="O805" s="23"/>
      <c r="P805" s="24"/>
      <c r="Q805" s="24"/>
      <c r="R805" s="24"/>
      <c r="S805" s="22" t="str">
        <f t="shared" si="62"/>
        <v/>
      </c>
      <c r="T805" s="22" t="str">
        <f t="shared" si="63"/>
        <v/>
      </c>
      <c r="U805" s="25"/>
      <c r="V805" s="25"/>
      <c r="W805" s="25"/>
      <c r="X805" s="25"/>
      <c r="Y805" s="22" t="str">
        <f t="shared" si="64"/>
        <v/>
      </c>
      <c r="Z805" s="25"/>
      <c r="AA805" s="25"/>
      <c r="AB805" s="25"/>
      <c r="AC805" s="25"/>
      <c r="AD805" s="25"/>
      <c r="AE805" s="25"/>
      <c r="AF805" s="25"/>
      <c r="AG805" s="9"/>
      <c r="AH805" s="29"/>
      <c r="AI805" s="29"/>
      <c r="AM805" s="50"/>
      <c r="AN805" s="51" t="s">
        <v>4373</v>
      </c>
      <c r="AO805" s="55" t="s">
        <v>1602</v>
      </c>
    </row>
    <row r="806" spans="1:41" ht="68.400000000000006" customHeight="1" x14ac:dyDescent="0.3">
      <c r="A806" s="20">
        <v>802</v>
      </c>
      <c r="B806" s="8" t="s">
        <v>4374</v>
      </c>
      <c r="C806" s="26">
        <v>2025</v>
      </c>
      <c r="D806" s="8"/>
      <c r="E806" s="8" t="s">
        <v>1605</v>
      </c>
      <c r="F806" s="20" t="s">
        <v>1969</v>
      </c>
      <c r="G806" s="21" t="s">
        <v>1979</v>
      </c>
      <c r="H806" s="21" t="s">
        <v>1968</v>
      </c>
      <c r="I806" s="21" t="s">
        <v>1968</v>
      </c>
      <c r="J806" s="21" t="s">
        <v>1968</v>
      </c>
      <c r="K806" s="21" t="s">
        <v>1968</v>
      </c>
      <c r="L806" s="22" t="str">
        <f t="shared" si="60"/>
        <v>EXCLUDE</v>
      </c>
      <c r="M806" s="22" t="str">
        <f t="shared" si="61"/>
        <v>Wrong domain (non-AECO)</v>
      </c>
      <c r="N806" s="23"/>
      <c r="O806" s="23"/>
      <c r="P806" s="24"/>
      <c r="Q806" s="24"/>
      <c r="R806" s="24"/>
      <c r="S806" s="22" t="str">
        <f t="shared" si="62"/>
        <v/>
      </c>
      <c r="T806" s="22" t="str">
        <f t="shared" si="63"/>
        <v/>
      </c>
      <c r="U806" s="25"/>
      <c r="V806" s="25"/>
      <c r="W806" s="25"/>
      <c r="X806" s="25"/>
      <c r="Y806" s="22" t="str">
        <f t="shared" si="64"/>
        <v/>
      </c>
      <c r="Z806" s="25"/>
      <c r="AA806" s="25"/>
      <c r="AB806" s="25"/>
      <c r="AC806" s="25"/>
      <c r="AD806" s="25"/>
      <c r="AE806" s="25"/>
      <c r="AF806" s="25"/>
      <c r="AG806" s="9"/>
      <c r="AH806" s="29"/>
      <c r="AI806" s="29"/>
      <c r="AM806" s="50"/>
      <c r="AN806" s="51" t="s">
        <v>4375</v>
      </c>
      <c r="AO806" s="55" t="s">
        <v>1604</v>
      </c>
    </row>
    <row r="807" spans="1:41" ht="57" customHeight="1" x14ac:dyDescent="0.3">
      <c r="A807" s="20">
        <v>803</v>
      </c>
      <c r="B807" s="8" t="s">
        <v>4376</v>
      </c>
      <c r="C807" s="26">
        <v>2020</v>
      </c>
      <c r="D807" s="8"/>
      <c r="E807" s="8" t="s">
        <v>1607</v>
      </c>
      <c r="F807" s="20" t="s">
        <v>1969</v>
      </c>
      <c r="G807" s="21" t="s">
        <v>1979</v>
      </c>
      <c r="H807" s="21" t="s">
        <v>1968</v>
      </c>
      <c r="I807" s="21" t="s">
        <v>1968</v>
      </c>
      <c r="J807" s="21" t="s">
        <v>1968</v>
      </c>
      <c r="K807" s="21" t="s">
        <v>1968</v>
      </c>
      <c r="L807" s="22" t="str">
        <f t="shared" si="60"/>
        <v>EXCLUDE</v>
      </c>
      <c r="M807" s="22" t="str">
        <f t="shared" si="61"/>
        <v>Wrong domain (non-AECO)</v>
      </c>
      <c r="N807" s="23"/>
      <c r="O807" s="23"/>
      <c r="P807" s="24"/>
      <c r="Q807" s="24"/>
      <c r="R807" s="24"/>
      <c r="S807" s="22" t="str">
        <f t="shared" si="62"/>
        <v/>
      </c>
      <c r="T807" s="22" t="str">
        <f t="shared" si="63"/>
        <v/>
      </c>
      <c r="U807" s="25"/>
      <c r="V807" s="25"/>
      <c r="W807" s="25"/>
      <c r="X807" s="25"/>
      <c r="Y807" s="22" t="str">
        <f t="shared" si="64"/>
        <v/>
      </c>
      <c r="Z807" s="25"/>
      <c r="AA807" s="25"/>
      <c r="AB807" s="25"/>
      <c r="AC807" s="25"/>
      <c r="AD807" s="25"/>
      <c r="AE807" s="25"/>
      <c r="AF807" s="25"/>
      <c r="AG807" s="9"/>
      <c r="AH807" s="29"/>
      <c r="AI807" s="29"/>
      <c r="AM807" s="50"/>
      <c r="AN807" s="51" t="s">
        <v>4377</v>
      </c>
      <c r="AO807" s="55" t="s">
        <v>1606</v>
      </c>
    </row>
    <row r="808" spans="1:41" ht="79.8" customHeight="1" x14ac:dyDescent="0.3">
      <c r="A808" s="20">
        <v>804</v>
      </c>
      <c r="B808" s="8" t="s">
        <v>3721</v>
      </c>
      <c r="C808" s="26">
        <v>2021</v>
      </c>
      <c r="D808" s="8"/>
      <c r="E808" s="8" t="s">
        <v>1609</v>
      </c>
      <c r="F808" s="20" t="s">
        <v>1969</v>
      </c>
      <c r="G808" s="21" t="s">
        <v>1968</v>
      </c>
      <c r="H808" s="21" t="s">
        <v>1968</v>
      </c>
      <c r="I808" s="21" t="s">
        <v>1968</v>
      </c>
      <c r="J808" s="21" t="s">
        <v>1968</v>
      </c>
      <c r="K808" s="21" t="s">
        <v>1968</v>
      </c>
      <c r="L808" s="22" t="str">
        <f t="shared" si="60"/>
        <v>INCLUDE</v>
      </c>
      <c r="M808" s="22" t="str">
        <f t="shared" si="61"/>
        <v/>
      </c>
      <c r="N808" s="23" t="s">
        <v>1968</v>
      </c>
      <c r="O808" s="23" t="s">
        <v>1968</v>
      </c>
      <c r="P808" s="24" t="s">
        <v>1968</v>
      </c>
      <c r="Q808" s="24" t="s">
        <v>1968</v>
      </c>
      <c r="R808" s="24" t="s">
        <v>1968</v>
      </c>
      <c r="S808" s="22" t="str">
        <f t="shared" si="62"/>
        <v>INCLUDE</v>
      </c>
      <c r="T808" s="22" t="str">
        <f t="shared" si="63"/>
        <v/>
      </c>
      <c r="U808" s="25" t="s">
        <v>1982</v>
      </c>
      <c r="V808" s="25">
        <v>0</v>
      </c>
      <c r="W808" s="25">
        <v>1</v>
      </c>
      <c r="X808" s="25">
        <v>0</v>
      </c>
      <c r="Y808" s="22" t="str">
        <f t="shared" si="64"/>
        <v>Single</v>
      </c>
      <c r="Z808" s="25" t="s">
        <v>1922</v>
      </c>
      <c r="AA808" s="25" t="s">
        <v>1972</v>
      </c>
      <c r="AB808" s="25" t="s">
        <v>2014</v>
      </c>
      <c r="AC808" s="25" t="s">
        <v>1986</v>
      </c>
      <c r="AD808" s="25" t="s">
        <v>2003</v>
      </c>
      <c r="AE808" s="25">
        <v>3</v>
      </c>
      <c r="AF808" s="25" t="s">
        <v>2004</v>
      </c>
      <c r="AG808" s="9" t="s">
        <v>4378</v>
      </c>
      <c r="AH808" s="29" t="s">
        <v>4379</v>
      </c>
      <c r="AI808" s="29" t="s">
        <v>4380</v>
      </c>
      <c r="AJ808" t="s">
        <v>2005</v>
      </c>
      <c r="AK808" t="s">
        <v>4381</v>
      </c>
      <c r="AL808" t="s">
        <v>1990</v>
      </c>
      <c r="AM808" s="50"/>
      <c r="AN808" s="51" t="s">
        <v>4382</v>
      </c>
      <c r="AO808" s="55" t="s">
        <v>1608</v>
      </c>
    </row>
    <row r="809" spans="1:41" ht="68.400000000000006" customHeight="1" x14ac:dyDescent="0.3">
      <c r="A809" s="20">
        <v>805</v>
      </c>
      <c r="B809" s="8" t="s">
        <v>4383</v>
      </c>
      <c r="C809" s="26">
        <v>2024</v>
      </c>
      <c r="D809" s="8"/>
      <c r="E809" s="8" t="s">
        <v>1611</v>
      </c>
      <c r="F809" s="20" t="s">
        <v>1969</v>
      </c>
      <c r="G809" s="21" t="s">
        <v>1979</v>
      </c>
      <c r="H809" s="21" t="s">
        <v>1968</v>
      </c>
      <c r="I809" s="21" t="s">
        <v>1968</v>
      </c>
      <c r="J809" s="21" t="s">
        <v>1968</v>
      </c>
      <c r="K809" s="21" t="s">
        <v>1968</v>
      </c>
      <c r="L809" s="22" t="str">
        <f t="shared" si="60"/>
        <v>EXCLUDE</v>
      </c>
      <c r="M809" s="22" t="str">
        <f t="shared" si="61"/>
        <v>Wrong domain (non-AECO)</v>
      </c>
      <c r="N809" s="23"/>
      <c r="O809" s="23"/>
      <c r="P809" s="24"/>
      <c r="Q809" s="24"/>
      <c r="R809" s="24"/>
      <c r="S809" s="22" t="str">
        <f t="shared" si="62"/>
        <v/>
      </c>
      <c r="T809" s="22" t="str">
        <f t="shared" si="63"/>
        <v/>
      </c>
      <c r="U809" s="25"/>
      <c r="V809" s="25"/>
      <c r="W809" s="25"/>
      <c r="X809" s="25"/>
      <c r="Y809" s="22" t="str">
        <f t="shared" si="64"/>
        <v/>
      </c>
      <c r="Z809" s="25"/>
      <c r="AA809" s="25"/>
      <c r="AB809" s="25"/>
      <c r="AC809" s="25"/>
      <c r="AD809" s="25"/>
      <c r="AE809" s="25"/>
      <c r="AF809" s="25"/>
      <c r="AG809" s="9"/>
      <c r="AH809" s="29"/>
      <c r="AI809" s="29"/>
      <c r="AM809" s="50"/>
      <c r="AN809" s="51" t="s">
        <v>4384</v>
      </c>
      <c r="AO809" s="55" t="s">
        <v>1610</v>
      </c>
    </row>
    <row r="810" spans="1:41" ht="125.4" customHeight="1" x14ac:dyDescent="0.3">
      <c r="A810" s="20">
        <v>806</v>
      </c>
      <c r="B810" s="8" t="s">
        <v>4385</v>
      </c>
      <c r="C810" s="26">
        <v>2023</v>
      </c>
      <c r="D810" s="8"/>
      <c r="E810" s="8" t="s">
        <v>1613</v>
      </c>
      <c r="F810" s="20" t="s">
        <v>1969</v>
      </c>
      <c r="G810" s="21" t="s">
        <v>1979</v>
      </c>
      <c r="H810" s="21" t="s">
        <v>1968</v>
      </c>
      <c r="I810" s="21" t="s">
        <v>1968</v>
      </c>
      <c r="J810" s="21" t="s">
        <v>1968</v>
      </c>
      <c r="K810" s="21" t="s">
        <v>1968</v>
      </c>
      <c r="L810" s="22" t="str">
        <f t="shared" si="60"/>
        <v>EXCLUDE</v>
      </c>
      <c r="M810" s="22" t="str">
        <f t="shared" si="61"/>
        <v>Wrong domain (non-AECO)</v>
      </c>
      <c r="N810" s="23"/>
      <c r="O810" s="23"/>
      <c r="P810" s="24"/>
      <c r="Q810" s="24"/>
      <c r="R810" s="24"/>
      <c r="S810" s="22" t="str">
        <f t="shared" si="62"/>
        <v/>
      </c>
      <c r="T810" s="22" t="str">
        <f t="shared" si="63"/>
        <v/>
      </c>
      <c r="U810" s="25"/>
      <c r="V810" s="25"/>
      <c r="W810" s="25"/>
      <c r="X810" s="25"/>
      <c r="Y810" s="22" t="str">
        <f t="shared" si="64"/>
        <v/>
      </c>
      <c r="Z810" s="25"/>
      <c r="AA810" s="25"/>
      <c r="AB810" s="25"/>
      <c r="AC810" s="25"/>
      <c r="AD810" s="25"/>
      <c r="AE810" s="25"/>
      <c r="AF810" s="25"/>
      <c r="AG810" s="9"/>
      <c r="AH810" s="29"/>
      <c r="AI810" s="29"/>
      <c r="AM810" s="50"/>
      <c r="AN810" s="51" t="s">
        <v>4386</v>
      </c>
      <c r="AO810" s="55" t="s">
        <v>1612</v>
      </c>
    </row>
    <row r="811" spans="1:41" ht="57" customHeight="1" x14ac:dyDescent="0.3">
      <c r="A811" s="20">
        <v>807</v>
      </c>
      <c r="B811" s="8" t="s">
        <v>4387</v>
      </c>
      <c r="C811" s="26">
        <v>2021</v>
      </c>
      <c r="D811" s="8"/>
      <c r="E811" s="8" t="s">
        <v>1615</v>
      </c>
      <c r="F811" s="20" t="s">
        <v>1969</v>
      </c>
      <c r="G811" s="21" t="s">
        <v>1968</v>
      </c>
      <c r="H811" s="21" t="s">
        <v>1979</v>
      </c>
      <c r="I811" s="21" t="s">
        <v>1968</v>
      </c>
      <c r="J811" s="21" t="s">
        <v>1968</v>
      </c>
      <c r="K811" s="21" t="s">
        <v>1968</v>
      </c>
      <c r="L811" s="22" t="str">
        <f t="shared" si="60"/>
        <v>EXCLUDE</v>
      </c>
      <c r="M811" s="22" t="str">
        <f t="shared" si="61"/>
        <v>Digital Twin not core / buzzword</v>
      </c>
      <c r="N811" s="23"/>
      <c r="O811" s="23"/>
      <c r="P811" s="24"/>
      <c r="Q811" s="24"/>
      <c r="R811" s="24"/>
      <c r="S811" s="22" t="str">
        <f t="shared" si="62"/>
        <v/>
      </c>
      <c r="T811" s="22" t="str">
        <f t="shared" si="63"/>
        <v/>
      </c>
      <c r="U811" s="25"/>
      <c r="V811" s="25"/>
      <c r="W811" s="25"/>
      <c r="X811" s="25"/>
      <c r="Y811" s="22" t="str">
        <f t="shared" si="64"/>
        <v/>
      </c>
      <c r="Z811" s="25"/>
      <c r="AA811" s="25"/>
      <c r="AB811" s="25"/>
      <c r="AC811" s="25"/>
      <c r="AD811" s="25"/>
      <c r="AE811" s="25"/>
      <c r="AF811" s="25"/>
      <c r="AG811" s="9"/>
      <c r="AH811" s="29"/>
      <c r="AI811" s="29"/>
      <c r="AM811" s="50"/>
      <c r="AN811" s="51" t="s">
        <v>4388</v>
      </c>
      <c r="AO811" s="55" t="s">
        <v>1614</v>
      </c>
    </row>
    <row r="812" spans="1:41" ht="79.8" customHeight="1" x14ac:dyDescent="0.3">
      <c r="A812" s="20">
        <v>808</v>
      </c>
      <c r="B812" s="8" t="s">
        <v>4389</v>
      </c>
      <c r="C812" s="26">
        <v>2024</v>
      </c>
      <c r="D812" s="8"/>
      <c r="E812" s="8" t="s">
        <v>1617</v>
      </c>
      <c r="F812" s="20" t="s">
        <v>1969</v>
      </c>
      <c r="G812" s="21" t="s">
        <v>1968</v>
      </c>
      <c r="H812" s="21" t="s">
        <v>1968</v>
      </c>
      <c r="I812" s="21" t="s">
        <v>1968</v>
      </c>
      <c r="J812" s="21" t="s">
        <v>1968</v>
      </c>
      <c r="K812" s="21" t="s">
        <v>1968</v>
      </c>
      <c r="L812" s="22" t="str">
        <f t="shared" si="60"/>
        <v>INCLUDE</v>
      </c>
      <c r="M812" s="22" t="str">
        <f t="shared" si="61"/>
        <v/>
      </c>
      <c r="N812" s="23" t="s">
        <v>1968</v>
      </c>
      <c r="O812" s="23" t="s">
        <v>1968</v>
      </c>
      <c r="P812" s="24" t="s">
        <v>1968</v>
      </c>
      <c r="Q812" s="24" t="s">
        <v>1968</v>
      </c>
      <c r="R812" s="24" t="s">
        <v>1968</v>
      </c>
      <c r="S812" s="22" t="str">
        <f t="shared" si="62"/>
        <v>INCLUDE</v>
      </c>
      <c r="T812" s="22" t="str">
        <f t="shared" si="63"/>
        <v/>
      </c>
      <c r="U812" s="25" t="s">
        <v>1982</v>
      </c>
      <c r="V812" s="25">
        <v>0</v>
      </c>
      <c r="W812" s="25">
        <v>0</v>
      </c>
      <c r="X812" s="25">
        <v>1</v>
      </c>
      <c r="Y812" s="22" t="str">
        <f t="shared" si="64"/>
        <v>Single</v>
      </c>
      <c r="Z812" s="25" t="s">
        <v>1922</v>
      </c>
      <c r="AA812" s="25" t="s">
        <v>1972</v>
      </c>
      <c r="AB812" s="25" t="s">
        <v>2017</v>
      </c>
      <c r="AC812" s="25" t="s">
        <v>1986</v>
      </c>
      <c r="AD812" s="25" t="s">
        <v>2003</v>
      </c>
      <c r="AE812" s="25">
        <v>3</v>
      </c>
      <c r="AF812" s="25" t="s">
        <v>2012</v>
      </c>
      <c r="AG812" s="9" t="s">
        <v>4390</v>
      </c>
      <c r="AH812" s="29" t="s">
        <v>4391</v>
      </c>
      <c r="AI812" s="29" t="s">
        <v>4392</v>
      </c>
      <c r="AJ812" t="s">
        <v>2005</v>
      </c>
      <c r="AK812" t="s">
        <v>4393</v>
      </c>
      <c r="AL812" t="s">
        <v>1990</v>
      </c>
      <c r="AM812" s="50"/>
      <c r="AN812" s="51" t="s">
        <v>4394</v>
      </c>
      <c r="AO812" s="55" t="s">
        <v>1616</v>
      </c>
    </row>
    <row r="813" spans="1:41" ht="34.200000000000003" customHeight="1" x14ac:dyDescent="0.3">
      <c r="A813" s="20">
        <v>809</v>
      </c>
      <c r="B813" s="8" t="s">
        <v>4395</v>
      </c>
      <c r="C813" s="26">
        <v>2023</v>
      </c>
      <c r="D813" s="8"/>
      <c r="E813" s="8" t="s">
        <v>1619</v>
      </c>
      <c r="F813" s="20" t="s">
        <v>1969</v>
      </c>
      <c r="G813" s="21" t="s">
        <v>1979</v>
      </c>
      <c r="H813" s="21" t="s">
        <v>1968</v>
      </c>
      <c r="I813" s="21" t="s">
        <v>1968</v>
      </c>
      <c r="J813" s="21" t="s">
        <v>1968</v>
      </c>
      <c r="K813" s="21" t="s">
        <v>1968</v>
      </c>
      <c r="L813" s="22" t="str">
        <f t="shared" si="60"/>
        <v>EXCLUDE</v>
      </c>
      <c r="M813" s="22" t="str">
        <f t="shared" si="61"/>
        <v>Wrong domain (non-AECO)</v>
      </c>
      <c r="N813" s="23"/>
      <c r="O813" s="23"/>
      <c r="P813" s="24"/>
      <c r="Q813" s="24"/>
      <c r="R813" s="24"/>
      <c r="S813" s="22" t="str">
        <f t="shared" si="62"/>
        <v/>
      </c>
      <c r="T813" s="22" t="str">
        <f t="shared" si="63"/>
        <v/>
      </c>
      <c r="U813" s="25"/>
      <c r="V813" s="25"/>
      <c r="W813" s="25"/>
      <c r="X813" s="25"/>
      <c r="Y813" s="22" t="str">
        <f t="shared" si="64"/>
        <v/>
      </c>
      <c r="Z813" s="25"/>
      <c r="AA813" s="25"/>
      <c r="AB813" s="25"/>
      <c r="AC813" s="25"/>
      <c r="AD813" s="25"/>
      <c r="AE813" s="25"/>
      <c r="AF813" s="25"/>
      <c r="AG813" s="9"/>
      <c r="AH813" s="29"/>
      <c r="AI813" s="29"/>
      <c r="AM813" s="50"/>
      <c r="AN813" s="51" t="s">
        <v>4396</v>
      </c>
      <c r="AO813" s="55" t="s">
        <v>1618</v>
      </c>
    </row>
    <row r="814" spans="1:41" ht="68.400000000000006" customHeight="1" x14ac:dyDescent="0.3">
      <c r="A814" s="20">
        <v>810</v>
      </c>
      <c r="B814" s="8" t="s">
        <v>4397</v>
      </c>
      <c r="C814" s="26">
        <v>2025</v>
      </c>
      <c r="D814" s="8"/>
      <c r="E814" s="8" t="s">
        <v>1621</v>
      </c>
      <c r="F814" s="20" t="s">
        <v>1969</v>
      </c>
      <c r="G814" s="21" t="s">
        <v>1968</v>
      </c>
      <c r="H814" s="21" t="s">
        <v>1979</v>
      </c>
      <c r="I814" s="21" t="s">
        <v>1968</v>
      </c>
      <c r="J814" s="21" t="s">
        <v>1968</v>
      </c>
      <c r="K814" s="21" t="s">
        <v>1968</v>
      </c>
      <c r="L814" s="22" t="str">
        <f t="shared" si="60"/>
        <v>EXCLUDE</v>
      </c>
      <c r="M814" s="22" t="str">
        <f t="shared" si="61"/>
        <v>Digital Twin not core / buzzword</v>
      </c>
      <c r="N814" s="23"/>
      <c r="O814" s="23"/>
      <c r="P814" s="24"/>
      <c r="Q814" s="24"/>
      <c r="R814" s="24"/>
      <c r="S814" s="22" t="str">
        <f t="shared" si="62"/>
        <v/>
      </c>
      <c r="T814" s="22" t="str">
        <f t="shared" si="63"/>
        <v/>
      </c>
      <c r="U814" s="25"/>
      <c r="V814" s="25"/>
      <c r="W814" s="25"/>
      <c r="X814" s="25"/>
      <c r="Y814" s="22" t="str">
        <f t="shared" si="64"/>
        <v/>
      </c>
      <c r="Z814" s="25"/>
      <c r="AA814" s="25"/>
      <c r="AB814" s="25"/>
      <c r="AC814" s="25"/>
      <c r="AD814" s="25"/>
      <c r="AE814" s="25"/>
      <c r="AF814" s="25"/>
      <c r="AG814" s="9"/>
      <c r="AH814" s="29"/>
      <c r="AI814" s="29"/>
      <c r="AM814" s="50"/>
      <c r="AN814" s="51" t="s">
        <v>4398</v>
      </c>
      <c r="AO814" s="55" t="s">
        <v>1620</v>
      </c>
    </row>
    <row r="815" spans="1:41" ht="91.2" customHeight="1" x14ac:dyDescent="0.3">
      <c r="A815" s="20">
        <v>811</v>
      </c>
      <c r="B815" s="8" t="s">
        <v>4399</v>
      </c>
      <c r="C815" s="26">
        <v>2024</v>
      </c>
      <c r="D815" s="8"/>
      <c r="E815" s="8" t="s">
        <v>1623</v>
      </c>
      <c r="F815" s="20" t="s">
        <v>1969</v>
      </c>
      <c r="G815" s="21" t="s">
        <v>1968</v>
      </c>
      <c r="H815" s="21" t="s">
        <v>1968</v>
      </c>
      <c r="I815" s="21" t="s">
        <v>1968</v>
      </c>
      <c r="J815" s="21" t="s">
        <v>1968</v>
      </c>
      <c r="K815" s="21" t="s">
        <v>1968</v>
      </c>
      <c r="L815" s="22" t="str">
        <f t="shared" si="60"/>
        <v>INCLUDE</v>
      </c>
      <c r="M815" s="22" t="str">
        <f t="shared" si="61"/>
        <v/>
      </c>
      <c r="N815" s="23" t="s">
        <v>1968</v>
      </c>
      <c r="O815" s="23" t="s">
        <v>1968</v>
      </c>
      <c r="P815" s="24" t="s">
        <v>1968</v>
      </c>
      <c r="Q815" s="24" t="s">
        <v>1968</v>
      </c>
      <c r="R815" s="24" t="s">
        <v>1968</v>
      </c>
      <c r="S815" s="22" t="str">
        <f t="shared" si="62"/>
        <v>INCLUDE</v>
      </c>
      <c r="T815" s="22" t="str">
        <f t="shared" si="63"/>
        <v/>
      </c>
      <c r="U815" s="25" t="s">
        <v>1982</v>
      </c>
      <c r="V815" s="25">
        <v>0</v>
      </c>
      <c r="W815" s="25">
        <v>0</v>
      </c>
      <c r="X815" s="25">
        <v>1</v>
      </c>
      <c r="Y815" s="22" t="str">
        <f t="shared" si="64"/>
        <v>Single</v>
      </c>
      <c r="Z815" s="25" t="s">
        <v>1922</v>
      </c>
      <c r="AA815" s="25" t="s">
        <v>1972</v>
      </c>
      <c r="AB815" s="25" t="s">
        <v>2016</v>
      </c>
      <c r="AC815" s="25" t="s">
        <v>1986</v>
      </c>
      <c r="AD815" s="25" t="s">
        <v>2003</v>
      </c>
      <c r="AE815" s="25">
        <v>4</v>
      </c>
      <c r="AF815" s="25" t="s">
        <v>2004</v>
      </c>
      <c r="AG815" s="9" t="s">
        <v>4400</v>
      </c>
      <c r="AH815" s="29" t="s">
        <v>4401</v>
      </c>
      <c r="AI815" s="29" t="s">
        <v>4402</v>
      </c>
      <c r="AJ815" t="s">
        <v>2005</v>
      </c>
      <c r="AK815" t="s">
        <v>4403</v>
      </c>
      <c r="AL815" t="s">
        <v>1990</v>
      </c>
      <c r="AM815" s="50"/>
      <c r="AN815" s="51" t="s">
        <v>4404</v>
      </c>
      <c r="AO815" s="55" t="s">
        <v>1622</v>
      </c>
    </row>
    <row r="816" spans="1:41" ht="91.2" customHeight="1" x14ac:dyDescent="0.3">
      <c r="A816" s="20">
        <v>812</v>
      </c>
      <c r="B816" s="8" t="s">
        <v>4405</v>
      </c>
      <c r="C816" s="26">
        <v>2024</v>
      </c>
      <c r="D816" s="8"/>
      <c r="E816" s="8" t="s">
        <v>1625</v>
      </c>
      <c r="F816" s="20" t="s">
        <v>1969</v>
      </c>
      <c r="G816" s="21" t="s">
        <v>1968</v>
      </c>
      <c r="H816" s="21" t="s">
        <v>1968</v>
      </c>
      <c r="I816" s="21" t="s">
        <v>1968</v>
      </c>
      <c r="J816" s="21" t="s">
        <v>1968</v>
      </c>
      <c r="K816" s="21" t="s">
        <v>1968</v>
      </c>
      <c r="L816" s="22" t="str">
        <f t="shared" si="60"/>
        <v>INCLUDE</v>
      </c>
      <c r="M816" s="22" t="str">
        <f t="shared" si="61"/>
        <v/>
      </c>
      <c r="N816" s="23" t="s">
        <v>1968</v>
      </c>
      <c r="O816" s="23" t="s">
        <v>1968</v>
      </c>
      <c r="P816" s="24" t="s">
        <v>1968</v>
      </c>
      <c r="Q816" s="24" t="s">
        <v>1968</v>
      </c>
      <c r="R816" s="24" t="s">
        <v>1968</v>
      </c>
      <c r="S816" s="22" t="str">
        <f t="shared" si="62"/>
        <v>INCLUDE</v>
      </c>
      <c r="T816" s="22" t="str">
        <f t="shared" si="63"/>
        <v/>
      </c>
      <c r="U816" s="25" t="s">
        <v>1982</v>
      </c>
      <c r="V816" s="25">
        <v>0</v>
      </c>
      <c r="W816" s="25">
        <v>1</v>
      </c>
      <c r="X816" s="25">
        <v>0</v>
      </c>
      <c r="Y816" s="22" t="str">
        <f t="shared" si="64"/>
        <v>Single</v>
      </c>
      <c r="Z816" s="25" t="s">
        <v>1922</v>
      </c>
      <c r="AA816" s="25" t="s">
        <v>1972</v>
      </c>
      <c r="AB816" s="25" t="s">
        <v>2017</v>
      </c>
      <c r="AC816" s="25" t="s">
        <v>1986</v>
      </c>
      <c r="AD816" s="25" t="s">
        <v>2003</v>
      </c>
      <c r="AE816" s="25">
        <v>4</v>
      </c>
      <c r="AF816" s="25" t="s">
        <v>2004</v>
      </c>
      <c r="AG816" s="9" t="s">
        <v>4406</v>
      </c>
      <c r="AH816" s="29" t="s">
        <v>4407</v>
      </c>
      <c r="AI816" s="29" t="s">
        <v>4408</v>
      </c>
      <c r="AJ816" t="s">
        <v>2005</v>
      </c>
      <c r="AK816" t="s">
        <v>4409</v>
      </c>
      <c r="AL816" t="s">
        <v>1990</v>
      </c>
      <c r="AM816" s="50"/>
      <c r="AN816" s="51" t="s">
        <v>4410</v>
      </c>
      <c r="AO816" s="55" t="s">
        <v>1624</v>
      </c>
    </row>
    <row r="817" spans="1:41" ht="91.2" customHeight="1" x14ac:dyDescent="0.3">
      <c r="A817" s="20">
        <v>813</v>
      </c>
      <c r="B817" s="8" t="s">
        <v>4411</v>
      </c>
      <c r="C817" s="26">
        <v>2023</v>
      </c>
      <c r="D817" s="8"/>
      <c r="E817" s="8" t="s">
        <v>1627</v>
      </c>
      <c r="F817" s="20" t="s">
        <v>1969</v>
      </c>
      <c r="G817" s="21" t="s">
        <v>1968</v>
      </c>
      <c r="H817" s="21" t="s">
        <v>1968</v>
      </c>
      <c r="I817" s="21" t="s">
        <v>1968</v>
      </c>
      <c r="J817" s="21" t="s">
        <v>1968</v>
      </c>
      <c r="K817" s="21" t="s">
        <v>1968</v>
      </c>
      <c r="L817" s="22" t="str">
        <f t="shared" si="60"/>
        <v>INCLUDE</v>
      </c>
      <c r="M817" s="22" t="str">
        <f t="shared" si="61"/>
        <v/>
      </c>
      <c r="N817" s="23" t="s">
        <v>1968</v>
      </c>
      <c r="O817" s="23" t="s">
        <v>1968</v>
      </c>
      <c r="P817" s="24" t="s">
        <v>1968</v>
      </c>
      <c r="Q817" s="24" t="s">
        <v>1968</v>
      </c>
      <c r="R817" s="24" t="s">
        <v>1968</v>
      </c>
      <c r="S817" s="22" t="str">
        <f t="shared" si="62"/>
        <v>INCLUDE</v>
      </c>
      <c r="T817" s="22" t="str">
        <f t="shared" si="63"/>
        <v/>
      </c>
      <c r="U817" s="25" t="s">
        <v>1982</v>
      </c>
      <c r="V817" s="25">
        <v>0</v>
      </c>
      <c r="W817" s="25">
        <v>1</v>
      </c>
      <c r="X817" s="25">
        <v>0</v>
      </c>
      <c r="Y817" s="22" t="str">
        <f t="shared" si="64"/>
        <v>Single</v>
      </c>
      <c r="Z817" s="25" t="s">
        <v>1922</v>
      </c>
      <c r="AA817" s="25" t="s">
        <v>1972</v>
      </c>
      <c r="AB817" s="25" t="s">
        <v>2017</v>
      </c>
      <c r="AC817" s="25" t="s">
        <v>1986</v>
      </c>
      <c r="AD817" s="25" t="s">
        <v>2003</v>
      </c>
      <c r="AE817" s="25">
        <v>4</v>
      </c>
      <c r="AF817" s="25" t="s">
        <v>2004</v>
      </c>
      <c r="AG817" s="9" t="s">
        <v>4412</v>
      </c>
      <c r="AH817" s="29" t="s">
        <v>4413</v>
      </c>
      <c r="AI817" s="29" t="s">
        <v>4414</v>
      </c>
      <c r="AJ817" t="s">
        <v>1997</v>
      </c>
      <c r="AK817" t="s">
        <v>4415</v>
      </c>
      <c r="AL817" t="s">
        <v>1978</v>
      </c>
      <c r="AM817" s="50"/>
      <c r="AN817" s="51" t="s">
        <v>4416</v>
      </c>
      <c r="AO817" s="55" t="s">
        <v>1626</v>
      </c>
    </row>
    <row r="818" spans="1:41" ht="34.200000000000003" customHeight="1" x14ac:dyDescent="0.3">
      <c r="A818" s="20">
        <v>814</v>
      </c>
      <c r="B818" s="8" t="s">
        <v>4417</v>
      </c>
      <c r="C818" s="26">
        <v>2023</v>
      </c>
      <c r="D818" s="8"/>
      <c r="E818" s="8" t="s">
        <v>1629</v>
      </c>
      <c r="F818" s="20" t="s">
        <v>1969</v>
      </c>
      <c r="G818" s="21" t="s">
        <v>1979</v>
      </c>
      <c r="H818" s="21" t="s">
        <v>1968</v>
      </c>
      <c r="I818" s="21" t="s">
        <v>1968</v>
      </c>
      <c r="J818" s="21" t="s">
        <v>1968</v>
      </c>
      <c r="K818" s="21" t="s">
        <v>1968</v>
      </c>
      <c r="L818" s="22" t="str">
        <f t="shared" si="60"/>
        <v>EXCLUDE</v>
      </c>
      <c r="M818" s="22" t="str">
        <f t="shared" si="61"/>
        <v>Wrong domain (non-AECO)</v>
      </c>
      <c r="N818" s="23"/>
      <c r="O818" s="23"/>
      <c r="P818" s="24"/>
      <c r="Q818" s="24"/>
      <c r="R818" s="24"/>
      <c r="S818" s="22" t="str">
        <f t="shared" si="62"/>
        <v/>
      </c>
      <c r="T818" s="22" t="str">
        <f t="shared" si="63"/>
        <v/>
      </c>
      <c r="U818" s="25"/>
      <c r="V818" s="25"/>
      <c r="W818" s="25"/>
      <c r="X818" s="25"/>
      <c r="Y818" s="22" t="str">
        <f t="shared" si="64"/>
        <v/>
      </c>
      <c r="Z818" s="25"/>
      <c r="AA818" s="25"/>
      <c r="AB818" s="25"/>
      <c r="AC818" s="25"/>
      <c r="AD818" s="25"/>
      <c r="AE818" s="25"/>
      <c r="AF818" s="25"/>
      <c r="AG818" s="9"/>
      <c r="AH818" s="29"/>
      <c r="AI818" s="29"/>
      <c r="AM818" s="50"/>
      <c r="AN818" s="51" t="s">
        <v>4418</v>
      </c>
      <c r="AO818" s="55" t="s">
        <v>1628</v>
      </c>
    </row>
    <row r="819" spans="1:41" ht="57" customHeight="1" x14ac:dyDescent="0.3">
      <c r="A819" s="20">
        <v>815</v>
      </c>
      <c r="B819" s="8" t="s">
        <v>4419</v>
      </c>
      <c r="C819" s="26">
        <v>2025</v>
      </c>
      <c r="D819" s="8"/>
      <c r="E819" s="8" t="s">
        <v>1631</v>
      </c>
      <c r="F819" s="20" t="s">
        <v>1969</v>
      </c>
      <c r="G819" s="21" t="s">
        <v>1979</v>
      </c>
      <c r="H819" s="21" t="s">
        <v>1968</v>
      </c>
      <c r="I819" s="21" t="s">
        <v>1968</v>
      </c>
      <c r="J819" s="21" t="s">
        <v>1968</v>
      </c>
      <c r="K819" s="21" t="s">
        <v>1968</v>
      </c>
      <c r="L819" s="22" t="str">
        <f t="shared" si="60"/>
        <v>EXCLUDE</v>
      </c>
      <c r="M819" s="22" t="str">
        <f t="shared" si="61"/>
        <v>Wrong domain (non-AECO)</v>
      </c>
      <c r="N819" s="23"/>
      <c r="O819" s="23"/>
      <c r="P819" s="24"/>
      <c r="Q819" s="24"/>
      <c r="R819" s="24"/>
      <c r="S819" s="22" t="str">
        <f t="shared" si="62"/>
        <v/>
      </c>
      <c r="T819" s="22" t="str">
        <f t="shared" si="63"/>
        <v/>
      </c>
      <c r="U819" s="25"/>
      <c r="V819" s="25"/>
      <c r="W819" s="25"/>
      <c r="X819" s="25"/>
      <c r="Y819" s="22" t="str">
        <f t="shared" si="64"/>
        <v/>
      </c>
      <c r="Z819" s="25"/>
      <c r="AA819" s="25"/>
      <c r="AB819" s="25"/>
      <c r="AC819" s="25"/>
      <c r="AD819" s="25"/>
      <c r="AE819" s="25"/>
      <c r="AF819" s="25"/>
      <c r="AG819" s="9"/>
      <c r="AH819" s="29"/>
      <c r="AI819" s="29"/>
      <c r="AM819" s="50"/>
      <c r="AN819" s="51" t="s">
        <v>4420</v>
      </c>
      <c r="AO819" s="55" t="s">
        <v>1630</v>
      </c>
    </row>
    <row r="820" spans="1:41" ht="45.6" customHeight="1" x14ac:dyDescent="0.3">
      <c r="A820" s="20">
        <v>816</v>
      </c>
      <c r="B820" s="8" t="s">
        <v>4421</v>
      </c>
      <c r="C820" s="26">
        <v>2025</v>
      </c>
      <c r="D820" s="8"/>
      <c r="E820" s="8" t="s">
        <v>1633</v>
      </c>
      <c r="F820" s="20" t="s">
        <v>1969</v>
      </c>
      <c r="G820" s="21" t="s">
        <v>1968</v>
      </c>
      <c r="H820" s="21" t="s">
        <v>1979</v>
      </c>
      <c r="I820" s="21" t="s">
        <v>1968</v>
      </c>
      <c r="J820" s="21" t="s">
        <v>1968</v>
      </c>
      <c r="K820" s="21" t="s">
        <v>1968</v>
      </c>
      <c r="L820" s="22" t="str">
        <f t="shared" si="60"/>
        <v>EXCLUDE</v>
      </c>
      <c r="M820" s="22" t="str">
        <f t="shared" si="61"/>
        <v>Digital Twin not core / buzzword</v>
      </c>
      <c r="N820" s="23"/>
      <c r="O820" s="23"/>
      <c r="P820" s="24"/>
      <c r="Q820" s="24"/>
      <c r="R820" s="24"/>
      <c r="S820" s="22" t="str">
        <f t="shared" si="62"/>
        <v/>
      </c>
      <c r="T820" s="22" t="str">
        <f t="shared" si="63"/>
        <v/>
      </c>
      <c r="U820" s="25"/>
      <c r="V820" s="25"/>
      <c r="W820" s="25"/>
      <c r="X820" s="25"/>
      <c r="Y820" s="22" t="str">
        <f t="shared" si="64"/>
        <v/>
      </c>
      <c r="Z820" s="25"/>
      <c r="AA820" s="25"/>
      <c r="AB820" s="25"/>
      <c r="AC820" s="25"/>
      <c r="AD820" s="25"/>
      <c r="AE820" s="25"/>
      <c r="AF820" s="25"/>
      <c r="AG820" s="9"/>
      <c r="AH820" s="29"/>
      <c r="AI820" s="29"/>
      <c r="AM820" s="50"/>
      <c r="AN820" s="51" t="s">
        <v>4422</v>
      </c>
      <c r="AO820" s="55" t="s">
        <v>1632</v>
      </c>
    </row>
    <row r="821" spans="1:41" ht="79.8" customHeight="1" x14ac:dyDescent="0.3">
      <c r="A821" s="20">
        <v>817</v>
      </c>
      <c r="B821" s="8" t="s">
        <v>4423</v>
      </c>
      <c r="C821" s="26">
        <v>2024</v>
      </c>
      <c r="D821" s="8"/>
      <c r="E821" s="8" t="s">
        <v>1635</v>
      </c>
      <c r="F821" s="20" t="s">
        <v>1969</v>
      </c>
      <c r="G821" s="21" t="s">
        <v>1979</v>
      </c>
      <c r="H821" s="21" t="s">
        <v>1968</v>
      </c>
      <c r="I821" s="21" t="s">
        <v>1968</v>
      </c>
      <c r="J821" s="21" t="s">
        <v>1968</v>
      </c>
      <c r="K821" s="21" t="s">
        <v>1968</v>
      </c>
      <c r="L821" s="22" t="str">
        <f t="shared" si="60"/>
        <v>EXCLUDE</v>
      </c>
      <c r="M821" s="22" t="str">
        <f t="shared" si="61"/>
        <v>Wrong domain (non-AECO)</v>
      </c>
      <c r="N821" s="23"/>
      <c r="O821" s="23"/>
      <c r="P821" s="24"/>
      <c r="Q821" s="24"/>
      <c r="R821" s="24"/>
      <c r="S821" s="22" t="str">
        <f t="shared" si="62"/>
        <v/>
      </c>
      <c r="T821" s="22" t="str">
        <f t="shared" si="63"/>
        <v/>
      </c>
      <c r="U821" s="25"/>
      <c r="V821" s="25"/>
      <c r="W821" s="25"/>
      <c r="X821" s="25"/>
      <c r="Y821" s="22" t="str">
        <f t="shared" si="64"/>
        <v/>
      </c>
      <c r="Z821" s="25"/>
      <c r="AA821" s="25"/>
      <c r="AB821" s="25"/>
      <c r="AC821" s="25"/>
      <c r="AD821" s="25"/>
      <c r="AE821" s="25"/>
      <c r="AF821" s="25"/>
      <c r="AG821" s="9"/>
      <c r="AH821" s="29"/>
      <c r="AI821" s="29"/>
      <c r="AM821" s="50"/>
      <c r="AN821" s="51" t="s">
        <v>4424</v>
      </c>
      <c r="AO821" s="55" t="s">
        <v>1634</v>
      </c>
    </row>
    <row r="822" spans="1:41" ht="79.8" customHeight="1" x14ac:dyDescent="0.3">
      <c r="A822" s="20">
        <v>818</v>
      </c>
      <c r="B822" s="8" t="s">
        <v>4425</v>
      </c>
      <c r="C822" s="26">
        <v>2024</v>
      </c>
      <c r="D822" s="8"/>
      <c r="E822" s="8" t="s">
        <v>1637</v>
      </c>
      <c r="F822" s="20" t="s">
        <v>1969</v>
      </c>
      <c r="G822" s="21" t="s">
        <v>1979</v>
      </c>
      <c r="H822" s="21" t="s">
        <v>1968</v>
      </c>
      <c r="I822" s="21" t="s">
        <v>1968</v>
      </c>
      <c r="J822" s="21" t="s">
        <v>1968</v>
      </c>
      <c r="K822" s="21" t="s">
        <v>1968</v>
      </c>
      <c r="L822" s="22" t="str">
        <f t="shared" si="60"/>
        <v>EXCLUDE</v>
      </c>
      <c r="M822" s="22" t="str">
        <f t="shared" si="61"/>
        <v>Wrong domain (non-AECO)</v>
      </c>
      <c r="N822" s="23"/>
      <c r="O822" s="23"/>
      <c r="P822" s="24"/>
      <c r="Q822" s="24"/>
      <c r="R822" s="24"/>
      <c r="S822" s="22" t="str">
        <f t="shared" si="62"/>
        <v/>
      </c>
      <c r="T822" s="22" t="str">
        <f t="shared" si="63"/>
        <v/>
      </c>
      <c r="U822" s="25"/>
      <c r="V822" s="25"/>
      <c r="W822" s="25"/>
      <c r="X822" s="25"/>
      <c r="Y822" s="22" t="str">
        <f t="shared" si="64"/>
        <v/>
      </c>
      <c r="Z822" s="25"/>
      <c r="AA822" s="25"/>
      <c r="AB822" s="25"/>
      <c r="AC822" s="25"/>
      <c r="AD822" s="25"/>
      <c r="AE822" s="25"/>
      <c r="AF822" s="25"/>
      <c r="AG822" s="9"/>
      <c r="AH822" s="29"/>
      <c r="AI822" s="29"/>
      <c r="AM822" s="50"/>
      <c r="AN822" s="51" t="s">
        <v>4426</v>
      </c>
      <c r="AO822" s="55" t="s">
        <v>1636</v>
      </c>
    </row>
    <row r="823" spans="1:41" ht="34.200000000000003" customHeight="1" x14ac:dyDescent="0.3">
      <c r="A823" s="20">
        <v>819</v>
      </c>
      <c r="B823" s="8" t="s">
        <v>4427</v>
      </c>
      <c r="C823" s="26">
        <v>2023</v>
      </c>
      <c r="D823" s="8"/>
      <c r="E823" s="8" t="s">
        <v>1639</v>
      </c>
      <c r="F823" s="20" t="s">
        <v>1969</v>
      </c>
      <c r="G823" s="21" t="s">
        <v>1979</v>
      </c>
      <c r="H823" s="21" t="s">
        <v>1968</v>
      </c>
      <c r="I823" s="21" t="s">
        <v>1968</v>
      </c>
      <c r="J823" s="21" t="s">
        <v>1968</v>
      </c>
      <c r="K823" s="21" t="s">
        <v>1968</v>
      </c>
      <c r="L823" s="22" t="str">
        <f t="shared" si="60"/>
        <v>EXCLUDE</v>
      </c>
      <c r="M823" s="22" t="str">
        <f t="shared" si="61"/>
        <v>Wrong domain (non-AECO)</v>
      </c>
      <c r="N823" s="23"/>
      <c r="O823" s="23"/>
      <c r="P823" s="24"/>
      <c r="Q823" s="24"/>
      <c r="R823" s="24"/>
      <c r="S823" s="22" t="str">
        <f t="shared" si="62"/>
        <v/>
      </c>
      <c r="T823" s="22" t="str">
        <f t="shared" si="63"/>
        <v/>
      </c>
      <c r="U823" s="25"/>
      <c r="V823" s="25"/>
      <c r="W823" s="25"/>
      <c r="X823" s="25"/>
      <c r="Y823" s="22" t="str">
        <f t="shared" si="64"/>
        <v/>
      </c>
      <c r="Z823" s="25"/>
      <c r="AA823" s="25"/>
      <c r="AB823" s="25"/>
      <c r="AC823" s="25"/>
      <c r="AD823" s="25"/>
      <c r="AE823" s="25"/>
      <c r="AF823" s="25"/>
      <c r="AG823" s="9"/>
      <c r="AH823" s="29"/>
      <c r="AI823" s="29"/>
      <c r="AM823" s="50"/>
      <c r="AN823" s="51" t="s">
        <v>4428</v>
      </c>
      <c r="AO823" s="55" t="s">
        <v>1638</v>
      </c>
    </row>
    <row r="824" spans="1:41" ht="57" customHeight="1" x14ac:dyDescent="0.3">
      <c r="A824" s="20">
        <v>820</v>
      </c>
      <c r="B824" s="8" t="s">
        <v>3992</v>
      </c>
      <c r="C824" s="26">
        <v>2022</v>
      </c>
      <c r="D824" s="8"/>
      <c r="E824" s="8" t="s">
        <v>1641</v>
      </c>
      <c r="F824" s="20" t="s">
        <v>1969</v>
      </c>
      <c r="G824" s="21" t="s">
        <v>1979</v>
      </c>
      <c r="H824" s="21" t="s">
        <v>1968</v>
      </c>
      <c r="I824" s="21" t="s">
        <v>1968</v>
      </c>
      <c r="J824" s="21" t="s">
        <v>1968</v>
      </c>
      <c r="K824" s="21" t="s">
        <v>1968</v>
      </c>
      <c r="L824" s="22" t="str">
        <f t="shared" si="60"/>
        <v>EXCLUDE</v>
      </c>
      <c r="M824" s="22" t="str">
        <f t="shared" si="61"/>
        <v>Wrong domain (non-AECO)</v>
      </c>
      <c r="N824" s="23"/>
      <c r="O824" s="23"/>
      <c r="P824" s="24"/>
      <c r="Q824" s="24"/>
      <c r="R824" s="24"/>
      <c r="S824" s="22" t="str">
        <f t="shared" si="62"/>
        <v/>
      </c>
      <c r="T824" s="22" t="str">
        <f t="shared" si="63"/>
        <v/>
      </c>
      <c r="U824" s="25"/>
      <c r="V824" s="25"/>
      <c r="W824" s="25"/>
      <c r="X824" s="25"/>
      <c r="Y824" s="22" t="str">
        <f t="shared" si="64"/>
        <v/>
      </c>
      <c r="Z824" s="25"/>
      <c r="AA824" s="25"/>
      <c r="AB824" s="25"/>
      <c r="AC824" s="25"/>
      <c r="AD824" s="25"/>
      <c r="AE824" s="25"/>
      <c r="AF824" s="25"/>
      <c r="AG824" s="9"/>
      <c r="AH824" s="29"/>
      <c r="AI824" s="29"/>
      <c r="AM824" s="50"/>
      <c r="AN824" s="51" t="s">
        <v>4429</v>
      </c>
      <c r="AO824" s="55" t="s">
        <v>1640</v>
      </c>
    </row>
    <row r="825" spans="1:41" ht="79.8" customHeight="1" x14ac:dyDescent="0.3">
      <c r="A825" s="20">
        <v>821</v>
      </c>
      <c r="B825" s="8" t="s">
        <v>4430</v>
      </c>
      <c r="C825" s="26">
        <v>2025</v>
      </c>
      <c r="D825" s="8"/>
      <c r="E825" s="8" t="s">
        <v>1643</v>
      </c>
      <c r="F825" s="20" t="s">
        <v>1969</v>
      </c>
      <c r="G825" s="21" t="s">
        <v>1968</v>
      </c>
      <c r="H825" s="21" t="s">
        <v>1979</v>
      </c>
      <c r="I825" s="21" t="s">
        <v>1968</v>
      </c>
      <c r="J825" s="21" t="s">
        <v>1968</v>
      </c>
      <c r="K825" s="21" t="s">
        <v>1968</v>
      </c>
      <c r="L825" s="22" t="str">
        <f t="shared" si="60"/>
        <v>EXCLUDE</v>
      </c>
      <c r="M825" s="22" t="str">
        <f t="shared" si="61"/>
        <v>Digital Twin not core / buzzword</v>
      </c>
      <c r="N825" s="23"/>
      <c r="O825" s="23"/>
      <c r="P825" s="24"/>
      <c r="Q825" s="24"/>
      <c r="R825" s="24"/>
      <c r="S825" s="22" t="str">
        <f t="shared" si="62"/>
        <v/>
      </c>
      <c r="T825" s="22" t="str">
        <f t="shared" si="63"/>
        <v/>
      </c>
      <c r="U825" s="25"/>
      <c r="V825" s="25"/>
      <c r="W825" s="25"/>
      <c r="X825" s="25"/>
      <c r="Y825" s="22" t="str">
        <f t="shared" si="64"/>
        <v/>
      </c>
      <c r="Z825" s="25"/>
      <c r="AA825" s="25"/>
      <c r="AB825" s="25"/>
      <c r="AC825" s="25"/>
      <c r="AD825" s="25"/>
      <c r="AE825" s="25"/>
      <c r="AF825" s="25"/>
      <c r="AG825" s="9"/>
      <c r="AH825" s="29"/>
      <c r="AI825" s="29"/>
      <c r="AM825" s="50"/>
      <c r="AN825" s="51" t="s">
        <v>4431</v>
      </c>
      <c r="AO825" s="55" t="s">
        <v>1642</v>
      </c>
    </row>
    <row r="826" spans="1:41" ht="45.6" customHeight="1" x14ac:dyDescent="0.3">
      <c r="A826" s="20">
        <v>822</v>
      </c>
      <c r="B826" s="8" t="s">
        <v>4432</v>
      </c>
      <c r="C826" s="26">
        <v>2024</v>
      </c>
      <c r="D826" s="8"/>
      <c r="E826" s="8" t="s">
        <v>1645</v>
      </c>
      <c r="F826" s="20" t="s">
        <v>1969</v>
      </c>
      <c r="G826" s="21" t="s">
        <v>1979</v>
      </c>
      <c r="H826" s="21" t="s">
        <v>1968</v>
      </c>
      <c r="I826" s="21" t="s">
        <v>1968</v>
      </c>
      <c r="J826" s="21" t="s">
        <v>1968</v>
      </c>
      <c r="K826" s="21" t="s">
        <v>1968</v>
      </c>
      <c r="L826" s="22" t="str">
        <f t="shared" si="60"/>
        <v>EXCLUDE</v>
      </c>
      <c r="M826" s="22" t="str">
        <f t="shared" si="61"/>
        <v>Wrong domain (non-AECO)</v>
      </c>
      <c r="N826" s="23"/>
      <c r="O826" s="23"/>
      <c r="P826" s="24"/>
      <c r="Q826" s="24"/>
      <c r="R826" s="24"/>
      <c r="S826" s="22" t="str">
        <f t="shared" si="62"/>
        <v/>
      </c>
      <c r="T826" s="22" t="str">
        <f t="shared" si="63"/>
        <v/>
      </c>
      <c r="U826" s="25"/>
      <c r="V826" s="25"/>
      <c r="W826" s="25"/>
      <c r="X826" s="25"/>
      <c r="Y826" s="22" t="str">
        <f t="shared" si="64"/>
        <v/>
      </c>
      <c r="Z826" s="25"/>
      <c r="AA826" s="25"/>
      <c r="AB826" s="25"/>
      <c r="AC826" s="25"/>
      <c r="AD826" s="25"/>
      <c r="AE826" s="25"/>
      <c r="AF826" s="25"/>
      <c r="AG826" s="9"/>
      <c r="AH826" s="29"/>
      <c r="AI826" s="29"/>
      <c r="AM826" s="50"/>
      <c r="AN826" s="51" t="s">
        <v>4433</v>
      </c>
      <c r="AO826" s="55" t="s">
        <v>1644</v>
      </c>
    </row>
    <row r="827" spans="1:41" ht="57" customHeight="1" x14ac:dyDescent="0.3">
      <c r="A827" s="20">
        <v>823</v>
      </c>
      <c r="B827" s="8" t="s">
        <v>4434</v>
      </c>
      <c r="C827" s="26">
        <v>2024</v>
      </c>
      <c r="D827" s="8"/>
      <c r="E827" s="8" t="s">
        <v>1647</v>
      </c>
      <c r="F827" s="20" t="s">
        <v>1969</v>
      </c>
      <c r="G827" s="21" t="s">
        <v>1979</v>
      </c>
      <c r="H827" s="21" t="s">
        <v>1968</v>
      </c>
      <c r="I827" s="21" t="s">
        <v>1968</v>
      </c>
      <c r="J827" s="21" t="s">
        <v>1968</v>
      </c>
      <c r="K827" s="21" t="s">
        <v>1968</v>
      </c>
      <c r="L827" s="22" t="str">
        <f t="shared" si="60"/>
        <v>EXCLUDE</v>
      </c>
      <c r="M827" s="22" t="str">
        <f t="shared" si="61"/>
        <v>Wrong domain (non-AECO)</v>
      </c>
      <c r="N827" s="23"/>
      <c r="O827" s="23"/>
      <c r="P827" s="24"/>
      <c r="Q827" s="24"/>
      <c r="R827" s="24"/>
      <c r="S827" s="22" t="str">
        <f t="shared" si="62"/>
        <v/>
      </c>
      <c r="T827" s="22" t="str">
        <f t="shared" si="63"/>
        <v/>
      </c>
      <c r="U827" s="25"/>
      <c r="V827" s="25"/>
      <c r="W827" s="25"/>
      <c r="X827" s="25"/>
      <c r="Y827" s="22" t="str">
        <f t="shared" si="64"/>
        <v/>
      </c>
      <c r="Z827" s="25"/>
      <c r="AA827" s="25"/>
      <c r="AB827" s="25"/>
      <c r="AC827" s="25"/>
      <c r="AD827" s="25"/>
      <c r="AE827" s="25"/>
      <c r="AF827" s="25"/>
      <c r="AG827" s="9"/>
      <c r="AH827" s="29"/>
      <c r="AI827" s="29"/>
      <c r="AM827" s="50"/>
      <c r="AN827" s="51" t="s">
        <v>4435</v>
      </c>
      <c r="AO827" s="55" t="s">
        <v>1646</v>
      </c>
    </row>
    <row r="828" spans="1:41" ht="68.400000000000006" customHeight="1" x14ac:dyDescent="0.3">
      <c r="A828" s="20">
        <v>824</v>
      </c>
      <c r="B828" s="8" t="s">
        <v>4436</v>
      </c>
      <c r="C828" s="26">
        <v>2023</v>
      </c>
      <c r="D828" s="8"/>
      <c r="E828" s="8" t="s">
        <v>1649</v>
      </c>
      <c r="F828" s="20" t="s">
        <v>1969</v>
      </c>
      <c r="G828" s="21" t="s">
        <v>1968</v>
      </c>
      <c r="H828" s="21" t="s">
        <v>1968</v>
      </c>
      <c r="I828" s="21" t="s">
        <v>1979</v>
      </c>
      <c r="J828" s="21" t="s">
        <v>1968</v>
      </c>
      <c r="K828" s="21" t="s">
        <v>1968</v>
      </c>
      <c r="L828" s="22" t="str">
        <f t="shared" si="60"/>
        <v>EXCLUDE</v>
      </c>
      <c r="M828" s="22" t="str">
        <f t="shared" si="61"/>
        <v>No Design for Safety / PtD focus</v>
      </c>
      <c r="N828" s="23"/>
      <c r="O828" s="23"/>
      <c r="P828" s="24"/>
      <c r="Q828" s="24"/>
      <c r="R828" s="24"/>
      <c r="S828" s="22" t="str">
        <f t="shared" si="62"/>
        <v/>
      </c>
      <c r="T828" s="22" t="str">
        <f t="shared" si="63"/>
        <v/>
      </c>
      <c r="U828" s="25"/>
      <c r="V828" s="25"/>
      <c r="W828" s="25"/>
      <c r="X828" s="25"/>
      <c r="Y828" s="22" t="str">
        <f t="shared" si="64"/>
        <v/>
      </c>
      <c r="Z828" s="25"/>
      <c r="AA828" s="25"/>
      <c r="AB828" s="25"/>
      <c r="AC828" s="25"/>
      <c r="AD828" s="25"/>
      <c r="AE828" s="25"/>
      <c r="AF828" s="25"/>
      <c r="AG828" s="9"/>
      <c r="AH828" s="29"/>
      <c r="AI828" s="29"/>
      <c r="AM828" s="50"/>
      <c r="AN828" s="51" t="s">
        <v>4437</v>
      </c>
      <c r="AO828" s="55" t="s">
        <v>1648</v>
      </c>
    </row>
    <row r="829" spans="1:41" ht="57" customHeight="1" x14ac:dyDescent="0.3">
      <c r="A829" s="20">
        <v>825</v>
      </c>
      <c r="B829" s="8" t="s">
        <v>4438</v>
      </c>
      <c r="C829" s="26">
        <v>2024</v>
      </c>
      <c r="D829" s="8"/>
      <c r="E829" s="8" t="s">
        <v>1651</v>
      </c>
      <c r="F829" s="20" t="s">
        <v>1969</v>
      </c>
      <c r="G829" s="21" t="s">
        <v>1968</v>
      </c>
      <c r="H829" s="21" t="s">
        <v>1968</v>
      </c>
      <c r="I829" s="21" t="s">
        <v>1968</v>
      </c>
      <c r="J829" s="21" t="s">
        <v>1968</v>
      </c>
      <c r="K829" s="21" t="s">
        <v>1968</v>
      </c>
      <c r="L829" s="22" t="str">
        <f t="shared" si="60"/>
        <v>INCLUDE</v>
      </c>
      <c r="M829" s="22" t="str">
        <f t="shared" si="61"/>
        <v/>
      </c>
      <c r="N829" s="23" t="s">
        <v>1968</v>
      </c>
      <c r="O829" s="23" t="s">
        <v>1968</v>
      </c>
      <c r="P829" s="24" t="s">
        <v>1968</v>
      </c>
      <c r="Q829" s="24" t="s">
        <v>1968</v>
      </c>
      <c r="R829" s="24" t="s">
        <v>1968</v>
      </c>
      <c r="S829" s="22" t="str">
        <f t="shared" si="62"/>
        <v>INCLUDE</v>
      </c>
      <c r="T829" s="22" t="str">
        <f t="shared" si="63"/>
        <v/>
      </c>
      <c r="U829" s="25" t="s">
        <v>1971</v>
      </c>
      <c r="V829" s="25">
        <v>0</v>
      </c>
      <c r="W829" s="25">
        <v>0</v>
      </c>
      <c r="X829" s="25">
        <v>1</v>
      </c>
      <c r="Y829" s="22" t="str">
        <f t="shared" si="64"/>
        <v>Single</v>
      </c>
      <c r="Z829" s="25" t="s">
        <v>1922</v>
      </c>
      <c r="AA829" s="25" t="s">
        <v>1972</v>
      </c>
      <c r="AB829" s="25" t="s">
        <v>2018</v>
      </c>
      <c r="AC829" s="25" t="s">
        <v>1974</v>
      </c>
      <c r="AD829" s="25" t="s">
        <v>1987</v>
      </c>
      <c r="AE829" s="25">
        <v>2</v>
      </c>
      <c r="AF829" s="25" t="s">
        <v>2004</v>
      </c>
      <c r="AG829" s="9" t="s">
        <v>4439</v>
      </c>
      <c r="AH829" s="29" t="s">
        <v>4440</v>
      </c>
      <c r="AI829" s="29" t="s">
        <v>4441</v>
      </c>
      <c r="AJ829" t="s">
        <v>1977</v>
      </c>
      <c r="AK829" t="s">
        <v>4442</v>
      </c>
      <c r="AL829" t="s">
        <v>1978</v>
      </c>
      <c r="AM829" s="50"/>
      <c r="AN829" s="51" t="s">
        <v>4443</v>
      </c>
      <c r="AO829" s="55" t="s">
        <v>1650</v>
      </c>
    </row>
    <row r="830" spans="1:41" ht="91.2" customHeight="1" x14ac:dyDescent="0.3">
      <c r="A830" s="20">
        <v>826</v>
      </c>
      <c r="B830" s="8" t="s">
        <v>4444</v>
      </c>
      <c r="C830" s="26">
        <v>2023</v>
      </c>
      <c r="D830" s="8"/>
      <c r="E830" s="8" t="s">
        <v>1653</v>
      </c>
      <c r="F830" s="20" t="s">
        <v>1969</v>
      </c>
      <c r="G830" s="21" t="s">
        <v>1968</v>
      </c>
      <c r="H830" s="21" t="s">
        <v>1968</v>
      </c>
      <c r="I830" s="21" t="s">
        <v>1968</v>
      </c>
      <c r="J830" s="21" t="s">
        <v>1968</v>
      </c>
      <c r="K830" s="21" t="s">
        <v>1968</v>
      </c>
      <c r="L830" s="22" t="str">
        <f t="shared" si="60"/>
        <v>INCLUDE</v>
      </c>
      <c r="M830" s="22" t="str">
        <f t="shared" si="61"/>
        <v/>
      </c>
      <c r="N830" s="23" t="s">
        <v>1968</v>
      </c>
      <c r="O830" s="23" t="s">
        <v>1968</v>
      </c>
      <c r="P830" s="24" t="s">
        <v>1968</v>
      </c>
      <c r="Q830" s="24" t="s">
        <v>1968</v>
      </c>
      <c r="R830" s="24" t="s">
        <v>1968</v>
      </c>
      <c r="S830" s="22" t="str">
        <f t="shared" si="62"/>
        <v>INCLUDE</v>
      </c>
      <c r="T830" s="22" t="str">
        <f t="shared" si="63"/>
        <v/>
      </c>
      <c r="U830" s="25" t="s">
        <v>1982</v>
      </c>
      <c r="V830" s="25">
        <v>0</v>
      </c>
      <c r="W830" s="25">
        <v>0</v>
      </c>
      <c r="X830" s="25">
        <v>1</v>
      </c>
      <c r="Y830" s="22" t="str">
        <f t="shared" si="64"/>
        <v>Single</v>
      </c>
      <c r="Z830" s="25" t="s">
        <v>1922</v>
      </c>
      <c r="AA830" s="25" t="s">
        <v>1972</v>
      </c>
      <c r="AB830" s="25" t="s">
        <v>2014</v>
      </c>
      <c r="AC830" s="25" t="s">
        <v>1986</v>
      </c>
      <c r="AD830" s="25" t="s">
        <v>2003</v>
      </c>
      <c r="AE830" s="25">
        <v>3</v>
      </c>
      <c r="AF830" s="25" t="s">
        <v>2004</v>
      </c>
      <c r="AG830" s="9" t="s">
        <v>4445</v>
      </c>
      <c r="AH830" s="29" t="s">
        <v>4446</v>
      </c>
      <c r="AI830" s="29" t="s">
        <v>4447</v>
      </c>
      <c r="AJ830" t="s">
        <v>2005</v>
      </c>
      <c r="AK830" t="s">
        <v>4448</v>
      </c>
      <c r="AL830" t="s">
        <v>1990</v>
      </c>
      <c r="AM830" s="50"/>
      <c r="AN830" s="51" t="s">
        <v>4449</v>
      </c>
      <c r="AO830" s="55" t="s">
        <v>1652</v>
      </c>
    </row>
    <row r="831" spans="1:41" ht="86.4" customHeight="1" x14ac:dyDescent="0.3">
      <c r="A831" s="20">
        <v>827</v>
      </c>
      <c r="B831" s="8" t="s">
        <v>4450</v>
      </c>
      <c r="C831" s="26">
        <v>2022</v>
      </c>
      <c r="D831" s="8"/>
      <c r="E831" s="8" t="s">
        <v>1655</v>
      </c>
      <c r="F831" s="20" t="s">
        <v>1969</v>
      </c>
      <c r="G831" s="21" t="s">
        <v>1968</v>
      </c>
      <c r="H831" s="21" t="s">
        <v>1968</v>
      </c>
      <c r="I831" s="21" t="s">
        <v>1968</v>
      </c>
      <c r="J831" s="21" t="s">
        <v>1968</v>
      </c>
      <c r="K831" s="21" t="s">
        <v>1968</v>
      </c>
      <c r="L831" s="22" t="str">
        <f t="shared" si="60"/>
        <v>INCLUDE</v>
      </c>
      <c r="M831" s="22" t="str">
        <f t="shared" si="61"/>
        <v/>
      </c>
      <c r="N831" s="23" t="s">
        <v>1968</v>
      </c>
      <c r="O831" s="23" t="s">
        <v>1968</v>
      </c>
      <c r="P831" s="24" t="s">
        <v>1968</v>
      </c>
      <c r="Q831" s="24" t="s">
        <v>1968</v>
      </c>
      <c r="R831" s="24" t="s">
        <v>1968</v>
      </c>
      <c r="S831" s="22" t="str">
        <f t="shared" si="62"/>
        <v>INCLUDE</v>
      </c>
      <c r="T831" s="22" t="str">
        <f t="shared" si="63"/>
        <v/>
      </c>
      <c r="U831" s="25" t="s">
        <v>1982</v>
      </c>
      <c r="V831" s="25">
        <v>0</v>
      </c>
      <c r="W831" s="25">
        <v>1</v>
      </c>
      <c r="X831" s="25">
        <v>0</v>
      </c>
      <c r="Y831" s="22" t="str">
        <f t="shared" si="64"/>
        <v>Single</v>
      </c>
      <c r="Z831" s="25" t="s">
        <v>1922</v>
      </c>
      <c r="AA831" s="25" t="s">
        <v>1972</v>
      </c>
      <c r="AB831" s="25" t="s">
        <v>1973</v>
      </c>
      <c r="AC831" s="25" t="s">
        <v>1986</v>
      </c>
      <c r="AD831" s="25" t="s">
        <v>2003</v>
      </c>
      <c r="AE831" s="25">
        <v>4</v>
      </c>
      <c r="AF831" s="25" t="s">
        <v>2004</v>
      </c>
      <c r="AG831" s="9" t="s">
        <v>4451</v>
      </c>
      <c r="AH831" s="29" t="s">
        <v>4452</v>
      </c>
      <c r="AI831" s="29" t="s">
        <v>4453</v>
      </c>
      <c r="AJ831" t="s">
        <v>2005</v>
      </c>
      <c r="AK831" t="s">
        <v>4454</v>
      </c>
      <c r="AL831" t="s">
        <v>1978</v>
      </c>
      <c r="AM831" s="50"/>
      <c r="AN831" s="51" t="s">
        <v>4455</v>
      </c>
      <c r="AO831" s="55" t="s">
        <v>1654</v>
      </c>
    </row>
    <row r="832" spans="1:41" ht="45.6" customHeight="1" x14ac:dyDescent="0.3">
      <c r="A832" s="20">
        <v>828</v>
      </c>
      <c r="B832" s="8" t="s">
        <v>4456</v>
      </c>
      <c r="C832" s="26">
        <v>2025</v>
      </c>
      <c r="D832" s="8"/>
      <c r="E832" s="8" t="s">
        <v>1657</v>
      </c>
      <c r="F832" s="20" t="s">
        <v>1969</v>
      </c>
      <c r="G832" s="21" t="s">
        <v>1968</v>
      </c>
      <c r="H832" s="21" t="s">
        <v>1979</v>
      </c>
      <c r="I832" s="21" t="s">
        <v>1968</v>
      </c>
      <c r="J832" s="21" t="s">
        <v>1968</v>
      </c>
      <c r="K832" s="21" t="s">
        <v>1968</v>
      </c>
      <c r="L832" s="22" t="str">
        <f t="shared" si="60"/>
        <v>EXCLUDE</v>
      </c>
      <c r="M832" s="22" t="str">
        <f t="shared" si="61"/>
        <v>Digital Twin not core / buzzword</v>
      </c>
      <c r="N832" s="23"/>
      <c r="O832" s="23"/>
      <c r="P832" s="24"/>
      <c r="Q832" s="24"/>
      <c r="R832" s="24"/>
      <c r="S832" s="22" t="str">
        <f t="shared" si="62"/>
        <v/>
      </c>
      <c r="T832" s="22" t="str">
        <f t="shared" si="63"/>
        <v/>
      </c>
      <c r="U832" s="25"/>
      <c r="V832" s="25"/>
      <c r="W832" s="25"/>
      <c r="X832" s="25"/>
      <c r="Y832" s="22" t="str">
        <f t="shared" si="64"/>
        <v/>
      </c>
      <c r="Z832" s="25"/>
      <c r="AA832" s="25"/>
      <c r="AB832" s="25"/>
      <c r="AC832" s="25"/>
      <c r="AD832" s="25"/>
      <c r="AE832" s="25"/>
      <c r="AF832" s="25"/>
      <c r="AG832" s="9"/>
      <c r="AH832" s="29"/>
      <c r="AI832" s="29"/>
      <c r="AM832" s="50"/>
      <c r="AN832" s="51" t="s">
        <v>4457</v>
      </c>
      <c r="AO832" s="55" t="s">
        <v>1656</v>
      </c>
    </row>
    <row r="833" spans="1:41" ht="68.400000000000006" customHeight="1" x14ac:dyDescent="0.3">
      <c r="A833" s="20">
        <v>829</v>
      </c>
      <c r="B833" s="8" t="s">
        <v>4458</v>
      </c>
      <c r="C833" s="26">
        <v>2023</v>
      </c>
      <c r="D833" s="8"/>
      <c r="E833" s="8" t="s">
        <v>1659</v>
      </c>
      <c r="F833" s="20" t="s">
        <v>1969</v>
      </c>
      <c r="G833" s="21" t="s">
        <v>1968</v>
      </c>
      <c r="H833" s="21" t="s">
        <v>1979</v>
      </c>
      <c r="I833" s="21" t="s">
        <v>1968</v>
      </c>
      <c r="J833" s="21" t="s">
        <v>1968</v>
      </c>
      <c r="K833" s="21" t="s">
        <v>1968</v>
      </c>
      <c r="L833" s="22" t="str">
        <f t="shared" si="60"/>
        <v>EXCLUDE</v>
      </c>
      <c r="M833" s="22" t="str">
        <f t="shared" si="61"/>
        <v>Digital Twin not core / buzzword</v>
      </c>
      <c r="N833" s="23"/>
      <c r="O833" s="23"/>
      <c r="P833" s="24"/>
      <c r="Q833" s="24"/>
      <c r="R833" s="24"/>
      <c r="S833" s="22" t="str">
        <f t="shared" si="62"/>
        <v/>
      </c>
      <c r="T833" s="22" t="str">
        <f t="shared" si="63"/>
        <v/>
      </c>
      <c r="U833" s="25"/>
      <c r="V833" s="25"/>
      <c r="W833" s="25"/>
      <c r="X833" s="25"/>
      <c r="Y833" s="22" t="str">
        <f t="shared" si="64"/>
        <v/>
      </c>
      <c r="Z833" s="25"/>
      <c r="AA833" s="25"/>
      <c r="AB833" s="25"/>
      <c r="AC833" s="25"/>
      <c r="AD833" s="25"/>
      <c r="AE833" s="25"/>
      <c r="AF833" s="25"/>
      <c r="AG833" s="9"/>
      <c r="AH833" s="29"/>
      <c r="AI833" s="29"/>
      <c r="AM833" s="50"/>
      <c r="AN833" s="51" t="s">
        <v>4459</v>
      </c>
      <c r="AO833" s="55" t="s">
        <v>1658</v>
      </c>
    </row>
    <row r="834" spans="1:41" ht="45.6" customHeight="1" x14ac:dyDescent="0.3">
      <c r="A834" s="20">
        <v>830</v>
      </c>
      <c r="B834" s="8" t="s">
        <v>4460</v>
      </c>
      <c r="C834" s="26">
        <v>2023</v>
      </c>
      <c r="D834" s="8"/>
      <c r="E834" s="8" t="s">
        <v>1661</v>
      </c>
      <c r="F834" s="20" t="s">
        <v>1969</v>
      </c>
      <c r="G834" s="21" t="s">
        <v>1968</v>
      </c>
      <c r="H834" s="21" t="s">
        <v>1968</v>
      </c>
      <c r="I834" s="21" t="s">
        <v>1968</v>
      </c>
      <c r="J834" s="21" t="s">
        <v>1968</v>
      </c>
      <c r="K834" s="21" t="s">
        <v>1968</v>
      </c>
      <c r="L834" s="22" t="str">
        <f t="shared" si="60"/>
        <v>INCLUDE</v>
      </c>
      <c r="M834" s="22" t="str">
        <f t="shared" si="61"/>
        <v/>
      </c>
      <c r="N834" s="23" t="s">
        <v>1968</v>
      </c>
      <c r="O834" s="23" t="s">
        <v>1968</v>
      </c>
      <c r="P834" s="24" t="s">
        <v>1968</v>
      </c>
      <c r="Q834" s="24" t="s">
        <v>1968</v>
      </c>
      <c r="R834" s="24" t="s">
        <v>1968</v>
      </c>
      <c r="S834" s="22" t="str">
        <f t="shared" si="62"/>
        <v>INCLUDE</v>
      </c>
      <c r="T834" s="22" t="str">
        <f t="shared" si="63"/>
        <v/>
      </c>
      <c r="U834" s="25" t="s">
        <v>1992</v>
      </c>
      <c r="V834" s="25">
        <v>0</v>
      </c>
      <c r="W834" s="25">
        <v>1</v>
      </c>
      <c r="X834" s="25">
        <v>0</v>
      </c>
      <c r="Y834" s="22" t="str">
        <f t="shared" si="64"/>
        <v>Single</v>
      </c>
      <c r="Z834" s="25" t="s">
        <v>1922</v>
      </c>
      <c r="AA834" s="25" t="s">
        <v>1993</v>
      </c>
      <c r="AB834" s="25" t="s">
        <v>2011</v>
      </c>
      <c r="AC834" s="25" t="s">
        <v>1986</v>
      </c>
      <c r="AD834" s="25" t="s">
        <v>2003</v>
      </c>
      <c r="AE834" s="25">
        <v>4</v>
      </c>
      <c r="AF834" s="25" t="s">
        <v>2010</v>
      </c>
      <c r="AG834" s="9" t="s">
        <v>4461</v>
      </c>
      <c r="AH834" s="29" t="s">
        <v>4462</v>
      </c>
      <c r="AI834" s="29" t="s">
        <v>4463</v>
      </c>
      <c r="AJ834" t="s">
        <v>2005</v>
      </c>
      <c r="AK834" t="s">
        <v>4464</v>
      </c>
      <c r="AL834" t="s">
        <v>1978</v>
      </c>
      <c r="AM834" s="50"/>
      <c r="AN834" s="51" t="s">
        <v>4465</v>
      </c>
      <c r="AO834" s="55" t="s">
        <v>1660</v>
      </c>
    </row>
    <row r="835" spans="1:41" ht="57" customHeight="1" x14ac:dyDescent="0.3">
      <c r="A835" s="20">
        <v>831</v>
      </c>
      <c r="B835" s="8" t="s">
        <v>2970</v>
      </c>
      <c r="C835" s="26">
        <v>2025</v>
      </c>
      <c r="D835" s="8"/>
      <c r="E835" s="8" t="s">
        <v>1663</v>
      </c>
      <c r="F835" s="20" t="s">
        <v>1969</v>
      </c>
      <c r="G835" s="21" t="s">
        <v>1979</v>
      </c>
      <c r="H835" s="21" t="s">
        <v>1968</v>
      </c>
      <c r="I835" s="21" t="s">
        <v>1968</v>
      </c>
      <c r="J835" s="21" t="s">
        <v>1968</v>
      </c>
      <c r="K835" s="21" t="s">
        <v>1979</v>
      </c>
      <c r="L835" s="22" t="str">
        <f t="shared" si="60"/>
        <v>EXCLUDE</v>
      </c>
      <c r="M835" s="22" t="str">
        <f t="shared" si="61"/>
        <v>Wrong domain (non-AECO)</v>
      </c>
      <c r="N835" s="23"/>
      <c r="O835" s="23"/>
      <c r="P835" s="24"/>
      <c r="Q835" s="24"/>
      <c r="R835" s="24"/>
      <c r="S835" s="22" t="str">
        <f t="shared" si="62"/>
        <v/>
      </c>
      <c r="T835" s="22" t="str">
        <f t="shared" si="63"/>
        <v/>
      </c>
      <c r="U835" s="25"/>
      <c r="V835" s="25"/>
      <c r="W835" s="25"/>
      <c r="X835" s="25"/>
      <c r="Y835" s="22" t="str">
        <f t="shared" si="64"/>
        <v/>
      </c>
      <c r="Z835" s="25"/>
      <c r="AA835" s="25"/>
      <c r="AB835" s="25"/>
      <c r="AC835" s="25"/>
      <c r="AD835" s="25"/>
      <c r="AE835" s="25"/>
      <c r="AF835" s="25"/>
      <c r="AG835" s="9"/>
      <c r="AH835" s="29"/>
      <c r="AI835" s="29"/>
      <c r="AM835" s="50"/>
      <c r="AN835" s="51" t="s">
        <v>4466</v>
      </c>
      <c r="AO835" s="55" t="s">
        <v>1662</v>
      </c>
    </row>
    <row r="836" spans="1:41" ht="91.2" customHeight="1" x14ac:dyDescent="0.3">
      <c r="A836" s="20">
        <v>832</v>
      </c>
      <c r="B836" s="8" t="s">
        <v>4467</v>
      </c>
      <c r="C836" s="26">
        <v>2024</v>
      </c>
      <c r="D836" s="8"/>
      <c r="E836" s="8" t="s">
        <v>1665</v>
      </c>
      <c r="F836" s="20" t="s">
        <v>1969</v>
      </c>
      <c r="G836" s="21" t="s">
        <v>1979</v>
      </c>
      <c r="H836" s="21" t="s">
        <v>1968</v>
      </c>
      <c r="I836" s="21" t="s">
        <v>1968</v>
      </c>
      <c r="J836" s="21" t="s">
        <v>1968</v>
      </c>
      <c r="K836" s="21" t="s">
        <v>1968</v>
      </c>
      <c r="L836" s="22" t="str">
        <f t="shared" si="60"/>
        <v>EXCLUDE</v>
      </c>
      <c r="M836" s="22" t="str">
        <f t="shared" si="61"/>
        <v>Wrong domain (non-AECO)</v>
      </c>
      <c r="N836" s="23"/>
      <c r="O836" s="23"/>
      <c r="P836" s="24"/>
      <c r="Q836" s="24"/>
      <c r="R836" s="24"/>
      <c r="S836" s="22" t="str">
        <f t="shared" si="62"/>
        <v/>
      </c>
      <c r="T836" s="22" t="str">
        <f t="shared" si="63"/>
        <v/>
      </c>
      <c r="U836" s="25"/>
      <c r="V836" s="25"/>
      <c r="W836" s="25"/>
      <c r="X836" s="25"/>
      <c r="Y836" s="22" t="str">
        <f t="shared" si="64"/>
        <v/>
      </c>
      <c r="Z836" s="25"/>
      <c r="AA836" s="25"/>
      <c r="AB836" s="25"/>
      <c r="AC836" s="25"/>
      <c r="AD836" s="25"/>
      <c r="AE836" s="25"/>
      <c r="AF836" s="25"/>
      <c r="AG836" s="9"/>
      <c r="AH836" s="29"/>
      <c r="AI836" s="29"/>
      <c r="AM836" s="50"/>
      <c r="AN836" s="51" t="s">
        <v>4468</v>
      </c>
      <c r="AO836" s="55" t="s">
        <v>1664</v>
      </c>
    </row>
    <row r="837" spans="1:41" ht="57" customHeight="1" x14ac:dyDescent="0.3">
      <c r="A837" s="20">
        <v>833</v>
      </c>
      <c r="B837" s="8" t="s">
        <v>4469</v>
      </c>
      <c r="C837" s="26">
        <v>2025</v>
      </c>
      <c r="D837" s="8"/>
      <c r="E837" s="8" t="s">
        <v>1667</v>
      </c>
      <c r="F837" s="20" t="s">
        <v>1969</v>
      </c>
      <c r="G837" s="21" t="s">
        <v>1979</v>
      </c>
      <c r="H837" s="21" t="s">
        <v>1968</v>
      </c>
      <c r="I837" s="21" t="s">
        <v>1968</v>
      </c>
      <c r="J837" s="21" t="s">
        <v>1968</v>
      </c>
      <c r="K837" s="21" t="s">
        <v>1968</v>
      </c>
      <c r="L837" s="22" t="str">
        <f t="shared" ref="L837:L900" si="65">IF(COUNTBLANK(G837:K837)=5,"",IF(COUNTIF(G837:K837,"No")&gt;0,"EXCLUDE","INCLUDE"))</f>
        <v>EXCLUDE</v>
      </c>
      <c r="M837" s="22" t="str">
        <f t="shared" ref="M837:M900" si="66">IF(L837&lt;&gt;"EXCLUDE","",IF(G837="No","Wrong domain (non-AECO)",IF(H837="No","Digital Twin not core / buzzword",IF(I837="No","No Design for Safety / PtD focus",IF(J837="No","Wrong publication type",IF(K837="No","Non-English",""))))))</f>
        <v>Wrong domain (non-AECO)</v>
      </c>
      <c r="N837" s="23"/>
      <c r="O837" s="23"/>
      <c r="P837" s="24"/>
      <c r="Q837" s="24"/>
      <c r="R837" s="24"/>
      <c r="S837" s="22" t="str">
        <f t="shared" ref="S837:S900" si="67">IF(N837&lt;&gt;"Yes","",IF(COUNTBLANK(P837:R837)=3,"",IF(COUNTIF(P837:R837,"No")&gt;0,"EXCLUDE","INCLUDE")))</f>
        <v/>
      </c>
      <c r="T837" s="22" t="str">
        <f t="shared" ref="T837:T900" si="68">IF(S837&lt;&gt;"EXCLUDE","",IF(P837="No","Digital Twin mentioned only, not the subject",IF(Q837="No","No Design for Safety focus in full text",IF(R837="No","Methodology not codable",""))))</f>
        <v/>
      </c>
      <c r="U837" s="25"/>
      <c r="V837" s="25"/>
      <c r="W837" s="25"/>
      <c r="X837" s="25"/>
      <c r="Y837" s="22" t="str">
        <f t="shared" ref="Y837:Y900" si="69">IF(SUM(V837:X837)=0,"",IF(SUM(V837:X837)&gt;=2,"Multi","Single"))</f>
        <v/>
      </c>
      <c r="Z837" s="25"/>
      <c r="AA837" s="25"/>
      <c r="AB837" s="25"/>
      <c r="AC837" s="25"/>
      <c r="AD837" s="25"/>
      <c r="AE837" s="25"/>
      <c r="AF837" s="25"/>
      <c r="AG837" s="9"/>
      <c r="AH837" s="29"/>
      <c r="AI837" s="29"/>
      <c r="AM837" s="50"/>
      <c r="AN837" s="51" t="s">
        <v>4470</v>
      </c>
      <c r="AO837" s="55" t="s">
        <v>1666</v>
      </c>
    </row>
    <row r="838" spans="1:41" ht="79.8" customHeight="1" x14ac:dyDescent="0.3">
      <c r="A838" s="20">
        <v>834</v>
      </c>
      <c r="B838" s="8" t="s">
        <v>4471</v>
      </c>
      <c r="C838" s="26">
        <v>2023</v>
      </c>
      <c r="D838" s="8"/>
      <c r="E838" s="8" t="s">
        <v>1669</v>
      </c>
      <c r="F838" s="20" t="s">
        <v>1969</v>
      </c>
      <c r="G838" s="21" t="s">
        <v>1968</v>
      </c>
      <c r="H838" s="21" t="s">
        <v>1979</v>
      </c>
      <c r="I838" s="21" t="s">
        <v>1968</v>
      </c>
      <c r="J838" s="21" t="s">
        <v>1968</v>
      </c>
      <c r="K838" s="21" t="s">
        <v>1968</v>
      </c>
      <c r="L838" s="22" t="str">
        <f t="shared" si="65"/>
        <v>EXCLUDE</v>
      </c>
      <c r="M838" s="22" t="str">
        <f t="shared" si="66"/>
        <v>Digital Twin not core / buzzword</v>
      </c>
      <c r="N838" s="23"/>
      <c r="O838" s="23"/>
      <c r="P838" s="24"/>
      <c r="Q838" s="24"/>
      <c r="R838" s="24"/>
      <c r="S838" s="22" t="str">
        <f t="shared" si="67"/>
        <v/>
      </c>
      <c r="T838" s="22" t="str">
        <f t="shared" si="68"/>
        <v/>
      </c>
      <c r="U838" s="25"/>
      <c r="V838" s="25"/>
      <c r="W838" s="25"/>
      <c r="X838" s="25"/>
      <c r="Y838" s="22" t="str">
        <f t="shared" si="69"/>
        <v/>
      </c>
      <c r="Z838" s="25"/>
      <c r="AA838" s="25"/>
      <c r="AB838" s="25"/>
      <c r="AC838" s="25"/>
      <c r="AD838" s="25"/>
      <c r="AE838" s="25"/>
      <c r="AF838" s="25"/>
      <c r="AG838" s="9"/>
      <c r="AH838" s="29"/>
      <c r="AI838" s="29"/>
      <c r="AM838" s="50"/>
      <c r="AN838" s="51" t="s">
        <v>4472</v>
      </c>
      <c r="AO838" s="55" t="s">
        <v>1668</v>
      </c>
    </row>
    <row r="839" spans="1:41" ht="57" customHeight="1" x14ac:dyDescent="0.3">
      <c r="A839" s="20">
        <v>835</v>
      </c>
      <c r="B839" s="8" t="s">
        <v>4473</v>
      </c>
      <c r="C839" s="26">
        <v>2023</v>
      </c>
      <c r="D839" s="8"/>
      <c r="E839" s="8" t="s">
        <v>1671</v>
      </c>
      <c r="F839" s="20" t="s">
        <v>1969</v>
      </c>
      <c r="G839" s="21" t="s">
        <v>1968</v>
      </c>
      <c r="H839" s="21" t="s">
        <v>1979</v>
      </c>
      <c r="I839" s="21" t="s">
        <v>1968</v>
      </c>
      <c r="J839" s="21" t="s">
        <v>1968</v>
      </c>
      <c r="K839" s="21" t="s">
        <v>1968</v>
      </c>
      <c r="L839" s="22" t="str">
        <f t="shared" si="65"/>
        <v>EXCLUDE</v>
      </c>
      <c r="M839" s="22" t="str">
        <f t="shared" si="66"/>
        <v>Digital Twin not core / buzzword</v>
      </c>
      <c r="N839" s="23"/>
      <c r="O839" s="23"/>
      <c r="P839" s="24"/>
      <c r="Q839" s="24"/>
      <c r="R839" s="24"/>
      <c r="S839" s="22" t="str">
        <f t="shared" si="67"/>
        <v/>
      </c>
      <c r="T839" s="22" t="str">
        <f t="shared" si="68"/>
        <v/>
      </c>
      <c r="U839" s="25"/>
      <c r="V839" s="25"/>
      <c r="W839" s="25"/>
      <c r="X839" s="25"/>
      <c r="Y839" s="22" t="str">
        <f t="shared" si="69"/>
        <v/>
      </c>
      <c r="Z839" s="25"/>
      <c r="AA839" s="25"/>
      <c r="AB839" s="25"/>
      <c r="AC839" s="25"/>
      <c r="AD839" s="25"/>
      <c r="AE839" s="25"/>
      <c r="AF839" s="25"/>
      <c r="AG839" s="9"/>
      <c r="AH839" s="29"/>
      <c r="AI839" s="29"/>
      <c r="AM839" s="50"/>
      <c r="AN839" s="51" t="s">
        <v>4474</v>
      </c>
      <c r="AO839" s="55" t="s">
        <v>1670</v>
      </c>
    </row>
    <row r="840" spans="1:41" ht="79.8" customHeight="1" x14ac:dyDescent="0.3">
      <c r="A840" s="20">
        <v>836</v>
      </c>
      <c r="B840" s="8" t="s">
        <v>4475</v>
      </c>
      <c r="C840" s="26">
        <v>2024</v>
      </c>
      <c r="D840" s="8"/>
      <c r="E840" s="8" t="s">
        <v>1673</v>
      </c>
      <c r="F840" s="20" t="s">
        <v>1969</v>
      </c>
      <c r="G840" s="21" t="s">
        <v>1968</v>
      </c>
      <c r="H840" s="21" t="s">
        <v>1979</v>
      </c>
      <c r="I840" s="21" t="s">
        <v>1968</v>
      </c>
      <c r="J840" s="21" t="s">
        <v>1968</v>
      </c>
      <c r="K840" s="21" t="s">
        <v>1968</v>
      </c>
      <c r="L840" s="22" t="str">
        <f t="shared" si="65"/>
        <v>EXCLUDE</v>
      </c>
      <c r="M840" s="22" t="str">
        <f t="shared" si="66"/>
        <v>Digital Twin not core / buzzword</v>
      </c>
      <c r="N840" s="23"/>
      <c r="O840" s="23"/>
      <c r="P840" s="24"/>
      <c r="Q840" s="24"/>
      <c r="R840" s="24"/>
      <c r="S840" s="22" t="str">
        <f t="shared" si="67"/>
        <v/>
      </c>
      <c r="T840" s="22" t="str">
        <f t="shared" si="68"/>
        <v/>
      </c>
      <c r="U840" s="25"/>
      <c r="V840" s="25"/>
      <c r="W840" s="25"/>
      <c r="X840" s="25"/>
      <c r="Y840" s="22" t="str">
        <f t="shared" si="69"/>
        <v/>
      </c>
      <c r="Z840" s="25"/>
      <c r="AA840" s="25"/>
      <c r="AB840" s="25"/>
      <c r="AC840" s="25"/>
      <c r="AD840" s="25"/>
      <c r="AE840" s="25"/>
      <c r="AF840" s="25"/>
      <c r="AG840" s="9"/>
      <c r="AH840" s="29"/>
      <c r="AI840" s="29"/>
      <c r="AM840" s="50"/>
      <c r="AN840" s="51" t="s">
        <v>4476</v>
      </c>
      <c r="AO840" s="55" t="s">
        <v>1672</v>
      </c>
    </row>
    <row r="841" spans="1:41" ht="57" customHeight="1" x14ac:dyDescent="0.3">
      <c r="A841" s="20">
        <v>837</v>
      </c>
      <c r="B841" s="8" t="s">
        <v>4477</v>
      </c>
      <c r="C841" s="26">
        <v>2022</v>
      </c>
      <c r="D841" s="8"/>
      <c r="E841" s="8" t="s">
        <v>1675</v>
      </c>
      <c r="F841" s="20" t="s">
        <v>1969</v>
      </c>
      <c r="G841" s="21" t="s">
        <v>1968</v>
      </c>
      <c r="H841" s="21" t="s">
        <v>1968</v>
      </c>
      <c r="I841" s="21" t="s">
        <v>1979</v>
      </c>
      <c r="J841" s="21" t="s">
        <v>1968</v>
      </c>
      <c r="K841" s="21" t="s">
        <v>1968</v>
      </c>
      <c r="L841" s="22" t="str">
        <f t="shared" si="65"/>
        <v>EXCLUDE</v>
      </c>
      <c r="M841" s="22" t="str">
        <f t="shared" si="66"/>
        <v>No Design for Safety / PtD focus</v>
      </c>
      <c r="N841" s="23"/>
      <c r="O841" s="23"/>
      <c r="P841" s="24"/>
      <c r="Q841" s="24"/>
      <c r="R841" s="24"/>
      <c r="S841" s="22" t="str">
        <f t="shared" si="67"/>
        <v/>
      </c>
      <c r="T841" s="22" t="str">
        <f t="shared" si="68"/>
        <v/>
      </c>
      <c r="U841" s="25"/>
      <c r="V841" s="25"/>
      <c r="W841" s="25"/>
      <c r="X841" s="25"/>
      <c r="Y841" s="22" t="str">
        <f t="shared" si="69"/>
        <v/>
      </c>
      <c r="Z841" s="25"/>
      <c r="AA841" s="25"/>
      <c r="AB841" s="25"/>
      <c r="AC841" s="25"/>
      <c r="AD841" s="25"/>
      <c r="AE841" s="25"/>
      <c r="AF841" s="25"/>
      <c r="AG841" s="9"/>
      <c r="AH841" s="29"/>
      <c r="AI841" s="29"/>
      <c r="AM841" s="50"/>
      <c r="AN841" s="51" t="s">
        <v>4478</v>
      </c>
      <c r="AO841" s="55" t="s">
        <v>1674</v>
      </c>
    </row>
    <row r="842" spans="1:41" ht="79.8" customHeight="1" x14ac:dyDescent="0.3">
      <c r="A842" s="20">
        <v>838</v>
      </c>
      <c r="B842" s="8" t="s">
        <v>4479</v>
      </c>
      <c r="C842" s="26">
        <v>2025</v>
      </c>
      <c r="D842" s="8"/>
      <c r="E842" s="8" t="s">
        <v>1677</v>
      </c>
      <c r="F842" s="20" t="s">
        <v>1969</v>
      </c>
      <c r="G842" s="21" t="s">
        <v>1968</v>
      </c>
      <c r="H842" s="21" t="s">
        <v>1979</v>
      </c>
      <c r="I842" s="21" t="s">
        <v>1968</v>
      </c>
      <c r="J842" s="21" t="s">
        <v>1968</v>
      </c>
      <c r="K842" s="21" t="s">
        <v>1968</v>
      </c>
      <c r="L842" s="22" t="str">
        <f t="shared" si="65"/>
        <v>EXCLUDE</v>
      </c>
      <c r="M842" s="22" t="str">
        <f t="shared" si="66"/>
        <v>Digital Twin not core / buzzword</v>
      </c>
      <c r="N842" s="23"/>
      <c r="O842" s="23"/>
      <c r="P842" s="24"/>
      <c r="Q842" s="24"/>
      <c r="R842" s="24"/>
      <c r="S842" s="22" t="str">
        <f t="shared" si="67"/>
        <v/>
      </c>
      <c r="T842" s="22" t="str">
        <f t="shared" si="68"/>
        <v/>
      </c>
      <c r="U842" s="25"/>
      <c r="V842" s="25"/>
      <c r="W842" s="25"/>
      <c r="X842" s="25"/>
      <c r="Y842" s="22" t="str">
        <f t="shared" si="69"/>
        <v/>
      </c>
      <c r="Z842" s="25"/>
      <c r="AA842" s="25"/>
      <c r="AB842" s="25"/>
      <c r="AC842" s="25"/>
      <c r="AD842" s="25"/>
      <c r="AE842" s="25"/>
      <c r="AF842" s="25"/>
      <c r="AG842" s="9"/>
      <c r="AH842" s="29"/>
      <c r="AI842" s="29"/>
      <c r="AM842" s="50"/>
      <c r="AN842" s="51" t="s">
        <v>4480</v>
      </c>
      <c r="AO842" s="55" t="s">
        <v>1676</v>
      </c>
    </row>
    <row r="843" spans="1:41" ht="57" customHeight="1" x14ac:dyDescent="0.3">
      <c r="A843" s="20">
        <v>839</v>
      </c>
      <c r="B843" s="8" t="s">
        <v>4481</v>
      </c>
      <c r="C843" s="26">
        <v>2025</v>
      </c>
      <c r="D843" s="8"/>
      <c r="E843" s="8" t="s">
        <v>1679</v>
      </c>
      <c r="F843" s="20" t="s">
        <v>1969</v>
      </c>
      <c r="G843" s="21" t="s">
        <v>1979</v>
      </c>
      <c r="H843" s="21" t="s">
        <v>1968</v>
      </c>
      <c r="I843" s="21" t="s">
        <v>1968</v>
      </c>
      <c r="J843" s="21" t="s">
        <v>1968</v>
      </c>
      <c r="K843" s="21" t="s">
        <v>1968</v>
      </c>
      <c r="L843" s="22" t="str">
        <f t="shared" si="65"/>
        <v>EXCLUDE</v>
      </c>
      <c r="M843" s="22" t="str">
        <f t="shared" si="66"/>
        <v>Wrong domain (non-AECO)</v>
      </c>
      <c r="N843" s="23"/>
      <c r="O843" s="23"/>
      <c r="P843" s="24"/>
      <c r="Q843" s="24"/>
      <c r="R843" s="24"/>
      <c r="S843" s="22" t="str">
        <f t="shared" si="67"/>
        <v/>
      </c>
      <c r="T843" s="22" t="str">
        <f t="shared" si="68"/>
        <v/>
      </c>
      <c r="U843" s="25"/>
      <c r="V843" s="25"/>
      <c r="W843" s="25"/>
      <c r="X843" s="25"/>
      <c r="Y843" s="22" t="str">
        <f t="shared" si="69"/>
        <v/>
      </c>
      <c r="Z843" s="25"/>
      <c r="AA843" s="25"/>
      <c r="AB843" s="25"/>
      <c r="AC843" s="25"/>
      <c r="AD843" s="25"/>
      <c r="AE843" s="25"/>
      <c r="AF843" s="25"/>
      <c r="AG843" s="9"/>
      <c r="AH843" s="29"/>
      <c r="AI843" s="29"/>
      <c r="AM843" s="50"/>
      <c r="AN843" s="51" t="s">
        <v>4482</v>
      </c>
      <c r="AO843" s="55" t="s">
        <v>1678</v>
      </c>
    </row>
    <row r="844" spans="1:41" ht="34.200000000000003" customHeight="1" x14ac:dyDescent="0.3">
      <c r="A844" s="20">
        <v>840</v>
      </c>
      <c r="B844" s="8" t="s">
        <v>4483</v>
      </c>
      <c r="C844" s="26">
        <v>2025</v>
      </c>
      <c r="D844" s="8"/>
      <c r="E844" s="8" t="s">
        <v>1681</v>
      </c>
      <c r="F844" s="20" t="s">
        <v>1969</v>
      </c>
      <c r="G844" s="21" t="s">
        <v>1979</v>
      </c>
      <c r="H844" s="21" t="s">
        <v>1968</v>
      </c>
      <c r="I844" s="21" t="s">
        <v>1968</v>
      </c>
      <c r="J844" s="21" t="s">
        <v>1968</v>
      </c>
      <c r="K844" s="21" t="s">
        <v>1968</v>
      </c>
      <c r="L844" s="22" t="str">
        <f t="shared" si="65"/>
        <v>EXCLUDE</v>
      </c>
      <c r="M844" s="22" t="str">
        <f t="shared" si="66"/>
        <v>Wrong domain (non-AECO)</v>
      </c>
      <c r="N844" s="23"/>
      <c r="O844" s="23"/>
      <c r="P844" s="24"/>
      <c r="Q844" s="24"/>
      <c r="R844" s="24"/>
      <c r="S844" s="22" t="str">
        <f t="shared" si="67"/>
        <v/>
      </c>
      <c r="T844" s="22" t="str">
        <f t="shared" si="68"/>
        <v/>
      </c>
      <c r="U844" s="25"/>
      <c r="V844" s="25"/>
      <c r="W844" s="25"/>
      <c r="X844" s="25"/>
      <c r="Y844" s="22" t="str">
        <f t="shared" si="69"/>
        <v/>
      </c>
      <c r="Z844" s="25"/>
      <c r="AA844" s="25"/>
      <c r="AB844" s="25"/>
      <c r="AC844" s="25"/>
      <c r="AD844" s="25"/>
      <c r="AE844" s="25"/>
      <c r="AF844" s="25"/>
      <c r="AG844" s="9"/>
      <c r="AH844" s="29"/>
      <c r="AI844" s="29"/>
      <c r="AM844" s="50"/>
      <c r="AN844" s="51" t="s">
        <v>4484</v>
      </c>
      <c r="AO844" s="55" t="s">
        <v>1680</v>
      </c>
    </row>
    <row r="845" spans="1:41" ht="79.8" customHeight="1" x14ac:dyDescent="0.3">
      <c r="A845" s="20">
        <v>841</v>
      </c>
      <c r="B845" s="8" t="s">
        <v>4485</v>
      </c>
      <c r="C845" s="26">
        <v>2022</v>
      </c>
      <c r="D845" s="8"/>
      <c r="E845" s="8" t="s">
        <v>1683</v>
      </c>
      <c r="F845" s="20" t="s">
        <v>1969</v>
      </c>
      <c r="G845" s="21" t="s">
        <v>1968</v>
      </c>
      <c r="H845" s="21" t="s">
        <v>1968</v>
      </c>
      <c r="I845" s="21" t="s">
        <v>1968</v>
      </c>
      <c r="J845" s="21" t="s">
        <v>1968</v>
      </c>
      <c r="K845" s="21" t="s">
        <v>1968</v>
      </c>
      <c r="L845" s="22" t="str">
        <f t="shared" si="65"/>
        <v>INCLUDE</v>
      </c>
      <c r="M845" s="22" t="str">
        <f t="shared" si="66"/>
        <v/>
      </c>
      <c r="N845" s="23" t="s">
        <v>1968</v>
      </c>
      <c r="O845" s="23" t="s">
        <v>1968</v>
      </c>
      <c r="P845" s="24" t="s">
        <v>1968</v>
      </c>
      <c r="Q845" s="24" t="s">
        <v>1968</v>
      </c>
      <c r="R845" s="24" t="s">
        <v>1968</v>
      </c>
      <c r="S845" s="22" t="str">
        <f t="shared" si="67"/>
        <v>INCLUDE</v>
      </c>
      <c r="T845" s="22" t="str">
        <f t="shared" si="68"/>
        <v/>
      </c>
      <c r="U845" s="25" t="s">
        <v>1971</v>
      </c>
      <c r="V845" s="25">
        <v>0</v>
      </c>
      <c r="W845" s="25">
        <v>1</v>
      </c>
      <c r="X845" s="25">
        <v>0</v>
      </c>
      <c r="Y845" s="22" t="str">
        <f t="shared" si="69"/>
        <v>Single</v>
      </c>
      <c r="Z845" s="25" t="s">
        <v>1922</v>
      </c>
      <c r="AA845" s="25" t="s">
        <v>1972</v>
      </c>
      <c r="AB845" s="25" t="s">
        <v>2017</v>
      </c>
      <c r="AC845" s="25" t="s">
        <v>1986</v>
      </c>
      <c r="AD845" s="25" t="s">
        <v>2003</v>
      </c>
      <c r="AE845" s="25">
        <v>3</v>
      </c>
      <c r="AF845" s="25" t="s">
        <v>2012</v>
      </c>
      <c r="AG845" s="9" t="s">
        <v>4486</v>
      </c>
      <c r="AH845" s="29" t="s">
        <v>4487</v>
      </c>
      <c r="AI845" s="29" t="s">
        <v>4488</v>
      </c>
      <c r="AJ845" t="s">
        <v>2005</v>
      </c>
      <c r="AK845" t="s">
        <v>4489</v>
      </c>
      <c r="AL845" t="s">
        <v>1990</v>
      </c>
      <c r="AM845" s="50"/>
      <c r="AN845" s="51" t="s">
        <v>4490</v>
      </c>
      <c r="AO845" s="55" t="s">
        <v>1682</v>
      </c>
    </row>
    <row r="846" spans="1:41" ht="79.8" customHeight="1" x14ac:dyDescent="0.3">
      <c r="A846" s="20">
        <v>842</v>
      </c>
      <c r="B846" s="8" t="s">
        <v>4491</v>
      </c>
      <c r="C846" s="26">
        <v>2024</v>
      </c>
      <c r="D846" s="8"/>
      <c r="E846" s="8" t="s">
        <v>1685</v>
      </c>
      <c r="F846" s="20" t="s">
        <v>1969</v>
      </c>
      <c r="G846" s="21" t="s">
        <v>1968</v>
      </c>
      <c r="H846" s="21" t="s">
        <v>1968</v>
      </c>
      <c r="I846" s="21" t="s">
        <v>1968</v>
      </c>
      <c r="J846" s="21" t="s">
        <v>1968</v>
      </c>
      <c r="K846" s="21" t="s">
        <v>1968</v>
      </c>
      <c r="L846" s="22" t="str">
        <f t="shared" si="65"/>
        <v>INCLUDE</v>
      </c>
      <c r="M846" s="22" t="str">
        <f t="shared" si="66"/>
        <v/>
      </c>
      <c r="N846" s="23" t="s">
        <v>1968</v>
      </c>
      <c r="O846" s="23" t="s">
        <v>1968</v>
      </c>
      <c r="P846" s="24" t="s">
        <v>1968</v>
      </c>
      <c r="Q846" s="24" t="s">
        <v>1968</v>
      </c>
      <c r="R846" s="24" t="s">
        <v>1968</v>
      </c>
      <c r="S846" s="22" t="str">
        <f t="shared" si="67"/>
        <v>INCLUDE</v>
      </c>
      <c r="T846" s="22" t="str">
        <f t="shared" si="68"/>
        <v/>
      </c>
      <c r="U846" s="25" t="s">
        <v>1982</v>
      </c>
      <c r="V846" s="25">
        <v>0</v>
      </c>
      <c r="W846" s="25">
        <v>0</v>
      </c>
      <c r="X846" s="25">
        <v>1</v>
      </c>
      <c r="Y846" s="22" t="str">
        <f t="shared" si="69"/>
        <v>Single</v>
      </c>
      <c r="Z846" s="25" t="s">
        <v>1922</v>
      </c>
      <c r="AA846" s="25" t="s">
        <v>1972</v>
      </c>
      <c r="AB846" s="25" t="s">
        <v>2017</v>
      </c>
      <c r="AC846" s="25" t="s">
        <v>1986</v>
      </c>
      <c r="AD846" s="25" t="s">
        <v>2003</v>
      </c>
      <c r="AE846" s="25">
        <v>3</v>
      </c>
      <c r="AF846" s="25" t="s">
        <v>2012</v>
      </c>
      <c r="AG846" s="9" t="s">
        <v>4492</v>
      </c>
      <c r="AH846" s="29" t="s">
        <v>4493</v>
      </c>
      <c r="AI846" s="29" t="s">
        <v>4494</v>
      </c>
      <c r="AJ846" t="s">
        <v>2005</v>
      </c>
      <c r="AK846" t="s">
        <v>4495</v>
      </c>
      <c r="AL846" t="s">
        <v>1990</v>
      </c>
      <c r="AM846" s="50"/>
      <c r="AN846" s="51" t="s">
        <v>4496</v>
      </c>
      <c r="AO846" s="55" t="s">
        <v>1684</v>
      </c>
    </row>
    <row r="847" spans="1:41" ht="102.6" customHeight="1" x14ac:dyDescent="0.3">
      <c r="A847" s="20">
        <v>843</v>
      </c>
      <c r="B847" s="8" t="s">
        <v>4497</v>
      </c>
      <c r="C847" s="26">
        <v>2021</v>
      </c>
      <c r="D847" s="8"/>
      <c r="E847" s="8" t="s">
        <v>1687</v>
      </c>
      <c r="F847" s="20" t="s">
        <v>1969</v>
      </c>
      <c r="G847" s="21" t="s">
        <v>1968</v>
      </c>
      <c r="H847" s="21" t="s">
        <v>1968</v>
      </c>
      <c r="I847" s="21" t="s">
        <v>1968</v>
      </c>
      <c r="J847" s="21" t="s">
        <v>1968</v>
      </c>
      <c r="K847" s="21" t="s">
        <v>1968</v>
      </c>
      <c r="L847" s="22" t="str">
        <f t="shared" si="65"/>
        <v>INCLUDE</v>
      </c>
      <c r="M847" s="22" t="str">
        <f t="shared" si="66"/>
        <v/>
      </c>
      <c r="N847" s="23" t="s">
        <v>1968</v>
      </c>
      <c r="O847" s="23" t="s">
        <v>1968</v>
      </c>
      <c r="P847" s="24" t="s">
        <v>1968</v>
      </c>
      <c r="Q847" s="24" t="s">
        <v>1968</v>
      </c>
      <c r="R847" s="24" t="s">
        <v>1968</v>
      </c>
      <c r="S847" s="22" t="str">
        <f t="shared" si="67"/>
        <v>INCLUDE</v>
      </c>
      <c r="T847" s="22" t="str">
        <f t="shared" si="68"/>
        <v/>
      </c>
      <c r="U847" s="25" t="s">
        <v>1982</v>
      </c>
      <c r="V847" s="25">
        <v>0</v>
      </c>
      <c r="W847" s="25">
        <v>1</v>
      </c>
      <c r="X847" s="25">
        <v>0</v>
      </c>
      <c r="Y847" s="22" t="str">
        <f t="shared" si="69"/>
        <v>Single</v>
      </c>
      <c r="Z847" s="25" t="s">
        <v>1922</v>
      </c>
      <c r="AA847" s="25" t="s">
        <v>1972</v>
      </c>
      <c r="AB847" s="25" t="s">
        <v>2016</v>
      </c>
      <c r="AC847" s="25" t="s">
        <v>1986</v>
      </c>
      <c r="AD847" s="25" t="s">
        <v>2003</v>
      </c>
      <c r="AE847" s="25">
        <v>3</v>
      </c>
      <c r="AF847" s="25" t="s">
        <v>2004</v>
      </c>
      <c r="AG847" s="9" t="s">
        <v>4498</v>
      </c>
      <c r="AH847" s="29" t="s">
        <v>4499</v>
      </c>
      <c r="AI847" s="29" t="s">
        <v>4500</v>
      </c>
      <c r="AJ847" t="s">
        <v>2007</v>
      </c>
      <c r="AK847" t="s">
        <v>4501</v>
      </c>
      <c r="AL847" t="s">
        <v>1978</v>
      </c>
      <c r="AM847" s="50" t="s">
        <v>2098</v>
      </c>
      <c r="AN847" s="51" t="s">
        <v>4502</v>
      </c>
      <c r="AO847" s="55" t="s">
        <v>1686</v>
      </c>
    </row>
    <row r="848" spans="1:41" ht="34.200000000000003" customHeight="1" x14ac:dyDescent="0.3">
      <c r="A848" s="20">
        <v>844</v>
      </c>
      <c r="B848" s="8" t="s">
        <v>4503</v>
      </c>
      <c r="C848" s="26">
        <v>2024</v>
      </c>
      <c r="D848" s="8"/>
      <c r="E848" s="8" t="s">
        <v>1689</v>
      </c>
      <c r="F848" s="20" t="s">
        <v>1969</v>
      </c>
      <c r="G848" s="21" t="s">
        <v>1968</v>
      </c>
      <c r="H848" s="21" t="s">
        <v>1968</v>
      </c>
      <c r="I848" s="21" t="s">
        <v>1979</v>
      </c>
      <c r="J848" s="21" t="s">
        <v>1968</v>
      </c>
      <c r="K848" s="21" t="s">
        <v>1968</v>
      </c>
      <c r="L848" s="22" t="str">
        <f t="shared" si="65"/>
        <v>EXCLUDE</v>
      </c>
      <c r="M848" s="22" t="str">
        <f t="shared" si="66"/>
        <v>No Design for Safety / PtD focus</v>
      </c>
      <c r="N848" s="23"/>
      <c r="O848" s="23"/>
      <c r="P848" s="24"/>
      <c r="Q848" s="24"/>
      <c r="R848" s="24"/>
      <c r="S848" s="22" t="str">
        <f t="shared" si="67"/>
        <v/>
      </c>
      <c r="T848" s="22" t="str">
        <f t="shared" si="68"/>
        <v/>
      </c>
      <c r="U848" s="25"/>
      <c r="V848" s="25"/>
      <c r="W848" s="25"/>
      <c r="X848" s="25"/>
      <c r="Y848" s="22" t="str">
        <f t="shared" si="69"/>
        <v/>
      </c>
      <c r="Z848" s="25"/>
      <c r="AA848" s="25"/>
      <c r="AB848" s="25"/>
      <c r="AC848" s="25"/>
      <c r="AD848" s="25"/>
      <c r="AE848" s="25"/>
      <c r="AF848" s="25"/>
      <c r="AG848" s="9"/>
      <c r="AH848" s="29"/>
      <c r="AI848" s="29"/>
      <c r="AM848" s="50"/>
      <c r="AN848" s="51" t="s">
        <v>4504</v>
      </c>
      <c r="AO848" s="55" t="s">
        <v>1688</v>
      </c>
    </row>
    <row r="849" spans="1:41" ht="68.400000000000006" customHeight="1" x14ac:dyDescent="0.3">
      <c r="A849" s="20">
        <v>845</v>
      </c>
      <c r="B849" s="8" t="s">
        <v>4505</v>
      </c>
      <c r="C849" s="26">
        <v>2022</v>
      </c>
      <c r="D849" s="8"/>
      <c r="E849" s="8" t="s">
        <v>1691</v>
      </c>
      <c r="F849" s="20" t="s">
        <v>1969</v>
      </c>
      <c r="G849" s="21" t="s">
        <v>1968</v>
      </c>
      <c r="H849" s="21" t="s">
        <v>1979</v>
      </c>
      <c r="I849" s="21" t="s">
        <v>1968</v>
      </c>
      <c r="J849" s="21" t="s">
        <v>1968</v>
      </c>
      <c r="K849" s="21" t="s">
        <v>1968</v>
      </c>
      <c r="L849" s="22" t="str">
        <f t="shared" si="65"/>
        <v>EXCLUDE</v>
      </c>
      <c r="M849" s="22" t="str">
        <f t="shared" si="66"/>
        <v>Digital Twin not core / buzzword</v>
      </c>
      <c r="N849" s="23"/>
      <c r="O849" s="23"/>
      <c r="P849" s="24"/>
      <c r="Q849" s="24"/>
      <c r="R849" s="24"/>
      <c r="S849" s="22" t="str">
        <f t="shared" si="67"/>
        <v/>
      </c>
      <c r="T849" s="22" t="str">
        <f t="shared" si="68"/>
        <v/>
      </c>
      <c r="U849" s="25"/>
      <c r="V849" s="25"/>
      <c r="W849" s="25"/>
      <c r="X849" s="25"/>
      <c r="Y849" s="22" t="str">
        <f t="shared" si="69"/>
        <v/>
      </c>
      <c r="Z849" s="25"/>
      <c r="AA849" s="25"/>
      <c r="AB849" s="25"/>
      <c r="AC849" s="25"/>
      <c r="AD849" s="25"/>
      <c r="AE849" s="25"/>
      <c r="AF849" s="25"/>
      <c r="AG849" s="9"/>
      <c r="AH849" s="29"/>
      <c r="AI849" s="29"/>
      <c r="AM849" s="50"/>
      <c r="AN849" s="51" t="s">
        <v>4506</v>
      </c>
      <c r="AO849" s="55" t="s">
        <v>1690</v>
      </c>
    </row>
    <row r="850" spans="1:41" ht="79.8" customHeight="1" x14ac:dyDescent="0.3">
      <c r="A850" s="20">
        <v>846</v>
      </c>
      <c r="B850" s="8" t="s">
        <v>4507</v>
      </c>
      <c r="C850" s="26">
        <v>2025</v>
      </c>
      <c r="D850" s="8"/>
      <c r="E850" s="8" t="s">
        <v>1693</v>
      </c>
      <c r="F850" s="20" t="s">
        <v>1969</v>
      </c>
      <c r="G850" s="21" t="s">
        <v>1968</v>
      </c>
      <c r="H850" s="21" t="s">
        <v>1968</v>
      </c>
      <c r="I850" s="21" t="s">
        <v>1968</v>
      </c>
      <c r="J850" s="21" t="s">
        <v>1968</v>
      </c>
      <c r="K850" s="21" t="s">
        <v>1968</v>
      </c>
      <c r="L850" s="22" t="str">
        <f t="shared" si="65"/>
        <v>INCLUDE</v>
      </c>
      <c r="M850" s="22" t="str">
        <f t="shared" si="66"/>
        <v/>
      </c>
      <c r="N850" s="23" t="s">
        <v>1968</v>
      </c>
      <c r="O850" s="23" t="s">
        <v>1968</v>
      </c>
      <c r="P850" s="24" t="s">
        <v>1968</v>
      </c>
      <c r="Q850" s="24" t="s">
        <v>1968</v>
      </c>
      <c r="R850" s="24" t="s">
        <v>1968</v>
      </c>
      <c r="S850" s="22" t="str">
        <f t="shared" si="67"/>
        <v>INCLUDE</v>
      </c>
      <c r="T850" s="22" t="str">
        <f t="shared" si="68"/>
        <v/>
      </c>
      <c r="U850" s="25" t="s">
        <v>1982</v>
      </c>
      <c r="V850" s="25">
        <v>0</v>
      </c>
      <c r="W850" s="25">
        <v>1</v>
      </c>
      <c r="X850" s="25">
        <v>0</v>
      </c>
      <c r="Y850" s="22" t="str">
        <f t="shared" si="69"/>
        <v>Single</v>
      </c>
      <c r="Z850" s="25" t="s">
        <v>1922</v>
      </c>
      <c r="AA850" s="25" t="s">
        <v>1972</v>
      </c>
      <c r="AB850" s="25" t="s">
        <v>2018</v>
      </c>
      <c r="AC850" s="25" t="s">
        <v>1974</v>
      </c>
      <c r="AD850" s="25" t="s">
        <v>1987</v>
      </c>
      <c r="AE850" s="25">
        <v>3</v>
      </c>
      <c r="AF850" s="25" t="s">
        <v>2010</v>
      </c>
      <c r="AG850" s="9" t="s">
        <v>4508</v>
      </c>
      <c r="AH850" s="29" t="s">
        <v>4509</v>
      </c>
      <c r="AI850" s="29" t="s">
        <v>4510</v>
      </c>
      <c r="AJ850" t="s">
        <v>1977</v>
      </c>
      <c r="AK850" t="s">
        <v>4511</v>
      </c>
      <c r="AL850" t="s">
        <v>1978</v>
      </c>
      <c r="AM850" s="50"/>
      <c r="AN850" s="51" t="s">
        <v>4512</v>
      </c>
      <c r="AO850" s="55" t="s">
        <v>1692</v>
      </c>
    </row>
    <row r="851" spans="1:41" ht="91.2" customHeight="1" x14ac:dyDescent="0.3">
      <c r="A851" s="20">
        <v>847</v>
      </c>
      <c r="B851" s="8" t="s">
        <v>3767</v>
      </c>
      <c r="C851" s="26">
        <v>2024</v>
      </c>
      <c r="D851" s="8"/>
      <c r="E851" s="8" t="s">
        <v>1695</v>
      </c>
      <c r="F851" s="20" t="s">
        <v>1969</v>
      </c>
      <c r="G851" s="21" t="s">
        <v>1968</v>
      </c>
      <c r="H851" s="21" t="s">
        <v>1968</v>
      </c>
      <c r="I851" s="21" t="s">
        <v>1968</v>
      </c>
      <c r="J851" s="21" t="s">
        <v>1968</v>
      </c>
      <c r="K851" s="21" t="s">
        <v>1968</v>
      </c>
      <c r="L851" s="22" t="str">
        <f t="shared" si="65"/>
        <v>INCLUDE</v>
      </c>
      <c r="M851" s="22" t="str">
        <f t="shared" si="66"/>
        <v/>
      </c>
      <c r="N851" s="23" t="s">
        <v>1968</v>
      </c>
      <c r="O851" s="23" t="s">
        <v>1968</v>
      </c>
      <c r="P851" s="24" t="s">
        <v>1968</v>
      </c>
      <c r="Q851" s="24" t="s">
        <v>1968</v>
      </c>
      <c r="R851" s="24" t="s">
        <v>1968</v>
      </c>
      <c r="S851" s="22" t="str">
        <f t="shared" si="67"/>
        <v>INCLUDE</v>
      </c>
      <c r="T851" s="22" t="str">
        <f t="shared" si="68"/>
        <v/>
      </c>
      <c r="U851" s="25" t="s">
        <v>1992</v>
      </c>
      <c r="V851" s="25">
        <v>0</v>
      </c>
      <c r="W851" s="25">
        <v>1</v>
      </c>
      <c r="X851" s="25">
        <v>0</v>
      </c>
      <c r="Y851" s="22" t="str">
        <f t="shared" si="69"/>
        <v>Single</v>
      </c>
      <c r="Z851" s="25" t="s">
        <v>1922</v>
      </c>
      <c r="AA851" s="25" t="s">
        <v>1972</v>
      </c>
      <c r="AB851" s="25" t="s">
        <v>2017</v>
      </c>
      <c r="AC851" s="25" t="s">
        <v>1986</v>
      </c>
      <c r="AD851" s="25" t="s">
        <v>2003</v>
      </c>
      <c r="AE851" s="25">
        <v>4</v>
      </c>
      <c r="AF851" s="25" t="s">
        <v>2004</v>
      </c>
      <c r="AG851" s="9" t="s">
        <v>4513</v>
      </c>
      <c r="AH851" s="29" t="s">
        <v>4514</v>
      </c>
      <c r="AI851" s="29" t="s">
        <v>4515</v>
      </c>
      <c r="AJ851" t="s">
        <v>2005</v>
      </c>
      <c r="AK851" t="s">
        <v>4516</v>
      </c>
      <c r="AL851" t="s">
        <v>1978</v>
      </c>
      <c r="AM851" s="50"/>
      <c r="AN851" s="51" t="s">
        <v>4517</v>
      </c>
      <c r="AO851" s="55" t="s">
        <v>1694</v>
      </c>
    </row>
    <row r="852" spans="1:41" ht="68.400000000000006" customHeight="1" x14ac:dyDescent="0.3">
      <c r="A852" s="20">
        <v>848</v>
      </c>
      <c r="B852" s="8" t="s">
        <v>4518</v>
      </c>
      <c r="C852" s="26">
        <v>2024</v>
      </c>
      <c r="D852" s="8"/>
      <c r="E852" s="8" t="s">
        <v>1697</v>
      </c>
      <c r="F852" s="20" t="s">
        <v>1969</v>
      </c>
      <c r="G852" s="21" t="s">
        <v>1968</v>
      </c>
      <c r="H852" s="21" t="s">
        <v>1979</v>
      </c>
      <c r="I852" s="21" t="s">
        <v>1968</v>
      </c>
      <c r="J852" s="21" t="s">
        <v>1968</v>
      </c>
      <c r="K852" s="21" t="s">
        <v>1968</v>
      </c>
      <c r="L852" s="22" t="str">
        <f t="shared" si="65"/>
        <v>EXCLUDE</v>
      </c>
      <c r="M852" s="22" t="str">
        <f t="shared" si="66"/>
        <v>Digital Twin not core / buzzword</v>
      </c>
      <c r="N852" s="23"/>
      <c r="O852" s="23"/>
      <c r="P852" s="24"/>
      <c r="Q852" s="24"/>
      <c r="R852" s="24"/>
      <c r="S852" s="22" t="str">
        <f t="shared" si="67"/>
        <v/>
      </c>
      <c r="T852" s="22" t="str">
        <f t="shared" si="68"/>
        <v/>
      </c>
      <c r="U852" s="25"/>
      <c r="V852" s="25"/>
      <c r="W852" s="25"/>
      <c r="X852" s="25"/>
      <c r="Y852" s="22" t="str">
        <f t="shared" si="69"/>
        <v/>
      </c>
      <c r="Z852" s="25"/>
      <c r="AA852" s="25"/>
      <c r="AB852" s="25"/>
      <c r="AC852" s="25"/>
      <c r="AD852" s="25"/>
      <c r="AE852" s="25"/>
      <c r="AF852" s="25"/>
      <c r="AG852" s="9"/>
      <c r="AH852" s="29"/>
      <c r="AI852" s="29"/>
      <c r="AM852" s="50"/>
      <c r="AN852" s="51" t="s">
        <v>4519</v>
      </c>
      <c r="AO852" s="55" t="s">
        <v>1696</v>
      </c>
    </row>
    <row r="853" spans="1:41" ht="45.6" customHeight="1" x14ac:dyDescent="0.3">
      <c r="A853" s="20">
        <v>849</v>
      </c>
      <c r="B853" s="8" t="s">
        <v>4520</v>
      </c>
      <c r="C853" s="26">
        <v>2022</v>
      </c>
      <c r="D853" s="8"/>
      <c r="E853" s="8" t="s">
        <v>1699</v>
      </c>
      <c r="F853" s="20" t="s">
        <v>1969</v>
      </c>
      <c r="G853" s="21" t="s">
        <v>1979</v>
      </c>
      <c r="H853" s="21" t="s">
        <v>1968</v>
      </c>
      <c r="I853" s="21" t="s">
        <v>1968</v>
      </c>
      <c r="J853" s="21" t="s">
        <v>1968</v>
      </c>
      <c r="K853" s="21" t="s">
        <v>1968</v>
      </c>
      <c r="L853" s="22" t="str">
        <f t="shared" si="65"/>
        <v>EXCLUDE</v>
      </c>
      <c r="M853" s="22" t="str">
        <f t="shared" si="66"/>
        <v>Wrong domain (non-AECO)</v>
      </c>
      <c r="N853" s="23"/>
      <c r="O853" s="23"/>
      <c r="P853" s="24"/>
      <c r="Q853" s="24"/>
      <c r="R853" s="24"/>
      <c r="S853" s="22" t="str">
        <f t="shared" si="67"/>
        <v/>
      </c>
      <c r="T853" s="22" t="str">
        <f t="shared" si="68"/>
        <v/>
      </c>
      <c r="U853" s="25"/>
      <c r="V853" s="25"/>
      <c r="W853" s="25"/>
      <c r="X853" s="25"/>
      <c r="Y853" s="22" t="str">
        <f t="shared" si="69"/>
        <v/>
      </c>
      <c r="Z853" s="25"/>
      <c r="AA853" s="25"/>
      <c r="AB853" s="25"/>
      <c r="AC853" s="25"/>
      <c r="AD853" s="25"/>
      <c r="AE853" s="25"/>
      <c r="AF853" s="25"/>
      <c r="AG853" s="9"/>
      <c r="AH853" s="29"/>
      <c r="AI853" s="29"/>
      <c r="AM853" s="50"/>
      <c r="AN853" s="51" t="s">
        <v>4521</v>
      </c>
      <c r="AO853" s="55" t="s">
        <v>1698</v>
      </c>
    </row>
    <row r="854" spans="1:41" ht="91.2" customHeight="1" x14ac:dyDescent="0.3">
      <c r="A854" s="20">
        <v>850</v>
      </c>
      <c r="B854" s="8" t="s">
        <v>4522</v>
      </c>
      <c r="C854" s="26">
        <v>2022</v>
      </c>
      <c r="D854" s="8"/>
      <c r="E854" s="8" t="s">
        <v>1701</v>
      </c>
      <c r="F854" s="20" t="s">
        <v>1969</v>
      </c>
      <c r="G854" s="21" t="s">
        <v>1968</v>
      </c>
      <c r="H854" s="21" t="s">
        <v>1968</v>
      </c>
      <c r="I854" s="21" t="s">
        <v>1968</v>
      </c>
      <c r="J854" s="21" t="s">
        <v>1968</v>
      </c>
      <c r="K854" s="21" t="s">
        <v>1968</v>
      </c>
      <c r="L854" s="22" t="str">
        <f t="shared" si="65"/>
        <v>INCLUDE</v>
      </c>
      <c r="M854" s="22" t="str">
        <f t="shared" si="66"/>
        <v/>
      </c>
      <c r="N854" s="23" t="s">
        <v>1968</v>
      </c>
      <c r="O854" s="23" t="s">
        <v>1968</v>
      </c>
      <c r="P854" s="24" t="s">
        <v>1968</v>
      </c>
      <c r="Q854" s="24" t="s">
        <v>1968</v>
      </c>
      <c r="R854" s="24" t="s">
        <v>1968</v>
      </c>
      <c r="S854" s="22" t="str">
        <f t="shared" si="67"/>
        <v>INCLUDE</v>
      </c>
      <c r="T854" s="22" t="str">
        <f t="shared" si="68"/>
        <v/>
      </c>
      <c r="U854" s="25" t="s">
        <v>1982</v>
      </c>
      <c r="V854" s="25">
        <v>0</v>
      </c>
      <c r="W854" s="25">
        <v>1</v>
      </c>
      <c r="X854" s="25">
        <v>0</v>
      </c>
      <c r="Y854" s="22" t="str">
        <f t="shared" si="69"/>
        <v>Single</v>
      </c>
      <c r="Z854" s="25" t="s">
        <v>1922</v>
      </c>
      <c r="AA854" s="25" t="s">
        <v>1972</v>
      </c>
      <c r="AB854" s="25" t="s">
        <v>2017</v>
      </c>
      <c r="AC854" s="25" t="s">
        <v>1986</v>
      </c>
      <c r="AD854" s="25" t="s">
        <v>2003</v>
      </c>
      <c r="AE854" s="25">
        <v>3</v>
      </c>
      <c r="AF854" s="25" t="s">
        <v>2004</v>
      </c>
      <c r="AG854" s="9" t="s">
        <v>4523</v>
      </c>
      <c r="AH854" s="29" t="s">
        <v>4524</v>
      </c>
      <c r="AI854" s="29" t="s">
        <v>4525</v>
      </c>
      <c r="AJ854" t="s">
        <v>1997</v>
      </c>
      <c r="AK854" t="s">
        <v>4526</v>
      </c>
      <c r="AL854" t="s">
        <v>1978</v>
      </c>
      <c r="AM854" s="50"/>
      <c r="AN854" s="51" t="s">
        <v>4527</v>
      </c>
      <c r="AO854" s="55" t="s">
        <v>1700</v>
      </c>
    </row>
    <row r="855" spans="1:41" ht="68.400000000000006" customHeight="1" x14ac:dyDescent="0.3">
      <c r="A855" s="20">
        <v>851</v>
      </c>
      <c r="B855" s="8" t="s">
        <v>3005</v>
      </c>
      <c r="C855" s="26">
        <v>2025</v>
      </c>
      <c r="D855" s="8"/>
      <c r="E855" s="8" t="s">
        <v>1703</v>
      </c>
      <c r="F855" s="20" t="s">
        <v>1969</v>
      </c>
      <c r="G855" s="21" t="s">
        <v>1979</v>
      </c>
      <c r="H855" s="21" t="s">
        <v>1968</v>
      </c>
      <c r="I855" s="21" t="s">
        <v>1968</v>
      </c>
      <c r="J855" s="21" t="s">
        <v>1968</v>
      </c>
      <c r="K855" s="21" t="s">
        <v>1968</v>
      </c>
      <c r="L855" s="22" t="str">
        <f t="shared" si="65"/>
        <v>EXCLUDE</v>
      </c>
      <c r="M855" s="22" t="str">
        <f t="shared" si="66"/>
        <v>Wrong domain (non-AECO)</v>
      </c>
      <c r="N855" s="23"/>
      <c r="O855" s="23"/>
      <c r="P855" s="24"/>
      <c r="Q855" s="24"/>
      <c r="R855" s="24"/>
      <c r="S855" s="22" t="str">
        <f t="shared" si="67"/>
        <v/>
      </c>
      <c r="T855" s="22" t="str">
        <f t="shared" si="68"/>
        <v/>
      </c>
      <c r="U855" s="25"/>
      <c r="V855" s="25"/>
      <c r="W855" s="25"/>
      <c r="X855" s="25"/>
      <c r="Y855" s="22" t="str">
        <f t="shared" si="69"/>
        <v/>
      </c>
      <c r="Z855" s="25"/>
      <c r="AA855" s="25"/>
      <c r="AB855" s="25"/>
      <c r="AC855" s="25"/>
      <c r="AD855" s="25"/>
      <c r="AE855" s="25"/>
      <c r="AF855" s="25"/>
      <c r="AG855" s="9"/>
      <c r="AH855" s="29"/>
      <c r="AI855" s="29"/>
      <c r="AM855" s="50"/>
      <c r="AN855" s="51" t="s">
        <v>4528</v>
      </c>
      <c r="AO855" s="55" t="s">
        <v>1702</v>
      </c>
    </row>
    <row r="856" spans="1:41" ht="91.2" customHeight="1" x14ac:dyDescent="0.3">
      <c r="A856" s="20">
        <v>852</v>
      </c>
      <c r="B856" s="8" t="s">
        <v>4529</v>
      </c>
      <c r="C856" s="26">
        <v>2025</v>
      </c>
      <c r="D856" s="8"/>
      <c r="E856" s="8" t="s">
        <v>1705</v>
      </c>
      <c r="F856" s="20" t="s">
        <v>1969</v>
      </c>
      <c r="G856" s="21" t="s">
        <v>1968</v>
      </c>
      <c r="H856" s="21" t="s">
        <v>1968</v>
      </c>
      <c r="I856" s="21" t="s">
        <v>1968</v>
      </c>
      <c r="J856" s="21" t="s">
        <v>1968</v>
      </c>
      <c r="K856" s="21" t="s">
        <v>1968</v>
      </c>
      <c r="L856" s="22" t="str">
        <f t="shared" si="65"/>
        <v>INCLUDE</v>
      </c>
      <c r="M856" s="22" t="str">
        <f t="shared" si="66"/>
        <v/>
      </c>
      <c r="N856" s="23" t="s">
        <v>1968</v>
      </c>
      <c r="O856" s="23" t="s">
        <v>1968</v>
      </c>
      <c r="P856" s="24" t="s">
        <v>1968</v>
      </c>
      <c r="Q856" s="24" t="s">
        <v>1968</v>
      </c>
      <c r="R856" s="24" t="s">
        <v>1968</v>
      </c>
      <c r="S856" s="22" t="str">
        <f t="shared" si="67"/>
        <v>INCLUDE</v>
      </c>
      <c r="T856" s="22" t="str">
        <f t="shared" si="68"/>
        <v/>
      </c>
      <c r="U856" s="25" t="s">
        <v>1971</v>
      </c>
      <c r="V856" s="25">
        <v>0</v>
      </c>
      <c r="W856" s="25">
        <v>1</v>
      </c>
      <c r="X856" s="25">
        <v>0</v>
      </c>
      <c r="Y856" s="22" t="str">
        <f t="shared" si="69"/>
        <v>Single</v>
      </c>
      <c r="Z856" s="25" t="s">
        <v>1922</v>
      </c>
      <c r="AA856" s="25" t="s">
        <v>1972</v>
      </c>
      <c r="AB856" s="25" t="s">
        <v>2015</v>
      </c>
      <c r="AC856" s="25" t="s">
        <v>1986</v>
      </c>
      <c r="AD856" s="25" t="s">
        <v>1987</v>
      </c>
      <c r="AE856" s="25">
        <v>3</v>
      </c>
      <c r="AF856" s="25" t="s">
        <v>2004</v>
      </c>
      <c r="AG856" s="9" t="s">
        <v>4530</v>
      </c>
      <c r="AH856" s="29" t="s">
        <v>4531</v>
      </c>
      <c r="AI856" s="29" t="s">
        <v>4532</v>
      </c>
      <c r="AJ856" t="s">
        <v>2005</v>
      </c>
      <c r="AK856" t="s">
        <v>4533</v>
      </c>
      <c r="AL856" t="s">
        <v>1990</v>
      </c>
      <c r="AM856" s="50"/>
      <c r="AN856" s="51" t="s">
        <v>4534</v>
      </c>
      <c r="AO856" s="55" t="s">
        <v>1704</v>
      </c>
    </row>
    <row r="857" spans="1:41" ht="57" customHeight="1" x14ac:dyDescent="0.3">
      <c r="A857" s="20">
        <v>853</v>
      </c>
      <c r="B857" s="8" t="s">
        <v>4535</v>
      </c>
      <c r="C857" s="26">
        <v>2024</v>
      </c>
      <c r="D857" s="8"/>
      <c r="E857" s="8" t="s">
        <v>1707</v>
      </c>
      <c r="F857" s="20" t="s">
        <v>1969</v>
      </c>
      <c r="G857" s="21" t="s">
        <v>1968</v>
      </c>
      <c r="H857" s="21" t="s">
        <v>1968</v>
      </c>
      <c r="I857" s="21" t="s">
        <v>1968</v>
      </c>
      <c r="J857" s="21" t="s">
        <v>1968</v>
      </c>
      <c r="K857" s="21" t="s">
        <v>1968</v>
      </c>
      <c r="L857" s="22" t="str">
        <f t="shared" si="65"/>
        <v>INCLUDE</v>
      </c>
      <c r="M857" s="22" t="str">
        <f t="shared" si="66"/>
        <v/>
      </c>
      <c r="N857" s="23" t="s">
        <v>1968</v>
      </c>
      <c r="O857" s="23" t="s">
        <v>1968</v>
      </c>
      <c r="P857" s="24" t="s">
        <v>1968</v>
      </c>
      <c r="Q857" s="24" t="s">
        <v>1968</v>
      </c>
      <c r="R857" s="24" t="s">
        <v>1968</v>
      </c>
      <c r="S857" s="22" t="str">
        <f t="shared" si="67"/>
        <v>INCLUDE</v>
      </c>
      <c r="T857" s="22" t="str">
        <f t="shared" si="68"/>
        <v/>
      </c>
      <c r="U857" s="25" t="s">
        <v>1971</v>
      </c>
      <c r="V857" s="25">
        <v>1</v>
      </c>
      <c r="W857" s="25">
        <v>0</v>
      </c>
      <c r="X857" s="25">
        <v>0</v>
      </c>
      <c r="Y857" s="22" t="str">
        <f t="shared" si="69"/>
        <v>Single</v>
      </c>
      <c r="Z857" s="25" t="s">
        <v>1922</v>
      </c>
      <c r="AA857" s="25" t="s">
        <v>1972</v>
      </c>
      <c r="AB857" s="25" t="s">
        <v>2014</v>
      </c>
      <c r="AC857" s="25" t="s">
        <v>1974</v>
      </c>
      <c r="AD857" s="25" t="s">
        <v>1987</v>
      </c>
      <c r="AE857" s="25">
        <v>2</v>
      </c>
      <c r="AF857" s="25" t="s">
        <v>2004</v>
      </c>
      <c r="AG857" s="9" t="s">
        <v>4536</v>
      </c>
      <c r="AH857" s="29" t="s">
        <v>4537</v>
      </c>
      <c r="AI857" s="29" t="s">
        <v>4538</v>
      </c>
      <c r="AJ857" t="s">
        <v>1977</v>
      </c>
      <c r="AK857" t="s">
        <v>4539</v>
      </c>
      <c r="AL857" t="s">
        <v>1990</v>
      </c>
      <c r="AM857" s="50"/>
      <c r="AN857" s="51" t="s">
        <v>4540</v>
      </c>
      <c r="AO857" s="55" t="s">
        <v>1706</v>
      </c>
    </row>
    <row r="858" spans="1:41" ht="34.200000000000003" customHeight="1" x14ac:dyDescent="0.3">
      <c r="A858" s="20">
        <v>854</v>
      </c>
      <c r="B858" s="8" t="s">
        <v>4541</v>
      </c>
      <c r="C858" s="26">
        <v>2024</v>
      </c>
      <c r="D858" s="8"/>
      <c r="E858" s="8" t="s">
        <v>1709</v>
      </c>
      <c r="F858" s="20" t="s">
        <v>1969</v>
      </c>
      <c r="G858" s="21" t="s">
        <v>1968</v>
      </c>
      <c r="H858" s="21" t="s">
        <v>1979</v>
      </c>
      <c r="I858" s="21" t="s">
        <v>1968</v>
      </c>
      <c r="J858" s="21" t="s">
        <v>1968</v>
      </c>
      <c r="K858" s="21" t="s">
        <v>1968</v>
      </c>
      <c r="L858" s="22" t="str">
        <f t="shared" si="65"/>
        <v>EXCLUDE</v>
      </c>
      <c r="M858" s="22" t="str">
        <f t="shared" si="66"/>
        <v>Digital Twin not core / buzzword</v>
      </c>
      <c r="N858" s="23"/>
      <c r="O858" s="23"/>
      <c r="P858" s="24"/>
      <c r="Q858" s="24"/>
      <c r="R858" s="24"/>
      <c r="S858" s="22" t="str">
        <f t="shared" si="67"/>
        <v/>
      </c>
      <c r="T858" s="22" t="str">
        <f t="shared" si="68"/>
        <v/>
      </c>
      <c r="U858" s="25"/>
      <c r="V858" s="25"/>
      <c r="W858" s="25"/>
      <c r="X858" s="25"/>
      <c r="Y858" s="22" t="str">
        <f t="shared" si="69"/>
        <v/>
      </c>
      <c r="Z858" s="25"/>
      <c r="AA858" s="25"/>
      <c r="AB858" s="25"/>
      <c r="AC858" s="25"/>
      <c r="AD858" s="25"/>
      <c r="AE858" s="25"/>
      <c r="AF858" s="25"/>
      <c r="AG858" s="9"/>
      <c r="AH858" s="29"/>
      <c r="AI858" s="29"/>
      <c r="AM858" s="50"/>
      <c r="AN858" s="51" t="s">
        <v>4542</v>
      </c>
      <c r="AO858" s="55" t="s">
        <v>1708</v>
      </c>
    </row>
    <row r="859" spans="1:41" ht="68.400000000000006" customHeight="1" x14ac:dyDescent="0.3">
      <c r="A859" s="20">
        <v>855</v>
      </c>
      <c r="B859" s="8" t="s">
        <v>4543</v>
      </c>
      <c r="C859" s="26">
        <v>2024</v>
      </c>
      <c r="D859" s="8"/>
      <c r="E859" s="8" t="s">
        <v>1711</v>
      </c>
      <c r="F859" s="20" t="s">
        <v>1969</v>
      </c>
      <c r="G859" s="21" t="s">
        <v>1968</v>
      </c>
      <c r="H859" s="21" t="s">
        <v>1979</v>
      </c>
      <c r="I859" s="21" t="s">
        <v>1968</v>
      </c>
      <c r="J859" s="21" t="s">
        <v>1968</v>
      </c>
      <c r="K859" s="21" t="s">
        <v>1968</v>
      </c>
      <c r="L859" s="22" t="str">
        <f t="shared" si="65"/>
        <v>EXCLUDE</v>
      </c>
      <c r="M859" s="22" t="str">
        <f t="shared" si="66"/>
        <v>Digital Twin not core / buzzword</v>
      </c>
      <c r="N859" s="23"/>
      <c r="O859" s="23"/>
      <c r="P859" s="24"/>
      <c r="Q859" s="24"/>
      <c r="R859" s="24"/>
      <c r="S859" s="22" t="str">
        <f t="shared" si="67"/>
        <v/>
      </c>
      <c r="T859" s="22" t="str">
        <f t="shared" si="68"/>
        <v/>
      </c>
      <c r="U859" s="25"/>
      <c r="V859" s="25"/>
      <c r="W859" s="25"/>
      <c r="X859" s="25"/>
      <c r="Y859" s="22" t="str">
        <f t="shared" si="69"/>
        <v/>
      </c>
      <c r="Z859" s="25"/>
      <c r="AA859" s="25"/>
      <c r="AB859" s="25"/>
      <c r="AC859" s="25"/>
      <c r="AD859" s="25"/>
      <c r="AE859" s="25"/>
      <c r="AF859" s="25"/>
      <c r="AG859" s="9"/>
      <c r="AH859" s="29"/>
      <c r="AI859" s="29"/>
      <c r="AM859" s="50"/>
      <c r="AN859" s="51" t="s">
        <v>4544</v>
      </c>
      <c r="AO859" s="55" t="s">
        <v>1710</v>
      </c>
    </row>
    <row r="860" spans="1:41" ht="91.2" customHeight="1" x14ac:dyDescent="0.3">
      <c r="A860" s="20">
        <v>856</v>
      </c>
      <c r="B860" s="8" t="s">
        <v>4545</v>
      </c>
      <c r="C860" s="26">
        <v>2022</v>
      </c>
      <c r="D860" s="8"/>
      <c r="E860" s="8" t="s">
        <v>1713</v>
      </c>
      <c r="F860" s="20" t="s">
        <v>1969</v>
      </c>
      <c r="G860" s="21" t="s">
        <v>1968</v>
      </c>
      <c r="H860" s="21" t="s">
        <v>1968</v>
      </c>
      <c r="I860" s="21" t="s">
        <v>1968</v>
      </c>
      <c r="J860" s="21" t="s">
        <v>1968</v>
      </c>
      <c r="K860" s="21" t="s">
        <v>1968</v>
      </c>
      <c r="L860" s="22" t="str">
        <f t="shared" si="65"/>
        <v>INCLUDE</v>
      </c>
      <c r="M860" s="22" t="str">
        <f t="shared" si="66"/>
        <v/>
      </c>
      <c r="N860" s="23" t="s">
        <v>1968</v>
      </c>
      <c r="O860" s="23" t="s">
        <v>1968</v>
      </c>
      <c r="P860" s="24" t="s">
        <v>1968</v>
      </c>
      <c r="Q860" s="24" t="s">
        <v>1968</v>
      </c>
      <c r="R860" s="24" t="s">
        <v>1968</v>
      </c>
      <c r="S860" s="22" t="str">
        <f t="shared" si="67"/>
        <v>INCLUDE</v>
      </c>
      <c r="T860" s="22" t="str">
        <f t="shared" si="68"/>
        <v/>
      </c>
      <c r="U860" s="25" t="s">
        <v>1982</v>
      </c>
      <c r="V860" s="25">
        <v>0</v>
      </c>
      <c r="W860" s="25">
        <v>0</v>
      </c>
      <c r="X860" s="25">
        <v>1</v>
      </c>
      <c r="Y860" s="22" t="str">
        <f t="shared" si="69"/>
        <v>Single</v>
      </c>
      <c r="Z860" s="25" t="s">
        <v>1922</v>
      </c>
      <c r="AA860" s="25" t="s">
        <v>1972</v>
      </c>
      <c r="AB860" s="25" t="s">
        <v>1973</v>
      </c>
      <c r="AC860" s="25" t="s">
        <v>1986</v>
      </c>
      <c r="AD860" s="25" t="s">
        <v>2003</v>
      </c>
      <c r="AE860" s="25">
        <v>4</v>
      </c>
      <c r="AF860" s="25" t="s">
        <v>2010</v>
      </c>
      <c r="AG860" s="9" t="s">
        <v>4546</v>
      </c>
      <c r="AH860" s="29" t="s">
        <v>4547</v>
      </c>
      <c r="AI860" s="29" t="s">
        <v>4548</v>
      </c>
      <c r="AJ860" t="s">
        <v>2005</v>
      </c>
      <c r="AK860" t="s">
        <v>4549</v>
      </c>
      <c r="AL860" t="s">
        <v>1978</v>
      </c>
      <c r="AM860" s="50"/>
      <c r="AN860" s="51" t="s">
        <v>4550</v>
      </c>
      <c r="AO860" s="55" t="s">
        <v>1712</v>
      </c>
    </row>
    <row r="861" spans="1:41" ht="45.6" customHeight="1" x14ac:dyDescent="0.3">
      <c r="A861" s="20">
        <v>857</v>
      </c>
      <c r="B861" s="8" t="s">
        <v>4551</v>
      </c>
      <c r="C861" s="26">
        <v>2022</v>
      </c>
      <c r="D861" s="8"/>
      <c r="E861" s="8" t="s">
        <v>1715</v>
      </c>
      <c r="F861" s="20" t="s">
        <v>1969</v>
      </c>
      <c r="G861" s="21" t="s">
        <v>1979</v>
      </c>
      <c r="H861" s="21" t="s">
        <v>1968</v>
      </c>
      <c r="I861" s="21" t="s">
        <v>1968</v>
      </c>
      <c r="J861" s="21" t="s">
        <v>1968</v>
      </c>
      <c r="K861" s="21" t="s">
        <v>1968</v>
      </c>
      <c r="L861" s="22" t="str">
        <f t="shared" si="65"/>
        <v>EXCLUDE</v>
      </c>
      <c r="M861" s="22" t="str">
        <f t="shared" si="66"/>
        <v>Wrong domain (non-AECO)</v>
      </c>
      <c r="N861" s="23"/>
      <c r="O861" s="23"/>
      <c r="P861" s="24"/>
      <c r="Q861" s="24"/>
      <c r="R861" s="24"/>
      <c r="S861" s="22" t="str">
        <f t="shared" si="67"/>
        <v/>
      </c>
      <c r="T861" s="22" t="str">
        <f t="shared" si="68"/>
        <v/>
      </c>
      <c r="U861" s="25"/>
      <c r="V861" s="25"/>
      <c r="W861" s="25"/>
      <c r="X861" s="25"/>
      <c r="Y861" s="22" t="str">
        <f t="shared" si="69"/>
        <v/>
      </c>
      <c r="Z861" s="25"/>
      <c r="AA861" s="25"/>
      <c r="AB861" s="25"/>
      <c r="AC861" s="25"/>
      <c r="AD861" s="25"/>
      <c r="AE861" s="25"/>
      <c r="AF861" s="25"/>
      <c r="AG861" s="9"/>
      <c r="AH861" s="29"/>
      <c r="AI861" s="29"/>
      <c r="AM861" s="50"/>
      <c r="AN861" s="51" t="s">
        <v>4552</v>
      </c>
      <c r="AO861" s="55" t="s">
        <v>1714</v>
      </c>
    </row>
    <row r="862" spans="1:41" ht="79.8" customHeight="1" x14ac:dyDescent="0.3">
      <c r="A862" s="20">
        <v>858</v>
      </c>
      <c r="B862" s="8" t="s">
        <v>4553</v>
      </c>
      <c r="C862" s="26">
        <v>2023</v>
      </c>
      <c r="D862" s="8"/>
      <c r="E862" s="8" t="s">
        <v>1717</v>
      </c>
      <c r="F862" s="20" t="s">
        <v>1969</v>
      </c>
      <c r="G862" s="21" t="s">
        <v>1968</v>
      </c>
      <c r="H862" s="21" t="s">
        <v>1968</v>
      </c>
      <c r="I862" s="21" t="s">
        <v>1968</v>
      </c>
      <c r="J862" s="21" t="s">
        <v>1968</v>
      </c>
      <c r="K862" s="21" t="s">
        <v>1968</v>
      </c>
      <c r="L862" s="22" t="str">
        <f t="shared" si="65"/>
        <v>INCLUDE</v>
      </c>
      <c r="M862" s="22" t="str">
        <f t="shared" si="66"/>
        <v/>
      </c>
      <c r="N862" s="23" t="s">
        <v>1968</v>
      </c>
      <c r="O862" s="23" t="s">
        <v>1968</v>
      </c>
      <c r="P862" s="24" t="s">
        <v>1968</v>
      </c>
      <c r="Q862" s="24" t="s">
        <v>1968</v>
      </c>
      <c r="R862" s="24" t="s">
        <v>1968</v>
      </c>
      <c r="S862" s="22" t="str">
        <f t="shared" si="67"/>
        <v>INCLUDE</v>
      </c>
      <c r="T862" s="22" t="str">
        <f t="shared" si="68"/>
        <v/>
      </c>
      <c r="U862" s="25" t="s">
        <v>1971</v>
      </c>
      <c r="V862" s="25">
        <v>0</v>
      </c>
      <c r="W862" s="25">
        <v>1</v>
      </c>
      <c r="X862" s="25">
        <v>0</v>
      </c>
      <c r="Y862" s="22" t="str">
        <f t="shared" si="69"/>
        <v>Single</v>
      </c>
      <c r="Z862" s="25" t="s">
        <v>1922</v>
      </c>
      <c r="AA862" s="25" t="s">
        <v>1972</v>
      </c>
      <c r="AB862" s="25" t="s">
        <v>2017</v>
      </c>
      <c r="AC862" s="25" t="s">
        <v>1986</v>
      </c>
      <c r="AD862" s="25" t="s">
        <v>1975</v>
      </c>
      <c r="AE862" s="25">
        <v>3</v>
      </c>
      <c r="AF862" s="25" t="s">
        <v>2012</v>
      </c>
      <c r="AG862" s="9" t="s">
        <v>4554</v>
      </c>
      <c r="AH862" s="29" t="s">
        <v>4555</v>
      </c>
      <c r="AI862" s="29" t="s">
        <v>4556</v>
      </c>
      <c r="AJ862" t="s">
        <v>2007</v>
      </c>
      <c r="AK862" t="s">
        <v>4557</v>
      </c>
      <c r="AL862" t="s">
        <v>1978</v>
      </c>
      <c r="AM862" s="50" t="s">
        <v>2098</v>
      </c>
      <c r="AN862" s="51" t="s">
        <v>4558</v>
      </c>
      <c r="AO862" s="55" t="s">
        <v>1716</v>
      </c>
    </row>
    <row r="863" spans="1:41" ht="114" customHeight="1" x14ac:dyDescent="0.3">
      <c r="A863" s="20">
        <v>859</v>
      </c>
      <c r="B863" s="8" t="s">
        <v>4559</v>
      </c>
      <c r="C863" s="26">
        <v>2025</v>
      </c>
      <c r="D863" s="8"/>
      <c r="E863" s="8" t="s">
        <v>1719</v>
      </c>
      <c r="F863" s="20" t="s">
        <v>1969</v>
      </c>
      <c r="G863" s="21" t="s">
        <v>1968</v>
      </c>
      <c r="H863" s="21" t="s">
        <v>1968</v>
      </c>
      <c r="I863" s="21" t="s">
        <v>1979</v>
      </c>
      <c r="J863" s="21" t="s">
        <v>1968</v>
      </c>
      <c r="K863" s="21" t="s">
        <v>1968</v>
      </c>
      <c r="L863" s="22" t="str">
        <f t="shared" si="65"/>
        <v>EXCLUDE</v>
      </c>
      <c r="M863" s="22" t="str">
        <f t="shared" si="66"/>
        <v>No Design for Safety / PtD focus</v>
      </c>
      <c r="N863" s="23"/>
      <c r="O863" s="23"/>
      <c r="P863" s="24"/>
      <c r="Q863" s="24"/>
      <c r="R863" s="24"/>
      <c r="S863" s="22" t="str">
        <f t="shared" si="67"/>
        <v/>
      </c>
      <c r="T863" s="22" t="str">
        <f t="shared" si="68"/>
        <v/>
      </c>
      <c r="U863" s="25"/>
      <c r="V863" s="25"/>
      <c r="W863" s="25"/>
      <c r="X863" s="25"/>
      <c r="Y863" s="22" t="str">
        <f t="shared" si="69"/>
        <v/>
      </c>
      <c r="Z863" s="25"/>
      <c r="AA863" s="25"/>
      <c r="AB863" s="25"/>
      <c r="AC863" s="25"/>
      <c r="AD863" s="25"/>
      <c r="AE863" s="25"/>
      <c r="AF863" s="25"/>
      <c r="AG863" s="9"/>
      <c r="AH863" s="29"/>
      <c r="AI863" s="29"/>
      <c r="AM863" s="50"/>
      <c r="AN863" s="51" t="s">
        <v>4560</v>
      </c>
      <c r="AO863" s="55" t="s">
        <v>1718</v>
      </c>
    </row>
    <row r="864" spans="1:41" ht="45.6" customHeight="1" x14ac:dyDescent="0.3">
      <c r="A864" s="20">
        <v>860</v>
      </c>
      <c r="B864" s="8" t="s">
        <v>4561</v>
      </c>
      <c r="C864" s="26">
        <v>2025</v>
      </c>
      <c r="D864" s="8"/>
      <c r="E864" s="8" t="s">
        <v>1721</v>
      </c>
      <c r="F864" s="20" t="s">
        <v>1969</v>
      </c>
      <c r="G864" s="21" t="s">
        <v>1979</v>
      </c>
      <c r="H864" s="21" t="s">
        <v>1968</v>
      </c>
      <c r="I864" s="21" t="s">
        <v>1968</v>
      </c>
      <c r="J864" s="21" t="s">
        <v>1968</v>
      </c>
      <c r="K864" s="21" t="s">
        <v>1968</v>
      </c>
      <c r="L864" s="22" t="str">
        <f t="shared" si="65"/>
        <v>EXCLUDE</v>
      </c>
      <c r="M864" s="22" t="str">
        <f t="shared" si="66"/>
        <v>Wrong domain (non-AECO)</v>
      </c>
      <c r="N864" s="23"/>
      <c r="O864" s="23"/>
      <c r="P864" s="24"/>
      <c r="Q864" s="24"/>
      <c r="R864" s="24"/>
      <c r="S864" s="22" t="str">
        <f t="shared" si="67"/>
        <v/>
      </c>
      <c r="T864" s="22" t="str">
        <f t="shared" si="68"/>
        <v/>
      </c>
      <c r="U864" s="25"/>
      <c r="V864" s="25"/>
      <c r="W864" s="25"/>
      <c r="X864" s="25"/>
      <c r="Y864" s="22" t="str">
        <f t="shared" si="69"/>
        <v/>
      </c>
      <c r="Z864" s="25"/>
      <c r="AA864" s="25"/>
      <c r="AB864" s="25"/>
      <c r="AC864" s="25"/>
      <c r="AD864" s="25"/>
      <c r="AE864" s="25"/>
      <c r="AF864" s="25"/>
      <c r="AG864" s="9"/>
      <c r="AH864" s="29"/>
      <c r="AI864" s="29"/>
      <c r="AM864" s="50"/>
      <c r="AN864" s="51" t="s">
        <v>4562</v>
      </c>
      <c r="AO864" s="55" t="s">
        <v>1720</v>
      </c>
    </row>
    <row r="865" spans="1:41" ht="79.8" customHeight="1" x14ac:dyDescent="0.3">
      <c r="A865" s="20">
        <v>861</v>
      </c>
      <c r="B865" s="8" t="s">
        <v>3541</v>
      </c>
      <c r="C865" s="26">
        <v>2023</v>
      </c>
      <c r="D865" s="8"/>
      <c r="E865" s="8" t="s">
        <v>1723</v>
      </c>
      <c r="F865" s="20" t="s">
        <v>1969</v>
      </c>
      <c r="G865" s="21" t="s">
        <v>1968</v>
      </c>
      <c r="H865" s="21" t="s">
        <v>1968</v>
      </c>
      <c r="I865" s="21" t="s">
        <v>1968</v>
      </c>
      <c r="J865" s="21" t="s">
        <v>1968</v>
      </c>
      <c r="K865" s="21" t="s">
        <v>1968</v>
      </c>
      <c r="L865" s="22" t="str">
        <f t="shared" si="65"/>
        <v>INCLUDE</v>
      </c>
      <c r="M865" s="22" t="str">
        <f t="shared" si="66"/>
        <v/>
      </c>
      <c r="N865" s="23" t="s">
        <v>1968</v>
      </c>
      <c r="O865" s="23" t="s">
        <v>1968</v>
      </c>
      <c r="P865" s="24" t="s">
        <v>1968</v>
      </c>
      <c r="Q865" s="24" t="s">
        <v>1968</v>
      </c>
      <c r="R865" s="24" t="s">
        <v>1968</v>
      </c>
      <c r="S865" s="22" t="str">
        <f t="shared" si="67"/>
        <v>INCLUDE</v>
      </c>
      <c r="T865" s="22" t="str">
        <f t="shared" si="68"/>
        <v/>
      </c>
      <c r="U865" s="25" t="s">
        <v>1982</v>
      </c>
      <c r="V865" s="25">
        <v>0</v>
      </c>
      <c r="W865" s="25">
        <v>1</v>
      </c>
      <c r="X865" s="25">
        <v>0</v>
      </c>
      <c r="Y865" s="22" t="str">
        <f t="shared" si="69"/>
        <v>Single</v>
      </c>
      <c r="Z865" s="25" t="s">
        <v>1922</v>
      </c>
      <c r="AA865" s="25" t="s">
        <v>1972</v>
      </c>
      <c r="AB865" s="25" t="s">
        <v>2014</v>
      </c>
      <c r="AC865" s="25" t="s">
        <v>1986</v>
      </c>
      <c r="AD865" s="25" t="s">
        <v>2003</v>
      </c>
      <c r="AE865" s="25">
        <v>3</v>
      </c>
      <c r="AF865" s="25" t="s">
        <v>2004</v>
      </c>
      <c r="AG865" s="9" t="s">
        <v>4563</v>
      </c>
      <c r="AH865" s="29" t="s">
        <v>4564</v>
      </c>
      <c r="AI865" s="29" t="s">
        <v>4565</v>
      </c>
      <c r="AJ865" t="s">
        <v>2005</v>
      </c>
      <c r="AK865" t="s">
        <v>4566</v>
      </c>
      <c r="AL865" t="s">
        <v>1990</v>
      </c>
      <c r="AM865" s="50"/>
      <c r="AN865" s="51" t="s">
        <v>4567</v>
      </c>
      <c r="AO865" s="55" t="s">
        <v>1722</v>
      </c>
    </row>
    <row r="866" spans="1:41" ht="28.8" customHeight="1" x14ac:dyDescent="0.3">
      <c r="A866" s="20">
        <v>862</v>
      </c>
      <c r="B866" s="8" t="s">
        <v>4568</v>
      </c>
      <c r="C866" s="26">
        <v>2025</v>
      </c>
      <c r="D866" s="8"/>
      <c r="E866" s="8" t="s">
        <v>1725</v>
      </c>
      <c r="F866" s="20" t="s">
        <v>1969</v>
      </c>
      <c r="G866" s="21" t="s">
        <v>1968</v>
      </c>
      <c r="H866" s="21" t="s">
        <v>1979</v>
      </c>
      <c r="I866" s="21" t="s">
        <v>1968</v>
      </c>
      <c r="J866" s="21" t="s">
        <v>1968</v>
      </c>
      <c r="K866" s="21" t="s">
        <v>1968</v>
      </c>
      <c r="L866" s="22" t="str">
        <f t="shared" si="65"/>
        <v>EXCLUDE</v>
      </c>
      <c r="M866" s="22" t="str">
        <f t="shared" si="66"/>
        <v>Digital Twin not core / buzzword</v>
      </c>
      <c r="N866" s="23"/>
      <c r="O866" s="23"/>
      <c r="P866" s="24"/>
      <c r="Q866" s="24"/>
      <c r="R866" s="24"/>
      <c r="S866" s="22" t="str">
        <f t="shared" si="67"/>
        <v/>
      </c>
      <c r="T866" s="22" t="str">
        <f t="shared" si="68"/>
        <v/>
      </c>
      <c r="U866" s="25"/>
      <c r="V866" s="25"/>
      <c r="W866" s="25"/>
      <c r="X866" s="25"/>
      <c r="Y866" s="22" t="str">
        <f t="shared" si="69"/>
        <v/>
      </c>
      <c r="Z866" s="25"/>
      <c r="AA866" s="25"/>
      <c r="AB866" s="25"/>
      <c r="AC866" s="25"/>
      <c r="AD866" s="25"/>
      <c r="AE866" s="25"/>
      <c r="AF866" s="25"/>
      <c r="AG866" s="9"/>
      <c r="AH866" s="29"/>
      <c r="AI866" s="29"/>
      <c r="AM866" s="50"/>
      <c r="AN866" s="51" t="s">
        <v>4569</v>
      </c>
      <c r="AO866" s="55" t="s">
        <v>1724</v>
      </c>
    </row>
    <row r="867" spans="1:41" ht="57" customHeight="1" x14ac:dyDescent="0.3">
      <c r="A867" s="20">
        <v>863</v>
      </c>
      <c r="B867" s="8" t="s">
        <v>4570</v>
      </c>
      <c r="C867" s="26">
        <v>2022</v>
      </c>
      <c r="D867" s="8"/>
      <c r="E867" s="8" t="s">
        <v>1727</v>
      </c>
      <c r="F867" s="20" t="s">
        <v>1969</v>
      </c>
      <c r="G867" s="21" t="s">
        <v>1968</v>
      </c>
      <c r="H867" s="21" t="s">
        <v>1979</v>
      </c>
      <c r="I867" s="21" t="s">
        <v>1968</v>
      </c>
      <c r="J867" s="21" t="s">
        <v>1968</v>
      </c>
      <c r="K867" s="21" t="s">
        <v>1968</v>
      </c>
      <c r="L867" s="22" t="str">
        <f t="shared" si="65"/>
        <v>EXCLUDE</v>
      </c>
      <c r="M867" s="22" t="str">
        <f t="shared" si="66"/>
        <v>Digital Twin not core / buzzword</v>
      </c>
      <c r="N867" s="23"/>
      <c r="O867" s="23"/>
      <c r="P867" s="24"/>
      <c r="Q867" s="24"/>
      <c r="R867" s="24"/>
      <c r="S867" s="22" t="str">
        <f t="shared" si="67"/>
        <v/>
      </c>
      <c r="T867" s="22" t="str">
        <f t="shared" si="68"/>
        <v/>
      </c>
      <c r="U867" s="25"/>
      <c r="V867" s="25"/>
      <c r="W867" s="25"/>
      <c r="X867" s="25"/>
      <c r="Y867" s="22" t="str">
        <f t="shared" si="69"/>
        <v/>
      </c>
      <c r="Z867" s="25"/>
      <c r="AA867" s="25"/>
      <c r="AB867" s="25"/>
      <c r="AC867" s="25"/>
      <c r="AD867" s="25"/>
      <c r="AE867" s="25"/>
      <c r="AF867" s="25"/>
      <c r="AG867" s="9"/>
      <c r="AH867" s="29"/>
      <c r="AI867" s="29"/>
      <c r="AM867" s="50"/>
      <c r="AN867" s="51" t="s">
        <v>4571</v>
      </c>
      <c r="AO867" s="55" t="s">
        <v>1726</v>
      </c>
    </row>
    <row r="868" spans="1:41" ht="79.8" customHeight="1" x14ac:dyDescent="0.3">
      <c r="A868" s="20">
        <v>864</v>
      </c>
      <c r="B868" s="8" t="s">
        <v>4572</v>
      </c>
      <c r="C868" s="26">
        <v>2025</v>
      </c>
      <c r="D868" s="8"/>
      <c r="E868" s="8" t="s">
        <v>1729</v>
      </c>
      <c r="F868" s="20" t="s">
        <v>1969</v>
      </c>
      <c r="G868" s="21" t="s">
        <v>1979</v>
      </c>
      <c r="H868" s="21" t="s">
        <v>1968</v>
      </c>
      <c r="I868" s="21" t="s">
        <v>1968</v>
      </c>
      <c r="J868" s="21" t="s">
        <v>1968</v>
      </c>
      <c r="K868" s="21" t="s">
        <v>1968</v>
      </c>
      <c r="L868" s="22" t="str">
        <f t="shared" si="65"/>
        <v>EXCLUDE</v>
      </c>
      <c r="M868" s="22" t="str">
        <f t="shared" si="66"/>
        <v>Wrong domain (non-AECO)</v>
      </c>
      <c r="N868" s="23"/>
      <c r="O868" s="23"/>
      <c r="P868" s="24"/>
      <c r="Q868" s="24"/>
      <c r="R868" s="24"/>
      <c r="S868" s="22" t="str">
        <f t="shared" si="67"/>
        <v/>
      </c>
      <c r="T868" s="22" t="str">
        <f t="shared" si="68"/>
        <v/>
      </c>
      <c r="U868" s="25"/>
      <c r="V868" s="25"/>
      <c r="W868" s="25"/>
      <c r="X868" s="25"/>
      <c r="Y868" s="22" t="str">
        <f t="shared" si="69"/>
        <v/>
      </c>
      <c r="Z868" s="25"/>
      <c r="AA868" s="25"/>
      <c r="AB868" s="25"/>
      <c r="AC868" s="25"/>
      <c r="AD868" s="25"/>
      <c r="AE868" s="25"/>
      <c r="AF868" s="25"/>
      <c r="AG868" s="9"/>
      <c r="AH868" s="29"/>
      <c r="AI868" s="29"/>
      <c r="AM868" s="50"/>
      <c r="AN868" s="51" t="s">
        <v>4573</v>
      </c>
      <c r="AO868" s="55" t="s">
        <v>1728</v>
      </c>
    </row>
    <row r="869" spans="1:41" ht="79.8" customHeight="1" x14ac:dyDescent="0.3">
      <c r="A869" s="20">
        <v>865</v>
      </c>
      <c r="B869" s="8" t="s">
        <v>4574</v>
      </c>
      <c r="C869" s="26">
        <v>2024</v>
      </c>
      <c r="D869" s="8"/>
      <c r="E869" s="8" t="s">
        <v>1731</v>
      </c>
      <c r="F869" s="20" t="s">
        <v>1969</v>
      </c>
      <c r="G869" s="21" t="s">
        <v>1979</v>
      </c>
      <c r="H869" s="21" t="s">
        <v>1968</v>
      </c>
      <c r="I869" s="21" t="s">
        <v>1968</v>
      </c>
      <c r="J869" s="21" t="s">
        <v>1968</v>
      </c>
      <c r="K869" s="21" t="s">
        <v>1968</v>
      </c>
      <c r="L869" s="22" t="str">
        <f t="shared" si="65"/>
        <v>EXCLUDE</v>
      </c>
      <c r="M869" s="22" t="str">
        <f t="shared" si="66"/>
        <v>Wrong domain (non-AECO)</v>
      </c>
      <c r="N869" s="23"/>
      <c r="O869" s="23"/>
      <c r="P869" s="24"/>
      <c r="Q869" s="24"/>
      <c r="R869" s="24"/>
      <c r="S869" s="22" t="str">
        <f t="shared" si="67"/>
        <v/>
      </c>
      <c r="T869" s="22" t="str">
        <f t="shared" si="68"/>
        <v/>
      </c>
      <c r="U869" s="25"/>
      <c r="V869" s="25"/>
      <c r="W869" s="25"/>
      <c r="X869" s="25"/>
      <c r="Y869" s="22" t="str">
        <f t="shared" si="69"/>
        <v/>
      </c>
      <c r="Z869" s="25"/>
      <c r="AA869" s="25"/>
      <c r="AB869" s="25"/>
      <c r="AC869" s="25"/>
      <c r="AD869" s="25"/>
      <c r="AE869" s="25"/>
      <c r="AF869" s="25"/>
      <c r="AG869" s="9"/>
      <c r="AH869" s="29"/>
      <c r="AI869" s="29"/>
      <c r="AM869" s="50"/>
      <c r="AN869" s="51" t="s">
        <v>4575</v>
      </c>
      <c r="AO869" s="55" t="s">
        <v>1730</v>
      </c>
    </row>
    <row r="870" spans="1:41" ht="68.400000000000006" customHeight="1" x14ac:dyDescent="0.3">
      <c r="A870" s="20">
        <v>866</v>
      </c>
      <c r="B870" s="8" t="s">
        <v>4576</v>
      </c>
      <c r="C870" s="26">
        <v>2022</v>
      </c>
      <c r="D870" s="8"/>
      <c r="E870" s="8" t="s">
        <v>1733</v>
      </c>
      <c r="F870" s="20" t="s">
        <v>1969</v>
      </c>
      <c r="G870" s="21" t="s">
        <v>1968</v>
      </c>
      <c r="H870" s="21" t="s">
        <v>1968</v>
      </c>
      <c r="I870" s="21" t="s">
        <v>1968</v>
      </c>
      <c r="J870" s="21" t="s">
        <v>1968</v>
      </c>
      <c r="K870" s="21" t="s">
        <v>1968</v>
      </c>
      <c r="L870" s="22" t="str">
        <f t="shared" si="65"/>
        <v>INCLUDE</v>
      </c>
      <c r="M870" s="22" t="str">
        <f t="shared" si="66"/>
        <v/>
      </c>
      <c r="N870" s="23" t="s">
        <v>1968</v>
      </c>
      <c r="O870" s="23" t="s">
        <v>1968</v>
      </c>
      <c r="P870" s="24" t="s">
        <v>1968</v>
      </c>
      <c r="Q870" s="24" t="s">
        <v>1968</v>
      </c>
      <c r="R870" s="24" t="s">
        <v>1968</v>
      </c>
      <c r="S870" s="22" t="str">
        <f t="shared" si="67"/>
        <v>INCLUDE</v>
      </c>
      <c r="T870" s="22" t="str">
        <f t="shared" si="68"/>
        <v/>
      </c>
      <c r="U870" s="25" t="s">
        <v>1982</v>
      </c>
      <c r="V870" s="25">
        <v>0</v>
      </c>
      <c r="W870" s="25">
        <v>1</v>
      </c>
      <c r="X870" s="25">
        <v>0</v>
      </c>
      <c r="Y870" s="22" t="str">
        <f t="shared" si="69"/>
        <v>Single</v>
      </c>
      <c r="Z870" s="25" t="s">
        <v>1922</v>
      </c>
      <c r="AA870" s="25" t="s">
        <v>1972</v>
      </c>
      <c r="AB870" s="25" t="s">
        <v>2018</v>
      </c>
      <c r="AC870" s="25" t="s">
        <v>1986</v>
      </c>
      <c r="AD870" s="25" t="s">
        <v>2003</v>
      </c>
      <c r="AE870" s="25">
        <v>3</v>
      </c>
      <c r="AF870" s="25" t="s">
        <v>2010</v>
      </c>
      <c r="AG870" s="9" t="s">
        <v>4577</v>
      </c>
      <c r="AH870" s="29" t="s">
        <v>4578</v>
      </c>
      <c r="AI870" s="29" t="s">
        <v>4579</v>
      </c>
      <c r="AJ870" t="s">
        <v>2005</v>
      </c>
      <c r="AK870" t="s">
        <v>4580</v>
      </c>
      <c r="AL870" t="s">
        <v>1990</v>
      </c>
      <c r="AM870" s="50"/>
      <c r="AN870" s="51" t="s">
        <v>4581</v>
      </c>
      <c r="AO870" s="55" t="s">
        <v>1732</v>
      </c>
    </row>
    <row r="871" spans="1:41" ht="79.8" customHeight="1" x14ac:dyDescent="0.3">
      <c r="A871" s="20">
        <v>867</v>
      </c>
      <c r="B871" s="8" t="s">
        <v>4174</v>
      </c>
      <c r="C871" s="26">
        <v>2023</v>
      </c>
      <c r="D871" s="8"/>
      <c r="E871" s="8" t="s">
        <v>1735</v>
      </c>
      <c r="F871" s="20" t="s">
        <v>1969</v>
      </c>
      <c r="G871" s="21" t="s">
        <v>1968</v>
      </c>
      <c r="H871" s="21" t="s">
        <v>1968</v>
      </c>
      <c r="I871" s="21" t="s">
        <v>1968</v>
      </c>
      <c r="J871" s="21" t="s">
        <v>1968</v>
      </c>
      <c r="K871" s="21" t="s">
        <v>1968</v>
      </c>
      <c r="L871" s="22" t="str">
        <f t="shared" si="65"/>
        <v>INCLUDE</v>
      </c>
      <c r="M871" s="22" t="str">
        <f t="shared" si="66"/>
        <v/>
      </c>
      <c r="N871" s="23" t="s">
        <v>1968</v>
      </c>
      <c r="O871" s="23" t="s">
        <v>1968</v>
      </c>
      <c r="P871" s="24" t="s">
        <v>1968</v>
      </c>
      <c r="Q871" s="24" t="s">
        <v>1968</v>
      </c>
      <c r="R871" s="24" t="s">
        <v>1968</v>
      </c>
      <c r="S871" s="22" t="str">
        <f t="shared" si="67"/>
        <v>INCLUDE</v>
      </c>
      <c r="T871" s="22" t="str">
        <f t="shared" si="68"/>
        <v/>
      </c>
      <c r="U871" s="25" t="s">
        <v>1982</v>
      </c>
      <c r="V871" s="25">
        <v>0</v>
      </c>
      <c r="W871" s="25">
        <v>0</v>
      </c>
      <c r="X871" s="25">
        <v>1</v>
      </c>
      <c r="Y871" s="22" t="str">
        <f t="shared" si="69"/>
        <v>Single</v>
      </c>
      <c r="Z871" s="25" t="s">
        <v>1922</v>
      </c>
      <c r="AA871" s="25" t="s">
        <v>1972</v>
      </c>
      <c r="AB871" s="25" t="s">
        <v>2017</v>
      </c>
      <c r="AC871" s="25" t="s">
        <v>1986</v>
      </c>
      <c r="AD871" s="25" t="s">
        <v>2003</v>
      </c>
      <c r="AE871" s="25">
        <v>4</v>
      </c>
      <c r="AF871" s="25" t="s">
        <v>1976</v>
      </c>
      <c r="AG871" s="9" t="s">
        <v>4582</v>
      </c>
      <c r="AH871" s="29" t="s">
        <v>4583</v>
      </c>
      <c r="AI871" s="29" t="s">
        <v>4584</v>
      </c>
      <c r="AJ871" t="s">
        <v>2005</v>
      </c>
      <c r="AK871" t="s">
        <v>4585</v>
      </c>
      <c r="AL871" t="s">
        <v>1978</v>
      </c>
      <c r="AM871" s="50"/>
      <c r="AN871" s="51" t="s">
        <v>4586</v>
      </c>
      <c r="AO871" s="55" t="s">
        <v>1734</v>
      </c>
    </row>
    <row r="872" spans="1:41" ht="91.2" customHeight="1" x14ac:dyDescent="0.3">
      <c r="A872" s="20">
        <v>868</v>
      </c>
      <c r="B872" s="8" t="s">
        <v>4587</v>
      </c>
      <c r="C872" s="26">
        <v>2023</v>
      </c>
      <c r="D872" s="8"/>
      <c r="E872" s="8" t="s">
        <v>1737</v>
      </c>
      <c r="F872" s="20" t="s">
        <v>1969</v>
      </c>
      <c r="G872" s="21" t="s">
        <v>1968</v>
      </c>
      <c r="H872" s="21" t="s">
        <v>1968</v>
      </c>
      <c r="I872" s="21" t="s">
        <v>1968</v>
      </c>
      <c r="J872" s="21" t="s">
        <v>1968</v>
      </c>
      <c r="K872" s="21" t="s">
        <v>1968</v>
      </c>
      <c r="L872" s="22" t="str">
        <f t="shared" si="65"/>
        <v>INCLUDE</v>
      </c>
      <c r="M872" s="22" t="str">
        <f t="shared" si="66"/>
        <v/>
      </c>
      <c r="N872" s="23" t="s">
        <v>1968</v>
      </c>
      <c r="O872" s="23" t="s">
        <v>1968</v>
      </c>
      <c r="P872" s="24" t="s">
        <v>1968</v>
      </c>
      <c r="Q872" s="24" t="s">
        <v>1968</v>
      </c>
      <c r="R872" s="24" t="s">
        <v>1968</v>
      </c>
      <c r="S872" s="22" t="str">
        <f t="shared" si="67"/>
        <v>INCLUDE</v>
      </c>
      <c r="T872" s="22" t="str">
        <f t="shared" si="68"/>
        <v/>
      </c>
      <c r="U872" s="25" t="s">
        <v>1971</v>
      </c>
      <c r="V872" s="25">
        <v>0</v>
      </c>
      <c r="W872" s="25">
        <v>1</v>
      </c>
      <c r="X872" s="25">
        <v>0</v>
      </c>
      <c r="Y872" s="22" t="str">
        <f t="shared" si="69"/>
        <v>Single</v>
      </c>
      <c r="Z872" s="25" t="s">
        <v>1922</v>
      </c>
      <c r="AA872" s="25" t="s">
        <v>1972</v>
      </c>
      <c r="AB872" s="25" t="s">
        <v>2018</v>
      </c>
      <c r="AC872" s="25" t="s">
        <v>1974</v>
      </c>
      <c r="AD872" s="25" t="s">
        <v>1987</v>
      </c>
      <c r="AE872" s="25">
        <v>4</v>
      </c>
      <c r="AF872" s="25" t="s">
        <v>2010</v>
      </c>
      <c r="AG872" s="9" t="s">
        <v>4588</v>
      </c>
      <c r="AH872" s="29" t="s">
        <v>4589</v>
      </c>
      <c r="AI872" s="29" t="s">
        <v>4590</v>
      </c>
      <c r="AJ872" t="s">
        <v>1977</v>
      </c>
      <c r="AK872" t="s">
        <v>4591</v>
      </c>
      <c r="AL872" t="s">
        <v>1978</v>
      </c>
      <c r="AM872" s="50"/>
      <c r="AN872" s="51" t="s">
        <v>4592</v>
      </c>
      <c r="AO872" s="55" t="s">
        <v>1736</v>
      </c>
    </row>
    <row r="873" spans="1:41" ht="79.8" customHeight="1" x14ac:dyDescent="0.3">
      <c r="A873" s="20">
        <v>869</v>
      </c>
      <c r="B873" s="8" t="s">
        <v>4593</v>
      </c>
      <c r="C873" s="26">
        <v>2023</v>
      </c>
      <c r="D873" s="8"/>
      <c r="E873" s="8" t="s">
        <v>1739</v>
      </c>
      <c r="F873" s="20" t="s">
        <v>1969</v>
      </c>
      <c r="G873" s="21" t="s">
        <v>1968</v>
      </c>
      <c r="H873" s="21" t="s">
        <v>1968</v>
      </c>
      <c r="I873" s="21" t="s">
        <v>1968</v>
      </c>
      <c r="J873" s="21" t="s">
        <v>1968</v>
      </c>
      <c r="K873" s="21" t="s">
        <v>1968</v>
      </c>
      <c r="L873" s="22" t="str">
        <f t="shared" si="65"/>
        <v>INCLUDE</v>
      </c>
      <c r="M873" s="22" t="str">
        <f t="shared" si="66"/>
        <v/>
      </c>
      <c r="N873" s="23" t="s">
        <v>1968</v>
      </c>
      <c r="O873" s="23" t="s">
        <v>1968</v>
      </c>
      <c r="P873" s="24" t="s">
        <v>1968</v>
      </c>
      <c r="Q873" s="24" t="s">
        <v>1968</v>
      </c>
      <c r="R873" s="24" t="s">
        <v>1968</v>
      </c>
      <c r="S873" s="22" t="str">
        <f t="shared" si="67"/>
        <v>INCLUDE</v>
      </c>
      <c r="T873" s="22" t="str">
        <f t="shared" si="68"/>
        <v/>
      </c>
      <c r="U873" s="25" t="s">
        <v>1992</v>
      </c>
      <c r="V873" s="25">
        <v>0</v>
      </c>
      <c r="W873" s="25">
        <v>0</v>
      </c>
      <c r="X873" s="25">
        <v>1</v>
      </c>
      <c r="Y873" s="22" t="str">
        <f t="shared" si="69"/>
        <v>Single</v>
      </c>
      <c r="Z873" s="25" t="s">
        <v>1922</v>
      </c>
      <c r="AA873" s="25" t="s">
        <v>1972</v>
      </c>
      <c r="AB873" s="25" t="s">
        <v>2018</v>
      </c>
      <c r="AC873" s="25" t="s">
        <v>1986</v>
      </c>
      <c r="AD873" s="25" t="s">
        <v>2003</v>
      </c>
      <c r="AE873" s="25">
        <v>3</v>
      </c>
      <c r="AF873" s="25" t="s">
        <v>2004</v>
      </c>
      <c r="AG873" s="9" t="s">
        <v>4594</v>
      </c>
      <c r="AH873" s="29" t="s">
        <v>4595</v>
      </c>
      <c r="AI873" s="29" t="s">
        <v>4596</v>
      </c>
      <c r="AJ873" t="s">
        <v>2005</v>
      </c>
      <c r="AK873" t="s">
        <v>4597</v>
      </c>
      <c r="AL873" t="s">
        <v>1990</v>
      </c>
      <c r="AM873" s="50"/>
      <c r="AN873" s="51" t="s">
        <v>4598</v>
      </c>
      <c r="AO873" s="55" t="s">
        <v>1738</v>
      </c>
    </row>
    <row r="874" spans="1:41" ht="79.8" customHeight="1" x14ac:dyDescent="0.3">
      <c r="A874" s="20">
        <v>870</v>
      </c>
      <c r="B874" s="8" t="s">
        <v>4599</v>
      </c>
      <c r="C874" s="26">
        <v>2024</v>
      </c>
      <c r="D874" s="8"/>
      <c r="E874" s="8" t="s">
        <v>1741</v>
      </c>
      <c r="F874" s="20" t="s">
        <v>1969</v>
      </c>
      <c r="G874" s="21" t="s">
        <v>1979</v>
      </c>
      <c r="H874" s="21" t="s">
        <v>1968</v>
      </c>
      <c r="I874" s="21" t="s">
        <v>1968</v>
      </c>
      <c r="J874" s="21" t="s">
        <v>1968</v>
      </c>
      <c r="K874" s="21" t="s">
        <v>1968</v>
      </c>
      <c r="L874" s="22" t="str">
        <f t="shared" si="65"/>
        <v>EXCLUDE</v>
      </c>
      <c r="M874" s="22" t="str">
        <f t="shared" si="66"/>
        <v>Wrong domain (non-AECO)</v>
      </c>
      <c r="N874" s="23"/>
      <c r="O874" s="23"/>
      <c r="P874" s="24"/>
      <c r="Q874" s="24"/>
      <c r="R874" s="24"/>
      <c r="S874" s="22" t="str">
        <f t="shared" si="67"/>
        <v/>
      </c>
      <c r="T874" s="22" t="str">
        <f t="shared" si="68"/>
        <v/>
      </c>
      <c r="U874" s="25"/>
      <c r="V874" s="25"/>
      <c r="W874" s="25"/>
      <c r="X874" s="25"/>
      <c r="Y874" s="22" t="str">
        <f t="shared" si="69"/>
        <v/>
      </c>
      <c r="Z874" s="25"/>
      <c r="AA874" s="25"/>
      <c r="AB874" s="25"/>
      <c r="AC874" s="25"/>
      <c r="AD874" s="25"/>
      <c r="AE874" s="25"/>
      <c r="AF874" s="25"/>
      <c r="AG874" s="9"/>
      <c r="AH874" s="29"/>
      <c r="AI874" s="29"/>
      <c r="AM874" s="50"/>
      <c r="AN874" s="51" t="s">
        <v>4600</v>
      </c>
      <c r="AO874" s="55" t="s">
        <v>1740</v>
      </c>
    </row>
    <row r="875" spans="1:41" ht="79.8" customHeight="1" x14ac:dyDescent="0.3">
      <c r="A875" s="20">
        <v>871</v>
      </c>
      <c r="B875" s="8" t="s">
        <v>4601</v>
      </c>
      <c r="C875" s="26">
        <v>2025</v>
      </c>
      <c r="D875" s="8"/>
      <c r="E875" s="8" t="s">
        <v>1743</v>
      </c>
      <c r="F875" s="20" t="s">
        <v>1969</v>
      </c>
      <c r="G875" s="21" t="s">
        <v>1968</v>
      </c>
      <c r="H875" s="21" t="s">
        <v>1979</v>
      </c>
      <c r="I875" s="21" t="s">
        <v>1968</v>
      </c>
      <c r="J875" s="21" t="s">
        <v>1968</v>
      </c>
      <c r="K875" s="21" t="s">
        <v>1968</v>
      </c>
      <c r="L875" s="22" t="str">
        <f t="shared" si="65"/>
        <v>EXCLUDE</v>
      </c>
      <c r="M875" s="22" t="str">
        <f t="shared" si="66"/>
        <v>Digital Twin not core / buzzword</v>
      </c>
      <c r="N875" s="23"/>
      <c r="O875" s="23"/>
      <c r="P875" s="24"/>
      <c r="Q875" s="24"/>
      <c r="R875" s="24"/>
      <c r="S875" s="22" t="str">
        <f t="shared" si="67"/>
        <v/>
      </c>
      <c r="T875" s="22" t="str">
        <f t="shared" si="68"/>
        <v/>
      </c>
      <c r="U875" s="25"/>
      <c r="V875" s="25"/>
      <c r="W875" s="25"/>
      <c r="X875" s="25"/>
      <c r="Y875" s="22" t="str">
        <f t="shared" si="69"/>
        <v/>
      </c>
      <c r="Z875" s="25"/>
      <c r="AA875" s="25"/>
      <c r="AB875" s="25"/>
      <c r="AC875" s="25"/>
      <c r="AD875" s="25"/>
      <c r="AE875" s="25"/>
      <c r="AF875" s="25"/>
      <c r="AG875" s="9"/>
      <c r="AH875" s="29"/>
      <c r="AI875" s="29"/>
      <c r="AM875" s="50"/>
      <c r="AN875" s="51" t="s">
        <v>4602</v>
      </c>
      <c r="AO875" s="55" t="s">
        <v>1742</v>
      </c>
    </row>
    <row r="876" spans="1:41" ht="79.8" customHeight="1" x14ac:dyDescent="0.3">
      <c r="A876" s="20">
        <v>872</v>
      </c>
      <c r="B876" s="8" t="s">
        <v>4603</v>
      </c>
      <c r="C876" s="26">
        <v>2025</v>
      </c>
      <c r="D876" s="8"/>
      <c r="E876" s="8" t="s">
        <v>1745</v>
      </c>
      <c r="F876" s="20" t="s">
        <v>1969</v>
      </c>
      <c r="G876" s="21" t="s">
        <v>1968</v>
      </c>
      <c r="H876" s="21" t="s">
        <v>1979</v>
      </c>
      <c r="I876" s="21" t="s">
        <v>1968</v>
      </c>
      <c r="J876" s="21" t="s">
        <v>1968</v>
      </c>
      <c r="K876" s="21" t="s">
        <v>1979</v>
      </c>
      <c r="L876" s="22" t="str">
        <f t="shared" si="65"/>
        <v>EXCLUDE</v>
      </c>
      <c r="M876" s="22" t="str">
        <f t="shared" si="66"/>
        <v>Digital Twin not core / buzzword</v>
      </c>
      <c r="N876" s="23"/>
      <c r="O876" s="23"/>
      <c r="P876" s="24"/>
      <c r="Q876" s="24"/>
      <c r="R876" s="24"/>
      <c r="S876" s="22" t="str">
        <f t="shared" si="67"/>
        <v/>
      </c>
      <c r="T876" s="22" t="str">
        <f t="shared" si="68"/>
        <v/>
      </c>
      <c r="U876" s="25"/>
      <c r="V876" s="25"/>
      <c r="W876" s="25"/>
      <c r="X876" s="25"/>
      <c r="Y876" s="22" t="str">
        <f t="shared" si="69"/>
        <v/>
      </c>
      <c r="Z876" s="25"/>
      <c r="AA876" s="25"/>
      <c r="AB876" s="25"/>
      <c r="AC876" s="25"/>
      <c r="AD876" s="25"/>
      <c r="AE876" s="25"/>
      <c r="AF876" s="25"/>
      <c r="AG876" s="9"/>
      <c r="AH876" s="29"/>
      <c r="AI876" s="29"/>
      <c r="AM876" s="50"/>
      <c r="AN876" s="51" t="s">
        <v>4604</v>
      </c>
      <c r="AO876" s="55" t="s">
        <v>1744</v>
      </c>
    </row>
    <row r="877" spans="1:41" ht="34.200000000000003" customHeight="1" x14ac:dyDescent="0.3">
      <c r="A877" s="20">
        <v>873</v>
      </c>
      <c r="B877" s="8" t="s">
        <v>4605</v>
      </c>
      <c r="C877" s="26">
        <v>2019</v>
      </c>
      <c r="D877" s="8"/>
      <c r="E877" s="8" t="s">
        <v>1747</v>
      </c>
      <c r="F877" s="20" t="s">
        <v>1969</v>
      </c>
      <c r="G877" s="21" t="s">
        <v>1968</v>
      </c>
      <c r="H877" s="21" t="s">
        <v>1979</v>
      </c>
      <c r="I877" s="21" t="s">
        <v>1968</v>
      </c>
      <c r="J877" s="21" t="s">
        <v>1968</v>
      </c>
      <c r="K877" s="21" t="s">
        <v>1968</v>
      </c>
      <c r="L877" s="22" t="str">
        <f t="shared" si="65"/>
        <v>EXCLUDE</v>
      </c>
      <c r="M877" s="22" t="str">
        <f t="shared" si="66"/>
        <v>Digital Twin not core / buzzword</v>
      </c>
      <c r="N877" s="23"/>
      <c r="O877" s="23"/>
      <c r="P877" s="24"/>
      <c r="Q877" s="24"/>
      <c r="R877" s="24"/>
      <c r="S877" s="22" t="str">
        <f t="shared" si="67"/>
        <v/>
      </c>
      <c r="T877" s="22" t="str">
        <f t="shared" si="68"/>
        <v/>
      </c>
      <c r="U877" s="25"/>
      <c r="V877" s="25"/>
      <c r="W877" s="25"/>
      <c r="X877" s="25"/>
      <c r="Y877" s="22" t="str">
        <f t="shared" si="69"/>
        <v/>
      </c>
      <c r="Z877" s="25"/>
      <c r="AA877" s="25"/>
      <c r="AB877" s="25"/>
      <c r="AC877" s="25"/>
      <c r="AD877" s="25"/>
      <c r="AE877" s="25"/>
      <c r="AF877" s="25"/>
      <c r="AG877" s="9"/>
      <c r="AH877" s="29"/>
      <c r="AI877" s="29"/>
      <c r="AM877" s="50"/>
      <c r="AN877" s="51" t="s">
        <v>4606</v>
      </c>
      <c r="AO877" s="55" t="s">
        <v>1746</v>
      </c>
    </row>
    <row r="878" spans="1:41" ht="34.200000000000003" customHeight="1" x14ac:dyDescent="0.3">
      <c r="A878" s="20">
        <v>874</v>
      </c>
      <c r="B878" s="8" t="s">
        <v>4607</v>
      </c>
      <c r="C878" s="26">
        <v>2024</v>
      </c>
      <c r="D878" s="8"/>
      <c r="E878" s="8" t="s">
        <v>1749</v>
      </c>
      <c r="F878" s="20" t="s">
        <v>1969</v>
      </c>
      <c r="G878" s="21" t="s">
        <v>1979</v>
      </c>
      <c r="H878" s="21" t="s">
        <v>1968</v>
      </c>
      <c r="I878" s="21" t="s">
        <v>1968</v>
      </c>
      <c r="J878" s="21" t="s">
        <v>1968</v>
      </c>
      <c r="K878" s="21" t="s">
        <v>1968</v>
      </c>
      <c r="L878" s="22" t="str">
        <f t="shared" si="65"/>
        <v>EXCLUDE</v>
      </c>
      <c r="M878" s="22" t="str">
        <f t="shared" si="66"/>
        <v>Wrong domain (non-AECO)</v>
      </c>
      <c r="N878" s="23"/>
      <c r="O878" s="23"/>
      <c r="P878" s="24"/>
      <c r="Q878" s="24"/>
      <c r="R878" s="24"/>
      <c r="S878" s="22" t="str">
        <f t="shared" si="67"/>
        <v/>
      </c>
      <c r="T878" s="22" t="str">
        <f t="shared" si="68"/>
        <v/>
      </c>
      <c r="U878" s="25"/>
      <c r="V878" s="25"/>
      <c r="W878" s="25"/>
      <c r="X878" s="25"/>
      <c r="Y878" s="22" t="str">
        <f t="shared" si="69"/>
        <v/>
      </c>
      <c r="Z878" s="25"/>
      <c r="AA878" s="25"/>
      <c r="AB878" s="25"/>
      <c r="AC878" s="25"/>
      <c r="AD878" s="25"/>
      <c r="AE878" s="25"/>
      <c r="AF878" s="25"/>
      <c r="AG878" s="9"/>
      <c r="AH878" s="29"/>
      <c r="AI878" s="29"/>
      <c r="AM878" s="50"/>
      <c r="AN878" s="51" t="s">
        <v>4608</v>
      </c>
      <c r="AO878" s="55" t="s">
        <v>1748</v>
      </c>
    </row>
    <row r="879" spans="1:41" ht="79.8" customHeight="1" x14ac:dyDescent="0.3">
      <c r="A879" s="20">
        <v>875</v>
      </c>
      <c r="B879" s="8" t="s">
        <v>4609</v>
      </c>
      <c r="C879" s="26">
        <v>2023</v>
      </c>
      <c r="D879" s="8"/>
      <c r="E879" s="8" t="s">
        <v>1751</v>
      </c>
      <c r="F879" s="20" t="s">
        <v>1969</v>
      </c>
      <c r="G879" s="21" t="s">
        <v>1968</v>
      </c>
      <c r="H879" s="21" t="s">
        <v>1968</v>
      </c>
      <c r="I879" s="21" t="s">
        <v>1968</v>
      </c>
      <c r="J879" s="21" t="s">
        <v>1968</v>
      </c>
      <c r="K879" s="21" t="s">
        <v>1968</v>
      </c>
      <c r="L879" s="22" t="str">
        <f t="shared" si="65"/>
        <v>INCLUDE</v>
      </c>
      <c r="M879" s="22" t="str">
        <f t="shared" si="66"/>
        <v/>
      </c>
      <c r="N879" s="23" t="s">
        <v>1968</v>
      </c>
      <c r="O879" s="23" t="s">
        <v>1968</v>
      </c>
      <c r="P879" s="24" t="s">
        <v>1968</v>
      </c>
      <c r="Q879" s="24" t="s">
        <v>1968</v>
      </c>
      <c r="R879" s="24" t="s">
        <v>1968</v>
      </c>
      <c r="S879" s="22" t="str">
        <f t="shared" si="67"/>
        <v>INCLUDE</v>
      </c>
      <c r="T879" s="22" t="str">
        <f t="shared" si="68"/>
        <v/>
      </c>
      <c r="U879" s="25" t="s">
        <v>1982</v>
      </c>
      <c r="V879" s="25">
        <v>0</v>
      </c>
      <c r="W879" s="25">
        <v>0</v>
      </c>
      <c r="X879" s="25">
        <v>1</v>
      </c>
      <c r="Y879" s="22" t="str">
        <f t="shared" si="69"/>
        <v>Single</v>
      </c>
      <c r="Z879" s="25" t="s">
        <v>1922</v>
      </c>
      <c r="AA879" s="25" t="s">
        <v>1972</v>
      </c>
      <c r="AB879" s="25" t="s">
        <v>2018</v>
      </c>
      <c r="AC879" s="25" t="s">
        <v>1986</v>
      </c>
      <c r="AD879" s="25" t="s">
        <v>2003</v>
      </c>
      <c r="AE879" s="25">
        <v>3</v>
      </c>
      <c r="AF879" s="25" t="s">
        <v>2010</v>
      </c>
      <c r="AG879" s="9" t="s">
        <v>4610</v>
      </c>
      <c r="AH879" s="29" t="s">
        <v>4611</v>
      </c>
      <c r="AI879" s="29" t="s">
        <v>4612</v>
      </c>
      <c r="AJ879" t="s">
        <v>2005</v>
      </c>
      <c r="AK879" t="s">
        <v>4613</v>
      </c>
      <c r="AL879" t="s">
        <v>1990</v>
      </c>
      <c r="AM879" s="50"/>
      <c r="AN879" s="51" t="s">
        <v>4614</v>
      </c>
      <c r="AO879" s="55" t="s">
        <v>1750</v>
      </c>
    </row>
    <row r="880" spans="1:41" ht="125.4" customHeight="1" x14ac:dyDescent="0.3">
      <c r="A880" s="20">
        <v>876</v>
      </c>
      <c r="B880" s="8" t="s">
        <v>4615</v>
      </c>
      <c r="C880" s="26">
        <v>2025</v>
      </c>
      <c r="D880" s="8"/>
      <c r="E880" s="8" t="s">
        <v>1753</v>
      </c>
      <c r="F880" s="20" t="s">
        <v>1969</v>
      </c>
      <c r="G880" s="21" t="s">
        <v>1968</v>
      </c>
      <c r="H880" s="21" t="s">
        <v>1968</v>
      </c>
      <c r="I880" s="21" t="s">
        <v>1968</v>
      </c>
      <c r="J880" s="21" t="s">
        <v>1968</v>
      </c>
      <c r="K880" s="21" t="s">
        <v>1968</v>
      </c>
      <c r="L880" s="22" t="str">
        <f t="shared" si="65"/>
        <v>INCLUDE</v>
      </c>
      <c r="M880" s="22" t="str">
        <f t="shared" si="66"/>
        <v/>
      </c>
      <c r="N880" s="23" t="s">
        <v>1968</v>
      </c>
      <c r="O880" s="23" t="s">
        <v>1968</v>
      </c>
      <c r="P880" s="24" t="s">
        <v>1968</v>
      </c>
      <c r="Q880" s="24" t="s">
        <v>1968</v>
      </c>
      <c r="R880" s="24" t="s">
        <v>1968</v>
      </c>
      <c r="S880" s="22" t="str">
        <f t="shared" si="67"/>
        <v>INCLUDE</v>
      </c>
      <c r="T880" s="22" t="str">
        <f t="shared" si="68"/>
        <v/>
      </c>
      <c r="U880" s="25" t="s">
        <v>2007</v>
      </c>
      <c r="V880" s="25">
        <v>0</v>
      </c>
      <c r="W880" s="25">
        <v>0</v>
      </c>
      <c r="X880" s="25">
        <v>1</v>
      </c>
      <c r="Y880" s="22" t="str">
        <f t="shared" si="69"/>
        <v>Single</v>
      </c>
      <c r="Z880" s="25" t="s">
        <v>1922</v>
      </c>
      <c r="AA880" s="25" t="s">
        <v>1972</v>
      </c>
      <c r="AB880" s="25" t="s">
        <v>2014</v>
      </c>
      <c r="AC880" s="25" t="s">
        <v>1986</v>
      </c>
      <c r="AD880" s="25" t="s">
        <v>1975</v>
      </c>
      <c r="AE880" s="25">
        <v>2</v>
      </c>
      <c r="AF880" s="25" t="s">
        <v>1983</v>
      </c>
      <c r="AG880" s="9" t="s">
        <v>4616</v>
      </c>
      <c r="AH880" s="29" t="s">
        <v>4617</v>
      </c>
      <c r="AI880" s="29" t="s">
        <v>4618</v>
      </c>
      <c r="AJ880" t="s">
        <v>2007</v>
      </c>
      <c r="AK880" t="s">
        <v>4619</v>
      </c>
      <c r="AL880" t="s">
        <v>1978</v>
      </c>
      <c r="AM880" s="50" t="s">
        <v>2098</v>
      </c>
      <c r="AN880" s="51" t="s">
        <v>4620</v>
      </c>
      <c r="AO880" s="55" t="s">
        <v>1752</v>
      </c>
    </row>
    <row r="881" spans="1:41" ht="45.6" customHeight="1" x14ac:dyDescent="0.3">
      <c r="A881" s="20">
        <v>877</v>
      </c>
      <c r="B881" s="8" t="s">
        <v>4621</v>
      </c>
      <c r="C881" s="26">
        <v>2023</v>
      </c>
      <c r="D881" s="8"/>
      <c r="E881" s="8" t="s">
        <v>1755</v>
      </c>
      <c r="F881" s="20" t="s">
        <v>1969</v>
      </c>
      <c r="G881" s="21" t="s">
        <v>1979</v>
      </c>
      <c r="H881" s="21" t="s">
        <v>1968</v>
      </c>
      <c r="I881" s="21" t="s">
        <v>1968</v>
      </c>
      <c r="J881" s="21" t="s">
        <v>1968</v>
      </c>
      <c r="K881" s="21" t="s">
        <v>1968</v>
      </c>
      <c r="L881" s="22" t="str">
        <f t="shared" si="65"/>
        <v>EXCLUDE</v>
      </c>
      <c r="M881" s="22" t="str">
        <f t="shared" si="66"/>
        <v>Wrong domain (non-AECO)</v>
      </c>
      <c r="N881" s="23"/>
      <c r="O881" s="23"/>
      <c r="P881" s="24"/>
      <c r="Q881" s="24"/>
      <c r="R881" s="24"/>
      <c r="S881" s="22" t="str">
        <f t="shared" si="67"/>
        <v/>
      </c>
      <c r="T881" s="22" t="str">
        <f t="shared" si="68"/>
        <v/>
      </c>
      <c r="U881" s="25"/>
      <c r="V881" s="25"/>
      <c r="W881" s="25"/>
      <c r="X881" s="25"/>
      <c r="Y881" s="22" t="str">
        <f t="shared" si="69"/>
        <v/>
      </c>
      <c r="Z881" s="25"/>
      <c r="AA881" s="25"/>
      <c r="AB881" s="25"/>
      <c r="AC881" s="25"/>
      <c r="AD881" s="25"/>
      <c r="AE881" s="25"/>
      <c r="AF881" s="25"/>
      <c r="AG881" s="9"/>
      <c r="AH881" s="29"/>
      <c r="AI881" s="29"/>
      <c r="AM881" s="50"/>
      <c r="AN881" s="51" t="s">
        <v>4622</v>
      </c>
      <c r="AO881" s="55" t="s">
        <v>1754</v>
      </c>
    </row>
    <row r="882" spans="1:41" ht="45.6" customHeight="1" x14ac:dyDescent="0.3">
      <c r="A882" s="20">
        <v>878</v>
      </c>
      <c r="B882" s="8" t="s">
        <v>4623</v>
      </c>
      <c r="C882" s="26">
        <v>2024</v>
      </c>
      <c r="D882" s="8"/>
      <c r="E882" s="8" t="s">
        <v>1757</v>
      </c>
      <c r="F882" s="20" t="s">
        <v>1969</v>
      </c>
      <c r="G882" s="21" t="s">
        <v>1979</v>
      </c>
      <c r="H882" s="21" t="s">
        <v>1968</v>
      </c>
      <c r="I882" s="21" t="s">
        <v>1968</v>
      </c>
      <c r="J882" s="21" t="s">
        <v>1968</v>
      </c>
      <c r="K882" s="21" t="s">
        <v>1968</v>
      </c>
      <c r="L882" s="22" t="str">
        <f t="shared" si="65"/>
        <v>EXCLUDE</v>
      </c>
      <c r="M882" s="22" t="str">
        <f t="shared" si="66"/>
        <v>Wrong domain (non-AECO)</v>
      </c>
      <c r="N882" s="23"/>
      <c r="O882" s="23"/>
      <c r="P882" s="24"/>
      <c r="Q882" s="24"/>
      <c r="R882" s="24"/>
      <c r="S882" s="22" t="str">
        <f t="shared" si="67"/>
        <v/>
      </c>
      <c r="T882" s="22" t="str">
        <f t="shared" si="68"/>
        <v/>
      </c>
      <c r="U882" s="25"/>
      <c r="V882" s="25"/>
      <c r="W882" s="25"/>
      <c r="X882" s="25"/>
      <c r="Y882" s="22" t="str">
        <f t="shared" si="69"/>
        <v/>
      </c>
      <c r="Z882" s="25"/>
      <c r="AA882" s="25"/>
      <c r="AB882" s="25"/>
      <c r="AC882" s="25"/>
      <c r="AD882" s="25"/>
      <c r="AE882" s="25"/>
      <c r="AF882" s="25"/>
      <c r="AG882" s="9"/>
      <c r="AH882" s="29"/>
      <c r="AI882" s="29"/>
      <c r="AM882" s="50"/>
      <c r="AN882" s="51" t="s">
        <v>4624</v>
      </c>
      <c r="AO882" s="55" t="s">
        <v>1756</v>
      </c>
    </row>
    <row r="883" spans="1:41" ht="57" customHeight="1" x14ac:dyDescent="0.3">
      <c r="A883" s="20">
        <v>879</v>
      </c>
      <c r="B883" s="8" t="s">
        <v>4625</v>
      </c>
      <c r="C883" s="26">
        <v>2023</v>
      </c>
      <c r="D883" s="8"/>
      <c r="E883" s="8" t="s">
        <v>1759</v>
      </c>
      <c r="F883" s="20" t="s">
        <v>1969</v>
      </c>
      <c r="G883" s="21" t="s">
        <v>1979</v>
      </c>
      <c r="H883" s="21" t="s">
        <v>1968</v>
      </c>
      <c r="I883" s="21" t="s">
        <v>1968</v>
      </c>
      <c r="J883" s="21" t="s">
        <v>1968</v>
      </c>
      <c r="K883" s="21" t="s">
        <v>1968</v>
      </c>
      <c r="L883" s="22" t="str">
        <f t="shared" si="65"/>
        <v>EXCLUDE</v>
      </c>
      <c r="M883" s="22" t="str">
        <f t="shared" si="66"/>
        <v>Wrong domain (non-AECO)</v>
      </c>
      <c r="N883" s="23"/>
      <c r="O883" s="23"/>
      <c r="P883" s="24"/>
      <c r="Q883" s="24"/>
      <c r="R883" s="24"/>
      <c r="S883" s="22" t="str">
        <f t="shared" si="67"/>
        <v/>
      </c>
      <c r="T883" s="22" t="str">
        <f t="shared" si="68"/>
        <v/>
      </c>
      <c r="U883" s="25"/>
      <c r="V883" s="25"/>
      <c r="W883" s="25"/>
      <c r="X883" s="25"/>
      <c r="Y883" s="22" t="str">
        <f t="shared" si="69"/>
        <v/>
      </c>
      <c r="Z883" s="25"/>
      <c r="AA883" s="25"/>
      <c r="AB883" s="25"/>
      <c r="AC883" s="25"/>
      <c r="AD883" s="25"/>
      <c r="AE883" s="25"/>
      <c r="AF883" s="25"/>
      <c r="AG883" s="9"/>
      <c r="AH883" s="29"/>
      <c r="AI883" s="29"/>
      <c r="AM883" s="50"/>
      <c r="AN883" s="51" t="s">
        <v>4626</v>
      </c>
      <c r="AO883" s="55" t="s">
        <v>1758</v>
      </c>
    </row>
    <row r="884" spans="1:41" ht="79.8" customHeight="1" x14ac:dyDescent="0.3">
      <c r="A884" s="20">
        <v>880</v>
      </c>
      <c r="B884" s="8" t="s">
        <v>4627</v>
      </c>
      <c r="C884" s="26">
        <v>2024</v>
      </c>
      <c r="D884" s="8"/>
      <c r="E884" s="8" t="s">
        <v>1761</v>
      </c>
      <c r="F884" s="20" t="s">
        <v>1969</v>
      </c>
      <c r="G884" s="21" t="s">
        <v>1968</v>
      </c>
      <c r="H884" s="21" t="s">
        <v>1968</v>
      </c>
      <c r="I884" s="21" t="s">
        <v>1968</v>
      </c>
      <c r="J884" s="21" t="s">
        <v>1968</v>
      </c>
      <c r="K884" s="21" t="s">
        <v>1968</v>
      </c>
      <c r="L884" s="22" t="str">
        <f t="shared" si="65"/>
        <v>INCLUDE</v>
      </c>
      <c r="M884" s="22" t="str">
        <f t="shared" si="66"/>
        <v/>
      </c>
      <c r="N884" s="23" t="s">
        <v>1968</v>
      </c>
      <c r="O884" s="23" t="s">
        <v>1968</v>
      </c>
      <c r="P884" s="24" t="s">
        <v>1979</v>
      </c>
      <c r="Q884" s="24" t="s">
        <v>1968</v>
      </c>
      <c r="R884" s="24" t="s">
        <v>1979</v>
      </c>
      <c r="S884" s="22" t="str">
        <f t="shared" si="67"/>
        <v>EXCLUDE</v>
      </c>
      <c r="T884" s="22" t="str">
        <f t="shared" si="68"/>
        <v>Digital Twin mentioned only, not the subject</v>
      </c>
      <c r="U884" s="25"/>
      <c r="V884" s="25"/>
      <c r="W884" s="25"/>
      <c r="X884" s="25"/>
      <c r="Y884" s="22" t="str">
        <f t="shared" si="69"/>
        <v/>
      </c>
      <c r="Z884" s="25"/>
      <c r="AA884" s="25"/>
      <c r="AB884" s="25"/>
      <c r="AC884" s="25"/>
      <c r="AD884" s="25"/>
      <c r="AE884" s="25"/>
      <c r="AF884" s="25"/>
      <c r="AG884" s="9" t="s">
        <v>4628</v>
      </c>
      <c r="AH884" s="29"/>
      <c r="AI884" s="29"/>
      <c r="AM884" s="50"/>
      <c r="AN884" s="51" t="s">
        <v>4629</v>
      </c>
      <c r="AO884" s="55" t="s">
        <v>1760</v>
      </c>
    </row>
    <row r="885" spans="1:41" ht="57" customHeight="1" x14ac:dyDescent="0.3">
      <c r="A885" s="20">
        <v>881</v>
      </c>
      <c r="B885" s="8" t="s">
        <v>4630</v>
      </c>
      <c r="C885" s="26">
        <v>2023</v>
      </c>
      <c r="D885" s="8"/>
      <c r="E885" s="8" t="s">
        <v>1763</v>
      </c>
      <c r="F885" s="20" t="s">
        <v>1969</v>
      </c>
      <c r="G885" s="21" t="s">
        <v>1979</v>
      </c>
      <c r="H885" s="21" t="s">
        <v>1968</v>
      </c>
      <c r="I885" s="21" t="s">
        <v>1968</v>
      </c>
      <c r="J885" s="21" t="s">
        <v>1968</v>
      </c>
      <c r="K885" s="21" t="s">
        <v>1968</v>
      </c>
      <c r="L885" s="22" t="str">
        <f t="shared" si="65"/>
        <v>EXCLUDE</v>
      </c>
      <c r="M885" s="22" t="str">
        <f t="shared" si="66"/>
        <v>Wrong domain (non-AECO)</v>
      </c>
      <c r="N885" s="23"/>
      <c r="O885" s="23"/>
      <c r="P885" s="24"/>
      <c r="Q885" s="24"/>
      <c r="R885" s="24"/>
      <c r="S885" s="22" t="str">
        <f t="shared" si="67"/>
        <v/>
      </c>
      <c r="T885" s="22" t="str">
        <f t="shared" si="68"/>
        <v/>
      </c>
      <c r="U885" s="25"/>
      <c r="V885" s="25"/>
      <c r="W885" s="25"/>
      <c r="X885" s="25"/>
      <c r="Y885" s="22" t="str">
        <f t="shared" si="69"/>
        <v/>
      </c>
      <c r="Z885" s="25"/>
      <c r="AA885" s="25"/>
      <c r="AB885" s="25"/>
      <c r="AC885" s="25"/>
      <c r="AD885" s="25"/>
      <c r="AE885" s="25"/>
      <c r="AF885" s="25"/>
      <c r="AG885" s="9"/>
      <c r="AH885" s="29"/>
      <c r="AI885" s="29"/>
      <c r="AM885" s="50"/>
      <c r="AN885" s="51" t="s">
        <v>4631</v>
      </c>
      <c r="AO885" s="55" t="s">
        <v>1762</v>
      </c>
    </row>
    <row r="886" spans="1:41" ht="45.6" customHeight="1" x14ac:dyDescent="0.3">
      <c r="A886" s="20">
        <v>882</v>
      </c>
      <c r="B886" s="8" t="s">
        <v>4632</v>
      </c>
      <c r="C886" s="26">
        <v>2022</v>
      </c>
      <c r="D886" s="8"/>
      <c r="E886" s="8" t="s">
        <v>1765</v>
      </c>
      <c r="F886" s="20" t="s">
        <v>1969</v>
      </c>
      <c r="G886" s="21" t="s">
        <v>1979</v>
      </c>
      <c r="H886" s="21" t="s">
        <v>1968</v>
      </c>
      <c r="I886" s="21" t="s">
        <v>1968</v>
      </c>
      <c r="J886" s="21" t="s">
        <v>1968</v>
      </c>
      <c r="K886" s="21" t="s">
        <v>1968</v>
      </c>
      <c r="L886" s="22" t="str">
        <f t="shared" si="65"/>
        <v>EXCLUDE</v>
      </c>
      <c r="M886" s="22" t="str">
        <f t="shared" si="66"/>
        <v>Wrong domain (non-AECO)</v>
      </c>
      <c r="N886" s="23"/>
      <c r="O886" s="23"/>
      <c r="P886" s="24"/>
      <c r="Q886" s="24"/>
      <c r="R886" s="24"/>
      <c r="S886" s="22" t="str">
        <f t="shared" si="67"/>
        <v/>
      </c>
      <c r="T886" s="22" t="str">
        <f t="shared" si="68"/>
        <v/>
      </c>
      <c r="U886" s="25"/>
      <c r="V886" s="25"/>
      <c r="W886" s="25"/>
      <c r="X886" s="25"/>
      <c r="Y886" s="22" t="str">
        <f t="shared" si="69"/>
        <v/>
      </c>
      <c r="Z886" s="25"/>
      <c r="AA886" s="25"/>
      <c r="AB886" s="25"/>
      <c r="AC886" s="25"/>
      <c r="AD886" s="25"/>
      <c r="AE886" s="25"/>
      <c r="AF886" s="25"/>
      <c r="AG886" s="9"/>
      <c r="AH886" s="29"/>
      <c r="AI886" s="29"/>
      <c r="AM886" s="50"/>
      <c r="AN886" s="51" t="s">
        <v>4633</v>
      </c>
      <c r="AO886" s="55" t="s">
        <v>1764</v>
      </c>
    </row>
    <row r="887" spans="1:41" ht="45.6" customHeight="1" x14ac:dyDescent="0.3">
      <c r="A887" s="20">
        <v>883</v>
      </c>
      <c r="B887" s="8" t="s">
        <v>4634</v>
      </c>
      <c r="C887" s="26">
        <v>2024</v>
      </c>
      <c r="D887" s="8"/>
      <c r="E887" s="8" t="s">
        <v>1767</v>
      </c>
      <c r="F887" s="20" t="s">
        <v>1969</v>
      </c>
      <c r="G887" s="21" t="s">
        <v>1979</v>
      </c>
      <c r="H887" s="21" t="s">
        <v>1968</v>
      </c>
      <c r="I887" s="21" t="s">
        <v>1968</v>
      </c>
      <c r="J887" s="21" t="s">
        <v>1968</v>
      </c>
      <c r="K887" s="21" t="s">
        <v>1968</v>
      </c>
      <c r="L887" s="22" t="str">
        <f t="shared" si="65"/>
        <v>EXCLUDE</v>
      </c>
      <c r="M887" s="22" t="str">
        <f t="shared" si="66"/>
        <v>Wrong domain (non-AECO)</v>
      </c>
      <c r="N887" s="23"/>
      <c r="O887" s="23"/>
      <c r="P887" s="24"/>
      <c r="Q887" s="24"/>
      <c r="R887" s="24"/>
      <c r="S887" s="22" t="str">
        <f t="shared" si="67"/>
        <v/>
      </c>
      <c r="T887" s="22" t="str">
        <f t="shared" si="68"/>
        <v/>
      </c>
      <c r="U887" s="25"/>
      <c r="V887" s="25"/>
      <c r="W887" s="25"/>
      <c r="X887" s="25"/>
      <c r="Y887" s="22" t="str">
        <f t="shared" si="69"/>
        <v/>
      </c>
      <c r="Z887" s="25"/>
      <c r="AA887" s="25"/>
      <c r="AB887" s="25"/>
      <c r="AC887" s="25"/>
      <c r="AD887" s="25"/>
      <c r="AE887" s="25"/>
      <c r="AF887" s="25"/>
      <c r="AG887" s="9"/>
      <c r="AH887" s="29"/>
      <c r="AI887" s="29"/>
      <c r="AM887" s="50"/>
      <c r="AN887" s="51" t="s">
        <v>4635</v>
      </c>
      <c r="AO887" s="55" t="s">
        <v>1766</v>
      </c>
    </row>
    <row r="888" spans="1:41" ht="102.6" customHeight="1" x14ac:dyDescent="0.3">
      <c r="A888" s="20">
        <v>884</v>
      </c>
      <c r="B888" s="8" t="s">
        <v>4636</v>
      </c>
      <c r="C888" s="26">
        <v>2024</v>
      </c>
      <c r="D888" s="8"/>
      <c r="E888" s="8" t="s">
        <v>1769</v>
      </c>
      <c r="F888" s="20" t="s">
        <v>1969</v>
      </c>
      <c r="G888" s="21" t="s">
        <v>1979</v>
      </c>
      <c r="H888" s="21" t="s">
        <v>1968</v>
      </c>
      <c r="I888" s="21" t="s">
        <v>1968</v>
      </c>
      <c r="J888" s="21" t="s">
        <v>1968</v>
      </c>
      <c r="K888" s="21" t="s">
        <v>1968</v>
      </c>
      <c r="L888" s="22" t="str">
        <f t="shared" si="65"/>
        <v>EXCLUDE</v>
      </c>
      <c r="M888" s="22" t="str">
        <f t="shared" si="66"/>
        <v>Wrong domain (non-AECO)</v>
      </c>
      <c r="N888" s="23"/>
      <c r="O888" s="23"/>
      <c r="P888" s="24"/>
      <c r="Q888" s="24"/>
      <c r="R888" s="24"/>
      <c r="S888" s="22" t="str">
        <f t="shared" si="67"/>
        <v/>
      </c>
      <c r="T888" s="22" t="str">
        <f t="shared" si="68"/>
        <v/>
      </c>
      <c r="U888" s="25"/>
      <c r="V888" s="25"/>
      <c r="W888" s="25"/>
      <c r="X888" s="25"/>
      <c r="Y888" s="22" t="str">
        <f t="shared" si="69"/>
        <v/>
      </c>
      <c r="Z888" s="25"/>
      <c r="AA888" s="25"/>
      <c r="AB888" s="25"/>
      <c r="AC888" s="25"/>
      <c r="AD888" s="25"/>
      <c r="AE888" s="25"/>
      <c r="AF888" s="25"/>
      <c r="AG888" s="9"/>
      <c r="AH888" s="29"/>
      <c r="AI888" s="29"/>
      <c r="AM888" s="50"/>
      <c r="AN888" s="51" t="s">
        <v>4637</v>
      </c>
      <c r="AO888" s="55" t="s">
        <v>1768</v>
      </c>
    </row>
    <row r="889" spans="1:41" ht="114" customHeight="1" x14ac:dyDescent="0.3">
      <c r="A889" s="20">
        <v>885</v>
      </c>
      <c r="B889" s="8" t="s">
        <v>3897</v>
      </c>
      <c r="C889" s="26">
        <v>2023</v>
      </c>
      <c r="D889" s="8"/>
      <c r="E889" s="8" t="s">
        <v>1771</v>
      </c>
      <c r="F889" s="20" t="s">
        <v>1969</v>
      </c>
      <c r="G889" s="21" t="s">
        <v>1968</v>
      </c>
      <c r="H889" s="21" t="s">
        <v>1968</v>
      </c>
      <c r="I889" s="21" t="s">
        <v>1968</v>
      </c>
      <c r="J889" s="21" t="s">
        <v>1968</v>
      </c>
      <c r="K889" s="21" t="s">
        <v>1968</v>
      </c>
      <c r="L889" s="22" t="str">
        <f t="shared" si="65"/>
        <v>INCLUDE</v>
      </c>
      <c r="M889" s="22" t="str">
        <f t="shared" si="66"/>
        <v/>
      </c>
      <c r="N889" s="23" t="s">
        <v>1968</v>
      </c>
      <c r="O889" s="23" t="s">
        <v>1968</v>
      </c>
      <c r="P889" s="24" t="s">
        <v>1968</v>
      </c>
      <c r="Q889" s="24" t="s">
        <v>1968</v>
      </c>
      <c r="R889" s="24" t="s">
        <v>1968</v>
      </c>
      <c r="S889" s="22" t="str">
        <f t="shared" si="67"/>
        <v>INCLUDE</v>
      </c>
      <c r="T889" s="22" t="str">
        <f t="shared" si="68"/>
        <v/>
      </c>
      <c r="U889" s="25" t="s">
        <v>1982</v>
      </c>
      <c r="V889" s="25">
        <v>0</v>
      </c>
      <c r="W889" s="25">
        <v>0</v>
      </c>
      <c r="X889" s="25">
        <v>1</v>
      </c>
      <c r="Y889" s="22" t="str">
        <f t="shared" si="69"/>
        <v>Single</v>
      </c>
      <c r="Z889" s="25" t="s">
        <v>1922</v>
      </c>
      <c r="AA889" s="25" t="s">
        <v>1972</v>
      </c>
      <c r="AB889" s="25" t="s">
        <v>2016</v>
      </c>
      <c r="AC889" s="25" t="s">
        <v>1986</v>
      </c>
      <c r="AD889" s="25" t="s">
        <v>2003</v>
      </c>
      <c r="AE889" s="25">
        <v>4</v>
      </c>
      <c r="AF889" s="25" t="s">
        <v>2010</v>
      </c>
      <c r="AG889" s="9" t="s">
        <v>4638</v>
      </c>
      <c r="AH889" s="29" t="s">
        <v>4639</v>
      </c>
      <c r="AI889" s="29" t="s">
        <v>4640</v>
      </c>
      <c r="AJ889" t="s">
        <v>2005</v>
      </c>
      <c r="AK889" t="s">
        <v>4641</v>
      </c>
      <c r="AL889" t="s">
        <v>1978</v>
      </c>
      <c r="AM889" s="50"/>
      <c r="AN889" s="51" t="s">
        <v>4642</v>
      </c>
      <c r="AO889" s="55" t="s">
        <v>1770</v>
      </c>
    </row>
    <row r="890" spans="1:41" ht="102.6" customHeight="1" x14ac:dyDescent="0.3">
      <c r="A890" s="20">
        <v>886</v>
      </c>
      <c r="B890" s="8" t="s">
        <v>4643</v>
      </c>
      <c r="C890" s="26">
        <v>2023</v>
      </c>
      <c r="D890" s="8"/>
      <c r="E890" s="8" t="s">
        <v>1773</v>
      </c>
      <c r="F890" s="20" t="s">
        <v>1969</v>
      </c>
      <c r="G890" s="21" t="s">
        <v>1968</v>
      </c>
      <c r="H890" s="21" t="s">
        <v>1968</v>
      </c>
      <c r="I890" s="21" t="s">
        <v>1968</v>
      </c>
      <c r="J890" s="21" t="s">
        <v>1968</v>
      </c>
      <c r="K890" s="21" t="s">
        <v>1968</v>
      </c>
      <c r="L890" s="22" t="str">
        <f t="shared" si="65"/>
        <v>INCLUDE</v>
      </c>
      <c r="M890" s="22" t="str">
        <f t="shared" si="66"/>
        <v/>
      </c>
      <c r="N890" s="23" t="s">
        <v>1968</v>
      </c>
      <c r="O890" s="23" t="s">
        <v>1968</v>
      </c>
      <c r="P890" s="24" t="s">
        <v>1968</v>
      </c>
      <c r="Q890" s="24" t="s">
        <v>1968</v>
      </c>
      <c r="R890" s="24" t="s">
        <v>1968</v>
      </c>
      <c r="S890" s="22" t="str">
        <f t="shared" si="67"/>
        <v>INCLUDE</v>
      </c>
      <c r="T890" s="22" t="str">
        <f t="shared" si="68"/>
        <v/>
      </c>
      <c r="U890" s="25" t="s">
        <v>1992</v>
      </c>
      <c r="V890" s="25">
        <v>0</v>
      </c>
      <c r="W890" s="25">
        <v>1</v>
      </c>
      <c r="X890" s="25">
        <v>0</v>
      </c>
      <c r="Y890" s="22" t="str">
        <f t="shared" si="69"/>
        <v>Single</v>
      </c>
      <c r="Z890" s="25" t="s">
        <v>1922</v>
      </c>
      <c r="AA890" s="25" t="s">
        <v>1972</v>
      </c>
      <c r="AB890" s="25" t="s">
        <v>2014</v>
      </c>
      <c r="AC890" s="25" t="s">
        <v>1986</v>
      </c>
      <c r="AD890" s="25" t="s">
        <v>2003</v>
      </c>
      <c r="AE890" s="25">
        <v>4</v>
      </c>
      <c r="AF890" s="25" t="s">
        <v>2004</v>
      </c>
      <c r="AG890" s="9" t="s">
        <v>4644</v>
      </c>
      <c r="AH890" s="29" t="s">
        <v>4645</v>
      </c>
      <c r="AI890" s="29" t="s">
        <v>4646</v>
      </c>
      <c r="AJ890" t="s">
        <v>2005</v>
      </c>
      <c r="AK890" t="s">
        <v>4647</v>
      </c>
      <c r="AL890" t="s">
        <v>1978</v>
      </c>
      <c r="AM890" s="50"/>
      <c r="AN890" s="51" t="s">
        <v>4648</v>
      </c>
      <c r="AO890" s="55" t="s">
        <v>1772</v>
      </c>
    </row>
    <row r="891" spans="1:41" ht="68.400000000000006" customHeight="1" x14ac:dyDescent="0.3">
      <c r="A891" s="20">
        <v>887</v>
      </c>
      <c r="B891" s="8" t="s">
        <v>4649</v>
      </c>
      <c r="C891" s="26">
        <v>2023</v>
      </c>
      <c r="D891" s="8"/>
      <c r="E891" s="8" t="s">
        <v>1775</v>
      </c>
      <c r="F891" s="20" t="s">
        <v>1969</v>
      </c>
      <c r="G891" s="21" t="s">
        <v>1968</v>
      </c>
      <c r="H891" s="21" t="s">
        <v>1979</v>
      </c>
      <c r="I891" s="21" t="s">
        <v>1968</v>
      </c>
      <c r="J891" s="21" t="s">
        <v>1968</v>
      </c>
      <c r="K891" s="21" t="s">
        <v>1968</v>
      </c>
      <c r="L891" s="22" t="str">
        <f t="shared" si="65"/>
        <v>EXCLUDE</v>
      </c>
      <c r="M891" s="22" t="str">
        <f t="shared" si="66"/>
        <v>Digital Twin not core / buzzword</v>
      </c>
      <c r="N891" s="23"/>
      <c r="O891" s="23"/>
      <c r="P891" s="24"/>
      <c r="Q891" s="24"/>
      <c r="R891" s="24"/>
      <c r="S891" s="22" t="str">
        <f t="shared" si="67"/>
        <v/>
      </c>
      <c r="T891" s="22" t="str">
        <f t="shared" si="68"/>
        <v/>
      </c>
      <c r="U891" s="25"/>
      <c r="V891" s="25"/>
      <c r="W891" s="25"/>
      <c r="X891" s="25"/>
      <c r="Y891" s="22" t="str">
        <f t="shared" si="69"/>
        <v/>
      </c>
      <c r="Z891" s="25"/>
      <c r="AA891" s="25"/>
      <c r="AB891" s="25"/>
      <c r="AC891" s="25"/>
      <c r="AD891" s="25"/>
      <c r="AE891" s="25"/>
      <c r="AF891" s="25"/>
      <c r="AG891" s="9"/>
      <c r="AH891" s="29"/>
      <c r="AI891" s="29"/>
      <c r="AM891" s="50"/>
      <c r="AN891" s="51" t="s">
        <v>4650</v>
      </c>
      <c r="AO891" s="55" t="s">
        <v>1774</v>
      </c>
    </row>
    <row r="892" spans="1:41" ht="45.6" customHeight="1" x14ac:dyDescent="0.3">
      <c r="A892" s="20">
        <v>888</v>
      </c>
      <c r="B892" s="8" t="s">
        <v>4651</v>
      </c>
      <c r="C892" s="26">
        <v>2023</v>
      </c>
      <c r="D892" s="8"/>
      <c r="E892" s="8" t="s">
        <v>1777</v>
      </c>
      <c r="F892" s="20" t="s">
        <v>1969</v>
      </c>
      <c r="G892" s="21" t="s">
        <v>1979</v>
      </c>
      <c r="H892" s="21" t="s">
        <v>1968</v>
      </c>
      <c r="I892" s="21" t="s">
        <v>1968</v>
      </c>
      <c r="J892" s="21" t="s">
        <v>1968</v>
      </c>
      <c r="K892" s="21" t="s">
        <v>1968</v>
      </c>
      <c r="L892" s="22" t="str">
        <f t="shared" si="65"/>
        <v>EXCLUDE</v>
      </c>
      <c r="M892" s="22" t="str">
        <f t="shared" si="66"/>
        <v>Wrong domain (non-AECO)</v>
      </c>
      <c r="N892" s="23"/>
      <c r="O892" s="23"/>
      <c r="P892" s="24"/>
      <c r="Q892" s="24"/>
      <c r="R892" s="24"/>
      <c r="S892" s="22" t="str">
        <f t="shared" si="67"/>
        <v/>
      </c>
      <c r="T892" s="22" t="str">
        <f t="shared" si="68"/>
        <v/>
      </c>
      <c r="U892" s="25"/>
      <c r="V892" s="25"/>
      <c r="W892" s="25"/>
      <c r="X892" s="25"/>
      <c r="Y892" s="22" t="str">
        <f t="shared" si="69"/>
        <v/>
      </c>
      <c r="Z892" s="25"/>
      <c r="AA892" s="25"/>
      <c r="AB892" s="25"/>
      <c r="AC892" s="25"/>
      <c r="AD892" s="25"/>
      <c r="AE892" s="25"/>
      <c r="AF892" s="25"/>
      <c r="AG892" s="9"/>
      <c r="AH892" s="29"/>
      <c r="AI892" s="29"/>
      <c r="AM892" s="50"/>
      <c r="AN892" s="51" t="s">
        <v>4652</v>
      </c>
      <c r="AO892" s="55" t="s">
        <v>1776</v>
      </c>
    </row>
    <row r="893" spans="1:41" ht="34.200000000000003" customHeight="1" x14ac:dyDescent="0.3">
      <c r="A893" s="20">
        <v>889</v>
      </c>
      <c r="B893" s="8" t="s">
        <v>4653</v>
      </c>
      <c r="C893" s="26">
        <v>2019</v>
      </c>
      <c r="D893" s="8"/>
      <c r="E893" s="8" t="s">
        <v>1778</v>
      </c>
      <c r="F893" s="20" t="s">
        <v>1969</v>
      </c>
      <c r="G893" s="21" t="s">
        <v>1979</v>
      </c>
      <c r="H893" s="21" t="s">
        <v>1968</v>
      </c>
      <c r="I893" s="21" t="s">
        <v>1968</v>
      </c>
      <c r="J893" s="21" t="s">
        <v>1968</v>
      </c>
      <c r="K893" s="21" t="s">
        <v>1968</v>
      </c>
      <c r="L893" s="22" t="str">
        <f t="shared" si="65"/>
        <v>EXCLUDE</v>
      </c>
      <c r="M893" s="22" t="str">
        <f t="shared" si="66"/>
        <v>Wrong domain (non-AECO)</v>
      </c>
      <c r="N893" s="23"/>
      <c r="O893" s="23"/>
      <c r="P893" s="24"/>
      <c r="Q893" s="24"/>
      <c r="R893" s="24"/>
      <c r="S893" s="22" t="str">
        <f t="shared" si="67"/>
        <v/>
      </c>
      <c r="T893" s="22" t="str">
        <f t="shared" si="68"/>
        <v/>
      </c>
      <c r="U893" s="25"/>
      <c r="V893" s="25"/>
      <c r="W893" s="25"/>
      <c r="X893" s="25"/>
      <c r="Y893" s="22" t="str">
        <f t="shared" si="69"/>
        <v/>
      </c>
      <c r="Z893" s="25"/>
      <c r="AA893" s="25"/>
      <c r="AB893" s="25"/>
      <c r="AC893" s="25"/>
      <c r="AD893" s="25"/>
      <c r="AE893" s="25"/>
      <c r="AF893" s="25"/>
      <c r="AG893" s="9"/>
      <c r="AH893" s="29"/>
      <c r="AI893" s="29"/>
      <c r="AM893" s="50"/>
      <c r="AN893" s="51" t="s">
        <v>4654</v>
      </c>
      <c r="AO893" s="55" t="s">
        <v>504</v>
      </c>
    </row>
    <row r="894" spans="1:41" ht="45.6" customHeight="1" x14ac:dyDescent="0.3">
      <c r="A894" s="20">
        <v>890</v>
      </c>
      <c r="B894" s="8" t="s">
        <v>4655</v>
      </c>
      <c r="C894" s="26">
        <v>2022</v>
      </c>
      <c r="D894" s="8"/>
      <c r="E894" s="8" t="s">
        <v>1780</v>
      </c>
      <c r="F894" s="20" t="s">
        <v>1969</v>
      </c>
      <c r="G894" s="21" t="s">
        <v>1979</v>
      </c>
      <c r="H894" s="21" t="s">
        <v>1968</v>
      </c>
      <c r="I894" s="21" t="s">
        <v>1968</v>
      </c>
      <c r="J894" s="21" t="s">
        <v>1968</v>
      </c>
      <c r="K894" s="21" t="s">
        <v>1968</v>
      </c>
      <c r="L894" s="22" t="str">
        <f t="shared" si="65"/>
        <v>EXCLUDE</v>
      </c>
      <c r="M894" s="22" t="str">
        <f t="shared" si="66"/>
        <v>Wrong domain (non-AECO)</v>
      </c>
      <c r="N894" s="23"/>
      <c r="O894" s="23"/>
      <c r="P894" s="24"/>
      <c r="Q894" s="24"/>
      <c r="R894" s="24"/>
      <c r="S894" s="22" t="str">
        <f t="shared" si="67"/>
        <v/>
      </c>
      <c r="T894" s="22" t="str">
        <f t="shared" si="68"/>
        <v/>
      </c>
      <c r="U894" s="25"/>
      <c r="V894" s="25"/>
      <c r="W894" s="25"/>
      <c r="X894" s="25"/>
      <c r="Y894" s="22" t="str">
        <f t="shared" si="69"/>
        <v/>
      </c>
      <c r="Z894" s="25"/>
      <c r="AA894" s="25"/>
      <c r="AB894" s="25"/>
      <c r="AC894" s="25"/>
      <c r="AD894" s="25"/>
      <c r="AE894" s="25"/>
      <c r="AF894" s="25"/>
      <c r="AG894" s="9"/>
      <c r="AH894" s="29"/>
      <c r="AI894" s="29"/>
      <c r="AM894" s="50"/>
      <c r="AN894" s="51" t="s">
        <v>4656</v>
      </c>
      <c r="AO894" s="55" t="s">
        <v>1779</v>
      </c>
    </row>
    <row r="895" spans="1:41" ht="57" customHeight="1" x14ac:dyDescent="0.3">
      <c r="A895" s="20">
        <v>891</v>
      </c>
      <c r="B895" s="8" t="s">
        <v>4657</v>
      </c>
      <c r="C895" s="26">
        <v>2020</v>
      </c>
      <c r="D895" s="8"/>
      <c r="E895" s="8" t="s">
        <v>1782</v>
      </c>
      <c r="F895" s="20" t="s">
        <v>1969</v>
      </c>
      <c r="G895" s="21" t="s">
        <v>1968</v>
      </c>
      <c r="H895" s="21" t="s">
        <v>1979</v>
      </c>
      <c r="I895" s="21" t="s">
        <v>1968</v>
      </c>
      <c r="J895" s="21" t="s">
        <v>1968</v>
      </c>
      <c r="K895" s="21" t="s">
        <v>1968</v>
      </c>
      <c r="L895" s="22" t="str">
        <f t="shared" si="65"/>
        <v>EXCLUDE</v>
      </c>
      <c r="M895" s="22" t="str">
        <f t="shared" si="66"/>
        <v>Digital Twin not core / buzzword</v>
      </c>
      <c r="N895" s="23"/>
      <c r="O895" s="23"/>
      <c r="P895" s="24"/>
      <c r="Q895" s="24"/>
      <c r="R895" s="24"/>
      <c r="S895" s="22" t="str">
        <f t="shared" si="67"/>
        <v/>
      </c>
      <c r="T895" s="22" t="str">
        <f t="shared" si="68"/>
        <v/>
      </c>
      <c r="U895" s="25"/>
      <c r="V895" s="25"/>
      <c r="W895" s="25"/>
      <c r="X895" s="25"/>
      <c r="Y895" s="22" t="str">
        <f t="shared" si="69"/>
        <v/>
      </c>
      <c r="Z895" s="25"/>
      <c r="AA895" s="25"/>
      <c r="AB895" s="25"/>
      <c r="AC895" s="25"/>
      <c r="AD895" s="25"/>
      <c r="AE895" s="25"/>
      <c r="AF895" s="25"/>
      <c r="AG895" s="9"/>
      <c r="AH895" s="29"/>
      <c r="AI895" s="29"/>
      <c r="AM895" s="50"/>
      <c r="AN895" s="51" t="s">
        <v>4658</v>
      </c>
      <c r="AO895" s="55" t="s">
        <v>1781</v>
      </c>
    </row>
    <row r="896" spans="1:41" ht="68.400000000000006" customHeight="1" x14ac:dyDescent="0.3">
      <c r="A896" s="20">
        <v>892</v>
      </c>
      <c r="B896" s="8" t="s">
        <v>4659</v>
      </c>
      <c r="C896" s="26">
        <v>2023</v>
      </c>
      <c r="D896" s="8"/>
      <c r="E896" s="8" t="s">
        <v>1784</v>
      </c>
      <c r="F896" s="20" t="s">
        <v>1969</v>
      </c>
      <c r="G896" s="21" t="s">
        <v>1979</v>
      </c>
      <c r="H896" s="21" t="s">
        <v>1968</v>
      </c>
      <c r="I896" s="21" t="s">
        <v>1968</v>
      </c>
      <c r="J896" s="21" t="s">
        <v>1968</v>
      </c>
      <c r="K896" s="21" t="s">
        <v>1968</v>
      </c>
      <c r="L896" s="22" t="str">
        <f t="shared" si="65"/>
        <v>EXCLUDE</v>
      </c>
      <c r="M896" s="22" t="str">
        <f t="shared" si="66"/>
        <v>Wrong domain (non-AECO)</v>
      </c>
      <c r="N896" s="23"/>
      <c r="O896" s="23"/>
      <c r="P896" s="24"/>
      <c r="Q896" s="24"/>
      <c r="R896" s="24"/>
      <c r="S896" s="22" t="str">
        <f t="shared" si="67"/>
        <v/>
      </c>
      <c r="T896" s="22" t="str">
        <f t="shared" si="68"/>
        <v/>
      </c>
      <c r="U896" s="25"/>
      <c r="V896" s="25"/>
      <c r="W896" s="25"/>
      <c r="X896" s="25"/>
      <c r="Y896" s="22" t="str">
        <f t="shared" si="69"/>
        <v/>
      </c>
      <c r="Z896" s="25"/>
      <c r="AA896" s="25"/>
      <c r="AB896" s="25"/>
      <c r="AC896" s="25"/>
      <c r="AD896" s="25"/>
      <c r="AE896" s="25"/>
      <c r="AF896" s="25"/>
      <c r="AG896" s="9"/>
      <c r="AH896" s="29"/>
      <c r="AI896" s="29"/>
      <c r="AM896" s="50"/>
      <c r="AN896" s="51" t="s">
        <v>4660</v>
      </c>
      <c r="AO896" s="55" t="s">
        <v>1783</v>
      </c>
    </row>
    <row r="897" spans="1:41" ht="45.6" customHeight="1" x14ac:dyDescent="0.3">
      <c r="A897" s="20">
        <v>893</v>
      </c>
      <c r="B897" s="8" t="s">
        <v>4661</v>
      </c>
      <c r="C897" s="26">
        <v>2023</v>
      </c>
      <c r="D897" s="8"/>
      <c r="E897" s="8" t="s">
        <v>1786</v>
      </c>
      <c r="F897" s="20" t="s">
        <v>1969</v>
      </c>
      <c r="G897" s="21" t="s">
        <v>1979</v>
      </c>
      <c r="H897" s="21" t="s">
        <v>1968</v>
      </c>
      <c r="I897" s="21" t="s">
        <v>1968</v>
      </c>
      <c r="J897" s="21" t="s">
        <v>1968</v>
      </c>
      <c r="K897" s="21" t="s">
        <v>1968</v>
      </c>
      <c r="L897" s="22" t="str">
        <f t="shared" si="65"/>
        <v>EXCLUDE</v>
      </c>
      <c r="M897" s="22" t="str">
        <f t="shared" si="66"/>
        <v>Wrong domain (non-AECO)</v>
      </c>
      <c r="N897" s="23"/>
      <c r="O897" s="23"/>
      <c r="P897" s="24"/>
      <c r="Q897" s="24"/>
      <c r="R897" s="24"/>
      <c r="S897" s="22" t="str">
        <f t="shared" si="67"/>
        <v/>
      </c>
      <c r="T897" s="22" t="str">
        <f t="shared" si="68"/>
        <v/>
      </c>
      <c r="U897" s="25"/>
      <c r="V897" s="25"/>
      <c r="W897" s="25"/>
      <c r="X897" s="25"/>
      <c r="Y897" s="22" t="str">
        <f t="shared" si="69"/>
        <v/>
      </c>
      <c r="Z897" s="25"/>
      <c r="AA897" s="25"/>
      <c r="AB897" s="25"/>
      <c r="AC897" s="25"/>
      <c r="AD897" s="25"/>
      <c r="AE897" s="25"/>
      <c r="AF897" s="25"/>
      <c r="AG897" s="9"/>
      <c r="AH897" s="29"/>
      <c r="AI897" s="29"/>
      <c r="AM897" s="50"/>
      <c r="AN897" s="51" t="s">
        <v>4662</v>
      </c>
      <c r="AO897" s="55" t="s">
        <v>1785</v>
      </c>
    </row>
    <row r="898" spans="1:41" ht="86.4" customHeight="1" x14ac:dyDescent="0.3">
      <c r="A898" s="20">
        <v>894</v>
      </c>
      <c r="B898" s="8" t="s">
        <v>4663</v>
      </c>
      <c r="C898" s="26">
        <v>2022</v>
      </c>
      <c r="D898" s="8"/>
      <c r="E898" s="8" t="s">
        <v>1788</v>
      </c>
      <c r="F898" s="20" t="s">
        <v>1969</v>
      </c>
      <c r="G898" s="21" t="s">
        <v>1968</v>
      </c>
      <c r="H898" s="21" t="s">
        <v>1968</v>
      </c>
      <c r="I898" s="21" t="s">
        <v>1968</v>
      </c>
      <c r="J898" s="21" t="s">
        <v>1968</v>
      </c>
      <c r="K898" s="21" t="s">
        <v>1968</v>
      </c>
      <c r="L898" s="22" t="str">
        <f t="shared" si="65"/>
        <v>INCLUDE</v>
      </c>
      <c r="M898" s="22" t="str">
        <f t="shared" si="66"/>
        <v/>
      </c>
      <c r="N898" s="23" t="s">
        <v>1968</v>
      </c>
      <c r="O898" s="23" t="s">
        <v>1968</v>
      </c>
      <c r="P898" s="24" t="s">
        <v>1968</v>
      </c>
      <c r="Q898" s="24" t="s">
        <v>1968</v>
      </c>
      <c r="R898" s="24" t="s">
        <v>1968</v>
      </c>
      <c r="S898" s="22" t="str">
        <f t="shared" si="67"/>
        <v>INCLUDE</v>
      </c>
      <c r="T898" s="22" t="str">
        <f t="shared" si="68"/>
        <v/>
      </c>
      <c r="U898" s="25" t="s">
        <v>1971</v>
      </c>
      <c r="V898" s="25">
        <v>0</v>
      </c>
      <c r="W898" s="25">
        <v>0</v>
      </c>
      <c r="X898" s="25">
        <v>1</v>
      </c>
      <c r="Y898" s="22" t="str">
        <f t="shared" si="69"/>
        <v>Single</v>
      </c>
      <c r="Z898" s="25" t="s">
        <v>1922</v>
      </c>
      <c r="AA898" s="25" t="s">
        <v>1972</v>
      </c>
      <c r="AB898" s="25" t="s">
        <v>1973</v>
      </c>
      <c r="AC898" s="25" t="s">
        <v>1986</v>
      </c>
      <c r="AD898" s="25" t="s">
        <v>2003</v>
      </c>
      <c r="AE898" s="25">
        <v>4</v>
      </c>
      <c r="AF898" s="25" t="s">
        <v>1996</v>
      </c>
      <c r="AG898" s="9" t="s">
        <v>4664</v>
      </c>
      <c r="AH898" s="29" t="s">
        <v>4665</v>
      </c>
      <c r="AI898" s="29" t="s">
        <v>4666</v>
      </c>
      <c r="AJ898" t="s">
        <v>2005</v>
      </c>
      <c r="AK898" t="s">
        <v>4667</v>
      </c>
      <c r="AL898" t="s">
        <v>1978</v>
      </c>
      <c r="AM898" s="50"/>
      <c r="AN898" s="51" t="s">
        <v>4668</v>
      </c>
      <c r="AO898" s="55" t="s">
        <v>1787</v>
      </c>
    </row>
    <row r="899" spans="1:41" ht="68.400000000000006" customHeight="1" x14ac:dyDescent="0.3">
      <c r="A899" s="20">
        <v>895</v>
      </c>
      <c r="B899" s="8" t="s">
        <v>4669</v>
      </c>
      <c r="C899" s="26">
        <v>2024</v>
      </c>
      <c r="D899" s="8"/>
      <c r="E899" s="8" t="s">
        <v>1790</v>
      </c>
      <c r="F899" s="20" t="s">
        <v>1969</v>
      </c>
      <c r="G899" s="21" t="s">
        <v>1968</v>
      </c>
      <c r="H899" s="21" t="s">
        <v>1968</v>
      </c>
      <c r="I899" s="21" t="s">
        <v>1968</v>
      </c>
      <c r="J899" s="21" t="s">
        <v>1968</v>
      </c>
      <c r="K899" s="21" t="s">
        <v>1968</v>
      </c>
      <c r="L899" s="22" t="str">
        <f t="shared" si="65"/>
        <v>INCLUDE</v>
      </c>
      <c r="M899" s="22" t="str">
        <f t="shared" si="66"/>
        <v/>
      </c>
      <c r="N899" s="23" t="s">
        <v>1968</v>
      </c>
      <c r="O899" s="23" t="s">
        <v>1968</v>
      </c>
      <c r="P899" s="24" t="s">
        <v>1968</v>
      </c>
      <c r="Q899" s="24" t="s">
        <v>1968</v>
      </c>
      <c r="R899" s="24" t="s">
        <v>1968</v>
      </c>
      <c r="S899" s="22" t="str">
        <f t="shared" si="67"/>
        <v>INCLUDE</v>
      </c>
      <c r="T899" s="22" t="str">
        <f t="shared" si="68"/>
        <v/>
      </c>
      <c r="U899" s="25" t="s">
        <v>1982</v>
      </c>
      <c r="V899" s="25">
        <v>0</v>
      </c>
      <c r="W899" s="25">
        <v>1</v>
      </c>
      <c r="X899" s="25">
        <v>0</v>
      </c>
      <c r="Y899" s="22" t="str">
        <f t="shared" si="69"/>
        <v>Single</v>
      </c>
      <c r="Z899" s="25" t="s">
        <v>1922</v>
      </c>
      <c r="AA899" s="25" t="s">
        <v>1972</v>
      </c>
      <c r="AB899" s="25" t="s">
        <v>2015</v>
      </c>
      <c r="AC899" s="25" t="s">
        <v>1986</v>
      </c>
      <c r="AD899" s="25" t="s">
        <v>1987</v>
      </c>
      <c r="AE899" s="25">
        <v>4</v>
      </c>
      <c r="AF899" s="25" t="s">
        <v>2004</v>
      </c>
      <c r="AG899" s="9" t="s">
        <v>4670</v>
      </c>
      <c r="AH899" s="29" t="s">
        <v>4671</v>
      </c>
      <c r="AI899" s="29" t="s">
        <v>4672</v>
      </c>
      <c r="AJ899" t="s">
        <v>2005</v>
      </c>
      <c r="AK899" t="s">
        <v>4673</v>
      </c>
      <c r="AL899" t="s">
        <v>1990</v>
      </c>
      <c r="AM899" s="50"/>
      <c r="AN899" s="51" t="s">
        <v>4674</v>
      </c>
      <c r="AO899" s="55" t="s">
        <v>1789</v>
      </c>
    </row>
    <row r="900" spans="1:41" ht="57" customHeight="1" x14ac:dyDescent="0.3">
      <c r="A900" s="20">
        <v>896</v>
      </c>
      <c r="B900" s="8" t="s">
        <v>4675</v>
      </c>
      <c r="C900" s="26">
        <v>2023</v>
      </c>
      <c r="D900" s="8"/>
      <c r="E900" s="8" t="s">
        <v>1792</v>
      </c>
      <c r="F900" s="20" t="s">
        <v>1980</v>
      </c>
      <c r="G900" s="21" t="s">
        <v>1968</v>
      </c>
      <c r="H900" s="21" t="s">
        <v>1968</v>
      </c>
      <c r="I900" s="21" t="s">
        <v>1979</v>
      </c>
      <c r="J900" s="21" t="s">
        <v>1968</v>
      </c>
      <c r="K900" s="21" t="s">
        <v>1968</v>
      </c>
      <c r="L900" s="22" t="str">
        <f t="shared" si="65"/>
        <v>EXCLUDE</v>
      </c>
      <c r="M900" s="22" t="str">
        <f t="shared" si="66"/>
        <v>No Design for Safety / PtD focus</v>
      </c>
      <c r="N900" s="23"/>
      <c r="O900" s="23"/>
      <c r="P900" s="24"/>
      <c r="Q900" s="24"/>
      <c r="R900" s="24"/>
      <c r="S900" s="22" t="str">
        <f t="shared" si="67"/>
        <v/>
      </c>
      <c r="T900" s="22" t="str">
        <f t="shared" si="68"/>
        <v/>
      </c>
      <c r="U900" s="25"/>
      <c r="V900" s="25"/>
      <c r="W900" s="25"/>
      <c r="X900" s="25"/>
      <c r="Y900" s="22" t="str">
        <f t="shared" si="69"/>
        <v/>
      </c>
      <c r="Z900" s="25"/>
      <c r="AA900" s="25"/>
      <c r="AB900" s="25"/>
      <c r="AC900" s="25"/>
      <c r="AD900" s="25"/>
      <c r="AE900" s="25"/>
      <c r="AF900" s="25"/>
      <c r="AG900" s="9"/>
      <c r="AH900" s="29"/>
      <c r="AI900" s="29"/>
      <c r="AM900" s="50"/>
      <c r="AN900" s="51" t="s">
        <v>4676</v>
      </c>
      <c r="AO900" s="55" t="s">
        <v>1791</v>
      </c>
    </row>
    <row r="901" spans="1:41" ht="57" customHeight="1" x14ac:dyDescent="0.3">
      <c r="A901" s="20">
        <v>897</v>
      </c>
      <c r="B901" s="8" t="s">
        <v>4677</v>
      </c>
      <c r="C901" s="26">
        <v>2023</v>
      </c>
      <c r="D901" s="8"/>
      <c r="E901" s="8" t="s">
        <v>1794</v>
      </c>
      <c r="F901" s="20" t="s">
        <v>1980</v>
      </c>
      <c r="G901" s="21" t="s">
        <v>1968</v>
      </c>
      <c r="H901" s="21" t="s">
        <v>1979</v>
      </c>
      <c r="I901" s="21" t="s">
        <v>1968</v>
      </c>
      <c r="J901" s="21" t="s">
        <v>1968</v>
      </c>
      <c r="K901" s="21" t="s">
        <v>1968</v>
      </c>
      <c r="L901" s="22" t="str">
        <f t="shared" ref="L901:L964" si="70">IF(COUNTBLANK(G901:K901)=5,"",IF(COUNTIF(G901:K901,"No")&gt;0,"EXCLUDE","INCLUDE"))</f>
        <v>EXCLUDE</v>
      </c>
      <c r="M901" s="22" t="str">
        <f t="shared" ref="M901:M964" si="71">IF(L901&lt;&gt;"EXCLUDE","",IF(G901="No","Wrong domain (non-AECO)",IF(H901="No","Digital Twin not core / buzzword",IF(I901="No","No Design for Safety / PtD focus",IF(J901="No","Wrong publication type",IF(K901="No","Non-English",""))))))</f>
        <v>Digital Twin not core / buzzword</v>
      </c>
      <c r="N901" s="23"/>
      <c r="O901" s="23"/>
      <c r="P901" s="24"/>
      <c r="Q901" s="24"/>
      <c r="R901" s="24"/>
      <c r="S901" s="22" t="str">
        <f t="shared" ref="S901:S964" si="72">IF(N901&lt;&gt;"Yes","",IF(COUNTBLANK(P901:R901)=3,"",IF(COUNTIF(P901:R901,"No")&gt;0,"EXCLUDE","INCLUDE")))</f>
        <v/>
      </c>
      <c r="T901" s="22" t="str">
        <f t="shared" ref="T901:T964" si="73">IF(S901&lt;&gt;"EXCLUDE","",IF(P901="No","Digital Twin mentioned only, not the subject",IF(Q901="No","No Design for Safety focus in full text",IF(R901="No","Methodology not codable",""))))</f>
        <v/>
      </c>
      <c r="U901" s="25"/>
      <c r="V901" s="25"/>
      <c r="W901" s="25"/>
      <c r="X901" s="25"/>
      <c r="Y901" s="22" t="str">
        <f t="shared" ref="Y901:Y964" si="74">IF(SUM(V901:X901)=0,"",IF(SUM(V901:X901)&gt;=2,"Multi","Single"))</f>
        <v/>
      </c>
      <c r="Z901" s="25"/>
      <c r="AA901" s="25"/>
      <c r="AB901" s="25"/>
      <c r="AC901" s="25"/>
      <c r="AD901" s="25"/>
      <c r="AE901" s="25"/>
      <c r="AF901" s="25"/>
      <c r="AG901" s="9"/>
      <c r="AH901" s="29"/>
      <c r="AI901" s="29"/>
      <c r="AM901" s="50"/>
      <c r="AN901" s="51" t="s">
        <v>4678</v>
      </c>
      <c r="AO901" s="55" t="s">
        <v>1793</v>
      </c>
    </row>
    <row r="902" spans="1:41" ht="57" customHeight="1" x14ac:dyDescent="0.3">
      <c r="A902" s="20">
        <v>898</v>
      </c>
      <c r="B902" s="8" t="s">
        <v>4679</v>
      </c>
      <c r="C902" s="26">
        <v>2023</v>
      </c>
      <c r="D902" s="8"/>
      <c r="E902" s="8" t="s">
        <v>1796</v>
      </c>
      <c r="F902" s="20" t="s">
        <v>1980</v>
      </c>
      <c r="G902" s="21" t="s">
        <v>1968</v>
      </c>
      <c r="H902" s="21" t="s">
        <v>1979</v>
      </c>
      <c r="I902" s="21" t="s">
        <v>1968</v>
      </c>
      <c r="J902" s="21" t="s">
        <v>1968</v>
      </c>
      <c r="K902" s="21" t="s">
        <v>1968</v>
      </c>
      <c r="L902" s="22" t="str">
        <f t="shared" si="70"/>
        <v>EXCLUDE</v>
      </c>
      <c r="M902" s="22" t="str">
        <f t="shared" si="71"/>
        <v>Digital Twin not core / buzzword</v>
      </c>
      <c r="N902" s="23"/>
      <c r="O902" s="23"/>
      <c r="P902" s="24"/>
      <c r="Q902" s="24"/>
      <c r="R902" s="24"/>
      <c r="S902" s="22" t="str">
        <f t="shared" si="72"/>
        <v/>
      </c>
      <c r="T902" s="22" t="str">
        <f t="shared" si="73"/>
        <v/>
      </c>
      <c r="U902" s="25"/>
      <c r="V902" s="25"/>
      <c r="W902" s="25"/>
      <c r="X902" s="25"/>
      <c r="Y902" s="22" t="str">
        <f t="shared" si="74"/>
        <v/>
      </c>
      <c r="Z902" s="25"/>
      <c r="AA902" s="25"/>
      <c r="AB902" s="25"/>
      <c r="AC902" s="25"/>
      <c r="AD902" s="25"/>
      <c r="AE902" s="25"/>
      <c r="AF902" s="25"/>
      <c r="AG902" s="9"/>
      <c r="AH902" s="29"/>
      <c r="AI902" s="29"/>
      <c r="AM902" s="50"/>
      <c r="AN902" s="51" t="s">
        <v>4680</v>
      </c>
      <c r="AO902" s="55" t="s">
        <v>1795</v>
      </c>
    </row>
    <row r="903" spans="1:41" ht="45.6" customHeight="1" x14ac:dyDescent="0.3">
      <c r="A903" s="20">
        <v>899</v>
      </c>
      <c r="B903" s="8" t="s">
        <v>4681</v>
      </c>
      <c r="C903" s="26">
        <v>2022</v>
      </c>
      <c r="D903" s="8"/>
      <c r="E903" s="8" t="s">
        <v>1798</v>
      </c>
      <c r="F903" s="20" t="s">
        <v>1980</v>
      </c>
      <c r="G903" s="21" t="s">
        <v>1968</v>
      </c>
      <c r="H903" s="21" t="s">
        <v>1968</v>
      </c>
      <c r="I903" s="21" t="s">
        <v>1979</v>
      </c>
      <c r="J903" s="21" t="s">
        <v>1968</v>
      </c>
      <c r="K903" s="21" t="s">
        <v>1968</v>
      </c>
      <c r="L903" s="22" t="str">
        <f t="shared" si="70"/>
        <v>EXCLUDE</v>
      </c>
      <c r="M903" s="22" t="str">
        <f t="shared" si="71"/>
        <v>No Design for Safety / PtD focus</v>
      </c>
      <c r="N903" s="23"/>
      <c r="O903" s="23"/>
      <c r="P903" s="24"/>
      <c r="Q903" s="24"/>
      <c r="R903" s="24"/>
      <c r="S903" s="22" t="str">
        <f t="shared" si="72"/>
        <v/>
      </c>
      <c r="T903" s="22" t="str">
        <f t="shared" si="73"/>
        <v/>
      </c>
      <c r="U903" s="25"/>
      <c r="V903" s="25"/>
      <c r="W903" s="25"/>
      <c r="X903" s="25"/>
      <c r="Y903" s="22" t="str">
        <f t="shared" si="74"/>
        <v/>
      </c>
      <c r="Z903" s="25"/>
      <c r="AA903" s="25"/>
      <c r="AB903" s="25"/>
      <c r="AC903" s="25"/>
      <c r="AD903" s="25"/>
      <c r="AE903" s="25"/>
      <c r="AF903" s="25"/>
      <c r="AG903" s="9"/>
      <c r="AH903" s="29"/>
      <c r="AI903" s="29"/>
      <c r="AM903" s="50"/>
      <c r="AN903" s="51" t="s">
        <v>4682</v>
      </c>
      <c r="AO903" s="55" t="s">
        <v>1797</v>
      </c>
    </row>
    <row r="904" spans="1:41" ht="22.8" customHeight="1" x14ac:dyDescent="0.3">
      <c r="A904" s="20">
        <v>900</v>
      </c>
      <c r="B904" s="8" t="s">
        <v>4683</v>
      </c>
      <c r="C904" s="26">
        <v>2026</v>
      </c>
      <c r="D904" s="8"/>
      <c r="E904" s="8" t="s">
        <v>1800</v>
      </c>
      <c r="F904" s="20" t="s">
        <v>1980</v>
      </c>
      <c r="G904" s="21" t="s">
        <v>1968</v>
      </c>
      <c r="H904" s="21" t="s">
        <v>1979</v>
      </c>
      <c r="I904" s="21" t="s">
        <v>1968</v>
      </c>
      <c r="J904" s="21" t="s">
        <v>1968</v>
      </c>
      <c r="K904" s="21" t="s">
        <v>1968</v>
      </c>
      <c r="L904" s="22" t="str">
        <f t="shared" si="70"/>
        <v>EXCLUDE</v>
      </c>
      <c r="M904" s="22" t="str">
        <f t="shared" si="71"/>
        <v>Digital Twin not core / buzzword</v>
      </c>
      <c r="N904" s="23"/>
      <c r="O904" s="23"/>
      <c r="P904" s="24"/>
      <c r="Q904" s="24"/>
      <c r="R904" s="24"/>
      <c r="S904" s="22" t="str">
        <f t="shared" si="72"/>
        <v/>
      </c>
      <c r="T904" s="22" t="str">
        <f t="shared" si="73"/>
        <v/>
      </c>
      <c r="U904" s="25"/>
      <c r="V904" s="25"/>
      <c r="W904" s="25"/>
      <c r="X904" s="25"/>
      <c r="Y904" s="22" t="str">
        <f t="shared" si="74"/>
        <v/>
      </c>
      <c r="Z904" s="25"/>
      <c r="AA904" s="25"/>
      <c r="AB904" s="25"/>
      <c r="AC904" s="25"/>
      <c r="AD904" s="25"/>
      <c r="AE904" s="25"/>
      <c r="AF904" s="25"/>
      <c r="AG904" s="9"/>
      <c r="AH904" s="29"/>
      <c r="AI904" s="29"/>
      <c r="AM904" s="50"/>
      <c r="AN904" s="51" t="s">
        <v>4684</v>
      </c>
      <c r="AO904" s="55" t="s">
        <v>1799</v>
      </c>
    </row>
    <row r="905" spans="1:41" ht="79.8" customHeight="1" x14ac:dyDescent="0.3">
      <c r="A905" s="20">
        <v>901</v>
      </c>
      <c r="B905" s="8" t="s">
        <v>4685</v>
      </c>
      <c r="C905" s="26">
        <v>2025</v>
      </c>
      <c r="D905" s="8"/>
      <c r="E905" s="8" t="s">
        <v>1802</v>
      </c>
      <c r="F905" s="20" t="s">
        <v>1980</v>
      </c>
      <c r="G905" s="21" t="s">
        <v>1968</v>
      </c>
      <c r="H905" s="21" t="s">
        <v>1968</v>
      </c>
      <c r="I905" s="21" t="s">
        <v>1968</v>
      </c>
      <c r="J905" s="21" t="s">
        <v>1968</v>
      </c>
      <c r="K905" s="21" t="s">
        <v>1968</v>
      </c>
      <c r="L905" s="22" t="str">
        <f t="shared" si="70"/>
        <v>INCLUDE</v>
      </c>
      <c r="M905" s="22" t="str">
        <f t="shared" si="71"/>
        <v/>
      </c>
      <c r="N905" s="23" t="s">
        <v>1968</v>
      </c>
      <c r="O905" s="23" t="s">
        <v>1968</v>
      </c>
      <c r="P905" s="24" t="s">
        <v>1968</v>
      </c>
      <c r="Q905" s="24" t="s">
        <v>1968</v>
      </c>
      <c r="R905" s="24" t="s">
        <v>1968</v>
      </c>
      <c r="S905" s="22" t="str">
        <f t="shared" si="72"/>
        <v>INCLUDE</v>
      </c>
      <c r="T905" s="22" t="str">
        <f t="shared" si="73"/>
        <v/>
      </c>
      <c r="U905" s="25" t="s">
        <v>1971</v>
      </c>
      <c r="V905" s="25">
        <v>0</v>
      </c>
      <c r="W905" s="25">
        <v>0</v>
      </c>
      <c r="X905" s="25">
        <v>1</v>
      </c>
      <c r="Y905" s="22" t="str">
        <f t="shared" si="74"/>
        <v>Single</v>
      </c>
      <c r="Z905" s="25" t="s">
        <v>1922</v>
      </c>
      <c r="AA905" s="25" t="s">
        <v>1972</v>
      </c>
      <c r="AB905" s="25" t="s">
        <v>2017</v>
      </c>
      <c r="AC905" s="25" t="s">
        <v>1986</v>
      </c>
      <c r="AD905" s="25" t="s">
        <v>1975</v>
      </c>
      <c r="AE905" s="25">
        <v>3</v>
      </c>
      <c r="AF905" s="25" t="s">
        <v>1976</v>
      </c>
      <c r="AG905" s="9" t="s">
        <v>4686</v>
      </c>
      <c r="AH905" s="29" t="s">
        <v>4687</v>
      </c>
      <c r="AI905" s="29" t="s">
        <v>4688</v>
      </c>
      <c r="AJ905" t="s">
        <v>2007</v>
      </c>
      <c r="AK905" t="s">
        <v>4689</v>
      </c>
      <c r="AL905" t="s">
        <v>1978</v>
      </c>
      <c r="AM905" s="50" t="s">
        <v>2098</v>
      </c>
      <c r="AN905" s="51" t="s">
        <v>4690</v>
      </c>
      <c r="AO905" s="55" t="s">
        <v>1801</v>
      </c>
    </row>
    <row r="906" spans="1:41" ht="68.400000000000006" customHeight="1" x14ac:dyDescent="0.3">
      <c r="A906" s="20">
        <v>902</v>
      </c>
      <c r="B906" s="8" t="s">
        <v>4691</v>
      </c>
      <c r="C906" s="26">
        <v>2027</v>
      </c>
      <c r="D906" s="8"/>
      <c r="E906" s="8" t="s">
        <v>1804</v>
      </c>
      <c r="F906" s="20" t="s">
        <v>1980</v>
      </c>
      <c r="G906" s="21" t="s">
        <v>1968</v>
      </c>
      <c r="H906" s="21" t="s">
        <v>1968</v>
      </c>
      <c r="I906" s="21" t="s">
        <v>1979</v>
      </c>
      <c r="J906" s="21" t="s">
        <v>1968</v>
      </c>
      <c r="K906" s="21" t="s">
        <v>1968</v>
      </c>
      <c r="L906" s="22" t="str">
        <f t="shared" si="70"/>
        <v>EXCLUDE</v>
      </c>
      <c r="M906" s="22" t="str">
        <f t="shared" si="71"/>
        <v>No Design for Safety / PtD focus</v>
      </c>
      <c r="N906" s="23"/>
      <c r="O906" s="23"/>
      <c r="P906" s="24"/>
      <c r="Q906" s="24"/>
      <c r="R906" s="24"/>
      <c r="S906" s="22" t="str">
        <f t="shared" si="72"/>
        <v/>
      </c>
      <c r="T906" s="22" t="str">
        <f t="shared" si="73"/>
        <v/>
      </c>
      <c r="U906" s="25"/>
      <c r="V906" s="25"/>
      <c r="W906" s="25"/>
      <c r="X906" s="25"/>
      <c r="Y906" s="22" t="str">
        <f t="shared" si="74"/>
        <v/>
      </c>
      <c r="Z906" s="25"/>
      <c r="AA906" s="25"/>
      <c r="AB906" s="25"/>
      <c r="AC906" s="25"/>
      <c r="AD906" s="25"/>
      <c r="AE906" s="25"/>
      <c r="AF906" s="25"/>
      <c r="AG906" s="9"/>
      <c r="AH906" s="29"/>
      <c r="AI906" s="29"/>
      <c r="AM906" s="50"/>
      <c r="AN906" s="51" t="s">
        <v>4692</v>
      </c>
      <c r="AO906" s="55" t="s">
        <v>1803</v>
      </c>
    </row>
    <row r="907" spans="1:41" ht="68.400000000000006" customHeight="1" x14ac:dyDescent="0.3">
      <c r="A907" s="20">
        <v>903</v>
      </c>
      <c r="B907" s="8" t="s">
        <v>4693</v>
      </c>
      <c r="C907" s="26">
        <v>2025</v>
      </c>
      <c r="D907" s="8"/>
      <c r="E907" s="8" t="s">
        <v>1806</v>
      </c>
      <c r="F907" s="20" t="s">
        <v>1980</v>
      </c>
      <c r="G907" s="21" t="s">
        <v>1968</v>
      </c>
      <c r="H907" s="21" t="s">
        <v>1979</v>
      </c>
      <c r="I907" s="21" t="s">
        <v>1968</v>
      </c>
      <c r="J907" s="21" t="s">
        <v>1968</v>
      </c>
      <c r="K907" s="21" t="s">
        <v>1968</v>
      </c>
      <c r="L907" s="22" t="str">
        <f t="shared" si="70"/>
        <v>EXCLUDE</v>
      </c>
      <c r="M907" s="22" t="str">
        <f t="shared" si="71"/>
        <v>Digital Twin not core / buzzword</v>
      </c>
      <c r="N907" s="23"/>
      <c r="O907" s="23"/>
      <c r="P907" s="24"/>
      <c r="Q907" s="24"/>
      <c r="R907" s="24"/>
      <c r="S907" s="22" t="str">
        <f t="shared" si="72"/>
        <v/>
      </c>
      <c r="T907" s="22" t="str">
        <f t="shared" si="73"/>
        <v/>
      </c>
      <c r="U907" s="25"/>
      <c r="V907" s="25"/>
      <c r="W907" s="25"/>
      <c r="X907" s="25"/>
      <c r="Y907" s="22" t="str">
        <f t="shared" si="74"/>
        <v/>
      </c>
      <c r="Z907" s="25"/>
      <c r="AA907" s="25"/>
      <c r="AB907" s="25"/>
      <c r="AC907" s="25"/>
      <c r="AD907" s="25"/>
      <c r="AE907" s="25"/>
      <c r="AF907" s="25"/>
      <c r="AG907" s="9"/>
      <c r="AH907" s="29"/>
      <c r="AI907" s="29"/>
      <c r="AM907" s="50"/>
      <c r="AN907" s="51" t="s">
        <v>4694</v>
      </c>
      <c r="AO907" s="55" t="s">
        <v>1805</v>
      </c>
    </row>
    <row r="908" spans="1:41" ht="102.6" customHeight="1" x14ac:dyDescent="0.3">
      <c r="A908" s="20">
        <v>904</v>
      </c>
      <c r="B908" s="8" t="s">
        <v>4695</v>
      </c>
      <c r="C908" s="26">
        <v>2026</v>
      </c>
      <c r="D908" s="8"/>
      <c r="E908" s="8" t="s">
        <v>1808</v>
      </c>
      <c r="F908" s="20" t="s">
        <v>1980</v>
      </c>
      <c r="G908" s="21" t="s">
        <v>1968</v>
      </c>
      <c r="H908" s="21" t="s">
        <v>1968</v>
      </c>
      <c r="I908" s="21" t="s">
        <v>1968</v>
      </c>
      <c r="J908" s="21" t="s">
        <v>1968</v>
      </c>
      <c r="K908" s="21" t="s">
        <v>1968</v>
      </c>
      <c r="L908" s="22" t="str">
        <f t="shared" si="70"/>
        <v>INCLUDE</v>
      </c>
      <c r="M908" s="22" t="str">
        <f t="shared" si="71"/>
        <v/>
      </c>
      <c r="N908" s="23" t="s">
        <v>1968</v>
      </c>
      <c r="O908" s="23" t="s">
        <v>1968</v>
      </c>
      <c r="P908" s="24" t="s">
        <v>1968</v>
      </c>
      <c r="Q908" s="24" t="s">
        <v>1968</v>
      </c>
      <c r="R908" s="24" t="s">
        <v>1968</v>
      </c>
      <c r="S908" s="22" t="str">
        <f t="shared" si="72"/>
        <v>INCLUDE</v>
      </c>
      <c r="T908" s="22" t="str">
        <f t="shared" si="73"/>
        <v/>
      </c>
      <c r="U908" s="25" t="s">
        <v>1982</v>
      </c>
      <c r="V908" s="25">
        <v>0</v>
      </c>
      <c r="W908" s="25">
        <v>1</v>
      </c>
      <c r="X908" s="25">
        <v>0</v>
      </c>
      <c r="Y908" s="22" t="str">
        <f t="shared" si="74"/>
        <v>Single</v>
      </c>
      <c r="Z908" s="25" t="s">
        <v>1922</v>
      </c>
      <c r="AA908" s="25" t="s">
        <v>1972</v>
      </c>
      <c r="AB908" s="25" t="s">
        <v>2014</v>
      </c>
      <c r="AC908" s="25" t="s">
        <v>1986</v>
      </c>
      <c r="AD908" s="25" t="s">
        <v>2003</v>
      </c>
      <c r="AE908" s="25">
        <v>4</v>
      </c>
      <c r="AF908" s="25" t="s">
        <v>1976</v>
      </c>
      <c r="AG908" s="9" t="s">
        <v>4696</v>
      </c>
      <c r="AH908" s="29" t="s">
        <v>4697</v>
      </c>
      <c r="AI908" s="29" t="s">
        <v>4698</v>
      </c>
      <c r="AJ908" t="s">
        <v>2005</v>
      </c>
      <c r="AK908" t="s">
        <v>4699</v>
      </c>
      <c r="AL908" t="s">
        <v>1990</v>
      </c>
      <c r="AM908" s="50"/>
      <c r="AN908" s="51" t="s">
        <v>4700</v>
      </c>
      <c r="AO908" s="55" t="s">
        <v>1807</v>
      </c>
    </row>
    <row r="909" spans="1:41" ht="68.400000000000006" customHeight="1" x14ac:dyDescent="0.3">
      <c r="A909" s="20">
        <v>905</v>
      </c>
      <c r="B909" s="8" t="s">
        <v>4701</v>
      </c>
      <c r="C909" s="26">
        <v>2026</v>
      </c>
      <c r="D909" s="8"/>
      <c r="E909" s="8" t="s">
        <v>1810</v>
      </c>
      <c r="F909" s="20" t="s">
        <v>1980</v>
      </c>
      <c r="G909" s="21" t="s">
        <v>1968</v>
      </c>
      <c r="H909" s="21" t="s">
        <v>1968</v>
      </c>
      <c r="I909" s="21" t="s">
        <v>1979</v>
      </c>
      <c r="J909" s="21" t="s">
        <v>1968</v>
      </c>
      <c r="K909" s="21" t="s">
        <v>1968</v>
      </c>
      <c r="L909" s="22" t="str">
        <f t="shared" si="70"/>
        <v>EXCLUDE</v>
      </c>
      <c r="M909" s="22" t="str">
        <f t="shared" si="71"/>
        <v>No Design for Safety / PtD focus</v>
      </c>
      <c r="N909" s="23"/>
      <c r="O909" s="23"/>
      <c r="P909" s="24"/>
      <c r="Q909" s="24"/>
      <c r="R909" s="24"/>
      <c r="S909" s="22" t="str">
        <f t="shared" si="72"/>
        <v/>
      </c>
      <c r="T909" s="22" t="str">
        <f t="shared" si="73"/>
        <v/>
      </c>
      <c r="U909" s="25"/>
      <c r="V909" s="25"/>
      <c r="W909" s="25"/>
      <c r="X909" s="25"/>
      <c r="Y909" s="22" t="str">
        <f t="shared" si="74"/>
        <v/>
      </c>
      <c r="Z909" s="25"/>
      <c r="AA909" s="25"/>
      <c r="AB909" s="25"/>
      <c r="AC909" s="25"/>
      <c r="AD909" s="25"/>
      <c r="AE909" s="25"/>
      <c r="AF909" s="25"/>
      <c r="AG909" s="9"/>
      <c r="AH909" s="29"/>
      <c r="AI909" s="29"/>
      <c r="AM909" s="50"/>
      <c r="AN909" s="51" t="s">
        <v>4702</v>
      </c>
      <c r="AO909" s="55" t="s">
        <v>1809</v>
      </c>
    </row>
    <row r="910" spans="1:41" ht="79.8" customHeight="1" x14ac:dyDescent="0.3">
      <c r="A910" s="20">
        <v>906</v>
      </c>
      <c r="B910" s="8" t="s">
        <v>4703</v>
      </c>
      <c r="C910" s="26">
        <v>2024</v>
      </c>
      <c r="D910" s="8"/>
      <c r="E910" s="8" t="s">
        <v>1812</v>
      </c>
      <c r="F910" s="20" t="s">
        <v>1980</v>
      </c>
      <c r="G910" s="21" t="s">
        <v>1968</v>
      </c>
      <c r="H910" s="21" t="s">
        <v>1968</v>
      </c>
      <c r="I910" s="21" t="s">
        <v>1979</v>
      </c>
      <c r="J910" s="21" t="s">
        <v>1968</v>
      </c>
      <c r="K910" s="21" t="s">
        <v>1968</v>
      </c>
      <c r="L910" s="22" t="str">
        <f t="shared" si="70"/>
        <v>EXCLUDE</v>
      </c>
      <c r="M910" s="22" t="str">
        <f t="shared" si="71"/>
        <v>No Design for Safety / PtD focus</v>
      </c>
      <c r="N910" s="23"/>
      <c r="O910" s="23"/>
      <c r="P910" s="24"/>
      <c r="Q910" s="24"/>
      <c r="R910" s="24"/>
      <c r="S910" s="22" t="str">
        <f t="shared" si="72"/>
        <v/>
      </c>
      <c r="T910" s="22" t="str">
        <f t="shared" si="73"/>
        <v/>
      </c>
      <c r="U910" s="25"/>
      <c r="V910" s="25"/>
      <c r="W910" s="25"/>
      <c r="X910" s="25"/>
      <c r="Y910" s="22" t="str">
        <f t="shared" si="74"/>
        <v/>
      </c>
      <c r="Z910" s="25"/>
      <c r="AA910" s="25"/>
      <c r="AB910" s="25"/>
      <c r="AC910" s="25"/>
      <c r="AD910" s="25"/>
      <c r="AE910" s="25"/>
      <c r="AF910" s="25"/>
      <c r="AG910" s="9"/>
      <c r="AH910" s="29"/>
      <c r="AI910" s="29"/>
      <c r="AM910" s="50"/>
      <c r="AN910" s="51" t="s">
        <v>4704</v>
      </c>
      <c r="AO910" s="55" t="s">
        <v>1811</v>
      </c>
    </row>
    <row r="911" spans="1:41" ht="79.8" customHeight="1" x14ac:dyDescent="0.3">
      <c r="A911" s="20">
        <v>907</v>
      </c>
      <c r="B911" s="8" t="s">
        <v>4705</v>
      </c>
      <c r="C911" s="26">
        <v>2026</v>
      </c>
      <c r="D911" s="8"/>
      <c r="E911" s="8" t="s">
        <v>1814</v>
      </c>
      <c r="F911" s="20" t="s">
        <v>1980</v>
      </c>
      <c r="G911" s="21" t="s">
        <v>1968</v>
      </c>
      <c r="H911" s="21" t="s">
        <v>1979</v>
      </c>
      <c r="I911" s="21" t="s">
        <v>1968</v>
      </c>
      <c r="J911" s="21" t="s">
        <v>1968</v>
      </c>
      <c r="K911" s="21" t="s">
        <v>1968</v>
      </c>
      <c r="L911" s="22" t="str">
        <f t="shared" si="70"/>
        <v>EXCLUDE</v>
      </c>
      <c r="M911" s="22" t="str">
        <f t="shared" si="71"/>
        <v>Digital Twin not core / buzzword</v>
      </c>
      <c r="N911" s="23"/>
      <c r="O911" s="23"/>
      <c r="P911" s="24"/>
      <c r="Q911" s="24"/>
      <c r="R911" s="24"/>
      <c r="S911" s="22" t="str">
        <f t="shared" si="72"/>
        <v/>
      </c>
      <c r="T911" s="22" t="str">
        <f t="shared" si="73"/>
        <v/>
      </c>
      <c r="U911" s="25"/>
      <c r="V911" s="25"/>
      <c r="W911" s="25"/>
      <c r="X911" s="25"/>
      <c r="Y911" s="22" t="str">
        <f t="shared" si="74"/>
        <v/>
      </c>
      <c r="Z911" s="25"/>
      <c r="AA911" s="25"/>
      <c r="AB911" s="25"/>
      <c r="AC911" s="25"/>
      <c r="AD911" s="25"/>
      <c r="AE911" s="25"/>
      <c r="AF911" s="25"/>
      <c r="AG911" s="9"/>
      <c r="AH911" s="29"/>
      <c r="AI911" s="29"/>
      <c r="AM911" s="50"/>
      <c r="AN911" s="51" t="s">
        <v>4706</v>
      </c>
      <c r="AO911" s="55" t="s">
        <v>1813</v>
      </c>
    </row>
    <row r="912" spans="1:41" ht="45.6" customHeight="1" x14ac:dyDescent="0.3">
      <c r="A912" s="20">
        <v>908</v>
      </c>
      <c r="B912" s="8" t="s">
        <v>4707</v>
      </c>
      <c r="C912" s="26">
        <v>2024</v>
      </c>
      <c r="D912" s="8"/>
      <c r="E912" s="8" t="s">
        <v>1816</v>
      </c>
      <c r="F912" s="20" t="s">
        <v>1980</v>
      </c>
      <c r="G912" s="21" t="s">
        <v>1968</v>
      </c>
      <c r="H912" s="21" t="s">
        <v>1979</v>
      </c>
      <c r="I912" s="21" t="s">
        <v>1968</v>
      </c>
      <c r="J912" s="21" t="s">
        <v>1968</v>
      </c>
      <c r="K912" s="21" t="s">
        <v>1968</v>
      </c>
      <c r="L912" s="22" t="str">
        <f t="shared" si="70"/>
        <v>EXCLUDE</v>
      </c>
      <c r="M912" s="22" t="str">
        <f t="shared" si="71"/>
        <v>Digital Twin not core / buzzword</v>
      </c>
      <c r="N912" s="23"/>
      <c r="O912" s="23"/>
      <c r="P912" s="24"/>
      <c r="Q912" s="24"/>
      <c r="R912" s="24"/>
      <c r="S912" s="22" t="str">
        <f t="shared" si="72"/>
        <v/>
      </c>
      <c r="T912" s="22" t="str">
        <f t="shared" si="73"/>
        <v/>
      </c>
      <c r="U912" s="25"/>
      <c r="V912" s="25"/>
      <c r="W912" s="25"/>
      <c r="X912" s="25"/>
      <c r="Y912" s="22" t="str">
        <f t="shared" si="74"/>
        <v/>
      </c>
      <c r="Z912" s="25"/>
      <c r="AA912" s="25"/>
      <c r="AB912" s="25"/>
      <c r="AC912" s="25"/>
      <c r="AD912" s="25"/>
      <c r="AE912" s="25"/>
      <c r="AF912" s="25"/>
      <c r="AG912" s="9"/>
      <c r="AH912" s="29"/>
      <c r="AI912" s="29"/>
      <c r="AM912" s="50"/>
      <c r="AN912" s="51" t="s">
        <v>4708</v>
      </c>
      <c r="AO912" s="55" t="s">
        <v>1815</v>
      </c>
    </row>
    <row r="913" spans="1:41" ht="45.6" customHeight="1" x14ac:dyDescent="0.3">
      <c r="A913" s="20">
        <v>909</v>
      </c>
      <c r="B913" s="8" t="s">
        <v>4709</v>
      </c>
      <c r="C913" s="26">
        <v>2024</v>
      </c>
      <c r="D913" s="8"/>
      <c r="E913" s="8" t="s">
        <v>1818</v>
      </c>
      <c r="F913" s="20" t="s">
        <v>1980</v>
      </c>
      <c r="G913" s="21" t="s">
        <v>1968</v>
      </c>
      <c r="H913" s="21" t="s">
        <v>1968</v>
      </c>
      <c r="I913" s="21" t="s">
        <v>1979</v>
      </c>
      <c r="J913" s="21" t="s">
        <v>1968</v>
      </c>
      <c r="K913" s="21" t="s">
        <v>1968</v>
      </c>
      <c r="L913" s="22" t="str">
        <f t="shared" si="70"/>
        <v>EXCLUDE</v>
      </c>
      <c r="M913" s="22" t="str">
        <f t="shared" si="71"/>
        <v>No Design for Safety / PtD focus</v>
      </c>
      <c r="N913" s="23"/>
      <c r="O913" s="23"/>
      <c r="P913" s="24"/>
      <c r="Q913" s="24"/>
      <c r="R913" s="24"/>
      <c r="S913" s="22" t="str">
        <f t="shared" si="72"/>
        <v/>
      </c>
      <c r="T913" s="22" t="str">
        <f t="shared" si="73"/>
        <v/>
      </c>
      <c r="U913" s="25"/>
      <c r="V913" s="25"/>
      <c r="W913" s="25"/>
      <c r="X913" s="25"/>
      <c r="Y913" s="22" t="str">
        <f t="shared" si="74"/>
        <v/>
      </c>
      <c r="Z913" s="25"/>
      <c r="AA913" s="25"/>
      <c r="AB913" s="25"/>
      <c r="AC913" s="25"/>
      <c r="AD913" s="25"/>
      <c r="AE913" s="25"/>
      <c r="AF913" s="25"/>
      <c r="AG913" s="9"/>
      <c r="AH913" s="29"/>
      <c r="AI913" s="29"/>
      <c r="AM913" s="50"/>
      <c r="AN913" s="51" t="s">
        <v>4710</v>
      </c>
      <c r="AO913" s="55" t="s">
        <v>1817</v>
      </c>
    </row>
    <row r="914" spans="1:41" ht="45.6" customHeight="1" x14ac:dyDescent="0.3">
      <c r="A914" s="20">
        <v>910</v>
      </c>
      <c r="B914" s="8" t="s">
        <v>4711</v>
      </c>
      <c r="C914" s="26">
        <v>2023</v>
      </c>
      <c r="D914" s="8"/>
      <c r="E914" s="8" t="s">
        <v>1820</v>
      </c>
      <c r="F914" s="20" t="s">
        <v>1980</v>
      </c>
      <c r="G914" s="21" t="s">
        <v>1968</v>
      </c>
      <c r="H914" s="21" t="s">
        <v>1968</v>
      </c>
      <c r="I914" s="21" t="s">
        <v>1979</v>
      </c>
      <c r="J914" s="21" t="s">
        <v>1968</v>
      </c>
      <c r="K914" s="21" t="s">
        <v>1968</v>
      </c>
      <c r="L914" s="22" t="str">
        <f t="shared" si="70"/>
        <v>EXCLUDE</v>
      </c>
      <c r="M914" s="22" t="str">
        <f t="shared" si="71"/>
        <v>No Design for Safety / PtD focus</v>
      </c>
      <c r="N914" s="23"/>
      <c r="O914" s="23"/>
      <c r="P914" s="24"/>
      <c r="Q914" s="24"/>
      <c r="R914" s="24"/>
      <c r="S914" s="22" t="str">
        <f t="shared" si="72"/>
        <v/>
      </c>
      <c r="T914" s="22" t="str">
        <f t="shared" si="73"/>
        <v/>
      </c>
      <c r="U914" s="25"/>
      <c r="V914" s="25"/>
      <c r="W914" s="25"/>
      <c r="X914" s="25"/>
      <c r="Y914" s="22" t="str">
        <f t="shared" si="74"/>
        <v/>
      </c>
      <c r="Z914" s="25"/>
      <c r="AA914" s="25"/>
      <c r="AB914" s="25"/>
      <c r="AC914" s="25"/>
      <c r="AD914" s="25"/>
      <c r="AE914" s="25"/>
      <c r="AF914" s="25"/>
      <c r="AG914" s="9"/>
      <c r="AH914" s="29"/>
      <c r="AI914" s="29"/>
      <c r="AM914" s="50"/>
      <c r="AN914" s="51" t="s">
        <v>4712</v>
      </c>
      <c r="AO914" s="55" t="s">
        <v>1819</v>
      </c>
    </row>
    <row r="915" spans="1:41" ht="43.2" customHeight="1" x14ac:dyDescent="0.3">
      <c r="A915" s="20">
        <v>911</v>
      </c>
      <c r="B915" s="8" t="s">
        <v>4713</v>
      </c>
      <c r="C915" s="26">
        <v>2025</v>
      </c>
      <c r="D915" s="8"/>
      <c r="E915" s="8" t="s">
        <v>1822</v>
      </c>
      <c r="F915" s="20" t="s">
        <v>1980</v>
      </c>
      <c r="G915" s="21" t="s">
        <v>1968</v>
      </c>
      <c r="H915" s="21" t="s">
        <v>1968</v>
      </c>
      <c r="I915" s="21" t="s">
        <v>1979</v>
      </c>
      <c r="J915" s="21" t="s">
        <v>1968</v>
      </c>
      <c r="K915" s="21" t="s">
        <v>1968</v>
      </c>
      <c r="L915" s="22" t="str">
        <f t="shared" si="70"/>
        <v>EXCLUDE</v>
      </c>
      <c r="M915" s="22" t="str">
        <f t="shared" si="71"/>
        <v>No Design for Safety / PtD focus</v>
      </c>
      <c r="N915" s="23"/>
      <c r="O915" s="23"/>
      <c r="P915" s="24"/>
      <c r="Q915" s="24"/>
      <c r="R915" s="24"/>
      <c r="S915" s="22" t="str">
        <f t="shared" si="72"/>
        <v/>
      </c>
      <c r="T915" s="22" t="str">
        <f t="shared" si="73"/>
        <v/>
      </c>
      <c r="U915" s="25"/>
      <c r="V915" s="25"/>
      <c r="W915" s="25"/>
      <c r="X915" s="25"/>
      <c r="Y915" s="22" t="str">
        <f t="shared" si="74"/>
        <v/>
      </c>
      <c r="Z915" s="25"/>
      <c r="AA915" s="25"/>
      <c r="AB915" s="25"/>
      <c r="AC915" s="25"/>
      <c r="AD915" s="25"/>
      <c r="AE915" s="25"/>
      <c r="AF915" s="25"/>
      <c r="AG915" s="9"/>
      <c r="AH915" s="29"/>
      <c r="AI915" s="29"/>
      <c r="AM915" s="50"/>
      <c r="AN915" s="51" t="s">
        <v>4714</v>
      </c>
      <c r="AO915" s="55" t="s">
        <v>1821</v>
      </c>
    </row>
    <row r="916" spans="1:41" ht="57" customHeight="1" x14ac:dyDescent="0.3">
      <c r="A916" s="20">
        <v>912</v>
      </c>
      <c r="B916" s="8" t="s">
        <v>4715</v>
      </c>
      <c r="C916" s="26">
        <v>2026</v>
      </c>
      <c r="D916" s="8"/>
      <c r="E916" s="8" t="s">
        <v>1824</v>
      </c>
      <c r="F916" s="20" t="s">
        <v>1980</v>
      </c>
      <c r="G916" s="21" t="s">
        <v>1968</v>
      </c>
      <c r="H916" s="21" t="s">
        <v>1979</v>
      </c>
      <c r="I916" s="21" t="s">
        <v>1968</v>
      </c>
      <c r="J916" s="21" t="s">
        <v>1968</v>
      </c>
      <c r="K916" s="21" t="s">
        <v>1968</v>
      </c>
      <c r="L916" s="22" t="str">
        <f t="shared" si="70"/>
        <v>EXCLUDE</v>
      </c>
      <c r="M916" s="22" t="str">
        <f t="shared" si="71"/>
        <v>Digital Twin not core / buzzword</v>
      </c>
      <c r="N916" s="23"/>
      <c r="O916" s="23"/>
      <c r="P916" s="24"/>
      <c r="Q916" s="24"/>
      <c r="R916" s="24"/>
      <c r="S916" s="22" t="str">
        <f t="shared" si="72"/>
        <v/>
      </c>
      <c r="T916" s="22" t="str">
        <f t="shared" si="73"/>
        <v/>
      </c>
      <c r="U916" s="25"/>
      <c r="V916" s="25"/>
      <c r="W916" s="25"/>
      <c r="X916" s="25"/>
      <c r="Y916" s="22" t="str">
        <f t="shared" si="74"/>
        <v/>
      </c>
      <c r="Z916" s="25"/>
      <c r="AA916" s="25"/>
      <c r="AB916" s="25"/>
      <c r="AC916" s="25"/>
      <c r="AD916" s="25"/>
      <c r="AE916" s="25"/>
      <c r="AF916" s="25"/>
      <c r="AG916" s="9"/>
      <c r="AH916" s="29"/>
      <c r="AI916" s="29"/>
      <c r="AM916" s="50"/>
      <c r="AN916" s="51" t="s">
        <v>4716</v>
      </c>
      <c r="AO916" s="55" t="s">
        <v>1823</v>
      </c>
    </row>
    <row r="917" spans="1:41" ht="79.8" customHeight="1" x14ac:dyDescent="0.3">
      <c r="A917" s="20">
        <v>913</v>
      </c>
      <c r="B917" s="8" t="s">
        <v>4717</v>
      </c>
      <c r="C917" s="26">
        <v>2024</v>
      </c>
      <c r="D917" s="8"/>
      <c r="E917" s="8" t="s">
        <v>1826</v>
      </c>
      <c r="F917" s="20" t="s">
        <v>1980</v>
      </c>
      <c r="G917" s="21" t="s">
        <v>1968</v>
      </c>
      <c r="H917" s="21" t="s">
        <v>1979</v>
      </c>
      <c r="I917" s="21" t="s">
        <v>1968</v>
      </c>
      <c r="J917" s="21" t="s">
        <v>1968</v>
      </c>
      <c r="K917" s="21" t="s">
        <v>1968</v>
      </c>
      <c r="L917" s="22" t="str">
        <f t="shared" si="70"/>
        <v>EXCLUDE</v>
      </c>
      <c r="M917" s="22" t="str">
        <f t="shared" si="71"/>
        <v>Digital Twin not core / buzzword</v>
      </c>
      <c r="N917" s="23"/>
      <c r="O917" s="23"/>
      <c r="P917" s="24"/>
      <c r="Q917" s="24"/>
      <c r="R917" s="24"/>
      <c r="S917" s="22" t="str">
        <f t="shared" si="72"/>
        <v/>
      </c>
      <c r="T917" s="22" t="str">
        <f t="shared" si="73"/>
        <v/>
      </c>
      <c r="U917" s="25"/>
      <c r="V917" s="25"/>
      <c r="W917" s="25"/>
      <c r="X917" s="25"/>
      <c r="Y917" s="22" t="str">
        <f t="shared" si="74"/>
        <v/>
      </c>
      <c r="Z917" s="25"/>
      <c r="AA917" s="25"/>
      <c r="AB917" s="25"/>
      <c r="AC917" s="25"/>
      <c r="AD917" s="25"/>
      <c r="AE917" s="25"/>
      <c r="AF917" s="25"/>
      <c r="AG917" s="9"/>
      <c r="AH917" s="29"/>
      <c r="AI917" s="29"/>
      <c r="AM917" s="50"/>
      <c r="AN917" s="51" t="s">
        <v>4718</v>
      </c>
      <c r="AO917" s="55" t="s">
        <v>1825</v>
      </c>
    </row>
    <row r="918" spans="1:41" ht="91.2" customHeight="1" x14ac:dyDescent="0.3">
      <c r="A918" s="20">
        <v>914</v>
      </c>
      <c r="B918" s="8" t="s">
        <v>4719</v>
      </c>
      <c r="C918" s="26">
        <v>2025</v>
      </c>
      <c r="D918" s="8"/>
      <c r="E918" s="8" t="s">
        <v>1828</v>
      </c>
      <c r="F918" s="20" t="s">
        <v>1980</v>
      </c>
      <c r="G918" s="21" t="s">
        <v>1968</v>
      </c>
      <c r="H918" s="21" t="s">
        <v>1968</v>
      </c>
      <c r="I918" s="21" t="s">
        <v>1968</v>
      </c>
      <c r="J918" s="21" t="s">
        <v>1968</v>
      </c>
      <c r="K918" s="21" t="s">
        <v>1968</v>
      </c>
      <c r="L918" s="22" t="str">
        <f t="shared" si="70"/>
        <v>INCLUDE</v>
      </c>
      <c r="M918" s="22" t="str">
        <f t="shared" si="71"/>
        <v/>
      </c>
      <c r="N918" s="23" t="s">
        <v>1968</v>
      </c>
      <c r="O918" s="23" t="s">
        <v>1968</v>
      </c>
      <c r="P918" s="24" t="s">
        <v>1968</v>
      </c>
      <c r="Q918" s="24" t="s">
        <v>1968</v>
      </c>
      <c r="R918" s="24" t="s">
        <v>1968</v>
      </c>
      <c r="S918" s="22" t="str">
        <f t="shared" si="72"/>
        <v>INCLUDE</v>
      </c>
      <c r="T918" s="22" t="str">
        <f t="shared" si="73"/>
        <v/>
      </c>
      <c r="U918" s="25" t="s">
        <v>1982</v>
      </c>
      <c r="V918" s="25">
        <v>0</v>
      </c>
      <c r="W918" s="25">
        <v>1</v>
      </c>
      <c r="X918" s="25">
        <v>0</v>
      </c>
      <c r="Y918" s="22" t="str">
        <f t="shared" si="74"/>
        <v>Single</v>
      </c>
      <c r="Z918" s="25" t="s">
        <v>1922</v>
      </c>
      <c r="AA918" s="25" t="s">
        <v>1972</v>
      </c>
      <c r="AB918" s="25" t="s">
        <v>2018</v>
      </c>
      <c r="AC918" s="25" t="s">
        <v>1986</v>
      </c>
      <c r="AD918" s="25" t="s">
        <v>2003</v>
      </c>
      <c r="AE918" s="25">
        <v>3</v>
      </c>
      <c r="AF918" s="25" t="s">
        <v>2010</v>
      </c>
      <c r="AG918" s="9" t="s">
        <v>4720</v>
      </c>
      <c r="AH918" s="29" t="s">
        <v>4721</v>
      </c>
      <c r="AI918" s="29" t="s">
        <v>4722</v>
      </c>
      <c r="AJ918" t="s">
        <v>2007</v>
      </c>
      <c r="AK918" t="s">
        <v>4723</v>
      </c>
      <c r="AL918" t="s">
        <v>1978</v>
      </c>
      <c r="AM918" s="50" t="s">
        <v>2098</v>
      </c>
      <c r="AN918" s="51" t="s">
        <v>4724</v>
      </c>
      <c r="AO918" s="55" t="s">
        <v>1827</v>
      </c>
    </row>
    <row r="919" spans="1:41" ht="57" customHeight="1" x14ac:dyDescent="0.3">
      <c r="A919" s="20">
        <v>915</v>
      </c>
      <c r="B919" s="8" t="s">
        <v>4725</v>
      </c>
      <c r="C919" s="26">
        <v>2021</v>
      </c>
      <c r="D919" s="8"/>
      <c r="E919" s="8" t="s">
        <v>1830</v>
      </c>
      <c r="F919" s="20" t="s">
        <v>1980</v>
      </c>
      <c r="G919" s="21" t="s">
        <v>1968</v>
      </c>
      <c r="H919" s="21" t="s">
        <v>1968</v>
      </c>
      <c r="I919" s="21" t="s">
        <v>1979</v>
      </c>
      <c r="J919" s="21" t="s">
        <v>1968</v>
      </c>
      <c r="K919" s="21" t="s">
        <v>1968</v>
      </c>
      <c r="L919" s="22" t="str">
        <f t="shared" si="70"/>
        <v>EXCLUDE</v>
      </c>
      <c r="M919" s="22" t="str">
        <f t="shared" si="71"/>
        <v>No Design for Safety / PtD focus</v>
      </c>
      <c r="N919" s="23"/>
      <c r="O919" s="23"/>
      <c r="P919" s="24"/>
      <c r="Q919" s="24"/>
      <c r="R919" s="24"/>
      <c r="S919" s="22" t="str">
        <f t="shared" si="72"/>
        <v/>
      </c>
      <c r="T919" s="22" t="str">
        <f t="shared" si="73"/>
        <v/>
      </c>
      <c r="U919" s="25"/>
      <c r="V919" s="25"/>
      <c r="W919" s="25"/>
      <c r="X919" s="25"/>
      <c r="Y919" s="22" t="str">
        <f t="shared" si="74"/>
        <v/>
      </c>
      <c r="Z919" s="25"/>
      <c r="AA919" s="25"/>
      <c r="AB919" s="25"/>
      <c r="AC919" s="25"/>
      <c r="AD919" s="25"/>
      <c r="AE919" s="25"/>
      <c r="AF919" s="25"/>
      <c r="AG919" s="9"/>
      <c r="AH919" s="29"/>
      <c r="AI919" s="29"/>
      <c r="AM919" s="50"/>
      <c r="AN919" s="51" t="s">
        <v>4726</v>
      </c>
      <c r="AO919" s="55" t="s">
        <v>1829</v>
      </c>
    </row>
    <row r="920" spans="1:41" ht="45.6" customHeight="1" x14ac:dyDescent="0.3">
      <c r="A920" s="20">
        <v>916</v>
      </c>
      <c r="B920" s="8" t="s">
        <v>4727</v>
      </c>
      <c r="C920" s="26">
        <v>2024</v>
      </c>
      <c r="D920" s="8"/>
      <c r="E920" s="8" t="s">
        <v>1832</v>
      </c>
      <c r="F920" s="20" t="s">
        <v>1980</v>
      </c>
      <c r="G920" s="21" t="s">
        <v>1979</v>
      </c>
      <c r="H920" s="21" t="s">
        <v>1968</v>
      </c>
      <c r="I920" s="21" t="s">
        <v>1968</v>
      </c>
      <c r="J920" s="21" t="s">
        <v>1968</v>
      </c>
      <c r="K920" s="21" t="s">
        <v>1968</v>
      </c>
      <c r="L920" s="22" t="str">
        <f t="shared" si="70"/>
        <v>EXCLUDE</v>
      </c>
      <c r="M920" s="22" t="str">
        <f t="shared" si="71"/>
        <v>Wrong domain (non-AECO)</v>
      </c>
      <c r="N920" s="23"/>
      <c r="O920" s="23"/>
      <c r="P920" s="24"/>
      <c r="Q920" s="24"/>
      <c r="R920" s="24"/>
      <c r="S920" s="22" t="str">
        <f t="shared" si="72"/>
        <v/>
      </c>
      <c r="T920" s="22" t="str">
        <f t="shared" si="73"/>
        <v/>
      </c>
      <c r="U920" s="25"/>
      <c r="V920" s="25"/>
      <c r="W920" s="25"/>
      <c r="X920" s="25"/>
      <c r="Y920" s="22" t="str">
        <f t="shared" si="74"/>
        <v/>
      </c>
      <c r="Z920" s="25"/>
      <c r="AA920" s="25"/>
      <c r="AB920" s="25"/>
      <c r="AC920" s="25"/>
      <c r="AD920" s="25"/>
      <c r="AE920" s="25"/>
      <c r="AF920" s="25"/>
      <c r="AG920" s="9"/>
      <c r="AH920" s="29"/>
      <c r="AI920" s="29"/>
      <c r="AM920" s="50"/>
      <c r="AN920" s="51" t="s">
        <v>4728</v>
      </c>
      <c r="AO920" s="55" t="s">
        <v>1831</v>
      </c>
    </row>
    <row r="921" spans="1:41" ht="57" customHeight="1" x14ac:dyDescent="0.3">
      <c r="A921" s="20">
        <v>917</v>
      </c>
      <c r="B921" s="8" t="s">
        <v>4729</v>
      </c>
      <c r="C921" s="26">
        <v>2025</v>
      </c>
      <c r="D921" s="8"/>
      <c r="E921" s="8" t="s">
        <v>1834</v>
      </c>
      <c r="F921" s="20" t="s">
        <v>1980</v>
      </c>
      <c r="G921" s="21" t="s">
        <v>1968</v>
      </c>
      <c r="H921" s="21" t="s">
        <v>1979</v>
      </c>
      <c r="I921" s="21" t="s">
        <v>1968</v>
      </c>
      <c r="J921" s="21" t="s">
        <v>1968</v>
      </c>
      <c r="K921" s="21" t="s">
        <v>1968</v>
      </c>
      <c r="L921" s="22" t="str">
        <f t="shared" si="70"/>
        <v>EXCLUDE</v>
      </c>
      <c r="M921" s="22" t="str">
        <f t="shared" si="71"/>
        <v>Digital Twin not core / buzzword</v>
      </c>
      <c r="N921" s="23"/>
      <c r="O921" s="23"/>
      <c r="P921" s="24"/>
      <c r="Q921" s="24"/>
      <c r="R921" s="24"/>
      <c r="S921" s="22" t="str">
        <f t="shared" si="72"/>
        <v/>
      </c>
      <c r="T921" s="22" t="str">
        <f t="shared" si="73"/>
        <v/>
      </c>
      <c r="U921" s="25"/>
      <c r="V921" s="25"/>
      <c r="W921" s="25"/>
      <c r="X921" s="25"/>
      <c r="Y921" s="22" t="str">
        <f t="shared" si="74"/>
        <v/>
      </c>
      <c r="Z921" s="25"/>
      <c r="AA921" s="25"/>
      <c r="AB921" s="25"/>
      <c r="AC921" s="25"/>
      <c r="AD921" s="25"/>
      <c r="AE921" s="25"/>
      <c r="AF921" s="25"/>
      <c r="AG921" s="9"/>
      <c r="AH921" s="29"/>
      <c r="AI921" s="29"/>
      <c r="AM921" s="50"/>
      <c r="AN921" s="51" t="s">
        <v>4730</v>
      </c>
      <c r="AO921" s="55" t="s">
        <v>1833</v>
      </c>
    </row>
    <row r="922" spans="1:41" ht="79.8" customHeight="1" x14ac:dyDescent="0.3">
      <c r="A922" s="20">
        <v>918</v>
      </c>
      <c r="B922" s="8" t="s">
        <v>4731</v>
      </c>
      <c r="C922" s="26">
        <v>2024</v>
      </c>
      <c r="D922" s="8"/>
      <c r="E922" s="8" t="s">
        <v>1836</v>
      </c>
      <c r="F922" s="20" t="s">
        <v>1980</v>
      </c>
      <c r="G922" s="21" t="s">
        <v>1968</v>
      </c>
      <c r="H922" s="21" t="s">
        <v>1968</v>
      </c>
      <c r="I922" s="21" t="s">
        <v>1968</v>
      </c>
      <c r="J922" s="21" t="s">
        <v>1968</v>
      </c>
      <c r="K922" s="21" t="s">
        <v>1968</v>
      </c>
      <c r="L922" s="22" t="str">
        <f t="shared" si="70"/>
        <v>INCLUDE</v>
      </c>
      <c r="M922" s="22" t="str">
        <f t="shared" si="71"/>
        <v/>
      </c>
      <c r="N922" s="23" t="s">
        <v>1968</v>
      </c>
      <c r="O922" s="23" t="s">
        <v>1968</v>
      </c>
      <c r="P922" s="24" t="s">
        <v>1968</v>
      </c>
      <c r="Q922" s="24" t="s">
        <v>1968</v>
      </c>
      <c r="R922" s="24" t="s">
        <v>1968</v>
      </c>
      <c r="S922" s="22" t="str">
        <f t="shared" si="72"/>
        <v>INCLUDE</v>
      </c>
      <c r="T922" s="22" t="str">
        <f t="shared" si="73"/>
        <v/>
      </c>
      <c r="U922" s="25" t="s">
        <v>1982</v>
      </c>
      <c r="V922" s="25">
        <v>0</v>
      </c>
      <c r="W922" s="25">
        <v>0</v>
      </c>
      <c r="X922" s="25">
        <v>1</v>
      </c>
      <c r="Y922" s="22" t="str">
        <f t="shared" si="74"/>
        <v>Single</v>
      </c>
      <c r="Z922" s="25" t="s">
        <v>1922</v>
      </c>
      <c r="AA922" s="25" t="s">
        <v>1972</v>
      </c>
      <c r="AB922" s="25" t="s">
        <v>2002</v>
      </c>
      <c r="AC922" s="25" t="s">
        <v>1986</v>
      </c>
      <c r="AD922" s="25" t="s">
        <v>1987</v>
      </c>
      <c r="AE922" s="25">
        <v>3</v>
      </c>
      <c r="AF922" s="25" t="s">
        <v>2004</v>
      </c>
      <c r="AG922" s="9" t="s">
        <v>4732</v>
      </c>
      <c r="AH922" s="29" t="s">
        <v>4733</v>
      </c>
      <c r="AI922" s="29" t="s">
        <v>4734</v>
      </c>
      <c r="AJ922" t="s">
        <v>2005</v>
      </c>
      <c r="AK922" t="s">
        <v>4735</v>
      </c>
      <c r="AL922" t="s">
        <v>1990</v>
      </c>
      <c r="AM922" s="50"/>
      <c r="AN922" s="51" t="s">
        <v>4736</v>
      </c>
      <c r="AO922" s="55" t="s">
        <v>1835</v>
      </c>
    </row>
    <row r="923" spans="1:41" ht="114" customHeight="1" x14ac:dyDescent="0.3">
      <c r="A923" s="20">
        <v>919</v>
      </c>
      <c r="B923" s="8" t="s">
        <v>4737</v>
      </c>
      <c r="C923" s="26">
        <v>2021</v>
      </c>
      <c r="D923" s="8"/>
      <c r="E923" s="8" t="s">
        <v>1838</v>
      </c>
      <c r="F923" s="20" t="s">
        <v>1980</v>
      </c>
      <c r="G923" s="21" t="s">
        <v>1968</v>
      </c>
      <c r="H923" s="21" t="s">
        <v>1968</v>
      </c>
      <c r="I923" s="21" t="s">
        <v>1968</v>
      </c>
      <c r="J923" s="21" t="s">
        <v>1968</v>
      </c>
      <c r="K923" s="21" t="s">
        <v>1968</v>
      </c>
      <c r="L923" s="22" t="str">
        <f t="shared" si="70"/>
        <v>INCLUDE</v>
      </c>
      <c r="M923" s="22" t="str">
        <f t="shared" si="71"/>
        <v/>
      </c>
      <c r="N923" s="23" t="s">
        <v>1968</v>
      </c>
      <c r="O923" s="23" t="s">
        <v>1968</v>
      </c>
      <c r="P923" s="24" t="s">
        <v>1968</v>
      </c>
      <c r="Q923" s="24" t="s">
        <v>1968</v>
      </c>
      <c r="R923" s="24" t="s">
        <v>1968</v>
      </c>
      <c r="S923" s="22" t="str">
        <f t="shared" si="72"/>
        <v>INCLUDE</v>
      </c>
      <c r="T923" s="22" t="str">
        <f t="shared" si="73"/>
        <v/>
      </c>
      <c r="U923" s="25" t="s">
        <v>1992</v>
      </c>
      <c r="V923" s="25">
        <v>0</v>
      </c>
      <c r="W923" s="25">
        <v>1</v>
      </c>
      <c r="X923" s="25">
        <v>0</v>
      </c>
      <c r="Y923" s="22" t="str">
        <f t="shared" si="74"/>
        <v>Single</v>
      </c>
      <c r="Z923" s="25" t="s">
        <v>1922</v>
      </c>
      <c r="AA923" s="25" t="s">
        <v>1972</v>
      </c>
      <c r="AB923" s="25" t="s">
        <v>2018</v>
      </c>
      <c r="AC923" s="25" t="s">
        <v>1986</v>
      </c>
      <c r="AD923" s="25" t="s">
        <v>2003</v>
      </c>
      <c r="AE923" s="25">
        <v>4</v>
      </c>
      <c r="AF923" s="25" t="s">
        <v>2004</v>
      </c>
      <c r="AG923" s="9" t="s">
        <v>4738</v>
      </c>
      <c r="AH923" s="29" t="s">
        <v>4739</v>
      </c>
      <c r="AI923" s="29" t="s">
        <v>4740</v>
      </c>
      <c r="AJ923" t="s">
        <v>1997</v>
      </c>
      <c r="AK923" t="s">
        <v>4741</v>
      </c>
      <c r="AL923" t="s">
        <v>1978</v>
      </c>
      <c r="AM923" s="50"/>
      <c r="AN923" s="51" t="s">
        <v>4742</v>
      </c>
      <c r="AO923" s="55" t="s">
        <v>1837</v>
      </c>
    </row>
    <row r="924" spans="1:41" ht="45.6" customHeight="1" x14ac:dyDescent="0.3">
      <c r="A924" s="20">
        <v>920</v>
      </c>
      <c r="B924" s="8" t="s">
        <v>4743</v>
      </c>
      <c r="C924" s="26">
        <v>2025</v>
      </c>
      <c r="D924" s="8"/>
      <c r="E924" s="8" t="s">
        <v>1840</v>
      </c>
      <c r="F924" s="20" t="s">
        <v>1980</v>
      </c>
      <c r="G924" s="21" t="s">
        <v>1968</v>
      </c>
      <c r="H924" s="21" t="s">
        <v>1979</v>
      </c>
      <c r="I924" s="21" t="s">
        <v>1968</v>
      </c>
      <c r="J924" s="21" t="s">
        <v>1968</v>
      </c>
      <c r="K924" s="21" t="s">
        <v>1968</v>
      </c>
      <c r="L924" s="22" t="str">
        <f t="shared" si="70"/>
        <v>EXCLUDE</v>
      </c>
      <c r="M924" s="22" t="str">
        <f t="shared" si="71"/>
        <v>Digital Twin not core / buzzword</v>
      </c>
      <c r="N924" s="23"/>
      <c r="O924" s="23"/>
      <c r="P924" s="24"/>
      <c r="Q924" s="24"/>
      <c r="R924" s="24"/>
      <c r="S924" s="22" t="str">
        <f t="shared" si="72"/>
        <v/>
      </c>
      <c r="T924" s="22" t="str">
        <f t="shared" si="73"/>
        <v/>
      </c>
      <c r="U924" s="25"/>
      <c r="V924" s="25"/>
      <c r="W924" s="25"/>
      <c r="X924" s="25"/>
      <c r="Y924" s="22" t="str">
        <f t="shared" si="74"/>
        <v/>
      </c>
      <c r="Z924" s="25"/>
      <c r="AA924" s="25"/>
      <c r="AB924" s="25"/>
      <c r="AC924" s="25"/>
      <c r="AD924" s="25"/>
      <c r="AE924" s="25"/>
      <c r="AF924" s="25"/>
      <c r="AG924" s="9"/>
      <c r="AH924" s="29"/>
      <c r="AI924" s="29"/>
      <c r="AM924" s="50"/>
      <c r="AN924" s="51" t="s">
        <v>4744</v>
      </c>
      <c r="AO924" s="55" t="s">
        <v>1839</v>
      </c>
    </row>
    <row r="925" spans="1:41" ht="45.6" customHeight="1" x14ac:dyDescent="0.3">
      <c r="A925" s="20">
        <v>921</v>
      </c>
      <c r="B925" s="8" t="s">
        <v>4745</v>
      </c>
      <c r="C925" s="26">
        <v>2026</v>
      </c>
      <c r="D925" s="8"/>
      <c r="E925" s="8" t="s">
        <v>1842</v>
      </c>
      <c r="F925" s="20" t="s">
        <v>1980</v>
      </c>
      <c r="G925" s="21" t="s">
        <v>1968</v>
      </c>
      <c r="H925" s="21" t="s">
        <v>1979</v>
      </c>
      <c r="I925" s="21" t="s">
        <v>1968</v>
      </c>
      <c r="J925" s="21" t="s">
        <v>1968</v>
      </c>
      <c r="K925" s="21" t="s">
        <v>1968</v>
      </c>
      <c r="L925" s="22" t="str">
        <f t="shared" si="70"/>
        <v>EXCLUDE</v>
      </c>
      <c r="M925" s="22" t="str">
        <f t="shared" si="71"/>
        <v>Digital Twin not core / buzzword</v>
      </c>
      <c r="N925" s="23"/>
      <c r="O925" s="23"/>
      <c r="P925" s="24"/>
      <c r="Q925" s="24"/>
      <c r="R925" s="24"/>
      <c r="S925" s="22" t="str">
        <f t="shared" si="72"/>
        <v/>
      </c>
      <c r="T925" s="22" t="str">
        <f t="shared" si="73"/>
        <v/>
      </c>
      <c r="U925" s="25"/>
      <c r="V925" s="25"/>
      <c r="W925" s="25"/>
      <c r="X925" s="25"/>
      <c r="Y925" s="22" t="str">
        <f t="shared" si="74"/>
        <v/>
      </c>
      <c r="Z925" s="25"/>
      <c r="AA925" s="25"/>
      <c r="AB925" s="25"/>
      <c r="AC925" s="25"/>
      <c r="AD925" s="25"/>
      <c r="AE925" s="25"/>
      <c r="AF925" s="25"/>
      <c r="AG925" s="9"/>
      <c r="AH925" s="29"/>
      <c r="AI925" s="29"/>
      <c r="AM925" s="50"/>
      <c r="AN925" s="51" t="s">
        <v>4746</v>
      </c>
      <c r="AO925" s="55" t="s">
        <v>1841</v>
      </c>
    </row>
    <row r="926" spans="1:41" ht="57" customHeight="1" x14ac:dyDescent="0.3">
      <c r="A926" s="20">
        <v>922</v>
      </c>
      <c r="B926" s="8" t="s">
        <v>4747</v>
      </c>
      <c r="C926" s="26">
        <v>2026</v>
      </c>
      <c r="D926" s="8"/>
      <c r="E926" s="8" t="s">
        <v>1844</v>
      </c>
      <c r="F926" s="20" t="s">
        <v>1980</v>
      </c>
      <c r="G926" s="21" t="s">
        <v>1968</v>
      </c>
      <c r="H926" s="21" t="s">
        <v>1979</v>
      </c>
      <c r="I926" s="21" t="s">
        <v>1968</v>
      </c>
      <c r="J926" s="21" t="s">
        <v>1968</v>
      </c>
      <c r="K926" s="21" t="s">
        <v>1968</v>
      </c>
      <c r="L926" s="22" t="str">
        <f t="shared" si="70"/>
        <v>EXCLUDE</v>
      </c>
      <c r="M926" s="22" t="str">
        <f t="shared" si="71"/>
        <v>Digital Twin not core / buzzword</v>
      </c>
      <c r="N926" s="23"/>
      <c r="O926" s="23"/>
      <c r="P926" s="24"/>
      <c r="Q926" s="24"/>
      <c r="R926" s="24"/>
      <c r="S926" s="22" t="str">
        <f t="shared" si="72"/>
        <v/>
      </c>
      <c r="T926" s="22" t="str">
        <f t="shared" si="73"/>
        <v/>
      </c>
      <c r="U926" s="25"/>
      <c r="V926" s="25"/>
      <c r="W926" s="25"/>
      <c r="X926" s="25"/>
      <c r="Y926" s="22" t="str">
        <f t="shared" si="74"/>
        <v/>
      </c>
      <c r="Z926" s="25"/>
      <c r="AA926" s="25"/>
      <c r="AB926" s="25"/>
      <c r="AC926" s="25"/>
      <c r="AD926" s="25"/>
      <c r="AE926" s="25"/>
      <c r="AF926" s="25"/>
      <c r="AG926" s="9"/>
      <c r="AH926" s="29"/>
      <c r="AI926" s="29"/>
      <c r="AM926" s="50"/>
      <c r="AN926" s="51" t="s">
        <v>4748</v>
      </c>
      <c r="AO926" s="55" t="s">
        <v>1843</v>
      </c>
    </row>
    <row r="927" spans="1:41" ht="79.8" customHeight="1" x14ac:dyDescent="0.3">
      <c r="A927" s="20">
        <v>923</v>
      </c>
      <c r="B927" s="8" t="s">
        <v>4749</v>
      </c>
      <c r="C927" s="26">
        <v>2026</v>
      </c>
      <c r="D927" s="8"/>
      <c r="E927" s="8" t="s">
        <v>1846</v>
      </c>
      <c r="F927" s="20" t="s">
        <v>1980</v>
      </c>
      <c r="G927" s="21" t="s">
        <v>1968</v>
      </c>
      <c r="H927" s="21" t="s">
        <v>1968</v>
      </c>
      <c r="I927" s="21" t="s">
        <v>1979</v>
      </c>
      <c r="J927" s="21" t="s">
        <v>1968</v>
      </c>
      <c r="K927" s="21" t="s">
        <v>1968</v>
      </c>
      <c r="L927" s="22" t="str">
        <f t="shared" si="70"/>
        <v>EXCLUDE</v>
      </c>
      <c r="M927" s="22" t="str">
        <f t="shared" si="71"/>
        <v>No Design for Safety / PtD focus</v>
      </c>
      <c r="N927" s="23"/>
      <c r="O927" s="23"/>
      <c r="P927" s="24"/>
      <c r="Q927" s="24"/>
      <c r="R927" s="24"/>
      <c r="S927" s="22" t="str">
        <f t="shared" si="72"/>
        <v/>
      </c>
      <c r="T927" s="22" t="str">
        <f t="shared" si="73"/>
        <v/>
      </c>
      <c r="U927" s="25"/>
      <c r="V927" s="25"/>
      <c r="W927" s="25"/>
      <c r="X927" s="25"/>
      <c r="Y927" s="22" t="str">
        <f t="shared" si="74"/>
        <v/>
      </c>
      <c r="Z927" s="25"/>
      <c r="AA927" s="25"/>
      <c r="AB927" s="25"/>
      <c r="AC927" s="25"/>
      <c r="AD927" s="25"/>
      <c r="AE927" s="25"/>
      <c r="AF927" s="25"/>
      <c r="AG927" s="9"/>
      <c r="AH927" s="29"/>
      <c r="AI927" s="29"/>
      <c r="AM927" s="50"/>
      <c r="AN927" s="51" t="s">
        <v>4750</v>
      </c>
      <c r="AO927" s="55" t="s">
        <v>1845</v>
      </c>
    </row>
    <row r="928" spans="1:41" ht="102.6" customHeight="1" x14ac:dyDescent="0.3">
      <c r="A928" s="20">
        <v>924</v>
      </c>
      <c r="B928" s="8" t="s">
        <v>4751</v>
      </c>
      <c r="C928" s="26">
        <v>2022</v>
      </c>
      <c r="D928" s="8"/>
      <c r="E928" s="8" t="s">
        <v>1848</v>
      </c>
      <c r="F928" s="20" t="s">
        <v>1980</v>
      </c>
      <c r="G928" s="21" t="s">
        <v>1968</v>
      </c>
      <c r="H928" s="21" t="s">
        <v>1968</v>
      </c>
      <c r="I928" s="21" t="s">
        <v>1968</v>
      </c>
      <c r="J928" s="21" t="s">
        <v>1968</v>
      </c>
      <c r="K928" s="21" t="s">
        <v>1968</v>
      </c>
      <c r="L928" s="22" t="str">
        <f t="shared" si="70"/>
        <v>INCLUDE</v>
      </c>
      <c r="M928" s="22" t="str">
        <f t="shared" si="71"/>
        <v/>
      </c>
      <c r="N928" s="23" t="s">
        <v>1968</v>
      </c>
      <c r="O928" s="23" t="s">
        <v>1968</v>
      </c>
      <c r="P928" s="24" t="s">
        <v>1968</v>
      </c>
      <c r="Q928" s="24" t="s">
        <v>1968</v>
      </c>
      <c r="R928" s="24" t="s">
        <v>1968</v>
      </c>
      <c r="S928" s="22" t="str">
        <f t="shared" si="72"/>
        <v>INCLUDE</v>
      </c>
      <c r="T928" s="22" t="str">
        <f t="shared" si="73"/>
        <v/>
      </c>
      <c r="U928" s="25" t="s">
        <v>1982</v>
      </c>
      <c r="V928" s="25">
        <v>0</v>
      </c>
      <c r="W928" s="25">
        <v>0</v>
      </c>
      <c r="X928" s="25">
        <v>1</v>
      </c>
      <c r="Y928" s="22" t="str">
        <f t="shared" si="74"/>
        <v>Single</v>
      </c>
      <c r="Z928" s="25" t="s">
        <v>1922</v>
      </c>
      <c r="AA928" s="25" t="s">
        <v>1972</v>
      </c>
      <c r="AB928" s="25" t="s">
        <v>2018</v>
      </c>
      <c r="AC928" s="25" t="s">
        <v>1986</v>
      </c>
      <c r="AD928" s="25" t="s">
        <v>2003</v>
      </c>
      <c r="AE928" s="25">
        <v>4</v>
      </c>
      <c r="AF928" s="25" t="s">
        <v>2010</v>
      </c>
      <c r="AG928" s="9" t="s">
        <v>4752</v>
      </c>
      <c r="AH928" s="29" t="s">
        <v>4753</v>
      </c>
      <c r="AI928" s="29" t="s">
        <v>4754</v>
      </c>
      <c r="AJ928" t="s">
        <v>2005</v>
      </c>
      <c r="AK928" t="s">
        <v>4755</v>
      </c>
      <c r="AL928" t="s">
        <v>1978</v>
      </c>
      <c r="AM928" s="50"/>
      <c r="AN928" s="51" t="s">
        <v>4756</v>
      </c>
      <c r="AO928" s="55" t="s">
        <v>1847</v>
      </c>
    </row>
    <row r="929" spans="1:41" ht="68.400000000000006" customHeight="1" x14ac:dyDescent="0.3">
      <c r="A929" s="20">
        <v>925</v>
      </c>
      <c r="B929" s="8" t="s">
        <v>4757</v>
      </c>
      <c r="C929" s="26">
        <v>2025</v>
      </c>
      <c r="D929" s="8"/>
      <c r="E929" s="8" t="s">
        <v>1850</v>
      </c>
      <c r="F929" s="20" t="s">
        <v>1980</v>
      </c>
      <c r="G929" s="21" t="s">
        <v>1968</v>
      </c>
      <c r="H929" s="21" t="s">
        <v>1968</v>
      </c>
      <c r="I929" s="21" t="s">
        <v>1968</v>
      </c>
      <c r="J929" s="21" t="s">
        <v>1968</v>
      </c>
      <c r="K929" s="21" t="s">
        <v>1968</v>
      </c>
      <c r="L929" s="22" t="str">
        <f t="shared" si="70"/>
        <v>INCLUDE</v>
      </c>
      <c r="M929" s="22" t="str">
        <f t="shared" si="71"/>
        <v/>
      </c>
      <c r="N929" s="23" t="s">
        <v>1968</v>
      </c>
      <c r="O929" s="23" t="s">
        <v>1968</v>
      </c>
      <c r="P929" s="24" t="s">
        <v>1979</v>
      </c>
      <c r="Q929" s="24" t="s">
        <v>1968</v>
      </c>
      <c r="R929" s="24" t="s">
        <v>1979</v>
      </c>
      <c r="S929" s="22" t="str">
        <f t="shared" si="72"/>
        <v>EXCLUDE</v>
      </c>
      <c r="T929" s="22" t="str">
        <f t="shared" si="73"/>
        <v>Digital Twin mentioned only, not the subject</v>
      </c>
      <c r="U929" s="25"/>
      <c r="V929" s="25"/>
      <c r="W929" s="25"/>
      <c r="X929" s="25"/>
      <c r="Y929" s="22" t="str">
        <f t="shared" si="74"/>
        <v/>
      </c>
      <c r="Z929" s="25"/>
      <c r="AA929" s="25"/>
      <c r="AB929" s="25"/>
      <c r="AC929" s="25"/>
      <c r="AD929" s="25"/>
      <c r="AE929" s="25"/>
      <c r="AF929" s="25"/>
      <c r="AG929" s="9" t="s">
        <v>4758</v>
      </c>
      <c r="AH929" s="29"/>
      <c r="AI929" s="29"/>
      <c r="AM929" s="50"/>
      <c r="AN929" s="51" t="s">
        <v>4759</v>
      </c>
      <c r="AO929" s="55" t="s">
        <v>1849</v>
      </c>
    </row>
    <row r="930" spans="1:41" ht="57" customHeight="1" x14ac:dyDescent="0.3">
      <c r="A930" s="20">
        <v>926</v>
      </c>
      <c r="B930" s="8" t="s">
        <v>4760</v>
      </c>
      <c r="C930" s="26">
        <v>2026</v>
      </c>
      <c r="D930" s="8"/>
      <c r="E930" s="8" t="s">
        <v>1852</v>
      </c>
      <c r="F930" s="20" t="s">
        <v>1980</v>
      </c>
      <c r="G930" s="21" t="s">
        <v>1968</v>
      </c>
      <c r="H930" s="21" t="s">
        <v>1979</v>
      </c>
      <c r="I930" s="21" t="s">
        <v>1968</v>
      </c>
      <c r="J930" s="21" t="s">
        <v>1968</v>
      </c>
      <c r="K930" s="21" t="s">
        <v>1968</v>
      </c>
      <c r="L930" s="22" t="str">
        <f t="shared" si="70"/>
        <v>EXCLUDE</v>
      </c>
      <c r="M930" s="22" t="str">
        <f t="shared" si="71"/>
        <v>Digital Twin not core / buzzword</v>
      </c>
      <c r="N930" s="23"/>
      <c r="O930" s="23"/>
      <c r="P930" s="24"/>
      <c r="Q930" s="24"/>
      <c r="R930" s="24"/>
      <c r="S930" s="22" t="str">
        <f t="shared" si="72"/>
        <v/>
      </c>
      <c r="T930" s="22" t="str">
        <f t="shared" si="73"/>
        <v/>
      </c>
      <c r="U930" s="25"/>
      <c r="V930" s="25"/>
      <c r="W930" s="25"/>
      <c r="X930" s="25"/>
      <c r="Y930" s="22" t="str">
        <f t="shared" si="74"/>
        <v/>
      </c>
      <c r="Z930" s="25"/>
      <c r="AA930" s="25"/>
      <c r="AB930" s="25"/>
      <c r="AC930" s="25"/>
      <c r="AD930" s="25"/>
      <c r="AE930" s="25"/>
      <c r="AF930" s="25"/>
      <c r="AG930" s="9"/>
      <c r="AH930" s="29"/>
      <c r="AI930" s="29"/>
      <c r="AM930" s="50"/>
      <c r="AN930" s="51" t="s">
        <v>4761</v>
      </c>
      <c r="AO930" s="55" t="s">
        <v>1851</v>
      </c>
    </row>
    <row r="931" spans="1:41" ht="114" customHeight="1" x14ac:dyDescent="0.3">
      <c r="A931" s="20">
        <v>927</v>
      </c>
      <c r="B931" s="8" t="s">
        <v>4762</v>
      </c>
      <c r="C931" s="26">
        <v>2026</v>
      </c>
      <c r="D931" s="8"/>
      <c r="E931" s="8" t="s">
        <v>1854</v>
      </c>
      <c r="F931" s="20" t="s">
        <v>1980</v>
      </c>
      <c r="G931" s="21" t="s">
        <v>1968</v>
      </c>
      <c r="H931" s="21" t="s">
        <v>1968</v>
      </c>
      <c r="I931" s="21" t="s">
        <v>1968</v>
      </c>
      <c r="J931" s="21" t="s">
        <v>1968</v>
      </c>
      <c r="K931" s="21" t="s">
        <v>1968</v>
      </c>
      <c r="L931" s="22" t="str">
        <f t="shared" si="70"/>
        <v>INCLUDE</v>
      </c>
      <c r="M931" s="22" t="str">
        <f t="shared" si="71"/>
        <v/>
      </c>
      <c r="N931" s="23" t="s">
        <v>1968</v>
      </c>
      <c r="O931" s="23" t="s">
        <v>1968</v>
      </c>
      <c r="P931" s="24" t="s">
        <v>1968</v>
      </c>
      <c r="Q931" s="24" t="s">
        <v>1979</v>
      </c>
      <c r="R931" s="24" t="s">
        <v>1968</v>
      </c>
      <c r="S931" s="22" t="str">
        <f t="shared" si="72"/>
        <v>EXCLUDE</v>
      </c>
      <c r="T931" s="22" t="str">
        <f t="shared" si="73"/>
        <v>No Design for Safety focus in full text</v>
      </c>
      <c r="U931" s="25"/>
      <c r="V931" s="25"/>
      <c r="W931" s="25"/>
      <c r="X931" s="25"/>
      <c r="Y931" s="22" t="str">
        <f t="shared" si="74"/>
        <v/>
      </c>
      <c r="Z931" s="25"/>
      <c r="AA931" s="25"/>
      <c r="AB931" s="25"/>
      <c r="AC931" s="25"/>
      <c r="AD931" s="25"/>
      <c r="AE931" s="25"/>
      <c r="AF931" s="25"/>
      <c r="AG931" s="9" t="s">
        <v>4763</v>
      </c>
      <c r="AH931" s="29"/>
      <c r="AI931" s="29"/>
      <c r="AM931" s="50"/>
      <c r="AN931" s="51" t="s">
        <v>4764</v>
      </c>
      <c r="AO931" s="55" t="s">
        <v>1853</v>
      </c>
    </row>
    <row r="932" spans="1:41" ht="45.6" customHeight="1" x14ac:dyDescent="0.3">
      <c r="A932" s="20">
        <v>928</v>
      </c>
      <c r="B932" s="8" t="s">
        <v>4765</v>
      </c>
      <c r="C932" s="26">
        <v>2023</v>
      </c>
      <c r="D932" s="8"/>
      <c r="E932" s="8" t="s">
        <v>1856</v>
      </c>
      <c r="F932" s="20" t="s">
        <v>1980</v>
      </c>
      <c r="G932" s="21" t="s">
        <v>1979</v>
      </c>
      <c r="H932" s="21" t="s">
        <v>1968</v>
      </c>
      <c r="I932" s="21" t="s">
        <v>1968</v>
      </c>
      <c r="J932" s="21" t="s">
        <v>1968</v>
      </c>
      <c r="K932" s="21" t="s">
        <v>1968</v>
      </c>
      <c r="L932" s="22" t="str">
        <f t="shared" si="70"/>
        <v>EXCLUDE</v>
      </c>
      <c r="M932" s="22" t="str">
        <f t="shared" si="71"/>
        <v>Wrong domain (non-AECO)</v>
      </c>
      <c r="N932" s="23"/>
      <c r="O932" s="23"/>
      <c r="P932" s="24"/>
      <c r="Q932" s="24"/>
      <c r="R932" s="24"/>
      <c r="S932" s="22" t="str">
        <f t="shared" si="72"/>
        <v/>
      </c>
      <c r="T932" s="22" t="str">
        <f t="shared" si="73"/>
        <v/>
      </c>
      <c r="U932" s="25"/>
      <c r="V932" s="25"/>
      <c r="W932" s="25"/>
      <c r="X932" s="25"/>
      <c r="Y932" s="22" t="str">
        <f t="shared" si="74"/>
        <v/>
      </c>
      <c r="Z932" s="25"/>
      <c r="AA932" s="25"/>
      <c r="AB932" s="25"/>
      <c r="AC932" s="25"/>
      <c r="AD932" s="25"/>
      <c r="AE932" s="25"/>
      <c r="AF932" s="25"/>
      <c r="AG932" s="9"/>
      <c r="AH932" s="29"/>
      <c r="AI932" s="29"/>
      <c r="AM932" s="50"/>
      <c r="AN932" s="51" t="s">
        <v>4766</v>
      </c>
      <c r="AO932" s="55" t="s">
        <v>1855</v>
      </c>
    </row>
    <row r="933" spans="1:41" ht="57" customHeight="1" x14ac:dyDescent="0.3">
      <c r="A933" s="20">
        <v>929</v>
      </c>
      <c r="B933" s="8" t="s">
        <v>4767</v>
      </c>
      <c r="C933" s="26">
        <v>2027</v>
      </c>
      <c r="D933" s="8"/>
      <c r="E933" s="8" t="s">
        <v>1858</v>
      </c>
      <c r="F933" s="20" t="s">
        <v>1980</v>
      </c>
      <c r="G933" s="21" t="s">
        <v>1979</v>
      </c>
      <c r="H933" s="21" t="s">
        <v>1968</v>
      </c>
      <c r="I933" s="21" t="s">
        <v>1968</v>
      </c>
      <c r="J933" s="21" t="s">
        <v>1968</v>
      </c>
      <c r="K933" s="21" t="s">
        <v>1968</v>
      </c>
      <c r="L933" s="22" t="str">
        <f t="shared" si="70"/>
        <v>EXCLUDE</v>
      </c>
      <c r="M933" s="22" t="str">
        <f t="shared" si="71"/>
        <v>Wrong domain (non-AECO)</v>
      </c>
      <c r="N933" s="23"/>
      <c r="O933" s="23"/>
      <c r="P933" s="24"/>
      <c r="Q933" s="24"/>
      <c r="R933" s="24"/>
      <c r="S933" s="22" t="str">
        <f t="shared" si="72"/>
        <v/>
      </c>
      <c r="T933" s="22" t="str">
        <f t="shared" si="73"/>
        <v/>
      </c>
      <c r="U933" s="25"/>
      <c r="V933" s="25"/>
      <c r="W933" s="25"/>
      <c r="X933" s="25"/>
      <c r="Y933" s="22" t="str">
        <f t="shared" si="74"/>
        <v/>
      </c>
      <c r="Z933" s="25"/>
      <c r="AA933" s="25"/>
      <c r="AB933" s="25"/>
      <c r="AC933" s="25"/>
      <c r="AD933" s="25"/>
      <c r="AE933" s="25"/>
      <c r="AF933" s="25"/>
      <c r="AG933" s="9"/>
      <c r="AH933" s="29"/>
      <c r="AI933" s="29"/>
      <c r="AM933" s="50"/>
      <c r="AN933" s="51" t="s">
        <v>4768</v>
      </c>
      <c r="AO933" s="55" t="s">
        <v>1857</v>
      </c>
    </row>
    <row r="934" spans="1:41" ht="79.8" customHeight="1" x14ac:dyDescent="0.3">
      <c r="A934" s="20">
        <v>930</v>
      </c>
      <c r="B934" s="8" t="s">
        <v>4769</v>
      </c>
      <c r="C934" s="26">
        <v>2026</v>
      </c>
      <c r="D934" s="8"/>
      <c r="E934" s="8" t="s">
        <v>1860</v>
      </c>
      <c r="F934" s="20" t="s">
        <v>1980</v>
      </c>
      <c r="G934" s="21" t="s">
        <v>1979</v>
      </c>
      <c r="H934" s="21" t="s">
        <v>1968</v>
      </c>
      <c r="I934" s="21" t="s">
        <v>1968</v>
      </c>
      <c r="J934" s="21" t="s">
        <v>1968</v>
      </c>
      <c r="K934" s="21" t="s">
        <v>1968</v>
      </c>
      <c r="L934" s="22" t="str">
        <f t="shared" si="70"/>
        <v>EXCLUDE</v>
      </c>
      <c r="M934" s="22" t="str">
        <f t="shared" si="71"/>
        <v>Wrong domain (non-AECO)</v>
      </c>
      <c r="N934" s="23"/>
      <c r="O934" s="23"/>
      <c r="P934" s="24"/>
      <c r="Q934" s="24"/>
      <c r="R934" s="24"/>
      <c r="S934" s="22" t="str">
        <f t="shared" si="72"/>
        <v/>
      </c>
      <c r="T934" s="22" t="str">
        <f t="shared" si="73"/>
        <v/>
      </c>
      <c r="U934" s="25"/>
      <c r="V934" s="25"/>
      <c r="W934" s="25"/>
      <c r="X934" s="25"/>
      <c r="Y934" s="22" t="str">
        <f t="shared" si="74"/>
        <v/>
      </c>
      <c r="Z934" s="25"/>
      <c r="AA934" s="25"/>
      <c r="AB934" s="25"/>
      <c r="AC934" s="25"/>
      <c r="AD934" s="25"/>
      <c r="AE934" s="25"/>
      <c r="AF934" s="25"/>
      <c r="AG934" s="9"/>
      <c r="AH934" s="29"/>
      <c r="AI934" s="29"/>
      <c r="AM934" s="50"/>
      <c r="AN934" s="51" t="s">
        <v>4770</v>
      </c>
      <c r="AO934" s="55" t="s">
        <v>1859</v>
      </c>
    </row>
    <row r="935" spans="1:41" ht="68.400000000000006" customHeight="1" x14ac:dyDescent="0.3">
      <c r="A935" s="20">
        <v>931</v>
      </c>
      <c r="B935" s="8" t="s">
        <v>4771</v>
      </c>
      <c r="C935" s="26">
        <v>2025</v>
      </c>
      <c r="D935" s="8"/>
      <c r="E935" s="8" t="s">
        <v>1862</v>
      </c>
      <c r="F935" s="20" t="s">
        <v>1980</v>
      </c>
      <c r="G935" s="21" t="s">
        <v>1968</v>
      </c>
      <c r="H935" s="21" t="s">
        <v>1968</v>
      </c>
      <c r="I935" s="21" t="s">
        <v>1979</v>
      </c>
      <c r="J935" s="21" t="s">
        <v>1968</v>
      </c>
      <c r="K935" s="21" t="s">
        <v>1968</v>
      </c>
      <c r="L935" s="22" t="str">
        <f t="shared" si="70"/>
        <v>EXCLUDE</v>
      </c>
      <c r="M935" s="22" t="str">
        <f t="shared" si="71"/>
        <v>No Design for Safety / PtD focus</v>
      </c>
      <c r="N935" s="23"/>
      <c r="O935" s="23"/>
      <c r="P935" s="24"/>
      <c r="Q935" s="24"/>
      <c r="R935" s="24"/>
      <c r="S935" s="22" t="str">
        <f t="shared" si="72"/>
        <v/>
      </c>
      <c r="T935" s="22" t="str">
        <f t="shared" si="73"/>
        <v/>
      </c>
      <c r="U935" s="25"/>
      <c r="V935" s="25"/>
      <c r="W935" s="25"/>
      <c r="X935" s="25"/>
      <c r="Y935" s="22" t="str">
        <f t="shared" si="74"/>
        <v/>
      </c>
      <c r="Z935" s="25"/>
      <c r="AA935" s="25"/>
      <c r="AB935" s="25"/>
      <c r="AC935" s="25"/>
      <c r="AD935" s="25"/>
      <c r="AE935" s="25"/>
      <c r="AF935" s="25"/>
      <c r="AG935" s="9"/>
      <c r="AH935" s="29"/>
      <c r="AI935" s="29"/>
      <c r="AM935" s="50"/>
      <c r="AN935" s="51" t="s">
        <v>4772</v>
      </c>
      <c r="AO935" s="55" t="s">
        <v>1861</v>
      </c>
    </row>
    <row r="936" spans="1:41" ht="34.200000000000003" customHeight="1" x14ac:dyDescent="0.3">
      <c r="A936" s="20">
        <v>932</v>
      </c>
      <c r="B936" s="8" t="s">
        <v>4773</v>
      </c>
      <c r="C936" s="26">
        <v>2023</v>
      </c>
      <c r="D936" s="8"/>
      <c r="E936" s="8" t="s">
        <v>1864</v>
      </c>
      <c r="F936" s="20" t="s">
        <v>1980</v>
      </c>
      <c r="G936" s="21" t="s">
        <v>1968</v>
      </c>
      <c r="H936" s="21" t="s">
        <v>1968</v>
      </c>
      <c r="I936" s="21" t="s">
        <v>1979</v>
      </c>
      <c r="J936" s="21" t="s">
        <v>1968</v>
      </c>
      <c r="K936" s="21" t="s">
        <v>1968</v>
      </c>
      <c r="L936" s="22" t="str">
        <f t="shared" si="70"/>
        <v>EXCLUDE</v>
      </c>
      <c r="M936" s="22" t="str">
        <f t="shared" si="71"/>
        <v>No Design for Safety / PtD focus</v>
      </c>
      <c r="N936" s="23"/>
      <c r="O936" s="23"/>
      <c r="P936" s="24"/>
      <c r="Q936" s="24"/>
      <c r="R936" s="24"/>
      <c r="S936" s="22" t="str">
        <f t="shared" si="72"/>
        <v/>
      </c>
      <c r="T936" s="22" t="str">
        <f t="shared" si="73"/>
        <v/>
      </c>
      <c r="U936" s="25"/>
      <c r="V936" s="25"/>
      <c r="W936" s="25"/>
      <c r="X936" s="25"/>
      <c r="Y936" s="22" t="str">
        <f t="shared" si="74"/>
        <v/>
      </c>
      <c r="Z936" s="25"/>
      <c r="AA936" s="25"/>
      <c r="AB936" s="25"/>
      <c r="AC936" s="25"/>
      <c r="AD936" s="25"/>
      <c r="AE936" s="25"/>
      <c r="AF936" s="25"/>
      <c r="AG936" s="9"/>
      <c r="AH936" s="29"/>
      <c r="AI936" s="29"/>
      <c r="AM936" s="50"/>
      <c r="AN936" s="51" t="s">
        <v>4774</v>
      </c>
      <c r="AO936" s="55" t="s">
        <v>1863</v>
      </c>
    </row>
    <row r="937" spans="1:41" ht="34.200000000000003" customHeight="1" x14ac:dyDescent="0.3">
      <c r="A937" s="20">
        <v>933</v>
      </c>
      <c r="B937" s="8" t="s">
        <v>4775</v>
      </c>
      <c r="C937" s="26">
        <v>2025</v>
      </c>
      <c r="D937" s="8"/>
      <c r="E937" s="8" t="s">
        <v>1866</v>
      </c>
      <c r="F937" s="20" t="s">
        <v>1980</v>
      </c>
      <c r="G937" s="21" t="s">
        <v>1968</v>
      </c>
      <c r="H937" s="21" t="s">
        <v>1979</v>
      </c>
      <c r="I937" s="21" t="s">
        <v>1968</v>
      </c>
      <c r="J937" s="21" t="s">
        <v>1968</v>
      </c>
      <c r="K937" s="21" t="s">
        <v>1968</v>
      </c>
      <c r="L937" s="22" t="str">
        <f t="shared" si="70"/>
        <v>EXCLUDE</v>
      </c>
      <c r="M937" s="22" t="str">
        <f t="shared" si="71"/>
        <v>Digital Twin not core / buzzword</v>
      </c>
      <c r="N937" s="23"/>
      <c r="O937" s="23"/>
      <c r="P937" s="24"/>
      <c r="Q937" s="24"/>
      <c r="R937" s="24"/>
      <c r="S937" s="22" t="str">
        <f t="shared" si="72"/>
        <v/>
      </c>
      <c r="T937" s="22" t="str">
        <f t="shared" si="73"/>
        <v/>
      </c>
      <c r="U937" s="25"/>
      <c r="V937" s="25"/>
      <c r="W937" s="25"/>
      <c r="X937" s="25"/>
      <c r="Y937" s="22" t="str">
        <f t="shared" si="74"/>
        <v/>
      </c>
      <c r="Z937" s="25"/>
      <c r="AA937" s="25"/>
      <c r="AB937" s="25"/>
      <c r="AC937" s="25"/>
      <c r="AD937" s="25"/>
      <c r="AE937" s="25"/>
      <c r="AF937" s="25"/>
      <c r="AG937" s="9"/>
      <c r="AH937" s="29"/>
      <c r="AI937" s="29"/>
      <c r="AM937" s="50"/>
      <c r="AN937" s="51" t="s">
        <v>4776</v>
      </c>
      <c r="AO937" s="55" t="s">
        <v>1865</v>
      </c>
    </row>
    <row r="938" spans="1:41" ht="34.200000000000003" customHeight="1" x14ac:dyDescent="0.3">
      <c r="A938" s="20">
        <v>934</v>
      </c>
      <c r="B938" s="8" t="s">
        <v>4777</v>
      </c>
      <c r="C938" s="26">
        <v>2025</v>
      </c>
      <c r="D938" s="8"/>
      <c r="E938" s="8" t="s">
        <v>1868</v>
      </c>
      <c r="F938" s="20" t="s">
        <v>1980</v>
      </c>
      <c r="G938" s="21" t="s">
        <v>1968</v>
      </c>
      <c r="H938" s="21" t="s">
        <v>1979</v>
      </c>
      <c r="I938" s="21" t="s">
        <v>1968</v>
      </c>
      <c r="J938" s="21" t="s">
        <v>1968</v>
      </c>
      <c r="K938" s="21" t="s">
        <v>1968</v>
      </c>
      <c r="L938" s="22" t="str">
        <f t="shared" si="70"/>
        <v>EXCLUDE</v>
      </c>
      <c r="M938" s="22" t="str">
        <f t="shared" si="71"/>
        <v>Digital Twin not core / buzzword</v>
      </c>
      <c r="N938" s="23"/>
      <c r="O938" s="23"/>
      <c r="P938" s="24"/>
      <c r="Q938" s="24"/>
      <c r="R938" s="24"/>
      <c r="S938" s="22" t="str">
        <f t="shared" si="72"/>
        <v/>
      </c>
      <c r="T938" s="22" t="str">
        <f t="shared" si="73"/>
        <v/>
      </c>
      <c r="U938" s="25"/>
      <c r="V938" s="25"/>
      <c r="W938" s="25"/>
      <c r="X938" s="25"/>
      <c r="Y938" s="22" t="str">
        <f t="shared" si="74"/>
        <v/>
      </c>
      <c r="Z938" s="25"/>
      <c r="AA938" s="25"/>
      <c r="AB938" s="25"/>
      <c r="AC938" s="25"/>
      <c r="AD938" s="25"/>
      <c r="AE938" s="25"/>
      <c r="AF938" s="25"/>
      <c r="AG938" s="9"/>
      <c r="AH938" s="29"/>
      <c r="AI938" s="29"/>
      <c r="AM938" s="50"/>
      <c r="AN938" s="51" t="s">
        <v>4778</v>
      </c>
      <c r="AO938" s="55" t="s">
        <v>1867</v>
      </c>
    </row>
    <row r="939" spans="1:41" ht="68.400000000000006" customHeight="1" x14ac:dyDescent="0.3">
      <c r="A939" s="20">
        <v>935</v>
      </c>
      <c r="B939" s="8" t="s">
        <v>4779</v>
      </c>
      <c r="C939" s="26">
        <v>2027</v>
      </c>
      <c r="D939" s="8"/>
      <c r="E939" s="8" t="s">
        <v>1870</v>
      </c>
      <c r="F939" s="20" t="s">
        <v>1980</v>
      </c>
      <c r="G939" s="21" t="s">
        <v>1979</v>
      </c>
      <c r="H939" s="21" t="s">
        <v>1968</v>
      </c>
      <c r="I939" s="21" t="s">
        <v>1968</v>
      </c>
      <c r="J939" s="21" t="s">
        <v>1968</v>
      </c>
      <c r="K939" s="21" t="s">
        <v>1968</v>
      </c>
      <c r="L939" s="22" t="str">
        <f t="shared" si="70"/>
        <v>EXCLUDE</v>
      </c>
      <c r="M939" s="22" t="str">
        <f t="shared" si="71"/>
        <v>Wrong domain (non-AECO)</v>
      </c>
      <c r="N939" s="23"/>
      <c r="O939" s="23"/>
      <c r="P939" s="24"/>
      <c r="Q939" s="24"/>
      <c r="R939" s="24"/>
      <c r="S939" s="22" t="str">
        <f t="shared" si="72"/>
        <v/>
      </c>
      <c r="T939" s="22" t="str">
        <f t="shared" si="73"/>
        <v/>
      </c>
      <c r="U939" s="25"/>
      <c r="V939" s="25"/>
      <c r="W939" s="25"/>
      <c r="X939" s="25"/>
      <c r="Y939" s="22" t="str">
        <f t="shared" si="74"/>
        <v/>
      </c>
      <c r="Z939" s="25"/>
      <c r="AA939" s="25"/>
      <c r="AB939" s="25"/>
      <c r="AC939" s="25"/>
      <c r="AD939" s="25"/>
      <c r="AE939" s="25"/>
      <c r="AF939" s="25"/>
      <c r="AG939" s="9"/>
      <c r="AH939" s="29"/>
      <c r="AI939" s="29"/>
      <c r="AM939" s="50"/>
      <c r="AN939" s="51" t="s">
        <v>4780</v>
      </c>
      <c r="AO939" s="55" t="s">
        <v>1869</v>
      </c>
    </row>
    <row r="940" spans="1:41" ht="57" customHeight="1" x14ac:dyDescent="0.3">
      <c r="A940" s="20">
        <v>936</v>
      </c>
      <c r="B940" s="8" t="s">
        <v>4781</v>
      </c>
      <c r="C940" s="26">
        <v>2020</v>
      </c>
      <c r="D940" s="8"/>
      <c r="E940" s="8" t="s">
        <v>1872</v>
      </c>
      <c r="F940" s="20" t="s">
        <v>1980</v>
      </c>
      <c r="G940" s="21" t="s">
        <v>1968</v>
      </c>
      <c r="H940" s="21" t="s">
        <v>1979</v>
      </c>
      <c r="I940" s="21" t="s">
        <v>1968</v>
      </c>
      <c r="J940" s="21" t="s">
        <v>1968</v>
      </c>
      <c r="K940" s="21" t="s">
        <v>1968</v>
      </c>
      <c r="L940" s="22" t="str">
        <f t="shared" si="70"/>
        <v>EXCLUDE</v>
      </c>
      <c r="M940" s="22" t="str">
        <f t="shared" si="71"/>
        <v>Digital Twin not core / buzzword</v>
      </c>
      <c r="N940" s="23"/>
      <c r="O940" s="23"/>
      <c r="P940" s="24"/>
      <c r="Q940" s="24"/>
      <c r="R940" s="24"/>
      <c r="S940" s="22" t="str">
        <f t="shared" si="72"/>
        <v/>
      </c>
      <c r="T940" s="22" t="str">
        <f t="shared" si="73"/>
        <v/>
      </c>
      <c r="U940" s="25"/>
      <c r="V940" s="25"/>
      <c r="W940" s="25"/>
      <c r="X940" s="25"/>
      <c r="Y940" s="22" t="str">
        <f t="shared" si="74"/>
        <v/>
      </c>
      <c r="Z940" s="25"/>
      <c r="AA940" s="25"/>
      <c r="AB940" s="25"/>
      <c r="AC940" s="25"/>
      <c r="AD940" s="25"/>
      <c r="AE940" s="25"/>
      <c r="AF940" s="25"/>
      <c r="AG940" s="9"/>
      <c r="AH940" s="29"/>
      <c r="AI940" s="29"/>
      <c r="AM940" s="50"/>
      <c r="AN940" s="51" t="s">
        <v>4782</v>
      </c>
      <c r="AO940" s="55" t="s">
        <v>1871</v>
      </c>
    </row>
    <row r="941" spans="1:41" ht="86.4" customHeight="1" x14ac:dyDescent="0.3">
      <c r="A941" s="20">
        <v>937</v>
      </c>
      <c r="B941" s="8" t="s">
        <v>4321</v>
      </c>
      <c r="C941" s="26">
        <v>2022</v>
      </c>
      <c r="D941" s="8"/>
      <c r="E941" s="8" t="s">
        <v>1874</v>
      </c>
      <c r="F941" s="20" t="s">
        <v>1980</v>
      </c>
      <c r="G941" s="21" t="s">
        <v>1968</v>
      </c>
      <c r="H941" s="21" t="s">
        <v>1968</v>
      </c>
      <c r="I941" s="21" t="s">
        <v>1968</v>
      </c>
      <c r="J941" s="21" t="s">
        <v>1968</v>
      </c>
      <c r="K941" s="21" t="s">
        <v>1968</v>
      </c>
      <c r="L941" s="22" t="str">
        <f t="shared" si="70"/>
        <v>INCLUDE</v>
      </c>
      <c r="M941" s="22" t="str">
        <f t="shared" si="71"/>
        <v/>
      </c>
      <c r="N941" s="23" t="s">
        <v>1968</v>
      </c>
      <c r="O941" s="23" t="s">
        <v>1968</v>
      </c>
      <c r="P941" s="24" t="s">
        <v>1968</v>
      </c>
      <c r="Q941" s="24" t="s">
        <v>1968</v>
      </c>
      <c r="R941" s="24" t="s">
        <v>1968</v>
      </c>
      <c r="S941" s="22" t="str">
        <f t="shared" si="72"/>
        <v>INCLUDE</v>
      </c>
      <c r="T941" s="22" t="str">
        <f t="shared" si="73"/>
        <v/>
      </c>
      <c r="U941" s="25" t="s">
        <v>1971</v>
      </c>
      <c r="V941" s="25">
        <v>0</v>
      </c>
      <c r="W941" s="25">
        <v>1</v>
      </c>
      <c r="X941" s="25">
        <v>0</v>
      </c>
      <c r="Y941" s="22" t="str">
        <f t="shared" si="74"/>
        <v>Single</v>
      </c>
      <c r="Z941" s="25" t="s">
        <v>1922</v>
      </c>
      <c r="AA941" s="25" t="s">
        <v>1972</v>
      </c>
      <c r="AB941" s="25" t="s">
        <v>1973</v>
      </c>
      <c r="AC941" s="25" t="s">
        <v>1986</v>
      </c>
      <c r="AD941" s="25" t="s">
        <v>2003</v>
      </c>
      <c r="AE941" s="25">
        <v>4</v>
      </c>
      <c r="AF941" s="25" t="s">
        <v>2004</v>
      </c>
      <c r="AG941" s="9" t="s">
        <v>4783</v>
      </c>
      <c r="AH941" s="29" t="s">
        <v>4784</v>
      </c>
      <c r="AI941" s="29" t="s">
        <v>4785</v>
      </c>
      <c r="AJ941" t="s">
        <v>2005</v>
      </c>
      <c r="AK941" t="s">
        <v>4786</v>
      </c>
      <c r="AL941" t="s">
        <v>1978</v>
      </c>
      <c r="AM941" s="50"/>
      <c r="AN941" s="51" t="s">
        <v>4787</v>
      </c>
      <c r="AO941" s="55" t="s">
        <v>1873</v>
      </c>
    </row>
    <row r="942" spans="1:41" ht="125.4" customHeight="1" x14ac:dyDescent="0.3">
      <c r="A942" s="20">
        <v>938</v>
      </c>
      <c r="B942" s="8" t="s">
        <v>4788</v>
      </c>
      <c r="C942" s="26">
        <v>2026</v>
      </c>
      <c r="D942" s="8"/>
      <c r="E942" s="8" t="s">
        <v>1876</v>
      </c>
      <c r="F942" s="20" t="s">
        <v>1980</v>
      </c>
      <c r="G942" s="21" t="s">
        <v>1968</v>
      </c>
      <c r="H942" s="21" t="s">
        <v>1968</v>
      </c>
      <c r="I942" s="21" t="s">
        <v>1968</v>
      </c>
      <c r="J942" s="21" t="s">
        <v>1968</v>
      </c>
      <c r="K942" s="21" t="s">
        <v>1968</v>
      </c>
      <c r="L942" s="22" t="str">
        <f t="shared" si="70"/>
        <v>INCLUDE</v>
      </c>
      <c r="M942" s="22" t="str">
        <f t="shared" si="71"/>
        <v/>
      </c>
      <c r="N942" s="23" t="s">
        <v>1968</v>
      </c>
      <c r="O942" s="23" t="s">
        <v>1968</v>
      </c>
      <c r="P942" s="24" t="s">
        <v>1968</v>
      </c>
      <c r="Q942" s="24" t="s">
        <v>1968</v>
      </c>
      <c r="R942" s="24" t="s">
        <v>1968</v>
      </c>
      <c r="S942" s="22" t="str">
        <f t="shared" si="72"/>
        <v>INCLUDE</v>
      </c>
      <c r="T942" s="22" t="str">
        <f t="shared" si="73"/>
        <v/>
      </c>
      <c r="U942" s="25" t="s">
        <v>1971</v>
      </c>
      <c r="V942" s="25">
        <v>0</v>
      </c>
      <c r="W942" s="25">
        <v>1</v>
      </c>
      <c r="X942" s="25">
        <v>0</v>
      </c>
      <c r="Y942" s="22" t="str">
        <f t="shared" si="74"/>
        <v>Single</v>
      </c>
      <c r="Z942" s="25" t="s">
        <v>1922</v>
      </c>
      <c r="AA942" s="25" t="s">
        <v>1984</v>
      </c>
      <c r="AB942" s="25" t="s">
        <v>2018</v>
      </c>
      <c r="AC942" s="25" t="s">
        <v>1986</v>
      </c>
      <c r="AD942" s="25" t="s">
        <v>1987</v>
      </c>
      <c r="AE942" s="25">
        <v>3</v>
      </c>
      <c r="AF942" s="25" t="s">
        <v>2010</v>
      </c>
      <c r="AG942" s="9" t="s">
        <v>4789</v>
      </c>
      <c r="AH942" s="29" t="s">
        <v>4790</v>
      </c>
      <c r="AI942" s="29" t="s">
        <v>4791</v>
      </c>
      <c r="AJ942" t="s">
        <v>2005</v>
      </c>
      <c r="AK942" t="s">
        <v>4792</v>
      </c>
      <c r="AL942" t="s">
        <v>1990</v>
      </c>
      <c r="AM942" s="50"/>
      <c r="AN942" s="51" t="s">
        <v>4793</v>
      </c>
      <c r="AO942" s="55" t="s">
        <v>1875</v>
      </c>
    </row>
    <row r="943" spans="1:41" ht="57" customHeight="1" x14ac:dyDescent="0.3">
      <c r="A943" s="20">
        <v>939</v>
      </c>
      <c r="B943" s="8" t="s">
        <v>4794</v>
      </c>
      <c r="C943" s="26">
        <v>2025</v>
      </c>
      <c r="D943" s="8"/>
      <c r="E943" s="8" t="s">
        <v>1878</v>
      </c>
      <c r="F943" s="20" t="s">
        <v>1980</v>
      </c>
      <c r="G943" s="21" t="s">
        <v>1968</v>
      </c>
      <c r="H943" s="21" t="s">
        <v>1979</v>
      </c>
      <c r="I943" s="21" t="s">
        <v>1968</v>
      </c>
      <c r="J943" s="21" t="s">
        <v>1968</v>
      </c>
      <c r="K943" s="21" t="s">
        <v>1968</v>
      </c>
      <c r="L943" s="22" t="str">
        <f t="shared" si="70"/>
        <v>EXCLUDE</v>
      </c>
      <c r="M943" s="22" t="str">
        <f t="shared" si="71"/>
        <v>Digital Twin not core / buzzword</v>
      </c>
      <c r="N943" s="23"/>
      <c r="O943" s="23"/>
      <c r="P943" s="24"/>
      <c r="Q943" s="24"/>
      <c r="R943" s="24"/>
      <c r="S943" s="22" t="str">
        <f t="shared" si="72"/>
        <v/>
      </c>
      <c r="T943" s="22" t="str">
        <f t="shared" si="73"/>
        <v/>
      </c>
      <c r="U943" s="25"/>
      <c r="V943" s="25"/>
      <c r="W943" s="25"/>
      <c r="X943" s="25"/>
      <c r="Y943" s="22" t="str">
        <f t="shared" si="74"/>
        <v/>
      </c>
      <c r="Z943" s="25"/>
      <c r="AA943" s="25"/>
      <c r="AB943" s="25"/>
      <c r="AC943" s="25"/>
      <c r="AD943" s="25"/>
      <c r="AE943" s="25"/>
      <c r="AF943" s="25"/>
      <c r="AG943" s="9"/>
      <c r="AH943" s="29"/>
      <c r="AI943" s="29"/>
      <c r="AM943" s="50"/>
      <c r="AN943" s="51" t="s">
        <v>4795</v>
      </c>
      <c r="AO943" s="55" t="s">
        <v>1877</v>
      </c>
    </row>
    <row r="944" spans="1:41" ht="68.400000000000006" customHeight="1" x14ac:dyDescent="0.3">
      <c r="A944" s="20">
        <v>940</v>
      </c>
      <c r="B944" s="8" t="s">
        <v>4796</v>
      </c>
      <c r="C944" s="26">
        <v>2026</v>
      </c>
      <c r="D944" s="8"/>
      <c r="E944" s="8" t="s">
        <v>1880</v>
      </c>
      <c r="F944" s="20" t="s">
        <v>1980</v>
      </c>
      <c r="G944" s="21" t="s">
        <v>1968</v>
      </c>
      <c r="H944" s="21" t="s">
        <v>1979</v>
      </c>
      <c r="I944" s="21" t="s">
        <v>1968</v>
      </c>
      <c r="J944" s="21" t="s">
        <v>1968</v>
      </c>
      <c r="K944" s="21" t="s">
        <v>1968</v>
      </c>
      <c r="L944" s="22" t="str">
        <f t="shared" si="70"/>
        <v>EXCLUDE</v>
      </c>
      <c r="M944" s="22" t="str">
        <f t="shared" si="71"/>
        <v>Digital Twin not core / buzzword</v>
      </c>
      <c r="N944" s="23"/>
      <c r="O944" s="23"/>
      <c r="P944" s="24"/>
      <c r="Q944" s="24"/>
      <c r="R944" s="24"/>
      <c r="S944" s="22" t="str">
        <f t="shared" si="72"/>
        <v/>
      </c>
      <c r="T944" s="22" t="str">
        <f t="shared" si="73"/>
        <v/>
      </c>
      <c r="U944" s="25"/>
      <c r="V944" s="25"/>
      <c r="W944" s="25"/>
      <c r="X944" s="25"/>
      <c r="Y944" s="22" t="str">
        <f t="shared" si="74"/>
        <v/>
      </c>
      <c r="Z944" s="25"/>
      <c r="AA944" s="25"/>
      <c r="AB944" s="25"/>
      <c r="AC944" s="25"/>
      <c r="AD944" s="25"/>
      <c r="AE944" s="25"/>
      <c r="AF944" s="25"/>
      <c r="AG944" s="9"/>
      <c r="AH944" s="29"/>
      <c r="AI944" s="29"/>
      <c r="AM944" s="50"/>
      <c r="AN944" s="51" t="s">
        <v>4797</v>
      </c>
      <c r="AO944" s="55" t="s">
        <v>1879</v>
      </c>
    </row>
    <row r="945" spans="1:41" ht="79.8" customHeight="1" x14ac:dyDescent="0.3">
      <c r="A945" s="20">
        <v>941</v>
      </c>
      <c r="B945" s="8" t="s">
        <v>4798</v>
      </c>
      <c r="C945" s="26">
        <v>2026</v>
      </c>
      <c r="D945" s="8"/>
      <c r="E945" s="8" t="s">
        <v>1882</v>
      </c>
      <c r="F945" s="20" t="s">
        <v>1980</v>
      </c>
      <c r="G945" s="21" t="s">
        <v>1968</v>
      </c>
      <c r="H945" s="21" t="s">
        <v>1979</v>
      </c>
      <c r="I945" s="21" t="s">
        <v>1968</v>
      </c>
      <c r="J945" s="21" t="s">
        <v>1968</v>
      </c>
      <c r="K945" s="21" t="s">
        <v>1968</v>
      </c>
      <c r="L945" s="22" t="str">
        <f t="shared" si="70"/>
        <v>EXCLUDE</v>
      </c>
      <c r="M945" s="22" t="str">
        <f t="shared" si="71"/>
        <v>Digital Twin not core / buzzword</v>
      </c>
      <c r="N945" s="23"/>
      <c r="O945" s="23"/>
      <c r="P945" s="24"/>
      <c r="Q945" s="24"/>
      <c r="R945" s="24"/>
      <c r="S945" s="22" t="str">
        <f t="shared" si="72"/>
        <v/>
      </c>
      <c r="T945" s="22" t="str">
        <f t="shared" si="73"/>
        <v/>
      </c>
      <c r="U945" s="25"/>
      <c r="V945" s="25"/>
      <c r="W945" s="25"/>
      <c r="X945" s="25"/>
      <c r="Y945" s="22" t="str">
        <f t="shared" si="74"/>
        <v/>
      </c>
      <c r="Z945" s="25"/>
      <c r="AA945" s="25"/>
      <c r="AB945" s="25"/>
      <c r="AC945" s="25"/>
      <c r="AD945" s="25"/>
      <c r="AE945" s="25"/>
      <c r="AF945" s="25"/>
      <c r="AG945" s="9"/>
      <c r="AH945" s="29"/>
      <c r="AI945" s="29"/>
      <c r="AM945" s="50"/>
      <c r="AN945" s="51" t="s">
        <v>4799</v>
      </c>
      <c r="AO945" s="55" t="s">
        <v>1881</v>
      </c>
    </row>
    <row r="946" spans="1:41" ht="114" customHeight="1" x14ac:dyDescent="0.3">
      <c r="A946" s="20">
        <v>942</v>
      </c>
      <c r="B946" s="8" t="s">
        <v>4800</v>
      </c>
      <c r="C946" s="26">
        <v>2025</v>
      </c>
      <c r="D946" s="8"/>
      <c r="E946" s="8" t="s">
        <v>1884</v>
      </c>
      <c r="F946" s="20" t="s">
        <v>1980</v>
      </c>
      <c r="G946" s="21" t="s">
        <v>1968</v>
      </c>
      <c r="H946" s="21" t="s">
        <v>1968</v>
      </c>
      <c r="I946" s="21" t="s">
        <v>1968</v>
      </c>
      <c r="J946" s="21" t="s">
        <v>1968</v>
      </c>
      <c r="K946" s="21" t="s">
        <v>1968</v>
      </c>
      <c r="L946" s="22" t="str">
        <f t="shared" si="70"/>
        <v>INCLUDE</v>
      </c>
      <c r="M946" s="22" t="str">
        <f t="shared" si="71"/>
        <v/>
      </c>
      <c r="N946" s="23" t="s">
        <v>1968</v>
      </c>
      <c r="O946" s="23" t="s">
        <v>1968</v>
      </c>
      <c r="P946" s="24" t="s">
        <v>1968</v>
      </c>
      <c r="Q946" s="24" t="s">
        <v>1968</v>
      </c>
      <c r="R946" s="24" t="s">
        <v>1968</v>
      </c>
      <c r="S946" s="22" t="str">
        <f t="shared" si="72"/>
        <v>INCLUDE</v>
      </c>
      <c r="T946" s="22" t="str">
        <f t="shared" si="73"/>
        <v/>
      </c>
      <c r="U946" s="25" t="s">
        <v>1982</v>
      </c>
      <c r="V946" s="25">
        <v>0</v>
      </c>
      <c r="W946" s="25">
        <v>0</v>
      </c>
      <c r="X946" s="25">
        <v>1</v>
      </c>
      <c r="Y946" s="22" t="str">
        <f t="shared" si="74"/>
        <v>Single</v>
      </c>
      <c r="Z946" s="25" t="s">
        <v>1922</v>
      </c>
      <c r="AA946" s="25" t="s">
        <v>1993</v>
      </c>
      <c r="AB946" s="25" t="s">
        <v>2011</v>
      </c>
      <c r="AC946" s="25" t="s">
        <v>1986</v>
      </c>
      <c r="AD946" s="25" t="s">
        <v>2003</v>
      </c>
      <c r="AE946" s="25">
        <v>4</v>
      </c>
      <c r="AF946" s="25" t="s">
        <v>2010</v>
      </c>
      <c r="AG946" s="9" t="s">
        <v>4801</v>
      </c>
      <c r="AH946" s="29" t="s">
        <v>4802</v>
      </c>
      <c r="AI946" s="29" t="s">
        <v>4803</v>
      </c>
      <c r="AJ946" t="s">
        <v>2005</v>
      </c>
      <c r="AK946" t="s">
        <v>4804</v>
      </c>
      <c r="AL946" t="s">
        <v>1978</v>
      </c>
      <c r="AM946" s="50"/>
      <c r="AN946" s="51" t="s">
        <v>4805</v>
      </c>
      <c r="AO946" s="55" t="s">
        <v>1883</v>
      </c>
    </row>
    <row r="947" spans="1:41" ht="68.400000000000006" customHeight="1" x14ac:dyDescent="0.3">
      <c r="A947" s="20">
        <v>943</v>
      </c>
      <c r="B947" s="8" t="s">
        <v>4806</v>
      </c>
      <c r="C947" s="26">
        <v>2026</v>
      </c>
      <c r="D947" s="8"/>
      <c r="E947" s="8" t="s">
        <v>1886</v>
      </c>
      <c r="F947" s="20" t="s">
        <v>1980</v>
      </c>
      <c r="G947" s="21" t="s">
        <v>1979</v>
      </c>
      <c r="H947" s="21" t="s">
        <v>1968</v>
      </c>
      <c r="I947" s="21" t="s">
        <v>1968</v>
      </c>
      <c r="J947" s="21" t="s">
        <v>1968</v>
      </c>
      <c r="K947" s="21" t="s">
        <v>1968</v>
      </c>
      <c r="L947" s="22" t="str">
        <f t="shared" si="70"/>
        <v>EXCLUDE</v>
      </c>
      <c r="M947" s="22" t="str">
        <f t="shared" si="71"/>
        <v>Wrong domain (non-AECO)</v>
      </c>
      <c r="N947" s="23"/>
      <c r="O947" s="23"/>
      <c r="P947" s="24"/>
      <c r="Q947" s="24"/>
      <c r="R947" s="24"/>
      <c r="S947" s="22" t="str">
        <f t="shared" si="72"/>
        <v/>
      </c>
      <c r="T947" s="22" t="str">
        <f t="shared" si="73"/>
        <v/>
      </c>
      <c r="U947" s="25"/>
      <c r="V947" s="25"/>
      <c r="W947" s="25"/>
      <c r="X947" s="25"/>
      <c r="Y947" s="22" t="str">
        <f t="shared" si="74"/>
        <v/>
      </c>
      <c r="Z947" s="25"/>
      <c r="AA947" s="25"/>
      <c r="AB947" s="25"/>
      <c r="AC947" s="25"/>
      <c r="AD947" s="25"/>
      <c r="AE947" s="25"/>
      <c r="AF947" s="25"/>
      <c r="AG947" s="9"/>
      <c r="AH947" s="29"/>
      <c r="AI947" s="29"/>
      <c r="AM947" s="50"/>
      <c r="AN947" s="51" t="s">
        <v>4807</v>
      </c>
      <c r="AO947" s="55" t="s">
        <v>1885</v>
      </c>
    </row>
    <row r="948" spans="1:41" ht="68.400000000000006" customHeight="1" x14ac:dyDescent="0.3">
      <c r="A948" s="20">
        <v>944</v>
      </c>
      <c r="B948" s="8" t="s">
        <v>4808</v>
      </c>
      <c r="C948" s="26">
        <v>2026</v>
      </c>
      <c r="D948" s="8"/>
      <c r="E948" s="8" t="s">
        <v>1888</v>
      </c>
      <c r="F948" s="20" t="s">
        <v>1980</v>
      </c>
      <c r="G948" s="21" t="s">
        <v>1968</v>
      </c>
      <c r="H948" s="21" t="s">
        <v>1979</v>
      </c>
      <c r="I948" s="21" t="s">
        <v>1968</v>
      </c>
      <c r="J948" s="21" t="s">
        <v>1968</v>
      </c>
      <c r="K948" s="21" t="s">
        <v>1968</v>
      </c>
      <c r="L948" s="22" t="str">
        <f t="shared" si="70"/>
        <v>EXCLUDE</v>
      </c>
      <c r="M948" s="22" t="str">
        <f t="shared" si="71"/>
        <v>Digital Twin not core / buzzword</v>
      </c>
      <c r="N948" s="23"/>
      <c r="O948" s="23"/>
      <c r="P948" s="24"/>
      <c r="Q948" s="24"/>
      <c r="R948" s="24"/>
      <c r="S948" s="22" t="str">
        <f t="shared" si="72"/>
        <v/>
      </c>
      <c r="T948" s="22" t="str">
        <f t="shared" si="73"/>
        <v/>
      </c>
      <c r="U948" s="25"/>
      <c r="V948" s="25"/>
      <c r="W948" s="25"/>
      <c r="X948" s="25"/>
      <c r="Y948" s="22" t="str">
        <f t="shared" si="74"/>
        <v/>
      </c>
      <c r="Z948" s="25"/>
      <c r="AA948" s="25"/>
      <c r="AB948" s="25"/>
      <c r="AC948" s="25"/>
      <c r="AD948" s="25"/>
      <c r="AE948" s="25"/>
      <c r="AF948" s="25"/>
      <c r="AG948" s="9"/>
      <c r="AH948" s="29"/>
      <c r="AI948" s="29"/>
      <c r="AM948" s="50"/>
      <c r="AN948" s="51" t="s">
        <v>4809</v>
      </c>
      <c r="AO948" s="55" t="s">
        <v>1887</v>
      </c>
    </row>
    <row r="949" spans="1:41" ht="68.400000000000006" customHeight="1" x14ac:dyDescent="0.3">
      <c r="A949" s="20">
        <v>945</v>
      </c>
      <c r="B949" s="8" t="s">
        <v>4810</v>
      </c>
      <c r="C949" s="26">
        <v>2025</v>
      </c>
      <c r="D949" s="8"/>
      <c r="E949" s="8" t="s">
        <v>1890</v>
      </c>
      <c r="F949" s="20" t="s">
        <v>1980</v>
      </c>
      <c r="G949" s="21" t="s">
        <v>1979</v>
      </c>
      <c r="H949" s="21" t="s">
        <v>1968</v>
      </c>
      <c r="I949" s="21" t="s">
        <v>1968</v>
      </c>
      <c r="J949" s="21" t="s">
        <v>1968</v>
      </c>
      <c r="K949" s="21" t="s">
        <v>1968</v>
      </c>
      <c r="L949" s="22" t="str">
        <f t="shared" si="70"/>
        <v>EXCLUDE</v>
      </c>
      <c r="M949" s="22" t="str">
        <f t="shared" si="71"/>
        <v>Wrong domain (non-AECO)</v>
      </c>
      <c r="N949" s="23"/>
      <c r="O949" s="23"/>
      <c r="P949" s="24"/>
      <c r="Q949" s="24"/>
      <c r="R949" s="24"/>
      <c r="S949" s="22" t="str">
        <f t="shared" si="72"/>
        <v/>
      </c>
      <c r="T949" s="22" t="str">
        <f t="shared" si="73"/>
        <v/>
      </c>
      <c r="U949" s="25"/>
      <c r="V949" s="25"/>
      <c r="W949" s="25"/>
      <c r="X949" s="25"/>
      <c r="Y949" s="22" t="str">
        <f t="shared" si="74"/>
        <v/>
      </c>
      <c r="Z949" s="25"/>
      <c r="AA949" s="25"/>
      <c r="AB949" s="25"/>
      <c r="AC949" s="25"/>
      <c r="AD949" s="25"/>
      <c r="AE949" s="25"/>
      <c r="AF949" s="25"/>
      <c r="AG949" s="9"/>
      <c r="AH949" s="29"/>
      <c r="AI949" s="29"/>
      <c r="AM949" s="50"/>
      <c r="AN949" s="51" t="s">
        <v>4811</v>
      </c>
      <c r="AO949" s="55" t="s">
        <v>1889</v>
      </c>
    </row>
    <row r="950" spans="1:41" ht="68.400000000000006" customHeight="1" x14ac:dyDescent="0.3">
      <c r="A950" s="20">
        <v>946</v>
      </c>
      <c r="B950" s="8" t="s">
        <v>4812</v>
      </c>
      <c r="C950" s="26">
        <v>2026</v>
      </c>
      <c r="D950" s="8"/>
      <c r="E950" s="8" t="s">
        <v>1892</v>
      </c>
      <c r="F950" s="20" t="s">
        <v>1980</v>
      </c>
      <c r="G950" s="21" t="s">
        <v>1979</v>
      </c>
      <c r="H950" s="21" t="s">
        <v>1968</v>
      </c>
      <c r="I950" s="21" t="s">
        <v>1968</v>
      </c>
      <c r="J950" s="21" t="s">
        <v>1968</v>
      </c>
      <c r="K950" s="21" t="s">
        <v>1968</v>
      </c>
      <c r="L950" s="22" t="str">
        <f t="shared" si="70"/>
        <v>EXCLUDE</v>
      </c>
      <c r="M950" s="22" t="str">
        <f t="shared" si="71"/>
        <v>Wrong domain (non-AECO)</v>
      </c>
      <c r="N950" s="23"/>
      <c r="O950" s="23"/>
      <c r="P950" s="24"/>
      <c r="Q950" s="24"/>
      <c r="R950" s="24"/>
      <c r="S950" s="22" t="str">
        <f t="shared" si="72"/>
        <v/>
      </c>
      <c r="T950" s="22" t="str">
        <f t="shared" si="73"/>
        <v/>
      </c>
      <c r="U950" s="25"/>
      <c r="V950" s="25"/>
      <c r="W950" s="25"/>
      <c r="X950" s="25"/>
      <c r="Y950" s="22" t="str">
        <f t="shared" si="74"/>
        <v/>
      </c>
      <c r="Z950" s="25"/>
      <c r="AA950" s="25"/>
      <c r="AB950" s="25"/>
      <c r="AC950" s="25"/>
      <c r="AD950" s="25"/>
      <c r="AE950" s="25"/>
      <c r="AF950" s="25"/>
      <c r="AG950" s="9"/>
      <c r="AH950" s="29"/>
      <c r="AI950" s="29"/>
      <c r="AM950" s="50"/>
      <c r="AN950" s="51" t="s">
        <v>4813</v>
      </c>
      <c r="AO950" s="55" t="s">
        <v>1891</v>
      </c>
    </row>
    <row r="951" spans="1:41" ht="79.8" customHeight="1" x14ac:dyDescent="0.3">
      <c r="A951" s="20">
        <v>947</v>
      </c>
      <c r="B951" s="8" t="s">
        <v>4814</v>
      </c>
      <c r="C951" s="26">
        <v>2026</v>
      </c>
      <c r="D951" s="8"/>
      <c r="E951" s="8" t="s">
        <v>1894</v>
      </c>
      <c r="F951" s="20" t="s">
        <v>1980</v>
      </c>
      <c r="G951" s="21" t="s">
        <v>1979</v>
      </c>
      <c r="H951" s="21" t="s">
        <v>1968</v>
      </c>
      <c r="I951" s="21" t="s">
        <v>1968</v>
      </c>
      <c r="J951" s="21" t="s">
        <v>1968</v>
      </c>
      <c r="K951" s="21" t="s">
        <v>1968</v>
      </c>
      <c r="L951" s="22" t="str">
        <f t="shared" si="70"/>
        <v>EXCLUDE</v>
      </c>
      <c r="M951" s="22" t="str">
        <f t="shared" si="71"/>
        <v>Wrong domain (non-AECO)</v>
      </c>
      <c r="N951" s="23"/>
      <c r="O951" s="23"/>
      <c r="P951" s="24"/>
      <c r="Q951" s="24"/>
      <c r="R951" s="24"/>
      <c r="S951" s="22" t="str">
        <f t="shared" si="72"/>
        <v/>
      </c>
      <c r="T951" s="22" t="str">
        <f t="shared" si="73"/>
        <v/>
      </c>
      <c r="U951" s="25"/>
      <c r="V951" s="25"/>
      <c r="W951" s="25"/>
      <c r="X951" s="25"/>
      <c r="Y951" s="22" t="str">
        <f t="shared" si="74"/>
        <v/>
      </c>
      <c r="Z951" s="25"/>
      <c r="AA951" s="25"/>
      <c r="AB951" s="25"/>
      <c r="AC951" s="25"/>
      <c r="AD951" s="25"/>
      <c r="AE951" s="25"/>
      <c r="AF951" s="25"/>
      <c r="AG951" s="9"/>
      <c r="AH951" s="29"/>
      <c r="AI951" s="29"/>
      <c r="AM951" s="50"/>
      <c r="AN951" s="51" t="s">
        <v>4815</v>
      </c>
      <c r="AO951" s="55" t="s">
        <v>1893</v>
      </c>
    </row>
    <row r="952" spans="1:41" ht="79.8" customHeight="1" x14ac:dyDescent="0.3">
      <c r="A952" s="20">
        <v>948</v>
      </c>
      <c r="B952" s="8" t="s">
        <v>4816</v>
      </c>
      <c r="C952" s="26">
        <v>2026</v>
      </c>
      <c r="D952" s="8"/>
      <c r="E952" s="8" t="s">
        <v>1896</v>
      </c>
      <c r="F952" s="20" t="s">
        <v>1980</v>
      </c>
      <c r="G952" s="21" t="s">
        <v>1968</v>
      </c>
      <c r="H952" s="21" t="s">
        <v>1979</v>
      </c>
      <c r="I952" s="21" t="s">
        <v>1968</v>
      </c>
      <c r="J952" s="21" t="s">
        <v>1968</v>
      </c>
      <c r="K952" s="21" t="s">
        <v>1968</v>
      </c>
      <c r="L952" s="22" t="str">
        <f t="shared" si="70"/>
        <v>EXCLUDE</v>
      </c>
      <c r="M952" s="22" t="str">
        <f t="shared" si="71"/>
        <v>Digital Twin not core / buzzword</v>
      </c>
      <c r="N952" s="23"/>
      <c r="O952" s="23"/>
      <c r="P952" s="24"/>
      <c r="Q952" s="24"/>
      <c r="R952" s="24"/>
      <c r="S952" s="22" t="str">
        <f t="shared" si="72"/>
        <v/>
      </c>
      <c r="T952" s="22" t="str">
        <f t="shared" si="73"/>
        <v/>
      </c>
      <c r="U952" s="25"/>
      <c r="V952" s="25"/>
      <c r="W952" s="25"/>
      <c r="X952" s="25"/>
      <c r="Y952" s="22" t="str">
        <f t="shared" si="74"/>
        <v/>
      </c>
      <c r="Z952" s="25"/>
      <c r="AA952" s="25"/>
      <c r="AB952" s="25"/>
      <c r="AC952" s="25"/>
      <c r="AD952" s="25"/>
      <c r="AE952" s="25"/>
      <c r="AF952" s="25"/>
      <c r="AG952" s="9"/>
      <c r="AH952" s="29"/>
      <c r="AI952" s="29"/>
      <c r="AM952" s="50"/>
      <c r="AN952" s="51" t="s">
        <v>4817</v>
      </c>
      <c r="AO952" s="55" t="s">
        <v>1895</v>
      </c>
    </row>
    <row r="953" spans="1:41" ht="45.6" customHeight="1" x14ac:dyDescent="0.3">
      <c r="A953" s="20">
        <v>949</v>
      </c>
      <c r="B953" s="8" t="s">
        <v>4818</v>
      </c>
      <c r="C953" s="26">
        <v>2025</v>
      </c>
      <c r="D953" s="8"/>
      <c r="E953" s="8" t="s">
        <v>1898</v>
      </c>
      <c r="F953" s="20" t="s">
        <v>1980</v>
      </c>
      <c r="G953" s="21" t="s">
        <v>1968</v>
      </c>
      <c r="H953" s="21" t="s">
        <v>1979</v>
      </c>
      <c r="I953" s="21" t="s">
        <v>1968</v>
      </c>
      <c r="J953" s="21" t="s">
        <v>1968</v>
      </c>
      <c r="K953" s="21" t="s">
        <v>1968</v>
      </c>
      <c r="L953" s="22" t="str">
        <f t="shared" si="70"/>
        <v>EXCLUDE</v>
      </c>
      <c r="M953" s="22" t="str">
        <f t="shared" si="71"/>
        <v>Digital Twin not core / buzzword</v>
      </c>
      <c r="N953" s="23"/>
      <c r="O953" s="23"/>
      <c r="P953" s="24"/>
      <c r="Q953" s="24"/>
      <c r="R953" s="24"/>
      <c r="S953" s="22" t="str">
        <f t="shared" si="72"/>
        <v/>
      </c>
      <c r="T953" s="22" t="str">
        <f t="shared" si="73"/>
        <v/>
      </c>
      <c r="U953" s="25"/>
      <c r="V953" s="25"/>
      <c r="W953" s="25"/>
      <c r="X953" s="25"/>
      <c r="Y953" s="22" t="str">
        <f t="shared" si="74"/>
        <v/>
      </c>
      <c r="Z953" s="25"/>
      <c r="AA953" s="25"/>
      <c r="AB953" s="25"/>
      <c r="AC953" s="25"/>
      <c r="AD953" s="25"/>
      <c r="AE953" s="25"/>
      <c r="AF953" s="25"/>
      <c r="AG953" s="9"/>
      <c r="AH953" s="29"/>
      <c r="AI953" s="29"/>
      <c r="AM953" s="50"/>
      <c r="AN953" s="51" t="s">
        <v>4819</v>
      </c>
      <c r="AO953" s="55" t="s">
        <v>1897</v>
      </c>
    </row>
    <row r="954" spans="1:41" ht="68.400000000000006" customHeight="1" x14ac:dyDescent="0.3">
      <c r="A954" s="20">
        <v>950</v>
      </c>
      <c r="B954" s="8" t="s">
        <v>4820</v>
      </c>
      <c r="C954" s="26">
        <v>2025</v>
      </c>
      <c r="D954" s="8"/>
      <c r="E954" s="8" t="s">
        <v>1900</v>
      </c>
      <c r="F954" s="20" t="s">
        <v>1980</v>
      </c>
      <c r="G954" s="21" t="s">
        <v>1968</v>
      </c>
      <c r="H954" s="21" t="s">
        <v>1979</v>
      </c>
      <c r="I954" s="21" t="s">
        <v>1968</v>
      </c>
      <c r="J954" s="21" t="s">
        <v>1968</v>
      </c>
      <c r="K954" s="21" t="s">
        <v>1968</v>
      </c>
      <c r="L954" s="22" t="str">
        <f t="shared" si="70"/>
        <v>EXCLUDE</v>
      </c>
      <c r="M954" s="22" t="str">
        <f t="shared" si="71"/>
        <v>Digital Twin not core / buzzword</v>
      </c>
      <c r="N954" s="23"/>
      <c r="O954" s="23"/>
      <c r="P954" s="24"/>
      <c r="Q954" s="24"/>
      <c r="R954" s="24"/>
      <c r="S954" s="22" t="str">
        <f t="shared" si="72"/>
        <v/>
      </c>
      <c r="T954" s="22" t="str">
        <f t="shared" si="73"/>
        <v/>
      </c>
      <c r="U954" s="25"/>
      <c r="V954" s="25"/>
      <c r="W954" s="25"/>
      <c r="X954" s="25"/>
      <c r="Y954" s="22" t="str">
        <f t="shared" si="74"/>
        <v/>
      </c>
      <c r="Z954" s="25"/>
      <c r="AA954" s="25"/>
      <c r="AB954" s="25"/>
      <c r="AC954" s="25"/>
      <c r="AD954" s="25"/>
      <c r="AE954" s="25"/>
      <c r="AF954" s="25"/>
      <c r="AG954" s="9"/>
      <c r="AH954" s="29"/>
      <c r="AI954" s="29"/>
      <c r="AM954" s="50"/>
      <c r="AN954" s="51" t="s">
        <v>4821</v>
      </c>
      <c r="AO954" s="55" t="s">
        <v>1899</v>
      </c>
    </row>
    <row r="955" spans="1:41" ht="45.6" customHeight="1" x14ac:dyDescent="0.3">
      <c r="A955" s="20">
        <v>951</v>
      </c>
      <c r="B955" s="8" t="s">
        <v>4822</v>
      </c>
      <c r="C955" s="26">
        <v>2026</v>
      </c>
      <c r="D955" s="8"/>
      <c r="E955" s="8" t="s">
        <v>1902</v>
      </c>
      <c r="F955" s="20" t="s">
        <v>1980</v>
      </c>
      <c r="G955" s="21" t="s">
        <v>1979</v>
      </c>
      <c r="H955" s="21" t="s">
        <v>1968</v>
      </c>
      <c r="I955" s="21" t="s">
        <v>1968</v>
      </c>
      <c r="J955" s="21" t="s">
        <v>1968</v>
      </c>
      <c r="K955" s="21" t="s">
        <v>1968</v>
      </c>
      <c r="L955" s="22" t="str">
        <f t="shared" si="70"/>
        <v>EXCLUDE</v>
      </c>
      <c r="M955" s="22" t="str">
        <f t="shared" si="71"/>
        <v>Wrong domain (non-AECO)</v>
      </c>
      <c r="N955" s="23"/>
      <c r="O955" s="23"/>
      <c r="P955" s="24"/>
      <c r="Q955" s="24"/>
      <c r="R955" s="24"/>
      <c r="S955" s="22" t="str">
        <f t="shared" si="72"/>
        <v/>
      </c>
      <c r="T955" s="22" t="str">
        <f t="shared" si="73"/>
        <v/>
      </c>
      <c r="U955" s="25"/>
      <c r="V955" s="25"/>
      <c r="W955" s="25"/>
      <c r="X955" s="25"/>
      <c r="Y955" s="22" t="str">
        <f t="shared" si="74"/>
        <v/>
      </c>
      <c r="Z955" s="25"/>
      <c r="AA955" s="25"/>
      <c r="AB955" s="25"/>
      <c r="AC955" s="25"/>
      <c r="AD955" s="25"/>
      <c r="AE955" s="25"/>
      <c r="AF955" s="25"/>
      <c r="AG955" s="9"/>
      <c r="AH955" s="29"/>
      <c r="AI955" s="29"/>
      <c r="AM955" s="50"/>
      <c r="AN955" s="51" t="s">
        <v>4823</v>
      </c>
      <c r="AO955" s="55" t="s">
        <v>1901</v>
      </c>
    </row>
    <row r="956" spans="1:41" ht="68.400000000000006" customHeight="1" x14ac:dyDescent="0.3">
      <c r="A956" s="20">
        <v>952</v>
      </c>
      <c r="B956" s="8" t="s">
        <v>4824</v>
      </c>
      <c r="C956" s="26">
        <v>2025</v>
      </c>
      <c r="D956" s="8"/>
      <c r="E956" s="8" t="s">
        <v>1904</v>
      </c>
      <c r="F956" s="20" t="s">
        <v>1980</v>
      </c>
      <c r="G956" s="21" t="s">
        <v>1968</v>
      </c>
      <c r="H956" s="21" t="s">
        <v>1979</v>
      </c>
      <c r="I956" s="21" t="s">
        <v>1968</v>
      </c>
      <c r="J956" s="21" t="s">
        <v>1968</v>
      </c>
      <c r="K956" s="21" t="s">
        <v>1968</v>
      </c>
      <c r="L956" s="22" t="str">
        <f t="shared" si="70"/>
        <v>EXCLUDE</v>
      </c>
      <c r="M956" s="22" t="str">
        <f t="shared" si="71"/>
        <v>Digital Twin not core / buzzword</v>
      </c>
      <c r="N956" s="23"/>
      <c r="O956" s="23"/>
      <c r="P956" s="24"/>
      <c r="Q956" s="24"/>
      <c r="R956" s="24"/>
      <c r="S956" s="22" t="str">
        <f t="shared" si="72"/>
        <v/>
      </c>
      <c r="T956" s="22" t="str">
        <f t="shared" si="73"/>
        <v/>
      </c>
      <c r="U956" s="25"/>
      <c r="V956" s="25"/>
      <c r="W956" s="25"/>
      <c r="X956" s="25"/>
      <c r="Y956" s="22" t="str">
        <f t="shared" si="74"/>
        <v/>
      </c>
      <c r="Z956" s="25"/>
      <c r="AA956" s="25"/>
      <c r="AB956" s="25"/>
      <c r="AC956" s="25"/>
      <c r="AD956" s="25"/>
      <c r="AE956" s="25"/>
      <c r="AF956" s="25"/>
      <c r="AG956" s="9"/>
      <c r="AH956" s="29"/>
      <c r="AI956" s="29"/>
      <c r="AM956" s="50"/>
      <c r="AN956" s="51" t="s">
        <v>4825</v>
      </c>
      <c r="AO956" s="55" t="s">
        <v>1903</v>
      </c>
    </row>
    <row r="957" spans="1:41" ht="45.6" customHeight="1" x14ac:dyDescent="0.3">
      <c r="A957" s="20">
        <v>953</v>
      </c>
      <c r="B957" s="8" t="s">
        <v>4826</v>
      </c>
      <c r="C957" s="26">
        <v>2026</v>
      </c>
      <c r="D957" s="8"/>
      <c r="E957" s="8" t="s">
        <v>1906</v>
      </c>
      <c r="F957" s="20" t="s">
        <v>1980</v>
      </c>
      <c r="G957" s="21" t="s">
        <v>1979</v>
      </c>
      <c r="H957" s="21" t="s">
        <v>1968</v>
      </c>
      <c r="I957" s="21" t="s">
        <v>1968</v>
      </c>
      <c r="J957" s="21" t="s">
        <v>1968</v>
      </c>
      <c r="K957" s="21" t="s">
        <v>1968</v>
      </c>
      <c r="L957" s="22" t="str">
        <f t="shared" si="70"/>
        <v>EXCLUDE</v>
      </c>
      <c r="M957" s="22" t="str">
        <f t="shared" si="71"/>
        <v>Wrong domain (non-AECO)</v>
      </c>
      <c r="N957" s="23"/>
      <c r="O957" s="23"/>
      <c r="P957" s="24"/>
      <c r="Q957" s="24"/>
      <c r="R957" s="24"/>
      <c r="S957" s="22" t="str">
        <f t="shared" si="72"/>
        <v/>
      </c>
      <c r="T957" s="22" t="str">
        <f t="shared" si="73"/>
        <v/>
      </c>
      <c r="U957" s="25"/>
      <c r="V957" s="25"/>
      <c r="W957" s="25"/>
      <c r="X957" s="25"/>
      <c r="Y957" s="22" t="str">
        <f t="shared" si="74"/>
        <v/>
      </c>
      <c r="Z957" s="25"/>
      <c r="AA957" s="25"/>
      <c r="AB957" s="25"/>
      <c r="AC957" s="25"/>
      <c r="AD957" s="25"/>
      <c r="AE957" s="25"/>
      <c r="AF957" s="25"/>
      <c r="AG957" s="9"/>
      <c r="AH957" s="29"/>
      <c r="AI957" s="29"/>
      <c r="AM957" s="50"/>
      <c r="AN957" s="51" t="s">
        <v>4827</v>
      </c>
      <c r="AO957" s="55" t="s">
        <v>1905</v>
      </c>
    </row>
    <row r="958" spans="1:41" ht="45.6" customHeight="1" x14ac:dyDescent="0.3">
      <c r="A958" s="20">
        <v>954</v>
      </c>
      <c r="B958" s="8" t="s">
        <v>4828</v>
      </c>
      <c r="C958" s="26">
        <v>2026</v>
      </c>
      <c r="D958" s="8"/>
      <c r="E958" s="8" t="s">
        <v>1908</v>
      </c>
      <c r="F958" s="20" t="s">
        <v>1980</v>
      </c>
      <c r="G958" s="21" t="s">
        <v>1968</v>
      </c>
      <c r="H958" s="21" t="s">
        <v>1979</v>
      </c>
      <c r="I958" s="21" t="s">
        <v>1968</v>
      </c>
      <c r="J958" s="21" t="s">
        <v>1968</v>
      </c>
      <c r="K958" s="21" t="s">
        <v>1968</v>
      </c>
      <c r="L958" s="22" t="str">
        <f t="shared" si="70"/>
        <v>EXCLUDE</v>
      </c>
      <c r="M958" s="22" t="str">
        <f t="shared" si="71"/>
        <v>Digital Twin not core / buzzword</v>
      </c>
      <c r="N958" s="23"/>
      <c r="O958" s="23"/>
      <c r="P958" s="24"/>
      <c r="Q958" s="24"/>
      <c r="R958" s="24"/>
      <c r="S958" s="22" t="str">
        <f t="shared" si="72"/>
        <v/>
      </c>
      <c r="T958" s="22" t="str">
        <f t="shared" si="73"/>
        <v/>
      </c>
      <c r="U958" s="25"/>
      <c r="V958" s="25"/>
      <c r="W958" s="25"/>
      <c r="X958" s="25"/>
      <c r="Y958" s="22" t="str">
        <f t="shared" si="74"/>
        <v/>
      </c>
      <c r="Z958" s="25"/>
      <c r="AA958" s="25"/>
      <c r="AB958" s="25"/>
      <c r="AC958" s="25"/>
      <c r="AD958" s="25"/>
      <c r="AE958" s="25"/>
      <c r="AF958" s="25"/>
      <c r="AG958" s="9"/>
      <c r="AH958" s="29"/>
      <c r="AI958" s="29"/>
      <c r="AM958" s="50"/>
      <c r="AN958" s="51" t="s">
        <v>4829</v>
      </c>
      <c r="AO958" s="55" t="s">
        <v>1907</v>
      </c>
    </row>
    <row r="959" spans="1:41" ht="45.6" customHeight="1" x14ac:dyDescent="0.3">
      <c r="A959" s="20">
        <v>955</v>
      </c>
      <c r="B959" s="8" t="s">
        <v>4830</v>
      </c>
      <c r="C959" s="26">
        <v>2021</v>
      </c>
      <c r="D959" s="8"/>
      <c r="E959" s="8" t="s">
        <v>1910</v>
      </c>
      <c r="F959" s="20" t="s">
        <v>1980</v>
      </c>
      <c r="G959" s="21" t="s">
        <v>1979</v>
      </c>
      <c r="H959" s="21" t="s">
        <v>1968</v>
      </c>
      <c r="I959" s="21" t="s">
        <v>1968</v>
      </c>
      <c r="J959" s="21" t="s">
        <v>1968</v>
      </c>
      <c r="K959" s="21" t="s">
        <v>1968</v>
      </c>
      <c r="L959" s="22" t="str">
        <f t="shared" si="70"/>
        <v>EXCLUDE</v>
      </c>
      <c r="M959" s="22" t="str">
        <f t="shared" si="71"/>
        <v>Wrong domain (non-AECO)</v>
      </c>
      <c r="N959" s="23"/>
      <c r="O959" s="23"/>
      <c r="P959" s="24"/>
      <c r="Q959" s="24"/>
      <c r="R959" s="24"/>
      <c r="S959" s="22" t="str">
        <f t="shared" si="72"/>
        <v/>
      </c>
      <c r="T959" s="22" t="str">
        <f t="shared" si="73"/>
        <v/>
      </c>
      <c r="U959" s="25"/>
      <c r="V959" s="25"/>
      <c r="W959" s="25"/>
      <c r="X959" s="25"/>
      <c r="Y959" s="22" t="str">
        <f t="shared" si="74"/>
        <v/>
      </c>
      <c r="Z959" s="25"/>
      <c r="AA959" s="25"/>
      <c r="AB959" s="25"/>
      <c r="AC959" s="25"/>
      <c r="AD959" s="25"/>
      <c r="AE959" s="25"/>
      <c r="AF959" s="25"/>
      <c r="AG959" s="9"/>
      <c r="AH959" s="29"/>
      <c r="AI959" s="29"/>
      <c r="AM959" s="50"/>
      <c r="AN959" s="51" t="s">
        <v>4831</v>
      </c>
      <c r="AO959" s="55" t="s">
        <v>1909</v>
      </c>
    </row>
    <row r="960" spans="1:41" ht="34.200000000000003" customHeight="1" x14ac:dyDescent="0.3">
      <c r="A960" s="20">
        <v>956</v>
      </c>
      <c r="B960" s="8" t="s">
        <v>4832</v>
      </c>
      <c r="C960" s="26">
        <v>2026</v>
      </c>
      <c r="D960" s="8"/>
      <c r="E960" s="8" t="s">
        <v>1912</v>
      </c>
      <c r="F960" s="20" t="s">
        <v>1980</v>
      </c>
      <c r="G960" s="21" t="s">
        <v>1979</v>
      </c>
      <c r="H960" s="21" t="s">
        <v>1968</v>
      </c>
      <c r="I960" s="21" t="s">
        <v>1968</v>
      </c>
      <c r="J960" s="21" t="s">
        <v>1968</v>
      </c>
      <c r="K960" s="21" t="s">
        <v>1968</v>
      </c>
      <c r="L960" s="22" t="str">
        <f t="shared" si="70"/>
        <v>EXCLUDE</v>
      </c>
      <c r="M960" s="22" t="str">
        <f t="shared" si="71"/>
        <v>Wrong domain (non-AECO)</v>
      </c>
      <c r="N960" s="23"/>
      <c r="O960" s="23"/>
      <c r="P960" s="24"/>
      <c r="Q960" s="24"/>
      <c r="R960" s="24"/>
      <c r="S960" s="22" t="str">
        <f t="shared" si="72"/>
        <v/>
      </c>
      <c r="T960" s="22" t="str">
        <f t="shared" si="73"/>
        <v/>
      </c>
      <c r="U960" s="25"/>
      <c r="V960" s="25"/>
      <c r="W960" s="25"/>
      <c r="X960" s="25"/>
      <c r="Y960" s="22" t="str">
        <f t="shared" si="74"/>
        <v/>
      </c>
      <c r="Z960" s="25"/>
      <c r="AA960" s="25"/>
      <c r="AB960" s="25"/>
      <c r="AC960" s="25"/>
      <c r="AD960" s="25"/>
      <c r="AE960" s="25"/>
      <c r="AF960" s="25"/>
      <c r="AG960" s="9"/>
      <c r="AH960" s="29"/>
      <c r="AI960" s="29"/>
      <c r="AM960" s="50"/>
      <c r="AN960" s="51" t="s">
        <v>4833</v>
      </c>
      <c r="AO960" s="55" t="s">
        <v>1911</v>
      </c>
    </row>
  </sheetData>
  <autoFilter ref="A4:AO960" xr:uid="{00000000-0009-0000-0000-000002000000}">
    <filterColumn colId="14">
      <filters>
        <filter val="Yes"/>
      </filters>
    </filterColumn>
    <filterColumn colId="18">
      <filters>
        <filter val="INCLUDE"/>
      </filters>
    </filterColumn>
  </autoFilter>
  <phoneticPr fontId="3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21" sqref="B21"/>
    </sheetView>
  </sheetViews>
  <sheetFormatPr defaultColWidth="8.6640625" defaultRowHeight="14.4" x14ac:dyDescent="0.3"/>
  <cols>
    <col min="1" max="1" width="46" customWidth="1"/>
    <col min="2" max="2" width="14" customWidth="1"/>
  </cols>
  <sheetData>
    <row r="1" spans="1:2" ht="16.95" customHeight="1" x14ac:dyDescent="0.3">
      <c r="A1" s="10" t="s">
        <v>4834</v>
      </c>
    </row>
    <row r="3" spans="1:2" x14ac:dyDescent="0.3">
      <c r="A3" s="11" t="s">
        <v>4835</v>
      </c>
      <c r="B3" s="6" t="s">
        <v>4836</v>
      </c>
    </row>
    <row r="4" spans="1:2" x14ac:dyDescent="0.3">
      <c r="A4" s="12" t="s">
        <v>4837</v>
      </c>
      <c r="B4" s="13">
        <f>COUNTA(Matrix!$A$5:$A$960)</f>
        <v>956</v>
      </c>
    </row>
    <row r="5" spans="1:2" x14ac:dyDescent="0.3">
      <c r="A5" s="12" t="s">
        <v>4838</v>
      </c>
      <c r="B5" s="13">
        <f>COUNTIF(Matrix!$L$5:$L$960,"INCLUDE")+COUNTIF(Matrix!$L$5:$L$960,"EXCLUDE")</f>
        <v>956</v>
      </c>
    </row>
    <row r="6" spans="1:2" x14ac:dyDescent="0.3">
      <c r="A6" s="12" t="s">
        <v>4839</v>
      </c>
      <c r="B6" s="13">
        <f>COUNTIF(Matrix!$L$5:$L$960,"EXCLUDE")</f>
        <v>712</v>
      </c>
    </row>
    <row r="7" spans="1:2" x14ac:dyDescent="0.3">
      <c r="A7" s="14" t="s">
        <v>4840</v>
      </c>
      <c r="B7" s="15">
        <f>COUNTIF(Matrix!$L$5:$L$960,"INCLUDE")</f>
        <v>244</v>
      </c>
    </row>
    <row r="8" spans="1:2" x14ac:dyDescent="0.3">
      <c r="A8" s="12" t="s">
        <v>4841</v>
      </c>
      <c r="B8" s="13">
        <f>COUNTIFS(Matrix!$L$5:$L$960,"INCLUDE",Matrix!$N$5:$N$960,"Yes")</f>
        <v>240</v>
      </c>
    </row>
    <row r="9" spans="1:2" x14ac:dyDescent="0.3">
      <c r="A9" s="12" t="s">
        <v>4842</v>
      </c>
      <c r="B9" s="13">
        <f>COUNTIFS(Matrix!$L$5:$L$960,"INCLUDE",Matrix!$N$5:$N$960,"No")</f>
        <v>4</v>
      </c>
    </row>
    <row r="10" spans="1:2" x14ac:dyDescent="0.3">
      <c r="A10" s="14" t="s">
        <v>4843</v>
      </c>
      <c r="B10" s="15">
        <f>COUNTIFS(Matrix!$N$5:$N$960,"Yes",Matrix!$S$5:$S$960,"INCLUDE")+COUNTIFS(Matrix!$N$5:$N$960,"Yes",Matrix!$S$5:$S$960,"EXCLUDE")</f>
        <v>240</v>
      </c>
    </row>
    <row r="11" spans="1:2" x14ac:dyDescent="0.3">
      <c r="A11" s="12" t="s">
        <v>4844</v>
      </c>
      <c r="B11" s="13">
        <f>COUNTIF(Matrix!$S$5:$S$960,"EXCLUDE")</f>
        <v>18</v>
      </c>
    </row>
    <row r="12" spans="1:2" x14ac:dyDescent="0.3">
      <c r="A12" s="16" t="s">
        <v>4845</v>
      </c>
      <c r="B12" s="17">
        <f>COUNTIF(Matrix!$S$5:$S$960,"INCLUDE")</f>
        <v>222</v>
      </c>
    </row>
    <row r="14" spans="1:2" ht="15.6" customHeight="1" x14ac:dyDescent="0.3">
      <c r="A14" s="3" t="s">
        <v>4846</v>
      </c>
    </row>
    <row r="15" spans="1:2" x14ac:dyDescent="0.3">
      <c r="A15" s="11" t="s">
        <v>4847</v>
      </c>
      <c r="B15" s="6" t="s">
        <v>4836</v>
      </c>
    </row>
    <row r="16" spans="1:2" x14ac:dyDescent="0.3">
      <c r="A16" s="12" t="s">
        <v>4848</v>
      </c>
      <c r="B16" s="13">
        <f>COUNTIF(Matrix!$M$5:$M$960,"Wrong domain (non-AECO)")</f>
        <v>415</v>
      </c>
    </row>
    <row r="17" spans="1:2" x14ac:dyDescent="0.3">
      <c r="A17" s="12" t="s">
        <v>4849</v>
      </c>
      <c r="B17" s="13">
        <f>COUNTIF(Matrix!$M$5:$M$960,"Digital Twin not core / buzzword")</f>
        <v>229</v>
      </c>
    </row>
    <row r="18" spans="1:2" x14ac:dyDescent="0.3">
      <c r="A18" s="12" t="s">
        <v>4850</v>
      </c>
      <c r="B18" s="13">
        <f>COUNTIF(Matrix!$M$5:$M$960,"No Design for Safety / PtD focus")</f>
        <v>63</v>
      </c>
    </row>
    <row r="19" spans="1:2" x14ac:dyDescent="0.3">
      <c r="A19" s="12" t="s">
        <v>4851</v>
      </c>
      <c r="B19" s="13">
        <f>COUNTIF(Matrix!$M$5:$M$960,"Wrong publication type")</f>
        <v>1</v>
      </c>
    </row>
    <row r="20" spans="1:2" x14ac:dyDescent="0.3">
      <c r="A20" s="12" t="s">
        <v>4852</v>
      </c>
      <c r="B20" s="13">
        <f>COUNTIF(Matrix!$M$5:$M$960,"Non-English")</f>
        <v>4</v>
      </c>
    </row>
    <row r="21" spans="1:2" x14ac:dyDescent="0.3">
      <c r="A21" s="18" t="s">
        <v>4853</v>
      </c>
      <c r="B21" s="19">
        <f>SUM(B16:B20)</f>
        <v>712</v>
      </c>
    </row>
    <row r="23" spans="1:2" ht="15.6" customHeight="1" x14ac:dyDescent="0.3">
      <c r="A23" s="3" t="s">
        <v>4854</v>
      </c>
    </row>
    <row r="24" spans="1:2" x14ac:dyDescent="0.3">
      <c r="A24" s="11" t="s">
        <v>4847</v>
      </c>
      <c r="B24" s="6" t="s">
        <v>4836</v>
      </c>
    </row>
    <row r="25" spans="1:2" x14ac:dyDescent="0.3">
      <c r="A25" s="12" t="s">
        <v>4855</v>
      </c>
      <c r="B25" s="13">
        <f>COUNTIF(Matrix!$T$5:$T$960,"Digital Twin mentioned only, not the subject")</f>
        <v>14</v>
      </c>
    </row>
    <row r="26" spans="1:2" x14ac:dyDescent="0.3">
      <c r="A26" s="12" t="s">
        <v>4856</v>
      </c>
      <c r="B26" s="13">
        <f>COUNTIF(Matrix!$T$5:$T$960,"No Design for Safety focus in full text")</f>
        <v>4</v>
      </c>
    </row>
    <row r="27" spans="1:2" x14ac:dyDescent="0.3">
      <c r="A27" s="12" t="s">
        <v>4857</v>
      </c>
      <c r="B27" s="13">
        <f>COUNTIF(Matrix!$T$5:$T$960,"Methodology not codable")</f>
        <v>0</v>
      </c>
    </row>
    <row r="28" spans="1:2" x14ac:dyDescent="0.3">
      <c r="A28" s="18" t="s">
        <v>4858</v>
      </c>
      <c r="B28" s="19">
        <f>SUM(B25:B27)</f>
        <v>18</v>
      </c>
    </row>
  </sheetData>
  <phoneticPr fontId="30"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5"/>
  <sheetViews>
    <sheetView showGridLines="0" zoomScaleNormal="100" workbookViewId="0">
      <selection activeCell="D16" sqref="D16"/>
    </sheetView>
  </sheetViews>
  <sheetFormatPr defaultRowHeight="14.4" x14ac:dyDescent="0.3"/>
  <cols>
    <col min="1" max="1" width="82.6640625" bestFit="1" customWidth="1"/>
    <col min="2" max="2" width="96.33203125" customWidth="1"/>
    <col min="16" max="16" width="27.6640625" customWidth="1"/>
  </cols>
  <sheetData>
    <row r="1" spans="5:17" x14ac:dyDescent="0.3">
      <c r="P1" s="30"/>
    </row>
    <row r="2" spans="5:17" x14ac:dyDescent="0.3">
      <c r="P2" s="30"/>
      <c r="Q2" s="30"/>
    </row>
    <row r="8" spans="5:17" x14ac:dyDescent="0.3">
      <c r="P8" s="30"/>
    </row>
    <row r="9" spans="5:17" x14ac:dyDescent="0.3">
      <c r="P9" s="30"/>
      <c r="Q9" s="30"/>
    </row>
    <row r="14" spans="5:17" x14ac:dyDescent="0.3">
      <c r="E14">
        <v>112</v>
      </c>
    </row>
    <row r="15" spans="5:17" x14ac:dyDescent="0.3">
      <c r="E15">
        <v>99</v>
      </c>
    </row>
    <row r="16" spans="5:17" x14ac:dyDescent="0.3">
      <c r="E16">
        <v>30</v>
      </c>
    </row>
    <row r="17" spans="5:5" x14ac:dyDescent="0.3">
      <c r="E17">
        <v>21</v>
      </c>
    </row>
    <row r="58" spans="1:2" x14ac:dyDescent="0.3">
      <c r="A58" s="32" t="s">
        <v>4859</v>
      </c>
      <c r="B58" s="33"/>
    </row>
    <row r="59" spans="1:2" x14ac:dyDescent="0.3">
      <c r="A59" s="34" t="s">
        <v>4860</v>
      </c>
      <c r="B59" s="34" t="s">
        <v>4861</v>
      </c>
    </row>
    <row r="60" spans="1:2" x14ac:dyDescent="0.3">
      <c r="A60" s="35" t="s">
        <v>4862</v>
      </c>
      <c r="B60" s="35" t="str">
        <f>"Records identified from databases"&amp;CHAR(10)&amp;"(Scopus · Web of Science)"&amp;CHAR(10)&amp;"n = "&amp;TEXT(Step1_Report!$B$4,"0")</f>
        <v>Records identified from databases
(Scopus · Web of Science)
n = 956</v>
      </c>
    </row>
    <row r="61" spans="1:2" x14ac:dyDescent="0.3">
      <c r="A61" s="35" t="s">
        <v>4863</v>
      </c>
      <c r="B61" s="35" t="str">
        <f>"Records screened at Stage 1"&amp;CHAR(10)&amp;"(title &amp; abstract)"&amp;CHAR(10)&amp;"n = "&amp;TEXT(Step1_Report!$B$5,"0")</f>
        <v>Records screened at Stage 1
(title &amp; abstract)
n = 956</v>
      </c>
    </row>
    <row r="62" spans="1:2" x14ac:dyDescent="0.3">
      <c r="A62" s="35" t="s">
        <v>4864</v>
      </c>
      <c r="B62" s="35"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712
• Digital Twin not core / buzzword: 229
• Wrong domain (non-AECO): 415
• Non-English: 4
• No Design for Safety / PtD focus: 63
• Wrong publication type: 1</v>
      </c>
    </row>
    <row r="63" spans="1:2" x14ac:dyDescent="0.3">
      <c r="A63" s="35" t="s">
        <v>4865</v>
      </c>
      <c r="B63" s="35" t="str">
        <f>"Reports sought for retrieval"&amp;CHAR(10)&amp;"n = "&amp;TEXT(Step1_Report!$B$7,"0")</f>
        <v>Reports sought for retrieval
n = 244</v>
      </c>
    </row>
    <row r="64" spans="1:2" x14ac:dyDescent="0.3">
      <c r="A64" s="35" t="s">
        <v>4866</v>
      </c>
      <c r="B64" s="35" t="str">
        <f>"Reports not retrieved"&amp;CHAR(10)&amp;"(full-text PDF not on hand)"&amp;CHAR(10)&amp;"n = "&amp;TEXT(Step1_Report!$B$7-Step1_Report!$B$10,"0")</f>
        <v>Reports not retrieved
(full-text PDF not on hand)
n = 4</v>
      </c>
    </row>
    <row r="65" spans="1:2" x14ac:dyDescent="0.3">
      <c r="A65" s="35" t="s">
        <v>4867</v>
      </c>
      <c r="B65" s="35" t="str">
        <f>"Reports assessed for eligibility"&amp;CHAR(10)&amp;"(Stage 2 — full text)"&amp;CHAR(10)&amp;"n = "&amp;TEXT(Step1_Report!$B$10,"0")</f>
        <v>Reports assessed for eligibility
(Stage 2 — full text)
n = 240</v>
      </c>
    </row>
    <row r="66" spans="1:2" x14ac:dyDescent="0.3">
      <c r="A66" s="35" t="s">
        <v>4868</v>
      </c>
      <c r="B66" s="35" t="str">
        <f>"Reports excluded at Stage 2   n = "&amp;TEXT(Step1_Report!$B$11,"0")&amp;CHAR(10)&amp;"• "&amp;Step1_Report!$A$25&amp;": "&amp;TEXT(Step1_Report!$B$25,"0")&amp;CHAR(10)&amp;"• "&amp;Step1_Report!$A$26&amp;": "&amp;TEXT(Step1_Report!$B$26,"0")&amp;CHAR(10)&amp;"• "&amp;Step1_Report!$A$27&amp;": "&amp;TEXT(Step1_Report!$B$27,"0")</f>
        <v>Reports excluded at Stage 2   n = 18
• Digital Twin mentioned only, not the subject: 14
• No Design for Safety focus in full text: 4
• Methodology not codable: 0</v>
      </c>
    </row>
    <row r="67" spans="1:2" x14ac:dyDescent="0.3">
      <c r="A67" s="35" t="s">
        <v>4869</v>
      </c>
      <c r="B67" s="35" t="str">
        <f>"STUDIES INCLUDED IN SYNTHESIS"&amp;CHAR(10)&amp;"n = "&amp;TEXT(Step1_Report!$B$12,"0")</f>
        <v>STUDIES INCLUDED IN SYNTHESIS
n = 222</v>
      </c>
    </row>
    <row r="68" spans="1:2" x14ac:dyDescent="0.3">
      <c r="A68" s="35" t="s">
        <v>4870</v>
      </c>
      <c r="B68" s="35" t="str">
        <f>"Characteristics of the "&amp;TEXT(Step3_Report!$B$2,"0")&amp;" included studies"</f>
        <v>Characteristics of the 222 included studies</v>
      </c>
    </row>
    <row r="69" spans="1:2" x14ac:dyDescent="0.3">
      <c r="A69" s="34" t="s">
        <v>4871</v>
      </c>
      <c r="B69" s="35"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52  (23.4%)
• Tier 2 – Digital Shadow: 137  (61.7%)
• Tier 3 – Digital Twin: 29  (13.1%)
• Tier 4 – Cognitive: 0  (0.0%)
• Unclear: 4  (1.8%)</v>
      </c>
    </row>
    <row r="70" spans="1:2" x14ac:dyDescent="0.3">
      <c r="A70" s="34" t="s">
        <v>4872</v>
      </c>
      <c r="B70" s="35" t="str">
        <f>Step3_Report!$A$13&amp;CHAR(10)&amp;"• None: "&amp;TEXT(Step3_Report!$B$15,"0")&amp;"  ("&amp;TEXT(Step3_Report!$C$15,"0.0%")&amp;")"&amp;CHAR(10)&amp;"• Mentioned only: "&amp;TEXT(Step3_Report!$B$16,"0")&amp;"  ("&amp;TEXT(Step3_Report!$C$16,"0.0%")&amp;")"&amp;CHAR(10)&amp;"• Implemented: "&amp;TEXT(Step3_Report!$B$17,"0")&amp;"  ("&amp;TEXT(Step3_Report!$C$17,"0.0%")&amp;")"&amp;CHAR(10)&amp;"• Convergence-characterised: "&amp;TEXT(Step3_Report!$B$18,"0")&amp;"  ("&amp;TEXT(Step3_Report!$C$18,"0.0%")&amp;")"</f>
        <v>Self-improvement / convergence (Gap 4 - core gap)
• None: 185  (83.3%)
• Mentioned only: 6  (2.7%)
• Implemented: 31  (14.0%)
• Convergence-characterised: 0  (0.0%)</v>
      </c>
    </row>
    <row r="71" spans="1:2" x14ac:dyDescent="0.3">
      <c r="A71" s="34" t="s">
        <v>4873</v>
      </c>
      <c r="B71" s="35" t="str">
        <f>Step3_Report!$A$35&amp;CHAR(10)&amp;"• "&amp;Step3_Report!$A$37&amp;": "&amp;TEXT(Step3_Report!$B$37,"0")&amp;"  ("&amp;TEXT(Step3_Report!$C$37,"0.0%")&amp;")"&amp;CHAR(10)&amp;"• "&amp;Step3_Report!$A$38&amp;": "&amp;TEXT(Step3_Report!$B$38,"0")&amp;"  ("&amp;TEXT(Step3_Report!$C$38,"0.0%")&amp;")"&amp;CHAR(10)&amp;"• "&amp;Step3_Report!$A$39&amp;": "&amp;TEXT(Step3_Report!$B$39,"0")&amp;"  ("&amp;TEXT(Step3_Report!$C$39,"0.0%")&amp;")"&amp;CHAR(10)&amp;"• "&amp;Step3_Report!$A$40&amp;": "&amp;TEXT(Step3_Report!$B$40,"0")&amp;"  ("&amp;TEXT(Step3_Report!$C$40,"0.0%")&amp;")"&amp;CHAR(10)&amp;"• "&amp;Step3_Report!$A$41&amp;": "&amp;TEXT(Step3_Report!$B$41,"0")&amp;"  ("&amp;TEXT(Step3_Report!$C$41,"0.0%")&amp;")"</f>
        <v>Validation level (Gap 5)
• Conceptual (no test): 16  (7.2%)
• Simulation: 44  (19.8%)
• Lab / scale-model experiment: 0  (0.0%)
• Single case study: 151  (68.0%)
• Cross-project (multiple real projects): 11  (5.0%)</v>
      </c>
    </row>
    <row r="72" spans="1:2" x14ac:dyDescent="0.3">
      <c r="A72" s="34" t="s">
        <v>4874</v>
      </c>
      <c r="B72" s="35" t="str">
        <f>"Lifecycle phase coverage (Gap 3)"&amp;CHAR(10)&amp;"• Design (any): "&amp;TEXT(Step3_Report!$B$62,"0")&amp;CHAR(10)&amp;"• Construction (any): "&amp;TEXT(Step3_Report!$B$63,"0")&amp;CHAR(10)&amp;"• Operation (any): "&amp;TEXT(Step3_Report!$B$64,"0")&amp;CHAR(10)&amp;"• Single-phase: "&amp;TEXT(Step3_Report!$B$65,"0")&amp;CHAR(10)&amp;"• Multi-phase (cross-phase): "&amp;TEXT(Step3_Report!$B$66,"0")</f>
        <v>Lifecycle phase coverage (Gap 3)
• Design (any): 10
• Construction (any): 97
• Operation (any): 122
• Single-phase: 216
• Multi-phase (cross-phase): 6</v>
      </c>
    </row>
    <row r="73" spans="1:2" x14ac:dyDescent="0.3">
      <c r="A73" s="35" t="s">
        <v>2027</v>
      </c>
      <c r="B73" s="35" t="str">
        <f>"PRISMA 2020 flow diagram — Digital Twins for Design for Safety in AECO"</f>
        <v>PRISMA 2020 flow diagram — Digital Twins for Design for Safety in AECO</v>
      </c>
    </row>
    <row r="74" spans="1:2" x14ac:dyDescent="0.3">
      <c r="A74" t="s">
        <v>4875</v>
      </c>
      <c r="B74" t="s">
        <v>4876</v>
      </c>
    </row>
    <row r="75" spans="1:2" x14ac:dyDescent="0.3">
      <c r="A75" s="34" t="s">
        <v>4877</v>
      </c>
      <c r="B75" s="31" t="str">
        <f>Step3_Report!$A$29&amp;CHAR(10)&amp;"• Single (one data type): "&amp;TEXT(Step3_Report!$B$31,"0")&amp;"  ("&amp;TEXT(Step3_Report!$C$31,"0.0%")&amp;")"&amp;CHAR(10)&amp;"• Multi (two or more data types): "&amp;TEXT(Step3_Report!$B$32,"0")&amp;"  ("&amp;TEXT(Step3_Report!$C$32,"0.0%")&amp;")"</f>
        <v>Data modality (Gap 2)
• Single (one data type): 19  (8.6%)
• Multi (two or more data types): 203  (91.4%)</v>
      </c>
    </row>
    <row r="76" spans="1:2" x14ac:dyDescent="0.3">
      <c r="A76" s="34" t="s">
        <v>4878</v>
      </c>
      <c r="B76" s="31" t="str">
        <f>Step3_Report!$A$88&amp;CHAR(10)&amp;"• Single: "&amp;TEXT(Step3_Report!$B$90,"0")&amp;"  ("&amp;TEXT(Step3_Report!$C$90,"0.0%")&amp;")"&amp;CHAR(10)&amp;"• Co-present: "&amp;TEXT(Step3_Report!$B$91,"0")&amp;"  ("&amp;TEXT(Step3_Report!$C$91,"0.0%")&amp;")"&amp;CHAR(10)&amp;"• Aligned: "&amp;TEXT(Step3_Report!$B$92,"0")&amp;"  ("&amp;TEXT(Step3_Report!$C$92,"0.0%")&amp;")"&amp;CHAR(10)&amp;"• Fused: "&amp;TEXT(Step3_Report!$B$93,"0")&amp;"  ("&amp;TEXT(Step3_Report!$C$93,"0.0%")&amp;")"&amp;CHAR(10)&amp;"• Unclear: "&amp;TEXT(Step3_Report!$B$94,"0")&amp;"  ("&amp;TEXT(Step3_Report!$C$94,"0.0%")&amp;")"</f>
        <v>Fusion depth (Gap 2b - how deeply are the data types actually integrated?)
• Single: 20  (9.0%)
• Co-present: 2  (0.9%)
• Aligned: 34  (15.3%)
• Fused: 152  (68.5%)
• Unclear: 14  (6.3%)</v>
      </c>
    </row>
    <row r="77" spans="1:2" x14ac:dyDescent="0.3">
      <c r="A77" s="34" t="s">
        <v>4879</v>
      </c>
      <c r="B77" s="31" t="str">
        <f>Step3_Report!$A$113</f>
        <v>Even among the 152 Fused studies, 121 (79.6%) implement no self-improvement and 0 characterise convergence - deep data integration does NOT translate into adaptive capability.</v>
      </c>
    </row>
    <row r="79" spans="1:2" x14ac:dyDescent="0.3">
      <c r="A79" s="34" t="s">
        <v>4880</v>
      </c>
    </row>
    <row r="80" spans="1:2" x14ac:dyDescent="0.3">
      <c r="A80" s="30" t="s">
        <v>4881</v>
      </c>
      <c r="B80" s="30" t="s">
        <v>4882</v>
      </c>
    </row>
    <row r="81" spans="1:2" x14ac:dyDescent="0.3">
      <c r="A81" t="s">
        <v>4883</v>
      </c>
      <c r="B81" t="str">
        <f>"1st screening by title &amp; abstract"&amp;CHAR(10)&amp;"n = "&amp;TEXT(Step1_Report!$B$5,"0")</f>
        <v>1st screening by title &amp; abstract
n = 956</v>
      </c>
    </row>
    <row r="82" spans="1:2" x14ac:dyDescent="0.3">
      <c r="A82" t="s">
        <v>4884</v>
      </c>
      <c r="B82" t="str">
        <f>"Reports sought for retrieval"&amp;CHAR(10)&amp;"n = "&amp;TEXT(Step1_Report!$B$7,"0")</f>
        <v>Reports sought for retrieval
n = 244</v>
      </c>
    </row>
    <row r="83" spans="1:2" x14ac:dyDescent="0.3">
      <c r="A83" t="s">
        <v>4885</v>
      </c>
      <c r="B83" t="str">
        <f>"Reports assessed for eligibility"&amp;CHAR(10)&amp;"n = "&amp;TEXT(Step1_Report!$B$10,"0")</f>
        <v>Reports assessed for eligibility
n = 240</v>
      </c>
    </row>
    <row r="84" spans="1:2" x14ac:dyDescent="0.3">
      <c r="A84" t="s">
        <v>4886</v>
      </c>
      <c r="B84" t="str">
        <f>"Studies Included In Synthesis (n = "&amp;TEXT(Step1_Report!$B$12,"0")&amp;")"</f>
        <v>Studies Included In Synthesis (n = 222)</v>
      </c>
    </row>
    <row r="85" spans="1:2" x14ac:dyDescent="0.3">
      <c r="A85" t="s">
        <v>4887</v>
      </c>
      <c r="B85" t="str">
        <f>"Records excluded in 1st screening (n = "&amp;TEXT(Step1_Report!$B$6,"0")&amp;")"&amp;CHAR(10)&amp;"1. Digital Twin not core / buzzword: a = "&amp;TEXT(Step1_Report!$B$17,"0")&amp;CHAR(10)&amp;"2. Wrong domain (non-AECO): b = "&amp;TEXT(Step1_Report!$B$16,"0")&amp;CHAR(10)&amp;"3. Non-English: c = "&amp;TEXT(Step1_Report!$B$20,"0")&amp;CHAR(10)&amp;"4. No DfS/DfQ: d = "&amp;TEXT(Step1_Report!$B$18,"0")</f>
        <v>Records excluded in 1st screening (n = 712)
1. Digital Twin not core / buzzword: a = 229
2. Wrong domain (non-AECO): b = 415
3. Non-English: c = 4
4. No DfS/DfQ: d = 63</v>
      </c>
    </row>
    <row r="86" spans="1:2" x14ac:dyDescent="0.3">
      <c r="A86" t="s">
        <v>4888</v>
      </c>
      <c r="B86" t="str">
        <f>"2nd screening (n = "&amp;TEXT(Step1_Report!$B$7-Step1_Report!$B$10,"0")&amp;")"&amp;CHAR(10)&amp;"1. full-text PDF not retrieved: a = "&amp;TEXT(Step1_Report!$B$9-2,"0")&amp;CHAR(10)&amp;"2. 2nd deduplication: b = 2"</f>
        <v>2nd screening (n = 4)
1. full-text PDF not retrieved: a = 2
2. 2nd deduplication: b = 2</v>
      </c>
    </row>
    <row r="87" spans="1:2" x14ac:dyDescent="0.3">
      <c r="A87" t="s">
        <v>4889</v>
      </c>
      <c r="B87" t="str">
        <f>"Reports excluded at 2nd screening (n = "&amp;TEXT(Step1_Report!$B$11,"0")&amp;")"&amp;CHAR(10)&amp;"1. Digital Twin not core / buzzword: a = "&amp;TEXT(Step1_Report!$B$25,"0")&amp;CHAR(10)&amp;"2. No DfS focus: b = "&amp;TEXT(Step1_Report!$B$26,"0")</f>
        <v>Reports excluded at 2nd screening (n = 18)
1. Digital Twin not core / buzzword: a = 14
2. No DfS focus: b = 4</v>
      </c>
    </row>
    <row r="88" spans="1:2" x14ac:dyDescent="0.3">
      <c r="A88" t="s">
        <v>4890</v>
      </c>
      <c r="B88" t="str">
        <f>$B$69</f>
        <v>Digital Twin capability tier (Gap 1)
• Tier 1 – Digital Model: 52  (23.4%)
• Tier 2 – Digital Shadow: 137  (61.7%)
• Tier 3 – Digital Twin: 29  (13.1%)
• Tier 4 – Cognitive: 0  (0.0%)
• Unclear: 4  (1.8%)</v>
      </c>
    </row>
    <row r="89" spans="1:2" x14ac:dyDescent="0.3">
      <c r="A89" t="s">
        <v>4891</v>
      </c>
      <c r="B89" t="str">
        <f>$B$70</f>
        <v>Self-improvement / convergence (Gap 4 - core gap)
• None: 185  (83.3%)
• Mentioned only: 6  (2.7%)
• Implemented: 31  (14.0%)
• Convergence-characterised: 0  (0.0%)</v>
      </c>
    </row>
    <row r="90" spans="1:2" x14ac:dyDescent="0.3">
      <c r="A90" t="s">
        <v>4892</v>
      </c>
      <c r="B90" t="str">
        <f>$B$71</f>
        <v>Validation level (Gap 5)
• Conceptual (no test): 16  (7.2%)
• Simulation: 44  (19.8%)
• Lab / scale-model experiment: 0  (0.0%)
• Single case study: 151  (68.0%)
• Cross-project (multiple real projects): 11  (5.0%)</v>
      </c>
    </row>
    <row r="91" spans="1:2" x14ac:dyDescent="0.3">
      <c r="A91" t="s">
        <v>4893</v>
      </c>
      <c r="B91" t="str">
        <f>$B$72</f>
        <v>Lifecycle phase coverage (Gap 3)
• Design (any): 10
• Construction (any): 97
• Operation (any): 122
• Single-phase: 216
• Multi-phase (cross-phase): 6</v>
      </c>
    </row>
    <row r="92" spans="1:2" x14ac:dyDescent="0.3">
      <c r="A92" t="s">
        <v>4894</v>
      </c>
      <c r="B92" t="str">
        <f>$B$75</f>
        <v>Data modality (Gap 2)
• Single (one data type): 19  (8.6%)
• Multi (two or more data types): 203  (91.4%)</v>
      </c>
    </row>
    <row r="93" spans="1:2" x14ac:dyDescent="0.3">
      <c r="A93" t="s">
        <v>4895</v>
      </c>
      <c r="B93" t="str">
        <f>$B$76</f>
        <v>Fusion depth (Gap 2b - how deeply are the data types actually integrated?)
• Single: 20  (9.0%)
• Co-present: 2  (0.9%)
• Aligned: 34  (15.3%)
• Fused: 152  (68.5%)
• Unclear: 14  (6.3%)</v>
      </c>
    </row>
    <row r="94" spans="1:2" x14ac:dyDescent="0.3">
      <c r="A94" t="s">
        <v>4896</v>
      </c>
      <c r="B94" t="str">
        <f>$B$77</f>
        <v>Even among the 152 Fused studies, 121 (79.6%) implement no self-improvement and 0 characterise convergence - deep data integration does NOT translate into adaptive capability.</v>
      </c>
    </row>
    <row r="95" spans="1:2" x14ac:dyDescent="0.3">
      <c r="A95" t="s">
        <v>4897</v>
      </c>
      <c r="B95" t="str">
        <f>$B$73</f>
        <v>PRISMA 2020 flow diagram — Digital Twins for Design for Safety in AECO</v>
      </c>
    </row>
  </sheetData>
  <phoneticPr fontId="3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3"/>
  <sheetViews>
    <sheetView showGridLines="0" zoomScale="115" zoomScaleNormal="115" workbookViewId="0">
      <selection activeCell="C19" sqref="C19"/>
    </sheetView>
  </sheetViews>
  <sheetFormatPr defaultColWidth="8.6640625" defaultRowHeight="14.4" x14ac:dyDescent="0.3"/>
  <cols>
    <col min="1" max="1" width="42" style="30" customWidth="1"/>
    <col min="2" max="2" width="10" style="30" customWidth="1"/>
    <col min="3" max="3" width="12" style="30" customWidth="1"/>
    <col min="4" max="4" width="22.44140625" style="30" customWidth="1"/>
    <col min="5" max="5" width="14.33203125" style="30" customWidth="1"/>
    <col min="6" max="7" width="8.6640625" style="30" customWidth="1"/>
    <col min="8" max="16384" width="8.6640625" style="30"/>
  </cols>
  <sheetData>
    <row r="1" spans="1:3" ht="16.95" customHeight="1" x14ac:dyDescent="0.3">
      <c r="A1" s="57" t="s">
        <v>4898</v>
      </c>
    </row>
    <row r="2" spans="1:3" x14ac:dyDescent="0.3">
      <c r="A2" s="58" t="s">
        <v>4899</v>
      </c>
      <c r="B2" s="59">
        <f>COUNTIF(Matrix!$S$5:$S$960,"INCLUDE")</f>
        <v>222</v>
      </c>
    </row>
    <row r="4" spans="1:3" ht="15.6" customHeight="1" x14ac:dyDescent="0.3">
      <c r="A4" s="63" t="s">
        <v>4900</v>
      </c>
    </row>
    <row r="5" spans="1:3" x14ac:dyDescent="0.3">
      <c r="A5" s="64" t="s">
        <v>4901</v>
      </c>
      <c r="B5" s="64" t="s">
        <v>4836</v>
      </c>
      <c r="C5" s="64" t="s">
        <v>4902</v>
      </c>
    </row>
    <row r="6" spans="1:3" x14ac:dyDescent="0.3">
      <c r="A6" s="65" t="s">
        <v>1971</v>
      </c>
      <c r="B6" s="66">
        <f>COUNTIFS(Matrix!$S$5:$S$960,"INCLUDE",Matrix!$U$5:$U$960,"Tier 1 - Digital Model (static, no live data)")</f>
        <v>52</v>
      </c>
      <c r="C6" s="67">
        <f>IF($B$2=0,"-",B6/$B$2)</f>
        <v>0.23423423423423423</v>
      </c>
    </row>
    <row r="7" spans="1:3" x14ac:dyDescent="0.3">
      <c r="A7" s="65" t="s">
        <v>1982</v>
      </c>
      <c r="B7" s="66">
        <f>COUNTIFS(Matrix!$S$5:$S$960,"INCLUDE",Matrix!$U$5:$U$960,"Tier 2 - Digital Shadow (one-way physical to virtual)")</f>
        <v>137</v>
      </c>
      <c r="C7" s="67">
        <f>IF($B$2=0,"-",B7/$B$2)</f>
        <v>0.61711711711711714</v>
      </c>
    </row>
    <row r="8" spans="1:3" x14ac:dyDescent="0.3">
      <c r="A8" s="65" t="s">
        <v>1992</v>
      </c>
      <c r="B8" s="66">
        <f>COUNTIFS(Matrix!$S$5:$S$960,"INCLUDE",Matrix!$U$5:$U$960,"Tier 3 - Digital Twin (bidirectional, two-way)")</f>
        <v>29</v>
      </c>
      <c r="C8" s="67">
        <f>IF($B$2=0,"-",B8/$B$2)</f>
        <v>0.13063063063063063</v>
      </c>
    </row>
    <row r="9" spans="1:3" x14ac:dyDescent="0.3">
      <c r="A9" s="65" t="s">
        <v>2000</v>
      </c>
      <c r="B9" s="66">
        <f>COUNTIFS(Matrix!$S$5:$S$960,"INCLUDE",Matrix!$U$5:$U$960,"Tier 4 - Cognitive / Self-improving")</f>
        <v>0</v>
      </c>
      <c r="C9" s="67">
        <f>IF($B$2=0,"-",B9/$B$2)</f>
        <v>0</v>
      </c>
    </row>
    <row r="10" spans="1:3" x14ac:dyDescent="0.3">
      <c r="A10" s="65" t="s">
        <v>2007</v>
      </c>
      <c r="B10" s="66">
        <f>COUNTIFS(Matrix!$S$5:$S$960,"INCLUDE",Matrix!$U$5:$U$960,"Unclear")</f>
        <v>4</v>
      </c>
      <c r="C10" s="67">
        <f>IF($B$2=0,"-",B10/$B$2)</f>
        <v>1.8018018018018018E-2</v>
      </c>
    </row>
    <row r="11" spans="1:3" x14ac:dyDescent="0.3">
      <c r="A11" s="69"/>
      <c r="B11" s="70">
        <f>SUM(B6:B10)</f>
        <v>222</v>
      </c>
      <c r="C11" s="68"/>
    </row>
    <row r="13" spans="1:3" ht="15.6" customHeight="1" x14ac:dyDescent="0.3">
      <c r="A13" s="63" t="s">
        <v>4903</v>
      </c>
    </row>
    <row r="14" spans="1:3" x14ac:dyDescent="0.3">
      <c r="A14" s="64" t="s">
        <v>4904</v>
      </c>
      <c r="B14" s="64" t="s">
        <v>4836</v>
      </c>
      <c r="C14" s="64" t="s">
        <v>4902</v>
      </c>
    </row>
    <row r="15" spans="1:3" x14ac:dyDescent="0.3">
      <c r="A15" s="65" t="s">
        <v>1972</v>
      </c>
      <c r="B15" s="66">
        <f>COUNTIFS(Matrix!$S$5:$S$960,"INCLUDE",Matrix!$AA$5:$AA$960,"None")</f>
        <v>185</v>
      </c>
      <c r="C15" s="67">
        <f>IF($B$2=0,"-",B15/$B$2)</f>
        <v>0.83333333333333337</v>
      </c>
    </row>
    <row r="16" spans="1:3" x14ac:dyDescent="0.3">
      <c r="A16" s="65" t="s">
        <v>1984</v>
      </c>
      <c r="B16" s="66">
        <f>COUNTIFS(Matrix!$S$5:$S$960,"INCLUDE",Matrix!$AA$5:$AA$960,"Mentioned only")</f>
        <v>6</v>
      </c>
      <c r="C16" s="67">
        <f>IF($B$2=0,"-",B16/$B$2)</f>
        <v>2.7027027027027029E-2</v>
      </c>
    </row>
    <row r="17" spans="1:3" x14ac:dyDescent="0.3">
      <c r="A17" s="65" t="s">
        <v>1993</v>
      </c>
      <c r="B17" s="66">
        <f>COUNTIFS(Matrix!$S$5:$S$960,"INCLUDE",Matrix!$AA$5:$AA$960,"Implemented")</f>
        <v>31</v>
      </c>
      <c r="C17" s="67">
        <f>IF($B$2=0,"-",B17/$B$2)</f>
        <v>0.13963963963963963</v>
      </c>
    </row>
    <row r="18" spans="1:3" x14ac:dyDescent="0.3">
      <c r="A18" s="65" t="s">
        <v>2001</v>
      </c>
      <c r="B18" s="66">
        <f>COUNTIFS(Matrix!$S$5:$S$960,"INCLUDE",Matrix!$AA$5:$AA$960,"Convergence-characterised")</f>
        <v>0</v>
      </c>
      <c r="C18" s="67">
        <f>IF($B$2=0,"-",B18/$B$2)</f>
        <v>0</v>
      </c>
    </row>
    <row r="19" spans="1:3" x14ac:dyDescent="0.3">
      <c r="A19" s="69"/>
      <c r="B19" s="70">
        <f>SUM(B15:B18)</f>
        <v>222</v>
      </c>
      <c r="C19" s="73" t="str">
        <f>IF(B19=$B$2,"OK","MISMATCH")</f>
        <v>OK</v>
      </c>
    </row>
    <row r="21" spans="1:3" ht="15.6" customHeight="1" x14ac:dyDescent="0.3">
      <c r="A21" s="63" t="s">
        <v>4905</v>
      </c>
    </row>
    <row r="22" spans="1:3" x14ac:dyDescent="0.3">
      <c r="A22" s="64" t="s">
        <v>4904</v>
      </c>
      <c r="B22" s="64" t="s">
        <v>4836</v>
      </c>
      <c r="C22" s="64" t="s">
        <v>4902</v>
      </c>
    </row>
    <row r="23" spans="1:3" x14ac:dyDescent="0.3">
      <c r="A23" s="65" t="s">
        <v>1922</v>
      </c>
      <c r="B23" s="66">
        <f>COUNTIFS(Matrix!$S$5:$S$960,"INCLUDE",Matrix!$Z$5:$Z$960,"Design for Safety (DfS)")</f>
        <v>222</v>
      </c>
      <c r="C23" s="67">
        <f>IF($B$2=0,"-",B23/$B$2)</f>
        <v>1</v>
      </c>
    </row>
    <row r="24" spans="1:3" x14ac:dyDescent="0.3">
      <c r="A24" s="65" t="s">
        <v>1983</v>
      </c>
      <c r="B24" s="66">
        <f>COUNTIFS(Matrix!$S$5:$S$960,"INCLUDE",Matrix!$Z$5:$Z$960,"Other")</f>
        <v>0</v>
      </c>
      <c r="C24" s="67">
        <f>IF($B$2=0,"-",B24/$B$2)</f>
        <v>0</v>
      </c>
    </row>
    <row r="25" spans="1:3" x14ac:dyDescent="0.3">
      <c r="A25" s="65"/>
      <c r="B25" s="66"/>
      <c r="C25" s="67"/>
    </row>
    <row r="26" spans="1:3" x14ac:dyDescent="0.3">
      <c r="A26" s="65"/>
      <c r="B26" s="66"/>
      <c r="C26" s="67"/>
    </row>
    <row r="27" spans="1:3" x14ac:dyDescent="0.3">
      <c r="A27" s="69"/>
      <c r="B27" s="70">
        <f>SUM(B23:B26)</f>
        <v>222</v>
      </c>
      <c r="C27" s="73" t="str">
        <f>IF(B27=$B$2,"OK","MISMATCH")</f>
        <v>OK</v>
      </c>
    </row>
    <row r="29" spans="1:3" ht="15.6" customHeight="1" x14ac:dyDescent="0.3">
      <c r="A29" s="63" t="s">
        <v>4906</v>
      </c>
    </row>
    <row r="30" spans="1:3" x14ac:dyDescent="0.3">
      <c r="A30" s="64" t="s">
        <v>4904</v>
      </c>
      <c r="B30" s="64" t="s">
        <v>4836</v>
      </c>
      <c r="C30" s="64" t="s">
        <v>4902</v>
      </c>
    </row>
    <row r="31" spans="1:3" x14ac:dyDescent="0.3">
      <c r="A31" s="65" t="s">
        <v>1974</v>
      </c>
      <c r="B31" s="66">
        <f>COUNTIFS(Matrix!$S$5:$S$960,"INCLUDE",Matrix!$AC$5:$AC$960,"Single (one data type)")</f>
        <v>19</v>
      </c>
      <c r="C31" s="67">
        <f>IF($B$2=0,"-",B31/$B$2)</f>
        <v>8.5585585585585586E-2</v>
      </c>
    </row>
    <row r="32" spans="1:3" x14ac:dyDescent="0.3">
      <c r="A32" s="65" t="s">
        <v>1986</v>
      </c>
      <c r="B32" s="66">
        <f>COUNTIFS(Matrix!$S$5:$S$960,"INCLUDE",Matrix!$AC$5:$AC$960,"Multi (two or more data types)")</f>
        <v>203</v>
      </c>
      <c r="C32" s="67">
        <f>IF($B$2=0,"-",B32/$B$2)</f>
        <v>0.9144144144144144</v>
      </c>
    </row>
    <row r="33" spans="1:3" x14ac:dyDescent="0.3">
      <c r="B33" s="71">
        <f>SUM(B31:B32)</f>
        <v>222</v>
      </c>
      <c r="C33" s="73" t="str">
        <f>IF(B33=$B$2,"OK","MISMATCH")</f>
        <v>OK</v>
      </c>
    </row>
    <row r="35" spans="1:3" ht="15.6" customHeight="1" x14ac:dyDescent="0.3">
      <c r="A35" s="63" t="s">
        <v>4907</v>
      </c>
    </row>
    <row r="36" spans="1:3" x14ac:dyDescent="0.3">
      <c r="A36" s="64" t="s">
        <v>4904</v>
      </c>
      <c r="B36" s="64" t="s">
        <v>4836</v>
      </c>
      <c r="C36" s="64" t="s">
        <v>4902</v>
      </c>
    </row>
    <row r="37" spans="1:3" x14ac:dyDescent="0.3">
      <c r="A37" s="65" t="str">
        <f>'1_CodeLists'!$I$2</f>
        <v>Conceptual (no test)</v>
      </c>
      <c r="B37" s="66">
        <f>COUNTIFS(Matrix!$S$5:$S$960,"INCLUDE",Matrix!$AD$5:$AD$960,$A37)</f>
        <v>16</v>
      </c>
      <c r="C37" s="67">
        <f>IF($B$2=0,"-",B37/$B$2)</f>
        <v>7.2072072072072071E-2</v>
      </c>
    </row>
    <row r="38" spans="1:3" x14ac:dyDescent="0.3">
      <c r="A38" s="65" t="str">
        <f>'1_CodeLists'!$I$3</f>
        <v>Simulation</v>
      </c>
      <c r="B38" s="66">
        <f>COUNTIFS(Matrix!$S$5:$S$960,"INCLUDE",Matrix!$AD$5:$AD$960,$A38)</f>
        <v>44</v>
      </c>
      <c r="C38" s="67">
        <f>IF($B$2=0,"-",B38/$B$2)</f>
        <v>0.1981981981981982</v>
      </c>
    </row>
    <row r="39" spans="1:3" x14ac:dyDescent="0.3">
      <c r="A39" s="65" t="str">
        <f>'1_CodeLists'!$I$4</f>
        <v>Lab / scale-model experiment</v>
      </c>
      <c r="B39" s="66">
        <f>COUNTIFS(Matrix!$S$5:$S$960,"INCLUDE",Matrix!$AD$5:$AD$960,$A39)</f>
        <v>0</v>
      </c>
      <c r="C39" s="67">
        <f>IF($B$2=0,"-",B39/$B$2)</f>
        <v>0</v>
      </c>
    </row>
    <row r="40" spans="1:3" x14ac:dyDescent="0.3">
      <c r="A40" s="65" t="str">
        <f>'1_CodeLists'!$I$5</f>
        <v>Single case study</v>
      </c>
      <c r="B40" s="66">
        <f>COUNTIFS(Matrix!$S$5:$S$960,"INCLUDE",Matrix!$AD$5:$AD$960,$A40)</f>
        <v>151</v>
      </c>
      <c r="C40" s="67">
        <f>IF($B$2=0,"-",B40/$B$2)</f>
        <v>0.68018018018018023</v>
      </c>
    </row>
    <row r="41" spans="1:3" x14ac:dyDescent="0.3">
      <c r="A41" s="65" t="str">
        <f>'1_CodeLists'!$I$6</f>
        <v>Cross-project (multiple real projects)</v>
      </c>
      <c r="B41" s="66">
        <f>COUNTIFS(Matrix!$S$5:$S$960,"INCLUDE",Matrix!$AD$5:$AD$960,$A41)</f>
        <v>11</v>
      </c>
      <c r="C41" s="67">
        <f>IF($B$2=0,"-",B41/$B$2)</f>
        <v>4.954954954954955E-2</v>
      </c>
    </row>
    <row r="42" spans="1:3" x14ac:dyDescent="0.3">
      <c r="A42" t="s">
        <v>4908</v>
      </c>
      <c r="B42" s="72">
        <f>SUM(B37:B41)</f>
        <v>222</v>
      </c>
      <c r="C42" s="73" t="str">
        <f>IF(B42=$B$2,"OK","MISMATCH")</f>
        <v>OK</v>
      </c>
    </row>
    <row r="43" spans="1:3" x14ac:dyDescent="0.3">
      <c r="C43" s="68"/>
    </row>
    <row r="44" spans="1:3" ht="15.6" customHeight="1" x14ac:dyDescent="0.3">
      <c r="A44" s="63" t="s">
        <v>4909</v>
      </c>
    </row>
    <row r="45" spans="1:3" x14ac:dyDescent="0.3">
      <c r="A45" s="64" t="s">
        <v>4904</v>
      </c>
      <c r="B45" s="64" t="s">
        <v>4836</v>
      </c>
      <c r="C45" s="64" t="s">
        <v>4902</v>
      </c>
    </row>
    <row r="46" spans="1:3" x14ac:dyDescent="0.3">
      <c r="A46" s="65" t="s">
        <v>1973</v>
      </c>
      <c r="B46" s="66">
        <f>COUNTIFS(Matrix!$S$5:$S$960,"INCLUDE",Matrix!$AB$5:$AB$960,"Computer Vision / CNN / object-detection")</f>
        <v>25</v>
      </c>
      <c r="C46" s="67">
        <f t="shared" ref="C46:C57" si="0">IF($B$2=0,"-",B46/$B$2)</f>
        <v>0.11261261261261261</v>
      </c>
    </row>
    <row r="47" spans="1:3" x14ac:dyDescent="0.3">
      <c r="A47" s="65" t="s">
        <v>1985</v>
      </c>
      <c r="B47" s="66">
        <f>COUNTIFS(Matrix!$S$5:$S$960,"INCLUDE",Matrix!$AB$5:$AB$960,"Graph Neural Network (GNN)")</f>
        <v>5</v>
      </c>
      <c r="C47" s="67">
        <f t="shared" si="0"/>
        <v>2.2522522522522521E-2</v>
      </c>
    </row>
    <row r="48" spans="1:3" x14ac:dyDescent="0.3">
      <c r="A48" s="65" t="s">
        <v>1994</v>
      </c>
      <c r="B48" s="66">
        <f>COUNTIFS(Matrix!$S$5:$S$960,"INCLUDE",Matrix!$AB$5:$AB$960,"LSTM / RNN (recurrent networks)")</f>
        <v>5</v>
      </c>
      <c r="C48" s="67">
        <f t="shared" si="0"/>
        <v>2.2522522522522521E-2</v>
      </c>
    </row>
    <row r="49" spans="1:3" x14ac:dyDescent="0.3">
      <c r="A49" s="65" t="s">
        <v>2002</v>
      </c>
      <c r="B49" s="66">
        <f>COUNTIFS(Matrix!$S$5:$S$960,"INCLUDE",Matrix!$AB$5:$AB$960,"Transformer / Large Language Model (LLM)")</f>
        <v>14</v>
      </c>
      <c r="C49" s="67">
        <f t="shared" si="0"/>
        <v>6.3063063063063057E-2</v>
      </c>
    </row>
    <row r="50" spans="1:3" x14ac:dyDescent="0.3">
      <c r="A50" s="65" t="s">
        <v>2008</v>
      </c>
      <c r="B50" s="66">
        <f>COUNTIFS(Matrix!$S$5:$S$960,"INCLUDE",Matrix!$AB$5:$AB$960,"Reinforcement Learning (RL)")</f>
        <v>3</v>
      </c>
      <c r="C50" s="67">
        <f t="shared" si="0"/>
        <v>1.3513513513513514E-2</v>
      </c>
    </row>
    <row r="51" spans="1:3" x14ac:dyDescent="0.3">
      <c r="A51" s="65" t="s">
        <v>2011</v>
      </c>
      <c r="B51" s="66">
        <f>COUNTIFS(Matrix!$S$5:$S$960,"INCLUDE",Matrix!$AB$5:$AB$960,"Bayesian / probabilistic")</f>
        <v>12</v>
      </c>
      <c r="C51" s="67">
        <f t="shared" si="0"/>
        <v>5.4054054054054057E-2</v>
      </c>
    </row>
    <row r="52" spans="1:3" x14ac:dyDescent="0.3">
      <c r="A52" s="65" t="s">
        <v>2013</v>
      </c>
      <c r="B52" s="66">
        <f>COUNTIFS(Matrix!$S$5:$S$960,"INCLUDE",Matrix!$AB$5:$AB$960,"Agent-based model (ABM)")</f>
        <v>6</v>
      </c>
      <c r="C52" s="67">
        <f t="shared" si="0"/>
        <v>2.7027027027027029E-2</v>
      </c>
    </row>
    <row r="53" spans="1:3" x14ac:dyDescent="0.3">
      <c r="A53" s="65" t="s">
        <v>2014</v>
      </c>
      <c r="B53" s="66">
        <f>COUNTIFS(Matrix!$S$5:$S$960,"INCLUDE",Matrix!$AB$5:$AB$960,"Finite Element Method / physics-based")</f>
        <v>31</v>
      </c>
      <c r="C53" s="67">
        <f t="shared" si="0"/>
        <v>0.13963963963963963</v>
      </c>
    </row>
    <row r="54" spans="1:3" x14ac:dyDescent="0.3">
      <c r="A54" s="65" t="s">
        <v>2015</v>
      </c>
      <c r="B54" s="66">
        <f>COUNTIFS(Matrix!$S$5:$S$960,"INCLUDE",Matrix!$AB$5:$AB$960,"Ontology / semantic")</f>
        <v>11</v>
      </c>
      <c r="C54" s="67">
        <f t="shared" si="0"/>
        <v>4.954954954954955E-2</v>
      </c>
    </row>
    <row r="55" spans="1:3" x14ac:dyDescent="0.3">
      <c r="A55" s="65" t="s">
        <v>2016</v>
      </c>
      <c r="B55" s="66">
        <f>COUNTIFS(Matrix!$S$5:$S$960,"INCLUDE",Matrix!$AB$5:$AB$960,"Statistical / change-point")</f>
        <v>7</v>
      </c>
      <c r="C55" s="67">
        <f t="shared" si="0"/>
        <v>3.1531531531531529E-2</v>
      </c>
    </row>
    <row r="56" spans="1:3" x14ac:dyDescent="0.3">
      <c r="A56" s="65" t="s">
        <v>2017</v>
      </c>
      <c r="B56" s="66">
        <f>COUNTIFS(Matrix!$S$5:$S$960,"INCLUDE",Matrix!$AB$5:$AB$960,"Digital Twin platform (no machine learning)")</f>
        <v>41</v>
      </c>
      <c r="C56" s="67">
        <f t="shared" si="0"/>
        <v>0.18468468468468469</v>
      </c>
    </row>
    <row r="57" spans="1:3" x14ac:dyDescent="0.3">
      <c r="A57" s="65" t="s">
        <v>2018</v>
      </c>
      <c r="B57" s="66">
        <f>COUNTIFS(Matrix!$S$5:$S$960,"INCLUDE",Matrix!$AB$5:$AB$960,"Other / Mixed")</f>
        <v>62</v>
      </c>
      <c r="C57" s="67">
        <f t="shared" si="0"/>
        <v>0.27927927927927926</v>
      </c>
    </row>
    <row r="58" spans="1:3" x14ac:dyDescent="0.3">
      <c r="A58" s="69"/>
      <c r="B58" s="70">
        <f>SUM(B46:B57)</f>
        <v>222</v>
      </c>
      <c r="C58" s="73" t="str">
        <f>IF(B58=$B$2,"OK","MISMATCH")</f>
        <v>OK</v>
      </c>
    </row>
    <row r="60" spans="1:3" ht="15.6" customHeight="1" x14ac:dyDescent="0.3">
      <c r="A60" s="63" t="s">
        <v>4910</v>
      </c>
    </row>
    <row r="61" spans="1:3" x14ac:dyDescent="0.3">
      <c r="A61" s="64" t="s">
        <v>4911</v>
      </c>
      <c r="B61" s="64" t="s">
        <v>4836</v>
      </c>
    </row>
    <row r="62" spans="1:3" x14ac:dyDescent="0.3">
      <c r="A62" s="65" t="s">
        <v>4912</v>
      </c>
      <c r="B62" s="66">
        <f>COUNTIFS(Matrix!$S$5:$S$960,"INCLUDE",Matrix!$V$5:$V$960,1)</f>
        <v>10</v>
      </c>
    </row>
    <row r="63" spans="1:3" x14ac:dyDescent="0.3">
      <c r="A63" s="65" t="s">
        <v>4913</v>
      </c>
      <c r="B63" s="66">
        <f>COUNTIFS(Matrix!$S$5:$S$960,"INCLUDE",Matrix!$W$5:$W$960,1)</f>
        <v>97</v>
      </c>
    </row>
    <row r="64" spans="1:3" x14ac:dyDescent="0.3">
      <c r="A64" s="65" t="s">
        <v>4914</v>
      </c>
      <c r="B64" s="66">
        <f>COUNTIFS(Matrix!$S$5:$S$960,"INCLUDE",Matrix!$X$5:$X$960,1)</f>
        <v>122</v>
      </c>
      <c r="C64">
        <f>SUM(B62:B64)</f>
        <v>229</v>
      </c>
    </row>
    <row r="65" spans="1:7" x14ac:dyDescent="0.3">
      <c r="A65" s="65" t="s">
        <v>4915</v>
      </c>
      <c r="B65" s="66">
        <f>COUNTIFS(Matrix!$S$5:$S$960,"INCLUDE",Matrix!$Y$5:$Y$960,"Single")</f>
        <v>216</v>
      </c>
    </row>
    <row r="66" spans="1:7" x14ac:dyDescent="0.3">
      <c r="A66" s="65" t="s">
        <v>4916</v>
      </c>
      <c r="B66" s="66">
        <f>COUNTIFS(Matrix!$S$5:$S$960,"INCLUDE",Matrix!$Y$5:$Y$960,"Multi")</f>
        <v>6</v>
      </c>
      <c r="C66">
        <f>SUM(B65:B66)</f>
        <v>222</v>
      </c>
      <c r="D66" s="73" t="str">
        <f>IF(C66=$B$2,"OK","MISMATCH")</f>
        <v>OK</v>
      </c>
    </row>
    <row r="67" spans="1:7" x14ac:dyDescent="0.3">
      <c r="A67" s="69"/>
      <c r="B67" s="70"/>
    </row>
    <row r="69" spans="1:7" ht="15.6" customHeight="1" x14ac:dyDescent="0.3">
      <c r="A69" s="56" t="s">
        <v>4917</v>
      </c>
    </row>
    <row r="70" spans="1:7" ht="30" customHeight="1" x14ac:dyDescent="0.3">
      <c r="A70" s="40" t="s">
        <v>4918</v>
      </c>
      <c r="B70" s="41" t="str">
        <f>$A$15</f>
        <v>None</v>
      </c>
      <c r="C70" s="41" t="str">
        <f>$A$16</f>
        <v>Mentioned only</v>
      </c>
      <c r="D70" s="41" t="str">
        <f>$A$17</f>
        <v>Implemented</v>
      </c>
      <c r="E70" s="41" t="str">
        <f>$A$18</f>
        <v>Convergence-characterised</v>
      </c>
      <c r="F70" s="42" t="s">
        <v>4919</v>
      </c>
    </row>
    <row r="71" spans="1:7" x14ac:dyDescent="0.3">
      <c r="A71" s="43" t="str">
        <f>$A$31</f>
        <v>Single (one data type)</v>
      </c>
      <c r="B71" s="45">
        <f>COUNTIFS(Matrix!$S$5:$S$960,"INCLUDE",Matrix!$AC$5:$AC$960,$A71,Matrix!$AA$5:$AA$960,B$70)</f>
        <v>17</v>
      </c>
      <c r="C71" s="45">
        <f>COUNTIFS(Matrix!$S$5:$S$960,"INCLUDE",Matrix!$AC$5:$AC$960,$A71,Matrix!$AA$5:$AA$960,C$70)</f>
        <v>0</v>
      </c>
      <c r="D71" s="45">
        <f>COUNTIFS(Matrix!$S$5:$S$960,"INCLUDE",Matrix!$AC$5:$AC$960,$A71,Matrix!$AA$5:$AA$960,D$70)</f>
        <v>2</v>
      </c>
      <c r="E71" s="45">
        <f>COUNTIFS(Matrix!$S$5:$S$960,"INCLUDE",Matrix!$AC$5:$AC$960,$A71,Matrix!$AA$5:$AA$960,E$70)</f>
        <v>0</v>
      </c>
      <c r="F71" s="44">
        <f>SUM(B71:E71)</f>
        <v>19</v>
      </c>
    </row>
    <row r="72" spans="1:7" x14ac:dyDescent="0.3">
      <c r="A72" s="43" t="str">
        <f>$A$32</f>
        <v>Multi (two or more data types)</v>
      </c>
      <c r="B72" s="45">
        <f>COUNTIFS(Matrix!$S$5:$S$960,"INCLUDE",Matrix!$AC$5:$AC$960,$A72,Matrix!$AA$5:$AA$960,B$70)</f>
        <v>168</v>
      </c>
      <c r="C72" s="45">
        <f>COUNTIFS(Matrix!$S$5:$S$960,"INCLUDE",Matrix!$AC$5:$AC$960,$A72,Matrix!$AA$5:$AA$960,C$70)</f>
        <v>6</v>
      </c>
      <c r="D72" s="45">
        <f>COUNTIFS(Matrix!$S$5:$S$960,"INCLUDE",Matrix!$AC$5:$AC$960,$A72,Matrix!$AA$5:$AA$960,D$70)</f>
        <v>29</v>
      </c>
      <c r="E72" s="45">
        <f>COUNTIFS(Matrix!$S$5:$S$960,"INCLUDE",Matrix!$AC$5:$AC$960,$A72,Matrix!$AA$5:$AA$960,E$70)</f>
        <v>0</v>
      </c>
      <c r="F72" s="44">
        <f>SUM(B72:E72)</f>
        <v>203</v>
      </c>
    </row>
    <row r="73" spans="1:7" x14ac:dyDescent="0.3">
      <c r="A73" s="43" t="s">
        <v>4919</v>
      </c>
      <c r="B73" s="45">
        <f>SUM(B71:B72)</f>
        <v>185</v>
      </c>
      <c r="C73" s="45">
        <f>SUM(C71:C72)</f>
        <v>6</v>
      </c>
      <c r="D73" s="45">
        <f>SUM(D71:D72)</f>
        <v>31</v>
      </c>
      <c r="E73" s="45">
        <f>SUM(E71:E72)</f>
        <v>0</v>
      </c>
      <c r="F73" s="44">
        <f>SUM(F71:F72)</f>
        <v>222</v>
      </c>
      <c r="G73" s="73" t="str">
        <f>IF(F73=$B$2,"OK","MISMATCH")</f>
        <v>OK</v>
      </c>
    </row>
    <row r="74" spans="1:7" x14ac:dyDescent="0.3">
      <c r="A74" s="60"/>
      <c r="B74" s="60"/>
      <c r="C74" s="60"/>
      <c r="D74" s="60"/>
      <c r="E74" s="60"/>
      <c r="F74" s="60"/>
    </row>
    <row r="75" spans="1:7" x14ac:dyDescent="0.3">
      <c r="A75" s="46" t="s">
        <v>4920</v>
      </c>
      <c r="B75" s="39"/>
      <c r="C75" s="39"/>
      <c r="D75" s="39"/>
      <c r="E75" s="39"/>
      <c r="F75" s="39"/>
    </row>
    <row r="76" spans="1:7" ht="30" customHeight="1" x14ac:dyDescent="0.3">
      <c r="A76" s="47" t="s">
        <v>4918</v>
      </c>
      <c r="B76" s="41" t="str">
        <f>B$70</f>
        <v>None</v>
      </c>
      <c r="C76" s="41" t="str">
        <f>C$70</f>
        <v>Mentioned only</v>
      </c>
      <c r="D76" s="41" t="str">
        <f>D$70</f>
        <v>Implemented</v>
      </c>
      <c r="E76" s="41" t="str">
        <f>E$70</f>
        <v>Convergence-characterised</v>
      </c>
      <c r="F76" s="42" t="s">
        <v>4919</v>
      </c>
    </row>
    <row r="77" spans="1:7" x14ac:dyDescent="0.3">
      <c r="A77" s="43" t="str">
        <f>$A$71</f>
        <v>Single (one data type)</v>
      </c>
      <c r="B77" s="53">
        <f t="shared" ref="B77:F78" si="1">IF($F71=0,"-",B71/$F71)</f>
        <v>0.89473684210526316</v>
      </c>
      <c r="C77" s="53">
        <f t="shared" si="1"/>
        <v>0</v>
      </c>
      <c r="D77" s="53">
        <f t="shared" si="1"/>
        <v>0.10526315789473684</v>
      </c>
      <c r="E77" s="53">
        <f t="shared" si="1"/>
        <v>0</v>
      </c>
      <c r="F77" s="61">
        <f t="shared" si="1"/>
        <v>1</v>
      </c>
    </row>
    <row r="78" spans="1:7" x14ac:dyDescent="0.3">
      <c r="A78" s="43" t="str">
        <f>$A$72</f>
        <v>Multi (two or more data types)</v>
      </c>
      <c r="B78" s="53">
        <f t="shared" si="1"/>
        <v>0.82758620689655171</v>
      </c>
      <c r="C78" s="53">
        <f t="shared" si="1"/>
        <v>2.9556650246305417E-2</v>
      </c>
      <c r="D78" s="53">
        <f t="shared" si="1"/>
        <v>0.14285714285714285</v>
      </c>
      <c r="E78" s="53">
        <f t="shared" si="1"/>
        <v>0</v>
      </c>
      <c r="F78" s="61">
        <f t="shared" si="1"/>
        <v>1</v>
      </c>
    </row>
    <row r="79" spans="1:7" x14ac:dyDescent="0.3">
      <c r="A79" s="60"/>
      <c r="B79" s="60"/>
      <c r="C79" s="60"/>
      <c r="D79" s="60"/>
      <c r="E79" s="60"/>
      <c r="F79" s="60"/>
    </row>
    <row r="80" spans="1:7" x14ac:dyDescent="0.3">
      <c r="A80" s="38" t="s">
        <v>4921</v>
      </c>
      <c r="B80" s="37"/>
      <c r="C80" s="37"/>
      <c r="D80" s="37"/>
      <c r="E80" s="37"/>
      <c r="F80" s="37"/>
    </row>
    <row r="81" spans="1:6" x14ac:dyDescent="0.3">
      <c r="A81" s="37" t="s">
        <v>4922</v>
      </c>
      <c r="B81" s="37">
        <f>$F$73</f>
        <v>222</v>
      </c>
      <c r="C81" s="37"/>
      <c r="D81" s="37"/>
      <c r="E81" s="37"/>
      <c r="F81" s="37"/>
    </row>
    <row r="82" spans="1:6" x14ac:dyDescent="0.3">
      <c r="A82" s="37" t="s">
        <v>4899</v>
      </c>
      <c r="B82" s="37">
        <f>$B$2</f>
        <v>222</v>
      </c>
      <c r="C82" s="37"/>
      <c r="D82" s="37"/>
      <c r="E82" s="37"/>
      <c r="F82" s="37"/>
    </row>
    <row r="83" spans="1:6" x14ac:dyDescent="0.3">
      <c r="A83" s="39" t="s">
        <v>4923</v>
      </c>
      <c r="B83" s="39" t="str">
        <f>IF($F$73=$B$2,"OK - "&amp;TEXT($F$73,"0")&amp;" studies fully cross-classified","MISMATCH: "&amp;TEXT($F$73-$B$2,"+0;-0")&amp;" - check for blank codes in Matrix AA/AC")</f>
        <v>OK - 222 studies fully cross-classified</v>
      </c>
      <c r="C83" s="39"/>
      <c r="D83" s="39"/>
      <c r="E83" s="39"/>
      <c r="F83" s="39"/>
    </row>
    <row r="85" spans="1:6" x14ac:dyDescent="0.3">
      <c r="A85" s="36" t="s">
        <v>4924</v>
      </c>
    </row>
    <row r="86" spans="1:6" x14ac:dyDescent="0.3">
      <c r="A86" s="62" t="str">
        <f>"Of the "&amp;TEXT($F$72,"0")&amp;" multimodal studies, "&amp;TEXT($B$72,"0")&amp;" ("&amp;TEXT($B$72/$F$72,"0.0%")&amp;") implement no self-improvement at all; only "&amp;TEXT($D$72,"0")&amp;" ("&amp;TEXT($D$72/$F$72,"0.0%")&amp;") implement it and "&amp;TEXT($E$72,"0")&amp;" characterise convergence."</f>
        <v>Of the 203 multimodal studies, 168 (82.8%) implement no self-improvement at all; only 29 (14.3%) implement it and 0 characterise convergence.</v>
      </c>
    </row>
    <row r="88" spans="1:6" ht="15.6" customHeight="1" x14ac:dyDescent="0.3">
      <c r="A88" s="56" t="s">
        <v>4925</v>
      </c>
      <c r="E88" s="36" t="s">
        <v>4926</v>
      </c>
    </row>
    <row r="89" spans="1:6" x14ac:dyDescent="0.3">
      <c r="A89" s="41" t="s">
        <v>4904</v>
      </c>
      <c r="B89" s="41" t="s">
        <v>4836</v>
      </c>
      <c r="C89" s="41" t="s">
        <v>4902</v>
      </c>
      <c r="E89" s="41" t="s">
        <v>4927</v>
      </c>
      <c r="F89" s="41" t="s">
        <v>4836</v>
      </c>
    </row>
    <row r="90" spans="1:6" x14ac:dyDescent="0.3">
      <c r="A90" s="45" t="str">
        <f>'1_CodeLists'!$K$2</f>
        <v>Single</v>
      </c>
      <c r="B90" s="84">
        <f>COUNTIFS(Matrix!$S$5:$S$960,"INCLUDE",Matrix!$AJ$5:$AJ$960,$A90)</f>
        <v>20</v>
      </c>
      <c r="C90" s="85">
        <f t="shared" ref="C90:C95" si="2">IF($B$2=0,"-",B90/$B$2)</f>
        <v>9.0090090090090086E-2</v>
      </c>
      <c r="E90" s="45" t="str">
        <f>'1_CodeLists'!$L$2</f>
        <v>High</v>
      </c>
      <c r="F90" s="83">
        <f>COUNTIFS(Matrix!$S$5:$S$960,"INCLUDE",Matrix!$AL$5:$AL$960,$E90)</f>
        <v>124</v>
      </c>
    </row>
    <row r="91" spans="1:6" x14ac:dyDescent="0.3">
      <c r="A91" s="45" t="str">
        <f>'1_CodeLists'!$K$3</f>
        <v>Co-present</v>
      </c>
      <c r="B91" s="84">
        <f>COUNTIFS(Matrix!$S$5:$S$960,"INCLUDE",Matrix!$AJ$5:$AJ$960,$A91)</f>
        <v>2</v>
      </c>
      <c r="C91" s="85">
        <f t="shared" si="2"/>
        <v>9.0090090090090089E-3</v>
      </c>
      <c r="E91" s="45" t="str">
        <f>'1_CodeLists'!$L$3</f>
        <v>Medium</v>
      </c>
      <c r="F91" s="83">
        <f>COUNTIFS(Matrix!$S$5:$S$960,"INCLUDE",Matrix!$AL$5:$AL$960,$E91)</f>
        <v>90</v>
      </c>
    </row>
    <row r="92" spans="1:6" x14ac:dyDescent="0.3">
      <c r="A92" s="45" t="str">
        <f>'1_CodeLists'!$K$4</f>
        <v>Aligned</v>
      </c>
      <c r="B92" s="84">
        <f>COUNTIFS(Matrix!$S$5:$S$960,"INCLUDE",Matrix!$AJ$5:$AJ$960,$A92)</f>
        <v>34</v>
      </c>
      <c r="C92" s="85">
        <f t="shared" si="2"/>
        <v>0.15315315315315314</v>
      </c>
      <c r="E92" s="45" t="str">
        <f>'1_CodeLists'!$L$4</f>
        <v>Low</v>
      </c>
      <c r="F92" s="83">
        <f>COUNTIFS(Matrix!$S$5:$S$960,"INCLUDE",Matrix!$AL$5:$AL$960,$E92)</f>
        <v>8</v>
      </c>
    </row>
    <row r="93" spans="1:6" x14ac:dyDescent="0.3">
      <c r="A93" s="45" t="str">
        <f>'1_CodeLists'!$K$5</f>
        <v>Fused</v>
      </c>
      <c r="B93" s="84">
        <f>COUNTIFS(Matrix!$S$5:$S$960,"INCLUDE",Matrix!$AJ$5:$AJ$960,$A93)</f>
        <v>152</v>
      </c>
      <c r="C93" s="85">
        <f t="shared" si="2"/>
        <v>0.68468468468468469</v>
      </c>
      <c r="E93" s="45" t="s">
        <v>4928</v>
      </c>
      <c r="F93" s="83">
        <f>COUNTIFS(Matrix!$S$5:$S$960,"INCLUDE",Matrix!$AM$5:$AM$960,"&lt;&gt;")</f>
        <v>23</v>
      </c>
    </row>
    <row r="94" spans="1:6" x14ac:dyDescent="0.3">
      <c r="A94" s="45" t="str">
        <f>'1_CodeLists'!$K$6</f>
        <v>Unclear</v>
      </c>
      <c r="B94" s="84">
        <f>COUNTIFS(Matrix!$S$5:$S$960,"INCLUDE",Matrix!$AJ$5:$AJ$960,$A94)</f>
        <v>14</v>
      </c>
      <c r="C94" s="85">
        <f t="shared" si="2"/>
        <v>6.3063063063063057E-2</v>
      </c>
    </row>
    <row r="95" spans="1:6" x14ac:dyDescent="0.3">
      <c r="A95" s="45" t="s">
        <v>4919</v>
      </c>
      <c r="B95" s="84">
        <f>SUM(B90:B94)</f>
        <v>222</v>
      </c>
      <c r="C95" s="85">
        <f t="shared" si="2"/>
        <v>1</v>
      </c>
    </row>
    <row r="97" spans="1:6" x14ac:dyDescent="0.3">
      <c r="A97" s="36" t="s">
        <v>4929</v>
      </c>
    </row>
    <row r="98" spans="1:6" ht="30" customHeight="1" x14ac:dyDescent="0.3">
      <c r="A98" s="41" t="s">
        <v>4930</v>
      </c>
      <c r="B98" s="41" t="str">
        <f>$A$15</f>
        <v>None</v>
      </c>
      <c r="C98" s="41" t="str">
        <f>$A$16</f>
        <v>Mentioned only</v>
      </c>
      <c r="D98" s="41" t="str">
        <f>$A$17</f>
        <v>Implemented</v>
      </c>
      <c r="E98" s="41" t="str">
        <f>$A$18</f>
        <v>Convergence-characterised</v>
      </c>
      <c r="F98" s="41" t="s">
        <v>4919</v>
      </c>
    </row>
    <row r="99" spans="1:6" x14ac:dyDescent="0.3">
      <c r="A99" s="45" t="str">
        <f>$A$90</f>
        <v>Single</v>
      </c>
      <c r="B99" s="45">
        <f>COUNTIFS(Matrix!$S$5:$S$960,"INCLUDE",Matrix!$AJ$5:$AJ$960,$A99,Matrix!$AA$5:$AA$960,B$98)</f>
        <v>18</v>
      </c>
      <c r="C99" s="45">
        <f>COUNTIFS(Matrix!$S$5:$S$960,"INCLUDE",Matrix!$AJ$5:$AJ$960,$A99,Matrix!$AA$5:$AA$960,C$98)</f>
        <v>0</v>
      </c>
      <c r="D99" s="45">
        <f>COUNTIFS(Matrix!$S$5:$S$960,"INCLUDE",Matrix!$AJ$5:$AJ$960,$A99,Matrix!$AA$5:$AA$960,D$98)</f>
        <v>2</v>
      </c>
      <c r="E99" s="45">
        <f>COUNTIFS(Matrix!$S$5:$S$960,"INCLUDE",Matrix!$AJ$5:$AJ$960,$A99,Matrix!$AA$5:$AA$960,E$98)</f>
        <v>0</v>
      </c>
      <c r="F99" s="45">
        <f>SUM(B99:E99)</f>
        <v>20</v>
      </c>
    </row>
    <row r="100" spans="1:6" x14ac:dyDescent="0.3">
      <c r="A100" s="45" t="str">
        <f>$A$91</f>
        <v>Co-present</v>
      </c>
      <c r="B100" s="45">
        <f>COUNTIFS(Matrix!$S$5:$S$960,"INCLUDE",Matrix!$AJ$5:$AJ$960,$A100,Matrix!$AA$5:$AA$960,B$98)</f>
        <v>2</v>
      </c>
      <c r="C100" s="45">
        <f>COUNTIFS(Matrix!$S$5:$S$960,"INCLUDE",Matrix!$AJ$5:$AJ$960,$A100,Matrix!$AA$5:$AA$960,C$98)</f>
        <v>0</v>
      </c>
      <c r="D100" s="45">
        <f>COUNTIFS(Matrix!$S$5:$S$960,"INCLUDE",Matrix!$AJ$5:$AJ$960,$A100,Matrix!$AA$5:$AA$960,D$98)</f>
        <v>0</v>
      </c>
      <c r="E100" s="45">
        <f>COUNTIFS(Matrix!$S$5:$S$960,"INCLUDE",Matrix!$AJ$5:$AJ$960,$A100,Matrix!$AA$5:$AA$960,E$98)</f>
        <v>0</v>
      </c>
      <c r="F100" s="45">
        <f>SUM(B100:E100)</f>
        <v>2</v>
      </c>
    </row>
    <row r="101" spans="1:6" x14ac:dyDescent="0.3">
      <c r="A101" s="45" t="str">
        <f>$A$92</f>
        <v>Aligned</v>
      </c>
      <c r="B101" s="45">
        <f>COUNTIFS(Matrix!$S$5:$S$960,"INCLUDE",Matrix!$AJ$5:$AJ$960,$A101,Matrix!$AA$5:$AA$960,B$98)</f>
        <v>32</v>
      </c>
      <c r="C101" s="45">
        <f>COUNTIFS(Matrix!$S$5:$S$960,"INCLUDE",Matrix!$AJ$5:$AJ$960,$A101,Matrix!$AA$5:$AA$960,C$98)</f>
        <v>1</v>
      </c>
      <c r="D101" s="45">
        <f>COUNTIFS(Matrix!$S$5:$S$960,"INCLUDE",Matrix!$AJ$5:$AJ$960,$A101,Matrix!$AA$5:$AA$960,D$98)</f>
        <v>1</v>
      </c>
      <c r="E101" s="45">
        <f>COUNTIFS(Matrix!$S$5:$S$960,"INCLUDE",Matrix!$AJ$5:$AJ$960,$A101,Matrix!$AA$5:$AA$960,E$98)</f>
        <v>0</v>
      </c>
      <c r="F101" s="45">
        <f>SUM(B101:E101)</f>
        <v>34</v>
      </c>
    </row>
    <row r="102" spans="1:6" x14ac:dyDescent="0.3">
      <c r="A102" s="45" t="str">
        <f>$A$93</f>
        <v>Fused</v>
      </c>
      <c r="B102" s="45">
        <f>COUNTIFS(Matrix!$S$5:$S$960,"INCLUDE",Matrix!$AJ$5:$AJ$960,$A102,Matrix!$AA$5:$AA$960,B$98)</f>
        <v>121</v>
      </c>
      <c r="C102" s="45">
        <f>COUNTIFS(Matrix!$S$5:$S$960,"INCLUDE",Matrix!$AJ$5:$AJ$960,$A102,Matrix!$AA$5:$AA$960,C$98)</f>
        <v>3</v>
      </c>
      <c r="D102" s="45">
        <f>COUNTIFS(Matrix!$S$5:$S$960,"INCLUDE",Matrix!$AJ$5:$AJ$960,$A102,Matrix!$AA$5:$AA$960,D$98)</f>
        <v>28</v>
      </c>
      <c r="E102" s="45">
        <f>COUNTIFS(Matrix!$S$5:$S$960,"INCLUDE",Matrix!$AJ$5:$AJ$960,$A102,Matrix!$AA$5:$AA$960,E$98)</f>
        <v>0</v>
      </c>
      <c r="F102" s="45">
        <f>SUM(B102:E102)</f>
        <v>152</v>
      </c>
    </row>
    <row r="103" spans="1:6" x14ac:dyDescent="0.3">
      <c r="A103" s="45" t="str">
        <f>$A$94</f>
        <v>Unclear</v>
      </c>
      <c r="B103" s="45">
        <f>COUNTIFS(Matrix!$S$5:$S$960,"INCLUDE",Matrix!$AJ$5:$AJ$960,$A103,Matrix!$AA$5:$AA$960,B$98)</f>
        <v>12</v>
      </c>
      <c r="C103" s="45">
        <f>COUNTIFS(Matrix!$S$5:$S$960,"INCLUDE",Matrix!$AJ$5:$AJ$960,$A103,Matrix!$AA$5:$AA$960,C$98)</f>
        <v>2</v>
      </c>
      <c r="D103" s="45">
        <f>COUNTIFS(Matrix!$S$5:$S$960,"INCLUDE",Matrix!$AJ$5:$AJ$960,$A103,Matrix!$AA$5:$AA$960,D$98)</f>
        <v>0</v>
      </c>
      <c r="E103" s="45">
        <f>COUNTIFS(Matrix!$S$5:$S$960,"INCLUDE",Matrix!$AJ$5:$AJ$960,$A103,Matrix!$AA$5:$AA$960,E$98)</f>
        <v>0</v>
      </c>
      <c r="F103" s="45">
        <f>SUM(B103:E103)</f>
        <v>14</v>
      </c>
    </row>
    <row r="104" spans="1:6" x14ac:dyDescent="0.3">
      <c r="A104" s="45" t="s">
        <v>4919</v>
      </c>
      <c r="B104" s="45">
        <f>SUM(B99:B103)</f>
        <v>185</v>
      </c>
      <c r="C104" s="45">
        <f>SUM(C99:C103)</f>
        <v>6</v>
      </c>
      <c r="D104" s="45">
        <f>SUM(D99:D103)</f>
        <v>31</v>
      </c>
      <c r="E104" s="45">
        <f>SUM(E99:E103)</f>
        <v>0</v>
      </c>
      <c r="F104" s="45">
        <f>SUM(F99:F103)</f>
        <v>222</v>
      </c>
    </row>
    <row r="106" spans="1:6" x14ac:dyDescent="0.3">
      <c r="A106" s="36" t="s">
        <v>4931</v>
      </c>
    </row>
    <row r="107" spans="1:6" x14ac:dyDescent="0.3">
      <c r="A107" s="45" t="s">
        <v>4932</v>
      </c>
      <c r="B107" s="45">
        <f>$F$104</f>
        <v>222</v>
      </c>
    </row>
    <row r="108" spans="1:6" x14ac:dyDescent="0.3">
      <c r="A108" s="45" t="s">
        <v>4899</v>
      </c>
      <c r="B108" s="45">
        <f>$B$2</f>
        <v>222</v>
      </c>
    </row>
    <row r="109" spans="1:6" x14ac:dyDescent="0.3">
      <c r="A109" s="45" t="s">
        <v>4923</v>
      </c>
      <c r="B109" s="45" t="str">
        <f>IF($F$104=$B$2,"OK - "&amp;TEXT($F$104,"0")&amp;" studies fully fusion-coded","MISMATCH: "&amp;TEXT($F$104-$B$2,"+0;-0")&amp;" - check blanks in Matrix AJ")</f>
        <v>OK - 222 studies fully fusion-coded</v>
      </c>
    </row>
    <row r="111" spans="1:6" x14ac:dyDescent="0.3">
      <c r="A111" s="36" t="s">
        <v>4924</v>
      </c>
    </row>
    <row r="112" spans="1:6" x14ac:dyDescent="0.3">
      <c r="A112" s="62" t="str">
        <f>"Of the "&amp;TEXT($B$32,"0")&amp;" multimodal studies only "&amp;TEXT($B$94+$B$93,"0")&amp;" reach Fused or Aligned with genuine joint inference; "&amp;TEXT($B$91,"0")&amp;" remain merely Co-present and "&amp;TEXT($B$94,"0")&amp;" are Unclear. Deepest integration (Fused) = "&amp;TEXT($B$93,"0")&amp;" ("&amp;TEXT($C$93,"0.0%")&amp;" of all included)."</f>
        <v>Of the 203 multimodal studies only 166 reach Fused or Aligned with genuine joint inference; 2 remain merely Co-present and 14 are Unclear. Deepest integration (Fused) = 152 (68.5% of all included).</v>
      </c>
    </row>
    <row r="113" spans="1:1" x14ac:dyDescent="0.3">
      <c r="A113" s="62" t="str">
        <f>"Even among the "&amp;TEXT($F$102,"0")&amp;" Fused studies, "&amp;TEXT($B$102,"0")&amp;" ("&amp;TEXT($B$102/$F$102,"0.0%")&amp;") implement no self-improvement and "&amp;TEXT($E$102,"0")&amp;" characterise convergence - deep data integration does NOT translate into adaptive capability."</f>
        <v>Even among the 152 Fused studies, 121 (79.6%) implement no self-improvement and 0 characterise convergence - deep data integration does NOT translate into adaptive capability.</v>
      </c>
    </row>
  </sheetData>
  <phoneticPr fontId="30"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57"/>
  <sheetViews>
    <sheetView topLeftCell="A919" workbookViewId="0">
      <selection activeCell="D957" sqref="D957"/>
    </sheetView>
  </sheetViews>
  <sheetFormatPr defaultRowHeight="14.4" x14ac:dyDescent="0.3"/>
  <cols>
    <col min="1" max="1" width="5.5546875" bestFit="1" customWidth="1"/>
    <col min="2" max="2" width="41.6640625" bestFit="1" customWidth="1"/>
    <col min="3" max="3" width="50.109375" customWidth="1"/>
    <col min="4" max="4" width="11.88671875" bestFit="1" customWidth="1"/>
  </cols>
  <sheetData>
    <row r="1" spans="1:5" x14ac:dyDescent="0.3">
      <c r="A1" s="30" t="s">
        <v>0</v>
      </c>
      <c r="B1" s="30" t="s">
        <v>1</v>
      </c>
      <c r="C1" s="30" t="s">
        <v>2</v>
      </c>
      <c r="D1" s="30" t="s">
        <v>3</v>
      </c>
      <c r="E1" s="30" t="s">
        <v>4</v>
      </c>
    </row>
    <row r="2" spans="1:5" x14ac:dyDescent="0.3">
      <c r="A2">
        <v>1</v>
      </c>
      <c r="B2" t="s">
        <v>5</v>
      </c>
      <c r="C2" t="s">
        <v>6</v>
      </c>
      <c r="D2">
        <v>1</v>
      </c>
      <c r="E2" t="s">
        <v>7</v>
      </c>
    </row>
    <row r="3" spans="1:5" x14ac:dyDescent="0.3">
      <c r="A3">
        <v>2</v>
      </c>
      <c r="B3" t="s">
        <v>8</v>
      </c>
      <c r="C3" t="s">
        <v>6</v>
      </c>
      <c r="D3">
        <v>2</v>
      </c>
      <c r="E3" t="s">
        <v>9</v>
      </c>
    </row>
    <row r="4" spans="1:5" x14ac:dyDescent="0.3">
      <c r="A4">
        <v>3</v>
      </c>
      <c r="B4" t="s">
        <v>10</v>
      </c>
      <c r="C4" t="s">
        <v>6</v>
      </c>
      <c r="D4">
        <v>3</v>
      </c>
      <c r="E4" t="s">
        <v>11</v>
      </c>
    </row>
    <row r="5" spans="1:5" x14ac:dyDescent="0.3">
      <c r="A5">
        <v>4</v>
      </c>
      <c r="B5" t="s">
        <v>12</v>
      </c>
      <c r="C5" t="s">
        <v>6</v>
      </c>
      <c r="D5">
        <v>4</v>
      </c>
      <c r="E5" t="s">
        <v>13</v>
      </c>
    </row>
    <row r="6" spans="1:5" x14ac:dyDescent="0.3">
      <c r="A6">
        <v>5</v>
      </c>
      <c r="B6" t="s">
        <v>14</v>
      </c>
      <c r="C6" t="s">
        <v>6</v>
      </c>
      <c r="D6">
        <v>5</v>
      </c>
      <c r="E6" t="s">
        <v>15</v>
      </c>
    </row>
    <row r="7" spans="1:5" x14ac:dyDescent="0.3">
      <c r="A7">
        <v>6</v>
      </c>
      <c r="B7" t="s">
        <v>16</v>
      </c>
      <c r="C7" t="s">
        <v>6</v>
      </c>
      <c r="D7">
        <v>6</v>
      </c>
      <c r="E7" t="s">
        <v>17</v>
      </c>
    </row>
    <row r="8" spans="1:5" x14ac:dyDescent="0.3">
      <c r="A8">
        <v>7</v>
      </c>
      <c r="B8" t="s">
        <v>18</v>
      </c>
      <c r="C8" t="s">
        <v>6</v>
      </c>
      <c r="D8">
        <v>7</v>
      </c>
      <c r="E8" t="s">
        <v>19</v>
      </c>
    </row>
    <row r="9" spans="1:5" x14ac:dyDescent="0.3">
      <c r="A9">
        <v>8</v>
      </c>
      <c r="B9" t="s">
        <v>20</v>
      </c>
      <c r="C9" t="s">
        <v>6</v>
      </c>
      <c r="D9">
        <v>8</v>
      </c>
      <c r="E9" t="s">
        <v>21</v>
      </c>
    </row>
    <row r="10" spans="1:5" x14ac:dyDescent="0.3">
      <c r="A10">
        <v>9</v>
      </c>
      <c r="B10" t="s">
        <v>22</v>
      </c>
      <c r="C10" t="s">
        <v>6</v>
      </c>
      <c r="D10">
        <v>9</v>
      </c>
      <c r="E10" t="s">
        <v>23</v>
      </c>
    </row>
    <row r="11" spans="1:5" x14ac:dyDescent="0.3">
      <c r="A11">
        <v>10</v>
      </c>
      <c r="B11" t="s">
        <v>24</v>
      </c>
      <c r="C11" t="s">
        <v>6</v>
      </c>
      <c r="D11">
        <v>10</v>
      </c>
      <c r="E11" t="s">
        <v>25</v>
      </c>
    </row>
    <row r="12" spans="1:5" x14ac:dyDescent="0.3">
      <c r="A12">
        <v>11</v>
      </c>
      <c r="B12" t="s">
        <v>26</v>
      </c>
      <c r="C12" t="s">
        <v>6</v>
      </c>
      <c r="D12">
        <v>11</v>
      </c>
      <c r="E12" t="s">
        <v>27</v>
      </c>
    </row>
    <row r="13" spans="1:5" x14ac:dyDescent="0.3">
      <c r="A13">
        <v>12</v>
      </c>
      <c r="B13" t="s">
        <v>28</v>
      </c>
      <c r="C13" t="s">
        <v>6</v>
      </c>
      <c r="D13">
        <v>12</v>
      </c>
      <c r="E13" t="s">
        <v>29</v>
      </c>
    </row>
    <row r="14" spans="1:5" x14ac:dyDescent="0.3">
      <c r="A14">
        <v>13</v>
      </c>
      <c r="B14" t="s">
        <v>30</v>
      </c>
      <c r="C14" t="s">
        <v>6</v>
      </c>
      <c r="D14">
        <v>13</v>
      </c>
      <c r="E14" t="s">
        <v>31</v>
      </c>
    </row>
    <row r="15" spans="1:5" x14ac:dyDescent="0.3">
      <c r="A15">
        <v>14</v>
      </c>
      <c r="B15" t="s">
        <v>32</v>
      </c>
      <c r="C15" t="s">
        <v>6</v>
      </c>
      <c r="D15">
        <v>14</v>
      </c>
      <c r="E15" t="s">
        <v>33</v>
      </c>
    </row>
    <row r="16" spans="1:5" x14ac:dyDescent="0.3">
      <c r="A16">
        <v>15</v>
      </c>
      <c r="B16" t="s">
        <v>34</v>
      </c>
      <c r="C16" t="s">
        <v>6</v>
      </c>
      <c r="D16">
        <v>15</v>
      </c>
      <c r="E16" t="s">
        <v>35</v>
      </c>
    </row>
    <row r="17" spans="1:5" x14ac:dyDescent="0.3">
      <c r="A17">
        <v>16</v>
      </c>
      <c r="B17" t="s">
        <v>36</v>
      </c>
      <c r="C17" t="s">
        <v>6</v>
      </c>
      <c r="D17">
        <v>16</v>
      </c>
      <c r="E17" t="s">
        <v>37</v>
      </c>
    </row>
    <row r="18" spans="1:5" x14ac:dyDescent="0.3">
      <c r="A18">
        <v>17</v>
      </c>
      <c r="B18" t="s">
        <v>38</v>
      </c>
      <c r="C18" t="s">
        <v>6</v>
      </c>
      <c r="D18">
        <v>17</v>
      </c>
      <c r="E18" t="s">
        <v>39</v>
      </c>
    </row>
    <row r="19" spans="1:5" x14ac:dyDescent="0.3">
      <c r="A19">
        <v>18</v>
      </c>
      <c r="B19" t="s">
        <v>40</v>
      </c>
      <c r="C19" t="s">
        <v>6</v>
      </c>
      <c r="D19">
        <v>18</v>
      </c>
      <c r="E19" t="s">
        <v>41</v>
      </c>
    </row>
    <row r="20" spans="1:5" x14ac:dyDescent="0.3">
      <c r="A20">
        <v>19</v>
      </c>
      <c r="B20" t="s">
        <v>42</v>
      </c>
      <c r="C20" t="s">
        <v>6</v>
      </c>
      <c r="D20">
        <v>19</v>
      </c>
      <c r="E20" t="s">
        <v>43</v>
      </c>
    </row>
    <row r="21" spans="1:5" x14ac:dyDescent="0.3">
      <c r="A21">
        <v>20</v>
      </c>
      <c r="B21" t="s">
        <v>44</v>
      </c>
      <c r="C21" t="s">
        <v>6</v>
      </c>
      <c r="D21">
        <v>20</v>
      </c>
      <c r="E21" t="s">
        <v>45</v>
      </c>
    </row>
    <row r="22" spans="1:5" x14ac:dyDescent="0.3">
      <c r="A22">
        <v>21</v>
      </c>
      <c r="B22" t="s">
        <v>46</v>
      </c>
      <c r="C22" t="s">
        <v>6</v>
      </c>
      <c r="D22">
        <v>21</v>
      </c>
      <c r="E22" t="s">
        <v>47</v>
      </c>
    </row>
    <row r="23" spans="1:5" x14ac:dyDescent="0.3">
      <c r="A23">
        <v>22</v>
      </c>
      <c r="B23" t="s">
        <v>48</v>
      </c>
      <c r="C23" t="s">
        <v>6</v>
      </c>
      <c r="D23">
        <v>22</v>
      </c>
      <c r="E23" t="s">
        <v>49</v>
      </c>
    </row>
    <row r="24" spans="1:5" x14ac:dyDescent="0.3">
      <c r="A24">
        <v>23</v>
      </c>
      <c r="B24" t="s">
        <v>50</v>
      </c>
      <c r="C24" t="s">
        <v>6</v>
      </c>
      <c r="D24">
        <v>23</v>
      </c>
      <c r="E24" t="s">
        <v>51</v>
      </c>
    </row>
    <row r="25" spans="1:5" x14ac:dyDescent="0.3">
      <c r="A25">
        <v>24</v>
      </c>
      <c r="B25" t="s">
        <v>52</v>
      </c>
      <c r="C25" t="s">
        <v>6</v>
      </c>
      <c r="D25">
        <v>24</v>
      </c>
      <c r="E25" t="s">
        <v>53</v>
      </c>
    </row>
    <row r="26" spans="1:5" x14ac:dyDescent="0.3">
      <c r="A26">
        <v>25</v>
      </c>
      <c r="B26" t="s">
        <v>54</v>
      </c>
      <c r="C26" t="s">
        <v>6</v>
      </c>
      <c r="D26">
        <v>25</v>
      </c>
      <c r="E26" t="s">
        <v>55</v>
      </c>
    </row>
    <row r="27" spans="1:5" x14ac:dyDescent="0.3">
      <c r="A27">
        <v>26</v>
      </c>
      <c r="B27" t="s">
        <v>56</v>
      </c>
      <c r="C27" t="s">
        <v>6</v>
      </c>
      <c r="D27">
        <v>26</v>
      </c>
      <c r="E27" t="s">
        <v>57</v>
      </c>
    </row>
    <row r="28" spans="1:5" x14ac:dyDescent="0.3">
      <c r="A28">
        <v>27</v>
      </c>
      <c r="B28" t="s">
        <v>58</v>
      </c>
      <c r="C28" t="s">
        <v>6</v>
      </c>
      <c r="D28">
        <v>27</v>
      </c>
      <c r="E28" t="s">
        <v>59</v>
      </c>
    </row>
    <row r="29" spans="1:5" x14ac:dyDescent="0.3">
      <c r="A29">
        <v>28</v>
      </c>
      <c r="B29" t="s">
        <v>60</v>
      </c>
      <c r="C29" t="s">
        <v>6</v>
      </c>
      <c r="D29">
        <v>28</v>
      </c>
      <c r="E29" t="s">
        <v>61</v>
      </c>
    </row>
    <row r="30" spans="1:5" x14ac:dyDescent="0.3">
      <c r="A30">
        <v>29</v>
      </c>
      <c r="B30" t="s">
        <v>62</v>
      </c>
      <c r="C30" t="s">
        <v>6</v>
      </c>
      <c r="D30">
        <v>29</v>
      </c>
      <c r="E30" t="s">
        <v>63</v>
      </c>
    </row>
    <row r="31" spans="1:5" x14ac:dyDescent="0.3">
      <c r="A31">
        <v>30</v>
      </c>
      <c r="B31" t="s">
        <v>64</v>
      </c>
      <c r="C31" t="s">
        <v>6</v>
      </c>
      <c r="D31">
        <v>30</v>
      </c>
      <c r="E31" t="s">
        <v>65</v>
      </c>
    </row>
    <row r="32" spans="1:5" x14ac:dyDescent="0.3">
      <c r="A32">
        <v>31</v>
      </c>
      <c r="B32" t="s">
        <v>66</v>
      </c>
      <c r="C32" t="s">
        <v>6</v>
      </c>
      <c r="D32">
        <v>31</v>
      </c>
      <c r="E32" t="s">
        <v>67</v>
      </c>
    </row>
    <row r="33" spans="1:5" x14ac:dyDescent="0.3">
      <c r="A33">
        <v>32</v>
      </c>
      <c r="B33" t="s">
        <v>68</v>
      </c>
      <c r="C33" t="s">
        <v>6</v>
      </c>
      <c r="D33">
        <v>32</v>
      </c>
      <c r="E33" t="s">
        <v>69</v>
      </c>
    </row>
    <row r="34" spans="1:5" x14ac:dyDescent="0.3">
      <c r="A34">
        <v>33</v>
      </c>
      <c r="B34" t="s">
        <v>70</v>
      </c>
      <c r="C34" t="s">
        <v>6</v>
      </c>
      <c r="D34">
        <v>33</v>
      </c>
      <c r="E34" t="s">
        <v>71</v>
      </c>
    </row>
    <row r="35" spans="1:5" x14ac:dyDescent="0.3">
      <c r="A35">
        <v>34</v>
      </c>
      <c r="B35" t="s">
        <v>72</v>
      </c>
      <c r="C35" t="s">
        <v>6</v>
      </c>
      <c r="D35">
        <v>34</v>
      </c>
      <c r="E35" t="s">
        <v>73</v>
      </c>
    </row>
    <row r="36" spans="1:5" x14ac:dyDescent="0.3">
      <c r="A36">
        <v>35</v>
      </c>
      <c r="B36" t="s">
        <v>74</v>
      </c>
      <c r="C36" t="s">
        <v>6</v>
      </c>
      <c r="D36">
        <v>35</v>
      </c>
      <c r="E36" t="s">
        <v>75</v>
      </c>
    </row>
    <row r="37" spans="1:5" x14ac:dyDescent="0.3">
      <c r="A37">
        <v>36</v>
      </c>
      <c r="B37" t="s">
        <v>76</v>
      </c>
      <c r="C37" t="s">
        <v>6</v>
      </c>
      <c r="D37">
        <v>36</v>
      </c>
      <c r="E37" t="s">
        <v>77</v>
      </c>
    </row>
    <row r="38" spans="1:5" x14ac:dyDescent="0.3">
      <c r="A38">
        <v>37</v>
      </c>
      <c r="B38" t="s">
        <v>78</v>
      </c>
      <c r="C38" t="s">
        <v>6</v>
      </c>
      <c r="D38">
        <v>37</v>
      </c>
      <c r="E38" t="s">
        <v>79</v>
      </c>
    </row>
    <row r="39" spans="1:5" x14ac:dyDescent="0.3">
      <c r="A39">
        <v>38</v>
      </c>
      <c r="B39" t="s">
        <v>80</v>
      </c>
      <c r="C39" t="s">
        <v>6</v>
      </c>
      <c r="D39">
        <v>38</v>
      </c>
      <c r="E39" t="s">
        <v>81</v>
      </c>
    </row>
    <row r="40" spans="1:5" x14ac:dyDescent="0.3">
      <c r="A40">
        <v>39</v>
      </c>
      <c r="B40" t="s">
        <v>82</v>
      </c>
      <c r="C40" t="s">
        <v>6</v>
      </c>
      <c r="D40">
        <v>39</v>
      </c>
      <c r="E40" t="s">
        <v>83</v>
      </c>
    </row>
    <row r="41" spans="1:5" x14ac:dyDescent="0.3">
      <c r="A41">
        <v>40</v>
      </c>
      <c r="B41" t="s">
        <v>84</v>
      </c>
      <c r="C41" t="s">
        <v>6</v>
      </c>
      <c r="D41">
        <v>40</v>
      </c>
      <c r="E41" t="s">
        <v>85</v>
      </c>
    </row>
    <row r="42" spans="1:5" x14ac:dyDescent="0.3">
      <c r="A42">
        <v>41</v>
      </c>
      <c r="B42" t="s">
        <v>86</v>
      </c>
      <c r="C42" t="s">
        <v>6</v>
      </c>
      <c r="D42">
        <v>41</v>
      </c>
      <c r="E42" t="s">
        <v>87</v>
      </c>
    </row>
    <row r="43" spans="1:5" x14ac:dyDescent="0.3">
      <c r="A43">
        <v>42</v>
      </c>
      <c r="B43" t="s">
        <v>88</v>
      </c>
      <c r="C43" t="s">
        <v>6</v>
      </c>
      <c r="D43">
        <v>42</v>
      </c>
      <c r="E43" t="s">
        <v>89</v>
      </c>
    </row>
    <row r="44" spans="1:5" x14ac:dyDescent="0.3">
      <c r="A44">
        <v>43</v>
      </c>
      <c r="B44" t="s">
        <v>90</v>
      </c>
      <c r="C44" t="s">
        <v>6</v>
      </c>
      <c r="D44">
        <v>43</v>
      </c>
      <c r="E44" t="s">
        <v>91</v>
      </c>
    </row>
    <row r="45" spans="1:5" x14ac:dyDescent="0.3">
      <c r="A45">
        <v>44</v>
      </c>
      <c r="B45" t="s">
        <v>92</v>
      </c>
      <c r="C45" t="s">
        <v>6</v>
      </c>
      <c r="D45">
        <v>44</v>
      </c>
      <c r="E45" t="s">
        <v>93</v>
      </c>
    </row>
    <row r="46" spans="1:5" x14ac:dyDescent="0.3">
      <c r="A46">
        <v>45</v>
      </c>
      <c r="B46" t="s">
        <v>94</v>
      </c>
      <c r="C46" t="s">
        <v>6</v>
      </c>
      <c r="D46">
        <v>45</v>
      </c>
      <c r="E46" t="s">
        <v>95</v>
      </c>
    </row>
    <row r="47" spans="1:5" x14ac:dyDescent="0.3">
      <c r="A47">
        <v>46</v>
      </c>
      <c r="B47" t="s">
        <v>96</v>
      </c>
      <c r="C47" t="s">
        <v>6</v>
      </c>
      <c r="D47">
        <v>46</v>
      </c>
      <c r="E47" t="s">
        <v>97</v>
      </c>
    </row>
    <row r="48" spans="1:5" x14ac:dyDescent="0.3">
      <c r="A48">
        <v>47</v>
      </c>
      <c r="B48" t="s">
        <v>98</v>
      </c>
      <c r="C48" t="s">
        <v>6</v>
      </c>
      <c r="D48">
        <v>47</v>
      </c>
      <c r="E48" t="s">
        <v>99</v>
      </c>
    </row>
    <row r="49" spans="1:5" x14ac:dyDescent="0.3">
      <c r="A49">
        <v>48</v>
      </c>
      <c r="B49" t="s">
        <v>100</v>
      </c>
      <c r="C49" t="s">
        <v>6</v>
      </c>
      <c r="D49">
        <v>48</v>
      </c>
      <c r="E49" t="s">
        <v>101</v>
      </c>
    </row>
    <row r="50" spans="1:5" x14ac:dyDescent="0.3">
      <c r="A50">
        <v>49</v>
      </c>
      <c r="B50" t="s">
        <v>102</v>
      </c>
      <c r="C50" t="s">
        <v>6</v>
      </c>
      <c r="D50">
        <v>49</v>
      </c>
      <c r="E50" t="s">
        <v>103</v>
      </c>
    </row>
    <row r="51" spans="1:5" x14ac:dyDescent="0.3">
      <c r="A51">
        <v>50</v>
      </c>
      <c r="B51" t="s">
        <v>104</v>
      </c>
      <c r="C51" t="s">
        <v>6</v>
      </c>
      <c r="D51">
        <v>50</v>
      </c>
      <c r="E51" t="s">
        <v>105</v>
      </c>
    </row>
    <row r="52" spans="1:5" x14ac:dyDescent="0.3">
      <c r="A52">
        <v>51</v>
      </c>
      <c r="B52" t="s">
        <v>106</v>
      </c>
      <c r="C52" t="s">
        <v>6</v>
      </c>
      <c r="D52">
        <v>51</v>
      </c>
      <c r="E52" t="s">
        <v>107</v>
      </c>
    </row>
    <row r="53" spans="1:5" x14ac:dyDescent="0.3">
      <c r="A53">
        <v>52</v>
      </c>
      <c r="B53" t="s">
        <v>108</v>
      </c>
      <c r="C53" t="s">
        <v>6</v>
      </c>
      <c r="D53">
        <v>52</v>
      </c>
      <c r="E53" t="s">
        <v>109</v>
      </c>
    </row>
    <row r="54" spans="1:5" x14ac:dyDescent="0.3">
      <c r="A54">
        <v>53</v>
      </c>
      <c r="B54" t="s">
        <v>110</v>
      </c>
      <c r="C54" t="s">
        <v>6</v>
      </c>
      <c r="D54">
        <v>53</v>
      </c>
      <c r="E54" t="s">
        <v>111</v>
      </c>
    </row>
    <row r="55" spans="1:5" x14ac:dyDescent="0.3">
      <c r="A55">
        <v>54</v>
      </c>
      <c r="B55" t="s">
        <v>112</v>
      </c>
      <c r="C55" t="s">
        <v>6</v>
      </c>
      <c r="D55">
        <v>54</v>
      </c>
      <c r="E55" t="s">
        <v>113</v>
      </c>
    </row>
    <row r="56" spans="1:5" x14ac:dyDescent="0.3">
      <c r="A56">
        <v>55</v>
      </c>
      <c r="B56" t="s">
        <v>114</v>
      </c>
      <c r="C56" t="s">
        <v>6</v>
      </c>
      <c r="D56">
        <v>55</v>
      </c>
      <c r="E56" t="s">
        <v>115</v>
      </c>
    </row>
    <row r="57" spans="1:5" x14ac:dyDescent="0.3">
      <c r="A57">
        <v>56</v>
      </c>
      <c r="B57" t="s">
        <v>116</v>
      </c>
      <c r="C57" t="s">
        <v>6</v>
      </c>
      <c r="D57">
        <v>56</v>
      </c>
      <c r="E57" t="s">
        <v>117</v>
      </c>
    </row>
    <row r="58" spans="1:5" x14ac:dyDescent="0.3">
      <c r="A58">
        <v>57</v>
      </c>
      <c r="B58" t="s">
        <v>118</v>
      </c>
      <c r="C58" t="s">
        <v>6</v>
      </c>
      <c r="D58">
        <v>57</v>
      </c>
      <c r="E58" t="s">
        <v>119</v>
      </c>
    </row>
    <row r="59" spans="1:5" x14ac:dyDescent="0.3">
      <c r="A59">
        <v>58</v>
      </c>
      <c r="B59" t="s">
        <v>120</v>
      </c>
      <c r="C59" t="s">
        <v>6</v>
      </c>
      <c r="D59">
        <v>58</v>
      </c>
      <c r="E59" t="s">
        <v>121</v>
      </c>
    </row>
    <row r="60" spans="1:5" x14ac:dyDescent="0.3">
      <c r="A60">
        <v>59</v>
      </c>
      <c r="B60" t="s">
        <v>122</v>
      </c>
      <c r="C60" t="s">
        <v>6</v>
      </c>
      <c r="D60">
        <v>59</v>
      </c>
      <c r="E60" t="s">
        <v>123</v>
      </c>
    </row>
    <row r="61" spans="1:5" x14ac:dyDescent="0.3">
      <c r="A61">
        <v>60</v>
      </c>
      <c r="B61" t="s">
        <v>124</v>
      </c>
      <c r="C61" t="s">
        <v>6</v>
      </c>
      <c r="D61">
        <v>60</v>
      </c>
      <c r="E61" t="s">
        <v>125</v>
      </c>
    </row>
    <row r="62" spans="1:5" x14ac:dyDescent="0.3">
      <c r="A62">
        <v>61</v>
      </c>
      <c r="B62" t="s">
        <v>126</v>
      </c>
      <c r="C62" t="s">
        <v>6</v>
      </c>
      <c r="D62">
        <v>61</v>
      </c>
      <c r="E62" t="s">
        <v>127</v>
      </c>
    </row>
    <row r="63" spans="1:5" x14ac:dyDescent="0.3">
      <c r="A63">
        <v>62</v>
      </c>
      <c r="B63" t="s">
        <v>128</v>
      </c>
      <c r="C63" t="s">
        <v>6</v>
      </c>
      <c r="D63">
        <v>62</v>
      </c>
      <c r="E63" t="s">
        <v>129</v>
      </c>
    </row>
    <row r="64" spans="1:5" x14ac:dyDescent="0.3">
      <c r="A64">
        <v>63</v>
      </c>
      <c r="B64" t="s">
        <v>130</v>
      </c>
      <c r="C64" t="s">
        <v>6</v>
      </c>
      <c r="D64">
        <v>63</v>
      </c>
      <c r="E64" t="s">
        <v>131</v>
      </c>
    </row>
    <row r="65" spans="1:5" x14ac:dyDescent="0.3">
      <c r="A65">
        <v>64</v>
      </c>
      <c r="B65" t="s">
        <v>132</v>
      </c>
      <c r="C65" t="s">
        <v>6</v>
      </c>
      <c r="D65">
        <v>64</v>
      </c>
      <c r="E65" t="s">
        <v>133</v>
      </c>
    </row>
    <row r="66" spans="1:5" x14ac:dyDescent="0.3">
      <c r="A66">
        <v>65</v>
      </c>
      <c r="B66" t="s">
        <v>134</v>
      </c>
      <c r="C66" t="s">
        <v>6</v>
      </c>
      <c r="D66">
        <v>65</v>
      </c>
      <c r="E66" t="s">
        <v>135</v>
      </c>
    </row>
    <row r="67" spans="1:5" x14ac:dyDescent="0.3">
      <c r="A67">
        <v>66</v>
      </c>
      <c r="B67" t="s">
        <v>136</v>
      </c>
      <c r="C67" t="s">
        <v>6</v>
      </c>
      <c r="D67">
        <v>66</v>
      </c>
      <c r="E67" t="s">
        <v>137</v>
      </c>
    </row>
    <row r="68" spans="1:5" x14ac:dyDescent="0.3">
      <c r="A68">
        <v>67</v>
      </c>
      <c r="B68" t="s">
        <v>138</v>
      </c>
      <c r="C68" t="s">
        <v>6</v>
      </c>
      <c r="D68">
        <v>67</v>
      </c>
      <c r="E68" t="s">
        <v>139</v>
      </c>
    </row>
    <row r="69" spans="1:5" x14ac:dyDescent="0.3">
      <c r="A69">
        <v>68</v>
      </c>
      <c r="B69" t="s">
        <v>140</v>
      </c>
      <c r="C69" t="s">
        <v>6</v>
      </c>
      <c r="D69">
        <v>68</v>
      </c>
      <c r="E69" t="s">
        <v>141</v>
      </c>
    </row>
    <row r="70" spans="1:5" x14ac:dyDescent="0.3">
      <c r="A70">
        <v>69</v>
      </c>
      <c r="B70" t="s">
        <v>142</v>
      </c>
      <c r="C70" t="s">
        <v>6</v>
      </c>
      <c r="D70">
        <v>69</v>
      </c>
      <c r="E70" t="s">
        <v>143</v>
      </c>
    </row>
    <row r="71" spans="1:5" x14ac:dyDescent="0.3">
      <c r="A71">
        <v>70</v>
      </c>
      <c r="B71" t="s">
        <v>144</v>
      </c>
      <c r="C71" t="s">
        <v>6</v>
      </c>
      <c r="D71">
        <v>70</v>
      </c>
      <c r="E71" t="s">
        <v>145</v>
      </c>
    </row>
    <row r="72" spans="1:5" x14ac:dyDescent="0.3">
      <c r="A72">
        <v>71</v>
      </c>
      <c r="B72" t="s">
        <v>146</v>
      </c>
      <c r="C72" t="s">
        <v>6</v>
      </c>
      <c r="D72">
        <v>71</v>
      </c>
      <c r="E72" t="s">
        <v>147</v>
      </c>
    </row>
    <row r="73" spans="1:5" x14ac:dyDescent="0.3">
      <c r="A73">
        <v>72</v>
      </c>
      <c r="B73" t="s">
        <v>148</v>
      </c>
      <c r="C73" t="s">
        <v>6</v>
      </c>
      <c r="D73">
        <v>72</v>
      </c>
      <c r="E73" t="s">
        <v>149</v>
      </c>
    </row>
    <row r="74" spans="1:5" x14ac:dyDescent="0.3">
      <c r="A74">
        <v>73</v>
      </c>
      <c r="B74" t="s">
        <v>150</v>
      </c>
      <c r="C74" t="s">
        <v>6</v>
      </c>
      <c r="D74">
        <v>73</v>
      </c>
      <c r="E74" t="s">
        <v>151</v>
      </c>
    </row>
    <row r="75" spans="1:5" x14ac:dyDescent="0.3">
      <c r="A75">
        <v>74</v>
      </c>
      <c r="B75" t="s">
        <v>152</v>
      </c>
      <c r="C75" t="s">
        <v>6</v>
      </c>
      <c r="D75">
        <v>74</v>
      </c>
      <c r="E75" t="s">
        <v>153</v>
      </c>
    </row>
    <row r="76" spans="1:5" x14ac:dyDescent="0.3">
      <c r="A76">
        <v>75</v>
      </c>
      <c r="B76" t="s">
        <v>154</v>
      </c>
      <c r="C76" t="s">
        <v>6</v>
      </c>
      <c r="D76">
        <v>75</v>
      </c>
      <c r="E76" t="s">
        <v>155</v>
      </c>
    </row>
    <row r="77" spans="1:5" x14ac:dyDescent="0.3">
      <c r="A77">
        <v>76</v>
      </c>
      <c r="B77" t="s">
        <v>156</v>
      </c>
      <c r="C77" t="s">
        <v>6</v>
      </c>
      <c r="D77">
        <v>76</v>
      </c>
      <c r="E77" t="s">
        <v>157</v>
      </c>
    </row>
    <row r="78" spans="1:5" x14ac:dyDescent="0.3">
      <c r="A78">
        <v>77</v>
      </c>
      <c r="B78" t="s">
        <v>158</v>
      </c>
      <c r="C78" t="s">
        <v>6</v>
      </c>
      <c r="D78">
        <v>77</v>
      </c>
      <c r="E78" t="s">
        <v>159</v>
      </c>
    </row>
    <row r="79" spans="1:5" x14ac:dyDescent="0.3">
      <c r="A79">
        <v>78</v>
      </c>
      <c r="B79" t="s">
        <v>160</v>
      </c>
      <c r="C79" t="s">
        <v>6</v>
      </c>
      <c r="D79">
        <v>78</v>
      </c>
      <c r="E79" t="s">
        <v>161</v>
      </c>
    </row>
    <row r="80" spans="1:5" x14ac:dyDescent="0.3">
      <c r="A80">
        <v>79</v>
      </c>
      <c r="B80" t="s">
        <v>162</v>
      </c>
      <c r="C80" t="s">
        <v>6</v>
      </c>
      <c r="D80">
        <v>79</v>
      </c>
      <c r="E80" t="s">
        <v>163</v>
      </c>
    </row>
    <row r="81" spans="1:5" x14ac:dyDescent="0.3">
      <c r="A81">
        <v>80</v>
      </c>
      <c r="B81" t="s">
        <v>164</v>
      </c>
      <c r="C81" t="s">
        <v>6</v>
      </c>
      <c r="D81">
        <v>80</v>
      </c>
      <c r="E81" t="s">
        <v>165</v>
      </c>
    </row>
    <row r="82" spans="1:5" x14ac:dyDescent="0.3">
      <c r="A82">
        <v>81</v>
      </c>
      <c r="B82" t="s">
        <v>166</v>
      </c>
      <c r="C82" t="s">
        <v>6</v>
      </c>
      <c r="D82">
        <v>81</v>
      </c>
      <c r="E82" t="s">
        <v>167</v>
      </c>
    </row>
    <row r="83" spans="1:5" x14ac:dyDescent="0.3">
      <c r="A83">
        <v>82</v>
      </c>
      <c r="B83" t="s">
        <v>168</v>
      </c>
      <c r="C83" t="s">
        <v>6</v>
      </c>
      <c r="D83">
        <v>82</v>
      </c>
      <c r="E83" t="s">
        <v>169</v>
      </c>
    </row>
    <row r="84" spans="1:5" x14ac:dyDescent="0.3">
      <c r="A84">
        <v>83</v>
      </c>
      <c r="B84" t="s">
        <v>170</v>
      </c>
      <c r="C84" t="s">
        <v>6</v>
      </c>
      <c r="D84">
        <v>83</v>
      </c>
      <c r="E84" t="s">
        <v>171</v>
      </c>
    </row>
    <row r="85" spans="1:5" x14ac:dyDescent="0.3">
      <c r="A85">
        <v>84</v>
      </c>
      <c r="B85" t="s">
        <v>172</v>
      </c>
      <c r="C85" t="s">
        <v>6</v>
      </c>
      <c r="D85">
        <v>84</v>
      </c>
      <c r="E85" t="s">
        <v>173</v>
      </c>
    </row>
    <row r="86" spans="1:5" x14ac:dyDescent="0.3">
      <c r="A86">
        <v>85</v>
      </c>
      <c r="B86" t="s">
        <v>174</v>
      </c>
      <c r="C86" t="s">
        <v>6</v>
      </c>
      <c r="D86">
        <v>85</v>
      </c>
      <c r="E86" t="s">
        <v>175</v>
      </c>
    </row>
    <row r="87" spans="1:5" x14ac:dyDescent="0.3">
      <c r="A87">
        <v>86</v>
      </c>
      <c r="B87" t="s">
        <v>176</v>
      </c>
      <c r="C87" t="s">
        <v>6</v>
      </c>
      <c r="D87">
        <v>86</v>
      </c>
      <c r="E87" t="s">
        <v>177</v>
      </c>
    </row>
    <row r="88" spans="1:5" x14ac:dyDescent="0.3">
      <c r="A88">
        <v>87</v>
      </c>
      <c r="B88" t="s">
        <v>178</v>
      </c>
      <c r="C88" t="s">
        <v>6</v>
      </c>
      <c r="D88">
        <v>87</v>
      </c>
      <c r="E88" t="s">
        <v>179</v>
      </c>
    </row>
    <row r="89" spans="1:5" x14ac:dyDescent="0.3">
      <c r="A89">
        <v>88</v>
      </c>
      <c r="B89" t="s">
        <v>180</v>
      </c>
      <c r="C89" t="s">
        <v>6</v>
      </c>
      <c r="D89">
        <v>88</v>
      </c>
      <c r="E89" t="s">
        <v>181</v>
      </c>
    </row>
    <row r="90" spans="1:5" x14ac:dyDescent="0.3">
      <c r="A90">
        <v>89</v>
      </c>
      <c r="B90" t="s">
        <v>182</v>
      </c>
      <c r="C90" t="s">
        <v>6</v>
      </c>
      <c r="D90">
        <v>89</v>
      </c>
      <c r="E90" t="s">
        <v>183</v>
      </c>
    </row>
    <row r="91" spans="1:5" x14ac:dyDescent="0.3">
      <c r="A91">
        <v>90</v>
      </c>
      <c r="B91" t="s">
        <v>184</v>
      </c>
      <c r="C91" t="s">
        <v>6</v>
      </c>
      <c r="D91">
        <v>90</v>
      </c>
      <c r="E91" t="s">
        <v>185</v>
      </c>
    </row>
    <row r="92" spans="1:5" x14ac:dyDescent="0.3">
      <c r="A92">
        <v>91</v>
      </c>
      <c r="B92" t="s">
        <v>186</v>
      </c>
      <c r="C92" t="s">
        <v>6</v>
      </c>
      <c r="D92">
        <v>91</v>
      </c>
      <c r="E92" t="s">
        <v>187</v>
      </c>
    </row>
    <row r="93" spans="1:5" x14ac:dyDescent="0.3">
      <c r="A93">
        <v>92</v>
      </c>
      <c r="B93" t="s">
        <v>188</v>
      </c>
      <c r="C93" t="s">
        <v>6</v>
      </c>
      <c r="D93">
        <v>92</v>
      </c>
      <c r="E93" t="s">
        <v>189</v>
      </c>
    </row>
    <row r="94" spans="1:5" x14ac:dyDescent="0.3">
      <c r="A94">
        <v>93</v>
      </c>
      <c r="B94" t="s">
        <v>190</v>
      </c>
      <c r="C94" t="s">
        <v>6</v>
      </c>
      <c r="D94">
        <v>93</v>
      </c>
      <c r="E94" t="s">
        <v>191</v>
      </c>
    </row>
    <row r="95" spans="1:5" x14ac:dyDescent="0.3">
      <c r="A95">
        <v>94</v>
      </c>
      <c r="B95" t="s">
        <v>192</v>
      </c>
      <c r="C95" t="s">
        <v>6</v>
      </c>
      <c r="D95">
        <v>94</v>
      </c>
      <c r="E95" t="s">
        <v>193</v>
      </c>
    </row>
    <row r="96" spans="1:5" x14ac:dyDescent="0.3">
      <c r="A96">
        <v>95</v>
      </c>
      <c r="B96" t="s">
        <v>194</v>
      </c>
      <c r="C96" t="s">
        <v>6</v>
      </c>
      <c r="D96">
        <v>95</v>
      </c>
      <c r="E96" t="s">
        <v>195</v>
      </c>
    </row>
    <row r="97" spans="1:5" x14ac:dyDescent="0.3">
      <c r="A97">
        <v>96</v>
      </c>
      <c r="B97" t="s">
        <v>196</v>
      </c>
      <c r="C97" t="s">
        <v>6</v>
      </c>
      <c r="D97">
        <v>96</v>
      </c>
      <c r="E97" t="s">
        <v>197</v>
      </c>
    </row>
    <row r="98" spans="1:5" x14ac:dyDescent="0.3">
      <c r="A98">
        <v>97</v>
      </c>
      <c r="B98" t="s">
        <v>198</v>
      </c>
      <c r="C98" t="s">
        <v>6</v>
      </c>
      <c r="D98">
        <v>97</v>
      </c>
      <c r="E98" t="s">
        <v>199</v>
      </c>
    </row>
    <row r="99" spans="1:5" x14ac:dyDescent="0.3">
      <c r="A99">
        <v>98</v>
      </c>
      <c r="B99" t="s">
        <v>200</v>
      </c>
      <c r="C99" t="s">
        <v>6</v>
      </c>
      <c r="D99">
        <v>98</v>
      </c>
      <c r="E99" t="s">
        <v>201</v>
      </c>
    </row>
    <row r="100" spans="1:5" x14ac:dyDescent="0.3">
      <c r="A100">
        <v>99</v>
      </c>
      <c r="B100" t="s">
        <v>202</v>
      </c>
      <c r="C100" t="s">
        <v>6</v>
      </c>
      <c r="D100">
        <v>99</v>
      </c>
      <c r="E100" t="s">
        <v>203</v>
      </c>
    </row>
    <row r="101" spans="1:5" x14ac:dyDescent="0.3">
      <c r="A101">
        <v>100</v>
      </c>
      <c r="B101" t="s">
        <v>204</v>
      </c>
      <c r="C101" t="s">
        <v>6</v>
      </c>
      <c r="D101">
        <v>100</v>
      </c>
      <c r="E101" t="s">
        <v>205</v>
      </c>
    </row>
    <row r="102" spans="1:5" x14ac:dyDescent="0.3">
      <c r="A102">
        <v>101</v>
      </c>
      <c r="B102" t="s">
        <v>206</v>
      </c>
      <c r="C102" t="s">
        <v>6</v>
      </c>
      <c r="D102">
        <v>101</v>
      </c>
      <c r="E102" t="s">
        <v>207</v>
      </c>
    </row>
    <row r="103" spans="1:5" x14ac:dyDescent="0.3">
      <c r="A103">
        <v>102</v>
      </c>
      <c r="B103" t="s">
        <v>208</v>
      </c>
      <c r="C103" t="s">
        <v>6</v>
      </c>
      <c r="D103">
        <v>102</v>
      </c>
      <c r="E103" t="s">
        <v>209</v>
      </c>
    </row>
    <row r="104" spans="1:5" x14ac:dyDescent="0.3">
      <c r="A104">
        <v>103</v>
      </c>
      <c r="B104" t="s">
        <v>210</v>
      </c>
      <c r="C104" t="s">
        <v>6</v>
      </c>
      <c r="D104">
        <v>103</v>
      </c>
      <c r="E104" t="s">
        <v>211</v>
      </c>
    </row>
    <row r="105" spans="1:5" x14ac:dyDescent="0.3">
      <c r="A105">
        <v>104</v>
      </c>
      <c r="B105" t="s">
        <v>212</v>
      </c>
      <c r="C105" t="s">
        <v>6</v>
      </c>
      <c r="D105">
        <v>104</v>
      </c>
      <c r="E105" t="s">
        <v>213</v>
      </c>
    </row>
    <row r="106" spans="1:5" x14ac:dyDescent="0.3">
      <c r="A106">
        <v>105</v>
      </c>
      <c r="B106" t="s">
        <v>214</v>
      </c>
      <c r="C106" t="s">
        <v>6</v>
      </c>
      <c r="D106">
        <v>105</v>
      </c>
      <c r="E106" t="s">
        <v>215</v>
      </c>
    </row>
    <row r="107" spans="1:5" x14ac:dyDescent="0.3">
      <c r="A107">
        <v>106</v>
      </c>
      <c r="B107" t="s">
        <v>216</v>
      </c>
      <c r="C107" t="s">
        <v>6</v>
      </c>
      <c r="D107">
        <v>106</v>
      </c>
      <c r="E107" t="s">
        <v>217</v>
      </c>
    </row>
    <row r="108" spans="1:5" x14ac:dyDescent="0.3">
      <c r="A108">
        <v>107</v>
      </c>
      <c r="B108" t="s">
        <v>218</v>
      </c>
      <c r="C108" t="s">
        <v>6</v>
      </c>
      <c r="D108">
        <v>107</v>
      </c>
      <c r="E108" t="s">
        <v>219</v>
      </c>
    </row>
    <row r="109" spans="1:5" x14ac:dyDescent="0.3">
      <c r="A109">
        <v>108</v>
      </c>
      <c r="B109" t="s">
        <v>220</v>
      </c>
      <c r="C109" t="s">
        <v>6</v>
      </c>
      <c r="D109">
        <v>108</v>
      </c>
      <c r="E109" t="s">
        <v>221</v>
      </c>
    </row>
    <row r="110" spans="1:5" x14ac:dyDescent="0.3">
      <c r="A110">
        <v>109</v>
      </c>
      <c r="B110" t="s">
        <v>222</v>
      </c>
      <c r="C110" t="s">
        <v>6</v>
      </c>
      <c r="D110">
        <v>109</v>
      </c>
      <c r="E110" t="s">
        <v>223</v>
      </c>
    </row>
    <row r="111" spans="1:5" x14ac:dyDescent="0.3">
      <c r="A111">
        <v>110</v>
      </c>
      <c r="B111" t="s">
        <v>224</v>
      </c>
      <c r="C111" t="s">
        <v>6</v>
      </c>
      <c r="D111">
        <v>110</v>
      </c>
      <c r="E111" t="s">
        <v>225</v>
      </c>
    </row>
    <row r="112" spans="1:5" x14ac:dyDescent="0.3">
      <c r="A112">
        <v>111</v>
      </c>
      <c r="B112" t="s">
        <v>226</v>
      </c>
      <c r="C112" t="s">
        <v>6</v>
      </c>
      <c r="D112">
        <v>111</v>
      </c>
      <c r="E112" t="s">
        <v>227</v>
      </c>
    </row>
    <row r="113" spans="1:5" x14ac:dyDescent="0.3">
      <c r="A113">
        <v>112</v>
      </c>
      <c r="B113" t="s">
        <v>228</v>
      </c>
      <c r="C113" t="s">
        <v>6</v>
      </c>
      <c r="D113">
        <v>112</v>
      </c>
      <c r="E113" t="s">
        <v>229</v>
      </c>
    </row>
    <row r="114" spans="1:5" x14ac:dyDescent="0.3">
      <c r="A114">
        <v>113</v>
      </c>
      <c r="B114" t="s">
        <v>230</v>
      </c>
      <c r="C114" t="s">
        <v>6</v>
      </c>
      <c r="D114">
        <v>113</v>
      </c>
      <c r="E114" t="s">
        <v>231</v>
      </c>
    </row>
    <row r="115" spans="1:5" x14ac:dyDescent="0.3">
      <c r="A115">
        <v>114</v>
      </c>
      <c r="B115" t="s">
        <v>232</v>
      </c>
      <c r="C115" t="s">
        <v>6</v>
      </c>
      <c r="D115">
        <v>114</v>
      </c>
      <c r="E115" t="s">
        <v>233</v>
      </c>
    </row>
    <row r="116" spans="1:5" x14ac:dyDescent="0.3">
      <c r="A116">
        <v>115</v>
      </c>
      <c r="B116" t="s">
        <v>234</v>
      </c>
      <c r="C116" t="s">
        <v>6</v>
      </c>
      <c r="D116">
        <v>115</v>
      </c>
      <c r="E116" t="s">
        <v>235</v>
      </c>
    </row>
    <row r="117" spans="1:5" x14ac:dyDescent="0.3">
      <c r="A117">
        <v>116</v>
      </c>
      <c r="B117" t="s">
        <v>236</v>
      </c>
      <c r="C117" t="s">
        <v>6</v>
      </c>
      <c r="D117">
        <v>116</v>
      </c>
      <c r="E117" t="s">
        <v>237</v>
      </c>
    </row>
    <row r="118" spans="1:5" x14ac:dyDescent="0.3">
      <c r="A118">
        <v>117</v>
      </c>
      <c r="B118" t="s">
        <v>238</v>
      </c>
      <c r="C118" t="s">
        <v>6</v>
      </c>
      <c r="D118">
        <v>117</v>
      </c>
      <c r="E118" t="s">
        <v>239</v>
      </c>
    </row>
    <row r="119" spans="1:5" x14ac:dyDescent="0.3">
      <c r="A119">
        <v>118</v>
      </c>
      <c r="B119" t="s">
        <v>240</v>
      </c>
      <c r="C119" t="s">
        <v>6</v>
      </c>
      <c r="D119">
        <v>118</v>
      </c>
      <c r="E119" t="s">
        <v>241</v>
      </c>
    </row>
    <row r="120" spans="1:5" x14ac:dyDescent="0.3">
      <c r="A120">
        <v>119</v>
      </c>
      <c r="B120" t="s">
        <v>242</v>
      </c>
      <c r="C120" t="s">
        <v>6</v>
      </c>
      <c r="D120">
        <v>119</v>
      </c>
      <c r="E120" t="s">
        <v>243</v>
      </c>
    </row>
    <row r="121" spans="1:5" x14ac:dyDescent="0.3">
      <c r="A121">
        <v>120</v>
      </c>
      <c r="B121" t="s">
        <v>244</v>
      </c>
      <c r="C121" t="s">
        <v>6</v>
      </c>
      <c r="D121">
        <v>120</v>
      </c>
      <c r="E121" t="s">
        <v>245</v>
      </c>
    </row>
    <row r="122" spans="1:5" x14ac:dyDescent="0.3">
      <c r="A122">
        <v>121</v>
      </c>
      <c r="B122" t="s">
        <v>246</v>
      </c>
      <c r="C122" t="s">
        <v>6</v>
      </c>
      <c r="D122">
        <v>121</v>
      </c>
      <c r="E122" t="s">
        <v>247</v>
      </c>
    </row>
    <row r="123" spans="1:5" x14ac:dyDescent="0.3">
      <c r="A123">
        <v>122</v>
      </c>
      <c r="B123" t="s">
        <v>248</v>
      </c>
      <c r="C123" t="s">
        <v>6</v>
      </c>
      <c r="D123">
        <v>122</v>
      </c>
      <c r="E123" t="s">
        <v>249</v>
      </c>
    </row>
    <row r="124" spans="1:5" x14ac:dyDescent="0.3">
      <c r="A124">
        <v>123</v>
      </c>
      <c r="B124" t="s">
        <v>250</v>
      </c>
      <c r="C124" t="s">
        <v>6</v>
      </c>
      <c r="D124">
        <v>123</v>
      </c>
      <c r="E124" t="s">
        <v>251</v>
      </c>
    </row>
    <row r="125" spans="1:5" x14ac:dyDescent="0.3">
      <c r="A125">
        <v>124</v>
      </c>
      <c r="B125" t="s">
        <v>252</v>
      </c>
      <c r="C125" t="s">
        <v>6</v>
      </c>
      <c r="D125">
        <v>124</v>
      </c>
      <c r="E125" t="s">
        <v>253</v>
      </c>
    </row>
    <row r="126" spans="1:5" x14ac:dyDescent="0.3">
      <c r="A126">
        <v>125</v>
      </c>
      <c r="B126" t="s">
        <v>254</v>
      </c>
      <c r="C126" t="s">
        <v>6</v>
      </c>
      <c r="D126">
        <v>125</v>
      </c>
      <c r="E126" t="s">
        <v>255</v>
      </c>
    </row>
    <row r="127" spans="1:5" x14ac:dyDescent="0.3">
      <c r="A127">
        <v>126</v>
      </c>
      <c r="B127" t="s">
        <v>256</v>
      </c>
      <c r="C127" t="s">
        <v>6</v>
      </c>
      <c r="D127">
        <v>126</v>
      </c>
      <c r="E127" t="s">
        <v>257</v>
      </c>
    </row>
    <row r="128" spans="1:5" x14ac:dyDescent="0.3">
      <c r="A128">
        <v>127</v>
      </c>
      <c r="B128" t="s">
        <v>258</v>
      </c>
      <c r="C128" t="s">
        <v>6</v>
      </c>
      <c r="D128">
        <v>127</v>
      </c>
      <c r="E128" t="s">
        <v>259</v>
      </c>
    </row>
    <row r="129" spans="1:5" x14ac:dyDescent="0.3">
      <c r="A129">
        <v>128</v>
      </c>
      <c r="B129" t="s">
        <v>260</v>
      </c>
      <c r="C129" t="s">
        <v>6</v>
      </c>
      <c r="D129">
        <v>128</v>
      </c>
      <c r="E129" t="s">
        <v>261</v>
      </c>
    </row>
    <row r="130" spans="1:5" x14ac:dyDescent="0.3">
      <c r="A130">
        <v>129</v>
      </c>
      <c r="B130" t="s">
        <v>262</v>
      </c>
      <c r="C130" t="s">
        <v>6</v>
      </c>
      <c r="D130">
        <v>129</v>
      </c>
      <c r="E130" t="s">
        <v>263</v>
      </c>
    </row>
    <row r="131" spans="1:5" x14ac:dyDescent="0.3">
      <c r="A131">
        <v>130</v>
      </c>
      <c r="B131" t="s">
        <v>264</v>
      </c>
      <c r="C131" t="s">
        <v>6</v>
      </c>
      <c r="D131">
        <v>130</v>
      </c>
      <c r="E131" t="s">
        <v>265</v>
      </c>
    </row>
    <row r="132" spans="1:5" x14ac:dyDescent="0.3">
      <c r="A132">
        <v>131</v>
      </c>
      <c r="B132" t="s">
        <v>266</v>
      </c>
      <c r="C132" t="s">
        <v>6</v>
      </c>
      <c r="D132">
        <v>131</v>
      </c>
      <c r="E132" t="s">
        <v>267</v>
      </c>
    </row>
    <row r="133" spans="1:5" x14ac:dyDescent="0.3">
      <c r="A133">
        <v>132</v>
      </c>
      <c r="B133" t="s">
        <v>268</v>
      </c>
      <c r="C133" t="s">
        <v>6</v>
      </c>
      <c r="D133">
        <v>132</v>
      </c>
      <c r="E133" t="s">
        <v>269</v>
      </c>
    </row>
    <row r="134" spans="1:5" x14ac:dyDescent="0.3">
      <c r="A134">
        <v>133</v>
      </c>
      <c r="B134" t="s">
        <v>270</v>
      </c>
      <c r="C134" t="s">
        <v>6</v>
      </c>
      <c r="D134">
        <v>133</v>
      </c>
      <c r="E134" t="s">
        <v>271</v>
      </c>
    </row>
    <row r="135" spans="1:5" x14ac:dyDescent="0.3">
      <c r="A135">
        <v>134</v>
      </c>
      <c r="B135" t="s">
        <v>272</v>
      </c>
      <c r="C135" t="s">
        <v>6</v>
      </c>
      <c r="D135">
        <v>134</v>
      </c>
      <c r="E135" t="s">
        <v>273</v>
      </c>
    </row>
    <row r="136" spans="1:5" x14ac:dyDescent="0.3">
      <c r="A136">
        <v>135</v>
      </c>
      <c r="B136" t="s">
        <v>274</v>
      </c>
      <c r="C136" t="s">
        <v>6</v>
      </c>
      <c r="D136">
        <v>135</v>
      </c>
      <c r="E136" t="s">
        <v>275</v>
      </c>
    </row>
    <row r="137" spans="1:5" x14ac:dyDescent="0.3">
      <c r="A137">
        <v>136</v>
      </c>
      <c r="B137" t="s">
        <v>276</v>
      </c>
      <c r="C137" t="s">
        <v>6</v>
      </c>
      <c r="D137">
        <v>136</v>
      </c>
      <c r="E137" t="s">
        <v>277</v>
      </c>
    </row>
    <row r="138" spans="1:5" x14ac:dyDescent="0.3">
      <c r="A138">
        <v>137</v>
      </c>
      <c r="B138" t="s">
        <v>278</v>
      </c>
      <c r="C138" t="s">
        <v>6</v>
      </c>
      <c r="D138">
        <v>137</v>
      </c>
      <c r="E138" t="s">
        <v>279</v>
      </c>
    </row>
    <row r="139" spans="1:5" x14ac:dyDescent="0.3">
      <c r="A139">
        <v>138</v>
      </c>
      <c r="B139" t="s">
        <v>280</v>
      </c>
      <c r="C139" t="s">
        <v>6</v>
      </c>
      <c r="D139">
        <v>138</v>
      </c>
      <c r="E139" t="s">
        <v>281</v>
      </c>
    </row>
    <row r="140" spans="1:5" x14ac:dyDescent="0.3">
      <c r="A140">
        <v>139</v>
      </c>
      <c r="B140" t="s">
        <v>282</v>
      </c>
      <c r="C140" t="s">
        <v>6</v>
      </c>
      <c r="D140">
        <v>139</v>
      </c>
      <c r="E140" t="s">
        <v>283</v>
      </c>
    </row>
    <row r="141" spans="1:5" x14ac:dyDescent="0.3">
      <c r="A141">
        <v>140</v>
      </c>
      <c r="B141" t="s">
        <v>284</v>
      </c>
      <c r="C141" t="s">
        <v>6</v>
      </c>
      <c r="D141">
        <v>140</v>
      </c>
      <c r="E141" t="s">
        <v>285</v>
      </c>
    </row>
    <row r="142" spans="1:5" x14ac:dyDescent="0.3">
      <c r="A142">
        <v>141</v>
      </c>
      <c r="B142" t="s">
        <v>286</v>
      </c>
      <c r="C142" t="s">
        <v>6</v>
      </c>
      <c r="D142">
        <v>141</v>
      </c>
      <c r="E142" t="s">
        <v>287</v>
      </c>
    </row>
    <row r="143" spans="1:5" x14ac:dyDescent="0.3">
      <c r="A143">
        <v>142</v>
      </c>
      <c r="B143" t="s">
        <v>288</v>
      </c>
      <c r="C143" t="s">
        <v>6</v>
      </c>
      <c r="D143">
        <v>142</v>
      </c>
      <c r="E143" t="s">
        <v>289</v>
      </c>
    </row>
    <row r="144" spans="1:5" x14ac:dyDescent="0.3">
      <c r="A144">
        <v>143</v>
      </c>
      <c r="B144" t="s">
        <v>290</v>
      </c>
      <c r="C144" t="s">
        <v>6</v>
      </c>
      <c r="D144">
        <v>143</v>
      </c>
      <c r="E144" t="s">
        <v>291</v>
      </c>
    </row>
    <row r="145" spans="1:5" x14ac:dyDescent="0.3">
      <c r="A145">
        <v>144</v>
      </c>
      <c r="B145" t="s">
        <v>292</v>
      </c>
      <c r="C145" t="s">
        <v>6</v>
      </c>
      <c r="D145">
        <v>144</v>
      </c>
      <c r="E145" t="s">
        <v>293</v>
      </c>
    </row>
    <row r="146" spans="1:5" x14ac:dyDescent="0.3">
      <c r="A146">
        <v>145</v>
      </c>
      <c r="B146" t="s">
        <v>294</v>
      </c>
      <c r="C146" t="s">
        <v>6</v>
      </c>
      <c r="D146">
        <v>145</v>
      </c>
      <c r="E146" t="s">
        <v>295</v>
      </c>
    </row>
    <row r="147" spans="1:5" x14ac:dyDescent="0.3">
      <c r="A147">
        <v>146</v>
      </c>
      <c r="B147" t="s">
        <v>296</v>
      </c>
      <c r="C147" t="s">
        <v>6</v>
      </c>
      <c r="D147">
        <v>146</v>
      </c>
      <c r="E147" t="s">
        <v>297</v>
      </c>
    </row>
    <row r="148" spans="1:5" x14ac:dyDescent="0.3">
      <c r="A148">
        <v>147</v>
      </c>
      <c r="B148" t="s">
        <v>298</v>
      </c>
      <c r="C148" t="s">
        <v>6</v>
      </c>
      <c r="D148">
        <v>147</v>
      </c>
      <c r="E148" t="s">
        <v>299</v>
      </c>
    </row>
    <row r="149" spans="1:5" x14ac:dyDescent="0.3">
      <c r="A149">
        <v>148</v>
      </c>
      <c r="B149" t="s">
        <v>300</v>
      </c>
      <c r="C149" t="s">
        <v>6</v>
      </c>
      <c r="D149">
        <v>148</v>
      </c>
      <c r="E149" t="s">
        <v>301</v>
      </c>
    </row>
    <row r="150" spans="1:5" x14ac:dyDescent="0.3">
      <c r="A150">
        <v>149</v>
      </c>
      <c r="B150" t="s">
        <v>302</v>
      </c>
      <c r="C150" t="s">
        <v>6</v>
      </c>
      <c r="D150">
        <v>149</v>
      </c>
      <c r="E150" t="s">
        <v>303</v>
      </c>
    </row>
    <row r="151" spans="1:5" x14ac:dyDescent="0.3">
      <c r="A151">
        <v>150</v>
      </c>
      <c r="B151" t="s">
        <v>304</v>
      </c>
      <c r="C151" t="s">
        <v>6</v>
      </c>
      <c r="D151">
        <v>150</v>
      </c>
      <c r="E151" t="s">
        <v>305</v>
      </c>
    </row>
    <row r="152" spans="1:5" x14ac:dyDescent="0.3">
      <c r="A152">
        <v>151</v>
      </c>
      <c r="B152" t="s">
        <v>306</v>
      </c>
      <c r="C152" t="s">
        <v>6</v>
      </c>
      <c r="D152">
        <v>151</v>
      </c>
      <c r="E152" t="s">
        <v>307</v>
      </c>
    </row>
    <row r="153" spans="1:5" x14ac:dyDescent="0.3">
      <c r="A153">
        <v>152</v>
      </c>
      <c r="B153" t="s">
        <v>308</v>
      </c>
      <c r="C153" t="s">
        <v>6</v>
      </c>
      <c r="D153">
        <v>152</v>
      </c>
      <c r="E153" t="s">
        <v>309</v>
      </c>
    </row>
    <row r="154" spans="1:5" x14ac:dyDescent="0.3">
      <c r="A154">
        <v>153</v>
      </c>
      <c r="B154" t="s">
        <v>310</v>
      </c>
      <c r="C154" t="s">
        <v>6</v>
      </c>
      <c r="D154">
        <v>153</v>
      </c>
      <c r="E154" t="s">
        <v>311</v>
      </c>
    </row>
    <row r="155" spans="1:5" x14ac:dyDescent="0.3">
      <c r="A155">
        <v>154</v>
      </c>
      <c r="B155" t="s">
        <v>312</v>
      </c>
      <c r="C155" t="s">
        <v>6</v>
      </c>
      <c r="D155">
        <v>154</v>
      </c>
      <c r="E155" t="s">
        <v>313</v>
      </c>
    </row>
    <row r="156" spans="1:5" x14ac:dyDescent="0.3">
      <c r="A156">
        <v>155</v>
      </c>
      <c r="B156" t="s">
        <v>314</v>
      </c>
      <c r="C156" t="s">
        <v>6</v>
      </c>
      <c r="D156">
        <v>155</v>
      </c>
      <c r="E156" t="s">
        <v>315</v>
      </c>
    </row>
    <row r="157" spans="1:5" x14ac:dyDescent="0.3">
      <c r="A157">
        <v>156</v>
      </c>
      <c r="B157" t="s">
        <v>316</v>
      </c>
      <c r="C157" t="s">
        <v>6</v>
      </c>
      <c r="D157">
        <v>156</v>
      </c>
      <c r="E157" t="s">
        <v>317</v>
      </c>
    </row>
    <row r="158" spans="1:5" x14ac:dyDescent="0.3">
      <c r="A158">
        <v>157</v>
      </c>
      <c r="B158" t="s">
        <v>318</v>
      </c>
      <c r="C158" t="s">
        <v>6</v>
      </c>
      <c r="D158">
        <v>157</v>
      </c>
      <c r="E158" t="s">
        <v>319</v>
      </c>
    </row>
    <row r="159" spans="1:5" x14ac:dyDescent="0.3">
      <c r="A159">
        <v>158</v>
      </c>
      <c r="B159" t="s">
        <v>320</v>
      </c>
      <c r="C159" t="s">
        <v>6</v>
      </c>
      <c r="D159">
        <v>158</v>
      </c>
      <c r="E159" t="s">
        <v>321</v>
      </c>
    </row>
    <row r="160" spans="1:5" x14ac:dyDescent="0.3">
      <c r="A160">
        <v>159</v>
      </c>
      <c r="B160" t="s">
        <v>322</v>
      </c>
      <c r="C160" t="s">
        <v>6</v>
      </c>
      <c r="D160">
        <v>159</v>
      </c>
      <c r="E160" t="s">
        <v>323</v>
      </c>
    </row>
    <row r="161" spans="1:5" x14ac:dyDescent="0.3">
      <c r="A161">
        <v>160</v>
      </c>
      <c r="B161" t="s">
        <v>324</v>
      </c>
      <c r="C161" t="s">
        <v>6</v>
      </c>
      <c r="D161">
        <v>160</v>
      </c>
      <c r="E161" t="s">
        <v>325</v>
      </c>
    </row>
    <row r="162" spans="1:5" x14ac:dyDescent="0.3">
      <c r="A162">
        <v>161</v>
      </c>
      <c r="B162" t="s">
        <v>326</v>
      </c>
      <c r="C162" t="s">
        <v>6</v>
      </c>
      <c r="D162">
        <v>161</v>
      </c>
      <c r="E162" t="s">
        <v>327</v>
      </c>
    </row>
    <row r="163" spans="1:5" x14ac:dyDescent="0.3">
      <c r="A163">
        <v>162</v>
      </c>
      <c r="B163" t="s">
        <v>328</v>
      </c>
      <c r="C163" t="s">
        <v>6</v>
      </c>
      <c r="D163">
        <v>162</v>
      </c>
      <c r="E163" t="s">
        <v>329</v>
      </c>
    </row>
    <row r="164" spans="1:5" x14ac:dyDescent="0.3">
      <c r="A164">
        <v>163</v>
      </c>
      <c r="B164" t="s">
        <v>330</v>
      </c>
      <c r="C164" t="s">
        <v>6</v>
      </c>
      <c r="D164">
        <v>163</v>
      </c>
      <c r="E164" t="s">
        <v>331</v>
      </c>
    </row>
    <row r="165" spans="1:5" x14ac:dyDescent="0.3">
      <c r="A165">
        <v>164</v>
      </c>
      <c r="B165" t="s">
        <v>332</v>
      </c>
      <c r="C165" t="s">
        <v>6</v>
      </c>
      <c r="D165">
        <v>164</v>
      </c>
      <c r="E165" t="s">
        <v>333</v>
      </c>
    </row>
    <row r="166" spans="1:5" x14ac:dyDescent="0.3">
      <c r="A166">
        <v>165</v>
      </c>
      <c r="B166" t="s">
        <v>334</v>
      </c>
      <c r="C166" t="s">
        <v>6</v>
      </c>
      <c r="D166">
        <v>165</v>
      </c>
      <c r="E166" t="s">
        <v>335</v>
      </c>
    </row>
    <row r="167" spans="1:5" x14ac:dyDescent="0.3">
      <c r="A167">
        <v>166</v>
      </c>
      <c r="B167" t="s">
        <v>336</v>
      </c>
      <c r="C167" t="s">
        <v>6</v>
      </c>
      <c r="D167">
        <v>166</v>
      </c>
      <c r="E167" t="s">
        <v>337</v>
      </c>
    </row>
    <row r="168" spans="1:5" x14ac:dyDescent="0.3">
      <c r="A168">
        <v>167</v>
      </c>
      <c r="B168" t="s">
        <v>338</v>
      </c>
      <c r="C168" t="s">
        <v>6</v>
      </c>
      <c r="D168">
        <v>167</v>
      </c>
      <c r="E168" t="s">
        <v>339</v>
      </c>
    </row>
    <row r="169" spans="1:5" x14ac:dyDescent="0.3">
      <c r="A169">
        <v>168</v>
      </c>
      <c r="B169" t="s">
        <v>340</v>
      </c>
      <c r="C169" t="s">
        <v>6</v>
      </c>
      <c r="D169">
        <v>168</v>
      </c>
      <c r="E169" t="s">
        <v>341</v>
      </c>
    </row>
    <row r="170" spans="1:5" x14ac:dyDescent="0.3">
      <c r="A170">
        <v>169</v>
      </c>
      <c r="B170" t="s">
        <v>342</v>
      </c>
      <c r="C170" t="s">
        <v>6</v>
      </c>
      <c r="D170">
        <v>169</v>
      </c>
      <c r="E170" t="s">
        <v>343</v>
      </c>
    </row>
    <row r="171" spans="1:5" x14ac:dyDescent="0.3">
      <c r="A171">
        <v>170</v>
      </c>
      <c r="B171" t="s">
        <v>344</v>
      </c>
      <c r="C171" t="s">
        <v>6</v>
      </c>
      <c r="D171">
        <v>170</v>
      </c>
      <c r="E171" t="s">
        <v>345</v>
      </c>
    </row>
    <row r="172" spans="1:5" x14ac:dyDescent="0.3">
      <c r="A172">
        <v>171</v>
      </c>
      <c r="B172" t="s">
        <v>346</v>
      </c>
      <c r="C172" t="s">
        <v>6</v>
      </c>
      <c r="D172">
        <v>171</v>
      </c>
      <c r="E172" t="s">
        <v>347</v>
      </c>
    </row>
    <row r="173" spans="1:5" x14ac:dyDescent="0.3">
      <c r="A173">
        <v>172</v>
      </c>
      <c r="B173" t="s">
        <v>348</v>
      </c>
      <c r="C173" t="s">
        <v>6</v>
      </c>
      <c r="D173">
        <v>172</v>
      </c>
      <c r="E173" t="s">
        <v>349</v>
      </c>
    </row>
    <row r="174" spans="1:5" x14ac:dyDescent="0.3">
      <c r="A174">
        <v>173</v>
      </c>
      <c r="B174" t="s">
        <v>350</v>
      </c>
      <c r="C174" t="s">
        <v>6</v>
      </c>
      <c r="D174">
        <v>173</v>
      </c>
      <c r="E174" t="s">
        <v>351</v>
      </c>
    </row>
    <row r="175" spans="1:5" x14ac:dyDescent="0.3">
      <c r="A175">
        <v>174</v>
      </c>
      <c r="B175" t="s">
        <v>352</v>
      </c>
      <c r="C175" t="s">
        <v>6</v>
      </c>
      <c r="D175">
        <v>174</v>
      </c>
      <c r="E175" t="s">
        <v>353</v>
      </c>
    </row>
    <row r="176" spans="1:5" x14ac:dyDescent="0.3">
      <c r="A176">
        <v>175</v>
      </c>
      <c r="B176" t="s">
        <v>354</v>
      </c>
      <c r="C176" t="s">
        <v>6</v>
      </c>
      <c r="D176">
        <v>175</v>
      </c>
      <c r="E176" t="s">
        <v>355</v>
      </c>
    </row>
    <row r="177" spans="1:5" x14ac:dyDescent="0.3">
      <c r="A177">
        <v>176</v>
      </c>
      <c r="B177" t="s">
        <v>356</v>
      </c>
      <c r="C177" t="s">
        <v>6</v>
      </c>
      <c r="D177">
        <v>176</v>
      </c>
      <c r="E177" t="s">
        <v>357</v>
      </c>
    </row>
    <row r="178" spans="1:5" x14ac:dyDescent="0.3">
      <c r="A178">
        <v>177</v>
      </c>
      <c r="B178" t="s">
        <v>358</v>
      </c>
      <c r="C178" t="s">
        <v>6</v>
      </c>
      <c r="D178">
        <v>177</v>
      </c>
      <c r="E178" t="s">
        <v>359</v>
      </c>
    </row>
    <row r="179" spans="1:5" x14ac:dyDescent="0.3">
      <c r="A179">
        <v>178</v>
      </c>
      <c r="B179" t="s">
        <v>360</v>
      </c>
      <c r="C179" t="s">
        <v>6</v>
      </c>
      <c r="D179">
        <v>178</v>
      </c>
      <c r="E179" t="s">
        <v>361</v>
      </c>
    </row>
    <row r="180" spans="1:5" x14ac:dyDescent="0.3">
      <c r="A180">
        <v>179</v>
      </c>
      <c r="B180" t="s">
        <v>362</v>
      </c>
      <c r="C180" t="s">
        <v>6</v>
      </c>
      <c r="D180">
        <v>179</v>
      </c>
      <c r="E180" t="s">
        <v>363</v>
      </c>
    </row>
    <row r="181" spans="1:5" x14ac:dyDescent="0.3">
      <c r="A181">
        <v>180</v>
      </c>
      <c r="B181" t="s">
        <v>364</v>
      </c>
      <c r="C181" t="s">
        <v>6</v>
      </c>
      <c r="D181">
        <v>180</v>
      </c>
      <c r="E181" t="s">
        <v>365</v>
      </c>
    </row>
    <row r="182" spans="1:5" x14ac:dyDescent="0.3">
      <c r="A182">
        <v>181</v>
      </c>
      <c r="B182" t="s">
        <v>366</v>
      </c>
      <c r="C182" t="s">
        <v>6</v>
      </c>
      <c r="D182">
        <v>181</v>
      </c>
      <c r="E182" t="s">
        <v>367</v>
      </c>
    </row>
    <row r="183" spans="1:5" x14ac:dyDescent="0.3">
      <c r="A183">
        <v>182</v>
      </c>
      <c r="B183" t="s">
        <v>368</v>
      </c>
      <c r="C183" t="s">
        <v>6</v>
      </c>
      <c r="D183">
        <v>182</v>
      </c>
      <c r="E183" t="s">
        <v>369</v>
      </c>
    </row>
    <row r="184" spans="1:5" x14ac:dyDescent="0.3">
      <c r="A184">
        <v>183</v>
      </c>
      <c r="B184" t="s">
        <v>370</v>
      </c>
      <c r="C184" t="s">
        <v>6</v>
      </c>
      <c r="D184">
        <v>183</v>
      </c>
      <c r="E184" t="s">
        <v>371</v>
      </c>
    </row>
    <row r="185" spans="1:5" x14ac:dyDescent="0.3">
      <c r="A185">
        <v>184</v>
      </c>
      <c r="B185" t="s">
        <v>372</v>
      </c>
      <c r="C185" t="s">
        <v>6</v>
      </c>
      <c r="D185">
        <v>184</v>
      </c>
      <c r="E185" t="s">
        <v>373</v>
      </c>
    </row>
    <row r="186" spans="1:5" x14ac:dyDescent="0.3">
      <c r="A186">
        <v>185</v>
      </c>
      <c r="B186" t="s">
        <v>374</v>
      </c>
      <c r="C186" t="s">
        <v>6</v>
      </c>
      <c r="D186">
        <v>185</v>
      </c>
      <c r="E186" t="s">
        <v>375</v>
      </c>
    </row>
    <row r="187" spans="1:5" x14ac:dyDescent="0.3">
      <c r="A187">
        <v>186</v>
      </c>
      <c r="B187" t="s">
        <v>376</v>
      </c>
      <c r="C187" t="s">
        <v>6</v>
      </c>
      <c r="D187">
        <v>186</v>
      </c>
      <c r="E187" t="s">
        <v>377</v>
      </c>
    </row>
    <row r="188" spans="1:5" x14ac:dyDescent="0.3">
      <c r="A188">
        <v>187</v>
      </c>
      <c r="B188" t="s">
        <v>378</v>
      </c>
      <c r="C188" t="s">
        <v>6</v>
      </c>
      <c r="D188">
        <v>187</v>
      </c>
      <c r="E188" t="s">
        <v>379</v>
      </c>
    </row>
    <row r="189" spans="1:5" x14ac:dyDescent="0.3">
      <c r="A189">
        <v>188</v>
      </c>
      <c r="B189" t="s">
        <v>380</v>
      </c>
      <c r="C189" t="s">
        <v>6</v>
      </c>
      <c r="D189">
        <v>188</v>
      </c>
      <c r="E189" t="s">
        <v>381</v>
      </c>
    </row>
    <row r="190" spans="1:5" x14ac:dyDescent="0.3">
      <c r="A190">
        <v>189</v>
      </c>
      <c r="B190" t="s">
        <v>382</v>
      </c>
      <c r="C190" t="s">
        <v>6</v>
      </c>
      <c r="D190">
        <v>189</v>
      </c>
      <c r="E190" t="s">
        <v>383</v>
      </c>
    </row>
    <row r="191" spans="1:5" x14ac:dyDescent="0.3">
      <c r="A191">
        <v>190</v>
      </c>
      <c r="B191" t="s">
        <v>384</v>
      </c>
      <c r="C191" t="s">
        <v>6</v>
      </c>
      <c r="D191">
        <v>190</v>
      </c>
      <c r="E191" t="s">
        <v>385</v>
      </c>
    </row>
    <row r="192" spans="1:5" x14ac:dyDescent="0.3">
      <c r="A192">
        <v>191</v>
      </c>
      <c r="B192" t="s">
        <v>386</v>
      </c>
      <c r="C192" t="s">
        <v>6</v>
      </c>
      <c r="D192">
        <v>191</v>
      </c>
      <c r="E192" t="s">
        <v>387</v>
      </c>
    </row>
    <row r="193" spans="1:5" x14ac:dyDescent="0.3">
      <c r="A193">
        <v>192</v>
      </c>
      <c r="B193" t="s">
        <v>388</v>
      </c>
      <c r="C193" t="s">
        <v>6</v>
      </c>
      <c r="D193">
        <v>192</v>
      </c>
      <c r="E193" t="s">
        <v>389</v>
      </c>
    </row>
    <row r="194" spans="1:5" x14ac:dyDescent="0.3">
      <c r="A194">
        <v>193</v>
      </c>
      <c r="B194" t="s">
        <v>390</v>
      </c>
      <c r="C194" t="s">
        <v>6</v>
      </c>
      <c r="D194">
        <v>193</v>
      </c>
      <c r="E194" t="s">
        <v>391</v>
      </c>
    </row>
    <row r="195" spans="1:5" x14ac:dyDescent="0.3">
      <c r="A195">
        <v>194</v>
      </c>
      <c r="B195" t="s">
        <v>392</v>
      </c>
      <c r="C195" t="s">
        <v>6</v>
      </c>
      <c r="D195">
        <v>194</v>
      </c>
      <c r="E195" t="s">
        <v>393</v>
      </c>
    </row>
    <row r="196" spans="1:5" x14ac:dyDescent="0.3">
      <c r="A196">
        <v>195</v>
      </c>
      <c r="B196" t="s">
        <v>394</v>
      </c>
      <c r="C196" t="s">
        <v>6</v>
      </c>
      <c r="D196">
        <v>195</v>
      </c>
      <c r="E196" t="s">
        <v>395</v>
      </c>
    </row>
    <row r="197" spans="1:5" x14ac:dyDescent="0.3">
      <c r="A197">
        <v>196</v>
      </c>
      <c r="B197" t="s">
        <v>396</v>
      </c>
      <c r="C197" t="s">
        <v>6</v>
      </c>
      <c r="D197">
        <v>196</v>
      </c>
      <c r="E197" t="s">
        <v>397</v>
      </c>
    </row>
    <row r="198" spans="1:5" x14ac:dyDescent="0.3">
      <c r="A198">
        <v>197</v>
      </c>
      <c r="B198" t="s">
        <v>398</v>
      </c>
      <c r="C198" t="s">
        <v>6</v>
      </c>
      <c r="D198">
        <v>197</v>
      </c>
      <c r="E198" t="s">
        <v>399</v>
      </c>
    </row>
    <row r="199" spans="1:5" x14ac:dyDescent="0.3">
      <c r="A199">
        <v>198</v>
      </c>
      <c r="B199" t="s">
        <v>400</v>
      </c>
      <c r="C199" t="s">
        <v>6</v>
      </c>
      <c r="D199">
        <v>198</v>
      </c>
      <c r="E199" t="s">
        <v>401</v>
      </c>
    </row>
    <row r="200" spans="1:5" x14ac:dyDescent="0.3">
      <c r="A200">
        <v>199</v>
      </c>
      <c r="B200" t="s">
        <v>402</v>
      </c>
      <c r="C200" t="s">
        <v>6</v>
      </c>
      <c r="D200">
        <v>199</v>
      </c>
      <c r="E200" t="s">
        <v>403</v>
      </c>
    </row>
    <row r="201" spans="1:5" x14ac:dyDescent="0.3">
      <c r="A201">
        <v>200</v>
      </c>
      <c r="B201" t="s">
        <v>404</v>
      </c>
      <c r="C201" t="s">
        <v>6</v>
      </c>
      <c r="D201">
        <v>200</v>
      </c>
      <c r="E201" t="s">
        <v>405</v>
      </c>
    </row>
    <row r="202" spans="1:5" x14ac:dyDescent="0.3">
      <c r="A202">
        <v>201</v>
      </c>
      <c r="B202" t="s">
        <v>406</v>
      </c>
      <c r="C202" t="s">
        <v>6</v>
      </c>
      <c r="D202">
        <v>201</v>
      </c>
      <c r="E202" t="s">
        <v>407</v>
      </c>
    </row>
    <row r="203" spans="1:5" x14ac:dyDescent="0.3">
      <c r="A203">
        <v>202</v>
      </c>
      <c r="B203" t="s">
        <v>408</v>
      </c>
      <c r="C203" t="s">
        <v>6</v>
      </c>
      <c r="D203">
        <v>202</v>
      </c>
      <c r="E203" t="s">
        <v>409</v>
      </c>
    </row>
    <row r="204" spans="1:5" x14ac:dyDescent="0.3">
      <c r="A204">
        <v>203</v>
      </c>
      <c r="B204" t="s">
        <v>410</v>
      </c>
      <c r="C204" t="s">
        <v>6</v>
      </c>
      <c r="D204">
        <v>203</v>
      </c>
      <c r="E204" t="s">
        <v>411</v>
      </c>
    </row>
    <row r="205" spans="1:5" x14ac:dyDescent="0.3">
      <c r="A205">
        <v>204</v>
      </c>
      <c r="B205" t="s">
        <v>412</v>
      </c>
      <c r="C205" t="s">
        <v>6</v>
      </c>
      <c r="D205">
        <v>204</v>
      </c>
      <c r="E205" t="s">
        <v>413</v>
      </c>
    </row>
    <row r="206" spans="1:5" x14ac:dyDescent="0.3">
      <c r="A206">
        <v>205</v>
      </c>
      <c r="B206" t="s">
        <v>414</v>
      </c>
      <c r="C206" t="s">
        <v>6</v>
      </c>
      <c r="D206">
        <v>205</v>
      </c>
      <c r="E206" t="s">
        <v>415</v>
      </c>
    </row>
    <row r="207" spans="1:5" x14ac:dyDescent="0.3">
      <c r="A207">
        <v>206</v>
      </c>
      <c r="B207" t="s">
        <v>416</v>
      </c>
      <c r="C207" t="s">
        <v>6</v>
      </c>
      <c r="D207">
        <v>206</v>
      </c>
      <c r="E207" t="s">
        <v>417</v>
      </c>
    </row>
    <row r="208" spans="1:5" x14ac:dyDescent="0.3">
      <c r="A208">
        <v>207</v>
      </c>
      <c r="B208" t="s">
        <v>418</v>
      </c>
      <c r="C208" t="s">
        <v>6</v>
      </c>
      <c r="D208">
        <v>207</v>
      </c>
      <c r="E208" t="s">
        <v>419</v>
      </c>
    </row>
    <row r="209" spans="1:5" x14ac:dyDescent="0.3">
      <c r="A209">
        <v>208</v>
      </c>
      <c r="B209" t="s">
        <v>420</v>
      </c>
      <c r="C209" t="s">
        <v>6</v>
      </c>
      <c r="D209">
        <v>208</v>
      </c>
      <c r="E209" t="s">
        <v>421</v>
      </c>
    </row>
    <row r="210" spans="1:5" x14ac:dyDescent="0.3">
      <c r="A210">
        <v>209</v>
      </c>
      <c r="B210" t="s">
        <v>422</v>
      </c>
      <c r="C210" t="s">
        <v>6</v>
      </c>
      <c r="D210">
        <v>209</v>
      </c>
      <c r="E210" t="s">
        <v>423</v>
      </c>
    </row>
    <row r="211" spans="1:5" x14ac:dyDescent="0.3">
      <c r="A211">
        <v>210</v>
      </c>
      <c r="B211" t="s">
        <v>424</v>
      </c>
      <c r="C211" t="s">
        <v>6</v>
      </c>
      <c r="D211">
        <v>210</v>
      </c>
      <c r="E211" t="s">
        <v>425</v>
      </c>
    </row>
    <row r="212" spans="1:5" x14ac:dyDescent="0.3">
      <c r="A212">
        <v>211</v>
      </c>
      <c r="B212" t="s">
        <v>426</v>
      </c>
      <c r="C212" t="s">
        <v>6</v>
      </c>
      <c r="D212">
        <v>211</v>
      </c>
      <c r="E212" t="s">
        <v>427</v>
      </c>
    </row>
    <row r="213" spans="1:5" x14ac:dyDescent="0.3">
      <c r="A213">
        <v>212</v>
      </c>
      <c r="B213" t="s">
        <v>428</v>
      </c>
      <c r="C213" t="s">
        <v>6</v>
      </c>
      <c r="D213">
        <v>212</v>
      </c>
      <c r="E213" t="s">
        <v>429</v>
      </c>
    </row>
    <row r="214" spans="1:5" x14ac:dyDescent="0.3">
      <c r="A214">
        <v>213</v>
      </c>
      <c r="B214" t="s">
        <v>430</v>
      </c>
      <c r="C214" t="s">
        <v>6</v>
      </c>
      <c r="D214">
        <v>213</v>
      </c>
      <c r="E214" t="s">
        <v>431</v>
      </c>
    </row>
    <row r="215" spans="1:5" x14ac:dyDescent="0.3">
      <c r="A215">
        <v>214</v>
      </c>
      <c r="B215" t="s">
        <v>432</v>
      </c>
      <c r="C215" t="s">
        <v>6</v>
      </c>
      <c r="D215">
        <v>214</v>
      </c>
      <c r="E215" t="s">
        <v>433</v>
      </c>
    </row>
    <row r="216" spans="1:5" x14ac:dyDescent="0.3">
      <c r="A216">
        <v>215</v>
      </c>
      <c r="B216" t="s">
        <v>434</v>
      </c>
      <c r="C216" t="s">
        <v>6</v>
      </c>
      <c r="D216">
        <v>215</v>
      </c>
      <c r="E216" t="s">
        <v>435</v>
      </c>
    </row>
    <row r="217" spans="1:5" x14ac:dyDescent="0.3">
      <c r="A217">
        <v>216</v>
      </c>
      <c r="B217" t="s">
        <v>436</v>
      </c>
      <c r="C217" t="s">
        <v>6</v>
      </c>
      <c r="D217">
        <v>216</v>
      </c>
      <c r="E217" t="s">
        <v>437</v>
      </c>
    </row>
    <row r="218" spans="1:5" x14ac:dyDescent="0.3">
      <c r="A218">
        <v>217</v>
      </c>
      <c r="B218" t="s">
        <v>438</v>
      </c>
      <c r="C218" t="s">
        <v>6</v>
      </c>
      <c r="D218">
        <v>217</v>
      </c>
      <c r="E218" t="s">
        <v>439</v>
      </c>
    </row>
    <row r="219" spans="1:5" x14ac:dyDescent="0.3">
      <c r="A219">
        <v>218</v>
      </c>
      <c r="B219" t="s">
        <v>440</v>
      </c>
      <c r="C219" t="s">
        <v>6</v>
      </c>
      <c r="D219">
        <v>218</v>
      </c>
      <c r="E219" t="s">
        <v>441</v>
      </c>
    </row>
    <row r="220" spans="1:5" x14ac:dyDescent="0.3">
      <c r="A220">
        <v>219</v>
      </c>
      <c r="B220" t="s">
        <v>442</v>
      </c>
      <c r="C220" t="s">
        <v>6</v>
      </c>
      <c r="D220">
        <v>219</v>
      </c>
      <c r="E220" t="s">
        <v>443</v>
      </c>
    </row>
    <row r="221" spans="1:5" x14ac:dyDescent="0.3">
      <c r="A221">
        <v>220</v>
      </c>
      <c r="B221" t="s">
        <v>444</v>
      </c>
      <c r="C221" t="s">
        <v>6</v>
      </c>
      <c r="D221">
        <v>220</v>
      </c>
      <c r="E221" t="s">
        <v>445</v>
      </c>
    </row>
    <row r="222" spans="1:5" x14ac:dyDescent="0.3">
      <c r="A222">
        <v>221</v>
      </c>
      <c r="B222" t="s">
        <v>446</v>
      </c>
      <c r="C222" t="s">
        <v>6</v>
      </c>
      <c r="D222">
        <v>221</v>
      </c>
      <c r="E222" t="s">
        <v>447</v>
      </c>
    </row>
    <row r="223" spans="1:5" x14ac:dyDescent="0.3">
      <c r="A223">
        <v>222</v>
      </c>
      <c r="B223" t="s">
        <v>448</v>
      </c>
      <c r="C223" t="s">
        <v>6</v>
      </c>
      <c r="D223">
        <v>222</v>
      </c>
      <c r="E223" t="s">
        <v>449</v>
      </c>
    </row>
    <row r="224" spans="1:5" x14ac:dyDescent="0.3">
      <c r="A224">
        <v>223</v>
      </c>
      <c r="B224" t="s">
        <v>450</v>
      </c>
      <c r="C224" t="s">
        <v>6</v>
      </c>
      <c r="D224">
        <v>223</v>
      </c>
      <c r="E224" t="s">
        <v>451</v>
      </c>
    </row>
    <row r="225" spans="1:5" x14ac:dyDescent="0.3">
      <c r="A225">
        <v>224</v>
      </c>
      <c r="B225" t="s">
        <v>452</v>
      </c>
      <c r="C225" t="s">
        <v>6</v>
      </c>
      <c r="D225">
        <v>224</v>
      </c>
      <c r="E225" t="s">
        <v>453</v>
      </c>
    </row>
    <row r="226" spans="1:5" x14ac:dyDescent="0.3">
      <c r="A226">
        <v>225</v>
      </c>
      <c r="B226" t="s">
        <v>454</v>
      </c>
      <c r="C226" t="s">
        <v>6</v>
      </c>
      <c r="D226">
        <v>225</v>
      </c>
      <c r="E226" t="s">
        <v>455</v>
      </c>
    </row>
    <row r="227" spans="1:5" x14ac:dyDescent="0.3">
      <c r="A227">
        <v>226</v>
      </c>
      <c r="B227" t="s">
        <v>456</v>
      </c>
      <c r="C227" t="s">
        <v>6</v>
      </c>
      <c r="D227">
        <v>226</v>
      </c>
      <c r="E227" t="s">
        <v>457</v>
      </c>
    </row>
    <row r="228" spans="1:5" x14ac:dyDescent="0.3">
      <c r="A228">
        <v>227</v>
      </c>
      <c r="B228" t="s">
        <v>458</v>
      </c>
      <c r="C228" t="s">
        <v>6</v>
      </c>
      <c r="D228">
        <v>227</v>
      </c>
      <c r="E228" t="s">
        <v>459</v>
      </c>
    </row>
    <row r="229" spans="1:5" x14ac:dyDescent="0.3">
      <c r="A229">
        <v>228</v>
      </c>
      <c r="B229" t="s">
        <v>460</v>
      </c>
      <c r="C229" t="s">
        <v>6</v>
      </c>
      <c r="D229">
        <v>228</v>
      </c>
      <c r="E229" t="s">
        <v>461</v>
      </c>
    </row>
    <row r="230" spans="1:5" x14ac:dyDescent="0.3">
      <c r="A230">
        <v>229</v>
      </c>
      <c r="B230" t="s">
        <v>462</v>
      </c>
      <c r="C230" t="s">
        <v>6</v>
      </c>
      <c r="D230">
        <v>229</v>
      </c>
      <c r="E230" t="s">
        <v>463</v>
      </c>
    </row>
    <row r="231" spans="1:5" x14ac:dyDescent="0.3">
      <c r="A231">
        <v>230</v>
      </c>
      <c r="B231" t="s">
        <v>464</v>
      </c>
      <c r="C231" t="s">
        <v>6</v>
      </c>
      <c r="D231">
        <v>230</v>
      </c>
      <c r="E231" t="s">
        <v>465</v>
      </c>
    </row>
    <row r="232" spans="1:5" x14ac:dyDescent="0.3">
      <c r="A232">
        <v>231</v>
      </c>
      <c r="B232" t="s">
        <v>466</v>
      </c>
      <c r="C232" t="s">
        <v>6</v>
      </c>
      <c r="D232">
        <v>231</v>
      </c>
      <c r="E232" t="s">
        <v>467</v>
      </c>
    </row>
    <row r="233" spans="1:5" x14ac:dyDescent="0.3">
      <c r="A233">
        <v>232</v>
      </c>
      <c r="B233" t="s">
        <v>468</v>
      </c>
      <c r="C233" t="s">
        <v>6</v>
      </c>
      <c r="D233">
        <v>232</v>
      </c>
      <c r="E233" t="s">
        <v>469</v>
      </c>
    </row>
    <row r="234" spans="1:5" x14ac:dyDescent="0.3">
      <c r="A234">
        <v>233</v>
      </c>
      <c r="B234" t="s">
        <v>470</v>
      </c>
      <c r="C234" t="s">
        <v>6</v>
      </c>
      <c r="D234">
        <v>233</v>
      </c>
      <c r="E234" t="s">
        <v>471</v>
      </c>
    </row>
    <row r="235" spans="1:5" x14ac:dyDescent="0.3">
      <c r="A235">
        <v>234</v>
      </c>
      <c r="B235" t="s">
        <v>472</v>
      </c>
      <c r="C235" t="s">
        <v>6</v>
      </c>
      <c r="D235">
        <v>234</v>
      </c>
      <c r="E235" t="s">
        <v>473</v>
      </c>
    </row>
    <row r="236" spans="1:5" x14ac:dyDescent="0.3">
      <c r="A236">
        <v>235</v>
      </c>
      <c r="B236" t="s">
        <v>474</v>
      </c>
      <c r="C236" t="s">
        <v>6</v>
      </c>
      <c r="D236">
        <v>235</v>
      </c>
      <c r="E236" t="s">
        <v>475</v>
      </c>
    </row>
    <row r="237" spans="1:5" x14ac:dyDescent="0.3">
      <c r="A237">
        <v>236</v>
      </c>
      <c r="B237" t="s">
        <v>476</v>
      </c>
      <c r="C237" t="s">
        <v>6</v>
      </c>
      <c r="D237">
        <v>236</v>
      </c>
      <c r="E237" t="s">
        <v>477</v>
      </c>
    </row>
    <row r="238" spans="1:5" x14ac:dyDescent="0.3">
      <c r="A238">
        <v>237</v>
      </c>
      <c r="B238" t="s">
        <v>478</v>
      </c>
      <c r="C238" t="s">
        <v>6</v>
      </c>
      <c r="D238">
        <v>237</v>
      </c>
      <c r="E238" t="s">
        <v>479</v>
      </c>
    </row>
    <row r="239" spans="1:5" x14ac:dyDescent="0.3">
      <c r="A239">
        <v>238</v>
      </c>
      <c r="B239" t="s">
        <v>480</v>
      </c>
      <c r="C239" t="s">
        <v>6</v>
      </c>
      <c r="D239">
        <v>238</v>
      </c>
      <c r="E239" t="s">
        <v>481</v>
      </c>
    </row>
    <row r="240" spans="1:5" x14ac:dyDescent="0.3">
      <c r="A240">
        <v>239</v>
      </c>
      <c r="B240" t="s">
        <v>482</v>
      </c>
      <c r="C240" t="s">
        <v>6</v>
      </c>
      <c r="D240">
        <v>239</v>
      </c>
      <c r="E240" t="s">
        <v>483</v>
      </c>
    </row>
    <row r="241" spans="1:5" x14ac:dyDescent="0.3">
      <c r="A241">
        <v>240</v>
      </c>
      <c r="B241" t="s">
        <v>484</v>
      </c>
      <c r="C241" t="s">
        <v>6</v>
      </c>
      <c r="D241">
        <v>240</v>
      </c>
      <c r="E241" t="s">
        <v>485</v>
      </c>
    </row>
    <row r="242" spans="1:5" x14ac:dyDescent="0.3">
      <c r="A242">
        <v>241</v>
      </c>
      <c r="B242" t="s">
        <v>486</v>
      </c>
      <c r="C242" t="s">
        <v>6</v>
      </c>
      <c r="D242">
        <v>241</v>
      </c>
      <c r="E242" t="s">
        <v>487</v>
      </c>
    </row>
    <row r="243" spans="1:5" x14ac:dyDescent="0.3">
      <c r="A243">
        <v>242</v>
      </c>
      <c r="B243" t="s">
        <v>488</v>
      </c>
      <c r="C243" t="s">
        <v>6</v>
      </c>
      <c r="D243">
        <v>242</v>
      </c>
      <c r="E243" t="s">
        <v>489</v>
      </c>
    </row>
    <row r="244" spans="1:5" x14ac:dyDescent="0.3">
      <c r="A244">
        <v>243</v>
      </c>
      <c r="B244" t="s">
        <v>490</v>
      </c>
      <c r="C244" t="s">
        <v>6</v>
      </c>
      <c r="D244">
        <v>243</v>
      </c>
      <c r="E244" t="s">
        <v>491</v>
      </c>
    </row>
    <row r="245" spans="1:5" x14ac:dyDescent="0.3">
      <c r="A245">
        <v>244</v>
      </c>
      <c r="B245" t="s">
        <v>492</v>
      </c>
      <c r="C245" t="s">
        <v>6</v>
      </c>
      <c r="D245">
        <v>244</v>
      </c>
      <c r="E245" t="s">
        <v>493</v>
      </c>
    </row>
    <row r="246" spans="1:5" x14ac:dyDescent="0.3">
      <c r="A246">
        <v>245</v>
      </c>
      <c r="B246" t="s">
        <v>494</v>
      </c>
      <c r="C246" t="s">
        <v>6</v>
      </c>
      <c r="D246">
        <v>245</v>
      </c>
      <c r="E246" t="s">
        <v>495</v>
      </c>
    </row>
    <row r="247" spans="1:5" x14ac:dyDescent="0.3">
      <c r="A247">
        <v>246</v>
      </c>
      <c r="B247" t="s">
        <v>496</v>
      </c>
      <c r="C247" t="s">
        <v>6</v>
      </c>
      <c r="D247">
        <v>246</v>
      </c>
      <c r="E247" t="s">
        <v>497</v>
      </c>
    </row>
    <row r="248" spans="1:5" x14ac:dyDescent="0.3">
      <c r="A248">
        <v>247</v>
      </c>
      <c r="B248" t="s">
        <v>498</v>
      </c>
      <c r="C248" t="s">
        <v>6</v>
      </c>
      <c r="D248">
        <v>247</v>
      </c>
      <c r="E248" t="s">
        <v>499</v>
      </c>
    </row>
    <row r="249" spans="1:5" x14ac:dyDescent="0.3">
      <c r="A249">
        <v>248</v>
      </c>
      <c r="B249" t="s">
        <v>500</v>
      </c>
      <c r="C249" t="s">
        <v>6</v>
      </c>
      <c r="D249">
        <v>248</v>
      </c>
      <c r="E249" t="s">
        <v>501</v>
      </c>
    </row>
    <row r="250" spans="1:5" x14ac:dyDescent="0.3">
      <c r="A250">
        <v>249</v>
      </c>
      <c r="B250" t="s">
        <v>502</v>
      </c>
      <c r="C250" t="s">
        <v>6</v>
      </c>
      <c r="D250">
        <v>249</v>
      </c>
      <c r="E250" t="s">
        <v>503</v>
      </c>
    </row>
    <row r="251" spans="1:5" x14ac:dyDescent="0.3">
      <c r="A251">
        <v>250</v>
      </c>
      <c r="B251" t="s">
        <v>504</v>
      </c>
      <c r="C251" t="s">
        <v>6</v>
      </c>
      <c r="D251">
        <v>250</v>
      </c>
      <c r="E251" t="s">
        <v>505</v>
      </c>
    </row>
    <row r="252" spans="1:5" x14ac:dyDescent="0.3">
      <c r="A252">
        <v>251</v>
      </c>
      <c r="B252" t="s">
        <v>506</v>
      </c>
      <c r="C252" t="s">
        <v>6</v>
      </c>
      <c r="D252">
        <v>251</v>
      </c>
      <c r="E252" t="s">
        <v>507</v>
      </c>
    </row>
    <row r="253" spans="1:5" x14ac:dyDescent="0.3">
      <c r="A253">
        <v>252</v>
      </c>
      <c r="B253" t="s">
        <v>508</v>
      </c>
      <c r="C253" t="s">
        <v>6</v>
      </c>
      <c r="D253">
        <v>252</v>
      </c>
      <c r="E253" t="s">
        <v>509</v>
      </c>
    </row>
    <row r="254" spans="1:5" x14ac:dyDescent="0.3">
      <c r="A254">
        <v>253</v>
      </c>
      <c r="B254" t="s">
        <v>510</v>
      </c>
      <c r="C254" t="s">
        <v>6</v>
      </c>
      <c r="D254">
        <v>253</v>
      </c>
      <c r="E254" t="s">
        <v>511</v>
      </c>
    </row>
    <row r="255" spans="1:5" x14ac:dyDescent="0.3">
      <c r="A255">
        <v>254</v>
      </c>
      <c r="B255" t="s">
        <v>512</v>
      </c>
      <c r="C255" t="s">
        <v>6</v>
      </c>
      <c r="D255">
        <v>254</v>
      </c>
      <c r="E255" t="s">
        <v>513</v>
      </c>
    </row>
    <row r="256" spans="1:5" x14ac:dyDescent="0.3">
      <c r="A256">
        <v>255</v>
      </c>
      <c r="B256" t="s">
        <v>514</v>
      </c>
      <c r="C256" t="s">
        <v>6</v>
      </c>
      <c r="D256">
        <v>255</v>
      </c>
      <c r="E256" t="s">
        <v>515</v>
      </c>
    </row>
    <row r="257" spans="1:5" x14ac:dyDescent="0.3">
      <c r="A257">
        <v>256</v>
      </c>
      <c r="B257" t="s">
        <v>516</v>
      </c>
      <c r="C257" t="s">
        <v>6</v>
      </c>
      <c r="D257">
        <v>256</v>
      </c>
      <c r="E257" t="s">
        <v>517</v>
      </c>
    </row>
    <row r="258" spans="1:5" x14ac:dyDescent="0.3">
      <c r="A258">
        <v>257</v>
      </c>
      <c r="B258" t="s">
        <v>518</v>
      </c>
      <c r="C258" t="s">
        <v>6</v>
      </c>
      <c r="D258">
        <v>257</v>
      </c>
      <c r="E258" t="s">
        <v>519</v>
      </c>
    </row>
    <row r="259" spans="1:5" x14ac:dyDescent="0.3">
      <c r="A259">
        <v>258</v>
      </c>
      <c r="B259" t="s">
        <v>520</v>
      </c>
      <c r="C259" t="s">
        <v>6</v>
      </c>
      <c r="D259">
        <v>258</v>
      </c>
      <c r="E259" t="s">
        <v>521</v>
      </c>
    </row>
    <row r="260" spans="1:5" x14ac:dyDescent="0.3">
      <c r="A260">
        <v>259</v>
      </c>
      <c r="B260" t="s">
        <v>522</v>
      </c>
      <c r="C260" t="s">
        <v>6</v>
      </c>
      <c r="D260">
        <v>259</v>
      </c>
      <c r="E260" t="s">
        <v>523</v>
      </c>
    </row>
    <row r="261" spans="1:5" x14ac:dyDescent="0.3">
      <c r="A261">
        <v>260</v>
      </c>
      <c r="B261" t="s">
        <v>524</v>
      </c>
      <c r="C261" t="s">
        <v>6</v>
      </c>
      <c r="D261">
        <v>260</v>
      </c>
      <c r="E261" t="s">
        <v>525</v>
      </c>
    </row>
    <row r="262" spans="1:5" x14ac:dyDescent="0.3">
      <c r="A262">
        <v>261</v>
      </c>
      <c r="B262" t="s">
        <v>504</v>
      </c>
      <c r="C262" t="s">
        <v>6</v>
      </c>
      <c r="D262">
        <v>261</v>
      </c>
      <c r="E262" t="s">
        <v>526</v>
      </c>
    </row>
    <row r="263" spans="1:5" x14ac:dyDescent="0.3">
      <c r="A263">
        <v>262</v>
      </c>
      <c r="B263" t="s">
        <v>527</v>
      </c>
      <c r="C263" t="s">
        <v>6</v>
      </c>
      <c r="D263">
        <v>262</v>
      </c>
      <c r="E263" t="s">
        <v>528</v>
      </c>
    </row>
    <row r="264" spans="1:5" x14ac:dyDescent="0.3">
      <c r="A264">
        <v>263</v>
      </c>
      <c r="B264" t="s">
        <v>529</v>
      </c>
      <c r="C264" t="s">
        <v>6</v>
      </c>
      <c r="D264">
        <v>263</v>
      </c>
      <c r="E264" t="s">
        <v>530</v>
      </c>
    </row>
    <row r="265" spans="1:5" x14ac:dyDescent="0.3">
      <c r="A265">
        <v>264</v>
      </c>
      <c r="B265" t="s">
        <v>531</v>
      </c>
      <c r="C265" t="s">
        <v>6</v>
      </c>
      <c r="D265">
        <v>264</v>
      </c>
      <c r="E265" t="s">
        <v>532</v>
      </c>
    </row>
    <row r="266" spans="1:5" x14ac:dyDescent="0.3">
      <c r="A266">
        <v>265</v>
      </c>
      <c r="B266" t="s">
        <v>533</v>
      </c>
      <c r="C266" t="s">
        <v>6</v>
      </c>
      <c r="D266">
        <v>265</v>
      </c>
      <c r="E266" t="s">
        <v>534</v>
      </c>
    </row>
    <row r="267" spans="1:5" x14ac:dyDescent="0.3">
      <c r="A267">
        <v>266</v>
      </c>
      <c r="B267" t="s">
        <v>504</v>
      </c>
      <c r="C267" t="s">
        <v>6</v>
      </c>
      <c r="D267">
        <v>266</v>
      </c>
      <c r="E267" t="s">
        <v>535</v>
      </c>
    </row>
    <row r="268" spans="1:5" x14ac:dyDescent="0.3">
      <c r="A268">
        <v>267</v>
      </c>
      <c r="B268" t="s">
        <v>536</v>
      </c>
      <c r="C268" t="s">
        <v>6</v>
      </c>
      <c r="D268">
        <v>267</v>
      </c>
      <c r="E268" t="s">
        <v>537</v>
      </c>
    </row>
    <row r="269" spans="1:5" x14ac:dyDescent="0.3">
      <c r="A269">
        <v>268</v>
      </c>
      <c r="B269" t="s">
        <v>538</v>
      </c>
      <c r="C269" t="s">
        <v>6</v>
      </c>
      <c r="D269">
        <v>268</v>
      </c>
      <c r="E269" t="s">
        <v>539</v>
      </c>
    </row>
    <row r="270" spans="1:5" x14ac:dyDescent="0.3">
      <c r="A270">
        <v>269</v>
      </c>
      <c r="B270" t="s">
        <v>540</v>
      </c>
      <c r="C270" t="s">
        <v>6</v>
      </c>
      <c r="D270">
        <v>269</v>
      </c>
      <c r="E270" t="s">
        <v>541</v>
      </c>
    </row>
    <row r="271" spans="1:5" x14ac:dyDescent="0.3">
      <c r="A271">
        <v>270</v>
      </c>
      <c r="B271" t="s">
        <v>542</v>
      </c>
      <c r="C271" t="s">
        <v>6</v>
      </c>
      <c r="D271">
        <v>270</v>
      </c>
      <c r="E271" t="s">
        <v>543</v>
      </c>
    </row>
    <row r="272" spans="1:5" x14ac:dyDescent="0.3">
      <c r="A272">
        <v>271</v>
      </c>
      <c r="B272" t="s">
        <v>544</v>
      </c>
      <c r="C272" t="s">
        <v>6</v>
      </c>
      <c r="D272">
        <v>271</v>
      </c>
      <c r="E272" t="s">
        <v>545</v>
      </c>
    </row>
    <row r="273" spans="1:5" x14ac:dyDescent="0.3">
      <c r="A273">
        <v>272</v>
      </c>
      <c r="B273" t="s">
        <v>546</v>
      </c>
      <c r="C273" t="s">
        <v>6</v>
      </c>
      <c r="D273">
        <v>272</v>
      </c>
      <c r="E273" t="s">
        <v>547</v>
      </c>
    </row>
    <row r="274" spans="1:5" x14ac:dyDescent="0.3">
      <c r="A274">
        <v>273</v>
      </c>
      <c r="B274" t="s">
        <v>548</v>
      </c>
      <c r="C274" t="s">
        <v>6</v>
      </c>
      <c r="D274">
        <v>273</v>
      </c>
      <c r="E274" t="s">
        <v>549</v>
      </c>
    </row>
    <row r="275" spans="1:5" x14ac:dyDescent="0.3">
      <c r="A275">
        <v>274</v>
      </c>
      <c r="B275" t="s">
        <v>550</v>
      </c>
      <c r="C275" t="s">
        <v>6</v>
      </c>
      <c r="D275">
        <v>274</v>
      </c>
      <c r="E275" t="s">
        <v>551</v>
      </c>
    </row>
    <row r="276" spans="1:5" x14ac:dyDescent="0.3">
      <c r="A276">
        <v>275</v>
      </c>
      <c r="B276" t="s">
        <v>552</v>
      </c>
      <c r="C276" t="s">
        <v>6</v>
      </c>
      <c r="D276">
        <v>275</v>
      </c>
      <c r="E276" t="s">
        <v>553</v>
      </c>
    </row>
    <row r="277" spans="1:5" x14ac:dyDescent="0.3">
      <c r="A277">
        <v>276</v>
      </c>
      <c r="B277" t="s">
        <v>554</v>
      </c>
      <c r="C277" t="s">
        <v>6</v>
      </c>
      <c r="D277">
        <v>276</v>
      </c>
      <c r="E277" t="s">
        <v>555</v>
      </c>
    </row>
    <row r="278" spans="1:5" x14ac:dyDescent="0.3">
      <c r="A278">
        <v>277</v>
      </c>
      <c r="B278" t="s">
        <v>556</v>
      </c>
      <c r="C278" t="s">
        <v>6</v>
      </c>
      <c r="D278">
        <v>277</v>
      </c>
      <c r="E278" t="s">
        <v>557</v>
      </c>
    </row>
    <row r="279" spans="1:5" x14ac:dyDescent="0.3">
      <c r="A279">
        <v>278</v>
      </c>
      <c r="B279" t="s">
        <v>558</v>
      </c>
      <c r="C279" t="s">
        <v>6</v>
      </c>
      <c r="D279">
        <v>278</v>
      </c>
      <c r="E279" t="s">
        <v>559</v>
      </c>
    </row>
    <row r="280" spans="1:5" x14ac:dyDescent="0.3">
      <c r="A280">
        <v>279</v>
      </c>
      <c r="B280" t="s">
        <v>560</v>
      </c>
      <c r="C280" t="s">
        <v>6</v>
      </c>
      <c r="D280">
        <v>279</v>
      </c>
      <c r="E280" t="s">
        <v>561</v>
      </c>
    </row>
    <row r="281" spans="1:5" x14ac:dyDescent="0.3">
      <c r="A281">
        <v>280</v>
      </c>
      <c r="B281" t="s">
        <v>562</v>
      </c>
      <c r="C281" t="s">
        <v>6</v>
      </c>
      <c r="D281">
        <v>280</v>
      </c>
      <c r="E281" t="s">
        <v>563</v>
      </c>
    </row>
    <row r="282" spans="1:5" x14ac:dyDescent="0.3">
      <c r="A282">
        <v>281</v>
      </c>
      <c r="B282" t="s">
        <v>564</v>
      </c>
      <c r="C282" t="s">
        <v>6</v>
      </c>
      <c r="D282">
        <v>281</v>
      </c>
      <c r="E282" t="s">
        <v>565</v>
      </c>
    </row>
    <row r="283" spans="1:5" x14ac:dyDescent="0.3">
      <c r="A283">
        <v>282</v>
      </c>
      <c r="B283" t="s">
        <v>566</v>
      </c>
      <c r="C283" t="s">
        <v>6</v>
      </c>
      <c r="D283">
        <v>282</v>
      </c>
      <c r="E283" t="s">
        <v>567</v>
      </c>
    </row>
    <row r="284" spans="1:5" x14ac:dyDescent="0.3">
      <c r="A284">
        <v>283</v>
      </c>
      <c r="B284" t="s">
        <v>568</v>
      </c>
      <c r="C284" t="s">
        <v>6</v>
      </c>
      <c r="D284">
        <v>283</v>
      </c>
      <c r="E284" t="s">
        <v>569</v>
      </c>
    </row>
    <row r="285" spans="1:5" x14ac:dyDescent="0.3">
      <c r="A285">
        <v>284</v>
      </c>
      <c r="B285" t="s">
        <v>570</v>
      </c>
      <c r="C285" t="s">
        <v>6</v>
      </c>
      <c r="D285">
        <v>284</v>
      </c>
      <c r="E285" t="s">
        <v>571</v>
      </c>
    </row>
    <row r="286" spans="1:5" x14ac:dyDescent="0.3">
      <c r="A286">
        <v>285</v>
      </c>
      <c r="B286" t="s">
        <v>572</v>
      </c>
      <c r="C286" t="s">
        <v>6</v>
      </c>
      <c r="D286">
        <v>285</v>
      </c>
      <c r="E286" t="s">
        <v>573</v>
      </c>
    </row>
    <row r="287" spans="1:5" x14ac:dyDescent="0.3">
      <c r="A287">
        <v>286</v>
      </c>
      <c r="B287" t="s">
        <v>574</v>
      </c>
      <c r="C287" t="s">
        <v>6</v>
      </c>
      <c r="D287">
        <v>286</v>
      </c>
      <c r="E287" t="s">
        <v>575</v>
      </c>
    </row>
    <row r="288" spans="1:5" x14ac:dyDescent="0.3">
      <c r="A288">
        <v>287</v>
      </c>
      <c r="B288" t="s">
        <v>576</v>
      </c>
      <c r="C288" t="s">
        <v>6</v>
      </c>
      <c r="D288">
        <v>287</v>
      </c>
      <c r="E288" t="s">
        <v>577</v>
      </c>
    </row>
    <row r="289" spans="1:5" x14ac:dyDescent="0.3">
      <c r="A289">
        <v>288</v>
      </c>
      <c r="B289" t="s">
        <v>578</v>
      </c>
      <c r="C289" t="s">
        <v>6</v>
      </c>
      <c r="D289">
        <v>288</v>
      </c>
      <c r="E289" t="s">
        <v>579</v>
      </c>
    </row>
    <row r="290" spans="1:5" x14ac:dyDescent="0.3">
      <c r="A290">
        <v>289</v>
      </c>
      <c r="B290" t="s">
        <v>580</v>
      </c>
      <c r="C290" t="s">
        <v>6</v>
      </c>
      <c r="D290">
        <v>289</v>
      </c>
      <c r="E290" t="s">
        <v>581</v>
      </c>
    </row>
    <row r="291" spans="1:5" x14ac:dyDescent="0.3">
      <c r="A291">
        <v>290</v>
      </c>
      <c r="B291" t="s">
        <v>582</v>
      </c>
      <c r="C291" t="s">
        <v>6</v>
      </c>
      <c r="D291">
        <v>290</v>
      </c>
      <c r="E291" t="s">
        <v>583</v>
      </c>
    </row>
    <row r="292" spans="1:5" x14ac:dyDescent="0.3">
      <c r="A292">
        <v>291</v>
      </c>
      <c r="B292" t="s">
        <v>584</v>
      </c>
      <c r="C292" t="s">
        <v>6</v>
      </c>
      <c r="D292">
        <v>291</v>
      </c>
      <c r="E292" t="s">
        <v>585</v>
      </c>
    </row>
    <row r="293" spans="1:5" x14ac:dyDescent="0.3">
      <c r="A293">
        <v>292</v>
      </c>
      <c r="B293" t="s">
        <v>586</v>
      </c>
      <c r="C293" t="s">
        <v>6</v>
      </c>
      <c r="D293">
        <v>292</v>
      </c>
      <c r="E293" t="s">
        <v>587</v>
      </c>
    </row>
    <row r="294" spans="1:5" x14ac:dyDescent="0.3">
      <c r="A294">
        <v>293</v>
      </c>
      <c r="B294" t="s">
        <v>588</v>
      </c>
      <c r="C294" t="s">
        <v>6</v>
      </c>
      <c r="D294">
        <v>293</v>
      </c>
      <c r="E294" t="s">
        <v>589</v>
      </c>
    </row>
    <row r="295" spans="1:5" x14ac:dyDescent="0.3">
      <c r="A295">
        <v>294</v>
      </c>
      <c r="B295" t="s">
        <v>590</v>
      </c>
      <c r="C295" t="s">
        <v>6</v>
      </c>
      <c r="D295">
        <v>294</v>
      </c>
      <c r="E295" t="s">
        <v>591</v>
      </c>
    </row>
    <row r="296" spans="1:5" x14ac:dyDescent="0.3">
      <c r="A296">
        <v>295</v>
      </c>
      <c r="B296" t="s">
        <v>592</v>
      </c>
      <c r="C296" t="s">
        <v>6</v>
      </c>
      <c r="D296">
        <v>295</v>
      </c>
      <c r="E296" t="s">
        <v>593</v>
      </c>
    </row>
    <row r="297" spans="1:5" x14ac:dyDescent="0.3">
      <c r="A297">
        <v>296</v>
      </c>
      <c r="B297" t="s">
        <v>594</v>
      </c>
      <c r="C297" t="s">
        <v>6</v>
      </c>
      <c r="D297">
        <v>296</v>
      </c>
      <c r="E297" t="s">
        <v>595</v>
      </c>
    </row>
    <row r="298" spans="1:5" x14ac:dyDescent="0.3">
      <c r="A298">
        <v>297</v>
      </c>
      <c r="B298" t="s">
        <v>596</v>
      </c>
      <c r="C298" t="s">
        <v>6</v>
      </c>
      <c r="D298">
        <v>297</v>
      </c>
      <c r="E298" t="s">
        <v>597</v>
      </c>
    </row>
    <row r="299" spans="1:5" x14ac:dyDescent="0.3">
      <c r="A299">
        <v>298</v>
      </c>
      <c r="B299" t="s">
        <v>598</v>
      </c>
      <c r="C299" t="s">
        <v>6</v>
      </c>
      <c r="D299">
        <v>298</v>
      </c>
      <c r="E299" t="s">
        <v>599</v>
      </c>
    </row>
    <row r="300" spans="1:5" x14ac:dyDescent="0.3">
      <c r="A300">
        <v>299</v>
      </c>
      <c r="B300" t="s">
        <v>600</v>
      </c>
      <c r="C300" t="s">
        <v>6</v>
      </c>
      <c r="D300">
        <v>299</v>
      </c>
      <c r="E300" t="s">
        <v>601</v>
      </c>
    </row>
    <row r="301" spans="1:5" x14ac:dyDescent="0.3">
      <c r="A301">
        <v>300</v>
      </c>
      <c r="B301" t="s">
        <v>602</v>
      </c>
      <c r="C301" t="s">
        <v>6</v>
      </c>
      <c r="D301">
        <v>300</v>
      </c>
      <c r="E301" t="s">
        <v>603</v>
      </c>
    </row>
    <row r="302" spans="1:5" x14ac:dyDescent="0.3">
      <c r="A302">
        <v>301</v>
      </c>
      <c r="B302" t="s">
        <v>604</v>
      </c>
      <c r="C302" t="s">
        <v>6</v>
      </c>
      <c r="D302">
        <v>301</v>
      </c>
      <c r="E302" t="s">
        <v>605</v>
      </c>
    </row>
    <row r="303" spans="1:5" x14ac:dyDescent="0.3">
      <c r="A303">
        <v>302</v>
      </c>
      <c r="B303" t="s">
        <v>606</v>
      </c>
      <c r="C303" t="s">
        <v>6</v>
      </c>
      <c r="D303">
        <v>302</v>
      </c>
      <c r="E303" t="s">
        <v>607</v>
      </c>
    </row>
    <row r="304" spans="1:5" x14ac:dyDescent="0.3">
      <c r="A304">
        <v>303</v>
      </c>
      <c r="B304" t="s">
        <v>608</v>
      </c>
      <c r="C304" t="s">
        <v>6</v>
      </c>
      <c r="D304">
        <v>303</v>
      </c>
      <c r="E304" t="s">
        <v>609</v>
      </c>
    </row>
    <row r="305" spans="1:5" x14ac:dyDescent="0.3">
      <c r="A305">
        <v>304</v>
      </c>
      <c r="B305" t="s">
        <v>610</v>
      </c>
      <c r="C305" t="s">
        <v>6</v>
      </c>
      <c r="D305">
        <v>304</v>
      </c>
      <c r="E305" t="s">
        <v>611</v>
      </c>
    </row>
    <row r="306" spans="1:5" x14ac:dyDescent="0.3">
      <c r="A306">
        <v>305</v>
      </c>
      <c r="B306" t="s">
        <v>504</v>
      </c>
      <c r="C306" t="s">
        <v>6</v>
      </c>
      <c r="D306">
        <v>305</v>
      </c>
      <c r="E306" t="s">
        <v>612</v>
      </c>
    </row>
    <row r="307" spans="1:5" x14ac:dyDescent="0.3">
      <c r="A307">
        <v>306</v>
      </c>
      <c r="B307" t="s">
        <v>613</v>
      </c>
      <c r="C307" t="s">
        <v>6</v>
      </c>
      <c r="D307">
        <v>306</v>
      </c>
      <c r="E307" t="s">
        <v>614</v>
      </c>
    </row>
    <row r="308" spans="1:5" x14ac:dyDescent="0.3">
      <c r="A308">
        <v>307</v>
      </c>
      <c r="B308" t="s">
        <v>615</v>
      </c>
      <c r="C308" t="s">
        <v>6</v>
      </c>
      <c r="D308">
        <v>307</v>
      </c>
      <c r="E308" t="s">
        <v>616</v>
      </c>
    </row>
    <row r="309" spans="1:5" x14ac:dyDescent="0.3">
      <c r="A309">
        <v>308</v>
      </c>
      <c r="B309" t="s">
        <v>617</v>
      </c>
      <c r="C309" t="s">
        <v>6</v>
      </c>
      <c r="D309">
        <v>308</v>
      </c>
      <c r="E309" t="s">
        <v>618</v>
      </c>
    </row>
    <row r="310" spans="1:5" x14ac:dyDescent="0.3">
      <c r="A310">
        <v>309</v>
      </c>
      <c r="B310" t="s">
        <v>619</v>
      </c>
      <c r="C310" t="s">
        <v>6</v>
      </c>
      <c r="D310">
        <v>309</v>
      </c>
      <c r="E310" t="s">
        <v>620</v>
      </c>
    </row>
    <row r="311" spans="1:5" x14ac:dyDescent="0.3">
      <c r="A311">
        <v>310</v>
      </c>
      <c r="B311" t="s">
        <v>621</v>
      </c>
      <c r="C311" t="s">
        <v>6</v>
      </c>
      <c r="D311">
        <v>310</v>
      </c>
      <c r="E311" t="s">
        <v>622</v>
      </c>
    </row>
    <row r="312" spans="1:5" x14ac:dyDescent="0.3">
      <c r="A312">
        <v>311</v>
      </c>
      <c r="B312" t="s">
        <v>623</v>
      </c>
      <c r="C312" t="s">
        <v>6</v>
      </c>
      <c r="D312">
        <v>311</v>
      </c>
      <c r="E312" t="s">
        <v>624</v>
      </c>
    </row>
    <row r="313" spans="1:5" x14ac:dyDescent="0.3">
      <c r="A313">
        <v>312</v>
      </c>
      <c r="B313" t="s">
        <v>625</v>
      </c>
      <c r="C313" t="s">
        <v>6</v>
      </c>
      <c r="D313">
        <v>312</v>
      </c>
      <c r="E313" t="s">
        <v>626</v>
      </c>
    </row>
    <row r="314" spans="1:5" x14ac:dyDescent="0.3">
      <c r="A314">
        <v>313</v>
      </c>
      <c r="B314" t="s">
        <v>627</v>
      </c>
      <c r="C314" t="s">
        <v>6</v>
      </c>
      <c r="D314">
        <v>313</v>
      </c>
      <c r="E314" t="s">
        <v>628</v>
      </c>
    </row>
    <row r="315" spans="1:5" x14ac:dyDescent="0.3">
      <c r="A315">
        <v>314</v>
      </c>
      <c r="B315" t="s">
        <v>629</v>
      </c>
      <c r="C315" t="s">
        <v>6</v>
      </c>
      <c r="D315">
        <v>314</v>
      </c>
      <c r="E315" t="s">
        <v>630</v>
      </c>
    </row>
    <row r="316" spans="1:5" x14ac:dyDescent="0.3">
      <c r="A316">
        <v>315</v>
      </c>
      <c r="B316" t="s">
        <v>631</v>
      </c>
      <c r="C316" t="s">
        <v>6</v>
      </c>
      <c r="D316">
        <v>315</v>
      </c>
      <c r="E316" t="s">
        <v>632</v>
      </c>
    </row>
    <row r="317" spans="1:5" x14ac:dyDescent="0.3">
      <c r="A317">
        <v>316</v>
      </c>
      <c r="B317" t="s">
        <v>633</v>
      </c>
      <c r="C317" t="s">
        <v>6</v>
      </c>
      <c r="D317">
        <v>316</v>
      </c>
      <c r="E317" t="s">
        <v>634</v>
      </c>
    </row>
    <row r="318" spans="1:5" x14ac:dyDescent="0.3">
      <c r="A318">
        <v>317</v>
      </c>
      <c r="B318" t="s">
        <v>635</v>
      </c>
      <c r="C318" t="s">
        <v>6</v>
      </c>
      <c r="D318">
        <v>317</v>
      </c>
      <c r="E318" t="s">
        <v>636</v>
      </c>
    </row>
    <row r="319" spans="1:5" x14ac:dyDescent="0.3">
      <c r="A319">
        <v>318</v>
      </c>
      <c r="B319" t="s">
        <v>637</v>
      </c>
      <c r="C319" t="s">
        <v>6</v>
      </c>
      <c r="D319">
        <v>318</v>
      </c>
      <c r="E319" t="s">
        <v>638</v>
      </c>
    </row>
    <row r="320" spans="1:5" x14ac:dyDescent="0.3">
      <c r="A320">
        <v>319</v>
      </c>
      <c r="B320" t="s">
        <v>639</v>
      </c>
      <c r="C320" t="s">
        <v>6</v>
      </c>
      <c r="D320">
        <v>319</v>
      </c>
      <c r="E320" t="s">
        <v>640</v>
      </c>
    </row>
    <row r="321" spans="1:5" x14ac:dyDescent="0.3">
      <c r="A321">
        <v>320</v>
      </c>
      <c r="B321" t="s">
        <v>641</v>
      </c>
      <c r="C321" t="s">
        <v>6</v>
      </c>
      <c r="D321">
        <v>320</v>
      </c>
      <c r="E321" t="s">
        <v>642</v>
      </c>
    </row>
    <row r="322" spans="1:5" x14ac:dyDescent="0.3">
      <c r="A322">
        <v>321</v>
      </c>
      <c r="B322" t="s">
        <v>643</v>
      </c>
      <c r="C322" t="s">
        <v>6</v>
      </c>
      <c r="D322">
        <v>321</v>
      </c>
      <c r="E322" t="s">
        <v>644</v>
      </c>
    </row>
    <row r="323" spans="1:5" x14ac:dyDescent="0.3">
      <c r="A323">
        <v>322</v>
      </c>
      <c r="B323" t="s">
        <v>645</v>
      </c>
      <c r="C323" t="s">
        <v>6</v>
      </c>
      <c r="D323">
        <v>322</v>
      </c>
      <c r="E323" t="s">
        <v>646</v>
      </c>
    </row>
    <row r="324" spans="1:5" x14ac:dyDescent="0.3">
      <c r="A324">
        <v>323</v>
      </c>
      <c r="B324" t="s">
        <v>647</v>
      </c>
      <c r="C324" t="s">
        <v>6</v>
      </c>
      <c r="D324">
        <v>323</v>
      </c>
      <c r="E324" t="s">
        <v>648</v>
      </c>
    </row>
    <row r="325" spans="1:5" x14ac:dyDescent="0.3">
      <c r="A325">
        <v>324</v>
      </c>
      <c r="B325" t="s">
        <v>649</v>
      </c>
      <c r="C325" t="s">
        <v>6</v>
      </c>
      <c r="D325">
        <v>324</v>
      </c>
      <c r="E325" t="s">
        <v>650</v>
      </c>
    </row>
    <row r="326" spans="1:5" x14ac:dyDescent="0.3">
      <c r="A326">
        <v>325</v>
      </c>
      <c r="B326" t="s">
        <v>651</v>
      </c>
      <c r="C326" t="s">
        <v>6</v>
      </c>
      <c r="D326">
        <v>325</v>
      </c>
      <c r="E326" t="s">
        <v>652</v>
      </c>
    </row>
    <row r="327" spans="1:5" x14ac:dyDescent="0.3">
      <c r="A327">
        <v>326</v>
      </c>
      <c r="B327" t="s">
        <v>653</v>
      </c>
      <c r="C327" t="s">
        <v>6</v>
      </c>
      <c r="D327">
        <v>326</v>
      </c>
      <c r="E327" t="s">
        <v>654</v>
      </c>
    </row>
    <row r="328" spans="1:5" x14ac:dyDescent="0.3">
      <c r="A328">
        <v>327</v>
      </c>
      <c r="B328" t="s">
        <v>655</v>
      </c>
      <c r="C328" t="s">
        <v>6</v>
      </c>
      <c r="D328">
        <v>327</v>
      </c>
      <c r="E328" t="s">
        <v>656</v>
      </c>
    </row>
    <row r="329" spans="1:5" x14ac:dyDescent="0.3">
      <c r="A329">
        <v>328</v>
      </c>
      <c r="B329" t="s">
        <v>657</v>
      </c>
      <c r="C329" t="s">
        <v>6</v>
      </c>
      <c r="D329">
        <v>328</v>
      </c>
      <c r="E329" t="s">
        <v>658</v>
      </c>
    </row>
    <row r="330" spans="1:5" x14ac:dyDescent="0.3">
      <c r="A330">
        <v>329</v>
      </c>
      <c r="B330" t="s">
        <v>659</v>
      </c>
      <c r="C330" t="s">
        <v>6</v>
      </c>
      <c r="D330">
        <v>329</v>
      </c>
      <c r="E330" t="s">
        <v>660</v>
      </c>
    </row>
    <row r="331" spans="1:5" x14ac:dyDescent="0.3">
      <c r="A331">
        <v>330</v>
      </c>
      <c r="B331" t="s">
        <v>661</v>
      </c>
      <c r="C331" t="s">
        <v>6</v>
      </c>
      <c r="D331">
        <v>330</v>
      </c>
      <c r="E331" t="s">
        <v>662</v>
      </c>
    </row>
    <row r="332" spans="1:5" x14ac:dyDescent="0.3">
      <c r="A332">
        <v>331</v>
      </c>
      <c r="B332" t="s">
        <v>504</v>
      </c>
      <c r="C332" t="s">
        <v>6</v>
      </c>
      <c r="D332">
        <v>331</v>
      </c>
      <c r="E332" t="s">
        <v>663</v>
      </c>
    </row>
    <row r="333" spans="1:5" x14ac:dyDescent="0.3">
      <c r="A333">
        <v>332</v>
      </c>
      <c r="B333" t="s">
        <v>664</v>
      </c>
      <c r="C333" t="s">
        <v>6</v>
      </c>
      <c r="D333">
        <v>332</v>
      </c>
      <c r="E333" t="s">
        <v>665</v>
      </c>
    </row>
    <row r="334" spans="1:5" x14ac:dyDescent="0.3">
      <c r="A334">
        <v>333</v>
      </c>
      <c r="B334" t="s">
        <v>666</v>
      </c>
      <c r="C334" t="s">
        <v>6</v>
      </c>
      <c r="D334">
        <v>333</v>
      </c>
      <c r="E334" t="s">
        <v>667</v>
      </c>
    </row>
    <row r="335" spans="1:5" x14ac:dyDescent="0.3">
      <c r="A335">
        <v>334</v>
      </c>
      <c r="B335" t="s">
        <v>668</v>
      </c>
      <c r="C335" t="s">
        <v>6</v>
      </c>
      <c r="D335">
        <v>334</v>
      </c>
      <c r="E335" t="s">
        <v>669</v>
      </c>
    </row>
    <row r="336" spans="1:5" x14ac:dyDescent="0.3">
      <c r="A336">
        <v>335</v>
      </c>
      <c r="B336" t="s">
        <v>670</v>
      </c>
      <c r="C336" t="s">
        <v>6</v>
      </c>
      <c r="D336">
        <v>335</v>
      </c>
      <c r="E336" t="s">
        <v>671</v>
      </c>
    </row>
    <row r="337" spans="1:5" x14ac:dyDescent="0.3">
      <c r="A337">
        <v>336</v>
      </c>
      <c r="B337" t="s">
        <v>672</v>
      </c>
      <c r="C337" t="s">
        <v>6</v>
      </c>
      <c r="D337">
        <v>336</v>
      </c>
      <c r="E337" t="s">
        <v>673</v>
      </c>
    </row>
    <row r="338" spans="1:5" x14ac:dyDescent="0.3">
      <c r="A338">
        <v>337</v>
      </c>
      <c r="B338" t="s">
        <v>674</v>
      </c>
      <c r="C338" t="s">
        <v>6</v>
      </c>
      <c r="D338">
        <v>337</v>
      </c>
      <c r="E338" t="s">
        <v>675</v>
      </c>
    </row>
    <row r="339" spans="1:5" x14ac:dyDescent="0.3">
      <c r="A339">
        <v>338</v>
      </c>
      <c r="B339" t="s">
        <v>676</v>
      </c>
      <c r="C339" t="s">
        <v>6</v>
      </c>
      <c r="D339">
        <v>338</v>
      </c>
      <c r="E339" t="s">
        <v>677</v>
      </c>
    </row>
    <row r="340" spans="1:5" x14ac:dyDescent="0.3">
      <c r="A340">
        <v>339</v>
      </c>
      <c r="B340" t="s">
        <v>678</v>
      </c>
      <c r="C340" t="s">
        <v>6</v>
      </c>
      <c r="D340">
        <v>339</v>
      </c>
      <c r="E340" t="s">
        <v>679</v>
      </c>
    </row>
    <row r="341" spans="1:5" x14ac:dyDescent="0.3">
      <c r="A341">
        <v>340</v>
      </c>
      <c r="B341" t="s">
        <v>680</v>
      </c>
      <c r="C341" t="s">
        <v>6</v>
      </c>
      <c r="D341">
        <v>340</v>
      </c>
      <c r="E341" t="s">
        <v>681</v>
      </c>
    </row>
    <row r="342" spans="1:5" x14ac:dyDescent="0.3">
      <c r="A342">
        <v>341</v>
      </c>
      <c r="B342" t="s">
        <v>682</v>
      </c>
      <c r="C342" t="s">
        <v>6</v>
      </c>
      <c r="D342">
        <v>341</v>
      </c>
      <c r="E342" t="s">
        <v>683</v>
      </c>
    </row>
    <row r="343" spans="1:5" x14ac:dyDescent="0.3">
      <c r="A343">
        <v>342</v>
      </c>
      <c r="B343" t="s">
        <v>684</v>
      </c>
      <c r="C343" t="s">
        <v>6</v>
      </c>
      <c r="D343">
        <v>342</v>
      </c>
      <c r="E343" t="s">
        <v>685</v>
      </c>
    </row>
    <row r="344" spans="1:5" x14ac:dyDescent="0.3">
      <c r="A344">
        <v>343</v>
      </c>
      <c r="B344" t="s">
        <v>686</v>
      </c>
      <c r="C344" t="s">
        <v>6</v>
      </c>
      <c r="D344">
        <v>343</v>
      </c>
      <c r="E344" t="s">
        <v>687</v>
      </c>
    </row>
    <row r="345" spans="1:5" x14ac:dyDescent="0.3">
      <c r="A345">
        <v>344</v>
      </c>
      <c r="B345" t="s">
        <v>688</v>
      </c>
      <c r="C345" t="s">
        <v>6</v>
      </c>
      <c r="D345">
        <v>344</v>
      </c>
      <c r="E345" t="s">
        <v>689</v>
      </c>
    </row>
    <row r="346" spans="1:5" x14ac:dyDescent="0.3">
      <c r="A346">
        <v>345</v>
      </c>
      <c r="B346" t="s">
        <v>690</v>
      </c>
      <c r="C346" t="s">
        <v>6</v>
      </c>
      <c r="D346">
        <v>345</v>
      </c>
      <c r="E346" t="s">
        <v>691</v>
      </c>
    </row>
    <row r="347" spans="1:5" x14ac:dyDescent="0.3">
      <c r="A347">
        <v>346</v>
      </c>
      <c r="B347" t="s">
        <v>692</v>
      </c>
      <c r="C347" t="s">
        <v>6</v>
      </c>
      <c r="D347">
        <v>346</v>
      </c>
      <c r="E347" t="s">
        <v>693</v>
      </c>
    </row>
    <row r="348" spans="1:5" x14ac:dyDescent="0.3">
      <c r="A348">
        <v>347</v>
      </c>
      <c r="B348" t="s">
        <v>694</v>
      </c>
      <c r="C348" t="s">
        <v>6</v>
      </c>
      <c r="D348">
        <v>347</v>
      </c>
      <c r="E348" t="s">
        <v>695</v>
      </c>
    </row>
    <row r="349" spans="1:5" x14ac:dyDescent="0.3">
      <c r="A349">
        <v>348</v>
      </c>
      <c r="B349" t="s">
        <v>696</v>
      </c>
      <c r="C349" t="s">
        <v>6</v>
      </c>
      <c r="D349">
        <v>348</v>
      </c>
      <c r="E349" t="s">
        <v>697</v>
      </c>
    </row>
    <row r="350" spans="1:5" x14ac:dyDescent="0.3">
      <c r="A350">
        <v>349</v>
      </c>
      <c r="B350" t="s">
        <v>698</v>
      </c>
      <c r="C350" t="s">
        <v>6</v>
      </c>
      <c r="D350">
        <v>349</v>
      </c>
      <c r="E350" t="s">
        <v>699</v>
      </c>
    </row>
    <row r="351" spans="1:5" x14ac:dyDescent="0.3">
      <c r="A351">
        <v>350</v>
      </c>
      <c r="B351" t="s">
        <v>700</v>
      </c>
      <c r="C351" t="s">
        <v>6</v>
      </c>
      <c r="D351">
        <v>350</v>
      </c>
      <c r="E351" t="s">
        <v>701</v>
      </c>
    </row>
    <row r="352" spans="1:5" x14ac:dyDescent="0.3">
      <c r="A352">
        <v>351</v>
      </c>
      <c r="B352" t="s">
        <v>702</v>
      </c>
      <c r="C352" t="s">
        <v>6</v>
      </c>
      <c r="D352">
        <v>351</v>
      </c>
      <c r="E352" t="s">
        <v>703</v>
      </c>
    </row>
    <row r="353" spans="1:5" x14ac:dyDescent="0.3">
      <c r="A353">
        <v>352</v>
      </c>
      <c r="B353" t="s">
        <v>704</v>
      </c>
      <c r="C353" t="s">
        <v>6</v>
      </c>
      <c r="D353">
        <v>352</v>
      </c>
      <c r="E353" t="s">
        <v>705</v>
      </c>
    </row>
    <row r="354" spans="1:5" x14ac:dyDescent="0.3">
      <c r="A354">
        <v>353</v>
      </c>
      <c r="B354" t="s">
        <v>706</v>
      </c>
      <c r="C354" t="s">
        <v>6</v>
      </c>
      <c r="D354">
        <v>353</v>
      </c>
      <c r="E354" t="s">
        <v>707</v>
      </c>
    </row>
    <row r="355" spans="1:5" x14ac:dyDescent="0.3">
      <c r="A355">
        <v>354</v>
      </c>
      <c r="B355" t="s">
        <v>708</v>
      </c>
      <c r="C355" t="s">
        <v>6</v>
      </c>
      <c r="D355">
        <v>354</v>
      </c>
      <c r="E355" t="s">
        <v>709</v>
      </c>
    </row>
    <row r="356" spans="1:5" x14ac:dyDescent="0.3">
      <c r="A356">
        <v>355</v>
      </c>
      <c r="B356" t="s">
        <v>710</v>
      </c>
      <c r="C356" t="s">
        <v>6</v>
      </c>
      <c r="D356">
        <v>355</v>
      </c>
      <c r="E356" t="s">
        <v>711</v>
      </c>
    </row>
    <row r="357" spans="1:5" x14ac:dyDescent="0.3">
      <c r="A357">
        <v>356</v>
      </c>
      <c r="B357" t="s">
        <v>712</v>
      </c>
      <c r="C357" t="s">
        <v>6</v>
      </c>
      <c r="D357">
        <v>356</v>
      </c>
      <c r="E357" t="s">
        <v>713</v>
      </c>
    </row>
    <row r="358" spans="1:5" x14ac:dyDescent="0.3">
      <c r="A358">
        <v>357</v>
      </c>
      <c r="B358" t="s">
        <v>714</v>
      </c>
      <c r="C358" t="s">
        <v>6</v>
      </c>
      <c r="D358">
        <v>357</v>
      </c>
      <c r="E358" t="s">
        <v>715</v>
      </c>
    </row>
    <row r="359" spans="1:5" x14ac:dyDescent="0.3">
      <c r="A359">
        <v>358</v>
      </c>
      <c r="B359" t="s">
        <v>716</v>
      </c>
      <c r="C359" t="s">
        <v>6</v>
      </c>
      <c r="D359">
        <v>358</v>
      </c>
      <c r="E359" t="s">
        <v>717</v>
      </c>
    </row>
    <row r="360" spans="1:5" x14ac:dyDescent="0.3">
      <c r="A360">
        <v>359</v>
      </c>
      <c r="B360" t="s">
        <v>718</v>
      </c>
      <c r="C360" t="s">
        <v>6</v>
      </c>
      <c r="D360">
        <v>359</v>
      </c>
      <c r="E360" t="s">
        <v>719</v>
      </c>
    </row>
    <row r="361" spans="1:5" x14ac:dyDescent="0.3">
      <c r="A361">
        <v>360</v>
      </c>
      <c r="B361" t="s">
        <v>720</v>
      </c>
      <c r="C361" t="s">
        <v>6</v>
      </c>
      <c r="D361">
        <v>360</v>
      </c>
      <c r="E361" t="s">
        <v>721</v>
      </c>
    </row>
    <row r="362" spans="1:5" x14ac:dyDescent="0.3">
      <c r="A362">
        <v>361</v>
      </c>
      <c r="B362" t="s">
        <v>722</v>
      </c>
      <c r="C362" t="s">
        <v>6</v>
      </c>
      <c r="D362">
        <v>361</v>
      </c>
      <c r="E362" t="s">
        <v>723</v>
      </c>
    </row>
    <row r="363" spans="1:5" x14ac:dyDescent="0.3">
      <c r="A363">
        <v>362</v>
      </c>
      <c r="B363" t="s">
        <v>724</v>
      </c>
      <c r="C363" t="s">
        <v>6</v>
      </c>
      <c r="D363">
        <v>362</v>
      </c>
      <c r="E363" t="s">
        <v>725</v>
      </c>
    </row>
    <row r="364" spans="1:5" x14ac:dyDescent="0.3">
      <c r="A364">
        <v>363</v>
      </c>
      <c r="B364" t="s">
        <v>726</v>
      </c>
      <c r="C364" t="s">
        <v>6</v>
      </c>
      <c r="D364">
        <v>363</v>
      </c>
      <c r="E364" t="s">
        <v>727</v>
      </c>
    </row>
    <row r="365" spans="1:5" x14ac:dyDescent="0.3">
      <c r="A365">
        <v>364</v>
      </c>
      <c r="B365" t="s">
        <v>728</v>
      </c>
      <c r="C365" t="s">
        <v>6</v>
      </c>
      <c r="D365">
        <v>364</v>
      </c>
      <c r="E365" t="s">
        <v>729</v>
      </c>
    </row>
    <row r="366" spans="1:5" x14ac:dyDescent="0.3">
      <c r="A366">
        <v>365</v>
      </c>
      <c r="B366" t="s">
        <v>730</v>
      </c>
      <c r="C366" t="s">
        <v>6</v>
      </c>
      <c r="D366">
        <v>365</v>
      </c>
      <c r="E366" t="s">
        <v>731</v>
      </c>
    </row>
    <row r="367" spans="1:5" x14ac:dyDescent="0.3">
      <c r="A367">
        <v>366</v>
      </c>
      <c r="B367" t="s">
        <v>732</v>
      </c>
      <c r="C367" t="s">
        <v>6</v>
      </c>
      <c r="D367">
        <v>366</v>
      </c>
      <c r="E367" t="s">
        <v>733</v>
      </c>
    </row>
    <row r="368" spans="1:5" x14ac:dyDescent="0.3">
      <c r="A368">
        <v>367</v>
      </c>
      <c r="B368" t="s">
        <v>734</v>
      </c>
      <c r="C368" t="s">
        <v>6</v>
      </c>
      <c r="D368">
        <v>367</v>
      </c>
      <c r="E368" t="s">
        <v>735</v>
      </c>
    </row>
    <row r="369" spans="1:5" x14ac:dyDescent="0.3">
      <c r="A369">
        <v>368</v>
      </c>
      <c r="B369" t="s">
        <v>736</v>
      </c>
      <c r="C369" t="s">
        <v>6</v>
      </c>
      <c r="D369">
        <v>368</v>
      </c>
      <c r="E369" t="s">
        <v>737</v>
      </c>
    </row>
    <row r="370" spans="1:5" x14ac:dyDescent="0.3">
      <c r="A370">
        <v>369</v>
      </c>
      <c r="B370" t="s">
        <v>738</v>
      </c>
      <c r="C370" t="s">
        <v>6</v>
      </c>
      <c r="D370">
        <v>369</v>
      </c>
      <c r="E370" t="s">
        <v>739</v>
      </c>
    </row>
    <row r="371" spans="1:5" x14ac:dyDescent="0.3">
      <c r="A371">
        <v>370</v>
      </c>
      <c r="B371" t="s">
        <v>740</v>
      </c>
      <c r="C371" t="s">
        <v>6</v>
      </c>
      <c r="D371">
        <v>370</v>
      </c>
      <c r="E371" t="s">
        <v>741</v>
      </c>
    </row>
    <row r="372" spans="1:5" x14ac:dyDescent="0.3">
      <c r="A372">
        <v>371</v>
      </c>
      <c r="B372" t="s">
        <v>742</v>
      </c>
      <c r="C372" t="s">
        <v>6</v>
      </c>
      <c r="D372">
        <v>371</v>
      </c>
      <c r="E372" t="s">
        <v>743</v>
      </c>
    </row>
    <row r="373" spans="1:5" x14ac:dyDescent="0.3">
      <c r="A373">
        <v>372</v>
      </c>
      <c r="B373" t="s">
        <v>744</v>
      </c>
      <c r="C373" t="s">
        <v>6</v>
      </c>
      <c r="D373">
        <v>372</v>
      </c>
      <c r="E373" t="s">
        <v>745</v>
      </c>
    </row>
    <row r="374" spans="1:5" x14ac:dyDescent="0.3">
      <c r="A374">
        <v>373</v>
      </c>
      <c r="B374" t="s">
        <v>746</v>
      </c>
      <c r="C374" t="s">
        <v>6</v>
      </c>
      <c r="D374">
        <v>373</v>
      </c>
      <c r="E374" t="s">
        <v>747</v>
      </c>
    </row>
    <row r="375" spans="1:5" x14ac:dyDescent="0.3">
      <c r="A375">
        <v>374</v>
      </c>
      <c r="B375" t="s">
        <v>748</v>
      </c>
      <c r="C375" t="s">
        <v>6</v>
      </c>
      <c r="D375">
        <v>374</v>
      </c>
      <c r="E375" t="s">
        <v>749</v>
      </c>
    </row>
    <row r="376" spans="1:5" x14ac:dyDescent="0.3">
      <c r="A376">
        <v>375</v>
      </c>
      <c r="B376" t="s">
        <v>750</v>
      </c>
      <c r="C376" t="s">
        <v>6</v>
      </c>
      <c r="D376">
        <v>375</v>
      </c>
      <c r="E376" t="s">
        <v>751</v>
      </c>
    </row>
    <row r="377" spans="1:5" x14ac:dyDescent="0.3">
      <c r="A377">
        <v>376</v>
      </c>
      <c r="B377" t="s">
        <v>752</v>
      </c>
      <c r="C377" t="s">
        <v>6</v>
      </c>
      <c r="D377">
        <v>376</v>
      </c>
      <c r="E377" t="s">
        <v>753</v>
      </c>
    </row>
    <row r="378" spans="1:5" x14ac:dyDescent="0.3">
      <c r="A378">
        <v>377</v>
      </c>
      <c r="B378" t="s">
        <v>754</v>
      </c>
      <c r="C378" t="s">
        <v>6</v>
      </c>
      <c r="D378">
        <v>377</v>
      </c>
      <c r="E378" t="s">
        <v>755</v>
      </c>
    </row>
    <row r="379" spans="1:5" x14ac:dyDescent="0.3">
      <c r="A379">
        <v>378</v>
      </c>
      <c r="B379" t="s">
        <v>756</v>
      </c>
      <c r="C379" t="s">
        <v>6</v>
      </c>
      <c r="D379">
        <v>378</v>
      </c>
      <c r="E379" t="s">
        <v>757</v>
      </c>
    </row>
    <row r="380" spans="1:5" x14ac:dyDescent="0.3">
      <c r="A380">
        <v>379</v>
      </c>
      <c r="B380" t="s">
        <v>758</v>
      </c>
      <c r="C380" t="s">
        <v>6</v>
      </c>
      <c r="D380">
        <v>379</v>
      </c>
      <c r="E380" t="s">
        <v>759</v>
      </c>
    </row>
    <row r="381" spans="1:5" x14ac:dyDescent="0.3">
      <c r="A381">
        <v>380</v>
      </c>
      <c r="B381" t="s">
        <v>760</v>
      </c>
      <c r="C381" t="s">
        <v>6</v>
      </c>
      <c r="D381">
        <v>380</v>
      </c>
      <c r="E381" t="s">
        <v>761</v>
      </c>
    </row>
    <row r="382" spans="1:5" x14ac:dyDescent="0.3">
      <c r="A382">
        <v>381</v>
      </c>
      <c r="B382" t="s">
        <v>762</v>
      </c>
      <c r="C382" t="s">
        <v>6</v>
      </c>
      <c r="D382">
        <v>381</v>
      </c>
      <c r="E382" t="s">
        <v>763</v>
      </c>
    </row>
    <row r="383" spans="1:5" x14ac:dyDescent="0.3">
      <c r="A383">
        <v>382</v>
      </c>
      <c r="B383" t="s">
        <v>764</v>
      </c>
      <c r="C383" t="s">
        <v>6</v>
      </c>
      <c r="D383">
        <v>382</v>
      </c>
      <c r="E383" t="s">
        <v>765</v>
      </c>
    </row>
    <row r="384" spans="1:5" x14ac:dyDescent="0.3">
      <c r="A384">
        <v>383</v>
      </c>
      <c r="B384" t="s">
        <v>766</v>
      </c>
      <c r="C384" t="s">
        <v>6</v>
      </c>
      <c r="D384">
        <v>383</v>
      </c>
      <c r="E384" t="s">
        <v>767</v>
      </c>
    </row>
    <row r="385" spans="1:5" x14ac:dyDescent="0.3">
      <c r="A385">
        <v>384</v>
      </c>
      <c r="B385" t="s">
        <v>768</v>
      </c>
      <c r="C385" t="s">
        <v>6</v>
      </c>
      <c r="D385">
        <v>384</v>
      </c>
      <c r="E385" t="s">
        <v>769</v>
      </c>
    </row>
    <row r="386" spans="1:5" x14ac:dyDescent="0.3">
      <c r="A386">
        <v>385</v>
      </c>
      <c r="B386" t="s">
        <v>770</v>
      </c>
      <c r="C386" t="s">
        <v>6</v>
      </c>
      <c r="D386">
        <v>385</v>
      </c>
      <c r="E386" t="s">
        <v>771</v>
      </c>
    </row>
    <row r="387" spans="1:5" x14ac:dyDescent="0.3">
      <c r="A387">
        <v>386</v>
      </c>
      <c r="B387" t="s">
        <v>772</v>
      </c>
      <c r="C387" t="s">
        <v>6</v>
      </c>
      <c r="D387">
        <v>386</v>
      </c>
      <c r="E387" t="s">
        <v>773</v>
      </c>
    </row>
    <row r="388" spans="1:5" x14ac:dyDescent="0.3">
      <c r="A388">
        <v>387</v>
      </c>
      <c r="B388" t="s">
        <v>774</v>
      </c>
      <c r="C388" t="s">
        <v>6</v>
      </c>
      <c r="D388">
        <v>387</v>
      </c>
      <c r="E388" t="s">
        <v>775</v>
      </c>
    </row>
    <row r="389" spans="1:5" x14ac:dyDescent="0.3">
      <c r="A389">
        <v>388</v>
      </c>
      <c r="B389" t="s">
        <v>776</v>
      </c>
      <c r="C389" t="s">
        <v>6</v>
      </c>
      <c r="D389">
        <v>388</v>
      </c>
      <c r="E389" t="s">
        <v>777</v>
      </c>
    </row>
    <row r="390" spans="1:5" x14ac:dyDescent="0.3">
      <c r="A390">
        <v>389</v>
      </c>
      <c r="B390" t="s">
        <v>778</v>
      </c>
      <c r="C390" t="s">
        <v>6</v>
      </c>
      <c r="D390">
        <v>389</v>
      </c>
      <c r="E390" t="s">
        <v>779</v>
      </c>
    </row>
    <row r="391" spans="1:5" x14ac:dyDescent="0.3">
      <c r="A391">
        <v>390</v>
      </c>
      <c r="B391" t="s">
        <v>780</v>
      </c>
      <c r="C391" t="s">
        <v>6</v>
      </c>
      <c r="D391">
        <v>390</v>
      </c>
      <c r="E391" t="s">
        <v>781</v>
      </c>
    </row>
    <row r="392" spans="1:5" x14ac:dyDescent="0.3">
      <c r="A392">
        <v>391</v>
      </c>
      <c r="B392" t="s">
        <v>782</v>
      </c>
      <c r="C392" t="s">
        <v>6</v>
      </c>
      <c r="D392">
        <v>391</v>
      </c>
      <c r="E392" t="s">
        <v>783</v>
      </c>
    </row>
    <row r="393" spans="1:5" x14ac:dyDescent="0.3">
      <c r="A393">
        <v>392</v>
      </c>
      <c r="B393" t="s">
        <v>784</v>
      </c>
      <c r="C393" t="s">
        <v>6</v>
      </c>
      <c r="D393">
        <v>392</v>
      </c>
      <c r="E393" t="s">
        <v>785</v>
      </c>
    </row>
    <row r="394" spans="1:5" x14ac:dyDescent="0.3">
      <c r="A394">
        <v>393</v>
      </c>
      <c r="B394" t="s">
        <v>786</v>
      </c>
      <c r="C394" t="s">
        <v>6</v>
      </c>
      <c r="D394">
        <v>393</v>
      </c>
      <c r="E394" t="s">
        <v>787</v>
      </c>
    </row>
    <row r="395" spans="1:5" x14ac:dyDescent="0.3">
      <c r="A395">
        <v>394</v>
      </c>
      <c r="B395" t="s">
        <v>788</v>
      </c>
      <c r="C395" t="s">
        <v>6</v>
      </c>
      <c r="D395">
        <v>394</v>
      </c>
      <c r="E395" t="s">
        <v>789</v>
      </c>
    </row>
    <row r="396" spans="1:5" x14ac:dyDescent="0.3">
      <c r="A396">
        <v>395</v>
      </c>
      <c r="B396" t="s">
        <v>790</v>
      </c>
      <c r="C396" t="s">
        <v>6</v>
      </c>
      <c r="D396">
        <v>395</v>
      </c>
      <c r="E396" t="s">
        <v>791</v>
      </c>
    </row>
    <row r="397" spans="1:5" x14ac:dyDescent="0.3">
      <c r="A397">
        <v>396</v>
      </c>
      <c r="B397" t="s">
        <v>792</v>
      </c>
      <c r="C397" t="s">
        <v>6</v>
      </c>
      <c r="D397">
        <v>396</v>
      </c>
      <c r="E397" t="s">
        <v>793</v>
      </c>
    </row>
    <row r="398" spans="1:5" x14ac:dyDescent="0.3">
      <c r="A398">
        <v>397</v>
      </c>
      <c r="B398" t="s">
        <v>794</v>
      </c>
      <c r="C398" t="s">
        <v>6</v>
      </c>
      <c r="D398">
        <v>397</v>
      </c>
      <c r="E398" t="s">
        <v>795</v>
      </c>
    </row>
    <row r="399" spans="1:5" x14ac:dyDescent="0.3">
      <c r="A399">
        <v>398</v>
      </c>
      <c r="B399" t="s">
        <v>796</v>
      </c>
      <c r="C399" t="s">
        <v>6</v>
      </c>
      <c r="D399">
        <v>398</v>
      </c>
      <c r="E399" t="s">
        <v>797</v>
      </c>
    </row>
    <row r="400" spans="1:5" x14ac:dyDescent="0.3">
      <c r="A400">
        <v>399</v>
      </c>
      <c r="B400" t="s">
        <v>798</v>
      </c>
      <c r="C400" t="s">
        <v>6</v>
      </c>
      <c r="D400">
        <v>399</v>
      </c>
      <c r="E400" t="s">
        <v>799</v>
      </c>
    </row>
    <row r="401" spans="1:5" x14ac:dyDescent="0.3">
      <c r="A401">
        <v>400</v>
      </c>
      <c r="B401" t="s">
        <v>800</v>
      </c>
      <c r="C401" t="s">
        <v>6</v>
      </c>
      <c r="D401">
        <v>400</v>
      </c>
      <c r="E401" t="s">
        <v>801</v>
      </c>
    </row>
    <row r="402" spans="1:5" x14ac:dyDescent="0.3">
      <c r="A402">
        <v>401</v>
      </c>
      <c r="B402" t="s">
        <v>802</v>
      </c>
      <c r="C402" t="s">
        <v>6</v>
      </c>
      <c r="D402">
        <v>401</v>
      </c>
      <c r="E402" t="s">
        <v>803</v>
      </c>
    </row>
    <row r="403" spans="1:5" x14ac:dyDescent="0.3">
      <c r="A403">
        <v>402</v>
      </c>
      <c r="B403" t="s">
        <v>804</v>
      </c>
      <c r="C403" t="s">
        <v>6</v>
      </c>
      <c r="D403">
        <v>402</v>
      </c>
      <c r="E403" t="s">
        <v>805</v>
      </c>
    </row>
    <row r="404" spans="1:5" x14ac:dyDescent="0.3">
      <c r="A404">
        <v>403</v>
      </c>
      <c r="B404" t="s">
        <v>806</v>
      </c>
      <c r="C404" t="s">
        <v>6</v>
      </c>
      <c r="D404">
        <v>403</v>
      </c>
      <c r="E404" t="s">
        <v>807</v>
      </c>
    </row>
    <row r="405" spans="1:5" x14ac:dyDescent="0.3">
      <c r="A405">
        <v>404</v>
      </c>
      <c r="B405" t="s">
        <v>808</v>
      </c>
      <c r="C405" t="s">
        <v>6</v>
      </c>
      <c r="D405">
        <v>404</v>
      </c>
      <c r="E405" t="s">
        <v>809</v>
      </c>
    </row>
    <row r="406" spans="1:5" x14ac:dyDescent="0.3">
      <c r="A406">
        <v>405</v>
      </c>
      <c r="B406" t="s">
        <v>810</v>
      </c>
      <c r="C406" t="s">
        <v>6</v>
      </c>
      <c r="D406">
        <v>405</v>
      </c>
      <c r="E406" t="s">
        <v>811</v>
      </c>
    </row>
    <row r="407" spans="1:5" x14ac:dyDescent="0.3">
      <c r="A407">
        <v>406</v>
      </c>
      <c r="B407" t="s">
        <v>812</v>
      </c>
      <c r="C407" t="s">
        <v>6</v>
      </c>
      <c r="D407">
        <v>406</v>
      </c>
      <c r="E407" t="s">
        <v>813</v>
      </c>
    </row>
    <row r="408" spans="1:5" x14ac:dyDescent="0.3">
      <c r="A408">
        <v>407</v>
      </c>
      <c r="B408" t="s">
        <v>814</v>
      </c>
      <c r="C408" t="s">
        <v>6</v>
      </c>
      <c r="D408">
        <v>407</v>
      </c>
      <c r="E408" t="s">
        <v>815</v>
      </c>
    </row>
    <row r="409" spans="1:5" x14ac:dyDescent="0.3">
      <c r="A409">
        <v>408</v>
      </c>
      <c r="B409" t="s">
        <v>816</v>
      </c>
      <c r="C409" t="s">
        <v>6</v>
      </c>
      <c r="D409">
        <v>408</v>
      </c>
      <c r="E409" t="s">
        <v>817</v>
      </c>
    </row>
    <row r="410" spans="1:5" x14ac:dyDescent="0.3">
      <c r="A410">
        <v>409</v>
      </c>
      <c r="B410" t="s">
        <v>818</v>
      </c>
      <c r="C410" t="s">
        <v>6</v>
      </c>
      <c r="D410">
        <v>409</v>
      </c>
      <c r="E410" t="s">
        <v>819</v>
      </c>
    </row>
    <row r="411" spans="1:5" x14ac:dyDescent="0.3">
      <c r="A411">
        <v>410</v>
      </c>
      <c r="B411" t="s">
        <v>820</v>
      </c>
      <c r="C411" t="s">
        <v>6</v>
      </c>
      <c r="D411">
        <v>410</v>
      </c>
      <c r="E411" t="s">
        <v>821</v>
      </c>
    </row>
    <row r="412" spans="1:5" x14ac:dyDescent="0.3">
      <c r="A412">
        <v>411</v>
      </c>
      <c r="B412" t="s">
        <v>822</v>
      </c>
      <c r="C412" t="s">
        <v>6</v>
      </c>
      <c r="D412">
        <v>411</v>
      </c>
      <c r="E412" t="s">
        <v>823</v>
      </c>
    </row>
    <row r="413" spans="1:5" x14ac:dyDescent="0.3">
      <c r="A413">
        <v>412</v>
      </c>
      <c r="B413" t="s">
        <v>824</v>
      </c>
      <c r="C413" t="s">
        <v>6</v>
      </c>
      <c r="D413">
        <v>412</v>
      </c>
      <c r="E413" t="s">
        <v>825</v>
      </c>
    </row>
    <row r="414" spans="1:5" x14ac:dyDescent="0.3">
      <c r="A414">
        <v>413</v>
      </c>
      <c r="B414" t="s">
        <v>826</v>
      </c>
      <c r="C414" t="s">
        <v>6</v>
      </c>
      <c r="D414">
        <v>413</v>
      </c>
      <c r="E414" t="s">
        <v>827</v>
      </c>
    </row>
    <row r="415" spans="1:5" x14ac:dyDescent="0.3">
      <c r="A415">
        <v>414</v>
      </c>
      <c r="B415" t="s">
        <v>828</v>
      </c>
      <c r="C415" t="s">
        <v>6</v>
      </c>
      <c r="D415">
        <v>414</v>
      </c>
      <c r="E415" t="s">
        <v>829</v>
      </c>
    </row>
    <row r="416" spans="1:5" x14ac:dyDescent="0.3">
      <c r="A416">
        <v>415</v>
      </c>
      <c r="B416" t="s">
        <v>830</v>
      </c>
      <c r="C416" t="s">
        <v>6</v>
      </c>
      <c r="D416">
        <v>415</v>
      </c>
      <c r="E416" t="s">
        <v>831</v>
      </c>
    </row>
    <row r="417" spans="1:5" x14ac:dyDescent="0.3">
      <c r="A417">
        <v>416</v>
      </c>
      <c r="B417" t="s">
        <v>832</v>
      </c>
      <c r="C417" t="s">
        <v>6</v>
      </c>
      <c r="D417">
        <v>416</v>
      </c>
      <c r="E417" t="s">
        <v>833</v>
      </c>
    </row>
    <row r="418" spans="1:5" x14ac:dyDescent="0.3">
      <c r="A418">
        <v>417</v>
      </c>
      <c r="B418" t="s">
        <v>834</v>
      </c>
      <c r="C418" t="s">
        <v>6</v>
      </c>
      <c r="D418">
        <v>417</v>
      </c>
      <c r="E418" t="s">
        <v>835</v>
      </c>
    </row>
    <row r="419" spans="1:5" x14ac:dyDescent="0.3">
      <c r="A419">
        <v>418</v>
      </c>
      <c r="B419" t="s">
        <v>836</v>
      </c>
      <c r="C419" t="s">
        <v>6</v>
      </c>
      <c r="D419">
        <v>418</v>
      </c>
      <c r="E419" t="s">
        <v>837</v>
      </c>
    </row>
    <row r="420" spans="1:5" x14ac:dyDescent="0.3">
      <c r="A420">
        <v>419</v>
      </c>
      <c r="B420" t="s">
        <v>838</v>
      </c>
      <c r="C420" t="s">
        <v>6</v>
      </c>
      <c r="D420">
        <v>419</v>
      </c>
      <c r="E420" t="s">
        <v>839</v>
      </c>
    </row>
    <row r="421" spans="1:5" x14ac:dyDescent="0.3">
      <c r="A421">
        <v>420</v>
      </c>
      <c r="B421" t="s">
        <v>840</v>
      </c>
      <c r="C421" t="s">
        <v>6</v>
      </c>
      <c r="D421">
        <v>420</v>
      </c>
      <c r="E421" t="s">
        <v>841</v>
      </c>
    </row>
    <row r="422" spans="1:5" x14ac:dyDescent="0.3">
      <c r="A422">
        <v>421</v>
      </c>
      <c r="B422" t="s">
        <v>842</v>
      </c>
      <c r="C422" t="s">
        <v>6</v>
      </c>
      <c r="D422">
        <v>421</v>
      </c>
      <c r="E422" t="s">
        <v>843</v>
      </c>
    </row>
    <row r="423" spans="1:5" x14ac:dyDescent="0.3">
      <c r="A423">
        <v>422</v>
      </c>
      <c r="B423" t="s">
        <v>844</v>
      </c>
      <c r="C423" t="s">
        <v>6</v>
      </c>
      <c r="D423">
        <v>422</v>
      </c>
      <c r="E423" t="s">
        <v>845</v>
      </c>
    </row>
    <row r="424" spans="1:5" x14ac:dyDescent="0.3">
      <c r="A424">
        <v>423</v>
      </c>
      <c r="B424" t="s">
        <v>846</v>
      </c>
      <c r="C424" t="s">
        <v>6</v>
      </c>
      <c r="D424">
        <v>423</v>
      </c>
      <c r="E424" t="s">
        <v>847</v>
      </c>
    </row>
    <row r="425" spans="1:5" x14ac:dyDescent="0.3">
      <c r="A425">
        <v>424</v>
      </c>
      <c r="B425" t="s">
        <v>848</v>
      </c>
      <c r="C425" t="s">
        <v>6</v>
      </c>
      <c r="D425">
        <v>424</v>
      </c>
      <c r="E425" t="s">
        <v>849</v>
      </c>
    </row>
    <row r="426" spans="1:5" x14ac:dyDescent="0.3">
      <c r="A426">
        <v>425</v>
      </c>
      <c r="B426" t="s">
        <v>850</v>
      </c>
      <c r="C426" t="s">
        <v>6</v>
      </c>
      <c r="D426">
        <v>425</v>
      </c>
      <c r="E426" t="s">
        <v>851</v>
      </c>
    </row>
    <row r="427" spans="1:5" x14ac:dyDescent="0.3">
      <c r="A427">
        <v>426</v>
      </c>
      <c r="B427" t="s">
        <v>852</v>
      </c>
      <c r="C427" t="s">
        <v>6</v>
      </c>
      <c r="D427">
        <v>426</v>
      </c>
      <c r="E427" t="s">
        <v>853</v>
      </c>
    </row>
    <row r="428" spans="1:5" x14ac:dyDescent="0.3">
      <c r="A428">
        <v>427</v>
      </c>
      <c r="B428" t="s">
        <v>854</v>
      </c>
      <c r="C428" t="s">
        <v>6</v>
      </c>
      <c r="D428">
        <v>427</v>
      </c>
      <c r="E428" t="s">
        <v>855</v>
      </c>
    </row>
    <row r="429" spans="1:5" x14ac:dyDescent="0.3">
      <c r="A429">
        <v>428</v>
      </c>
      <c r="B429" t="s">
        <v>856</v>
      </c>
      <c r="C429" t="s">
        <v>6</v>
      </c>
      <c r="D429">
        <v>428</v>
      </c>
      <c r="E429" t="s">
        <v>857</v>
      </c>
    </row>
    <row r="430" spans="1:5" x14ac:dyDescent="0.3">
      <c r="A430">
        <v>429</v>
      </c>
      <c r="B430" t="s">
        <v>858</v>
      </c>
      <c r="C430" t="s">
        <v>6</v>
      </c>
      <c r="D430">
        <v>429</v>
      </c>
      <c r="E430" t="s">
        <v>859</v>
      </c>
    </row>
    <row r="431" spans="1:5" x14ac:dyDescent="0.3">
      <c r="A431">
        <v>430</v>
      </c>
      <c r="B431" t="s">
        <v>860</v>
      </c>
      <c r="C431" t="s">
        <v>6</v>
      </c>
      <c r="D431">
        <v>430</v>
      </c>
      <c r="E431" t="s">
        <v>861</v>
      </c>
    </row>
    <row r="432" spans="1:5" x14ac:dyDescent="0.3">
      <c r="A432">
        <v>431</v>
      </c>
      <c r="B432" t="s">
        <v>862</v>
      </c>
      <c r="C432" t="s">
        <v>6</v>
      </c>
      <c r="D432">
        <v>431</v>
      </c>
      <c r="E432" t="s">
        <v>863</v>
      </c>
    </row>
    <row r="433" spans="1:5" x14ac:dyDescent="0.3">
      <c r="A433">
        <v>432</v>
      </c>
      <c r="B433" t="s">
        <v>864</v>
      </c>
      <c r="C433" t="s">
        <v>6</v>
      </c>
      <c r="D433">
        <v>432</v>
      </c>
      <c r="E433" t="s">
        <v>865</v>
      </c>
    </row>
    <row r="434" spans="1:5" x14ac:dyDescent="0.3">
      <c r="A434">
        <v>433</v>
      </c>
      <c r="B434" t="s">
        <v>866</v>
      </c>
      <c r="C434" t="s">
        <v>6</v>
      </c>
      <c r="D434">
        <v>433</v>
      </c>
      <c r="E434" t="s">
        <v>867</v>
      </c>
    </row>
    <row r="435" spans="1:5" x14ac:dyDescent="0.3">
      <c r="A435">
        <v>434</v>
      </c>
      <c r="B435" t="s">
        <v>868</v>
      </c>
      <c r="C435" t="s">
        <v>6</v>
      </c>
      <c r="D435">
        <v>434</v>
      </c>
      <c r="E435" t="s">
        <v>869</v>
      </c>
    </row>
    <row r="436" spans="1:5" x14ac:dyDescent="0.3">
      <c r="A436">
        <v>435</v>
      </c>
      <c r="B436" t="s">
        <v>870</v>
      </c>
      <c r="C436" t="s">
        <v>6</v>
      </c>
      <c r="D436">
        <v>435</v>
      </c>
      <c r="E436" t="s">
        <v>871</v>
      </c>
    </row>
    <row r="437" spans="1:5" x14ac:dyDescent="0.3">
      <c r="A437">
        <v>436</v>
      </c>
      <c r="B437" t="s">
        <v>872</v>
      </c>
      <c r="C437" t="s">
        <v>6</v>
      </c>
      <c r="D437">
        <v>436</v>
      </c>
      <c r="E437" t="s">
        <v>873</v>
      </c>
    </row>
    <row r="438" spans="1:5" x14ac:dyDescent="0.3">
      <c r="A438">
        <v>437</v>
      </c>
      <c r="B438" t="s">
        <v>874</v>
      </c>
      <c r="C438" t="s">
        <v>6</v>
      </c>
      <c r="D438">
        <v>437</v>
      </c>
      <c r="E438" t="s">
        <v>875</v>
      </c>
    </row>
    <row r="439" spans="1:5" x14ac:dyDescent="0.3">
      <c r="A439">
        <v>438</v>
      </c>
      <c r="B439" t="s">
        <v>876</v>
      </c>
      <c r="C439" t="s">
        <v>6</v>
      </c>
      <c r="D439">
        <v>438</v>
      </c>
      <c r="E439" t="s">
        <v>877</v>
      </c>
    </row>
    <row r="440" spans="1:5" x14ac:dyDescent="0.3">
      <c r="A440">
        <v>439</v>
      </c>
      <c r="B440" t="s">
        <v>878</v>
      </c>
      <c r="C440" t="s">
        <v>6</v>
      </c>
      <c r="D440">
        <v>439</v>
      </c>
      <c r="E440" t="s">
        <v>879</v>
      </c>
    </row>
    <row r="441" spans="1:5" x14ac:dyDescent="0.3">
      <c r="A441">
        <v>440</v>
      </c>
      <c r="B441" t="s">
        <v>880</v>
      </c>
      <c r="C441" t="s">
        <v>6</v>
      </c>
      <c r="D441">
        <v>440</v>
      </c>
      <c r="E441" t="s">
        <v>881</v>
      </c>
    </row>
    <row r="442" spans="1:5" x14ac:dyDescent="0.3">
      <c r="A442">
        <v>441</v>
      </c>
      <c r="B442" t="s">
        <v>882</v>
      </c>
      <c r="C442" t="s">
        <v>6</v>
      </c>
      <c r="D442">
        <v>441</v>
      </c>
      <c r="E442" t="s">
        <v>883</v>
      </c>
    </row>
    <row r="443" spans="1:5" x14ac:dyDescent="0.3">
      <c r="A443">
        <v>442</v>
      </c>
      <c r="B443" t="s">
        <v>884</v>
      </c>
      <c r="C443" t="s">
        <v>6</v>
      </c>
      <c r="D443">
        <v>442</v>
      </c>
      <c r="E443" t="s">
        <v>885</v>
      </c>
    </row>
    <row r="444" spans="1:5" x14ac:dyDescent="0.3">
      <c r="A444">
        <v>443</v>
      </c>
      <c r="B444" t="s">
        <v>886</v>
      </c>
      <c r="C444" t="s">
        <v>6</v>
      </c>
      <c r="D444">
        <v>443</v>
      </c>
      <c r="E444" t="s">
        <v>887</v>
      </c>
    </row>
    <row r="445" spans="1:5" x14ac:dyDescent="0.3">
      <c r="A445">
        <v>444</v>
      </c>
      <c r="B445" t="s">
        <v>888</v>
      </c>
      <c r="C445" t="s">
        <v>6</v>
      </c>
      <c r="D445">
        <v>444</v>
      </c>
      <c r="E445" t="s">
        <v>889</v>
      </c>
    </row>
    <row r="446" spans="1:5" x14ac:dyDescent="0.3">
      <c r="A446">
        <v>445</v>
      </c>
      <c r="B446" t="s">
        <v>890</v>
      </c>
      <c r="C446" t="s">
        <v>6</v>
      </c>
      <c r="D446">
        <v>445</v>
      </c>
      <c r="E446" t="s">
        <v>891</v>
      </c>
    </row>
    <row r="447" spans="1:5" x14ac:dyDescent="0.3">
      <c r="A447">
        <v>446</v>
      </c>
      <c r="B447" t="s">
        <v>892</v>
      </c>
      <c r="C447" t="s">
        <v>6</v>
      </c>
      <c r="D447">
        <v>446</v>
      </c>
      <c r="E447" t="s">
        <v>893</v>
      </c>
    </row>
    <row r="448" spans="1:5" x14ac:dyDescent="0.3">
      <c r="A448">
        <v>447</v>
      </c>
      <c r="B448" t="s">
        <v>894</v>
      </c>
      <c r="C448" t="s">
        <v>6</v>
      </c>
      <c r="D448">
        <v>447</v>
      </c>
      <c r="E448" t="s">
        <v>895</v>
      </c>
    </row>
    <row r="449" spans="1:5" x14ac:dyDescent="0.3">
      <c r="A449">
        <v>448</v>
      </c>
      <c r="B449" t="s">
        <v>896</v>
      </c>
      <c r="C449" t="s">
        <v>6</v>
      </c>
      <c r="D449">
        <v>448</v>
      </c>
      <c r="E449" t="s">
        <v>897</v>
      </c>
    </row>
    <row r="450" spans="1:5" x14ac:dyDescent="0.3">
      <c r="A450">
        <v>449</v>
      </c>
      <c r="B450" t="s">
        <v>898</v>
      </c>
      <c r="C450" t="s">
        <v>6</v>
      </c>
      <c r="D450">
        <v>449</v>
      </c>
      <c r="E450" t="s">
        <v>899</v>
      </c>
    </row>
    <row r="451" spans="1:5" x14ac:dyDescent="0.3">
      <c r="A451">
        <v>450</v>
      </c>
      <c r="B451" t="s">
        <v>900</v>
      </c>
      <c r="C451" t="s">
        <v>6</v>
      </c>
      <c r="D451">
        <v>450</v>
      </c>
      <c r="E451" t="s">
        <v>901</v>
      </c>
    </row>
    <row r="452" spans="1:5" x14ac:dyDescent="0.3">
      <c r="A452">
        <v>451</v>
      </c>
      <c r="B452" t="s">
        <v>902</v>
      </c>
      <c r="C452" t="s">
        <v>6</v>
      </c>
      <c r="D452">
        <v>451</v>
      </c>
      <c r="E452" t="s">
        <v>903</v>
      </c>
    </row>
    <row r="453" spans="1:5" x14ac:dyDescent="0.3">
      <c r="A453">
        <v>452</v>
      </c>
      <c r="B453" t="s">
        <v>904</v>
      </c>
      <c r="C453" t="s">
        <v>6</v>
      </c>
      <c r="D453">
        <v>452</v>
      </c>
      <c r="E453" t="s">
        <v>905</v>
      </c>
    </row>
    <row r="454" spans="1:5" x14ac:dyDescent="0.3">
      <c r="A454">
        <v>453</v>
      </c>
      <c r="B454" t="s">
        <v>906</v>
      </c>
      <c r="C454" t="s">
        <v>6</v>
      </c>
      <c r="D454">
        <v>453</v>
      </c>
      <c r="E454" t="s">
        <v>907</v>
      </c>
    </row>
    <row r="455" spans="1:5" x14ac:dyDescent="0.3">
      <c r="A455">
        <v>454</v>
      </c>
      <c r="B455" t="s">
        <v>908</v>
      </c>
      <c r="C455" t="s">
        <v>6</v>
      </c>
      <c r="D455">
        <v>454</v>
      </c>
      <c r="E455" t="s">
        <v>909</v>
      </c>
    </row>
    <row r="456" spans="1:5" x14ac:dyDescent="0.3">
      <c r="A456">
        <v>455</v>
      </c>
      <c r="B456" t="s">
        <v>910</v>
      </c>
      <c r="C456" t="s">
        <v>6</v>
      </c>
      <c r="D456">
        <v>455</v>
      </c>
      <c r="E456" t="s">
        <v>911</v>
      </c>
    </row>
    <row r="457" spans="1:5" x14ac:dyDescent="0.3">
      <c r="A457">
        <v>456</v>
      </c>
      <c r="B457" t="s">
        <v>912</v>
      </c>
      <c r="C457" t="s">
        <v>6</v>
      </c>
      <c r="D457">
        <v>456</v>
      </c>
      <c r="E457" t="s">
        <v>913</v>
      </c>
    </row>
    <row r="458" spans="1:5" x14ac:dyDescent="0.3">
      <c r="A458">
        <v>457</v>
      </c>
      <c r="B458" t="s">
        <v>914</v>
      </c>
      <c r="C458" t="s">
        <v>6</v>
      </c>
      <c r="D458">
        <v>457</v>
      </c>
      <c r="E458" t="s">
        <v>915</v>
      </c>
    </row>
    <row r="459" spans="1:5" x14ac:dyDescent="0.3">
      <c r="A459">
        <v>458</v>
      </c>
      <c r="B459" t="s">
        <v>916</v>
      </c>
      <c r="C459" t="s">
        <v>6</v>
      </c>
      <c r="D459">
        <v>458</v>
      </c>
      <c r="E459" t="s">
        <v>917</v>
      </c>
    </row>
    <row r="460" spans="1:5" x14ac:dyDescent="0.3">
      <c r="A460">
        <v>459</v>
      </c>
      <c r="B460" t="s">
        <v>918</v>
      </c>
      <c r="C460" t="s">
        <v>6</v>
      </c>
      <c r="D460">
        <v>459</v>
      </c>
      <c r="E460" t="s">
        <v>919</v>
      </c>
    </row>
    <row r="461" spans="1:5" x14ac:dyDescent="0.3">
      <c r="A461">
        <v>460</v>
      </c>
      <c r="B461" t="s">
        <v>920</v>
      </c>
      <c r="C461" t="s">
        <v>6</v>
      </c>
      <c r="D461">
        <v>460</v>
      </c>
      <c r="E461" t="s">
        <v>921</v>
      </c>
    </row>
    <row r="462" spans="1:5" x14ac:dyDescent="0.3">
      <c r="A462">
        <v>461</v>
      </c>
      <c r="B462" t="s">
        <v>922</v>
      </c>
      <c r="C462" t="s">
        <v>6</v>
      </c>
      <c r="D462">
        <v>461</v>
      </c>
      <c r="E462" t="s">
        <v>923</v>
      </c>
    </row>
    <row r="463" spans="1:5" x14ac:dyDescent="0.3">
      <c r="A463">
        <v>462</v>
      </c>
      <c r="B463" t="s">
        <v>924</v>
      </c>
      <c r="C463" t="s">
        <v>6</v>
      </c>
      <c r="D463">
        <v>462</v>
      </c>
      <c r="E463" t="s">
        <v>925</v>
      </c>
    </row>
    <row r="464" spans="1:5" x14ac:dyDescent="0.3">
      <c r="A464">
        <v>463</v>
      </c>
      <c r="B464" t="s">
        <v>926</v>
      </c>
      <c r="C464" t="s">
        <v>6</v>
      </c>
      <c r="D464">
        <v>463</v>
      </c>
      <c r="E464" t="s">
        <v>927</v>
      </c>
    </row>
    <row r="465" spans="1:5" x14ac:dyDescent="0.3">
      <c r="A465">
        <v>464</v>
      </c>
      <c r="B465" t="s">
        <v>928</v>
      </c>
      <c r="C465" t="s">
        <v>6</v>
      </c>
      <c r="D465">
        <v>464</v>
      </c>
      <c r="E465" t="s">
        <v>929</v>
      </c>
    </row>
    <row r="466" spans="1:5" x14ac:dyDescent="0.3">
      <c r="A466">
        <v>465</v>
      </c>
      <c r="B466" t="s">
        <v>930</v>
      </c>
      <c r="C466" t="s">
        <v>6</v>
      </c>
      <c r="D466">
        <v>465</v>
      </c>
      <c r="E466" t="s">
        <v>931</v>
      </c>
    </row>
    <row r="467" spans="1:5" x14ac:dyDescent="0.3">
      <c r="A467">
        <v>466</v>
      </c>
      <c r="B467" t="s">
        <v>932</v>
      </c>
      <c r="C467" t="s">
        <v>6</v>
      </c>
      <c r="D467">
        <v>466</v>
      </c>
      <c r="E467" t="s">
        <v>933</v>
      </c>
    </row>
    <row r="468" spans="1:5" x14ac:dyDescent="0.3">
      <c r="A468">
        <v>467</v>
      </c>
      <c r="B468" t="s">
        <v>934</v>
      </c>
      <c r="C468" t="s">
        <v>6</v>
      </c>
      <c r="D468">
        <v>467</v>
      </c>
      <c r="E468" t="s">
        <v>935</v>
      </c>
    </row>
    <row r="469" spans="1:5" x14ac:dyDescent="0.3">
      <c r="A469">
        <v>468</v>
      </c>
      <c r="B469" t="s">
        <v>936</v>
      </c>
      <c r="C469" t="s">
        <v>6</v>
      </c>
      <c r="D469">
        <v>468</v>
      </c>
      <c r="E469" t="s">
        <v>937</v>
      </c>
    </row>
    <row r="470" spans="1:5" x14ac:dyDescent="0.3">
      <c r="A470">
        <v>469</v>
      </c>
      <c r="B470" t="s">
        <v>938</v>
      </c>
      <c r="C470" t="s">
        <v>6</v>
      </c>
      <c r="D470">
        <v>469</v>
      </c>
      <c r="E470" t="s">
        <v>939</v>
      </c>
    </row>
    <row r="471" spans="1:5" x14ac:dyDescent="0.3">
      <c r="A471">
        <v>470</v>
      </c>
      <c r="B471" t="s">
        <v>940</v>
      </c>
      <c r="C471" t="s">
        <v>6</v>
      </c>
      <c r="D471">
        <v>470</v>
      </c>
      <c r="E471" t="s">
        <v>941</v>
      </c>
    </row>
    <row r="472" spans="1:5" x14ac:dyDescent="0.3">
      <c r="A472">
        <v>471</v>
      </c>
      <c r="B472" t="s">
        <v>942</v>
      </c>
      <c r="C472" t="s">
        <v>6</v>
      </c>
      <c r="D472">
        <v>471</v>
      </c>
      <c r="E472" t="s">
        <v>943</v>
      </c>
    </row>
    <row r="473" spans="1:5" x14ac:dyDescent="0.3">
      <c r="A473">
        <v>472</v>
      </c>
      <c r="B473" t="s">
        <v>944</v>
      </c>
      <c r="C473" t="s">
        <v>6</v>
      </c>
      <c r="D473">
        <v>472</v>
      </c>
      <c r="E473" t="s">
        <v>945</v>
      </c>
    </row>
    <row r="474" spans="1:5" x14ac:dyDescent="0.3">
      <c r="A474">
        <v>473</v>
      </c>
      <c r="B474" t="s">
        <v>946</v>
      </c>
      <c r="C474" t="s">
        <v>6</v>
      </c>
      <c r="D474">
        <v>473</v>
      </c>
      <c r="E474" t="s">
        <v>947</v>
      </c>
    </row>
    <row r="475" spans="1:5" x14ac:dyDescent="0.3">
      <c r="A475">
        <v>474</v>
      </c>
      <c r="B475" t="s">
        <v>948</v>
      </c>
      <c r="C475" t="s">
        <v>6</v>
      </c>
      <c r="D475">
        <v>474</v>
      </c>
      <c r="E475" t="s">
        <v>949</v>
      </c>
    </row>
    <row r="476" spans="1:5" x14ac:dyDescent="0.3">
      <c r="A476">
        <v>475</v>
      </c>
      <c r="B476" t="s">
        <v>950</v>
      </c>
      <c r="C476" t="s">
        <v>6</v>
      </c>
      <c r="D476">
        <v>475</v>
      </c>
      <c r="E476" t="s">
        <v>951</v>
      </c>
    </row>
    <row r="477" spans="1:5" x14ac:dyDescent="0.3">
      <c r="A477">
        <v>476</v>
      </c>
      <c r="B477" t="s">
        <v>952</v>
      </c>
      <c r="C477" t="s">
        <v>6</v>
      </c>
      <c r="D477">
        <v>476</v>
      </c>
      <c r="E477" t="s">
        <v>953</v>
      </c>
    </row>
    <row r="478" spans="1:5" x14ac:dyDescent="0.3">
      <c r="A478">
        <v>477</v>
      </c>
      <c r="B478" t="s">
        <v>954</v>
      </c>
      <c r="C478" t="s">
        <v>6</v>
      </c>
      <c r="D478">
        <v>477</v>
      </c>
      <c r="E478" t="s">
        <v>955</v>
      </c>
    </row>
    <row r="479" spans="1:5" x14ac:dyDescent="0.3">
      <c r="A479">
        <v>478</v>
      </c>
      <c r="B479" t="s">
        <v>956</v>
      </c>
      <c r="C479" t="s">
        <v>6</v>
      </c>
      <c r="D479">
        <v>478</v>
      </c>
      <c r="E479" t="s">
        <v>957</v>
      </c>
    </row>
    <row r="480" spans="1:5" x14ac:dyDescent="0.3">
      <c r="A480">
        <v>479</v>
      </c>
      <c r="B480" t="s">
        <v>958</v>
      </c>
      <c r="C480" t="s">
        <v>6</v>
      </c>
      <c r="D480">
        <v>479</v>
      </c>
      <c r="E480" t="s">
        <v>959</v>
      </c>
    </row>
    <row r="481" spans="1:5" x14ac:dyDescent="0.3">
      <c r="A481">
        <v>480</v>
      </c>
      <c r="B481" t="s">
        <v>960</v>
      </c>
      <c r="C481" t="s">
        <v>6</v>
      </c>
      <c r="D481">
        <v>480</v>
      </c>
      <c r="E481" t="s">
        <v>961</v>
      </c>
    </row>
    <row r="482" spans="1:5" x14ac:dyDescent="0.3">
      <c r="A482">
        <v>481</v>
      </c>
      <c r="B482" t="s">
        <v>962</v>
      </c>
      <c r="C482" t="s">
        <v>6</v>
      </c>
      <c r="D482">
        <v>481</v>
      </c>
      <c r="E482" t="s">
        <v>963</v>
      </c>
    </row>
    <row r="483" spans="1:5" x14ac:dyDescent="0.3">
      <c r="A483">
        <v>482</v>
      </c>
      <c r="B483" t="s">
        <v>964</v>
      </c>
      <c r="C483" t="s">
        <v>6</v>
      </c>
      <c r="D483">
        <v>482</v>
      </c>
      <c r="E483" t="s">
        <v>965</v>
      </c>
    </row>
    <row r="484" spans="1:5" x14ac:dyDescent="0.3">
      <c r="A484">
        <v>483</v>
      </c>
      <c r="B484" t="s">
        <v>966</v>
      </c>
      <c r="C484" t="s">
        <v>6</v>
      </c>
      <c r="D484">
        <v>483</v>
      </c>
      <c r="E484" t="s">
        <v>967</v>
      </c>
    </row>
    <row r="485" spans="1:5" x14ac:dyDescent="0.3">
      <c r="A485">
        <v>484</v>
      </c>
      <c r="B485" t="s">
        <v>968</v>
      </c>
      <c r="C485" t="s">
        <v>6</v>
      </c>
      <c r="D485">
        <v>484</v>
      </c>
      <c r="E485" t="s">
        <v>969</v>
      </c>
    </row>
    <row r="486" spans="1:5" x14ac:dyDescent="0.3">
      <c r="A486">
        <v>485</v>
      </c>
      <c r="B486" t="s">
        <v>970</v>
      </c>
      <c r="C486" t="s">
        <v>6</v>
      </c>
      <c r="D486">
        <v>485</v>
      </c>
      <c r="E486" t="s">
        <v>971</v>
      </c>
    </row>
    <row r="487" spans="1:5" x14ac:dyDescent="0.3">
      <c r="A487">
        <v>486</v>
      </c>
      <c r="B487" t="s">
        <v>972</v>
      </c>
      <c r="C487" t="s">
        <v>6</v>
      </c>
      <c r="D487">
        <v>486</v>
      </c>
      <c r="E487" t="s">
        <v>973</v>
      </c>
    </row>
    <row r="488" spans="1:5" x14ac:dyDescent="0.3">
      <c r="A488">
        <v>487</v>
      </c>
      <c r="B488" t="s">
        <v>974</v>
      </c>
      <c r="C488" t="s">
        <v>6</v>
      </c>
      <c r="D488">
        <v>487</v>
      </c>
      <c r="E488" t="s">
        <v>975</v>
      </c>
    </row>
    <row r="489" spans="1:5" x14ac:dyDescent="0.3">
      <c r="A489">
        <v>488</v>
      </c>
      <c r="B489" t="s">
        <v>976</v>
      </c>
      <c r="C489" t="s">
        <v>6</v>
      </c>
      <c r="D489">
        <v>488</v>
      </c>
      <c r="E489" t="s">
        <v>977</v>
      </c>
    </row>
    <row r="490" spans="1:5" x14ac:dyDescent="0.3">
      <c r="A490">
        <v>489</v>
      </c>
      <c r="B490" t="s">
        <v>978</v>
      </c>
      <c r="C490" t="s">
        <v>6</v>
      </c>
      <c r="D490">
        <v>489</v>
      </c>
      <c r="E490" t="s">
        <v>979</v>
      </c>
    </row>
    <row r="491" spans="1:5" x14ac:dyDescent="0.3">
      <c r="A491">
        <v>490</v>
      </c>
      <c r="B491" t="s">
        <v>980</v>
      </c>
      <c r="C491" t="s">
        <v>6</v>
      </c>
      <c r="D491">
        <v>490</v>
      </c>
      <c r="E491" t="s">
        <v>981</v>
      </c>
    </row>
    <row r="492" spans="1:5" x14ac:dyDescent="0.3">
      <c r="A492">
        <v>491</v>
      </c>
      <c r="B492" t="s">
        <v>982</v>
      </c>
      <c r="C492" t="s">
        <v>6</v>
      </c>
      <c r="D492">
        <v>491</v>
      </c>
      <c r="E492" t="s">
        <v>983</v>
      </c>
    </row>
    <row r="493" spans="1:5" x14ac:dyDescent="0.3">
      <c r="A493">
        <v>492</v>
      </c>
      <c r="B493" t="s">
        <v>984</v>
      </c>
      <c r="C493" t="s">
        <v>6</v>
      </c>
      <c r="D493">
        <v>492</v>
      </c>
      <c r="E493" t="s">
        <v>985</v>
      </c>
    </row>
    <row r="494" spans="1:5" x14ac:dyDescent="0.3">
      <c r="A494">
        <v>493</v>
      </c>
      <c r="B494" t="s">
        <v>986</v>
      </c>
      <c r="C494" t="s">
        <v>6</v>
      </c>
      <c r="D494">
        <v>493</v>
      </c>
      <c r="E494" t="s">
        <v>987</v>
      </c>
    </row>
    <row r="495" spans="1:5" x14ac:dyDescent="0.3">
      <c r="A495">
        <v>494</v>
      </c>
      <c r="B495" t="s">
        <v>988</v>
      </c>
      <c r="C495" t="s">
        <v>6</v>
      </c>
      <c r="D495">
        <v>494</v>
      </c>
      <c r="E495" t="s">
        <v>989</v>
      </c>
    </row>
    <row r="496" spans="1:5" x14ac:dyDescent="0.3">
      <c r="A496">
        <v>495</v>
      </c>
      <c r="B496" t="s">
        <v>990</v>
      </c>
      <c r="C496" t="s">
        <v>6</v>
      </c>
      <c r="D496">
        <v>495</v>
      </c>
      <c r="E496" t="s">
        <v>991</v>
      </c>
    </row>
    <row r="497" spans="1:5" x14ac:dyDescent="0.3">
      <c r="A497">
        <v>496</v>
      </c>
      <c r="B497" t="s">
        <v>992</v>
      </c>
      <c r="C497" t="s">
        <v>6</v>
      </c>
      <c r="D497">
        <v>496</v>
      </c>
      <c r="E497" t="s">
        <v>993</v>
      </c>
    </row>
    <row r="498" spans="1:5" x14ac:dyDescent="0.3">
      <c r="A498">
        <v>497</v>
      </c>
      <c r="B498" t="s">
        <v>994</v>
      </c>
      <c r="C498" t="s">
        <v>6</v>
      </c>
      <c r="D498">
        <v>497</v>
      </c>
      <c r="E498" t="s">
        <v>995</v>
      </c>
    </row>
    <row r="499" spans="1:5" x14ac:dyDescent="0.3">
      <c r="A499">
        <v>498</v>
      </c>
      <c r="B499" t="s">
        <v>996</v>
      </c>
      <c r="C499" t="s">
        <v>6</v>
      </c>
      <c r="D499">
        <v>498</v>
      </c>
      <c r="E499" t="s">
        <v>997</v>
      </c>
    </row>
    <row r="500" spans="1:5" x14ac:dyDescent="0.3">
      <c r="A500">
        <v>499</v>
      </c>
      <c r="B500" t="s">
        <v>998</v>
      </c>
      <c r="C500" t="s">
        <v>6</v>
      </c>
      <c r="D500">
        <v>499</v>
      </c>
      <c r="E500" t="s">
        <v>999</v>
      </c>
    </row>
    <row r="501" spans="1:5" x14ac:dyDescent="0.3">
      <c r="A501">
        <v>500</v>
      </c>
      <c r="B501" t="s">
        <v>1000</v>
      </c>
      <c r="C501" t="s">
        <v>6</v>
      </c>
      <c r="D501">
        <v>500</v>
      </c>
      <c r="E501" t="s">
        <v>1001</v>
      </c>
    </row>
    <row r="502" spans="1:5" x14ac:dyDescent="0.3">
      <c r="A502">
        <v>501</v>
      </c>
      <c r="B502" t="s">
        <v>1002</v>
      </c>
      <c r="C502" t="s">
        <v>6</v>
      </c>
      <c r="D502">
        <v>501</v>
      </c>
      <c r="E502" t="s">
        <v>1003</v>
      </c>
    </row>
    <row r="503" spans="1:5" x14ac:dyDescent="0.3">
      <c r="A503">
        <v>502</v>
      </c>
      <c r="B503" t="s">
        <v>1004</v>
      </c>
      <c r="C503" t="s">
        <v>6</v>
      </c>
      <c r="D503">
        <v>502</v>
      </c>
      <c r="E503" t="s">
        <v>1005</v>
      </c>
    </row>
    <row r="504" spans="1:5" x14ac:dyDescent="0.3">
      <c r="A504">
        <v>503</v>
      </c>
      <c r="B504" t="s">
        <v>1006</v>
      </c>
      <c r="C504" t="s">
        <v>6</v>
      </c>
      <c r="D504">
        <v>503</v>
      </c>
      <c r="E504" t="s">
        <v>1007</v>
      </c>
    </row>
    <row r="505" spans="1:5" x14ac:dyDescent="0.3">
      <c r="A505">
        <v>504</v>
      </c>
      <c r="B505" t="s">
        <v>1008</v>
      </c>
      <c r="C505" t="s">
        <v>6</v>
      </c>
      <c r="D505">
        <v>504</v>
      </c>
      <c r="E505" t="s">
        <v>1009</v>
      </c>
    </row>
    <row r="506" spans="1:5" x14ac:dyDescent="0.3">
      <c r="A506">
        <v>505</v>
      </c>
      <c r="B506" t="s">
        <v>1010</v>
      </c>
      <c r="C506" t="s">
        <v>6</v>
      </c>
      <c r="D506">
        <v>505</v>
      </c>
      <c r="E506" t="s">
        <v>1011</v>
      </c>
    </row>
    <row r="507" spans="1:5" x14ac:dyDescent="0.3">
      <c r="A507">
        <v>506</v>
      </c>
      <c r="B507" t="s">
        <v>1012</v>
      </c>
      <c r="C507" t="s">
        <v>6</v>
      </c>
      <c r="D507">
        <v>506</v>
      </c>
      <c r="E507" t="s">
        <v>1013</v>
      </c>
    </row>
    <row r="508" spans="1:5" x14ac:dyDescent="0.3">
      <c r="A508">
        <v>507</v>
      </c>
      <c r="B508" t="s">
        <v>1014</v>
      </c>
      <c r="C508" t="s">
        <v>6</v>
      </c>
      <c r="D508">
        <v>507</v>
      </c>
      <c r="E508" t="s">
        <v>1015</v>
      </c>
    </row>
    <row r="509" spans="1:5" x14ac:dyDescent="0.3">
      <c r="A509">
        <v>508</v>
      </c>
      <c r="B509" t="s">
        <v>1016</v>
      </c>
      <c r="C509" t="s">
        <v>6</v>
      </c>
      <c r="D509">
        <v>508</v>
      </c>
      <c r="E509" t="s">
        <v>1017</v>
      </c>
    </row>
    <row r="510" spans="1:5" x14ac:dyDescent="0.3">
      <c r="A510">
        <v>509</v>
      </c>
      <c r="B510" t="s">
        <v>1018</v>
      </c>
      <c r="C510" t="s">
        <v>6</v>
      </c>
      <c r="D510">
        <v>509</v>
      </c>
      <c r="E510" t="s">
        <v>1019</v>
      </c>
    </row>
    <row r="511" spans="1:5" x14ac:dyDescent="0.3">
      <c r="A511">
        <v>510</v>
      </c>
      <c r="B511" t="s">
        <v>1020</v>
      </c>
      <c r="C511" t="s">
        <v>6</v>
      </c>
      <c r="D511">
        <v>510</v>
      </c>
      <c r="E511" t="s">
        <v>1021</v>
      </c>
    </row>
    <row r="512" spans="1:5" x14ac:dyDescent="0.3">
      <c r="A512">
        <v>511</v>
      </c>
      <c r="B512" t="s">
        <v>1022</v>
      </c>
      <c r="C512" t="s">
        <v>6</v>
      </c>
      <c r="D512">
        <v>511</v>
      </c>
      <c r="E512" t="s">
        <v>1023</v>
      </c>
    </row>
    <row r="513" spans="1:5" x14ac:dyDescent="0.3">
      <c r="A513">
        <v>512</v>
      </c>
      <c r="B513" t="s">
        <v>1024</v>
      </c>
      <c r="C513" t="s">
        <v>6</v>
      </c>
      <c r="D513">
        <v>512</v>
      </c>
      <c r="E513" t="s">
        <v>1025</v>
      </c>
    </row>
    <row r="514" spans="1:5" x14ac:dyDescent="0.3">
      <c r="A514">
        <v>513</v>
      </c>
      <c r="B514" t="s">
        <v>1026</v>
      </c>
      <c r="C514" t="s">
        <v>6</v>
      </c>
      <c r="D514">
        <v>513</v>
      </c>
      <c r="E514" t="s">
        <v>1027</v>
      </c>
    </row>
    <row r="515" spans="1:5" x14ac:dyDescent="0.3">
      <c r="A515">
        <v>514</v>
      </c>
      <c r="B515" t="s">
        <v>1028</v>
      </c>
      <c r="C515" t="s">
        <v>6</v>
      </c>
      <c r="D515">
        <v>514</v>
      </c>
      <c r="E515" t="s">
        <v>1029</v>
      </c>
    </row>
    <row r="516" spans="1:5" x14ac:dyDescent="0.3">
      <c r="A516">
        <v>515</v>
      </c>
      <c r="B516" t="s">
        <v>1030</v>
      </c>
      <c r="C516" t="s">
        <v>6</v>
      </c>
      <c r="D516">
        <v>515</v>
      </c>
      <c r="E516" t="s">
        <v>1031</v>
      </c>
    </row>
    <row r="517" spans="1:5" x14ac:dyDescent="0.3">
      <c r="A517">
        <v>516</v>
      </c>
      <c r="B517" t="s">
        <v>1032</v>
      </c>
      <c r="C517" t="s">
        <v>6</v>
      </c>
      <c r="D517">
        <v>516</v>
      </c>
      <c r="E517" t="s">
        <v>1033</v>
      </c>
    </row>
    <row r="518" spans="1:5" x14ac:dyDescent="0.3">
      <c r="A518">
        <v>517</v>
      </c>
      <c r="B518" t="s">
        <v>1034</v>
      </c>
      <c r="C518" t="s">
        <v>6</v>
      </c>
      <c r="D518">
        <v>517</v>
      </c>
      <c r="E518" t="s">
        <v>1035</v>
      </c>
    </row>
    <row r="519" spans="1:5" x14ac:dyDescent="0.3">
      <c r="A519">
        <v>518</v>
      </c>
      <c r="B519" t="s">
        <v>1036</v>
      </c>
      <c r="C519" t="s">
        <v>6</v>
      </c>
      <c r="D519">
        <v>518</v>
      </c>
      <c r="E519" t="s">
        <v>1037</v>
      </c>
    </row>
    <row r="520" spans="1:5" x14ac:dyDescent="0.3">
      <c r="A520">
        <v>519</v>
      </c>
      <c r="B520" t="s">
        <v>1038</v>
      </c>
      <c r="C520" t="s">
        <v>6</v>
      </c>
      <c r="D520">
        <v>519</v>
      </c>
      <c r="E520" t="s">
        <v>1039</v>
      </c>
    </row>
    <row r="521" spans="1:5" x14ac:dyDescent="0.3">
      <c r="A521">
        <v>520</v>
      </c>
      <c r="B521" t="s">
        <v>1040</v>
      </c>
      <c r="C521" t="s">
        <v>6</v>
      </c>
      <c r="D521">
        <v>520</v>
      </c>
      <c r="E521" t="s">
        <v>1041</v>
      </c>
    </row>
    <row r="522" spans="1:5" x14ac:dyDescent="0.3">
      <c r="A522">
        <v>521</v>
      </c>
      <c r="B522" t="s">
        <v>1042</v>
      </c>
      <c r="C522" t="s">
        <v>6</v>
      </c>
      <c r="D522">
        <v>521</v>
      </c>
      <c r="E522" t="s">
        <v>1043</v>
      </c>
    </row>
    <row r="523" spans="1:5" x14ac:dyDescent="0.3">
      <c r="A523">
        <v>522</v>
      </c>
      <c r="B523" t="s">
        <v>1044</v>
      </c>
      <c r="C523" t="s">
        <v>6</v>
      </c>
      <c r="D523">
        <v>522</v>
      </c>
      <c r="E523" t="s">
        <v>1045</v>
      </c>
    </row>
    <row r="524" spans="1:5" x14ac:dyDescent="0.3">
      <c r="A524">
        <v>523</v>
      </c>
      <c r="B524" t="s">
        <v>1046</v>
      </c>
      <c r="C524" t="s">
        <v>6</v>
      </c>
      <c r="D524">
        <v>523</v>
      </c>
      <c r="E524" t="s">
        <v>1047</v>
      </c>
    </row>
    <row r="525" spans="1:5" x14ac:dyDescent="0.3">
      <c r="A525">
        <v>524</v>
      </c>
      <c r="B525" t="s">
        <v>1048</v>
      </c>
      <c r="C525" t="s">
        <v>6</v>
      </c>
      <c r="D525">
        <v>524</v>
      </c>
      <c r="E525" t="s">
        <v>1049</v>
      </c>
    </row>
    <row r="526" spans="1:5" x14ac:dyDescent="0.3">
      <c r="A526">
        <v>525</v>
      </c>
      <c r="B526" t="s">
        <v>1050</v>
      </c>
      <c r="C526" t="s">
        <v>6</v>
      </c>
      <c r="D526">
        <v>525</v>
      </c>
      <c r="E526" t="s">
        <v>1051</v>
      </c>
    </row>
    <row r="527" spans="1:5" x14ac:dyDescent="0.3">
      <c r="A527">
        <v>526</v>
      </c>
      <c r="B527" t="s">
        <v>1052</v>
      </c>
      <c r="C527" t="s">
        <v>6</v>
      </c>
      <c r="D527">
        <v>526</v>
      </c>
      <c r="E527" t="s">
        <v>1053</v>
      </c>
    </row>
    <row r="528" spans="1:5" x14ac:dyDescent="0.3">
      <c r="A528">
        <v>527</v>
      </c>
      <c r="B528" t="s">
        <v>1054</v>
      </c>
      <c r="C528" t="s">
        <v>6</v>
      </c>
      <c r="D528">
        <v>527</v>
      </c>
      <c r="E528" t="s">
        <v>1055</v>
      </c>
    </row>
    <row r="529" spans="1:5" x14ac:dyDescent="0.3">
      <c r="A529">
        <v>528</v>
      </c>
      <c r="B529" t="s">
        <v>1056</v>
      </c>
      <c r="C529" t="s">
        <v>6</v>
      </c>
      <c r="D529">
        <v>528</v>
      </c>
      <c r="E529" t="s">
        <v>1057</v>
      </c>
    </row>
    <row r="530" spans="1:5" x14ac:dyDescent="0.3">
      <c r="A530">
        <v>529</v>
      </c>
      <c r="B530" t="s">
        <v>1058</v>
      </c>
      <c r="C530" t="s">
        <v>6</v>
      </c>
      <c r="D530">
        <v>529</v>
      </c>
      <c r="E530" t="s">
        <v>1059</v>
      </c>
    </row>
    <row r="531" spans="1:5" x14ac:dyDescent="0.3">
      <c r="A531">
        <v>530</v>
      </c>
      <c r="B531" t="s">
        <v>1060</v>
      </c>
      <c r="C531" t="s">
        <v>6</v>
      </c>
      <c r="D531">
        <v>530</v>
      </c>
      <c r="E531" t="s">
        <v>1061</v>
      </c>
    </row>
    <row r="532" spans="1:5" x14ac:dyDescent="0.3">
      <c r="A532">
        <v>531</v>
      </c>
      <c r="B532" t="s">
        <v>1062</v>
      </c>
      <c r="C532" t="s">
        <v>6</v>
      </c>
      <c r="D532">
        <v>531</v>
      </c>
      <c r="E532" t="s">
        <v>1063</v>
      </c>
    </row>
    <row r="533" spans="1:5" x14ac:dyDescent="0.3">
      <c r="A533">
        <v>532</v>
      </c>
      <c r="B533" t="s">
        <v>1064</v>
      </c>
      <c r="C533" t="s">
        <v>6</v>
      </c>
      <c r="D533">
        <v>532</v>
      </c>
      <c r="E533" t="s">
        <v>1065</v>
      </c>
    </row>
    <row r="534" spans="1:5" x14ac:dyDescent="0.3">
      <c r="A534">
        <v>533</v>
      </c>
      <c r="B534" t="s">
        <v>1066</v>
      </c>
      <c r="C534" t="s">
        <v>6</v>
      </c>
      <c r="D534">
        <v>533</v>
      </c>
      <c r="E534" t="s">
        <v>1067</v>
      </c>
    </row>
    <row r="535" spans="1:5" x14ac:dyDescent="0.3">
      <c r="A535">
        <v>534</v>
      </c>
      <c r="B535" t="s">
        <v>1068</v>
      </c>
      <c r="C535" t="s">
        <v>6</v>
      </c>
      <c r="D535">
        <v>534</v>
      </c>
      <c r="E535" t="s">
        <v>1069</v>
      </c>
    </row>
    <row r="536" spans="1:5" x14ac:dyDescent="0.3">
      <c r="A536">
        <v>535</v>
      </c>
      <c r="B536" t="s">
        <v>1070</v>
      </c>
      <c r="C536" t="s">
        <v>6</v>
      </c>
      <c r="D536">
        <v>535</v>
      </c>
      <c r="E536" t="s">
        <v>1071</v>
      </c>
    </row>
    <row r="537" spans="1:5" x14ac:dyDescent="0.3">
      <c r="A537">
        <v>536</v>
      </c>
      <c r="B537" t="s">
        <v>1072</v>
      </c>
      <c r="C537" t="s">
        <v>6</v>
      </c>
      <c r="D537">
        <v>536</v>
      </c>
      <c r="E537" t="s">
        <v>1073</v>
      </c>
    </row>
    <row r="538" spans="1:5" x14ac:dyDescent="0.3">
      <c r="A538">
        <v>537</v>
      </c>
      <c r="B538" t="s">
        <v>1074</v>
      </c>
      <c r="C538" t="s">
        <v>6</v>
      </c>
      <c r="D538">
        <v>537</v>
      </c>
      <c r="E538" t="s">
        <v>1075</v>
      </c>
    </row>
    <row r="539" spans="1:5" x14ac:dyDescent="0.3">
      <c r="A539">
        <v>538</v>
      </c>
      <c r="B539" t="s">
        <v>1076</v>
      </c>
      <c r="C539" t="s">
        <v>6</v>
      </c>
      <c r="D539">
        <v>538</v>
      </c>
      <c r="E539" t="s">
        <v>1077</v>
      </c>
    </row>
    <row r="540" spans="1:5" x14ac:dyDescent="0.3">
      <c r="A540">
        <v>539</v>
      </c>
      <c r="B540" t="s">
        <v>1078</v>
      </c>
      <c r="C540" t="s">
        <v>6</v>
      </c>
      <c r="D540">
        <v>539</v>
      </c>
      <c r="E540" t="s">
        <v>1079</v>
      </c>
    </row>
    <row r="541" spans="1:5" x14ac:dyDescent="0.3">
      <c r="A541">
        <v>540</v>
      </c>
      <c r="B541" t="s">
        <v>1080</v>
      </c>
      <c r="C541" t="s">
        <v>6</v>
      </c>
      <c r="D541">
        <v>540</v>
      </c>
      <c r="E541" t="s">
        <v>1081</v>
      </c>
    </row>
    <row r="542" spans="1:5" x14ac:dyDescent="0.3">
      <c r="A542">
        <v>541</v>
      </c>
      <c r="B542" t="s">
        <v>1082</v>
      </c>
      <c r="C542" t="s">
        <v>6</v>
      </c>
      <c r="D542">
        <v>541</v>
      </c>
      <c r="E542" t="s">
        <v>1083</v>
      </c>
    </row>
    <row r="543" spans="1:5" x14ac:dyDescent="0.3">
      <c r="A543">
        <v>542</v>
      </c>
      <c r="B543" t="s">
        <v>1084</v>
      </c>
      <c r="C543" t="s">
        <v>6</v>
      </c>
      <c r="D543">
        <v>542</v>
      </c>
      <c r="E543" t="s">
        <v>1085</v>
      </c>
    </row>
    <row r="544" spans="1:5" x14ac:dyDescent="0.3">
      <c r="A544">
        <v>543</v>
      </c>
      <c r="B544" t="s">
        <v>1086</v>
      </c>
      <c r="C544" t="s">
        <v>6</v>
      </c>
      <c r="D544">
        <v>543</v>
      </c>
      <c r="E544" t="s">
        <v>1087</v>
      </c>
    </row>
    <row r="545" spans="1:5" x14ac:dyDescent="0.3">
      <c r="A545">
        <v>544</v>
      </c>
      <c r="B545" t="s">
        <v>1088</v>
      </c>
      <c r="C545" t="s">
        <v>6</v>
      </c>
      <c r="D545">
        <v>544</v>
      </c>
      <c r="E545" t="s">
        <v>1089</v>
      </c>
    </row>
    <row r="546" spans="1:5" x14ac:dyDescent="0.3">
      <c r="A546">
        <v>545</v>
      </c>
      <c r="B546" t="s">
        <v>1090</v>
      </c>
      <c r="C546" t="s">
        <v>6</v>
      </c>
      <c r="D546">
        <v>545</v>
      </c>
      <c r="E546" t="s">
        <v>1091</v>
      </c>
    </row>
    <row r="547" spans="1:5" x14ac:dyDescent="0.3">
      <c r="A547">
        <v>546</v>
      </c>
      <c r="B547" t="s">
        <v>1092</v>
      </c>
      <c r="C547" t="s">
        <v>6</v>
      </c>
      <c r="D547">
        <v>546</v>
      </c>
      <c r="E547" t="s">
        <v>1093</v>
      </c>
    </row>
    <row r="548" spans="1:5" x14ac:dyDescent="0.3">
      <c r="A548">
        <v>547</v>
      </c>
      <c r="B548" t="s">
        <v>1094</v>
      </c>
      <c r="C548" t="s">
        <v>6</v>
      </c>
      <c r="D548">
        <v>547</v>
      </c>
      <c r="E548" t="s">
        <v>1095</v>
      </c>
    </row>
    <row r="549" spans="1:5" x14ac:dyDescent="0.3">
      <c r="A549">
        <v>548</v>
      </c>
      <c r="B549" t="s">
        <v>1096</v>
      </c>
      <c r="C549" t="s">
        <v>6</v>
      </c>
      <c r="D549">
        <v>548</v>
      </c>
      <c r="E549" t="s">
        <v>1097</v>
      </c>
    </row>
    <row r="550" spans="1:5" x14ac:dyDescent="0.3">
      <c r="A550">
        <v>549</v>
      </c>
      <c r="B550" t="s">
        <v>1098</v>
      </c>
      <c r="C550" t="s">
        <v>6</v>
      </c>
      <c r="D550">
        <v>549</v>
      </c>
      <c r="E550" t="s">
        <v>1099</v>
      </c>
    </row>
    <row r="551" spans="1:5" x14ac:dyDescent="0.3">
      <c r="A551">
        <v>550</v>
      </c>
      <c r="B551" t="s">
        <v>1100</v>
      </c>
      <c r="C551" t="s">
        <v>6</v>
      </c>
      <c r="D551">
        <v>550</v>
      </c>
      <c r="E551" t="s">
        <v>1101</v>
      </c>
    </row>
    <row r="552" spans="1:5" x14ac:dyDescent="0.3">
      <c r="A552">
        <v>551</v>
      </c>
      <c r="B552" t="s">
        <v>1102</v>
      </c>
      <c r="C552" t="s">
        <v>6</v>
      </c>
      <c r="D552">
        <v>551</v>
      </c>
      <c r="E552" t="s">
        <v>1103</v>
      </c>
    </row>
    <row r="553" spans="1:5" x14ac:dyDescent="0.3">
      <c r="A553">
        <v>552</v>
      </c>
      <c r="B553" t="s">
        <v>1104</v>
      </c>
      <c r="C553" t="s">
        <v>6</v>
      </c>
      <c r="D553">
        <v>552</v>
      </c>
      <c r="E553" t="s">
        <v>1105</v>
      </c>
    </row>
    <row r="554" spans="1:5" x14ac:dyDescent="0.3">
      <c r="A554">
        <v>553</v>
      </c>
      <c r="B554" t="s">
        <v>1106</v>
      </c>
      <c r="C554" t="s">
        <v>6</v>
      </c>
      <c r="D554">
        <v>553</v>
      </c>
      <c r="E554" t="s">
        <v>1107</v>
      </c>
    </row>
    <row r="555" spans="1:5" x14ac:dyDescent="0.3">
      <c r="A555">
        <v>554</v>
      </c>
      <c r="B555" t="s">
        <v>1108</v>
      </c>
      <c r="C555" t="s">
        <v>6</v>
      </c>
      <c r="D555">
        <v>554</v>
      </c>
      <c r="E555" t="s">
        <v>1109</v>
      </c>
    </row>
    <row r="556" spans="1:5" x14ac:dyDescent="0.3">
      <c r="A556">
        <v>555</v>
      </c>
      <c r="B556" t="s">
        <v>1110</v>
      </c>
      <c r="C556" t="s">
        <v>6</v>
      </c>
      <c r="D556">
        <v>555</v>
      </c>
      <c r="E556" t="s">
        <v>1111</v>
      </c>
    </row>
    <row r="557" spans="1:5" x14ac:dyDescent="0.3">
      <c r="A557">
        <v>556</v>
      </c>
      <c r="B557" t="s">
        <v>1112</v>
      </c>
      <c r="C557" t="s">
        <v>6</v>
      </c>
      <c r="D557">
        <v>556</v>
      </c>
      <c r="E557" t="s">
        <v>1113</v>
      </c>
    </row>
    <row r="558" spans="1:5" x14ac:dyDescent="0.3">
      <c r="A558">
        <v>557</v>
      </c>
      <c r="B558" t="s">
        <v>1114</v>
      </c>
      <c r="C558" t="s">
        <v>6</v>
      </c>
      <c r="D558">
        <v>557</v>
      </c>
      <c r="E558" t="s">
        <v>1115</v>
      </c>
    </row>
    <row r="559" spans="1:5" x14ac:dyDescent="0.3">
      <c r="A559">
        <v>558</v>
      </c>
      <c r="B559" t="s">
        <v>1116</v>
      </c>
      <c r="C559" t="s">
        <v>6</v>
      </c>
      <c r="D559">
        <v>558</v>
      </c>
      <c r="E559" t="s">
        <v>1117</v>
      </c>
    </row>
    <row r="560" spans="1:5" x14ac:dyDescent="0.3">
      <c r="A560">
        <v>559</v>
      </c>
      <c r="B560" t="s">
        <v>1118</v>
      </c>
      <c r="C560" t="s">
        <v>6</v>
      </c>
      <c r="D560">
        <v>559</v>
      </c>
      <c r="E560" t="s">
        <v>1119</v>
      </c>
    </row>
    <row r="561" spans="1:5" x14ac:dyDescent="0.3">
      <c r="A561">
        <v>560</v>
      </c>
      <c r="B561" t="s">
        <v>1120</v>
      </c>
      <c r="C561" t="s">
        <v>6</v>
      </c>
      <c r="D561">
        <v>560</v>
      </c>
      <c r="E561" t="s">
        <v>1121</v>
      </c>
    </row>
    <row r="562" spans="1:5" x14ac:dyDescent="0.3">
      <c r="A562">
        <v>561</v>
      </c>
      <c r="B562" t="s">
        <v>1122</v>
      </c>
      <c r="C562" t="s">
        <v>6</v>
      </c>
      <c r="D562">
        <v>561</v>
      </c>
      <c r="E562" t="s">
        <v>1123</v>
      </c>
    </row>
    <row r="563" spans="1:5" x14ac:dyDescent="0.3">
      <c r="A563">
        <v>562</v>
      </c>
      <c r="B563" t="s">
        <v>1124</v>
      </c>
      <c r="C563" t="s">
        <v>6</v>
      </c>
      <c r="D563">
        <v>562</v>
      </c>
      <c r="E563" t="s">
        <v>1125</v>
      </c>
    </row>
    <row r="564" spans="1:5" x14ac:dyDescent="0.3">
      <c r="A564">
        <v>563</v>
      </c>
      <c r="B564" t="s">
        <v>1126</v>
      </c>
      <c r="C564" t="s">
        <v>6</v>
      </c>
      <c r="D564">
        <v>563</v>
      </c>
      <c r="E564" t="s">
        <v>1127</v>
      </c>
    </row>
    <row r="565" spans="1:5" x14ac:dyDescent="0.3">
      <c r="A565">
        <v>564</v>
      </c>
      <c r="B565" t="s">
        <v>1128</v>
      </c>
      <c r="C565" t="s">
        <v>6</v>
      </c>
      <c r="D565">
        <v>564</v>
      </c>
      <c r="E565" t="s">
        <v>1129</v>
      </c>
    </row>
    <row r="566" spans="1:5" x14ac:dyDescent="0.3">
      <c r="A566">
        <v>565</v>
      </c>
      <c r="B566" t="s">
        <v>1130</v>
      </c>
      <c r="C566" t="s">
        <v>6</v>
      </c>
      <c r="D566">
        <v>565</v>
      </c>
      <c r="E566" t="s">
        <v>1131</v>
      </c>
    </row>
    <row r="567" spans="1:5" x14ac:dyDescent="0.3">
      <c r="A567">
        <v>566</v>
      </c>
      <c r="B567" t="s">
        <v>1132</v>
      </c>
      <c r="C567" t="s">
        <v>6</v>
      </c>
      <c r="D567">
        <v>566</v>
      </c>
      <c r="E567" t="s">
        <v>1133</v>
      </c>
    </row>
    <row r="568" spans="1:5" x14ac:dyDescent="0.3">
      <c r="A568">
        <v>567</v>
      </c>
      <c r="B568" t="s">
        <v>1134</v>
      </c>
      <c r="C568" t="s">
        <v>6</v>
      </c>
      <c r="D568">
        <v>567</v>
      </c>
      <c r="E568" t="s">
        <v>1135</v>
      </c>
    </row>
    <row r="569" spans="1:5" x14ac:dyDescent="0.3">
      <c r="A569">
        <v>568</v>
      </c>
      <c r="B569" t="s">
        <v>1136</v>
      </c>
      <c r="C569" t="s">
        <v>6</v>
      </c>
      <c r="D569">
        <v>568</v>
      </c>
      <c r="E569" t="s">
        <v>1137</v>
      </c>
    </row>
    <row r="570" spans="1:5" x14ac:dyDescent="0.3">
      <c r="A570">
        <v>569</v>
      </c>
      <c r="B570" t="s">
        <v>1138</v>
      </c>
      <c r="C570" t="s">
        <v>6</v>
      </c>
      <c r="D570">
        <v>569</v>
      </c>
      <c r="E570" t="s">
        <v>1139</v>
      </c>
    </row>
    <row r="571" spans="1:5" x14ac:dyDescent="0.3">
      <c r="A571">
        <v>570</v>
      </c>
      <c r="B571" t="s">
        <v>1140</v>
      </c>
      <c r="C571" t="s">
        <v>6</v>
      </c>
      <c r="D571">
        <v>570</v>
      </c>
      <c r="E571" t="s">
        <v>1141</v>
      </c>
    </row>
    <row r="572" spans="1:5" x14ac:dyDescent="0.3">
      <c r="A572">
        <v>571</v>
      </c>
      <c r="B572" t="s">
        <v>1142</v>
      </c>
      <c r="C572" t="s">
        <v>6</v>
      </c>
      <c r="D572">
        <v>571</v>
      </c>
      <c r="E572" t="s">
        <v>1143</v>
      </c>
    </row>
    <row r="573" spans="1:5" x14ac:dyDescent="0.3">
      <c r="A573">
        <v>572</v>
      </c>
      <c r="B573" t="s">
        <v>1144</v>
      </c>
      <c r="C573" t="s">
        <v>6</v>
      </c>
      <c r="D573">
        <v>572</v>
      </c>
      <c r="E573" t="s">
        <v>1145</v>
      </c>
    </row>
    <row r="574" spans="1:5" x14ac:dyDescent="0.3">
      <c r="A574">
        <v>573</v>
      </c>
      <c r="B574" t="s">
        <v>1146</v>
      </c>
      <c r="C574" t="s">
        <v>6</v>
      </c>
      <c r="D574">
        <v>573</v>
      </c>
      <c r="E574" t="s">
        <v>1147</v>
      </c>
    </row>
    <row r="575" spans="1:5" x14ac:dyDescent="0.3">
      <c r="A575">
        <v>574</v>
      </c>
      <c r="B575" t="s">
        <v>1148</v>
      </c>
      <c r="C575" t="s">
        <v>6</v>
      </c>
      <c r="D575">
        <v>574</v>
      </c>
      <c r="E575" t="s">
        <v>1149</v>
      </c>
    </row>
    <row r="576" spans="1:5" x14ac:dyDescent="0.3">
      <c r="A576">
        <v>575</v>
      </c>
      <c r="B576" t="s">
        <v>1150</v>
      </c>
      <c r="C576" t="s">
        <v>6</v>
      </c>
      <c r="D576">
        <v>575</v>
      </c>
      <c r="E576" t="s">
        <v>1151</v>
      </c>
    </row>
    <row r="577" spans="1:5" x14ac:dyDescent="0.3">
      <c r="A577">
        <v>576</v>
      </c>
      <c r="B577" t="s">
        <v>1152</v>
      </c>
      <c r="C577" t="s">
        <v>6</v>
      </c>
      <c r="D577">
        <v>576</v>
      </c>
      <c r="E577" t="s">
        <v>1153</v>
      </c>
    </row>
    <row r="578" spans="1:5" x14ac:dyDescent="0.3">
      <c r="A578">
        <v>577</v>
      </c>
      <c r="B578" t="s">
        <v>1154</v>
      </c>
      <c r="C578" t="s">
        <v>6</v>
      </c>
      <c r="D578">
        <v>577</v>
      </c>
      <c r="E578" t="s">
        <v>1155</v>
      </c>
    </row>
    <row r="579" spans="1:5" x14ac:dyDescent="0.3">
      <c r="A579">
        <v>578</v>
      </c>
      <c r="B579" t="s">
        <v>1156</v>
      </c>
      <c r="C579" t="s">
        <v>6</v>
      </c>
      <c r="D579">
        <v>578</v>
      </c>
      <c r="E579" t="s">
        <v>1157</v>
      </c>
    </row>
    <row r="580" spans="1:5" x14ac:dyDescent="0.3">
      <c r="A580">
        <v>579</v>
      </c>
      <c r="B580" t="s">
        <v>1158</v>
      </c>
      <c r="C580" t="s">
        <v>6</v>
      </c>
      <c r="D580">
        <v>579</v>
      </c>
      <c r="E580" t="s">
        <v>1159</v>
      </c>
    </row>
    <row r="581" spans="1:5" x14ac:dyDescent="0.3">
      <c r="A581">
        <v>580</v>
      </c>
      <c r="B581" t="s">
        <v>1160</v>
      </c>
      <c r="C581" t="s">
        <v>6</v>
      </c>
      <c r="D581">
        <v>580</v>
      </c>
      <c r="E581" t="s">
        <v>1161</v>
      </c>
    </row>
    <row r="582" spans="1:5" x14ac:dyDescent="0.3">
      <c r="A582">
        <v>581</v>
      </c>
      <c r="B582" t="s">
        <v>1162</v>
      </c>
      <c r="C582" t="s">
        <v>6</v>
      </c>
      <c r="D582">
        <v>581</v>
      </c>
      <c r="E582" t="s">
        <v>1163</v>
      </c>
    </row>
    <row r="583" spans="1:5" x14ac:dyDescent="0.3">
      <c r="A583">
        <v>582</v>
      </c>
      <c r="B583" t="s">
        <v>1164</v>
      </c>
      <c r="C583" t="s">
        <v>6</v>
      </c>
      <c r="D583">
        <v>582</v>
      </c>
      <c r="E583" t="s">
        <v>1165</v>
      </c>
    </row>
    <row r="584" spans="1:5" x14ac:dyDescent="0.3">
      <c r="A584">
        <v>583</v>
      </c>
      <c r="B584" t="s">
        <v>1166</v>
      </c>
      <c r="C584" t="s">
        <v>6</v>
      </c>
      <c r="D584">
        <v>583</v>
      </c>
      <c r="E584" t="s">
        <v>1167</v>
      </c>
    </row>
    <row r="585" spans="1:5" x14ac:dyDescent="0.3">
      <c r="A585">
        <v>584</v>
      </c>
      <c r="B585" t="s">
        <v>1168</v>
      </c>
      <c r="C585" t="s">
        <v>6</v>
      </c>
      <c r="D585">
        <v>584</v>
      </c>
      <c r="E585" t="s">
        <v>1169</v>
      </c>
    </row>
    <row r="586" spans="1:5" x14ac:dyDescent="0.3">
      <c r="A586">
        <v>585</v>
      </c>
      <c r="B586" t="s">
        <v>1170</v>
      </c>
      <c r="C586" t="s">
        <v>6</v>
      </c>
      <c r="D586">
        <v>585</v>
      </c>
      <c r="E586" t="s">
        <v>1171</v>
      </c>
    </row>
    <row r="587" spans="1:5" x14ac:dyDescent="0.3">
      <c r="A587">
        <v>586</v>
      </c>
      <c r="B587" t="s">
        <v>1172</v>
      </c>
      <c r="C587" t="s">
        <v>6</v>
      </c>
      <c r="D587">
        <v>586</v>
      </c>
      <c r="E587" t="s">
        <v>1173</v>
      </c>
    </row>
    <row r="588" spans="1:5" x14ac:dyDescent="0.3">
      <c r="A588">
        <v>587</v>
      </c>
      <c r="B588" t="s">
        <v>1174</v>
      </c>
      <c r="C588" t="s">
        <v>6</v>
      </c>
      <c r="D588">
        <v>587</v>
      </c>
      <c r="E588" t="s">
        <v>1175</v>
      </c>
    </row>
    <row r="589" spans="1:5" x14ac:dyDescent="0.3">
      <c r="A589">
        <v>588</v>
      </c>
      <c r="B589" t="s">
        <v>1176</v>
      </c>
      <c r="C589" t="s">
        <v>6</v>
      </c>
      <c r="D589">
        <v>588</v>
      </c>
      <c r="E589" t="s">
        <v>1177</v>
      </c>
    </row>
    <row r="590" spans="1:5" x14ac:dyDescent="0.3">
      <c r="A590">
        <v>589</v>
      </c>
      <c r="B590" t="s">
        <v>1178</v>
      </c>
      <c r="C590" t="s">
        <v>6</v>
      </c>
      <c r="D590">
        <v>589</v>
      </c>
      <c r="E590" t="s">
        <v>1179</v>
      </c>
    </row>
    <row r="591" spans="1:5" x14ac:dyDescent="0.3">
      <c r="A591">
        <v>590</v>
      </c>
      <c r="B591" t="s">
        <v>1180</v>
      </c>
      <c r="C591" t="s">
        <v>6</v>
      </c>
      <c r="D591">
        <v>590</v>
      </c>
      <c r="E591" t="s">
        <v>1181</v>
      </c>
    </row>
    <row r="592" spans="1:5" x14ac:dyDescent="0.3">
      <c r="A592">
        <v>591</v>
      </c>
      <c r="B592" t="s">
        <v>1182</v>
      </c>
      <c r="C592" t="s">
        <v>6</v>
      </c>
      <c r="D592">
        <v>591</v>
      </c>
      <c r="E592" t="s">
        <v>1183</v>
      </c>
    </row>
    <row r="593" spans="1:5" x14ac:dyDescent="0.3">
      <c r="A593">
        <v>592</v>
      </c>
      <c r="B593" t="s">
        <v>1184</v>
      </c>
      <c r="C593" t="s">
        <v>6</v>
      </c>
      <c r="D593">
        <v>592</v>
      </c>
      <c r="E593" t="s">
        <v>1185</v>
      </c>
    </row>
    <row r="594" spans="1:5" x14ac:dyDescent="0.3">
      <c r="A594">
        <v>593</v>
      </c>
      <c r="B594" t="s">
        <v>1186</v>
      </c>
      <c r="C594" t="s">
        <v>6</v>
      </c>
      <c r="D594">
        <v>593</v>
      </c>
      <c r="E594" t="s">
        <v>1187</v>
      </c>
    </row>
    <row r="595" spans="1:5" x14ac:dyDescent="0.3">
      <c r="A595">
        <v>594</v>
      </c>
      <c r="B595" t="s">
        <v>1188</v>
      </c>
      <c r="C595" t="s">
        <v>6</v>
      </c>
      <c r="D595">
        <v>594</v>
      </c>
      <c r="E595" t="s">
        <v>1189</v>
      </c>
    </row>
    <row r="596" spans="1:5" x14ac:dyDescent="0.3">
      <c r="A596">
        <v>595</v>
      </c>
      <c r="B596" t="s">
        <v>1190</v>
      </c>
      <c r="C596" t="s">
        <v>6</v>
      </c>
      <c r="D596">
        <v>595</v>
      </c>
      <c r="E596" t="s">
        <v>1191</v>
      </c>
    </row>
    <row r="597" spans="1:5" x14ac:dyDescent="0.3">
      <c r="A597">
        <v>596</v>
      </c>
      <c r="B597" t="s">
        <v>1192</v>
      </c>
      <c r="C597" t="s">
        <v>6</v>
      </c>
      <c r="D597">
        <v>596</v>
      </c>
      <c r="E597" t="s">
        <v>1193</v>
      </c>
    </row>
    <row r="598" spans="1:5" x14ac:dyDescent="0.3">
      <c r="A598">
        <v>597</v>
      </c>
      <c r="B598" t="s">
        <v>1194</v>
      </c>
      <c r="C598" t="s">
        <v>6</v>
      </c>
      <c r="D598">
        <v>597</v>
      </c>
      <c r="E598" t="s">
        <v>1195</v>
      </c>
    </row>
    <row r="599" spans="1:5" x14ac:dyDescent="0.3">
      <c r="A599">
        <v>598</v>
      </c>
      <c r="B599" t="s">
        <v>1196</v>
      </c>
      <c r="C599" t="s">
        <v>6</v>
      </c>
      <c r="D599">
        <v>598</v>
      </c>
      <c r="E599" t="s">
        <v>1197</v>
      </c>
    </row>
    <row r="600" spans="1:5" x14ac:dyDescent="0.3">
      <c r="A600">
        <v>599</v>
      </c>
      <c r="B600" t="s">
        <v>1198</v>
      </c>
      <c r="C600" t="s">
        <v>6</v>
      </c>
      <c r="D600">
        <v>599</v>
      </c>
      <c r="E600" t="s">
        <v>1199</v>
      </c>
    </row>
    <row r="601" spans="1:5" x14ac:dyDescent="0.3">
      <c r="A601">
        <v>600</v>
      </c>
      <c r="B601" t="s">
        <v>1200</v>
      </c>
      <c r="C601" t="s">
        <v>6</v>
      </c>
      <c r="D601">
        <v>600</v>
      </c>
      <c r="E601" t="s">
        <v>1201</v>
      </c>
    </row>
    <row r="602" spans="1:5" x14ac:dyDescent="0.3">
      <c r="A602">
        <v>601</v>
      </c>
      <c r="B602" t="s">
        <v>1202</v>
      </c>
      <c r="C602" t="s">
        <v>6</v>
      </c>
      <c r="D602">
        <v>601</v>
      </c>
      <c r="E602" t="s">
        <v>1203</v>
      </c>
    </row>
    <row r="603" spans="1:5" x14ac:dyDescent="0.3">
      <c r="A603">
        <v>602</v>
      </c>
      <c r="B603" t="s">
        <v>1204</v>
      </c>
      <c r="C603" t="s">
        <v>6</v>
      </c>
      <c r="D603">
        <v>602</v>
      </c>
      <c r="E603" t="s">
        <v>1205</v>
      </c>
    </row>
    <row r="604" spans="1:5" x14ac:dyDescent="0.3">
      <c r="A604">
        <v>603</v>
      </c>
      <c r="B604" t="s">
        <v>1206</v>
      </c>
      <c r="C604" t="s">
        <v>6</v>
      </c>
      <c r="D604">
        <v>603</v>
      </c>
      <c r="E604" t="s">
        <v>1207</v>
      </c>
    </row>
    <row r="605" spans="1:5" x14ac:dyDescent="0.3">
      <c r="A605">
        <v>604</v>
      </c>
      <c r="B605" t="s">
        <v>1208</v>
      </c>
      <c r="C605" t="s">
        <v>6</v>
      </c>
      <c r="D605">
        <v>604</v>
      </c>
      <c r="E605" t="s">
        <v>1209</v>
      </c>
    </row>
    <row r="606" spans="1:5" x14ac:dyDescent="0.3">
      <c r="A606">
        <v>605</v>
      </c>
      <c r="B606" t="s">
        <v>1210</v>
      </c>
      <c r="C606" t="s">
        <v>6</v>
      </c>
      <c r="D606">
        <v>605</v>
      </c>
      <c r="E606" t="s">
        <v>1211</v>
      </c>
    </row>
    <row r="607" spans="1:5" x14ac:dyDescent="0.3">
      <c r="A607">
        <v>606</v>
      </c>
      <c r="B607" t="s">
        <v>1212</v>
      </c>
      <c r="C607" t="s">
        <v>6</v>
      </c>
      <c r="D607">
        <v>606</v>
      </c>
      <c r="E607" t="s">
        <v>1213</v>
      </c>
    </row>
    <row r="608" spans="1:5" x14ac:dyDescent="0.3">
      <c r="A608">
        <v>607</v>
      </c>
      <c r="B608" t="s">
        <v>1214</v>
      </c>
      <c r="C608" t="s">
        <v>6</v>
      </c>
      <c r="D608">
        <v>607</v>
      </c>
      <c r="E608" t="s">
        <v>1215</v>
      </c>
    </row>
    <row r="609" spans="1:5" x14ac:dyDescent="0.3">
      <c r="A609">
        <v>608</v>
      </c>
      <c r="B609" t="s">
        <v>1216</v>
      </c>
      <c r="C609" t="s">
        <v>6</v>
      </c>
      <c r="D609">
        <v>608</v>
      </c>
      <c r="E609" t="s">
        <v>1217</v>
      </c>
    </row>
    <row r="610" spans="1:5" x14ac:dyDescent="0.3">
      <c r="A610">
        <v>609</v>
      </c>
      <c r="B610" t="s">
        <v>1218</v>
      </c>
      <c r="C610" t="s">
        <v>6</v>
      </c>
      <c r="D610">
        <v>609</v>
      </c>
      <c r="E610" t="s">
        <v>1219</v>
      </c>
    </row>
    <row r="611" spans="1:5" x14ac:dyDescent="0.3">
      <c r="A611">
        <v>610</v>
      </c>
      <c r="B611" t="s">
        <v>1220</v>
      </c>
      <c r="C611" t="s">
        <v>6</v>
      </c>
      <c r="D611">
        <v>610</v>
      </c>
      <c r="E611" t="s">
        <v>1221</v>
      </c>
    </row>
    <row r="612" spans="1:5" x14ac:dyDescent="0.3">
      <c r="A612">
        <v>611</v>
      </c>
      <c r="B612" t="s">
        <v>1222</v>
      </c>
      <c r="C612" t="s">
        <v>6</v>
      </c>
      <c r="D612">
        <v>611</v>
      </c>
      <c r="E612" t="s">
        <v>1223</v>
      </c>
    </row>
    <row r="613" spans="1:5" x14ac:dyDescent="0.3">
      <c r="A613">
        <v>612</v>
      </c>
      <c r="B613" t="s">
        <v>1224</v>
      </c>
      <c r="C613" t="s">
        <v>6</v>
      </c>
      <c r="D613">
        <v>612</v>
      </c>
      <c r="E613" t="s">
        <v>1225</v>
      </c>
    </row>
    <row r="614" spans="1:5" x14ac:dyDescent="0.3">
      <c r="A614">
        <v>613</v>
      </c>
      <c r="B614" t="s">
        <v>1226</v>
      </c>
      <c r="C614" t="s">
        <v>6</v>
      </c>
      <c r="D614">
        <v>613</v>
      </c>
      <c r="E614" t="s">
        <v>1227</v>
      </c>
    </row>
    <row r="615" spans="1:5" x14ac:dyDescent="0.3">
      <c r="A615">
        <v>614</v>
      </c>
      <c r="B615" t="s">
        <v>1228</v>
      </c>
      <c r="C615" t="s">
        <v>6</v>
      </c>
      <c r="D615">
        <v>614</v>
      </c>
      <c r="E615" t="s">
        <v>1229</v>
      </c>
    </row>
    <row r="616" spans="1:5" x14ac:dyDescent="0.3">
      <c r="A616">
        <v>615</v>
      </c>
      <c r="B616" t="s">
        <v>1230</v>
      </c>
      <c r="C616" t="s">
        <v>6</v>
      </c>
      <c r="D616">
        <v>615</v>
      </c>
      <c r="E616" t="s">
        <v>1231</v>
      </c>
    </row>
    <row r="617" spans="1:5" x14ac:dyDescent="0.3">
      <c r="A617">
        <v>616</v>
      </c>
      <c r="B617" t="s">
        <v>1232</v>
      </c>
      <c r="C617" t="s">
        <v>6</v>
      </c>
      <c r="D617">
        <v>616</v>
      </c>
      <c r="E617" t="s">
        <v>1233</v>
      </c>
    </row>
    <row r="618" spans="1:5" x14ac:dyDescent="0.3">
      <c r="A618">
        <v>617</v>
      </c>
      <c r="B618" t="s">
        <v>1234</v>
      </c>
      <c r="C618" t="s">
        <v>6</v>
      </c>
      <c r="D618">
        <v>617</v>
      </c>
      <c r="E618" t="s">
        <v>1235</v>
      </c>
    </row>
    <row r="619" spans="1:5" x14ac:dyDescent="0.3">
      <c r="A619">
        <v>618</v>
      </c>
      <c r="B619" t="s">
        <v>1236</v>
      </c>
      <c r="C619" t="s">
        <v>6</v>
      </c>
      <c r="D619">
        <v>618</v>
      </c>
      <c r="E619" t="s">
        <v>1237</v>
      </c>
    </row>
    <row r="620" spans="1:5" x14ac:dyDescent="0.3">
      <c r="A620">
        <v>619</v>
      </c>
      <c r="B620" t="s">
        <v>1238</v>
      </c>
      <c r="C620" t="s">
        <v>6</v>
      </c>
      <c r="D620">
        <v>619</v>
      </c>
      <c r="E620" t="s">
        <v>1239</v>
      </c>
    </row>
    <row r="621" spans="1:5" x14ac:dyDescent="0.3">
      <c r="A621">
        <v>620</v>
      </c>
      <c r="B621" t="s">
        <v>1240</v>
      </c>
      <c r="C621" t="s">
        <v>6</v>
      </c>
      <c r="D621">
        <v>620</v>
      </c>
      <c r="E621" t="s">
        <v>1241</v>
      </c>
    </row>
    <row r="622" spans="1:5" x14ac:dyDescent="0.3">
      <c r="A622">
        <v>621</v>
      </c>
      <c r="B622" t="s">
        <v>1242</v>
      </c>
      <c r="C622" t="s">
        <v>6</v>
      </c>
      <c r="D622">
        <v>621</v>
      </c>
      <c r="E622" t="s">
        <v>1243</v>
      </c>
    </row>
    <row r="623" spans="1:5" x14ac:dyDescent="0.3">
      <c r="A623">
        <v>622</v>
      </c>
      <c r="B623" t="s">
        <v>1244</v>
      </c>
      <c r="C623" t="s">
        <v>6</v>
      </c>
      <c r="D623">
        <v>622</v>
      </c>
      <c r="E623" t="s">
        <v>1245</v>
      </c>
    </row>
    <row r="624" spans="1:5" x14ac:dyDescent="0.3">
      <c r="A624">
        <v>623</v>
      </c>
      <c r="B624" t="s">
        <v>1246</v>
      </c>
      <c r="C624" t="s">
        <v>6</v>
      </c>
      <c r="D624">
        <v>623</v>
      </c>
      <c r="E624" t="s">
        <v>1247</v>
      </c>
    </row>
    <row r="625" spans="1:5" x14ac:dyDescent="0.3">
      <c r="A625">
        <v>624</v>
      </c>
      <c r="B625" t="s">
        <v>1248</v>
      </c>
      <c r="C625" t="s">
        <v>6</v>
      </c>
      <c r="D625">
        <v>624</v>
      </c>
      <c r="E625" t="s">
        <v>1249</v>
      </c>
    </row>
    <row r="626" spans="1:5" x14ac:dyDescent="0.3">
      <c r="A626">
        <v>625</v>
      </c>
      <c r="B626" t="s">
        <v>1250</v>
      </c>
      <c r="C626" t="s">
        <v>6</v>
      </c>
      <c r="D626">
        <v>625</v>
      </c>
      <c r="E626" t="s">
        <v>1251</v>
      </c>
    </row>
    <row r="627" spans="1:5" x14ac:dyDescent="0.3">
      <c r="A627">
        <v>626</v>
      </c>
      <c r="B627" t="s">
        <v>1252</v>
      </c>
      <c r="C627" t="s">
        <v>6</v>
      </c>
      <c r="D627">
        <v>626</v>
      </c>
      <c r="E627" t="s">
        <v>1253</v>
      </c>
    </row>
    <row r="628" spans="1:5" x14ac:dyDescent="0.3">
      <c r="A628">
        <v>627</v>
      </c>
      <c r="B628" t="s">
        <v>1254</v>
      </c>
      <c r="C628" t="s">
        <v>6</v>
      </c>
      <c r="D628">
        <v>627</v>
      </c>
      <c r="E628" t="s">
        <v>1255</v>
      </c>
    </row>
    <row r="629" spans="1:5" x14ac:dyDescent="0.3">
      <c r="A629">
        <v>628</v>
      </c>
      <c r="B629" t="s">
        <v>1256</v>
      </c>
      <c r="C629" t="s">
        <v>6</v>
      </c>
      <c r="D629">
        <v>628</v>
      </c>
      <c r="E629" t="s">
        <v>1257</v>
      </c>
    </row>
    <row r="630" spans="1:5" x14ac:dyDescent="0.3">
      <c r="A630">
        <v>629</v>
      </c>
      <c r="B630" t="s">
        <v>1258</v>
      </c>
      <c r="C630" t="s">
        <v>6</v>
      </c>
      <c r="D630">
        <v>629</v>
      </c>
      <c r="E630" t="s">
        <v>1259</v>
      </c>
    </row>
    <row r="631" spans="1:5" x14ac:dyDescent="0.3">
      <c r="A631">
        <v>630</v>
      </c>
      <c r="B631" t="s">
        <v>1260</v>
      </c>
      <c r="C631" t="s">
        <v>6</v>
      </c>
      <c r="D631">
        <v>630</v>
      </c>
      <c r="E631" t="s">
        <v>1261</v>
      </c>
    </row>
    <row r="632" spans="1:5" x14ac:dyDescent="0.3">
      <c r="A632">
        <v>631</v>
      </c>
      <c r="B632" t="s">
        <v>1262</v>
      </c>
      <c r="C632" t="s">
        <v>6</v>
      </c>
      <c r="D632">
        <v>631</v>
      </c>
      <c r="E632" t="s">
        <v>1263</v>
      </c>
    </row>
    <row r="633" spans="1:5" x14ac:dyDescent="0.3">
      <c r="A633">
        <v>632</v>
      </c>
      <c r="B633" t="s">
        <v>1264</v>
      </c>
      <c r="C633" t="s">
        <v>6</v>
      </c>
      <c r="D633">
        <v>632</v>
      </c>
      <c r="E633" t="s">
        <v>1265</v>
      </c>
    </row>
    <row r="634" spans="1:5" x14ac:dyDescent="0.3">
      <c r="A634">
        <v>633</v>
      </c>
      <c r="B634" t="s">
        <v>1266</v>
      </c>
      <c r="C634" t="s">
        <v>6</v>
      </c>
      <c r="D634">
        <v>633</v>
      </c>
      <c r="E634" t="s">
        <v>1267</v>
      </c>
    </row>
    <row r="635" spans="1:5" x14ac:dyDescent="0.3">
      <c r="A635">
        <v>634</v>
      </c>
      <c r="B635" t="s">
        <v>1268</v>
      </c>
      <c r="C635" t="s">
        <v>6</v>
      </c>
      <c r="D635">
        <v>634</v>
      </c>
      <c r="E635" t="s">
        <v>1269</v>
      </c>
    </row>
    <row r="636" spans="1:5" x14ac:dyDescent="0.3">
      <c r="A636">
        <v>635</v>
      </c>
      <c r="B636" t="s">
        <v>1270</v>
      </c>
      <c r="C636" t="s">
        <v>6</v>
      </c>
      <c r="D636">
        <v>635</v>
      </c>
      <c r="E636" t="s">
        <v>1271</v>
      </c>
    </row>
    <row r="637" spans="1:5" x14ac:dyDescent="0.3">
      <c r="A637">
        <v>636</v>
      </c>
      <c r="B637" t="s">
        <v>1272</v>
      </c>
      <c r="C637" t="s">
        <v>6</v>
      </c>
      <c r="D637">
        <v>636</v>
      </c>
      <c r="E637" t="s">
        <v>1273</v>
      </c>
    </row>
    <row r="638" spans="1:5" x14ac:dyDescent="0.3">
      <c r="A638">
        <v>637</v>
      </c>
      <c r="B638" t="s">
        <v>1274</v>
      </c>
      <c r="C638" t="s">
        <v>6</v>
      </c>
      <c r="D638">
        <v>637</v>
      </c>
      <c r="E638" t="s">
        <v>1275</v>
      </c>
    </row>
    <row r="639" spans="1:5" x14ac:dyDescent="0.3">
      <c r="A639">
        <v>638</v>
      </c>
      <c r="B639" t="s">
        <v>1276</v>
      </c>
      <c r="C639" t="s">
        <v>6</v>
      </c>
      <c r="D639">
        <v>638</v>
      </c>
      <c r="E639" t="s">
        <v>1277</v>
      </c>
    </row>
    <row r="640" spans="1:5" x14ac:dyDescent="0.3">
      <c r="A640">
        <v>639</v>
      </c>
      <c r="B640" t="s">
        <v>1278</v>
      </c>
      <c r="C640" t="s">
        <v>6</v>
      </c>
      <c r="D640">
        <v>639</v>
      </c>
      <c r="E640" t="s">
        <v>1279</v>
      </c>
    </row>
    <row r="641" spans="1:5" x14ac:dyDescent="0.3">
      <c r="A641">
        <v>640</v>
      </c>
      <c r="B641" t="s">
        <v>1280</v>
      </c>
      <c r="C641" t="s">
        <v>6</v>
      </c>
      <c r="D641">
        <v>640</v>
      </c>
      <c r="E641" t="s">
        <v>1281</v>
      </c>
    </row>
    <row r="642" spans="1:5" x14ac:dyDescent="0.3">
      <c r="A642">
        <v>641</v>
      </c>
      <c r="B642" t="s">
        <v>1282</v>
      </c>
      <c r="C642" t="s">
        <v>6</v>
      </c>
      <c r="D642">
        <v>641</v>
      </c>
      <c r="E642" t="s">
        <v>1283</v>
      </c>
    </row>
    <row r="643" spans="1:5" x14ac:dyDescent="0.3">
      <c r="A643">
        <v>642</v>
      </c>
      <c r="B643" t="s">
        <v>1284</v>
      </c>
      <c r="C643" t="s">
        <v>6</v>
      </c>
      <c r="D643">
        <v>642</v>
      </c>
      <c r="E643" t="s">
        <v>1285</v>
      </c>
    </row>
    <row r="644" spans="1:5" x14ac:dyDescent="0.3">
      <c r="A644">
        <v>643</v>
      </c>
      <c r="B644" t="s">
        <v>1286</v>
      </c>
      <c r="C644" t="s">
        <v>6</v>
      </c>
      <c r="D644">
        <v>643</v>
      </c>
      <c r="E644" t="s">
        <v>1287</v>
      </c>
    </row>
    <row r="645" spans="1:5" x14ac:dyDescent="0.3">
      <c r="A645">
        <v>644</v>
      </c>
      <c r="B645" t="s">
        <v>1288</v>
      </c>
      <c r="C645" t="s">
        <v>6</v>
      </c>
      <c r="D645">
        <v>644</v>
      </c>
      <c r="E645" t="s">
        <v>1289</v>
      </c>
    </row>
    <row r="646" spans="1:5" x14ac:dyDescent="0.3">
      <c r="A646">
        <v>645</v>
      </c>
      <c r="B646" t="s">
        <v>1290</v>
      </c>
      <c r="C646" t="s">
        <v>6</v>
      </c>
      <c r="D646">
        <v>645</v>
      </c>
      <c r="E646" t="s">
        <v>1291</v>
      </c>
    </row>
    <row r="647" spans="1:5" x14ac:dyDescent="0.3">
      <c r="A647">
        <v>646</v>
      </c>
      <c r="B647" t="s">
        <v>1292</v>
      </c>
      <c r="C647" t="s">
        <v>6</v>
      </c>
      <c r="D647">
        <v>646</v>
      </c>
      <c r="E647" t="s">
        <v>1293</v>
      </c>
    </row>
    <row r="648" spans="1:5" x14ac:dyDescent="0.3">
      <c r="A648">
        <v>647</v>
      </c>
      <c r="B648" t="s">
        <v>1294</v>
      </c>
      <c r="C648" t="s">
        <v>6</v>
      </c>
      <c r="D648">
        <v>647</v>
      </c>
      <c r="E648" t="s">
        <v>1295</v>
      </c>
    </row>
    <row r="649" spans="1:5" x14ac:dyDescent="0.3">
      <c r="A649">
        <v>648</v>
      </c>
      <c r="B649" t="s">
        <v>1296</v>
      </c>
      <c r="C649" t="s">
        <v>6</v>
      </c>
      <c r="D649">
        <v>648</v>
      </c>
      <c r="E649" t="s">
        <v>1297</v>
      </c>
    </row>
    <row r="650" spans="1:5" x14ac:dyDescent="0.3">
      <c r="A650">
        <v>649</v>
      </c>
      <c r="B650" t="s">
        <v>1298</v>
      </c>
      <c r="C650" t="s">
        <v>6</v>
      </c>
      <c r="D650">
        <v>649</v>
      </c>
      <c r="E650" t="s">
        <v>1299</v>
      </c>
    </row>
    <row r="651" spans="1:5" x14ac:dyDescent="0.3">
      <c r="A651">
        <v>650</v>
      </c>
      <c r="B651" t="s">
        <v>1300</v>
      </c>
      <c r="C651" t="s">
        <v>6</v>
      </c>
      <c r="D651">
        <v>650</v>
      </c>
      <c r="E651" t="s">
        <v>1301</v>
      </c>
    </row>
    <row r="652" spans="1:5" x14ac:dyDescent="0.3">
      <c r="A652">
        <v>651</v>
      </c>
      <c r="B652" t="s">
        <v>1302</v>
      </c>
      <c r="C652" t="s">
        <v>6</v>
      </c>
      <c r="D652">
        <v>651</v>
      </c>
      <c r="E652" t="s">
        <v>1303</v>
      </c>
    </row>
    <row r="653" spans="1:5" x14ac:dyDescent="0.3">
      <c r="A653">
        <v>652</v>
      </c>
      <c r="B653" t="s">
        <v>1304</v>
      </c>
      <c r="C653" t="s">
        <v>6</v>
      </c>
      <c r="D653">
        <v>652</v>
      </c>
      <c r="E653" t="s">
        <v>1305</v>
      </c>
    </row>
    <row r="654" spans="1:5" x14ac:dyDescent="0.3">
      <c r="A654">
        <v>653</v>
      </c>
      <c r="B654" t="s">
        <v>1306</v>
      </c>
      <c r="C654" t="s">
        <v>6</v>
      </c>
      <c r="D654">
        <v>653</v>
      </c>
      <c r="E654" t="s">
        <v>1307</v>
      </c>
    </row>
    <row r="655" spans="1:5" x14ac:dyDescent="0.3">
      <c r="A655">
        <v>654</v>
      </c>
      <c r="B655" t="s">
        <v>1308</v>
      </c>
      <c r="C655" t="s">
        <v>6</v>
      </c>
      <c r="D655">
        <v>654</v>
      </c>
      <c r="E655" t="s">
        <v>1309</v>
      </c>
    </row>
    <row r="656" spans="1:5" x14ac:dyDescent="0.3">
      <c r="A656">
        <v>655</v>
      </c>
      <c r="B656" t="s">
        <v>1310</v>
      </c>
      <c r="C656" t="s">
        <v>6</v>
      </c>
      <c r="D656">
        <v>655</v>
      </c>
      <c r="E656" t="s">
        <v>1311</v>
      </c>
    </row>
    <row r="657" spans="1:5" x14ac:dyDescent="0.3">
      <c r="A657">
        <v>656</v>
      </c>
      <c r="B657" t="s">
        <v>1312</v>
      </c>
      <c r="C657" t="s">
        <v>6</v>
      </c>
      <c r="D657">
        <v>656</v>
      </c>
      <c r="E657" t="s">
        <v>1313</v>
      </c>
    </row>
    <row r="658" spans="1:5" x14ac:dyDescent="0.3">
      <c r="A658">
        <v>657</v>
      </c>
      <c r="B658" t="s">
        <v>1314</v>
      </c>
      <c r="C658" t="s">
        <v>6</v>
      </c>
      <c r="D658">
        <v>657</v>
      </c>
      <c r="E658" t="s">
        <v>1315</v>
      </c>
    </row>
    <row r="659" spans="1:5" x14ac:dyDescent="0.3">
      <c r="A659">
        <v>658</v>
      </c>
      <c r="B659" t="s">
        <v>1316</v>
      </c>
      <c r="C659" t="s">
        <v>6</v>
      </c>
      <c r="D659">
        <v>658</v>
      </c>
      <c r="E659" t="s">
        <v>1317</v>
      </c>
    </row>
    <row r="660" spans="1:5" x14ac:dyDescent="0.3">
      <c r="A660">
        <v>659</v>
      </c>
      <c r="B660" t="s">
        <v>1318</v>
      </c>
      <c r="C660" t="s">
        <v>6</v>
      </c>
      <c r="D660">
        <v>659</v>
      </c>
      <c r="E660" t="s">
        <v>1319</v>
      </c>
    </row>
    <row r="661" spans="1:5" x14ac:dyDescent="0.3">
      <c r="A661">
        <v>660</v>
      </c>
      <c r="B661" t="s">
        <v>1320</v>
      </c>
      <c r="C661" t="s">
        <v>6</v>
      </c>
      <c r="D661">
        <v>660</v>
      </c>
      <c r="E661" t="s">
        <v>1321</v>
      </c>
    </row>
    <row r="662" spans="1:5" x14ac:dyDescent="0.3">
      <c r="A662">
        <v>661</v>
      </c>
      <c r="B662" t="s">
        <v>1322</v>
      </c>
      <c r="C662" t="s">
        <v>6</v>
      </c>
      <c r="D662">
        <v>661</v>
      </c>
      <c r="E662" t="s">
        <v>1323</v>
      </c>
    </row>
    <row r="663" spans="1:5" x14ac:dyDescent="0.3">
      <c r="A663">
        <v>662</v>
      </c>
      <c r="B663" t="s">
        <v>1324</v>
      </c>
      <c r="C663" t="s">
        <v>6</v>
      </c>
      <c r="D663">
        <v>662</v>
      </c>
      <c r="E663" t="s">
        <v>1325</v>
      </c>
    </row>
    <row r="664" spans="1:5" x14ac:dyDescent="0.3">
      <c r="A664">
        <v>663</v>
      </c>
      <c r="B664" t="s">
        <v>1326</v>
      </c>
      <c r="C664" t="s">
        <v>6</v>
      </c>
      <c r="D664">
        <v>663</v>
      </c>
      <c r="E664" t="s">
        <v>1327</v>
      </c>
    </row>
    <row r="665" spans="1:5" x14ac:dyDescent="0.3">
      <c r="A665">
        <v>664</v>
      </c>
      <c r="B665" t="s">
        <v>1328</v>
      </c>
      <c r="C665" t="s">
        <v>6</v>
      </c>
      <c r="D665">
        <v>664</v>
      </c>
      <c r="E665" t="s">
        <v>1329</v>
      </c>
    </row>
    <row r="666" spans="1:5" x14ac:dyDescent="0.3">
      <c r="A666">
        <v>665</v>
      </c>
      <c r="B666" t="s">
        <v>1330</v>
      </c>
      <c r="C666" t="s">
        <v>6</v>
      </c>
      <c r="D666">
        <v>665</v>
      </c>
      <c r="E666" t="s">
        <v>1331</v>
      </c>
    </row>
    <row r="667" spans="1:5" x14ac:dyDescent="0.3">
      <c r="A667">
        <v>666</v>
      </c>
      <c r="B667" t="s">
        <v>1332</v>
      </c>
      <c r="C667" t="s">
        <v>6</v>
      </c>
      <c r="D667">
        <v>666</v>
      </c>
      <c r="E667" t="s">
        <v>1333</v>
      </c>
    </row>
    <row r="668" spans="1:5" x14ac:dyDescent="0.3">
      <c r="A668">
        <v>667</v>
      </c>
      <c r="B668" t="s">
        <v>1334</v>
      </c>
      <c r="C668" t="s">
        <v>6</v>
      </c>
      <c r="D668">
        <v>667</v>
      </c>
      <c r="E668" t="s">
        <v>1335</v>
      </c>
    </row>
    <row r="669" spans="1:5" x14ac:dyDescent="0.3">
      <c r="A669">
        <v>668</v>
      </c>
      <c r="B669" t="s">
        <v>1336</v>
      </c>
      <c r="C669" t="s">
        <v>6</v>
      </c>
      <c r="D669">
        <v>668</v>
      </c>
      <c r="E669" t="s">
        <v>1337</v>
      </c>
    </row>
    <row r="670" spans="1:5" x14ac:dyDescent="0.3">
      <c r="A670">
        <v>669</v>
      </c>
      <c r="B670" t="s">
        <v>1338</v>
      </c>
      <c r="C670" t="s">
        <v>6</v>
      </c>
      <c r="D670">
        <v>669</v>
      </c>
      <c r="E670" t="s">
        <v>1339</v>
      </c>
    </row>
    <row r="671" spans="1:5" x14ac:dyDescent="0.3">
      <c r="A671">
        <v>670</v>
      </c>
      <c r="B671" t="s">
        <v>1340</v>
      </c>
      <c r="C671" t="s">
        <v>6</v>
      </c>
      <c r="D671">
        <v>670</v>
      </c>
      <c r="E671" t="s">
        <v>1341</v>
      </c>
    </row>
    <row r="672" spans="1:5" x14ac:dyDescent="0.3">
      <c r="A672">
        <v>671</v>
      </c>
      <c r="B672" t="s">
        <v>1342</v>
      </c>
      <c r="C672" t="s">
        <v>6</v>
      </c>
      <c r="D672">
        <v>671</v>
      </c>
      <c r="E672" t="s">
        <v>1343</v>
      </c>
    </row>
    <row r="673" spans="1:5" x14ac:dyDescent="0.3">
      <c r="A673">
        <v>672</v>
      </c>
      <c r="B673" t="s">
        <v>1344</v>
      </c>
      <c r="C673" t="s">
        <v>6</v>
      </c>
      <c r="D673">
        <v>672</v>
      </c>
      <c r="E673" t="s">
        <v>1345</v>
      </c>
    </row>
    <row r="674" spans="1:5" x14ac:dyDescent="0.3">
      <c r="A674">
        <v>673</v>
      </c>
      <c r="B674" t="s">
        <v>1346</v>
      </c>
      <c r="C674" t="s">
        <v>6</v>
      </c>
      <c r="D674">
        <v>673</v>
      </c>
      <c r="E674" t="s">
        <v>1347</v>
      </c>
    </row>
    <row r="675" spans="1:5" x14ac:dyDescent="0.3">
      <c r="A675">
        <v>674</v>
      </c>
      <c r="B675" t="s">
        <v>1348</v>
      </c>
      <c r="C675" t="s">
        <v>6</v>
      </c>
      <c r="D675">
        <v>674</v>
      </c>
      <c r="E675" t="s">
        <v>1349</v>
      </c>
    </row>
    <row r="676" spans="1:5" x14ac:dyDescent="0.3">
      <c r="A676">
        <v>675</v>
      </c>
      <c r="B676" t="s">
        <v>1350</v>
      </c>
      <c r="C676" t="s">
        <v>6</v>
      </c>
      <c r="D676">
        <v>675</v>
      </c>
      <c r="E676" t="s">
        <v>1351</v>
      </c>
    </row>
    <row r="677" spans="1:5" x14ac:dyDescent="0.3">
      <c r="A677">
        <v>676</v>
      </c>
      <c r="B677" t="s">
        <v>1352</v>
      </c>
      <c r="C677" t="s">
        <v>6</v>
      </c>
      <c r="D677">
        <v>676</v>
      </c>
      <c r="E677" t="s">
        <v>1353</v>
      </c>
    </row>
    <row r="678" spans="1:5" x14ac:dyDescent="0.3">
      <c r="A678">
        <v>677</v>
      </c>
      <c r="B678" t="s">
        <v>1354</v>
      </c>
      <c r="C678" t="s">
        <v>6</v>
      </c>
      <c r="D678">
        <v>677</v>
      </c>
      <c r="E678" t="s">
        <v>1355</v>
      </c>
    </row>
    <row r="679" spans="1:5" x14ac:dyDescent="0.3">
      <c r="A679">
        <v>678</v>
      </c>
      <c r="B679" t="s">
        <v>1356</v>
      </c>
      <c r="C679" t="s">
        <v>6</v>
      </c>
      <c r="D679">
        <v>678</v>
      </c>
      <c r="E679" t="s">
        <v>1357</v>
      </c>
    </row>
    <row r="680" spans="1:5" x14ac:dyDescent="0.3">
      <c r="A680">
        <v>679</v>
      </c>
      <c r="B680" t="s">
        <v>1358</v>
      </c>
      <c r="C680" t="s">
        <v>6</v>
      </c>
      <c r="D680">
        <v>679</v>
      </c>
      <c r="E680" t="s">
        <v>1359</v>
      </c>
    </row>
    <row r="681" spans="1:5" x14ac:dyDescent="0.3">
      <c r="A681">
        <v>680</v>
      </c>
      <c r="B681" t="s">
        <v>1360</v>
      </c>
      <c r="C681" t="s">
        <v>6</v>
      </c>
      <c r="D681">
        <v>680</v>
      </c>
      <c r="E681" t="s">
        <v>1361</v>
      </c>
    </row>
    <row r="682" spans="1:5" x14ac:dyDescent="0.3">
      <c r="A682">
        <v>681</v>
      </c>
      <c r="B682" t="s">
        <v>1362</v>
      </c>
      <c r="C682" t="s">
        <v>6</v>
      </c>
      <c r="D682">
        <v>681</v>
      </c>
      <c r="E682" t="s">
        <v>1363</v>
      </c>
    </row>
    <row r="683" spans="1:5" x14ac:dyDescent="0.3">
      <c r="A683">
        <v>682</v>
      </c>
      <c r="B683" t="s">
        <v>1364</v>
      </c>
      <c r="C683" t="s">
        <v>6</v>
      </c>
      <c r="D683">
        <v>682</v>
      </c>
      <c r="E683" t="s">
        <v>1365</v>
      </c>
    </row>
    <row r="684" spans="1:5" x14ac:dyDescent="0.3">
      <c r="A684">
        <v>683</v>
      </c>
      <c r="B684" t="s">
        <v>1366</v>
      </c>
      <c r="C684" t="s">
        <v>6</v>
      </c>
      <c r="D684">
        <v>683</v>
      </c>
      <c r="E684" t="s">
        <v>1367</v>
      </c>
    </row>
    <row r="685" spans="1:5" x14ac:dyDescent="0.3">
      <c r="A685">
        <v>684</v>
      </c>
      <c r="B685" t="s">
        <v>1368</v>
      </c>
      <c r="C685" t="s">
        <v>6</v>
      </c>
      <c r="D685">
        <v>684</v>
      </c>
      <c r="E685" t="s">
        <v>1369</v>
      </c>
    </row>
    <row r="686" spans="1:5" x14ac:dyDescent="0.3">
      <c r="A686">
        <v>685</v>
      </c>
      <c r="B686" t="s">
        <v>1370</v>
      </c>
      <c r="C686" t="s">
        <v>6</v>
      </c>
      <c r="D686">
        <v>685</v>
      </c>
      <c r="E686" t="s">
        <v>1371</v>
      </c>
    </row>
    <row r="687" spans="1:5" x14ac:dyDescent="0.3">
      <c r="A687">
        <v>686</v>
      </c>
      <c r="B687" t="s">
        <v>1372</v>
      </c>
      <c r="C687" t="s">
        <v>6</v>
      </c>
      <c r="D687">
        <v>686</v>
      </c>
      <c r="E687" t="s">
        <v>1373</v>
      </c>
    </row>
    <row r="688" spans="1:5" x14ac:dyDescent="0.3">
      <c r="A688">
        <v>687</v>
      </c>
      <c r="B688" t="s">
        <v>1374</v>
      </c>
      <c r="C688" t="s">
        <v>6</v>
      </c>
      <c r="D688">
        <v>687</v>
      </c>
      <c r="E688" t="s">
        <v>1375</v>
      </c>
    </row>
    <row r="689" spans="1:5" x14ac:dyDescent="0.3">
      <c r="A689">
        <v>688</v>
      </c>
      <c r="B689" t="s">
        <v>1376</v>
      </c>
      <c r="C689" t="s">
        <v>6</v>
      </c>
      <c r="D689">
        <v>688</v>
      </c>
      <c r="E689" t="s">
        <v>1377</v>
      </c>
    </row>
    <row r="690" spans="1:5" x14ac:dyDescent="0.3">
      <c r="A690">
        <v>689</v>
      </c>
      <c r="B690" t="s">
        <v>1378</v>
      </c>
      <c r="C690" t="s">
        <v>6</v>
      </c>
      <c r="D690">
        <v>689</v>
      </c>
      <c r="E690" t="s">
        <v>1379</v>
      </c>
    </row>
    <row r="691" spans="1:5" x14ac:dyDescent="0.3">
      <c r="A691">
        <v>690</v>
      </c>
      <c r="B691" t="s">
        <v>1380</v>
      </c>
      <c r="C691" t="s">
        <v>6</v>
      </c>
      <c r="D691">
        <v>690</v>
      </c>
      <c r="E691" t="s">
        <v>1381</v>
      </c>
    </row>
    <row r="692" spans="1:5" x14ac:dyDescent="0.3">
      <c r="A692">
        <v>691</v>
      </c>
      <c r="B692" t="s">
        <v>1382</v>
      </c>
      <c r="C692" t="s">
        <v>6</v>
      </c>
      <c r="D692">
        <v>691</v>
      </c>
      <c r="E692" t="s">
        <v>1383</v>
      </c>
    </row>
    <row r="693" spans="1:5" x14ac:dyDescent="0.3">
      <c r="A693">
        <v>692</v>
      </c>
      <c r="B693" t="s">
        <v>1384</v>
      </c>
      <c r="C693" t="s">
        <v>6</v>
      </c>
      <c r="D693">
        <v>692</v>
      </c>
      <c r="E693" t="s">
        <v>1385</v>
      </c>
    </row>
    <row r="694" spans="1:5" x14ac:dyDescent="0.3">
      <c r="A694">
        <v>693</v>
      </c>
      <c r="B694" t="s">
        <v>1386</v>
      </c>
      <c r="C694" t="s">
        <v>6</v>
      </c>
      <c r="D694">
        <v>693</v>
      </c>
      <c r="E694" t="s">
        <v>1387</v>
      </c>
    </row>
    <row r="695" spans="1:5" x14ac:dyDescent="0.3">
      <c r="A695">
        <v>694</v>
      </c>
      <c r="B695" t="s">
        <v>1388</v>
      </c>
      <c r="C695" t="s">
        <v>6</v>
      </c>
      <c r="D695">
        <v>694</v>
      </c>
      <c r="E695" t="s">
        <v>1389</v>
      </c>
    </row>
    <row r="696" spans="1:5" x14ac:dyDescent="0.3">
      <c r="A696">
        <v>695</v>
      </c>
      <c r="B696" t="s">
        <v>1390</v>
      </c>
      <c r="C696" t="s">
        <v>6</v>
      </c>
      <c r="D696">
        <v>695</v>
      </c>
      <c r="E696" t="s">
        <v>1391</v>
      </c>
    </row>
    <row r="697" spans="1:5" x14ac:dyDescent="0.3">
      <c r="A697">
        <v>696</v>
      </c>
      <c r="B697" t="s">
        <v>1392</v>
      </c>
      <c r="C697" t="s">
        <v>6</v>
      </c>
      <c r="D697">
        <v>696</v>
      </c>
      <c r="E697" t="s">
        <v>1393</v>
      </c>
    </row>
    <row r="698" spans="1:5" x14ac:dyDescent="0.3">
      <c r="A698">
        <v>697</v>
      </c>
      <c r="B698" t="s">
        <v>1394</v>
      </c>
      <c r="C698" t="s">
        <v>6</v>
      </c>
      <c r="D698">
        <v>697</v>
      </c>
      <c r="E698" t="s">
        <v>1395</v>
      </c>
    </row>
    <row r="699" spans="1:5" x14ac:dyDescent="0.3">
      <c r="A699">
        <v>698</v>
      </c>
      <c r="B699" t="s">
        <v>1396</v>
      </c>
      <c r="C699" t="s">
        <v>6</v>
      </c>
      <c r="D699">
        <v>698</v>
      </c>
      <c r="E699" t="s">
        <v>1397</v>
      </c>
    </row>
    <row r="700" spans="1:5" x14ac:dyDescent="0.3">
      <c r="A700">
        <v>699</v>
      </c>
      <c r="B700" t="s">
        <v>1398</v>
      </c>
      <c r="C700" t="s">
        <v>6</v>
      </c>
      <c r="D700">
        <v>699</v>
      </c>
      <c r="E700" t="s">
        <v>1399</v>
      </c>
    </row>
    <row r="701" spans="1:5" x14ac:dyDescent="0.3">
      <c r="A701">
        <v>700</v>
      </c>
      <c r="B701" t="s">
        <v>1400</v>
      </c>
      <c r="C701" t="s">
        <v>6</v>
      </c>
      <c r="D701">
        <v>700</v>
      </c>
      <c r="E701" t="s">
        <v>1401</v>
      </c>
    </row>
    <row r="702" spans="1:5" x14ac:dyDescent="0.3">
      <c r="A702">
        <v>701</v>
      </c>
      <c r="B702" t="s">
        <v>1402</v>
      </c>
      <c r="C702" t="s">
        <v>6</v>
      </c>
      <c r="D702">
        <v>701</v>
      </c>
      <c r="E702" t="s">
        <v>1403</v>
      </c>
    </row>
    <row r="703" spans="1:5" x14ac:dyDescent="0.3">
      <c r="A703">
        <v>702</v>
      </c>
      <c r="B703" t="s">
        <v>1404</v>
      </c>
      <c r="C703" t="s">
        <v>6</v>
      </c>
      <c r="D703">
        <v>702</v>
      </c>
      <c r="E703" t="s">
        <v>1405</v>
      </c>
    </row>
    <row r="704" spans="1:5" x14ac:dyDescent="0.3">
      <c r="A704">
        <v>703</v>
      </c>
      <c r="B704" t="s">
        <v>1406</v>
      </c>
      <c r="C704" t="s">
        <v>6</v>
      </c>
      <c r="D704">
        <v>703</v>
      </c>
      <c r="E704" t="s">
        <v>1407</v>
      </c>
    </row>
    <row r="705" spans="1:5" x14ac:dyDescent="0.3">
      <c r="A705">
        <v>704</v>
      </c>
      <c r="B705" t="s">
        <v>1408</v>
      </c>
      <c r="C705" t="s">
        <v>6</v>
      </c>
      <c r="D705">
        <v>704</v>
      </c>
      <c r="E705" t="s">
        <v>1409</v>
      </c>
    </row>
    <row r="706" spans="1:5" x14ac:dyDescent="0.3">
      <c r="A706">
        <v>705</v>
      </c>
      <c r="B706" t="s">
        <v>1410</v>
      </c>
      <c r="C706" t="s">
        <v>6</v>
      </c>
      <c r="D706">
        <v>705</v>
      </c>
      <c r="E706" t="s">
        <v>1411</v>
      </c>
    </row>
    <row r="707" spans="1:5" x14ac:dyDescent="0.3">
      <c r="A707">
        <v>706</v>
      </c>
      <c r="B707" t="s">
        <v>1412</v>
      </c>
      <c r="C707" t="s">
        <v>6</v>
      </c>
      <c r="D707">
        <v>706</v>
      </c>
      <c r="E707" t="s">
        <v>1413</v>
      </c>
    </row>
    <row r="708" spans="1:5" x14ac:dyDescent="0.3">
      <c r="A708">
        <v>707</v>
      </c>
      <c r="B708" t="s">
        <v>1414</v>
      </c>
      <c r="C708" t="s">
        <v>6</v>
      </c>
      <c r="D708">
        <v>707</v>
      </c>
      <c r="E708" t="s">
        <v>1415</v>
      </c>
    </row>
    <row r="709" spans="1:5" x14ac:dyDescent="0.3">
      <c r="A709">
        <v>708</v>
      </c>
      <c r="B709" t="s">
        <v>1416</v>
      </c>
      <c r="C709" t="s">
        <v>6</v>
      </c>
      <c r="D709">
        <v>708</v>
      </c>
      <c r="E709" t="s">
        <v>1417</v>
      </c>
    </row>
    <row r="710" spans="1:5" x14ac:dyDescent="0.3">
      <c r="A710">
        <v>709</v>
      </c>
      <c r="B710" t="s">
        <v>1418</v>
      </c>
      <c r="C710" t="s">
        <v>6</v>
      </c>
      <c r="D710">
        <v>709</v>
      </c>
      <c r="E710" t="s">
        <v>1419</v>
      </c>
    </row>
    <row r="711" spans="1:5" x14ac:dyDescent="0.3">
      <c r="A711">
        <v>710</v>
      </c>
      <c r="B711" t="s">
        <v>1420</v>
      </c>
      <c r="C711" t="s">
        <v>6</v>
      </c>
      <c r="D711">
        <v>710</v>
      </c>
      <c r="E711" t="s">
        <v>1421</v>
      </c>
    </row>
    <row r="712" spans="1:5" x14ac:dyDescent="0.3">
      <c r="A712">
        <v>711</v>
      </c>
      <c r="B712" t="s">
        <v>1422</v>
      </c>
      <c r="C712" t="s">
        <v>6</v>
      </c>
      <c r="D712">
        <v>711</v>
      </c>
      <c r="E712" t="s">
        <v>1423</v>
      </c>
    </row>
    <row r="713" spans="1:5" x14ac:dyDescent="0.3">
      <c r="A713">
        <v>712</v>
      </c>
      <c r="B713" t="s">
        <v>1424</v>
      </c>
      <c r="C713" t="s">
        <v>6</v>
      </c>
      <c r="D713">
        <v>712</v>
      </c>
      <c r="E713" t="s">
        <v>1425</v>
      </c>
    </row>
    <row r="714" spans="1:5" x14ac:dyDescent="0.3">
      <c r="A714">
        <v>713</v>
      </c>
      <c r="B714" t="s">
        <v>1426</v>
      </c>
      <c r="C714" t="s">
        <v>6</v>
      </c>
      <c r="D714">
        <v>713</v>
      </c>
      <c r="E714" t="s">
        <v>1427</v>
      </c>
    </row>
    <row r="715" spans="1:5" x14ac:dyDescent="0.3">
      <c r="A715">
        <v>714</v>
      </c>
      <c r="B715" t="s">
        <v>1428</v>
      </c>
      <c r="C715" t="s">
        <v>6</v>
      </c>
      <c r="D715">
        <v>714</v>
      </c>
      <c r="E715" t="s">
        <v>1429</v>
      </c>
    </row>
    <row r="716" spans="1:5" x14ac:dyDescent="0.3">
      <c r="A716">
        <v>715</v>
      </c>
      <c r="B716" t="s">
        <v>1430</v>
      </c>
      <c r="C716" t="s">
        <v>6</v>
      </c>
      <c r="D716">
        <v>715</v>
      </c>
      <c r="E716" t="s">
        <v>1431</v>
      </c>
    </row>
    <row r="717" spans="1:5" x14ac:dyDescent="0.3">
      <c r="A717">
        <v>716</v>
      </c>
      <c r="B717" t="s">
        <v>1432</v>
      </c>
      <c r="C717" t="s">
        <v>6</v>
      </c>
      <c r="D717">
        <v>716</v>
      </c>
      <c r="E717" t="s">
        <v>1433</v>
      </c>
    </row>
    <row r="718" spans="1:5" x14ac:dyDescent="0.3">
      <c r="A718">
        <v>717</v>
      </c>
      <c r="B718" t="s">
        <v>1434</v>
      </c>
      <c r="C718" t="s">
        <v>6</v>
      </c>
      <c r="D718">
        <v>717</v>
      </c>
      <c r="E718" t="s">
        <v>1435</v>
      </c>
    </row>
    <row r="719" spans="1:5" x14ac:dyDescent="0.3">
      <c r="A719">
        <v>718</v>
      </c>
      <c r="B719" t="s">
        <v>1436</v>
      </c>
      <c r="C719" t="s">
        <v>6</v>
      </c>
      <c r="D719">
        <v>718</v>
      </c>
      <c r="E719" t="s">
        <v>1437</v>
      </c>
    </row>
    <row r="720" spans="1:5" x14ac:dyDescent="0.3">
      <c r="A720">
        <v>719</v>
      </c>
      <c r="B720" t="s">
        <v>1438</v>
      </c>
      <c r="C720" t="s">
        <v>6</v>
      </c>
      <c r="D720">
        <v>719</v>
      </c>
      <c r="E720" t="s">
        <v>1439</v>
      </c>
    </row>
    <row r="721" spans="1:5" x14ac:dyDescent="0.3">
      <c r="A721">
        <v>720</v>
      </c>
      <c r="B721" t="s">
        <v>1440</v>
      </c>
      <c r="C721" t="s">
        <v>6</v>
      </c>
      <c r="D721">
        <v>720</v>
      </c>
      <c r="E721" t="s">
        <v>1441</v>
      </c>
    </row>
    <row r="722" spans="1:5" x14ac:dyDescent="0.3">
      <c r="A722">
        <v>721</v>
      </c>
      <c r="B722" t="s">
        <v>1442</v>
      </c>
      <c r="C722" t="s">
        <v>6</v>
      </c>
      <c r="D722">
        <v>721</v>
      </c>
      <c r="E722" t="s">
        <v>1443</v>
      </c>
    </row>
    <row r="723" spans="1:5" x14ac:dyDescent="0.3">
      <c r="A723">
        <v>722</v>
      </c>
      <c r="B723" t="s">
        <v>1444</v>
      </c>
      <c r="C723" t="s">
        <v>6</v>
      </c>
      <c r="D723">
        <v>722</v>
      </c>
      <c r="E723" t="s">
        <v>1445</v>
      </c>
    </row>
    <row r="724" spans="1:5" x14ac:dyDescent="0.3">
      <c r="A724">
        <v>723</v>
      </c>
      <c r="B724" t="s">
        <v>1446</v>
      </c>
      <c r="C724" t="s">
        <v>6</v>
      </c>
      <c r="D724">
        <v>723</v>
      </c>
      <c r="E724" t="s">
        <v>1447</v>
      </c>
    </row>
    <row r="725" spans="1:5" x14ac:dyDescent="0.3">
      <c r="A725">
        <v>724</v>
      </c>
      <c r="B725" t="s">
        <v>1448</v>
      </c>
      <c r="C725" t="s">
        <v>6</v>
      </c>
      <c r="D725">
        <v>724</v>
      </c>
      <c r="E725" t="s">
        <v>1449</v>
      </c>
    </row>
    <row r="726" spans="1:5" x14ac:dyDescent="0.3">
      <c r="A726">
        <v>725</v>
      </c>
      <c r="B726" t="s">
        <v>1450</v>
      </c>
      <c r="C726" t="s">
        <v>6</v>
      </c>
      <c r="D726">
        <v>725</v>
      </c>
      <c r="E726" t="s">
        <v>1451</v>
      </c>
    </row>
    <row r="727" spans="1:5" x14ac:dyDescent="0.3">
      <c r="A727">
        <v>726</v>
      </c>
      <c r="B727" t="s">
        <v>1452</v>
      </c>
      <c r="C727" t="s">
        <v>6</v>
      </c>
      <c r="D727">
        <v>726</v>
      </c>
      <c r="E727" t="s">
        <v>1453</v>
      </c>
    </row>
    <row r="728" spans="1:5" x14ac:dyDescent="0.3">
      <c r="A728">
        <v>727</v>
      </c>
      <c r="B728" t="s">
        <v>1454</v>
      </c>
      <c r="C728" t="s">
        <v>6</v>
      </c>
      <c r="D728">
        <v>727</v>
      </c>
      <c r="E728" t="s">
        <v>1455</v>
      </c>
    </row>
    <row r="729" spans="1:5" x14ac:dyDescent="0.3">
      <c r="A729">
        <v>728</v>
      </c>
      <c r="B729" t="s">
        <v>1456</v>
      </c>
      <c r="C729" t="s">
        <v>6</v>
      </c>
      <c r="D729">
        <v>728</v>
      </c>
      <c r="E729" t="s">
        <v>1457</v>
      </c>
    </row>
    <row r="730" spans="1:5" x14ac:dyDescent="0.3">
      <c r="A730">
        <v>729</v>
      </c>
      <c r="B730" t="s">
        <v>1458</v>
      </c>
      <c r="C730" t="s">
        <v>6</v>
      </c>
      <c r="D730">
        <v>729</v>
      </c>
      <c r="E730" t="s">
        <v>1459</v>
      </c>
    </row>
    <row r="731" spans="1:5" x14ac:dyDescent="0.3">
      <c r="A731">
        <v>730</v>
      </c>
      <c r="B731" t="s">
        <v>1460</v>
      </c>
      <c r="C731" t="s">
        <v>6</v>
      </c>
      <c r="D731">
        <v>730</v>
      </c>
      <c r="E731" t="s">
        <v>1461</v>
      </c>
    </row>
    <row r="732" spans="1:5" x14ac:dyDescent="0.3">
      <c r="A732">
        <v>731</v>
      </c>
      <c r="B732" t="s">
        <v>1462</v>
      </c>
      <c r="C732" t="s">
        <v>6</v>
      </c>
      <c r="D732">
        <v>731</v>
      </c>
      <c r="E732" t="s">
        <v>1463</v>
      </c>
    </row>
    <row r="733" spans="1:5" x14ac:dyDescent="0.3">
      <c r="A733">
        <v>732</v>
      </c>
      <c r="B733" t="s">
        <v>1464</v>
      </c>
      <c r="C733" t="s">
        <v>6</v>
      </c>
      <c r="D733">
        <v>732</v>
      </c>
      <c r="E733" t="s">
        <v>1465</v>
      </c>
    </row>
    <row r="734" spans="1:5" x14ac:dyDescent="0.3">
      <c r="A734">
        <v>733</v>
      </c>
      <c r="B734" t="s">
        <v>1466</v>
      </c>
      <c r="C734" t="s">
        <v>6</v>
      </c>
      <c r="D734">
        <v>733</v>
      </c>
      <c r="E734" t="s">
        <v>1467</v>
      </c>
    </row>
    <row r="735" spans="1:5" x14ac:dyDescent="0.3">
      <c r="A735">
        <v>734</v>
      </c>
      <c r="B735" t="s">
        <v>1468</v>
      </c>
      <c r="C735" t="s">
        <v>6</v>
      </c>
      <c r="D735">
        <v>734</v>
      </c>
      <c r="E735" t="s">
        <v>1469</v>
      </c>
    </row>
    <row r="736" spans="1:5" x14ac:dyDescent="0.3">
      <c r="A736">
        <v>735</v>
      </c>
      <c r="B736" t="s">
        <v>1470</v>
      </c>
      <c r="C736" t="s">
        <v>6</v>
      </c>
      <c r="D736">
        <v>735</v>
      </c>
      <c r="E736" t="s">
        <v>1471</v>
      </c>
    </row>
    <row r="737" spans="1:5" x14ac:dyDescent="0.3">
      <c r="A737">
        <v>736</v>
      </c>
      <c r="B737" t="s">
        <v>1472</v>
      </c>
      <c r="C737" t="s">
        <v>6</v>
      </c>
      <c r="D737">
        <v>736</v>
      </c>
      <c r="E737" t="s">
        <v>1473</v>
      </c>
    </row>
    <row r="738" spans="1:5" x14ac:dyDescent="0.3">
      <c r="A738">
        <v>737</v>
      </c>
      <c r="B738" t="s">
        <v>1474</v>
      </c>
      <c r="C738" t="s">
        <v>6</v>
      </c>
      <c r="D738">
        <v>737</v>
      </c>
      <c r="E738" t="s">
        <v>1475</v>
      </c>
    </row>
    <row r="739" spans="1:5" x14ac:dyDescent="0.3">
      <c r="A739">
        <v>738</v>
      </c>
      <c r="B739" t="s">
        <v>1476</v>
      </c>
      <c r="C739" t="s">
        <v>6</v>
      </c>
      <c r="D739">
        <v>738</v>
      </c>
      <c r="E739" t="s">
        <v>1477</v>
      </c>
    </row>
    <row r="740" spans="1:5" x14ac:dyDescent="0.3">
      <c r="A740">
        <v>739</v>
      </c>
      <c r="B740" t="s">
        <v>1478</v>
      </c>
      <c r="C740" t="s">
        <v>6</v>
      </c>
      <c r="D740">
        <v>739</v>
      </c>
      <c r="E740" t="s">
        <v>1479</v>
      </c>
    </row>
    <row r="741" spans="1:5" x14ac:dyDescent="0.3">
      <c r="A741">
        <v>740</v>
      </c>
      <c r="B741" t="s">
        <v>1480</v>
      </c>
      <c r="C741" t="s">
        <v>6</v>
      </c>
      <c r="D741">
        <v>740</v>
      </c>
      <c r="E741" t="s">
        <v>1481</v>
      </c>
    </row>
    <row r="742" spans="1:5" x14ac:dyDescent="0.3">
      <c r="A742">
        <v>741</v>
      </c>
      <c r="B742" t="s">
        <v>1482</v>
      </c>
      <c r="C742" t="s">
        <v>6</v>
      </c>
      <c r="D742">
        <v>741</v>
      </c>
      <c r="E742" t="s">
        <v>1483</v>
      </c>
    </row>
    <row r="743" spans="1:5" x14ac:dyDescent="0.3">
      <c r="A743">
        <v>742</v>
      </c>
      <c r="B743" t="s">
        <v>1484</v>
      </c>
      <c r="C743" t="s">
        <v>6</v>
      </c>
      <c r="D743">
        <v>742</v>
      </c>
      <c r="E743" t="s">
        <v>1485</v>
      </c>
    </row>
    <row r="744" spans="1:5" x14ac:dyDescent="0.3">
      <c r="A744">
        <v>743</v>
      </c>
      <c r="B744" t="s">
        <v>1486</v>
      </c>
      <c r="C744" t="s">
        <v>6</v>
      </c>
      <c r="D744">
        <v>743</v>
      </c>
      <c r="E744" t="s">
        <v>1487</v>
      </c>
    </row>
    <row r="745" spans="1:5" x14ac:dyDescent="0.3">
      <c r="A745">
        <v>744</v>
      </c>
      <c r="B745" t="s">
        <v>1488</v>
      </c>
      <c r="C745" t="s">
        <v>6</v>
      </c>
      <c r="D745">
        <v>744</v>
      </c>
      <c r="E745" t="s">
        <v>1489</v>
      </c>
    </row>
    <row r="746" spans="1:5" x14ac:dyDescent="0.3">
      <c r="A746">
        <v>745</v>
      </c>
      <c r="B746" t="s">
        <v>1490</v>
      </c>
      <c r="C746" t="s">
        <v>6</v>
      </c>
      <c r="D746">
        <v>745</v>
      </c>
      <c r="E746" t="s">
        <v>1491</v>
      </c>
    </row>
    <row r="747" spans="1:5" x14ac:dyDescent="0.3">
      <c r="A747">
        <v>746</v>
      </c>
      <c r="B747" t="s">
        <v>1492</v>
      </c>
      <c r="C747" t="s">
        <v>6</v>
      </c>
      <c r="D747">
        <v>746</v>
      </c>
      <c r="E747" t="s">
        <v>1493</v>
      </c>
    </row>
    <row r="748" spans="1:5" x14ac:dyDescent="0.3">
      <c r="A748">
        <v>747</v>
      </c>
      <c r="B748" t="s">
        <v>1494</v>
      </c>
      <c r="C748" t="s">
        <v>6</v>
      </c>
      <c r="D748">
        <v>747</v>
      </c>
      <c r="E748" t="s">
        <v>1495</v>
      </c>
    </row>
    <row r="749" spans="1:5" x14ac:dyDescent="0.3">
      <c r="A749">
        <v>748</v>
      </c>
      <c r="B749" t="s">
        <v>1496</v>
      </c>
      <c r="C749" t="s">
        <v>6</v>
      </c>
      <c r="D749">
        <v>748</v>
      </c>
      <c r="E749" t="s">
        <v>1497</v>
      </c>
    </row>
    <row r="750" spans="1:5" x14ac:dyDescent="0.3">
      <c r="A750">
        <v>749</v>
      </c>
      <c r="B750" t="s">
        <v>1498</v>
      </c>
      <c r="C750" t="s">
        <v>6</v>
      </c>
      <c r="D750">
        <v>749</v>
      </c>
      <c r="E750" t="s">
        <v>1499</v>
      </c>
    </row>
    <row r="751" spans="1:5" x14ac:dyDescent="0.3">
      <c r="A751">
        <v>750</v>
      </c>
      <c r="B751" t="s">
        <v>1500</v>
      </c>
      <c r="C751" t="s">
        <v>6</v>
      </c>
      <c r="D751">
        <v>750</v>
      </c>
      <c r="E751" t="s">
        <v>1501</v>
      </c>
    </row>
    <row r="752" spans="1:5" x14ac:dyDescent="0.3">
      <c r="A752">
        <v>751</v>
      </c>
      <c r="B752" t="s">
        <v>1502</v>
      </c>
      <c r="C752" t="s">
        <v>6</v>
      </c>
      <c r="D752">
        <v>751</v>
      </c>
      <c r="E752" t="s">
        <v>1503</v>
      </c>
    </row>
    <row r="753" spans="1:5" x14ac:dyDescent="0.3">
      <c r="A753">
        <v>752</v>
      </c>
      <c r="B753" t="s">
        <v>1504</v>
      </c>
      <c r="C753" t="s">
        <v>6</v>
      </c>
      <c r="D753">
        <v>752</v>
      </c>
      <c r="E753" t="s">
        <v>1505</v>
      </c>
    </row>
    <row r="754" spans="1:5" x14ac:dyDescent="0.3">
      <c r="A754">
        <v>753</v>
      </c>
      <c r="B754" t="s">
        <v>1506</v>
      </c>
      <c r="C754" t="s">
        <v>6</v>
      </c>
      <c r="D754">
        <v>753</v>
      </c>
      <c r="E754" t="s">
        <v>1507</v>
      </c>
    </row>
    <row r="755" spans="1:5" x14ac:dyDescent="0.3">
      <c r="A755">
        <v>754</v>
      </c>
      <c r="B755" t="s">
        <v>1508</v>
      </c>
      <c r="C755" t="s">
        <v>6</v>
      </c>
      <c r="D755">
        <v>754</v>
      </c>
      <c r="E755" t="s">
        <v>1509</v>
      </c>
    </row>
    <row r="756" spans="1:5" x14ac:dyDescent="0.3">
      <c r="A756">
        <v>755</v>
      </c>
      <c r="B756" t="s">
        <v>1510</v>
      </c>
      <c r="C756" t="s">
        <v>6</v>
      </c>
      <c r="D756">
        <v>755</v>
      </c>
      <c r="E756" t="s">
        <v>1511</v>
      </c>
    </row>
    <row r="757" spans="1:5" x14ac:dyDescent="0.3">
      <c r="A757">
        <v>756</v>
      </c>
      <c r="B757" t="s">
        <v>1512</v>
      </c>
      <c r="C757" t="s">
        <v>6</v>
      </c>
      <c r="D757">
        <v>756</v>
      </c>
      <c r="E757" t="s">
        <v>1513</v>
      </c>
    </row>
    <row r="758" spans="1:5" x14ac:dyDescent="0.3">
      <c r="A758">
        <v>757</v>
      </c>
      <c r="B758" t="s">
        <v>1514</v>
      </c>
      <c r="C758" t="s">
        <v>6</v>
      </c>
      <c r="D758">
        <v>757</v>
      </c>
      <c r="E758" t="s">
        <v>1515</v>
      </c>
    </row>
    <row r="759" spans="1:5" x14ac:dyDescent="0.3">
      <c r="A759">
        <v>758</v>
      </c>
      <c r="B759" t="s">
        <v>1516</v>
      </c>
      <c r="C759" t="s">
        <v>6</v>
      </c>
      <c r="D759">
        <v>758</v>
      </c>
      <c r="E759" t="s">
        <v>1517</v>
      </c>
    </row>
    <row r="760" spans="1:5" x14ac:dyDescent="0.3">
      <c r="A760">
        <v>759</v>
      </c>
      <c r="B760" t="s">
        <v>1518</v>
      </c>
      <c r="C760" t="s">
        <v>6</v>
      </c>
      <c r="D760">
        <v>759</v>
      </c>
      <c r="E760" t="s">
        <v>1519</v>
      </c>
    </row>
    <row r="761" spans="1:5" x14ac:dyDescent="0.3">
      <c r="A761">
        <v>760</v>
      </c>
      <c r="B761" t="s">
        <v>1520</v>
      </c>
      <c r="C761" t="s">
        <v>6</v>
      </c>
      <c r="D761">
        <v>760</v>
      </c>
      <c r="E761" t="s">
        <v>1521</v>
      </c>
    </row>
    <row r="762" spans="1:5" x14ac:dyDescent="0.3">
      <c r="A762">
        <v>761</v>
      </c>
      <c r="B762" t="s">
        <v>1522</v>
      </c>
      <c r="C762" t="s">
        <v>6</v>
      </c>
      <c r="D762">
        <v>761</v>
      </c>
      <c r="E762" t="s">
        <v>1523</v>
      </c>
    </row>
    <row r="763" spans="1:5" x14ac:dyDescent="0.3">
      <c r="A763">
        <v>762</v>
      </c>
      <c r="B763" t="s">
        <v>1524</v>
      </c>
      <c r="C763" t="s">
        <v>6</v>
      </c>
      <c r="D763">
        <v>762</v>
      </c>
      <c r="E763" t="s">
        <v>1525</v>
      </c>
    </row>
    <row r="764" spans="1:5" x14ac:dyDescent="0.3">
      <c r="A764">
        <v>763</v>
      </c>
      <c r="B764" t="s">
        <v>1526</v>
      </c>
      <c r="C764" t="s">
        <v>6</v>
      </c>
      <c r="D764">
        <v>763</v>
      </c>
      <c r="E764" t="s">
        <v>1527</v>
      </c>
    </row>
    <row r="765" spans="1:5" x14ac:dyDescent="0.3">
      <c r="A765">
        <v>764</v>
      </c>
      <c r="B765" t="s">
        <v>1528</v>
      </c>
      <c r="C765" t="s">
        <v>6</v>
      </c>
      <c r="D765">
        <v>764</v>
      </c>
      <c r="E765" t="s">
        <v>1529</v>
      </c>
    </row>
    <row r="766" spans="1:5" x14ac:dyDescent="0.3">
      <c r="A766">
        <v>765</v>
      </c>
      <c r="B766" t="s">
        <v>1530</v>
      </c>
      <c r="C766" t="s">
        <v>6</v>
      </c>
      <c r="D766">
        <v>765</v>
      </c>
      <c r="E766" t="s">
        <v>1531</v>
      </c>
    </row>
    <row r="767" spans="1:5" x14ac:dyDescent="0.3">
      <c r="A767">
        <v>766</v>
      </c>
      <c r="B767" t="s">
        <v>1532</v>
      </c>
      <c r="C767" t="s">
        <v>6</v>
      </c>
      <c r="D767">
        <v>766</v>
      </c>
      <c r="E767" t="s">
        <v>1533</v>
      </c>
    </row>
    <row r="768" spans="1:5" x14ac:dyDescent="0.3">
      <c r="A768">
        <v>767</v>
      </c>
      <c r="B768" t="s">
        <v>1534</v>
      </c>
      <c r="C768" t="s">
        <v>6</v>
      </c>
      <c r="D768">
        <v>767</v>
      </c>
      <c r="E768" t="s">
        <v>1535</v>
      </c>
    </row>
    <row r="769" spans="1:5" x14ac:dyDescent="0.3">
      <c r="A769">
        <v>768</v>
      </c>
      <c r="B769" t="s">
        <v>1536</v>
      </c>
      <c r="C769" t="s">
        <v>6</v>
      </c>
      <c r="D769">
        <v>768</v>
      </c>
      <c r="E769" t="s">
        <v>1537</v>
      </c>
    </row>
    <row r="770" spans="1:5" x14ac:dyDescent="0.3">
      <c r="A770">
        <v>769</v>
      </c>
      <c r="B770" t="s">
        <v>1538</v>
      </c>
      <c r="C770" t="s">
        <v>6</v>
      </c>
      <c r="D770">
        <v>769</v>
      </c>
      <c r="E770" t="s">
        <v>1539</v>
      </c>
    </row>
    <row r="771" spans="1:5" x14ac:dyDescent="0.3">
      <c r="A771">
        <v>770</v>
      </c>
      <c r="B771" t="s">
        <v>1540</v>
      </c>
      <c r="C771" t="s">
        <v>6</v>
      </c>
      <c r="D771">
        <v>770</v>
      </c>
      <c r="E771" t="s">
        <v>1541</v>
      </c>
    </row>
    <row r="772" spans="1:5" x14ac:dyDescent="0.3">
      <c r="A772">
        <v>771</v>
      </c>
      <c r="B772" t="s">
        <v>1542</v>
      </c>
      <c r="C772" t="s">
        <v>6</v>
      </c>
      <c r="D772">
        <v>771</v>
      </c>
      <c r="E772" t="s">
        <v>1543</v>
      </c>
    </row>
    <row r="773" spans="1:5" x14ac:dyDescent="0.3">
      <c r="A773">
        <v>772</v>
      </c>
      <c r="B773" t="s">
        <v>1544</v>
      </c>
      <c r="C773" t="s">
        <v>6</v>
      </c>
      <c r="D773">
        <v>772</v>
      </c>
      <c r="E773" t="s">
        <v>1545</v>
      </c>
    </row>
    <row r="774" spans="1:5" x14ac:dyDescent="0.3">
      <c r="A774">
        <v>773</v>
      </c>
      <c r="B774" t="s">
        <v>1546</v>
      </c>
      <c r="C774" t="s">
        <v>6</v>
      </c>
      <c r="D774">
        <v>773</v>
      </c>
      <c r="E774" t="s">
        <v>1547</v>
      </c>
    </row>
    <row r="775" spans="1:5" x14ac:dyDescent="0.3">
      <c r="A775">
        <v>774</v>
      </c>
      <c r="B775" t="s">
        <v>1548</v>
      </c>
      <c r="C775" t="s">
        <v>6</v>
      </c>
      <c r="D775">
        <v>774</v>
      </c>
      <c r="E775" t="s">
        <v>1549</v>
      </c>
    </row>
    <row r="776" spans="1:5" x14ac:dyDescent="0.3">
      <c r="A776">
        <v>775</v>
      </c>
      <c r="B776" t="s">
        <v>1550</v>
      </c>
      <c r="C776" t="s">
        <v>6</v>
      </c>
      <c r="D776">
        <v>775</v>
      </c>
      <c r="E776" t="s">
        <v>1551</v>
      </c>
    </row>
    <row r="777" spans="1:5" x14ac:dyDescent="0.3">
      <c r="A777">
        <v>776</v>
      </c>
      <c r="B777" t="s">
        <v>1552</v>
      </c>
      <c r="C777" t="s">
        <v>6</v>
      </c>
      <c r="D777">
        <v>776</v>
      </c>
      <c r="E777" t="s">
        <v>1553</v>
      </c>
    </row>
    <row r="778" spans="1:5" x14ac:dyDescent="0.3">
      <c r="A778">
        <v>777</v>
      </c>
      <c r="B778" t="s">
        <v>1554</v>
      </c>
      <c r="C778" t="s">
        <v>6</v>
      </c>
      <c r="D778">
        <v>777</v>
      </c>
      <c r="E778" t="s">
        <v>1555</v>
      </c>
    </row>
    <row r="779" spans="1:5" x14ac:dyDescent="0.3">
      <c r="A779">
        <v>778</v>
      </c>
      <c r="B779" t="s">
        <v>1556</v>
      </c>
      <c r="C779" t="s">
        <v>6</v>
      </c>
      <c r="D779">
        <v>778</v>
      </c>
      <c r="E779" t="s">
        <v>1557</v>
      </c>
    </row>
    <row r="780" spans="1:5" x14ac:dyDescent="0.3">
      <c r="A780">
        <v>779</v>
      </c>
      <c r="B780" t="s">
        <v>1558</v>
      </c>
      <c r="C780" t="s">
        <v>6</v>
      </c>
      <c r="D780">
        <v>779</v>
      </c>
      <c r="E780" t="s">
        <v>1559</v>
      </c>
    </row>
    <row r="781" spans="1:5" x14ac:dyDescent="0.3">
      <c r="A781">
        <v>780</v>
      </c>
      <c r="B781" t="s">
        <v>1560</v>
      </c>
      <c r="C781" t="s">
        <v>6</v>
      </c>
      <c r="D781">
        <v>780</v>
      </c>
      <c r="E781" t="s">
        <v>1561</v>
      </c>
    </row>
    <row r="782" spans="1:5" x14ac:dyDescent="0.3">
      <c r="A782">
        <v>781</v>
      </c>
      <c r="B782" t="s">
        <v>1562</v>
      </c>
      <c r="C782" t="s">
        <v>6</v>
      </c>
      <c r="D782">
        <v>781</v>
      </c>
      <c r="E782" t="s">
        <v>1563</v>
      </c>
    </row>
    <row r="783" spans="1:5" x14ac:dyDescent="0.3">
      <c r="A783">
        <v>782</v>
      </c>
      <c r="B783" t="s">
        <v>1564</v>
      </c>
      <c r="C783" t="s">
        <v>6</v>
      </c>
      <c r="D783">
        <v>782</v>
      </c>
      <c r="E783" t="s">
        <v>1565</v>
      </c>
    </row>
    <row r="784" spans="1:5" x14ac:dyDescent="0.3">
      <c r="A784">
        <v>783</v>
      </c>
      <c r="B784" t="s">
        <v>1566</v>
      </c>
      <c r="C784" t="s">
        <v>6</v>
      </c>
      <c r="D784">
        <v>783</v>
      </c>
      <c r="E784" t="s">
        <v>1567</v>
      </c>
    </row>
    <row r="785" spans="1:5" x14ac:dyDescent="0.3">
      <c r="A785">
        <v>784</v>
      </c>
      <c r="B785" t="s">
        <v>1568</v>
      </c>
      <c r="C785" t="s">
        <v>6</v>
      </c>
      <c r="D785">
        <v>784</v>
      </c>
      <c r="E785" t="s">
        <v>1569</v>
      </c>
    </row>
    <row r="786" spans="1:5" x14ac:dyDescent="0.3">
      <c r="A786">
        <v>785</v>
      </c>
      <c r="B786" t="s">
        <v>1570</v>
      </c>
      <c r="C786" t="s">
        <v>6</v>
      </c>
      <c r="D786">
        <v>785</v>
      </c>
      <c r="E786" t="s">
        <v>1571</v>
      </c>
    </row>
    <row r="787" spans="1:5" x14ac:dyDescent="0.3">
      <c r="A787">
        <v>786</v>
      </c>
      <c r="B787" t="s">
        <v>1572</v>
      </c>
      <c r="C787" t="s">
        <v>6</v>
      </c>
      <c r="D787">
        <v>786</v>
      </c>
      <c r="E787" t="s">
        <v>1573</v>
      </c>
    </row>
    <row r="788" spans="1:5" x14ac:dyDescent="0.3">
      <c r="A788">
        <v>787</v>
      </c>
      <c r="B788" t="s">
        <v>1574</v>
      </c>
      <c r="C788" t="s">
        <v>6</v>
      </c>
      <c r="D788">
        <v>787</v>
      </c>
      <c r="E788" t="s">
        <v>1575</v>
      </c>
    </row>
    <row r="789" spans="1:5" x14ac:dyDescent="0.3">
      <c r="A789">
        <v>788</v>
      </c>
      <c r="B789" t="s">
        <v>1576</v>
      </c>
      <c r="C789" t="s">
        <v>6</v>
      </c>
      <c r="D789">
        <v>788</v>
      </c>
      <c r="E789" t="s">
        <v>1577</v>
      </c>
    </row>
    <row r="790" spans="1:5" x14ac:dyDescent="0.3">
      <c r="A790">
        <v>789</v>
      </c>
      <c r="B790" t="s">
        <v>1578</v>
      </c>
      <c r="C790" t="s">
        <v>6</v>
      </c>
      <c r="D790">
        <v>789</v>
      </c>
      <c r="E790" t="s">
        <v>1579</v>
      </c>
    </row>
    <row r="791" spans="1:5" x14ac:dyDescent="0.3">
      <c r="A791">
        <v>790</v>
      </c>
      <c r="B791" t="s">
        <v>1580</v>
      </c>
      <c r="C791" t="s">
        <v>6</v>
      </c>
      <c r="D791">
        <v>790</v>
      </c>
      <c r="E791" t="s">
        <v>1581</v>
      </c>
    </row>
    <row r="792" spans="1:5" x14ac:dyDescent="0.3">
      <c r="A792">
        <v>791</v>
      </c>
      <c r="B792" t="s">
        <v>1582</v>
      </c>
      <c r="C792" t="s">
        <v>6</v>
      </c>
      <c r="D792">
        <v>791</v>
      </c>
      <c r="E792" t="s">
        <v>1583</v>
      </c>
    </row>
    <row r="793" spans="1:5" x14ac:dyDescent="0.3">
      <c r="A793">
        <v>792</v>
      </c>
      <c r="B793" t="s">
        <v>1584</v>
      </c>
      <c r="C793" t="s">
        <v>6</v>
      </c>
      <c r="D793">
        <v>792</v>
      </c>
      <c r="E793" t="s">
        <v>1585</v>
      </c>
    </row>
    <row r="794" spans="1:5" x14ac:dyDescent="0.3">
      <c r="A794">
        <v>793</v>
      </c>
      <c r="B794" t="s">
        <v>1586</v>
      </c>
      <c r="C794" t="s">
        <v>6</v>
      </c>
      <c r="D794">
        <v>793</v>
      </c>
      <c r="E794" t="s">
        <v>1587</v>
      </c>
    </row>
    <row r="795" spans="1:5" x14ac:dyDescent="0.3">
      <c r="A795">
        <v>794</v>
      </c>
      <c r="B795" t="s">
        <v>1588</v>
      </c>
      <c r="C795" t="s">
        <v>6</v>
      </c>
      <c r="D795">
        <v>794</v>
      </c>
      <c r="E795" t="s">
        <v>1589</v>
      </c>
    </row>
    <row r="796" spans="1:5" x14ac:dyDescent="0.3">
      <c r="A796">
        <v>795</v>
      </c>
      <c r="B796" t="s">
        <v>1590</v>
      </c>
      <c r="C796" t="s">
        <v>6</v>
      </c>
      <c r="D796">
        <v>795</v>
      </c>
      <c r="E796" t="s">
        <v>1591</v>
      </c>
    </row>
    <row r="797" spans="1:5" x14ac:dyDescent="0.3">
      <c r="A797">
        <v>796</v>
      </c>
      <c r="B797" t="s">
        <v>1592</v>
      </c>
      <c r="C797" t="s">
        <v>6</v>
      </c>
      <c r="D797">
        <v>796</v>
      </c>
      <c r="E797" t="s">
        <v>1593</v>
      </c>
    </row>
    <row r="798" spans="1:5" x14ac:dyDescent="0.3">
      <c r="A798">
        <v>797</v>
      </c>
      <c r="B798" t="s">
        <v>1594</v>
      </c>
      <c r="C798" t="s">
        <v>6</v>
      </c>
      <c r="D798">
        <v>797</v>
      </c>
      <c r="E798" t="s">
        <v>1595</v>
      </c>
    </row>
    <row r="799" spans="1:5" x14ac:dyDescent="0.3">
      <c r="A799">
        <v>798</v>
      </c>
      <c r="B799" t="s">
        <v>1596</v>
      </c>
      <c r="C799" t="s">
        <v>6</v>
      </c>
      <c r="D799">
        <v>798</v>
      </c>
      <c r="E799" t="s">
        <v>1597</v>
      </c>
    </row>
    <row r="800" spans="1:5" x14ac:dyDescent="0.3">
      <c r="A800">
        <v>799</v>
      </c>
      <c r="B800" t="s">
        <v>1598</v>
      </c>
      <c r="C800" t="s">
        <v>6</v>
      </c>
      <c r="D800">
        <v>799</v>
      </c>
      <c r="E800" t="s">
        <v>1599</v>
      </c>
    </row>
    <row r="801" spans="1:5" x14ac:dyDescent="0.3">
      <c r="A801">
        <v>800</v>
      </c>
      <c r="B801" t="s">
        <v>1600</v>
      </c>
      <c r="C801" t="s">
        <v>6</v>
      </c>
      <c r="D801">
        <v>800</v>
      </c>
      <c r="E801" t="s">
        <v>1601</v>
      </c>
    </row>
    <row r="802" spans="1:5" x14ac:dyDescent="0.3">
      <c r="A802">
        <v>801</v>
      </c>
      <c r="B802" t="s">
        <v>1602</v>
      </c>
      <c r="C802" t="s">
        <v>6</v>
      </c>
      <c r="D802">
        <v>801</v>
      </c>
      <c r="E802" t="s">
        <v>1603</v>
      </c>
    </row>
    <row r="803" spans="1:5" x14ac:dyDescent="0.3">
      <c r="A803">
        <v>802</v>
      </c>
      <c r="B803" t="s">
        <v>1604</v>
      </c>
      <c r="C803" t="s">
        <v>6</v>
      </c>
      <c r="D803">
        <v>802</v>
      </c>
      <c r="E803" t="s">
        <v>1605</v>
      </c>
    </row>
    <row r="804" spans="1:5" x14ac:dyDescent="0.3">
      <c r="A804">
        <v>803</v>
      </c>
      <c r="B804" t="s">
        <v>1606</v>
      </c>
      <c r="C804" t="s">
        <v>6</v>
      </c>
      <c r="D804">
        <v>803</v>
      </c>
      <c r="E804" t="s">
        <v>1607</v>
      </c>
    </row>
    <row r="805" spans="1:5" x14ac:dyDescent="0.3">
      <c r="A805">
        <v>804</v>
      </c>
      <c r="B805" t="s">
        <v>1608</v>
      </c>
      <c r="C805" t="s">
        <v>6</v>
      </c>
      <c r="D805">
        <v>804</v>
      </c>
      <c r="E805" t="s">
        <v>1609</v>
      </c>
    </row>
    <row r="806" spans="1:5" x14ac:dyDescent="0.3">
      <c r="A806">
        <v>805</v>
      </c>
      <c r="B806" t="s">
        <v>1610</v>
      </c>
      <c r="C806" t="s">
        <v>6</v>
      </c>
      <c r="D806">
        <v>805</v>
      </c>
      <c r="E806" t="s">
        <v>1611</v>
      </c>
    </row>
    <row r="807" spans="1:5" x14ac:dyDescent="0.3">
      <c r="A807">
        <v>806</v>
      </c>
      <c r="B807" t="s">
        <v>1612</v>
      </c>
      <c r="C807" t="s">
        <v>6</v>
      </c>
      <c r="D807">
        <v>806</v>
      </c>
      <c r="E807" t="s">
        <v>1613</v>
      </c>
    </row>
    <row r="808" spans="1:5" x14ac:dyDescent="0.3">
      <c r="A808">
        <v>807</v>
      </c>
      <c r="B808" t="s">
        <v>1614</v>
      </c>
      <c r="C808" t="s">
        <v>6</v>
      </c>
      <c r="D808">
        <v>807</v>
      </c>
      <c r="E808" t="s">
        <v>1615</v>
      </c>
    </row>
    <row r="809" spans="1:5" x14ac:dyDescent="0.3">
      <c r="A809">
        <v>808</v>
      </c>
      <c r="B809" t="s">
        <v>1616</v>
      </c>
      <c r="C809" t="s">
        <v>6</v>
      </c>
      <c r="D809">
        <v>808</v>
      </c>
      <c r="E809" t="s">
        <v>1617</v>
      </c>
    </row>
    <row r="810" spans="1:5" x14ac:dyDescent="0.3">
      <c r="A810">
        <v>809</v>
      </c>
      <c r="B810" t="s">
        <v>1618</v>
      </c>
      <c r="C810" t="s">
        <v>6</v>
      </c>
      <c r="D810">
        <v>809</v>
      </c>
      <c r="E810" t="s">
        <v>1619</v>
      </c>
    </row>
    <row r="811" spans="1:5" x14ac:dyDescent="0.3">
      <c r="A811">
        <v>810</v>
      </c>
      <c r="B811" t="s">
        <v>1620</v>
      </c>
      <c r="C811" t="s">
        <v>6</v>
      </c>
      <c r="D811">
        <v>810</v>
      </c>
      <c r="E811" t="s">
        <v>1621</v>
      </c>
    </row>
    <row r="812" spans="1:5" x14ac:dyDescent="0.3">
      <c r="A812">
        <v>811</v>
      </c>
      <c r="B812" t="s">
        <v>1622</v>
      </c>
      <c r="C812" t="s">
        <v>6</v>
      </c>
      <c r="D812">
        <v>811</v>
      </c>
      <c r="E812" t="s">
        <v>1623</v>
      </c>
    </row>
    <row r="813" spans="1:5" x14ac:dyDescent="0.3">
      <c r="A813">
        <v>812</v>
      </c>
      <c r="B813" t="s">
        <v>1624</v>
      </c>
      <c r="C813" t="s">
        <v>6</v>
      </c>
      <c r="D813">
        <v>812</v>
      </c>
      <c r="E813" t="s">
        <v>1625</v>
      </c>
    </row>
    <row r="814" spans="1:5" x14ac:dyDescent="0.3">
      <c r="A814">
        <v>813</v>
      </c>
      <c r="B814" t="s">
        <v>1626</v>
      </c>
      <c r="C814" t="s">
        <v>6</v>
      </c>
      <c r="D814">
        <v>813</v>
      </c>
      <c r="E814" t="s">
        <v>1627</v>
      </c>
    </row>
    <row r="815" spans="1:5" x14ac:dyDescent="0.3">
      <c r="A815">
        <v>814</v>
      </c>
      <c r="B815" t="s">
        <v>1628</v>
      </c>
      <c r="C815" t="s">
        <v>6</v>
      </c>
      <c r="D815">
        <v>814</v>
      </c>
      <c r="E815" t="s">
        <v>1629</v>
      </c>
    </row>
    <row r="816" spans="1:5" x14ac:dyDescent="0.3">
      <c r="A816">
        <v>815</v>
      </c>
      <c r="B816" t="s">
        <v>1630</v>
      </c>
      <c r="C816" t="s">
        <v>6</v>
      </c>
      <c r="D816">
        <v>815</v>
      </c>
      <c r="E816" t="s">
        <v>1631</v>
      </c>
    </row>
    <row r="817" spans="1:5" x14ac:dyDescent="0.3">
      <c r="A817">
        <v>816</v>
      </c>
      <c r="B817" t="s">
        <v>1632</v>
      </c>
      <c r="C817" t="s">
        <v>6</v>
      </c>
      <c r="D817">
        <v>816</v>
      </c>
      <c r="E817" t="s">
        <v>1633</v>
      </c>
    </row>
    <row r="818" spans="1:5" x14ac:dyDescent="0.3">
      <c r="A818">
        <v>817</v>
      </c>
      <c r="B818" t="s">
        <v>1634</v>
      </c>
      <c r="C818" t="s">
        <v>6</v>
      </c>
      <c r="D818">
        <v>817</v>
      </c>
      <c r="E818" t="s">
        <v>1635</v>
      </c>
    </row>
    <row r="819" spans="1:5" x14ac:dyDescent="0.3">
      <c r="A819">
        <v>818</v>
      </c>
      <c r="B819" t="s">
        <v>1636</v>
      </c>
      <c r="C819" t="s">
        <v>6</v>
      </c>
      <c r="D819">
        <v>818</v>
      </c>
      <c r="E819" t="s">
        <v>1637</v>
      </c>
    </row>
    <row r="820" spans="1:5" x14ac:dyDescent="0.3">
      <c r="A820">
        <v>819</v>
      </c>
      <c r="B820" t="s">
        <v>1638</v>
      </c>
      <c r="C820" t="s">
        <v>6</v>
      </c>
      <c r="D820">
        <v>819</v>
      </c>
      <c r="E820" t="s">
        <v>1639</v>
      </c>
    </row>
    <row r="821" spans="1:5" x14ac:dyDescent="0.3">
      <c r="A821">
        <v>820</v>
      </c>
      <c r="B821" t="s">
        <v>1640</v>
      </c>
      <c r="C821" t="s">
        <v>6</v>
      </c>
      <c r="D821">
        <v>820</v>
      </c>
      <c r="E821" t="s">
        <v>1641</v>
      </c>
    </row>
    <row r="822" spans="1:5" x14ac:dyDescent="0.3">
      <c r="A822">
        <v>821</v>
      </c>
      <c r="B822" t="s">
        <v>1642</v>
      </c>
      <c r="C822" t="s">
        <v>6</v>
      </c>
      <c r="D822">
        <v>821</v>
      </c>
      <c r="E822" t="s">
        <v>1643</v>
      </c>
    </row>
    <row r="823" spans="1:5" x14ac:dyDescent="0.3">
      <c r="A823">
        <v>822</v>
      </c>
      <c r="B823" t="s">
        <v>1644</v>
      </c>
      <c r="C823" t="s">
        <v>6</v>
      </c>
      <c r="D823">
        <v>822</v>
      </c>
      <c r="E823" t="s">
        <v>1645</v>
      </c>
    </row>
    <row r="824" spans="1:5" x14ac:dyDescent="0.3">
      <c r="A824">
        <v>823</v>
      </c>
      <c r="B824" t="s">
        <v>1646</v>
      </c>
      <c r="C824" t="s">
        <v>6</v>
      </c>
      <c r="D824">
        <v>823</v>
      </c>
      <c r="E824" t="s">
        <v>1647</v>
      </c>
    </row>
    <row r="825" spans="1:5" x14ac:dyDescent="0.3">
      <c r="A825">
        <v>824</v>
      </c>
      <c r="B825" t="s">
        <v>1648</v>
      </c>
      <c r="C825" t="s">
        <v>6</v>
      </c>
      <c r="D825">
        <v>824</v>
      </c>
      <c r="E825" t="s">
        <v>1649</v>
      </c>
    </row>
    <row r="826" spans="1:5" x14ac:dyDescent="0.3">
      <c r="A826">
        <v>825</v>
      </c>
      <c r="B826" t="s">
        <v>1650</v>
      </c>
      <c r="C826" t="s">
        <v>6</v>
      </c>
      <c r="D826">
        <v>825</v>
      </c>
      <c r="E826" t="s">
        <v>1651</v>
      </c>
    </row>
    <row r="827" spans="1:5" x14ac:dyDescent="0.3">
      <c r="A827">
        <v>826</v>
      </c>
      <c r="B827" t="s">
        <v>1652</v>
      </c>
      <c r="C827" t="s">
        <v>6</v>
      </c>
      <c r="D827">
        <v>826</v>
      </c>
      <c r="E827" t="s">
        <v>1653</v>
      </c>
    </row>
    <row r="828" spans="1:5" x14ac:dyDescent="0.3">
      <c r="A828">
        <v>827</v>
      </c>
      <c r="B828" t="s">
        <v>1654</v>
      </c>
      <c r="C828" t="s">
        <v>6</v>
      </c>
      <c r="D828">
        <v>827</v>
      </c>
      <c r="E828" t="s">
        <v>1655</v>
      </c>
    </row>
    <row r="829" spans="1:5" x14ac:dyDescent="0.3">
      <c r="A829">
        <v>828</v>
      </c>
      <c r="B829" t="s">
        <v>1656</v>
      </c>
      <c r="C829" t="s">
        <v>6</v>
      </c>
      <c r="D829">
        <v>828</v>
      </c>
      <c r="E829" t="s">
        <v>1657</v>
      </c>
    </row>
    <row r="830" spans="1:5" x14ac:dyDescent="0.3">
      <c r="A830">
        <v>829</v>
      </c>
      <c r="B830" t="s">
        <v>1658</v>
      </c>
      <c r="C830" t="s">
        <v>6</v>
      </c>
      <c r="D830">
        <v>829</v>
      </c>
      <c r="E830" t="s">
        <v>1659</v>
      </c>
    </row>
    <row r="831" spans="1:5" x14ac:dyDescent="0.3">
      <c r="A831">
        <v>830</v>
      </c>
      <c r="B831" t="s">
        <v>1660</v>
      </c>
      <c r="C831" t="s">
        <v>6</v>
      </c>
      <c r="D831">
        <v>830</v>
      </c>
      <c r="E831" t="s">
        <v>1661</v>
      </c>
    </row>
    <row r="832" spans="1:5" x14ac:dyDescent="0.3">
      <c r="A832">
        <v>831</v>
      </c>
      <c r="B832" t="s">
        <v>1662</v>
      </c>
      <c r="C832" t="s">
        <v>6</v>
      </c>
      <c r="D832">
        <v>831</v>
      </c>
      <c r="E832" t="s">
        <v>1663</v>
      </c>
    </row>
    <row r="833" spans="1:5" x14ac:dyDescent="0.3">
      <c r="A833">
        <v>832</v>
      </c>
      <c r="B833" t="s">
        <v>1664</v>
      </c>
      <c r="C833" t="s">
        <v>6</v>
      </c>
      <c r="D833">
        <v>832</v>
      </c>
      <c r="E833" t="s">
        <v>1665</v>
      </c>
    </row>
    <row r="834" spans="1:5" x14ac:dyDescent="0.3">
      <c r="A834">
        <v>833</v>
      </c>
      <c r="B834" t="s">
        <v>1666</v>
      </c>
      <c r="C834" t="s">
        <v>6</v>
      </c>
      <c r="D834">
        <v>833</v>
      </c>
      <c r="E834" t="s">
        <v>1667</v>
      </c>
    </row>
    <row r="835" spans="1:5" x14ac:dyDescent="0.3">
      <c r="A835">
        <v>834</v>
      </c>
      <c r="B835" t="s">
        <v>1668</v>
      </c>
      <c r="C835" t="s">
        <v>6</v>
      </c>
      <c r="D835">
        <v>834</v>
      </c>
      <c r="E835" t="s">
        <v>1669</v>
      </c>
    </row>
    <row r="836" spans="1:5" x14ac:dyDescent="0.3">
      <c r="A836">
        <v>835</v>
      </c>
      <c r="B836" t="s">
        <v>1670</v>
      </c>
      <c r="C836" t="s">
        <v>6</v>
      </c>
      <c r="D836">
        <v>835</v>
      </c>
      <c r="E836" t="s">
        <v>1671</v>
      </c>
    </row>
    <row r="837" spans="1:5" x14ac:dyDescent="0.3">
      <c r="A837">
        <v>836</v>
      </c>
      <c r="B837" t="s">
        <v>1672</v>
      </c>
      <c r="C837" t="s">
        <v>6</v>
      </c>
      <c r="D837">
        <v>836</v>
      </c>
      <c r="E837" t="s">
        <v>1673</v>
      </c>
    </row>
    <row r="838" spans="1:5" x14ac:dyDescent="0.3">
      <c r="A838">
        <v>837</v>
      </c>
      <c r="B838" t="s">
        <v>1674</v>
      </c>
      <c r="C838" t="s">
        <v>6</v>
      </c>
      <c r="D838">
        <v>837</v>
      </c>
      <c r="E838" t="s">
        <v>1675</v>
      </c>
    </row>
    <row r="839" spans="1:5" x14ac:dyDescent="0.3">
      <c r="A839">
        <v>838</v>
      </c>
      <c r="B839" t="s">
        <v>1676</v>
      </c>
      <c r="C839" t="s">
        <v>6</v>
      </c>
      <c r="D839">
        <v>838</v>
      </c>
      <c r="E839" t="s">
        <v>1677</v>
      </c>
    </row>
    <row r="840" spans="1:5" x14ac:dyDescent="0.3">
      <c r="A840">
        <v>839</v>
      </c>
      <c r="B840" t="s">
        <v>1678</v>
      </c>
      <c r="C840" t="s">
        <v>6</v>
      </c>
      <c r="D840">
        <v>839</v>
      </c>
      <c r="E840" t="s">
        <v>1679</v>
      </c>
    </row>
    <row r="841" spans="1:5" x14ac:dyDescent="0.3">
      <c r="A841">
        <v>840</v>
      </c>
      <c r="B841" t="s">
        <v>1680</v>
      </c>
      <c r="C841" t="s">
        <v>6</v>
      </c>
      <c r="D841">
        <v>840</v>
      </c>
      <c r="E841" t="s">
        <v>1681</v>
      </c>
    </row>
    <row r="842" spans="1:5" x14ac:dyDescent="0.3">
      <c r="A842">
        <v>841</v>
      </c>
      <c r="B842" t="s">
        <v>1682</v>
      </c>
      <c r="C842" t="s">
        <v>6</v>
      </c>
      <c r="D842">
        <v>841</v>
      </c>
      <c r="E842" t="s">
        <v>1683</v>
      </c>
    </row>
    <row r="843" spans="1:5" x14ac:dyDescent="0.3">
      <c r="A843">
        <v>842</v>
      </c>
      <c r="B843" t="s">
        <v>1684</v>
      </c>
      <c r="C843" t="s">
        <v>6</v>
      </c>
      <c r="D843">
        <v>842</v>
      </c>
      <c r="E843" t="s">
        <v>1685</v>
      </c>
    </row>
    <row r="844" spans="1:5" x14ac:dyDescent="0.3">
      <c r="A844">
        <v>843</v>
      </c>
      <c r="B844" t="s">
        <v>1686</v>
      </c>
      <c r="C844" t="s">
        <v>6</v>
      </c>
      <c r="D844">
        <v>843</v>
      </c>
      <c r="E844" t="s">
        <v>1687</v>
      </c>
    </row>
    <row r="845" spans="1:5" x14ac:dyDescent="0.3">
      <c r="A845">
        <v>844</v>
      </c>
      <c r="B845" t="s">
        <v>1688</v>
      </c>
      <c r="C845" t="s">
        <v>6</v>
      </c>
      <c r="D845">
        <v>844</v>
      </c>
      <c r="E845" t="s">
        <v>1689</v>
      </c>
    </row>
    <row r="846" spans="1:5" x14ac:dyDescent="0.3">
      <c r="A846">
        <v>845</v>
      </c>
      <c r="B846" t="s">
        <v>1690</v>
      </c>
      <c r="C846" t="s">
        <v>6</v>
      </c>
      <c r="D846">
        <v>845</v>
      </c>
      <c r="E846" t="s">
        <v>1691</v>
      </c>
    </row>
    <row r="847" spans="1:5" x14ac:dyDescent="0.3">
      <c r="A847">
        <v>846</v>
      </c>
      <c r="B847" t="s">
        <v>1692</v>
      </c>
      <c r="C847" t="s">
        <v>6</v>
      </c>
      <c r="D847">
        <v>846</v>
      </c>
      <c r="E847" t="s">
        <v>1693</v>
      </c>
    </row>
    <row r="848" spans="1:5" x14ac:dyDescent="0.3">
      <c r="A848">
        <v>847</v>
      </c>
      <c r="B848" t="s">
        <v>1694</v>
      </c>
      <c r="C848" t="s">
        <v>6</v>
      </c>
      <c r="D848">
        <v>847</v>
      </c>
      <c r="E848" t="s">
        <v>1695</v>
      </c>
    </row>
    <row r="849" spans="1:5" x14ac:dyDescent="0.3">
      <c r="A849">
        <v>848</v>
      </c>
      <c r="B849" t="s">
        <v>1696</v>
      </c>
      <c r="C849" t="s">
        <v>6</v>
      </c>
      <c r="D849">
        <v>848</v>
      </c>
      <c r="E849" t="s">
        <v>1697</v>
      </c>
    </row>
    <row r="850" spans="1:5" x14ac:dyDescent="0.3">
      <c r="A850">
        <v>849</v>
      </c>
      <c r="B850" t="s">
        <v>1698</v>
      </c>
      <c r="C850" t="s">
        <v>6</v>
      </c>
      <c r="D850">
        <v>849</v>
      </c>
      <c r="E850" t="s">
        <v>1699</v>
      </c>
    </row>
    <row r="851" spans="1:5" x14ac:dyDescent="0.3">
      <c r="A851">
        <v>850</v>
      </c>
      <c r="B851" t="s">
        <v>1700</v>
      </c>
      <c r="C851" t="s">
        <v>6</v>
      </c>
      <c r="D851">
        <v>850</v>
      </c>
      <c r="E851" t="s">
        <v>1701</v>
      </c>
    </row>
    <row r="852" spans="1:5" x14ac:dyDescent="0.3">
      <c r="A852">
        <v>851</v>
      </c>
      <c r="B852" t="s">
        <v>1702</v>
      </c>
      <c r="C852" t="s">
        <v>6</v>
      </c>
      <c r="D852">
        <v>851</v>
      </c>
      <c r="E852" t="s">
        <v>1703</v>
      </c>
    </row>
    <row r="853" spans="1:5" x14ac:dyDescent="0.3">
      <c r="A853">
        <v>852</v>
      </c>
      <c r="B853" t="s">
        <v>1704</v>
      </c>
      <c r="C853" t="s">
        <v>6</v>
      </c>
      <c r="D853">
        <v>852</v>
      </c>
      <c r="E853" t="s">
        <v>1705</v>
      </c>
    </row>
    <row r="854" spans="1:5" x14ac:dyDescent="0.3">
      <c r="A854">
        <v>853</v>
      </c>
      <c r="B854" t="s">
        <v>1706</v>
      </c>
      <c r="C854" t="s">
        <v>6</v>
      </c>
      <c r="D854">
        <v>853</v>
      </c>
      <c r="E854" t="s">
        <v>1707</v>
      </c>
    </row>
    <row r="855" spans="1:5" x14ac:dyDescent="0.3">
      <c r="A855">
        <v>854</v>
      </c>
      <c r="B855" t="s">
        <v>1708</v>
      </c>
      <c r="C855" t="s">
        <v>6</v>
      </c>
      <c r="D855">
        <v>854</v>
      </c>
      <c r="E855" t="s">
        <v>1709</v>
      </c>
    </row>
    <row r="856" spans="1:5" x14ac:dyDescent="0.3">
      <c r="A856">
        <v>855</v>
      </c>
      <c r="B856" t="s">
        <v>1710</v>
      </c>
      <c r="C856" t="s">
        <v>6</v>
      </c>
      <c r="D856">
        <v>855</v>
      </c>
      <c r="E856" t="s">
        <v>1711</v>
      </c>
    </row>
    <row r="857" spans="1:5" x14ac:dyDescent="0.3">
      <c r="A857">
        <v>856</v>
      </c>
      <c r="B857" t="s">
        <v>1712</v>
      </c>
      <c r="C857" t="s">
        <v>6</v>
      </c>
      <c r="D857">
        <v>856</v>
      </c>
      <c r="E857" t="s">
        <v>1713</v>
      </c>
    </row>
    <row r="858" spans="1:5" x14ac:dyDescent="0.3">
      <c r="A858">
        <v>857</v>
      </c>
      <c r="B858" t="s">
        <v>1714</v>
      </c>
      <c r="C858" t="s">
        <v>6</v>
      </c>
      <c r="D858">
        <v>857</v>
      </c>
      <c r="E858" t="s">
        <v>1715</v>
      </c>
    </row>
    <row r="859" spans="1:5" x14ac:dyDescent="0.3">
      <c r="A859">
        <v>858</v>
      </c>
      <c r="B859" t="s">
        <v>1716</v>
      </c>
      <c r="C859" t="s">
        <v>6</v>
      </c>
      <c r="D859">
        <v>858</v>
      </c>
      <c r="E859" t="s">
        <v>1717</v>
      </c>
    </row>
    <row r="860" spans="1:5" x14ac:dyDescent="0.3">
      <c r="A860">
        <v>859</v>
      </c>
      <c r="B860" t="s">
        <v>1718</v>
      </c>
      <c r="C860" t="s">
        <v>6</v>
      </c>
      <c r="D860">
        <v>859</v>
      </c>
      <c r="E860" t="s">
        <v>1719</v>
      </c>
    </row>
    <row r="861" spans="1:5" x14ac:dyDescent="0.3">
      <c r="A861">
        <v>860</v>
      </c>
      <c r="B861" t="s">
        <v>1720</v>
      </c>
      <c r="C861" t="s">
        <v>6</v>
      </c>
      <c r="D861">
        <v>860</v>
      </c>
      <c r="E861" t="s">
        <v>1721</v>
      </c>
    </row>
    <row r="862" spans="1:5" x14ac:dyDescent="0.3">
      <c r="A862">
        <v>861</v>
      </c>
      <c r="B862" t="s">
        <v>1722</v>
      </c>
      <c r="C862" t="s">
        <v>6</v>
      </c>
      <c r="D862">
        <v>861</v>
      </c>
      <c r="E862" t="s">
        <v>1723</v>
      </c>
    </row>
    <row r="863" spans="1:5" x14ac:dyDescent="0.3">
      <c r="A863">
        <v>862</v>
      </c>
      <c r="B863" t="s">
        <v>1724</v>
      </c>
      <c r="C863" t="s">
        <v>6</v>
      </c>
      <c r="D863">
        <v>862</v>
      </c>
      <c r="E863" t="s">
        <v>1725</v>
      </c>
    </row>
    <row r="864" spans="1:5" x14ac:dyDescent="0.3">
      <c r="A864">
        <v>863</v>
      </c>
      <c r="B864" t="s">
        <v>1726</v>
      </c>
      <c r="C864" t="s">
        <v>6</v>
      </c>
      <c r="D864">
        <v>863</v>
      </c>
      <c r="E864" t="s">
        <v>1727</v>
      </c>
    </row>
    <row r="865" spans="1:5" x14ac:dyDescent="0.3">
      <c r="A865">
        <v>864</v>
      </c>
      <c r="B865" t="s">
        <v>1728</v>
      </c>
      <c r="C865" t="s">
        <v>6</v>
      </c>
      <c r="D865">
        <v>864</v>
      </c>
      <c r="E865" t="s">
        <v>1729</v>
      </c>
    </row>
    <row r="866" spans="1:5" x14ac:dyDescent="0.3">
      <c r="A866">
        <v>865</v>
      </c>
      <c r="B866" t="s">
        <v>1730</v>
      </c>
      <c r="C866" t="s">
        <v>6</v>
      </c>
      <c r="D866">
        <v>865</v>
      </c>
      <c r="E866" t="s">
        <v>1731</v>
      </c>
    </row>
    <row r="867" spans="1:5" x14ac:dyDescent="0.3">
      <c r="A867">
        <v>866</v>
      </c>
      <c r="B867" t="s">
        <v>1732</v>
      </c>
      <c r="C867" t="s">
        <v>6</v>
      </c>
      <c r="D867">
        <v>866</v>
      </c>
      <c r="E867" t="s">
        <v>1733</v>
      </c>
    </row>
    <row r="868" spans="1:5" x14ac:dyDescent="0.3">
      <c r="A868">
        <v>867</v>
      </c>
      <c r="B868" t="s">
        <v>1734</v>
      </c>
      <c r="C868" t="s">
        <v>6</v>
      </c>
      <c r="D868">
        <v>867</v>
      </c>
      <c r="E868" t="s">
        <v>1735</v>
      </c>
    </row>
    <row r="869" spans="1:5" x14ac:dyDescent="0.3">
      <c r="A869">
        <v>868</v>
      </c>
      <c r="B869" t="s">
        <v>1736</v>
      </c>
      <c r="C869" t="s">
        <v>6</v>
      </c>
      <c r="D869">
        <v>868</v>
      </c>
      <c r="E869" t="s">
        <v>1737</v>
      </c>
    </row>
    <row r="870" spans="1:5" x14ac:dyDescent="0.3">
      <c r="A870">
        <v>869</v>
      </c>
      <c r="B870" t="s">
        <v>1738</v>
      </c>
      <c r="C870" t="s">
        <v>6</v>
      </c>
      <c r="D870">
        <v>869</v>
      </c>
      <c r="E870" t="s">
        <v>1739</v>
      </c>
    </row>
    <row r="871" spans="1:5" x14ac:dyDescent="0.3">
      <c r="A871">
        <v>870</v>
      </c>
      <c r="B871" t="s">
        <v>1740</v>
      </c>
      <c r="C871" t="s">
        <v>6</v>
      </c>
      <c r="D871">
        <v>870</v>
      </c>
      <c r="E871" t="s">
        <v>1741</v>
      </c>
    </row>
    <row r="872" spans="1:5" x14ac:dyDescent="0.3">
      <c r="A872">
        <v>871</v>
      </c>
      <c r="B872" t="s">
        <v>1742</v>
      </c>
      <c r="C872" t="s">
        <v>6</v>
      </c>
      <c r="D872">
        <v>871</v>
      </c>
      <c r="E872" t="s">
        <v>1743</v>
      </c>
    </row>
    <row r="873" spans="1:5" x14ac:dyDescent="0.3">
      <c r="A873">
        <v>872</v>
      </c>
      <c r="B873" t="s">
        <v>1744</v>
      </c>
      <c r="C873" t="s">
        <v>6</v>
      </c>
      <c r="D873">
        <v>872</v>
      </c>
      <c r="E873" t="s">
        <v>1745</v>
      </c>
    </row>
    <row r="874" spans="1:5" x14ac:dyDescent="0.3">
      <c r="A874">
        <v>873</v>
      </c>
      <c r="B874" t="s">
        <v>1746</v>
      </c>
      <c r="C874" t="s">
        <v>6</v>
      </c>
      <c r="D874">
        <v>873</v>
      </c>
      <c r="E874" t="s">
        <v>1747</v>
      </c>
    </row>
    <row r="875" spans="1:5" x14ac:dyDescent="0.3">
      <c r="A875">
        <v>874</v>
      </c>
      <c r="B875" t="s">
        <v>1748</v>
      </c>
      <c r="C875" t="s">
        <v>6</v>
      </c>
      <c r="D875">
        <v>874</v>
      </c>
      <c r="E875" t="s">
        <v>1749</v>
      </c>
    </row>
    <row r="876" spans="1:5" x14ac:dyDescent="0.3">
      <c r="A876">
        <v>875</v>
      </c>
      <c r="B876" t="s">
        <v>1750</v>
      </c>
      <c r="C876" t="s">
        <v>6</v>
      </c>
      <c r="D876">
        <v>875</v>
      </c>
      <c r="E876" t="s">
        <v>1751</v>
      </c>
    </row>
    <row r="877" spans="1:5" x14ac:dyDescent="0.3">
      <c r="A877">
        <v>876</v>
      </c>
      <c r="B877" t="s">
        <v>1752</v>
      </c>
      <c r="C877" t="s">
        <v>6</v>
      </c>
      <c r="D877">
        <v>876</v>
      </c>
      <c r="E877" t="s">
        <v>1753</v>
      </c>
    </row>
    <row r="878" spans="1:5" x14ac:dyDescent="0.3">
      <c r="A878">
        <v>877</v>
      </c>
      <c r="B878" t="s">
        <v>1754</v>
      </c>
      <c r="C878" t="s">
        <v>6</v>
      </c>
      <c r="D878">
        <v>877</v>
      </c>
      <c r="E878" t="s">
        <v>1755</v>
      </c>
    </row>
    <row r="879" spans="1:5" x14ac:dyDescent="0.3">
      <c r="A879">
        <v>878</v>
      </c>
      <c r="B879" t="s">
        <v>1756</v>
      </c>
      <c r="C879" t="s">
        <v>6</v>
      </c>
      <c r="D879">
        <v>878</v>
      </c>
      <c r="E879" t="s">
        <v>1757</v>
      </c>
    </row>
    <row r="880" spans="1:5" x14ac:dyDescent="0.3">
      <c r="A880">
        <v>879</v>
      </c>
      <c r="B880" t="s">
        <v>1758</v>
      </c>
      <c r="C880" t="s">
        <v>6</v>
      </c>
      <c r="D880">
        <v>879</v>
      </c>
      <c r="E880" t="s">
        <v>1759</v>
      </c>
    </row>
    <row r="881" spans="1:5" x14ac:dyDescent="0.3">
      <c r="A881">
        <v>880</v>
      </c>
      <c r="B881" t="s">
        <v>1760</v>
      </c>
      <c r="C881" t="s">
        <v>6</v>
      </c>
      <c r="D881">
        <v>880</v>
      </c>
      <c r="E881" t="s">
        <v>1761</v>
      </c>
    </row>
    <row r="882" spans="1:5" x14ac:dyDescent="0.3">
      <c r="A882">
        <v>881</v>
      </c>
      <c r="B882" t="s">
        <v>1762</v>
      </c>
      <c r="C882" t="s">
        <v>6</v>
      </c>
      <c r="D882">
        <v>881</v>
      </c>
      <c r="E882" t="s">
        <v>1763</v>
      </c>
    </row>
    <row r="883" spans="1:5" x14ac:dyDescent="0.3">
      <c r="A883">
        <v>882</v>
      </c>
      <c r="B883" t="s">
        <v>1764</v>
      </c>
      <c r="C883" t="s">
        <v>6</v>
      </c>
      <c r="D883">
        <v>882</v>
      </c>
      <c r="E883" t="s">
        <v>1765</v>
      </c>
    </row>
    <row r="884" spans="1:5" x14ac:dyDescent="0.3">
      <c r="A884">
        <v>883</v>
      </c>
      <c r="B884" t="s">
        <v>1766</v>
      </c>
      <c r="C884" t="s">
        <v>6</v>
      </c>
      <c r="D884">
        <v>883</v>
      </c>
      <c r="E884" t="s">
        <v>1767</v>
      </c>
    </row>
    <row r="885" spans="1:5" x14ac:dyDescent="0.3">
      <c r="A885">
        <v>884</v>
      </c>
      <c r="B885" t="s">
        <v>1768</v>
      </c>
      <c r="C885" t="s">
        <v>6</v>
      </c>
      <c r="D885">
        <v>884</v>
      </c>
      <c r="E885" t="s">
        <v>1769</v>
      </c>
    </row>
    <row r="886" spans="1:5" x14ac:dyDescent="0.3">
      <c r="A886">
        <v>885</v>
      </c>
      <c r="B886" t="s">
        <v>1770</v>
      </c>
      <c r="C886" t="s">
        <v>6</v>
      </c>
      <c r="D886">
        <v>885</v>
      </c>
      <c r="E886" t="s">
        <v>1771</v>
      </c>
    </row>
    <row r="887" spans="1:5" x14ac:dyDescent="0.3">
      <c r="A887">
        <v>886</v>
      </c>
      <c r="B887" t="s">
        <v>1772</v>
      </c>
      <c r="C887" t="s">
        <v>6</v>
      </c>
      <c r="D887">
        <v>886</v>
      </c>
      <c r="E887" t="s">
        <v>1773</v>
      </c>
    </row>
    <row r="888" spans="1:5" x14ac:dyDescent="0.3">
      <c r="A888">
        <v>887</v>
      </c>
      <c r="B888" t="s">
        <v>1774</v>
      </c>
      <c r="C888" t="s">
        <v>6</v>
      </c>
      <c r="D888">
        <v>887</v>
      </c>
      <c r="E888" t="s">
        <v>1775</v>
      </c>
    </row>
    <row r="889" spans="1:5" x14ac:dyDescent="0.3">
      <c r="A889">
        <v>888</v>
      </c>
      <c r="B889" t="s">
        <v>1776</v>
      </c>
      <c r="C889" t="s">
        <v>6</v>
      </c>
      <c r="D889">
        <v>888</v>
      </c>
      <c r="E889" t="s">
        <v>1777</v>
      </c>
    </row>
    <row r="890" spans="1:5" x14ac:dyDescent="0.3">
      <c r="A890">
        <v>889</v>
      </c>
      <c r="B890" t="s">
        <v>504</v>
      </c>
      <c r="C890" t="s">
        <v>6</v>
      </c>
      <c r="D890">
        <v>889</v>
      </c>
      <c r="E890" t="s">
        <v>1778</v>
      </c>
    </row>
    <row r="891" spans="1:5" x14ac:dyDescent="0.3">
      <c r="A891">
        <v>890</v>
      </c>
      <c r="B891" t="s">
        <v>1779</v>
      </c>
      <c r="C891" t="s">
        <v>6</v>
      </c>
      <c r="D891">
        <v>890</v>
      </c>
      <c r="E891" t="s">
        <v>1780</v>
      </c>
    </row>
    <row r="892" spans="1:5" x14ac:dyDescent="0.3">
      <c r="A892">
        <v>891</v>
      </c>
      <c r="B892" t="s">
        <v>1781</v>
      </c>
      <c r="C892" t="s">
        <v>6</v>
      </c>
      <c r="D892">
        <v>891</v>
      </c>
      <c r="E892" t="s">
        <v>1782</v>
      </c>
    </row>
    <row r="893" spans="1:5" x14ac:dyDescent="0.3">
      <c r="A893">
        <v>892</v>
      </c>
      <c r="B893" t="s">
        <v>1783</v>
      </c>
      <c r="C893" t="s">
        <v>6</v>
      </c>
      <c r="D893">
        <v>892</v>
      </c>
      <c r="E893" t="s">
        <v>1784</v>
      </c>
    </row>
    <row r="894" spans="1:5" x14ac:dyDescent="0.3">
      <c r="A894">
        <v>893</v>
      </c>
      <c r="B894" t="s">
        <v>1785</v>
      </c>
      <c r="C894" t="s">
        <v>6</v>
      </c>
      <c r="D894">
        <v>893</v>
      </c>
      <c r="E894" t="s">
        <v>1786</v>
      </c>
    </row>
    <row r="895" spans="1:5" x14ac:dyDescent="0.3">
      <c r="A895">
        <v>894</v>
      </c>
      <c r="B895" t="s">
        <v>1787</v>
      </c>
      <c r="C895" t="s">
        <v>6</v>
      </c>
      <c r="D895">
        <v>894</v>
      </c>
      <c r="E895" t="s">
        <v>1788</v>
      </c>
    </row>
    <row r="896" spans="1:5" x14ac:dyDescent="0.3">
      <c r="A896">
        <v>895</v>
      </c>
      <c r="B896" t="s">
        <v>1789</v>
      </c>
      <c r="C896" t="s">
        <v>6</v>
      </c>
      <c r="D896">
        <v>895</v>
      </c>
      <c r="E896" t="s">
        <v>1790</v>
      </c>
    </row>
    <row r="897" spans="1:5" x14ac:dyDescent="0.3">
      <c r="A897">
        <v>896</v>
      </c>
      <c r="B897" t="s">
        <v>1791</v>
      </c>
      <c r="C897" t="s">
        <v>6</v>
      </c>
      <c r="D897">
        <v>896</v>
      </c>
      <c r="E897" t="s">
        <v>1792</v>
      </c>
    </row>
    <row r="898" spans="1:5" x14ac:dyDescent="0.3">
      <c r="A898">
        <v>897</v>
      </c>
      <c r="B898" t="s">
        <v>1793</v>
      </c>
      <c r="C898" t="s">
        <v>6</v>
      </c>
      <c r="D898">
        <v>897</v>
      </c>
      <c r="E898" t="s">
        <v>1794</v>
      </c>
    </row>
    <row r="899" spans="1:5" x14ac:dyDescent="0.3">
      <c r="A899">
        <v>898</v>
      </c>
      <c r="B899" t="s">
        <v>1795</v>
      </c>
      <c r="C899" t="s">
        <v>6</v>
      </c>
      <c r="D899">
        <v>898</v>
      </c>
      <c r="E899" t="s">
        <v>1796</v>
      </c>
    </row>
    <row r="900" spans="1:5" x14ac:dyDescent="0.3">
      <c r="A900">
        <v>899</v>
      </c>
      <c r="B900" t="s">
        <v>1797</v>
      </c>
      <c r="C900" t="s">
        <v>6</v>
      </c>
      <c r="D900">
        <v>899</v>
      </c>
      <c r="E900" t="s">
        <v>1798</v>
      </c>
    </row>
    <row r="901" spans="1:5" x14ac:dyDescent="0.3">
      <c r="A901">
        <v>900</v>
      </c>
      <c r="B901" t="s">
        <v>1799</v>
      </c>
      <c r="C901" t="s">
        <v>6</v>
      </c>
      <c r="D901">
        <v>900</v>
      </c>
      <c r="E901" t="s">
        <v>1800</v>
      </c>
    </row>
    <row r="902" spans="1:5" x14ac:dyDescent="0.3">
      <c r="A902">
        <v>901</v>
      </c>
      <c r="B902" t="s">
        <v>1801</v>
      </c>
      <c r="C902" t="s">
        <v>6</v>
      </c>
      <c r="D902">
        <v>901</v>
      </c>
      <c r="E902" t="s">
        <v>1802</v>
      </c>
    </row>
    <row r="903" spans="1:5" x14ac:dyDescent="0.3">
      <c r="A903">
        <v>902</v>
      </c>
      <c r="B903" t="s">
        <v>1803</v>
      </c>
      <c r="C903" t="s">
        <v>6</v>
      </c>
      <c r="D903">
        <v>902</v>
      </c>
      <c r="E903" t="s">
        <v>1804</v>
      </c>
    </row>
    <row r="904" spans="1:5" x14ac:dyDescent="0.3">
      <c r="A904">
        <v>903</v>
      </c>
      <c r="B904" t="s">
        <v>1805</v>
      </c>
      <c r="C904" t="s">
        <v>6</v>
      </c>
      <c r="D904">
        <v>903</v>
      </c>
      <c r="E904" t="s">
        <v>1806</v>
      </c>
    </row>
    <row r="905" spans="1:5" x14ac:dyDescent="0.3">
      <c r="A905">
        <v>904</v>
      </c>
      <c r="B905" t="s">
        <v>1807</v>
      </c>
      <c r="C905" t="s">
        <v>6</v>
      </c>
      <c r="D905">
        <v>904</v>
      </c>
      <c r="E905" t="s">
        <v>1808</v>
      </c>
    </row>
    <row r="906" spans="1:5" x14ac:dyDescent="0.3">
      <c r="A906">
        <v>905</v>
      </c>
      <c r="B906" t="s">
        <v>1809</v>
      </c>
      <c r="C906" t="s">
        <v>6</v>
      </c>
      <c r="D906">
        <v>905</v>
      </c>
      <c r="E906" t="s">
        <v>1810</v>
      </c>
    </row>
    <row r="907" spans="1:5" x14ac:dyDescent="0.3">
      <c r="A907">
        <v>906</v>
      </c>
      <c r="B907" t="s">
        <v>1811</v>
      </c>
      <c r="C907" t="s">
        <v>6</v>
      </c>
      <c r="D907">
        <v>906</v>
      </c>
      <c r="E907" t="s">
        <v>1812</v>
      </c>
    </row>
    <row r="908" spans="1:5" x14ac:dyDescent="0.3">
      <c r="A908">
        <v>907</v>
      </c>
      <c r="B908" t="s">
        <v>1813</v>
      </c>
      <c r="C908" t="s">
        <v>6</v>
      </c>
      <c r="D908">
        <v>907</v>
      </c>
      <c r="E908" t="s">
        <v>1814</v>
      </c>
    </row>
    <row r="909" spans="1:5" x14ac:dyDescent="0.3">
      <c r="A909">
        <v>908</v>
      </c>
      <c r="B909" t="s">
        <v>1815</v>
      </c>
      <c r="C909" t="s">
        <v>6</v>
      </c>
      <c r="D909">
        <v>908</v>
      </c>
      <c r="E909" t="s">
        <v>1816</v>
      </c>
    </row>
    <row r="910" spans="1:5" x14ac:dyDescent="0.3">
      <c r="A910">
        <v>909</v>
      </c>
      <c r="B910" t="s">
        <v>1817</v>
      </c>
      <c r="C910" t="s">
        <v>6</v>
      </c>
      <c r="D910">
        <v>909</v>
      </c>
      <c r="E910" t="s">
        <v>1818</v>
      </c>
    </row>
    <row r="911" spans="1:5" x14ac:dyDescent="0.3">
      <c r="A911">
        <v>910</v>
      </c>
      <c r="B911" t="s">
        <v>1819</v>
      </c>
      <c r="C911" t="s">
        <v>6</v>
      </c>
      <c r="D911">
        <v>910</v>
      </c>
      <c r="E911" t="s">
        <v>1820</v>
      </c>
    </row>
    <row r="912" spans="1:5" x14ac:dyDescent="0.3">
      <c r="A912">
        <v>911</v>
      </c>
      <c r="B912" t="s">
        <v>1821</v>
      </c>
      <c r="C912" t="s">
        <v>6</v>
      </c>
      <c r="D912">
        <v>911</v>
      </c>
      <c r="E912" t="s">
        <v>1822</v>
      </c>
    </row>
    <row r="913" spans="1:5" x14ac:dyDescent="0.3">
      <c r="A913">
        <v>912</v>
      </c>
      <c r="B913" t="s">
        <v>1823</v>
      </c>
      <c r="C913" t="s">
        <v>6</v>
      </c>
      <c r="D913">
        <v>912</v>
      </c>
      <c r="E913" t="s">
        <v>1824</v>
      </c>
    </row>
    <row r="914" spans="1:5" x14ac:dyDescent="0.3">
      <c r="A914">
        <v>913</v>
      </c>
      <c r="B914" t="s">
        <v>1825</v>
      </c>
      <c r="C914" t="s">
        <v>6</v>
      </c>
      <c r="D914">
        <v>913</v>
      </c>
      <c r="E914" t="s">
        <v>1826</v>
      </c>
    </row>
    <row r="915" spans="1:5" x14ac:dyDescent="0.3">
      <c r="A915">
        <v>914</v>
      </c>
      <c r="B915" t="s">
        <v>1827</v>
      </c>
      <c r="C915" t="s">
        <v>6</v>
      </c>
      <c r="D915">
        <v>914</v>
      </c>
      <c r="E915" t="s">
        <v>1828</v>
      </c>
    </row>
    <row r="916" spans="1:5" x14ac:dyDescent="0.3">
      <c r="A916">
        <v>915</v>
      </c>
      <c r="B916" t="s">
        <v>1829</v>
      </c>
      <c r="C916" t="s">
        <v>6</v>
      </c>
      <c r="D916">
        <v>915</v>
      </c>
      <c r="E916" t="s">
        <v>1830</v>
      </c>
    </row>
    <row r="917" spans="1:5" x14ac:dyDescent="0.3">
      <c r="A917">
        <v>916</v>
      </c>
      <c r="B917" t="s">
        <v>1831</v>
      </c>
      <c r="C917" t="s">
        <v>6</v>
      </c>
      <c r="D917">
        <v>916</v>
      </c>
      <c r="E917" t="s">
        <v>1832</v>
      </c>
    </row>
    <row r="918" spans="1:5" x14ac:dyDescent="0.3">
      <c r="A918">
        <v>917</v>
      </c>
      <c r="B918" t="s">
        <v>1833</v>
      </c>
      <c r="C918" t="s">
        <v>6</v>
      </c>
      <c r="D918">
        <v>917</v>
      </c>
      <c r="E918" t="s">
        <v>1834</v>
      </c>
    </row>
    <row r="919" spans="1:5" x14ac:dyDescent="0.3">
      <c r="A919">
        <v>918</v>
      </c>
      <c r="B919" t="s">
        <v>1835</v>
      </c>
      <c r="C919" t="s">
        <v>6</v>
      </c>
      <c r="D919">
        <v>918</v>
      </c>
      <c r="E919" t="s">
        <v>1836</v>
      </c>
    </row>
    <row r="920" spans="1:5" x14ac:dyDescent="0.3">
      <c r="A920">
        <v>919</v>
      </c>
      <c r="B920" t="s">
        <v>1837</v>
      </c>
      <c r="C920" t="s">
        <v>6</v>
      </c>
      <c r="D920">
        <v>919</v>
      </c>
      <c r="E920" t="s">
        <v>1838</v>
      </c>
    </row>
    <row r="921" spans="1:5" x14ac:dyDescent="0.3">
      <c r="A921">
        <v>920</v>
      </c>
      <c r="B921" t="s">
        <v>1839</v>
      </c>
      <c r="C921" t="s">
        <v>6</v>
      </c>
      <c r="D921">
        <v>920</v>
      </c>
      <c r="E921" t="s">
        <v>1840</v>
      </c>
    </row>
    <row r="922" spans="1:5" x14ac:dyDescent="0.3">
      <c r="A922">
        <v>921</v>
      </c>
      <c r="B922" t="s">
        <v>1841</v>
      </c>
      <c r="C922" t="s">
        <v>6</v>
      </c>
      <c r="D922">
        <v>921</v>
      </c>
      <c r="E922" t="s">
        <v>1842</v>
      </c>
    </row>
    <row r="923" spans="1:5" x14ac:dyDescent="0.3">
      <c r="A923">
        <v>922</v>
      </c>
      <c r="B923" t="s">
        <v>1843</v>
      </c>
      <c r="C923" t="s">
        <v>6</v>
      </c>
      <c r="D923">
        <v>922</v>
      </c>
      <c r="E923" t="s">
        <v>1844</v>
      </c>
    </row>
    <row r="924" spans="1:5" x14ac:dyDescent="0.3">
      <c r="A924">
        <v>923</v>
      </c>
      <c r="B924" t="s">
        <v>1845</v>
      </c>
      <c r="C924" t="s">
        <v>6</v>
      </c>
      <c r="D924">
        <v>923</v>
      </c>
      <c r="E924" t="s">
        <v>1846</v>
      </c>
    </row>
    <row r="925" spans="1:5" x14ac:dyDescent="0.3">
      <c r="A925">
        <v>924</v>
      </c>
      <c r="B925" t="s">
        <v>1847</v>
      </c>
      <c r="C925" t="s">
        <v>6</v>
      </c>
      <c r="D925">
        <v>924</v>
      </c>
      <c r="E925" t="s">
        <v>1848</v>
      </c>
    </row>
    <row r="926" spans="1:5" x14ac:dyDescent="0.3">
      <c r="A926">
        <v>925</v>
      </c>
      <c r="B926" t="s">
        <v>1849</v>
      </c>
      <c r="C926" t="s">
        <v>6</v>
      </c>
      <c r="D926">
        <v>925</v>
      </c>
      <c r="E926" t="s">
        <v>1850</v>
      </c>
    </row>
    <row r="927" spans="1:5" x14ac:dyDescent="0.3">
      <c r="A927">
        <v>926</v>
      </c>
      <c r="B927" t="s">
        <v>1851</v>
      </c>
      <c r="C927" t="s">
        <v>6</v>
      </c>
      <c r="D927">
        <v>926</v>
      </c>
      <c r="E927" t="s">
        <v>1852</v>
      </c>
    </row>
    <row r="928" spans="1:5" x14ac:dyDescent="0.3">
      <c r="A928">
        <v>927</v>
      </c>
      <c r="B928" t="s">
        <v>1853</v>
      </c>
      <c r="C928" t="s">
        <v>6</v>
      </c>
      <c r="D928">
        <v>927</v>
      </c>
      <c r="E928" t="s">
        <v>1854</v>
      </c>
    </row>
    <row r="929" spans="1:5" x14ac:dyDescent="0.3">
      <c r="A929">
        <v>928</v>
      </c>
      <c r="B929" t="s">
        <v>1855</v>
      </c>
      <c r="C929" t="s">
        <v>6</v>
      </c>
      <c r="D929">
        <v>928</v>
      </c>
      <c r="E929" t="s">
        <v>1856</v>
      </c>
    </row>
    <row r="930" spans="1:5" x14ac:dyDescent="0.3">
      <c r="A930">
        <v>929</v>
      </c>
      <c r="B930" t="s">
        <v>1857</v>
      </c>
      <c r="C930" t="s">
        <v>6</v>
      </c>
      <c r="D930">
        <v>929</v>
      </c>
      <c r="E930" t="s">
        <v>1858</v>
      </c>
    </row>
    <row r="931" spans="1:5" x14ac:dyDescent="0.3">
      <c r="A931">
        <v>930</v>
      </c>
      <c r="B931" t="s">
        <v>1859</v>
      </c>
      <c r="C931" t="s">
        <v>6</v>
      </c>
      <c r="D931">
        <v>930</v>
      </c>
      <c r="E931" t="s">
        <v>1860</v>
      </c>
    </row>
    <row r="932" spans="1:5" x14ac:dyDescent="0.3">
      <c r="A932">
        <v>931</v>
      </c>
      <c r="B932" t="s">
        <v>1861</v>
      </c>
      <c r="C932" t="s">
        <v>6</v>
      </c>
      <c r="D932">
        <v>931</v>
      </c>
      <c r="E932" t="s">
        <v>1862</v>
      </c>
    </row>
    <row r="933" spans="1:5" x14ac:dyDescent="0.3">
      <c r="A933">
        <v>932</v>
      </c>
      <c r="B933" t="s">
        <v>1863</v>
      </c>
      <c r="C933" t="s">
        <v>6</v>
      </c>
      <c r="D933">
        <v>932</v>
      </c>
      <c r="E933" t="s">
        <v>1864</v>
      </c>
    </row>
    <row r="934" spans="1:5" x14ac:dyDescent="0.3">
      <c r="A934">
        <v>933</v>
      </c>
      <c r="B934" t="s">
        <v>1865</v>
      </c>
      <c r="C934" t="s">
        <v>6</v>
      </c>
      <c r="D934">
        <v>933</v>
      </c>
      <c r="E934" t="s">
        <v>1866</v>
      </c>
    </row>
    <row r="935" spans="1:5" x14ac:dyDescent="0.3">
      <c r="A935">
        <v>934</v>
      </c>
      <c r="B935" t="s">
        <v>1867</v>
      </c>
      <c r="C935" t="s">
        <v>6</v>
      </c>
      <c r="D935">
        <v>934</v>
      </c>
      <c r="E935" t="s">
        <v>1868</v>
      </c>
    </row>
    <row r="936" spans="1:5" x14ac:dyDescent="0.3">
      <c r="A936">
        <v>935</v>
      </c>
      <c r="B936" t="s">
        <v>1869</v>
      </c>
      <c r="C936" t="s">
        <v>6</v>
      </c>
      <c r="D936">
        <v>935</v>
      </c>
      <c r="E936" t="s">
        <v>1870</v>
      </c>
    </row>
    <row r="937" spans="1:5" x14ac:dyDescent="0.3">
      <c r="A937">
        <v>936</v>
      </c>
      <c r="B937" t="s">
        <v>1871</v>
      </c>
      <c r="C937" t="s">
        <v>6</v>
      </c>
      <c r="D937">
        <v>936</v>
      </c>
      <c r="E937" t="s">
        <v>1872</v>
      </c>
    </row>
    <row r="938" spans="1:5" x14ac:dyDescent="0.3">
      <c r="A938">
        <v>937</v>
      </c>
      <c r="B938" t="s">
        <v>1873</v>
      </c>
      <c r="C938" t="s">
        <v>6</v>
      </c>
      <c r="D938">
        <v>937</v>
      </c>
      <c r="E938" t="s">
        <v>1874</v>
      </c>
    </row>
    <row r="939" spans="1:5" x14ac:dyDescent="0.3">
      <c r="A939">
        <v>938</v>
      </c>
      <c r="B939" t="s">
        <v>1875</v>
      </c>
      <c r="C939" t="s">
        <v>6</v>
      </c>
      <c r="D939">
        <v>938</v>
      </c>
      <c r="E939" t="s">
        <v>1876</v>
      </c>
    </row>
    <row r="940" spans="1:5" x14ac:dyDescent="0.3">
      <c r="A940">
        <v>939</v>
      </c>
      <c r="B940" t="s">
        <v>1877</v>
      </c>
      <c r="C940" t="s">
        <v>6</v>
      </c>
      <c r="D940">
        <v>939</v>
      </c>
      <c r="E940" t="s">
        <v>1878</v>
      </c>
    </row>
    <row r="941" spans="1:5" x14ac:dyDescent="0.3">
      <c r="A941">
        <v>940</v>
      </c>
      <c r="B941" t="s">
        <v>1879</v>
      </c>
      <c r="C941" t="s">
        <v>6</v>
      </c>
      <c r="D941">
        <v>940</v>
      </c>
      <c r="E941" t="s">
        <v>1880</v>
      </c>
    </row>
    <row r="942" spans="1:5" x14ac:dyDescent="0.3">
      <c r="A942">
        <v>941</v>
      </c>
      <c r="B942" t="s">
        <v>1881</v>
      </c>
      <c r="C942" t="s">
        <v>6</v>
      </c>
      <c r="D942">
        <v>941</v>
      </c>
      <c r="E942" t="s">
        <v>1882</v>
      </c>
    </row>
    <row r="943" spans="1:5" x14ac:dyDescent="0.3">
      <c r="A943">
        <v>942</v>
      </c>
      <c r="B943" t="s">
        <v>1883</v>
      </c>
      <c r="C943" t="s">
        <v>6</v>
      </c>
      <c r="D943">
        <v>942</v>
      </c>
      <c r="E943" t="s">
        <v>1884</v>
      </c>
    </row>
    <row r="944" spans="1:5" x14ac:dyDescent="0.3">
      <c r="A944">
        <v>943</v>
      </c>
      <c r="B944" t="s">
        <v>1885</v>
      </c>
      <c r="C944" t="s">
        <v>6</v>
      </c>
      <c r="D944">
        <v>943</v>
      </c>
      <c r="E944" t="s">
        <v>1886</v>
      </c>
    </row>
    <row r="945" spans="1:5" x14ac:dyDescent="0.3">
      <c r="A945">
        <v>944</v>
      </c>
      <c r="B945" t="s">
        <v>1887</v>
      </c>
      <c r="C945" t="s">
        <v>6</v>
      </c>
      <c r="D945">
        <v>944</v>
      </c>
      <c r="E945" t="s">
        <v>1888</v>
      </c>
    </row>
    <row r="946" spans="1:5" x14ac:dyDescent="0.3">
      <c r="A946">
        <v>945</v>
      </c>
      <c r="B946" t="s">
        <v>1889</v>
      </c>
      <c r="C946" t="s">
        <v>6</v>
      </c>
      <c r="D946">
        <v>945</v>
      </c>
      <c r="E946" t="s">
        <v>1890</v>
      </c>
    </row>
    <row r="947" spans="1:5" x14ac:dyDescent="0.3">
      <c r="A947">
        <v>946</v>
      </c>
      <c r="B947" t="s">
        <v>1891</v>
      </c>
      <c r="C947" t="s">
        <v>6</v>
      </c>
      <c r="D947">
        <v>946</v>
      </c>
      <c r="E947" t="s">
        <v>1892</v>
      </c>
    </row>
    <row r="948" spans="1:5" x14ac:dyDescent="0.3">
      <c r="A948">
        <v>947</v>
      </c>
      <c r="B948" t="s">
        <v>1893</v>
      </c>
      <c r="C948" t="s">
        <v>6</v>
      </c>
      <c r="D948">
        <v>947</v>
      </c>
      <c r="E948" t="s">
        <v>1894</v>
      </c>
    </row>
    <row r="949" spans="1:5" x14ac:dyDescent="0.3">
      <c r="A949">
        <v>948</v>
      </c>
      <c r="B949" t="s">
        <v>1895</v>
      </c>
      <c r="C949" t="s">
        <v>6</v>
      </c>
      <c r="D949">
        <v>948</v>
      </c>
      <c r="E949" t="s">
        <v>1896</v>
      </c>
    </row>
    <row r="950" spans="1:5" x14ac:dyDescent="0.3">
      <c r="A950">
        <v>949</v>
      </c>
      <c r="B950" t="s">
        <v>1897</v>
      </c>
      <c r="C950" t="s">
        <v>6</v>
      </c>
      <c r="D950">
        <v>949</v>
      </c>
      <c r="E950" t="s">
        <v>1898</v>
      </c>
    </row>
    <row r="951" spans="1:5" x14ac:dyDescent="0.3">
      <c r="A951">
        <v>950</v>
      </c>
      <c r="B951" t="s">
        <v>1899</v>
      </c>
      <c r="C951" t="s">
        <v>6</v>
      </c>
      <c r="D951">
        <v>950</v>
      </c>
      <c r="E951" t="s">
        <v>1900</v>
      </c>
    </row>
    <row r="952" spans="1:5" x14ac:dyDescent="0.3">
      <c r="A952">
        <v>951</v>
      </c>
      <c r="B952" t="s">
        <v>1901</v>
      </c>
      <c r="C952" t="s">
        <v>6</v>
      </c>
      <c r="D952">
        <v>951</v>
      </c>
      <c r="E952" t="s">
        <v>1902</v>
      </c>
    </row>
    <row r="953" spans="1:5" x14ac:dyDescent="0.3">
      <c r="A953">
        <v>952</v>
      </c>
      <c r="B953" t="s">
        <v>1903</v>
      </c>
      <c r="C953" t="s">
        <v>6</v>
      </c>
      <c r="D953">
        <v>952</v>
      </c>
      <c r="E953" t="s">
        <v>1904</v>
      </c>
    </row>
    <row r="954" spans="1:5" x14ac:dyDescent="0.3">
      <c r="A954">
        <v>953</v>
      </c>
      <c r="B954" t="s">
        <v>1905</v>
      </c>
      <c r="C954" t="s">
        <v>6</v>
      </c>
      <c r="D954">
        <v>953</v>
      </c>
      <c r="E954" t="s">
        <v>1906</v>
      </c>
    </row>
    <row r="955" spans="1:5" x14ac:dyDescent="0.3">
      <c r="A955">
        <v>954</v>
      </c>
      <c r="B955" t="s">
        <v>1907</v>
      </c>
      <c r="C955" t="s">
        <v>6</v>
      </c>
      <c r="D955">
        <v>954</v>
      </c>
      <c r="E955" t="s">
        <v>1908</v>
      </c>
    </row>
    <row r="956" spans="1:5" x14ac:dyDescent="0.3">
      <c r="A956">
        <v>955</v>
      </c>
      <c r="B956" t="s">
        <v>1909</v>
      </c>
      <c r="C956" t="s">
        <v>6</v>
      </c>
      <c r="D956">
        <v>955</v>
      </c>
      <c r="E956" t="s">
        <v>1910</v>
      </c>
    </row>
    <row r="957" spans="1:5" x14ac:dyDescent="0.3">
      <c r="A957">
        <v>956</v>
      </c>
      <c r="B957" t="s">
        <v>1911</v>
      </c>
      <c r="C957" t="s">
        <v>6</v>
      </c>
      <c r="D957">
        <v>956</v>
      </c>
      <c r="E957" t="s">
        <v>1912</v>
      </c>
    </row>
  </sheetData>
  <phoneticPr fontId="3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4"/>
  <sheetViews>
    <sheetView workbookViewId="0">
      <pane ySplit="1" topLeftCell="A2" activePane="bottomLeft" state="frozen"/>
      <selection pane="bottomLeft"/>
    </sheetView>
  </sheetViews>
  <sheetFormatPr defaultRowHeight="14.4" x14ac:dyDescent="0.3"/>
  <cols>
    <col min="1" max="1" width="7" customWidth="1"/>
    <col min="2" max="2" width="70" customWidth="1"/>
    <col min="3" max="3" width="34" customWidth="1"/>
    <col min="4" max="4" width="20" customWidth="1"/>
    <col min="5" max="6" width="40" customWidth="1"/>
  </cols>
  <sheetData>
    <row r="1" spans="1:6" x14ac:dyDescent="0.3">
      <c r="A1" s="82" t="s">
        <v>0</v>
      </c>
      <c r="B1" s="82" t="s">
        <v>2027</v>
      </c>
      <c r="C1" s="82" t="s">
        <v>4933</v>
      </c>
      <c r="D1" s="82" t="s">
        <v>4934</v>
      </c>
      <c r="E1" s="82" t="s">
        <v>4935</v>
      </c>
      <c r="F1" s="82" t="s">
        <v>4936</v>
      </c>
    </row>
    <row r="2" spans="1:6" ht="28.8" x14ac:dyDescent="0.3">
      <c r="A2" s="81">
        <v>14</v>
      </c>
      <c r="B2" s="81" t="s">
        <v>33</v>
      </c>
      <c r="C2" s="81" t="s">
        <v>4937</v>
      </c>
      <c r="D2" s="81" t="s">
        <v>4938</v>
      </c>
      <c r="E2" s="81" t="s">
        <v>4939</v>
      </c>
      <c r="F2" s="81" t="s">
        <v>1922</v>
      </c>
    </row>
    <row r="3" spans="1:6" ht="28.8" x14ac:dyDescent="0.3">
      <c r="A3" s="81">
        <v>26</v>
      </c>
      <c r="B3" s="81" t="s">
        <v>57</v>
      </c>
      <c r="C3" s="81" t="s">
        <v>4937</v>
      </c>
      <c r="D3" s="81" t="s">
        <v>4938</v>
      </c>
      <c r="E3" s="81" t="s">
        <v>4939</v>
      </c>
      <c r="F3" s="81" t="s">
        <v>1922</v>
      </c>
    </row>
    <row r="4" spans="1:6" ht="28.8" x14ac:dyDescent="0.3">
      <c r="A4" s="81">
        <v>31</v>
      </c>
      <c r="B4" s="81" t="s">
        <v>67</v>
      </c>
      <c r="C4" s="81" t="s">
        <v>4940</v>
      </c>
      <c r="D4" s="81" t="s">
        <v>4941</v>
      </c>
      <c r="E4" s="81" t="s">
        <v>4942</v>
      </c>
      <c r="F4" s="81" t="s">
        <v>4943</v>
      </c>
    </row>
    <row r="5" spans="1:6" ht="28.8" x14ac:dyDescent="0.3">
      <c r="A5" s="81">
        <v>72</v>
      </c>
      <c r="B5" s="81" t="s">
        <v>149</v>
      </c>
      <c r="C5" s="81" t="s">
        <v>4940</v>
      </c>
      <c r="D5" s="81" t="s">
        <v>4941</v>
      </c>
      <c r="E5" s="81" t="s">
        <v>4942</v>
      </c>
      <c r="F5" s="81" t="s">
        <v>4943</v>
      </c>
    </row>
    <row r="6" spans="1:6" ht="28.8" x14ac:dyDescent="0.3">
      <c r="A6" s="81">
        <v>78</v>
      </c>
      <c r="B6" s="81" t="s">
        <v>161</v>
      </c>
      <c r="C6" s="81" t="s">
        <v>4940</v>
      </c>
      <c r="D6" s="81" t="s">
        <v>4941</v>
      </c>
      <c r="E6" s="81" t="s">
        <v>4942</v>
      </c>
      <c r="F6" s="81" t="s">
        <v>4943</v>
      </c>
    </row>
    <row r="7" spans="1:6" ht="28.8" x14ac:dyDescent="0.3">
      <c r="A7" s="81">
        <v>106</v>
      </c>
      <c r="B7" s="81" t="s">
        <v>217</v>
      </c>
      <c r="C7" s="81" t="s">
        <v>4940</v>
      </c>
      <c r="D7" s="81" t="s">
        <v>4941</v>
      </c>
      <c r="E7" s="81" t="s">
        <v>4942</v>
      </c>
      <c r="F7" s="81" t="s">
        <v>4943</v>
      </c>
    </row>
    <row r="8" spans="1:6" ht="28.8" x14ac:dyDescent="0.3">
      <c r="A8" s="81">
        <v>121</v>
      </c>
      <c r="B8" s="81" t="s">
        <v>247</v>
      </c>
      <c r="C8" s="81" t="s">
        <v>4940</v>
      </c>
      <c r="D8" s="81" t="s">
        <v>4941</v>
      </c>
      <c r="E8" s="81" t="s">
        <v>4942</v>
      </c>
      <c r="F8" s="81" t="s">
        <v>4943</v>
      </c>
    </row>
    <row r="9" spans="1:6" ht="28.8" x14ac:dyDescent="0.3">
      <c r="A9" s="81">
        <v>128</v>
      </c>
      <c r="B9" s="81" t="s">
        <v>261</v>
      </c>
      <c r="C9" s="81" t="s">
        <v>4940</v>
      </c>
      <c r="D9" s="81" t="s">
        <v>4941</v>
      </c>
      <c r="E9" s="81" t="s">
        <v>4942</v>
      </c>
      <c r="F9" s="81" t="s">
        <v>4943</v>
      </c>
    </row>
    <row r="10" spans="1:6" ht="28.8" x14ac:dyDescent="0.3">
      <c r="A10" s="81">
        <v>133</v>
      </c>
      <c r="B10" s="81" t="s">
        <v>271</v>
      </c>
      <c r="C10" s="81" t="s">
        <v>4940</v>
      </c>
      <c r="D10" s="81" t="s">
        <v>4941</v>
      </c>
      <c r="E10" s="81" t="s">
        <v>4942</v>
      </c>
      <c r="F10" s="81" t="s">
        <v>4943</v>
      </c>
    </row>
    <row r="11" spans="1:6" ht="43.2" x14ac:dyDescent="0.3">
      <c r="A11" s="81">
        <v>147</v>
      </c>
      <c r="B11" s="81" t="s">
        <v>299</v>
      </c>
      <c r="C11" s="81" t="s">
        <v>4944</v>
      </c>
      <c r="D11" s="81" t="s">
        <v>4941</v>
      </c>
      <c r="E11" s="81" t="s">
        <v>4943</v>
      </c>
      <c r="F11" s="81" t="s">
        <v>4945</v>
      </c>
    </row>
    <row r="12" spans="1:6" ht="28.8" x14ac:dyDescent="0.3">
      <c r="A12" s="81">
        <v>186</v>
      </c>
      <c r="B12" s="81" t="s">
        <v>377</v>
      </c>
      <c r="C12" s="81" t="s">
        <v>4940</v>
      </c>
      <c r="D12" s="81" t="s">
        <v>4941</v>
      </c>
      <c r="E12" s="81" t="s">
        <v>4942</v>
      </c>
      <c r="F12" s="81" t="s">
        <v>4943</v>
      </c>
    </row>
    <row r="13" spans="1:6" ht="28.8" x14ac:dyDescent="0.3">
      <c r="A13" s="81">
        <v>212</v>
      </c>
      <c r="B13" s="81" t="s">
        <v>429</v>
      </c>
      <c r="C13" s="81" t="s">
        <v>4940</v>
      </c>
      <c r="D13" s="81" t="s">
        <v>4941</v>
      </c>
      <c r="E13" s="81" t="s">
        <v>4942</v>
      </c>
      <c r="F13" s="81" t="s">
        <v>4943</v>
      </c>
    </row>
    <row r="14" spans="1:6" ht="28.8" x14ac:dyDescent="0.3">
      <c r="A14" s="81">
        <v>239</v>
      </c>
      <c r="B14" s="81" t="s">
        <v>483</v>
      </c>
      <c r="C14" s="81" t="s">
        <v>4940</v>
      </c>
      <c r="D14" s="81" t="s">
        <v>4941</v>
      </c>
      <c r="E14" s="81" t="s">
        <v>4942</v>
      </c>
      <c r="F14" s="81" t="s">
        <v>4943</v>
      </c>
    </row>
    <row r="15" spans="1:6" ht="28.8" x14ac:dyDescent="0.3">
      <c r="A15" s="81">
        <v>245</v>
      </c>
      <c r="B15" s="81" t="s">
        <v>495</v>
      </c>
      <c r="C15" s="81" t="s">
        <v>4940</v>
      </c>
      <c r="D15" s="81" t="s">
        <v>4941</v>
      </c>
      <c r="E15" s="81" t="s">
        <v>4942</v>
      </c>
      <c r="F15" s="81" t="s">
        <v>4943</v>
      </c>
    </row>
    <row r="16" spans="1:6" ht="28.8" x14ac:dyDescent="0.3">
      <c r="A16" s="81">
        <v>256</v>
      </c>
      <c r="B16" s="81" t="s">
        <v>517</v>
      </c>
      <c r="C16" s="81" t="s">
        <v>4940</v>
      </c>
      <c r="D16" s="81" t="s">
        <v>4941</v>
      </c>
      <c r="E16" s="81" t="s">
        <v>4942</v>
      </c>
      <c r="F16" s="81" t="s">
        <v>4943</v>
      </c>
    </row>
    <row r="17" spans="1:6" ht="43.2" x14ac:dyDescent="0.3">
      <c r="A17" s="81">
        <v>287</v>
      </c>
      <c r="B17" s="81" t="s">
        <v>577</v>
      </c>
      <c r="C17" s="81" t="s">
        <v>4937</v>
      </c>
      <c r="D17" s="81" t="s">
        <v>4938</v>
      </c>
      <c r="E17" s="81" t="s">
        <v>4939</v>
      </c>
      <c r="F17" s="81" t="s">
        <v>1922</v>
      </c>
    </row>
    <row r="18" spans="1:6" ht="28.8" x14ac:dyDescent="0.3">
      <c r="A18" s="81">
        <v>304</v>
      </c>
      <c r="B18" s="81" t="s">
        <v>611</v>
      </c>
      <c r="C18" s="81" t="s">
        <v>4940</v>
      </c>
      <c r="D18" s="81" t="s">
        <v>4941</v>
      </c>
      <c r="E18" s="81" t="s">
        <v>4942</v>
      </c>
      <c r="F18" s="81" t="s">
        <v>4943</v>
      </c>
    </row>
    <row r="19" spans="1:6" ht="28.8" x14ac:dyDescent="0.3">
      <c r="A19" s="81">
        <v>317</v>
      </c>
      <c r="B19" s="81" t="s">
        <v>636</v>
      </c>
      <c r="C19" s="81" t="s">
        <v>4940</v>
      </c>
      <c r="D19" s="81" t="s">
        <v>4941</v>
      </c>
      <c r="E19" s="81" t="s">
        <v>4942</v>
      </c>
      <c r="F19" s="81" t="s">
        <v>4943</v>
      </c>
    </row>
    <row r="20" spans="1:6" ht="28.8" x14ac:dyDescent="0.3">
      <c r="A20" s="81">
        <v>345</v>
      </c>
      <c r="B20" s="81" t="s">
        <v>691</v>
      </c>
      <c r="C20" s="81" t="s">
        <v>4937</v>
      </c>
      <c r="D20" s="81" t="s">
        <v>4938</v>
      </c>
      <c r="E20" s="81" t="s">
        <v>4939</v>
      </c>
      <c r="F20" s="81" t="s">
        <v>1922</v>
      </c>
    </row>
    <row r="21" spans="1:6" ht="28.8" x14ac:dyDescent="0.3">
      <c r="A21" s="81">
        <v>386</v>
      </c>
      <c r="B21" s="81" t="s">
        <v>773</v>
      </c>
      <c r="C21" s="81" t="s">
        <v>4937</v>
      </c>
      <c r="D21" s="81" t="s">
        <v>4938</v>
      </c>
      <c r="E21" s="81" t="s">
        <v>4939</v>
      </c>
      <c r="F21" s="81" t="s">
        <v>1922</v>
      </c>
    </row>
    <row r="22" spans="1:6" x14ac:dyDescent="0.3">
      <c r="A22" s="81">
        <v>410</v>
      </c>
      <c r="B22" s="81" t="s">
        <v>821</v>
      </c>
      <c r="C22" s="81" t="s">
        <v>4940</v>
      </c>
      <c r="D22" s="81" t="s">
        <v>4941</v>
      </c>
      <c r="E22" s="81" t="s">
        <v>4942</v>
      </c>
      <c r="F22" s="81" t="s">
        <v>4943</v>
      </c>
    </row>
    <row r="23" spans="1:6" x14ac:dyDescent="0.3">
      <c r="A23" s="81">
        <v>433</v>
      </c>
      <c r="B23" s="81" t="s">
        <v>867</v>
      </c>
      <c r="C23" s="81" t="s">
        <v>4940</v>
      </c>
      <c r="D23" s="81" t="s">
        <v>4941</v>
      </c>
      <c r="E23" s="81" t="s">
        <v>4942</v>
      </c>
      <c r="F23" s="81" t="s">
        <v>4943</v>
      </c>
    </row>
    <row r="24" spans="1:6" x14ac:dyDescent="0.3">
      <c r="A24" s="81">
        <v>440</v>
      </c>
      <c r="B24" s="81" t="s">
        <v>881</v>
      </c>
      <c r="C24" s="81" t="s">
        <v>4937</v>
      </c>
      <c r="D24" s="81" t="s">
        <v>4938</v>
      </c>
      <c r="E24" s="81" t="s">
        <v>4939</v>
      </c>
      <c r="F24" s="81" t="s">
        <v>1922</v>
      </c>
    </row>
    <row r="25" spans="1:6" x14ac:dyDescent="0.3">
      <c r="A25" s="81">
        <v>460</v>
      </c>
      <c r="B25" s="81" t="s">
        <v>921</v>
      </c>
      <c r="C25" s="81" t="s">
        <v>4937</v>
      </c>
      <c r="D25" s="81" t="s">
        <v>4938</v>
      </c>
      <c r="E25" s="81" t="s">
        <v>4939</v>
      </c>
      <c r="F25" s="81" t="s">
        <v>1922</v>
      </c>
    </row>
    <row r="26" spans="1:6" ht="28.8" x14ac:dyDescent="0.3">
      <c r="A26" s="81">
        <v>464</v>
      </c>
      <c r="B26" s="81" t="s">
        <v>929</v>
      </c>
      <c r="C26" s="81" t="s">
        <v>4940</v>
      </c>
      <c r="D26" s="81" t="s">
        <v>4941</v>
      </c>
      <c r="E26" s="81" t="s">
        <v>4942</v>
      </c>
      <c r="F26" s="81" t="s">
        <v>4943</v>
      </c>
    </row>
    <row r="27" spans="1:6" ht="28.8" x14ac:dyDescent="0.3">
      <c r="A27" s="81">
        <v>476</v>
      </c>
      <c r="B27" s="81" t="s">
        <v>953</v>
      </c>
      <c r="C27" s="81" t="s">
        <v>4940</v>
      </c>
      <c r="D27" s="81" t="s">
        <v>4941</v>
      </c>
      <c r="E27" s="81" t="s">
        <v>4942</v>
      </c>
      <c r="F27" s="81" t="s">
        <v>4943</v>
      </c>
    </row>
    <row r="28" spans="1:6" ht="28.8" x14ac:dyDescent="0.3">
      <c r="A28" s="81">
        <v>488</v>
      </c>
      <c r="B28" s="81" t="s">
        <v>977</v>
      </c>
      <c r="C28" s="81" t="s">
        <v>4937</v>
      </c>
      <c r="D28" s="81" t="s">
        <v>4938</v>
      </c>
      <c r="E28" s="81" t="s">
        <v>4939</v>
      </c>
      <c r="F28" s="81" t="s">
        <v>1922</v>
      </c>
    </row>
    <row r="29" spans="1:6" x14ac:dyDescent="0.3">
      <c r="A29" s="81">
        <v>506</v>
      </c>
      <c r="B29" s="81" t="s">
        <v>1013</v>
      </c>
      <c r="C29" s="81" t="s">
        <v>4940</v>
      </c>
      <c r="D29" s="81" t="s">
        <v>4941</v>
      </c>
      <c r="E29" s="81" t="s">
        <v>4942</v>
      </c>
      <c r="F29" s="81" t="s">
        <v>4943</v>
      </c>
    </row>
    <row r="30" spans="1:6" ht="28.8" x14ac:dyDescent="0.3">
      <c r="A30" s="81">
        <v>526</v>
      </c>
      <c r="B30" s="81" t="s">
        <v>1053</v>
      </c>
      <c r="C30" s="81" t="s">
        <v>4940</v>
      </c>
      <c r="D30" s="81" t="s">
        <v>4941</v>
      </c>
      <c r="E30" s="81" t="s">
        <v>4942</v>
      </c>
      <c r="F30" s="81" t="s">
        <v>4945</v>
      </c>
    </row>
    <row r="31" spans="1:6" ht="28.8" x14ac:dyDescent="0.3">
      <c r="A31" s="81">
        <v>566</v>
      </c>
      <c r="B31" s="81" t="s">
        <v>1133</v>
      </c>
      <c r="C31" s="81" t="s">
        <v>4946</v>
      </c>
      <c r="D31" s="81" t="s">
        <v>4941</v>
      </c>
      <c r="E31" s="81" t="s">
        <v>4943</v>
      </c>
      <c r="F31" s="81" t="s">
        <v>4942</v>
      </c>
    </row>
    <row r="32" spans="1:6" ht="28.8" x14ac:dyDescent="0.3">
      <c r="A32" s="81">
        <v>588</v>
      </c>
      <c r="B32" s="81" t="s">
        <v>1177</v>
      </c>
      <c r="C32" s="81" t="s">
        <v>4940</v>
      </c>
      <c r="D32" s="81" t="s">
        <v>4941</v>
      </c>
      <c r="E32" s="81" t="s">
        <v>4942</v>
      </c>
      <c r="F32" s="81" t="s">
        <v>4943</v>
      </c>
    </row>
    <row r="33" spans="1:6" ht="28.8" x14ac:dyDescent="0.3">
      <c r="A33" s="81">
        <v>595</v>
      </c>
      <c r="B33" s="81" t="s">
        <v>1191</v>
      </c>
      <c r="C33" s="81" t="s">
        <v>4937</v>
      </c>
      <c r="D33" s="81" t="s">
        <v>4938</v>
      </c>
      <c r="E33" s="81" t="s">
        <v>4939</v>
      </c>
      <c r="F33" s="81" t="s">
        <v>1922</v>
      </c>
    </row>
    <row r="34" spans="1:6" ht="43.2" x14ac:dyDescent="0.3">
      <c r="A34" s="81">
        <v>648</v>
      </c>
      <c r="B34" s="81" t="s">
        <v>1297</v>
      </c>
      <c r="C34" s="81" t="s">
        <v>4940</v>
      </c>
      <c r="D34" s="81" t="s">
        <v>4941</v>
      </c>
      <c r="E34" s="81" t="s">
        <v>4942</v>
      </c>
      <c r="F34" s="81" t="s">
        <v>4943</v>
      </c>
    </row>
    <row r="35" spans="1:6" ht="28.8" x14ac:dyDescent="0.3">
      <c r="A35" s="81">
        <v>705</v>
      </c>
      <c r="B35" s="81" t="s">
        <v>1411</v>
      </c>
      <c r="C35" s="81" t="s">
        <v>4940</v>
      </c>
      <c r="D35" s="81" t="s">
        <v>4941</v>
      </c>
      <c r="E35" s="81" t="s">
        <v>4942</v>
      </c>
      <c r="F35" s="81" t="s">
        <v>4943</v>
      </c>
    </row>
    <row r="36" spans="1:6" x14ac:dyDescent="0.3">
      <c r="A36" s="81">
        <v>753</v>
      </c>
      <c r="B36" s="81" t="s">
        <v>1507</v>
      </c>
      <c r="C36" s="81" t="s">
        <v>4937</v>
      </c>
      <c r="D36" s="81" t="s">
        <v>4938</v>
      </c>
      <c r="E36" s="81" t="s">
        <v>4939</v>
      </c>
      <c r="F36" s="81" t="s">
        <v>1922</v>
      </c>
    </row>
    <row r="37" spans="1:6" ht="28.8" x14ac:dyDescent="0.3">
      <c r="A37" s="81">
        <v>757</v>
      </c>
      <c r="B37" s="81" t="s">
        <v>1515</v>
      </c>
      <c r="C37" s="81" t="s">
        <v>4940</v>
      </c>
      <c r="D37" s="81" t="s">
        <v>4941</v>
      </c>
      <c r="E37" s="81" t="s">
        <v>4942</v>
      </c>
      <c r="F37" s="81" t="s">
        <v>4943</v>
      </c>
    </row>
    <row r="38" spans="1:6" ht="28.8" x14ac:dyDescent="0.3">
      <c r="A38" s="81">
        <v>793</v>
      </c>
      <c r="B38" s="81" t="s">
        <v>1587</v>
      </c>
      <c r="C38" s="81" t="s">
        <v>4944</v>
      </c>
      <c r="D38" s="81" t="s">
        <v>4941</v>
      </c>
      <c r="E38" s="81" t="s">
        <v>4943</v>
      </c>
      <c r="F38" s="81" t="s">
        <v>4945</v>
      </c>
    </row>
    <row r="39" spans="1:6" ht="28.8" x14ac:dyDescent="0.3">
      <c r="A39" s="81">
        <v>825</v>
      </c>
      <c r="B39" s="81" t="s">
        <v>1651</v>
      </c>
      <c r="C39" s="81" t="s">
        <v>4940</v>
      </c>
      <c r="D39" s="81" t="s">
        <v>4941</v>
      </c>
      <c r="E39" s="81" t="s">
        <v>4942</v>
      </c>
      <c r="F39" s="81" t="s">
        <v>4943</v>
      </c>
    </row>
    <row r="40" spans="1:6" x14ac:dyDescent="0.3">
      <c r="A40" s="81">
        <v>830</v>
      </c>
      <c r="B40" s="81" t="s">
        <v>1661</v>
      </c>
      <c r="C40" s="81" t="s">
        <v>4940</v>
      </c>
      <c r="D40" s="81" t="s">
        <v>4941</v>
      </c>
      <c r="E40" s="81" t="s">
        <v>4942</v>
      </c>
      <c r="F40" s="81" t="s">
        <v>4943</v>
      </c>
    </row>
    <row r="41" spans="1:6" ht="28.8" x14ac:dyDescent="0.3">
      <c r="A41" s="81">
        <v>853</v>
      </c>
      <c r="B41" s="81" t="s">
        <v>1707</v>
      </c>
      <c r="C41" s="81" t="s">
        <v>4940</v>
      </c>
      <c r="D41" s="81" t="s">
        <v>4941</v>
      </c>
      <c r="E41" s="81" t="s">
        <v>4942</v>
      </c>
      <c r="F41" s="81" t="s">
        <v>4943</v>
      </c>
    </row>
    <row r="42" spans="1:6" ht="28.8" x14ac:dyDescent="0.3">
      <c r="A42" s="81">
        <v>914</v>
      </c>
      <c r="B42" s="81" t="s">
        <v>1828</v>
      </c>
      <c r="C42" s="81" t="s">
        <v>4937</v>
      </c>
      <c r="D42" s="81" t="s">
        <v>4938</v>
      </c>
      <c r="E42" s="81" t="s">
        <v>4939</v>
      </c>
      <c r="F42" s="81" t="s">
        <v>1922</v>
      </c>
    </row>
    <row r="43" spans="1:6" ht="28.8" x14ac:dyDescent="0.3">
      <c r="A43" s="81">
        <v>927</v>
      </c>
      <c r="B43" s="81" t="s">
        <v>1854</v>
      </c>
      <c r="C43" s="81" t="s">
        <v>4944</v>
      </c>
      <c r="D43" s="81" t="s">
        <v>4941</v>
      </c>
      <c r="E43" s="81" t="s">
        <v>4943</v>
      </c>
      <c r="F43" s="81" t="s">
        <v>4945</v>
      </c>
    </row>
    <row r="44" spans="1:6" ht="28.8" x14ac:dyDescent="0.3">
      <c r="A44" s="81">
        <v>938</v>
      </c>
      <c r="B44" s="81" t="s">
        <v>1876</v>
      </c>
      <c r="C44" s="81" t="s">
        <v>4937</v>
      </c>
      <c r="D44" s="81" t="s">
        <v>4938</v>
      </c>
      <c r="E44" s="81" t="s">
        <v>4939</v>
      </c>
      <c r="F44" s="81" t="s">
        <v>1922</v>
      </c>
    </row>
  </sheetData>
  <autoFilter ref="A1:F44" xr:uid="{00000000-0009-0000-0000-000007000000}"/>
  <phoneticPr fontId="30" type="noConversion"/>
  <pageMargins left="0.75" right="0.75" top="1" bottom="1" header="0.5" footer="0.5"/>
</worksheet>
</file>

<file path=docMetadata/LabelInfo.xml><?xml version="1.0" encoding="utf-8"?>
<clbl:labelList xmlns:clbl="http://schemas.microsoft.com/office/2020/mipLabelMetadata">
  <clbl:label id="{82fa3fd3-029b-403d-91b4-1dc930cb0e60}" enabled="1" method="Privilege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0_Guide</vt:lpstr>
      <vt:lpstr>1_CodeLists</vt:lpstr>
      <vt:lpstr>Matrix</vt:lpstr>
      <vt:lpstr>Step1_Report</vt:lpstr>
      <vt:lpstr>PRISMA_Shapes</vt:lpstr>
      <vt:lpstr>Step3_Report</vt:lpstr>
      <vt:lpstr>2_DOI_Lookup</vt:lpstr>
      <vt:lpstr>3_Change_Log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Hu</dc:creator>
  <cp:lastModifiedBy>Tim Hu</cp:lastModifiedBy>
  <cp:revision>0</cp:revision>
  <dcterms:created xsi:type="dcterms:W3CDTF">2026-10-04T15:05:53Z</dcterms:created>
  <dcterms:modified xsi:type="dcterms:W3CDTF">2026-10-04T15:12:01Z</dcterms:modified>
</cp:coreProperties>
</file>
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phd\6.pjt\LR1\papers\04d_LR4\5. SLR matrix\"/>
    </mc:Choice>
  </mc:AlternateContent>
  <xr:revisionPtr revIDLastSave="0" documentId="13_ncr:1_{3360DFE9-1944-4306-901D-1CCE75C34EB6}" xr6:coauthVersionLast="47" xr6:coauthVersionMax="47" xr10:uidLastSave="{00000000-0000-0000-0000-000000000000}"/>
  <bookViews>
    <workbookView xWindow="-108" yWindow="-108" windowWidth="30936" windowHeight="16776" tabRatio="752" activeTab="5" xr2:uid="{00000000-000D-0000-FFFF-FFFF00000000}"/>
  </bookViews>
  <sheets>
    <sheet name="0_Guide" sheetId="1" r:id="rId1"/>
    <sheet name="1_CodeLists" sheetId="2" r:id="rId2"/>
    <sheet name="Matrix" sheetId="3" r:id="rId3"/>
    <sheet name="Step1_Report" sheetId="4" r:id="rId4"/>
    <sheet name="PRISMA_Shapes" sheetId="5" r:id="rId5"/>
    <sheet name="Step3_Report" sheetId="6" r:id="rId6"/>
    <sheet name="2_DOI_Lookup" sheetId="7" r:id="rId7"/>
    <sheet name="3_Change_Log" sheetId="8" r:id="rId8"/>
  </sheets>
  <definedNames>
    <definedName name="_xlnm._FilterDatabase" localSheetId="7" hidden="1">'3_Change_Log'!$A$1:$H$51</definedName>
    <definedName name="_xlnm._FilterDatabase" localSheetId="2" hidden="1">Matrix!$A$4:$AO$960</definedName>
  </definedName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02" i="6" l="1"/>
  <c r="A100" i="6"/>
  <c r="E98" i="6"/>
  <c r="D98" i="6"/>
  <c r="C98" i="6"/>
  <c r="B98" i="6"/>
  <c r="A94" i="6"/>
  <c r="A103" i="6" s="1"/>
  <c r="A93" i="6"/>
  <c r="E92" i="6"/>
  <c r="A92" i="6"/>
  <c r="A101" i="6" s="1"/>
  <c r="E91" i="6"/>
  <c r="A91" i="6"/>
  <c r="E90" i="6"/>
  <c r="A90" i="6"/>
  <c r="A99" i="6" s="1"/>
  <c r="A78" i="6"/>
  <c r="D76" i="6"/>
  <c r="C76" i="6"/>
  <c r="A72" i="6"/>
  <c r="A71" i="6"/>
  <c r="E70" i="6"/>
  <c r="E76" i="6" s="1"/>
  <c r="D70" i="6"/>
  <c r="C70" i="6"/>
  <c r="B70" i="6"/>
  <c r="A41" i="6"/>
  <c r="A40" i="6"/>
  <c r="A39" i="6"/>
  <c r="A38" i="6"/>
  <c r="A37" i="6"/>
  <c r="B4" i="4"/>
  <c r="Y960" i="3"/>
  <c r="S960" i="3"/>
  <c r="T960" i="3" s="1"/>
  <c r="L960" i="3"/>
  <c r="M960" i="3" s="1"/>
  <c r="Y959" i="3"/>
  <c r="S959" i="3"/>
  <c r="T959" i="3" s="1"/>
  <c r="L959" i="3"/>
  <c r="M959" i="3" s="1"/>
  <c r="Y958" i="3"/>
  <c r="T958" i="3"/>
  <c r="S958" i="3"/>
  <c r="L958" i="3"/>
  <c r="M958" i="3" s="1"/>
  <c r="Y957" i="3"/>
  <c r="T957" i="3"/>
  <c r="S957" i="3"/>
  <c r="L957" i="3"/>
  <c r="M957" i="3" s="1"/>
  <c r="Y956" i="3"/>
  <c r="S956" i="3"/>
  <c r="T956" i="3" s="1"/>
  <c r="L956" i="3"/>
  <c r="M956" i="3" s="1"/>
  <c r="Y955" i="3"/>
  <c r="T955" i="3"/>
  <c r="S955" i="3"/>
  <c r="L955" i="3"/>
  <c r="M955" i="3" s="1"/>
  <c r="Y954" i="3"/>
  <c r="T954" i="3"/>
  <c r="S954" i="3"/>
  <c r="L954" i="3"/>
  <c r="M954" i="3" s="1"/>
  <c r="Y953" i="3"/>
  <c r="S953" i="3"/>
  <c r="T953" i="3" s="1"/>
  <c r="L953" i="3"/>
  <c r="M953" i="3" s="1"/>
  <c r="Y952" i="3"/>
  <c r="T952" i="3"/>
  <c r="S952" i="3"/>
  <c r="L952" i="3"/>
  <c r="M952" i="3" s="1"/>
  <c r="Y951" i="3"/>
  <c r="S951" i="3"/>
  <c r="T951" i="3" s="1"/>
  <c r="L951" i="3"/>
  <c r="M951" i="3" s="1"/>
  <c r="Y950" i="3"/>
  <c r="S950" i="3"/>
  <c r="T950" i="3" s="1"/>
  <c r="L950" i="3"/>
  <c r="M950" i="3" s="1"/>
  <c r="Y949" i="3"/>
  <c r="T949" i="3"/>
  <c r="S949" i="3"/>
  <c r="L949" i="3"/>
  <c r="M949" i="3" s="1"/>
  <c r="Y948" i="3"/>
  <c r="S948" i="3"/>
  <c r="T948" i="3" s="1"/>
  <c r="L948" i="3"/>
  <c r="M948" i="3" s="1"/>
  <c r="Y947" i="3"/>
  <c r="S947" i="3"/>
  <c r="T947" i="3" s="1"/>
  <c r="L947" i="3"/>
  <c r="M947" i="3" s="1"/>
  <c r="Y946" i="3"/>
  <c r="S946" i="3"/>
  <c r="T946" i="3" s="1"/>
  <c r="L946" i="3"/>
  <c r="M946" i="3" s="1"/>
  <c r="Y945" i="3"/>
  <c r="S945" i="3"/>
  <c r="T945" i="3" s="1"/>
  <c r="L945" i="3"/>
  <c r="M945" i="3" s="1"/>
  <c r="Y944" i="3"/>
  <c r="T944" i="3"/>
  <c r="S944" i="3"/>
  <c r="L944" i="3"/>
  <c r="M944" i="3" s="1"/>
  <c r="Y943" i="3"/>
  <c r="T943" i="3"/>
  <c r="S943" i="3"/>
  <c r="L943" i="3"/>
  <c r="M943" i="3" s="1"/>
  <c r="Y942" i="3"/>
  <c r="S942" i="3"/>
  <c r="T942" i="3" s="1"/>
  <c r="L942" i="3"/>
  <c r="M942" i="3" s="1"/>
  <c r="Y941" i="3"/>
  <c r="S941" i="3"/>
  <c r="T941" i="3" s="1"/>
  <c r="L941" i="3"/>
  <c r="M941" i="3" s="1"/>
  <c r="Y940" i="3"/>
  <c r="T940" i="3"/>
  <c r="S940" i="3"/>
  <c r="L940" i="3"/>
  <c r="M940" i="3" s="1"/>
  <c r="Y939" i="3"/>
  <c r="S939" i="3"/>
  <c r="T939" i="3" s="1"/>
  <c r="L939" i="3"/>
  <c r="M939" i="3" s="1"/>
  <c r="Y938" i="3"/>
  <c r="T938" i="3"/>
  <c r="S938" i="3"/>
  <c r="M938" i="3"/>
  <c r="L938" i="3"/>
  <c r="Y937" i="3"/>
  <c r="S937" i="3"/>
  <c r="T937" i="3" s="1"/>
  <c r="L937" i="3"/>
  <c r="M937" i="3" s="1"/>
  <c r="Y936" i="3"/>
  <c r="S936" i="3"/>
  <c r="T936" i="3" s="1"/>
  <c r="L936" i="3"/>
  <c r="M936" i="3" s="1"/>
  <c r="Y935" i="3"/>
  <c r="S935" i="3"/>
  <c r="T935" i="3" s="1"/>
  <c r="L935" i="3"/>
  <c r="M935" i="3" s="1"/>
  <c r="Y934" i="3"/>
  <c r="S934" i="3"/>
  <c r="T934" i="3" s="1"/>
  <c r="L934" i="3"/>
  <c r="M934" i="3" s="1"/>
  <c r="Y933" i="3"/>
  <c r="S933" i="3"/>
  <c r="T933" i="3" s="1"/>
  <c r="L933" i="3"/>
  <c r="M933" i="3" s="1"/>
  <c r="Y932" i="3"/>
  <c r="T932" i="3"/>
  <c r="S932" i="3"/>
  <c r="L932" i="3"/>
  <c r="M932" i="3" s="1"/>
  <c r="Y931" i="3"/>
  <c r="S931" i="3"/>
  <c r="T931" i="3" s="1"/>
  <c r="L931" i="3"/>
  <c r="M931" i="3" s="1"/>
  <c r="Y930" i="3"/>
  <c r="S930" i="3"/>
  <c r="T930" i="3" s="1"/>
  <c r="M930" i="3"/>
  <c r="L930" i="3"/>
  <c r="Y929" i="3"/>
  <c r="S929" i="3"/>
  <c r="T929" i="3" s="1"/>
  <c r="L929" i="3"/>
  <c r="M929" i="3" s="1"/>
  <c r="Y928" i="3"/>
  <c r="S928" i="3"/>
  <c r="T928" i="3" s="1"/>
  <c r="L928" i="3"/>
  <c r="M928" i="3" s="1"/>
  <c r="Y927" i="3"/>
  <c r="S927" i="3"/>
  <c r="T927" i="3" s="1"/>
  <c r="L927" i="3"/>
  <c r="M927" i="3" s="1"/>
  <c r="Y926" i="3"/>
  <c r="S926" i="3"/>
  <c r="T926" i="3" s="1"/>
  <c r="M926" i="3"/>
  <c r="L926" i="3"/>
  <c r="Y925" i="3"/>
  <c r="S925" i="3"/>
  <c r="T925" i="3" s="1"/>
  <c r="L925" i="3"/>
  <c r="M925" i="3" s="1"/>
  <c r="Y924" i="3"/>
  <c r="S924" i="3"/>
  <c r="T924" i="3" s="1"/>
  <c r="L924" i="3"/>
  <c r="M924" i="3" s="1"/>
  <c r="Y923" i="3"/>
  <c r="S923" i="3"/>
  <c r="T923" i="3" s="1"/>
  <c r="L923" i="3"/>
  <c r="M923" i="3" s="1"/>
  <c r="Y922" i="3"/>
  <c r="S922" i="3"/>
  <c r="T922" i="3" s="1"/>
  <c r="M922" i="3"/>
  <c r="L922" i="3"/>
  <c r="Y921" i="3"/>
  <c r="S921" i="3"/>
  <c r="T921" i="3" s="1"/>
  <c r="L921" i="3"/>
  <c r="M921" i="3" s="1"/>
  <c r="Y920" i="3"/>
  <c r="S920" i="3"/>
  <c r="T920" i="3" s="1"/>
  <c r="L920" i="3"/>
  <c r="M920" i="3" s="1"/>
  <c r="Y919" i="3"/>
  <c r="S919" i="3"/>
  <c r="T919" i="3" s="1"/>
  <c r="L919" i="3"/>
  <c r="M919" i="3" s="1"/>
  <c r="Y918" i="3"/>
  <c r="S918" i="3"/>
  <c r="T918" i="3" s="1"/>
  <c r="L918" i="3"/>
  <c r="M918" i="3" s="1"/>
  <c r="Y917" i="3"/>
  <c r="S917" i="3"/>
  <c r="T917" i="3" s="1"/>
  <c r="L917" i="3"/>
  <c r="M917" i="3" s="1"/>
  <c r="Y916" i="3"/>
  <c r="T916" i="3"/>
  <c r="S916" i="3"/>
  <c r="L916" i="3"/>
  <c r="M916" i="3" s="1"/>
  <c r="Y915" i="3"/>
  <c r="S915" i="3"/>
  <c r="T915" i="3" s="1"/>
  <c r="L915" i="3"/>
  <c r="M915" i="3" s="1"/>
  <c r="Y914" i="3"/>
  <c r="S914" i="3"/>
  <c r="T914" i="3" s="1"/>
  <c r="M914" i="3"/>
  <c r="L914" i="3"/>
  <c r="Y913" i="3"/>
  <c r="S913" i="3"/>
  <c r="T913" i="3" s="1"/>
  <c r="L913" i="3"/>
  <c r="M913" i="3" s="1"/>
  <c r="Y912" i="3"/>
  <c r="S912" i="3"/>
  <c r="T912" i="3" s="1"/>
  <c r="L912" i="3"/>
  <c r="M912" i="3" s="1"/>
  <c r="Y911" i="3"/>
  <c r="S911" i="3"/>
  <c r="T911" i="3" s="1"/>
  <c r="L911" i="3"/>
  <c r="M911" i="3" s="1"/>
  <c r="Y910" i="3"/>
  <c r="S910" i="3"/>
  <c r="T910" i="3" s="1"/>
  <c r="L910" i="3"/>
  <c r="M910" i="3" s="1"/>
  <c r="Y909" i="3"/>
  <c r="S909" i="3"/>
  <c r="T909" i="3" s="1"/>
  <c r="L909" i="3"/>
  <c r="M909" i="3" s="1"/>
  <c r="Y908" i="3"/>
  <c r="S908" i="3"/>
  <c r="T908" i="3" s="1"/>
  <c r="L908" i="3"/>
  <c r="M908" i="3" s="1"/>
  <c r="Y907" i="3"/>
  <c r="S907" i="3"/>
  <c r="T907" i="3" s="1"/>
  <c r="L907" i="3"/>
  <c r="M907" i="3" s="1"/>
  <c r="Y906" i="3"/>
  <c r="S906" i="3"/>
  <c r="T906" i="3" s="1"/>
  <c r="L906" i="3"/>
  <c r="M906" i="3" s="1"/>
  <c r="Y905" i="3"/>
  <c r="S905" i="3"/>
  <c r="T905" i="3" s="1"/>
  <c r="L905" i="3"/>
  <c r="M905" i="3" s="1"/>
  <c r="Y904" i="3"/>
  <c r="T904" i="3"/>
  <c r="S904" i="3"/>
  <c r="L904" i="3"/>
  <c r="M904" i="3" s="1"/>
  <c r="Y903" i="3"/>
  <c r="S903" i="3"/>
  <c r="T903" i="3" s="1"/>
  <c r="L903" i="3"/>
  <c r="M903" i="3" s="1"/>
  <c r="Y902" i="3"/>
  <c r="S902" i="3"/>
  <c r="T902" i="3" s="1"/>
  <c r="L902" i="3"/>
  <c r="M902" i="3" s="1"/>
  <c r="Y901" i="3"/>
  <c r="T901" i="3"/>
  <c r="S901" i="3"/>
  <c r="L901" i="3"/>
  <c r="M901" i="3" s="1"/>
  <c r="Y900" i="3"/>
  <c r="T900" i="3"/>
  <c r="S900" i="3"/>
  <c r="M900" i="3"/>
  <c r="L900" i="3"/>
  <c r="Y899" i="3"/>
  <c r="S899" i="3"/>
  <c r="T899" i="3" s="1"/>
  <c r="M899" i="3"/>
  <c r="L899" i="3"/>
  <c r="Y898" i="3"/>
  <c r="S898" i="3"/>
  <c r="T898" i="3" s="1"/>
  <c r="M898" i="3"/>
  <c r="L898" i="3"/>
  <c r="Y897" i="3"/>
  <c r="S897" i="3"/>
  <c r="T897" i="3" s="1"/>
  <c r="L897" i="3"/>
  <c r="M897" i="3" s="1"/>
  <c r="Y896" i="3"/>
  <c r="S896" i="3"/>
  <c r="T896" i="3" s="1"/>
  <c r="L896" i="3"/>
  <c r="M896" i="3" s="1"/>
  <c r="Y895" i="3"/>
  <c r="S895" i="3"/>
  <c r="T895" i="3" s="1"/>
  <c r="L895" i="3"/>
  <c r="M895" i="3" s="1"/>
  <c r="Y894" i="3"/>
  <c r="S894" i="3"/>
  <c r="T894" i="3" s="1"/>
  <c r="M894" i="3"/>
  <c r="L894" i="3"/>
  <c r="Y893" i="3"/>
  <c r="S893" i="3"/>
  <c r="T893" i="3" s="1"/>
  <c r="L893" i="3"/>
  <c r="M893" i="3" s="1"/>
  <c r="Y892" i="3"/>
  <c r="S892" i="3"/>
  <c r="T892" i="3" s="1"/>
  <c r="L892" i="3"/>
  <c r="M892" i="3" s="1"/>
  <c r="Y891" i="3"/>
  <c r="S891" i="3"/>
  <c r="T891" i="3" s="1"/>
  <c r="M891" i="3"/>
  <c r="L891" i="3"/>
  <c r="Y890" i="3"/>
  <c r="S890" i="3"/>
  <c r="T890" i="3" s="1"/>
  <c r="L890" i="3"/>
  <c r="M890" i="3" s="1"/>
  <c r="Y889" i="3"/>
  <c r="T889" i="3"/>
  <c r="S889" i="3"/>
  <c r="L889" i="3"/>
  <c r="M889" i="3" s="1"/>
  <c r="Y888" i="3"/>
  <c r="T888" i="3"/>
  <c r="S888" i="3"/>
  <c r="M888" i="3"/>
  <c r="L888" i="3"/>
  <c r="Y887" i="3"/>
  <c r="S887" i="3"/>
  <c r="T887" i="3" s="1"/>
  <c r="M887" i="3"/>
  <c r="L887" i="3"/>
  <c r="Y886" i="3"/>
  <c r="S886" i="3"/>
  <c r="T886" i="3" s="1"/>
  <c r="M886" i="3"/>
  <c r="L886" i="3"/>
  <c r="Y885" i="3"/>
  <c r="S885" i="3"/>
  <c r="T885" i="3" s="1"/>
  <c r="L885" i="3"/>
  <c r="M885" i="3" s="1"/>
  <c r="Y884" i="3"/>
  <c r="S884" i="3"/>
  <c r="T884" i="3" s="1"/>
  <c r="L884" i="3"/>
  <c r="M884" i="3" s="1"/>
  <c r="Y883" i="3"/>
  <c r="S883" i="3"/>
  <c r="T883" i="3" s="1"/>
  <c r="L883" i="3"/>
  <c r="M883" i="3" s="1"/>
  <c r="Y882" i="3"/>
  <c r="S882" i="3"/>
  <c r="T882" i="3" s="1"/>
  <c r="M882" i="3"/>
  <c r="L882" i="3"/>
  <c r="Y881" i="3"/>
  <c r="S881" i="3"/>
  <c r="T881" i="3" s="1"/>
  <c r="L881" i="3"/>
  <c r="M881" i="3" s="1"/>
  <c r="Y880" i="3"/>
  <c r="S880" i="3"/>
  <c r="T880" i="3" s="1"/>
  <c r="L880" i="3"/>
  <c r="M880" i="3" s="1"/>
  <c r="Y879" i="3"/>
  <c r="S879" i="3"/>
  <c r="T879" i="3" s="1"/>
  <c r="L879" i="3"/>
  <c r="M879" i="3" s="1"/>
  <c r="Y878" i="3"/>
  <c r="S878" i="3"/>
  <c r="T878" i="3" s="1"/>
  <c r="L878" i="3"/>
  <c r="M878" i="3" s="1"/>
  <c r="Y877" i="3"/>
  <c r="T877" i="3"/>
  <c r="S877" i="3"/>
  <c r="L877" i="3"/>
  <c r="M877" i="3" s="1"/>
  <c r="Y876" i="3"/>
  <c r="S876" i="3"/>
  <c r="T876" i="3" s="1"/>
  <c r="M876" i="3"/>
  <c r="L876" i="3"/>
  <c r="Y875" i="3"/>
  <c r="S875" i="3"/>
  <c r="T875" i="3" s="1"/>
  <c r="M875" i="3"/>
  <c r="L875" i="3"/>
  <c r="Y874" i="3"/>
  <c r="S874" i="3"/>
  <c r="T874" i="3" s="1"/>
  <c r="M874" i="3"/>
  <c r="L874" i="3"/>
  <c r="Y873" i="3"/>
  <c r="S873" i="3"/>
  <c r="T873" i="3" s="1"/>
  <c r="L873" i="3"/>
  <c r="M873" i="3" s="1"/>
  <c r="Y872" i="3"/>
  <c r="S872" i="3"/>
  <c r="T872" i="3" s="1"/>
  <c r="L872" i="3"/>
  <c r="M872" i="3" s="1"/>
  <c r="Y871" i="3"/>
  <c r="S871" i="3"/>
  <c r="T871" i="3" s="1"/>
  <c r="L871" i="3"/>
  <c r="M871" i="3" s="1"/>
  <c r="Y870" i="3"/>
  <c r="S870" i="3"/>
  <c r="T870" i="3" s="1"/>
  <c r="L870" i="3"/>
  <c r="M870" i="3" s="1"/>
  <c r="Y869" i="3"/>
  <c r="S869" i="3"/>
  <c r="T869" i="3" s="1"/>
  <c r="L869" i="3"/>
  <c r="M869" i="3" s="1"/>
  <c r="Y868" i="3"/>
  <c r="S868" i="3"/>
  <c r="T868" i="3" s="1"/>
  <c r="L868" i="3"/>
  <c r="M868" i="3" s="1"/>
  <c r="Y867" i="3"/>
  <c r="S867" i="3"/>
  <c r="T867" i="3" s="1"/>
  <c r="L867" i="3"/>
  <c r="M867" i="3" s="1"/>
  <c r="Y866" i="3"/>
  <c r="S866" i="3"/>
  <c r="T866" i="3" s="1"/>
  <c r="L866" i="3"/>
  <c r="M866" i="3" s="1"/>
  <c r="Y865" i="3"/>
  <c r="S865" i="3"/>
  <c r="T865" i="3" s="1"/>
  <c r="L865" i="3"/>
  <c r="M865" i="3" s="1"/>
  <c r="Y864" i="3"/>
  <c r="S864" i="3"/>
  <c r="T864" i="3" s="1"/>
  <c r="M864" i="3"/>
  <c r="L864" i="3"/>
  <c r="Y863" i="3"/>
  <c r="S863" i="3"/>
  <c r="T863" i="3" s="1"/>
  <c r="M863" i="3"/>
  <c r="L863" i="3"/>
  <c r="Y862" i="3"/>
  <c r="S862" i="3"/>
  <c r="T862" i="3" s="1"/>
  <c r="M862" i="3"/>
  <c r="L862" i="3"/>
  <c r="Y861" i="3"/>
  <c r="S861" i="3"/>
  <c r="T861" i="3" s="1"/>
  <c r="L861" i="3"/>
  <c r="M861" i="3" s="1"/>
  <c r="Y860" i="3"/>
  <c r="S860" i="3"/>
  <c r="T860" i="3" s="1"/>
  <c r="L860" i="3"/>
  <c r="M860" i="3" s="1"/>
  <c r="Y859" i="3"/>
  <c r="S859" i="3"/>
  <c r="T859" i="3" s="1"/>
  <c r="L859" i="3"/>
  <c r="M859" i="3" s="1"/>
  <c r="Y858" i="3"/>
  <c r="S858" i="3"/>
  <c r="T858" i="3" s="1"/>
  <c r="L858" i="3"/>
  <c r="M858" i="3" s="1"/>
  <c r="Y857" i="3"/>
  <c r="T857" i="3"/>
  <c r="S857" i="3"/>
  <c r="L857" i="3"/>
  <c r="M857" i="3" s="1"/>
  <c r="Y856" i="3"/>
  <c r="S856" i="3"/>
  <c r="T856" i="3" s="1"/>
  <c r="L856" i="3"/>
  <c r="M856" i="3" s="1"/>
  <c r="Y855" i="3"/>
  <c r="S855" i="3"/>
  <c r="T855" i="3" s="1"/>
  <c r="L855" i="3"/>
  <c r="M855" i="3" s="1"/>
  <c r="Y854" i="3"/>
  <c r="S854" i="3"/>
  <c r="T854" i="3" s="1"/>
  <c r="L854" i="3"/>
  <c r="M854" i="3" s="1"/>
  <c r="Y853" i="3"/>
  <c r="S853" i="3"/>
  <c r="T853" i="3" s="1"/>
  <c r="L853" i="3"/>
  <c r="M853" i="3" s="1"/>
  <c r="Y852" i="3"/>
  <c r="S852" i="3"/>
  <c r="T852" i="3" s="1"/>
  <c r="M852" i="3"/>
  <c r="L852" i="3"/>
  <c r="Y851" i="3"/>
  <c r="S851" i="3"/>
  <c r="T851" i="3" s="1"/>
  <c r="M851" i="3"/>
  <c r="L851" i="3"/>
  <c r="Y850" i="3"/>
  <c r="S850" i="3"/>
  <c r="T850" i="3" s="1"/>
  <c r="M850" i="3"/>
  <c r="L850" i="3"/>
  <c r="Y849" i="3"/>
  <c r="S849" i="3"/>
  <c r="T849" i="3" s="1"/>
  <c r="L849" i="3"/>
  <c r="M849" i="3" s="1"/>
  <c r="Y848" i="3"/>
  <c r="S848" i="3"/>
  <c r="T848" i="3" s="1"/>
  <c r="L848" i="3"/>
  <c r="M848" i="3" s="1"/>
  <c r="Y847" i="3"/>
  <c r="S847" i="3"/>
  <c r="T847" i="3" s="1"/>
  <c r="L847" i="3"/>
  <c r="M847" i="3" s="1"/>
  <c r="Y846" i="3"/>
  <c r="S846" i="3"/>
  <c r="T846" i="3" s="1"/>
  <c r="L846" i="3"/>
  <c r="M846" i="3" s="1"/>
  <c r="Y845" i="3"/>
  <c r="S845" i="3"/>
  <c r="T845" i="3" s="1"/>
  <c r="L845" i="3"/>
  <c r="M845" i="3" s="1"/>
  <c r="Y844" i="3"/>
  <c r="S844" i="3"/>
  <c r="T844" i="3" s="1"/>
  <c r="L844" i="3"/>
  <c r="M844" i="3" s="1"/>
  <c r="Y843" i="3"/>
  <c r="S843" i="3"/>
  <c r="T843" i="3" s="1"/>
  <c r="L843" i="3"/>
  <c r="M843" i="3" s="1"/>
  <c r="Y842" i="3"/>
  <c r="S842" i="3"/>
  <c r="T842" i="3" s="1"/>
  <c r="L842" i="3"/>
  <c r="M842" i="3" s="1"/>
  <c r="Y841" i="3"/>
  <c r="S841" i="3"/>
  <c r="T841" i="3" s="1"/>
  <c r="L841" i="3"/>
  <c r="M841" i="3" s="1"/>
  <c r="Y840" i="3"/>
  <c r="S840" i="3"/>
  <c r="T840" i="3" s="1"/>
  <c r="M840" i="3"/>
  <c r="L840" i="3"/>
  <c r="Y839" i="3"/>
  <c r="S839" i="3"/>
  <c r="T839" i="3" s="1"/>
  <c r="M839" i="3"/>
  <c r="L839" i="3"/>
  <c r="Y838" i="3"/>
  <c r="S838" i="3"/>
  <c r="T838" i="3" s="1"/>
  <c r="M838" i="3"/>
  <c r="L838" i="3"/>
  <c r="Y837" i="3"/>
  <c r="S837" i="3"/>
  <c r="T837" i="3" s="1"/>
  <c r="L837" i="3"/>
  <c r="M837" i="3" s="1"/>
  <c r="Y836" i="3"/>
  <c r="S836" i="3"/>
  <c r="T836" i="3" s="1"/>
  <c r="L836" i="3"/>
  <c r="M836" i="3" s="1"/>
  <c r="Y835" i="3"/>
  <c r="S835" i="3"/>
  <c r="T835" i="3" s="1"/>
  <c r="L835" i="3"/>
  <c r="M835" i="3" s="1"/>
  <c r="Y834" i="3"/>
  <c r="S834" i="3"/>
  <c r="T834" i="3" s="1"/>
  <c r="L834" i="3"/>
  <c r="M834" i="3" s="1"/>
  <c r="Y833" i="3"/>
  <c r="T833" i="3"/>
  <c r="S833" i="3"/>
  <c r="L833" i="3"/>
  <c r="M833" i="3" s="1"/>
  <c r="Y832" i="3"/>
  <c r="S832" i="3"/>
  <c r="T832" i="3" s="1"/>
  <c r="L832" i="3"/>
  <c r="M832" i="3" s="1"/>
  <c r="Y831" i="3"/>
  <c r="S831" i="3"/>
  <c r="T831" i="3" s="1"/>
  <c r="L831" i="3"/>
  <c r="M831" i="3" s="1"/>
  <c r="Y830" i="3"/>
  <c r="S830" i="3"/>
  <c r="T830" i="3" s="1"/>
  <c r="L830" i="3"/>
  <c r="M830" i="3" s="1"/>
  <c r="Y829" i="3"/>
  <c r="S829" i="3"/>
  <c r="T829" i="3" s="1"/>
  <c r="L829" i="3"/>
  <c r="M829" i="3" s="1"/>
  <c r="Y828" i="3"/>
  <c r="S828" i="3"/>
  <c r="T828" i="3" s="1"/>
  <c r="M828" i="3"/>
  <c r="L828" i="3"/>
  <c r="Y827" i="3"/>
  <c r="S827" i="3"/>
  <c r="T827" i="3" s="1"/>
  <c r="M827" i="3"/>
  <c r="L827" i="3"/>
  <c r="Y826" i="3"/>
  <c r="S826" i="3"/>
  <c r="T826" i="3" s="1"/>
  <c r="M826" i="3"/>
  <c r="L826" i="3"/>
  <c r="Y825" i="3"/>
  <c r="S825" i="3"/>
  <c r="T825" i="3" s="1"/>
  <c r="L825" i="3"/>
  <c r="M825" i="3" s="1"/>
  <c r="Y824" i="3"/>
  <c r="S824" i="3"/>
  <c r="T824" i="3" s="1"/>
  <c r="L824" i="3"/>
  <c r="M824" i="3" s="1"/>
  <c r="Y823" i="3"/>
  <c r="S823" i="3"/>
  <c r="T823" i="3" s="1"/>
  <c r="L823" i="3"/>
  <c r="M823" i="3" s="1"/>
  <c r="Y822" i="3"/>
  <c r="S822" i="3"/>
  <c r="T822" i="3" s="1"/>
  <c r="L822" i="3"/>
  <c r="M822" i="3" s="1"/>
  <c r="Y821" i="3"/>
  <c r="T821" i="3"/>
  <c r="S821" i="3"/>
  <c r="L821" i="3"/>
  <c r="M821" i="3" s="1"/>
  <c r="Y820" i="3"/>
  <c r="S820" i="3"/>
  <c r="T820" i="3" s="1"/>
  <c r="L820" i="3"/>
  <c r="M820" i="3" s="1"/>
  <c r="Y819" i="3"/>
  <c r="S819" i="3"/>
  <c r="T819" i="3" s="1"/>
  <c r="L819" i="3"/>
  <c r="M819" i="3" s="1"/>
  <c r="Y818" i="3"/>
  <c r="T818" i="3"/>
  <c r="S818" i="3"/>
  <c r="L818" i="3"/>
  <c r="M818" i="3" s="1"/>
  <c r="Y817" i="3"/>
  <c r="S817" i="3"/>
  <c r="T817" i="3" s="1"/>
  <c r="L817" i="3"/>
  <c r="M817" i="3" s="1"/>
  <c r="Y816" i="3"/>
  <c r="S816" i="3"/>
  <c r="T816" i="3" s="1"/>
  <c r="M816" i="3"/>
  <c r="L816" i="3"/>
  <c r="Y815" i="3"/>
  <c r="S815" i="3"/>
  <c r="T815" i="3" s="1"/>
  <c r="M815" i="3"/>
  <c r="L815" i="3"/>
  <c r="Y814" i="3"/>
  <c r="S814" i="3"/>
  <c r="T814" i="3" s="1"/>
  <c r="M814" i="3"/>
  <c r="L814" i="3"/>
  <c r="Y813" i="3"/>
  <c r="S813" i="3"/>
  <c r="T813" i="3" s="1"/>
  <c r="L813" i="3"/>
  <c r="M813" i="3" s="1"/>
  <c r="Y812" i="3"/>
  <c r="S812" i="3"/>
  <c r="T812" i="3" s="1"/>
  <c r="L812" i="3"/>
  <c r="M812" i="3" s="1"/>
  <c r="Y811" i="3"/>
  <c r="S811" i="3"/>
  <c r="T811" i="3" s="1"/>
  <c r="L811" i="3"/>
  <c r="M811" i="3" s="1"/>
  <c r="Y810" i="3"/>
  <c r="S810" i="3"/>
  <c r="T810" i="3" s="1"/>
  <c r="L810" i="3"/>
  <c r="M810" i="3" s="1"/>
  <c r="Y809" i="3"/>
  <c r="T809" i="3"/>
  <c r="S809" i="3"/>
  <c r="L809" i="3"/>
  <c r="M809" i="3" s="1"/>
  <c r="Y808" i="3"/>
  <c r="S808" i="3"/>
  <c r="T808" i="3" s="1"/>
  <c r="L808" i="3"/>
  <c r="M808" i="3" s="1"/>
  <c r="Y807" i="3"/>
  <c r="S807" i="3"/>
  <c r="T807" i="3" s="1"/>
  <c r="L807" i="3"/>
  <c r="M807" i="3" s="1"/>
  <c r="Y806" i="3"/>
  <c r="T806" i="3"/>
  <c r="S806" i="3"/>
  <c r="L806" i="3"/>
  <c r="M806" i="3" s="1"/>
  <c r="Y805" i="3"/>
  <c r="S805" i="3"/>
  <c r="T805" i="3" s="1"/>
  <c r="L805" i="3"/>
  <c r="M805" i="3" s="1"/>
  <c r="Y804" i="3"/>
  <c r="S804" i="3"/>
  <c r="T804" i="3" s="1"/>
  <c r="M804" i="3"/>
  <c r="L804" i="3"/>
  <c r="Y803" i="3"/>
  <c r="S803" i="3"/>
  <c r="T803" i="3" s="1"/>
  <c r="M803" i="3"/>
  <c r="L803" i="3"/>
  <c r="Y802" i="3"/>
  <c r="S802" i="3"/>
  <c r="T802" i="3" s="1"/>
  <c r="M802" i="3"/>
  <c r="L802" i="3"/>
  <c r="Y801" i="3"/>
  <c r="S801" i="3"/>
  <c r="T801" i="3" s="1"/>
  <c r="L801" i="3"/>
  <c r="M801" i="3" s="1"/>
  <c r="Y800" i="3"/>
  <c r="S800" i="3"/>
  <c r="T800" i="3" s="1"/>
  <c r="L800" i="3"/>
  <c r="M800" i="3" s="1"/>
  <c r="Y799" i="3"/>
  <c r="S799" i="3"/>
  <c r="T799" i="3" s="1"/>
  <c r="L799" i="3"/>
  <c r="M799" i="3" s="1"/>
  <c r="Y798" i="3"/>
  <c r="S798" i="3"/>
  <c r="T798" i="3" s="1"/>
  <c r="L798" i="3"/>
  <c r="M798" i="3" s="1"/>
  <c r="Y797" i="3"/>
  <c r="T797" i="3"/>
  <c r="S797" i="3"/>
  <c r="L797" i="3"/>
  <c r="M797" i="3" s="1"/>
  <c r="Y796" i="3"/>
  <c r="S796" i="3"/>
  <c r="T796" i="3" s="1"/>
  <c r="L796" i="3"/>
  <c r="M796" i="3" s="1"/>
  <c r="Y795" i="3"/>
  <c r="S795" i="3"/>
  <c r="T795" i="3" s="1"/>
  <c r="L795" i="3"/>
  <c r="M795" i="3" s="1"/>
  <c r="Y794" i="3"/>
  <c r="T794" i="3"/>
  <c r="S794" i="3"/>
  <c r="L794" i="3"/>
  <c r="M794" i="3" s="1"/>
  <c r="Y793" i="3"/>
  <c r="S793" i="3"/>
  <c r="T793" i="3" s="1"/>
  <c r="L793" i="3"/>
  <c r="M793" i="3" s="1"/>
  <c r="Y792" i="3"/>
  <c r="S792" i="3"/>
  <c r="T792" i="3" s="1"/>
  <c r="M792" i="3"/>
  <c r="L792" i="3"/>
  <c r="Y791" i="3"/>
  <c r="S791" i="3"/>
  <c r="T791" i="3" s="1"/>
  <c r="M791" i="3"/>
  <c r="L791" i="3"/>
  <c r="Y790" i="3"/>
  <c r="S790" i="3"/>
  <c r="T790" i="3" s="1"/>
  <c r="M790" i="3"/>
  <c r="L790" i="3"/>
  <c r="Y789" i="3"/>
  <c r="S789" i="3"/>
  <c r="T789" i="3" s="1"/>
  <c r="L789" i="3"/>
  <c r="M789" i="3" s="1"/>
  <c r="Y788" i="3"/>
  <c r="S788" i="3"/>
  <c r="T788" i="3" s="1"/>
  <c r="L788" i="3"/>
  <c r="M788" i="3" s="1"/>
  <c r="Y787" i="3"/>
  <c r="S787" i="3"/>
  <c r="T787" i="3" s="1"/>
  <c r="L787" i="3"/>
  <c r="M787" i="3" s="1"/>
  <c r="Y786" i="3"/>
  <c r="S786" i="3"/>
  <c r="T786" i="3" s="1"/>
  <c r="L786" i="3"/>
  <c r="M786" i="3" s="1"/>
  <c r="Y785" i="3"/>
  <c r="T785" i="3"/>
  <c r="S785" i="3"/>
  <c r="L785" i="3"/>
  <c r="M785" i="3" s="1"/>
  <c r="Y784" i="3"/>
  <c r="S784" i="3"/>
  <c r="T784" i="3" s="1"/>
  <c r="L784" i="3"/>
  <c r="M784" i="3" s="1"/>
  <c r="Y783" i="3"/>
  <c r="S783" i="3"/>
  <c r="T783" i="3" s="1"/>
  <c r="L783" i="3"/>
  <c r="M783" i="3" s="1"/>
  <c r="Y782" i="3"/>
  <c r="T782" i="3"/>
  <c r="S782" i="3"/>
  <c r="L782" i="3"/>
  <c r="M782" i="3" s="1"/>
  <c r="Y781" i="3"/>
  <c r="S781" i="3"/>
  <c r="T781" i="3" s="1"/>
  <c r="L781" i="3"/>
  <c r="M781" i="3" s="1"/>
  <c r="Y780" i="3"/>
  <c r="S780" i="3"/>
  <c r="T780" i="3" s="1"/>
  <c r="M780" i="3"/>
  <c r="L780" i="3"/>
  <c r="Y779" i="3"/>
  <c r="S779" i="3"/>
  <c r="T779" i="3" s="1"/>
  <c r="M779" i="3"/>
  <c r="L779" i="3"/>
  <c r="Y778" i="3"/>
  <c r="S778" i="3"/>
  <c r="T778" i="3" s="1"/>
  <c r="M778" i="3"/>
  <c r="L778" i="3"/>
  <c r="Y777" i="3"/>
  <c r="S777" i="3"/>
  <c r="T777" i="3" s="1"/>
  <c r="L777" i="3"/>
  <c r="M777" i="3" s="1"/>
  <c r="Y776" i="3"/>
  <c r="S776" i="3"/>
  <c r="T776" i="3" s="1"/>
  <c r="L776" i="3"/>
  <c r="M776" i="3" s="1"/>
  <c r="Y775" i="3"/>
  <c r="S775" i="3"/>
  <c r="T775" i="3" s="1"/>
  <c r="L775" i="3"/>
  <c r="M775" i="3" s="1"/>
  <c r="Y774" i="3"/>
  <c r="S774" i="3"/>
  <c r="T774" i="3" s="1"/>
  <c r="L774" i="3"/>
  <c r="M774" i="3" s="1"/>
  <c r="Y773" i="3"/>
  <c r="T773" i="3"/>
  <c r="S773" i="3"/>
  <c r="L773" i="3"/>
  <c r="M773" i="3" s="1"/>
  <c r="Y772" i="3"/>
  <c r="T772" i="3"/>
  <c r="S772" i="3"/>
  <c r="L772" i="3"/>
  <c r="M772" i="3" s="1"/>
  <c r="Y771" i="3"/>
  <c r="S771" i="3"/>
  <c r="T771" i="3" s="1"/>
  <c r="L771" i="3"/>
  <c r="M771" i="3" s="1"/>
  <c r="Y770" i="3"/>
  <c r="T770" i="3"/>
  <c r="S770" i="3"/>
  <c r="L770" i="3"/>
  <c r="M770" i="3" s="1"/>
  <c r="Y769" i="3"/>
  <c r="S769" i="3"/>
  <c r="T769" i="3" s="1"/>
  <c r="L769" i="3"/>
  <c r="M769" i="3" s="1"/>
  <c r="Y768" i="3"/>
  <c r="S768" i="3"/>
  <c r="T768" i="3" s="1"/>
  <c r="M768" i="3"/>
  <c r="L768" i="3"/>
  <c r="Y767" i="3"/>
  <c r="S767" i="3"/>
  <c r="T767" i="3" s="1"/>
  <c r="M767" i="3"/>
  <c r="L767" i="3"/>
  <c r="Y766" i="3"/>
  <c r="S766" i="3"/>
  <c r="T766" i="3" s="1"/>
  <c r="M766" i="3"/>
  <c r="L766" i="3"/>
  <c r="Y765" i="3"/>
  <c r="S765" i="3"/>
  <c r="T765" i="3" s="1"/>
  <c r="L765" i="3"/>
  <c r="M765" i="3" s="1"/>
  <c r="Y764" i="3"/>
  <c r="S764" i="3"/>
  <c r="T764" i="3" s="1"/>
  <c r="L764" i="3"/>
  <c r="M764" i="3" s="1"/>
  <c r="Y763" i="3"/>
  <c r="S763" i="3"/>
  <c r="T763" i="3" s="1"/>
  <c r="L763" i="3"/>
  <c r="M763" i="3" s="1"/>
  <c r="Y762" i="3"/>
  <c r="S762" i="3"/>
  <c r="T762" i="3" s="1"/>
  <c r="L762" i="3"/>
  <c r="M762" i="3" s="1"/>
  <c r="Y761" i="3"/>
  <c r="T761" i="3"/>
  <c r="S761" i="3"/>
  <c r="L761" i="3"/>
  <c r="M761" i="3" s="1"/>
  <c r="Y760" i="3"/>
  <c r="T760" i="3"/>
  <c r="S760" i="3"/>
  <c r="L760" i="3"/>
  <c r="M760" i="3" s="1"/>
  <c r="Y759" i="3"/>
  <c r="S759" i="3"/>
  <c r="T759" i="3" s="1"/>
  <c r="L759" i="3"/>
  <c r="M759" i="3" s="1"/>
  <c r="Y758" i="3"/>
  <c r="T758" i="3"/>
  <c r="S758" i="3"/>
  <c r="L758" i="3"/>
  <c r="M758" i="3" s="1"/>
  <c r="Y757" i="3"/>
  <c r="S757" i="3"/>
  <c r="T757" i="3" s="1"/>
  <c r="L757" i="3"/>
  <c r="M757" i="3" s="1"/>
  <c r="Y756" i="3"/>
  <c r="S756" i="3"/>
  <c r="T756" i="3" s="1"/>
  <c r="M756" i="3"/>
  <c r="L756" i="3"/>
  <c r="Y755" i="3"/>
  <c r="S755" i="3"/>
  <c r="T755" i="3" s="1"/>
  <c r="M755" i="3"/>
  <c r="L755" i="3"/>
  <c r="Y754" i="3"/>
  <c r="S754" i="3"/>
  <c r="T754" i="3" s="1"/>
  <c r="M754" i="3"/>
  <c r="L754" i="3"/>
  <c r="Y753" i="3"/>
  <c r="S753" i="3"/>
  <c r="T753" i="3" s="1"/>
  <c r="L753" i="3"/>
  <c r="M753" i="3" s="1"/>
  <c r="Y752" i="3"/>
  <c r="S752" i="3"/>
  <c r="T752" i="3" s="1"/>
  <c r="L752" i="3"/>
  <c r="M752" i="3" s="1"/>
  <c r="Y751" i="3"/>
  <c r="S751" i="3"/>
  <c r="T751" i="3" s="1"/>
  <c r="L751" i="3"/>
  <c r="M751" i="3" s="1"/>
  <c r="Y750" i="3"/>
  <c r="S750" i="3"/>
  <c r="T750" i="3" s="1"/>
  <c r="L750" i="3"/>
  <c r="M750" i="3" s="1"/>
  <c r="Y749" i="3"/>
  <c r="T749" i="3"/>
  <c r="S749" i="3"/>
  <c r="L749" i="3"/>
  <c r="M749" i="3" s="1"/>
  <c r="Y748" i="3"/>
  <c r="T748" i="3"/>
  <c r="S748" i="3"/>
  <c r="L748" i="3"/>
  <c r="M748" i="3" s="1"/>
  <c r="Y747" i="3"/>
  <c r="S747" i="3"/>
  <c r="T747" i="3" s="1"/>
  <c r="L747" i="3"/>
  <c r="M747" i="3" s="1"/>
  <c r="Y746" i="3"/>
  <c r="T746" i="3"/>
  <c r="S746" i="3"/>
  <c r="L746" i="3"/>
  <c r="M746" i="3" s="1"/>
  <c r="Y745" i="3"/>
  <c r="S745" i="3"/>
  <c r="T745" i="3" s="1"/>
  <c r="L745" i="3"/>
  <c r="M745" i="3" s="1"/>
  <c r="Y744" i="3"/>
  <c r="S744" i="3"/>
  <c r="T744" i="3" s="1"/>
  <c r="M744" i="3"/>
  <c r="L744" i="3"/>
  <c r="Y743" i="3"/>
  <c r="S743" i="3"/>
  <c r="T743" i="3" s="1"/>
  <c r="M743" i="3"/>
  <c r="L743" i="3"/>
  <c r="Y742" i="3"/>
  <c r="S742" i="3"/>
  <c r="T742" i="3" s="1"/>
  <c r="M742" i="3"/>
  <c r="L742" i="3"/>
  <c r="Y741" i="3"/>
  <c r="S741" i="3"/>
  <c r="T741" i="3" s="1"/>
  <c r="L741" i="3"/>
  <c r="M741" i="3" s="1"/>
  <c r="Y740" i="3"/>
  <c r="S740" i="3"/>
  <c r="T740" i="3" s="1"/>
  <c r="L740" i="3"/>
  <c r="M740" i="3" s="1"/>
  <c r="Y739" i="3"/>
  <c r="S739" i="3"/>
  <c r="T739" i="3" s="1"/>
  <c r="L739" i="3"/>
  <c r="M739" i="3" s="1"/>
  <c r="Y738" i="3"/>
  <c r="S738" i="3"/>
  <c r="T738" i="3" s="1"/>
  <c r="L738" i="3"/>
  <c r="M738" i="3" s="1"/>
  <c r="Y737" i="3"/>
  <c r="T737" i="3"/>
  <c r="S737" i="3"/>
  <c r="L737" i="3"/>
  <c r="M737" i="3" s="1"/>
  <c r="Y736" i="3"/>
  <c r="T736" i="3"/>
  <c r="S736" i="3"/>
  <c r="L736" i="3"/>
  <c r="M736" i="3" s="1"/>
  <c r="Y735" i="3"/>
  <c r="S735" i="3"/>
  <c r="T735" i="3" s="1"/>
  <c r="L735" i="3"/>
  <c r="M735" i="3" s="1"/>
  <c r="Y734" i="3"/>
  <c r="T734" i="3"/>
  <c r="S734" i="3"/>
  <c r="L734" i="3"/>
  <c r="M734" i="3" s="1"/>
  <c r="Y733" i="3"/>
  <c r="S733" i="3"/>
  <c r="T733" i="3" s="1"/>
  <c r="L733" i="3"/>
  <c r="M733" i="3" s="1"/>
  <c r="Y732" i="3"/>
  <c r="S732" i="3"/>
  <c r="T732" i="3" s="1"/>
  <c r="M732" i="3"/>
  <c r="L732" i="3"/>
  <c r="Y731" i="3"/>
  <c r="S731" i="3"/>
  <c r="T731" i="3" s="1"/>
  <c r="M731" i="3"/>
  <c r="L731" i="3"/>
  <c r="Y730" i="3"/>
  <c r="S730" i="3"/>
  <c r="T730" i="3" s="1"/>
  <c r="L730" i="3"/>
  <c r="M730" i="3" s="1"/>
  <c r="Y729" i="3"/>
  <c r="S729" i="3"/>
  <c r="T729" i="3" s="1"/>
  <c r="L729" i="3"/>
  <c r="M729" i="3" s="1"/>
  <c r="Y728" i="3"/>
  <c r="T728" i="3"/>
  <c r="S728" i="3"/>
  <c r="L728" i="3"/>
  <c r="M728" i="3" s="1"/>
  <c r="Y727" i="3"/>
  <c r="T727" i="3"/>
  <c r="S727" i="3"/>
  <c r="L727" i="3"/>
  <c r="M727" i="3" s="1"/>
  <c r="Y726" i="3"/>
  <c r="S726" i="3"/>
  <c r="T726" i="3" s="1"/>
  <c r="L726" i="3"/>
  <c r="M726" i="3" s="1"/>
  <c r="Y725" i="3"/>
  <c r="T725" i="3"/>
  <c r="S725" i="3"/>
  <c r="L725" i="3"/>
  <c r="M725" i="3" s="1"/>
  <c r="Y724" i="3"/>
  <c r="T724" i="3"/>
  <c r="S724" i="3"/>
  <c r="L724" i="3"/>
  <c r="M724" i="3" s="1"/>
  <c r="Y723" i="3"/>
  <c r="S723" i="3"/>
  <c r="T723" i="3" s="1"/>
  <c r="L723" i="3"/>
  <c r="M723" i="3" s="1"/>
  <c r="Y722" i="3"/>
  <c r="T722" i="3"/>
  <c r="S722" i="3"/>
  <c r="M722" i="3"/>
  <c r="L722" i="3"/>
  <c r="Y721" i="3"/>
  <c r="S721" i="3"/>
  <c r="T721" i="3" s="1"/>
  <c r="L721" i="3"/>
  <c r="M721" i="3" s="1"/>
  <c r="Y720" i="3"/>
  <c r="S720" i="3"/>
  <c r="T720" i="3" s="1"/>
  <c r="M720" i="3"/>
  <c r="L720" i="3"/>
  <c r="Y719" i="3"/>
  <c r="S719" i="3"/>
  <c r="T719" i="3" s="1"/>
  <c r="L719" i="3"/>
  <c r="M719" i="3" s="1"/>
  <c r="Y718" i="3"/>
  <c r="S718" i="3"/>
  <c r="T718" i="3" s="1"/>
  <c r="L718" i="3"/>
  <c r="M718" i="3" s="1"/>
  <c r="Y717" i="3"/>
  <c r="S717" i="3"/>
  <c r="T717" i="3" s="1"/>
  <c r="L717" i="3"/>
  <c r="M717" i="3" s="1"/>
  <c r="Y716" i="3"/>
  <c r="T716" i="3"/>
  <c r="S716" i="3"/>
  <c r="L716" i="3"/>
  <c r="M716" i="3" s="1"/>
  <c r="Y715" i="3"/>
  <c r="T715" i="3"/>
  <c r="S715" i="3"/>
  <c r="L715" i="3"/>
  <c r="M715" i="3" s="1"/>
  <c r="Y714" i="3"/>
  <c r="S714" i="3"/>
  <c r="T714" i="3" s="1"/>
  <c r="M714" i="3"/>
  <c r="L714" i="3"/>
  <c r="Y713" i="3"/>
  <c r="T713" i="3"/>
  <c r="S713" i="3"/>
  <c r="L713" i="3"/>
  <c r="M713" i="3" s="1"/>
  <c r="Y712" i="3"/>
  <c r="T712" i="3"/>
  <c r="S712" i="3"/>
  <c r="L712" i="3"/>
  <c r="M712" i="3" s="1"/>
  <c r="Y711" i="3"/>
  <c r="S711" i="3"/>
  <c r="T711" i="3" s="1"/>
  <c r="L711" i="3"/>
  <c r="M711" i="3" s="1"/>
  <c r="Y710" i="3"/>
  <c r="T710" i="3"/>
  <c r="S710" i="3"/>
  <c r="L710" i="3"/>
  <c r="M710" i="3" s="1"/>
  <c r="Y709" i="3"/>
  <c r="S709" i="3"/>
  <c r="T709" i="3" s="1"/>
  <c r="L709" i="3"/>
  <c r="M709" i="3" s="1"/>
  <c r="Y708" i="3"/>
  <c r="S708" i="3"/>
  <c r="T708" i="3" s="1"/>
  <c r="M708" i="3"/>
  <c r="L708" i="3"/>
  <c r="Y707" i="3"/>
  <c r="S707" i="3"/>
  <c r="T707" i="3" s="1"/>
  <c r="M707" i="3"/>
  <c r="L707" i="3"/>
  <c r="Y706" i="3"/>
  <c r="S706" i="3"/>
  <c r="T706" i="3" s="1"/>
  <c r="L706" i="3"/>
  <c r="M706" i="3" s="1"/>
  <c r="Y705" i="3"/>
  <c r="S705" i="3"/>
  <c r="T705" i="3" s="1"/>
  <c r="L705" i="3"/>
  <c r="M705" i="3" s="1"/>
  <c r="Y704" i="3"/>
  <c r="T704" i="3"/>
  <c r="S704" i="3"/>
  <c r="L704" i="3"/>
  <c r="M704" i="3" s="1"/>
  <c r="Y703" i="3"/>
  <c r="T703" i="3"/>
  <c r="S703" i="3"/>
  <c r="L703" i="3"/>
  <c r="M703" i="3" s="1"/>
  <c r="Y702" i="3"/>
  <c r="S702" i="3"/>
  <c r="T702" i="3" s="1"/>
  <c r="M702" i="3"/>
  <c r="L702" i="3"/>
  <c r="Y701" i="3"/>
  <c r="T701" i="3"/>
  <c r="S701" i="3"/>
  <c r="L701" i="3"/>
  <c r="M701" i="3" s="1"/>
  <c r="Y700" i="3"/>
  <c r="T700" i="3"/>
  <c r="S700" i="3"/>
  <c r="L700" i="3"/>
  <c r="M700" i="3" s="1"/>
  <c r="Y699" i="3"/>
  <c r="S699" i="3"/>
  <c r="T699" i="3" s="1"/>
  <c r="L699" i="3"/>
  <c r="M699" i="3" s="1"/>
  <c r="Y698" i="3"/>
  <c r="T698" i="3"/>
  <c r="S698" i="3"/>
  <c r="L698" i="3"/>
  <c r="M698" i="3" s="1"/>
  <c r="Y697" i="3"/>
  <c r="S697" i="3"/>
  <c r="T697" i="3" s="1"/>
  <c r="L697" i="3"/>
  <c r="M697" i="3" s="1"/>
  <c r="Y696" i="3"/>
  <c r="S696" i="3"/>
  <c r="T696" i="3" s="1"/>
  <c r="M696" i="3"/>
  <c r="L696" i="3"/>
  <c r="Y695" i="3"/>
  <c r="S695" i="3"/>
  <c r="T695" i="3" s="1"/>
  <c r="L695" i="3"/>
  <c r="M695" i="3" s="1"/>
  <c r="Y694" i="3"/>
  <c r="S694" i="3"/>
  <c r="T694" i="3" s="1"/>
  <c r="L694" i="3"/>
  <c r="M694" i="3" s="1"/>
  <c r="Y693" i="3"/>
  <c r="S693" i="3"/>
  <c r="T693" i="3" s="1"/>
  <c r="L693" i="3"/>
  <c r="M693" i="3" s="1"/>
  <c r="Y692" i="3"/>
  <c r="T692" i="3"/>
  <c r="S692" i="3"/>
  <c r="L692" i="3"/>
  <c r="M692" i="3" s="1"/>
  <c r="Y691" i="3"/>
  <c r="T691" i="3"/>
  <c r="S691" i="3"/>
  <c r="L691" i="3"/>
  <c r="M691" i="3" s="1"/>
  <c r="Y690" i="3"/>
  <c r="S690" i="3"/>
  <c r="T690" i="3" s="1"/>
  <c r="M690" i="3"/>
  <c r="L690" i="3"/>
  <c r="Y689" i="3"/>
  <c r="T689" i="3"/>
  <c r="S689" i="3"/>
  <c r="L689" i="3"/>
  <c r="M689" i="3" s="1"/>
  <c r="Y688" i="3"/>
  <c r="T688" i="3"/>
  <c r="S688" i="3"/>
  <c r="L688" i="3"/>
  <c r="M688" i="3" s="1"/>
  <c r="Y687" i="3"/>
  <c r="S687" i="3"/>
  <c r="T687" i="3" s="1"/>
  <c r="L687" i="3"/>
  <c r="M687" i="3" s="1"/>
  <c r="Y686" i="3"/>
  <c r="T686" i="3"/>
  <c r="S686" i="3"/>
  <c r="L686" i="3"/>
  <c r="M686" i="3" s="1"/>
  <c r="Y685" i="3"/>
  <c r="S685" i="3"/>
  <c r="T685" i="3" s="1"/>
  <c r="L685" i="3"/>
  <c r="M685" i="3" s="1"/>
  <c r="Y684" i="3"/>
  <c r="S684" i="3"/>
  <c r="T684" i="3" s="1"/>
  <c r="M684" i="3"/>
  <c r="L684" i="3"/>
  <c r="Y683" i="3"/>
  <c r="S683" i="3"/>
  <c r="T683" i="3" s="1"/>
  <c r="L683" i="3"/>
  <c r="M683" i="3" s="1"/>
  <c r="Y682" i="3"/>
  <c r="S682" i="3"/>
  <c r="T682" i="3" s="1"/>
  <c r="L682" i="3"/>
  <c r="M682" i="3" s="1"/>
  <c r="Y681" i="3"/>
  <c r="S681" i="3"/>
  <c r="T681" i="3" s="1"/>
  <c r="L681" i="3"/>
  <c r="M681" i="3" s="1"/>
  <c r="Y680" i="3"/>
  <c r="T680" i="3"/>
  <c r="S680" i="3"/>
  <c r="L680" i="3"/>
  <c r="M680" i="3" s="1"/>
  <c r="Y679" i="3"/>
  <c r="T679" i="3"/>
  <c r="S679" i="3"/>
  <c r="L679" i="3"/>
  <c r="M679" i="3" s="1"/>
  <c r="Y678" i="3"/>
  <c r="S678" i="3"/>
  <c r="T678" i="3" s="1"/>
  <c r="M678" i="3"/>
  <c r="L678" i="3"/>
  <c r="Y677" i="3"/>
  <c r="T677" i="3"/>
  <c r="S677" i="3"/>
  <c r="L677" i="3"/>
  <c r="M677" i="3" s="1"/>
  <c r="Y676" i="3"/>
  <c r="S676" i="3"/>
  <c r="T676" i="3" s="1"/>
  <c r="L676" i="3"/>
  <c r="M676" i="3" s="1"/>
  <c r="Y675" i="3"/>
  <c r="S675" i="3"/>
  <c r="T675" i="3" s="1"/>
  <c r="L675" i="3"/>
  <c r="M675" i="3" s="1"/>
  <c r="Y674" i="3"/>
  <c r="T674" i="3"/>
  <c r="S674" i="3"/>
  <c r="L674" i="3"/>
  <c r="M674" i="3" s="1"/>
  <c r="Y673" i="3"/>
  <c r="S673" i="3"/>
  <c r="T673" i="3" s="1"/>
  <c r="L673" i="3"/>
  <c r="M673" i="3" s="1"/>
  <c r="Y672" i="3"/>
  <c r="S672" i="3"/>
  <c r="T672" i="3" s="1"/>
  <c r="M672" i="3"/>
  <c r="L672" i="3"/>
  <c r="Y671" i="3"/>
  <c r="S671" i="3"/>
  <c r="T671" i="3" s="1"/>
  <c r="M671" i="3"/>
  <c r="L671" i="3"/>
  <c r="Y670" i="3"/>
  <c r="S670" i="3"/>
  <c r="T670" i="3" s="1"/>
  <c r="L670" i="3"/>
  <c r="M670" i="3" s="1"/>
  <c r="Y669" i="3"/>
  <c r="S669" i="3"/>
  <c r="T669" i="3" s="1"/>
  <c r="L669" i="3"/>
  <c r="M669" i="3" s="1"/>
  <c r="Y668" i="3"/>
  <c r="T668" i="3"/>
  <c r="S668" i="3"/>
  <c r="L668" i="3"/>
  <c r="M668" i="3" s="1"/>
  <c r="Y667" i="3"/>
  <c r="S667" i="3"/>
  <c r="T667" i="3" s="1"/>
  <c r="L667" i="3"/>
  <c r="M667" i="3" s="1"/>
  <c r="Y666" i="3"/>
  <c r="S666" i="3"/>
  <c r="T666" i="3" s="1"/>
  <c r="M666" i="3"/>
  <c r="L666" i="3"/>
  <c r="Y665" i="3"/>
  <c r="T665" i="3"/>
  <c r="S665" i="3"/>
  <c r="L665" i="3"/>
  <c r="M665" i="3" s="1"/>
  <c r="Y664" i="3"/>
  <c r="T664" i="3"/>
  <c r="S664" i="3"/>
  <c r="L664" i="3"/>
  <c r="M664" i="3" s="1"/>
  <c r="Y663" i="3"/>
  <c r="S663" i="3"/>
  <c r="T663" i="3" s="1"/>
  <c r="M663" i="3"/>
  <c r="L663" i="3"/>
  <c r="Y662" i="3"/>
  <c r="T662" i="3"/>
  <c r="S662" i="3"/>
  <c r="L662" i="3"/>
  <c r="M662" i="3" s="1"/>
  <c r="Y661" i="3"/>
  <c r="S661" i="3"/>
  <c r="T661" i="3" s="1"/>
  <c r="L661" i="3"/>
  <c r="M661" i="3" s="1"/>
  <c r="Y660" i="3"/>
  <c r="S660" i="3"/>
  <c r="T660" i="3" s="1"/>
  <c r="L660" i="3"/>
  <c r="M660" i="3" s="1"/>
  <c r="Y659" i="3"/>
  <c r="S659" i="3"/>
  <c r="T659" i="3" s="1"/>
  <c r="L659" i="3"/>
  <c r="M659" i="3" s="1"/>
  <c r="Y658" i="3"/>
  <c r="S658" i="3"/>
  <c r="T658" i="3" s="1"/>
  <c r="L658" i="3"/>
  <c r="M658" i="3" s="1"/>
  <c r="Y657" i="3"/>
  <c r="S657" i="3"/>
  <c r="T657" i="3" s="1"/>
  <c r="L657" i="3"/>
  <c r="M657" i="3" s="1"/>
  <c r="Y656" i="3"/>
  <c r="T656" i="3"/>
  <c r="S656" i="3"/>
  <c r="L656" i="3"/>
  <c r="M656" i="3" s="1"/>
  <c r="Y655" i="3"/>
  <c r="T655" i="3"/>
  <c r="S655" i="3"/>
  <c r="L655" i="3"/>
  <c r="M655" i="3" s="1"/>
  <c r="Y654" i="3"/>
  <c r="S654" i="3"/>
  <c r="T654" i="3" s="1"/>
  <c r="M654" i="3"/>
  <c r="L654" i="3"/>
  <c r="Y653" i="3"/>
  <c r="T653" i="3"/>
  <c r="S653" i="3"/>
  <c r="L653" i="3"/>
  <c r="M653" i="3" s="1"/>
  <c r="Y652" i="3"/>
  <c r="T652" i="3"/>
  <c r="S652" i="3"/>
  <c r="L652" i="3"/>
  <c r="M652" i="3" s="1"/>
  <c r="Y651" i="3"/>
  <c r="S651" i="3"/>
  <c r="T651" i="3" s="1"/>
  <c r="M651" i="3"/>
  <c r="L651" i="3"/>
  <c r="Y650" i="3"/>
  <c r="T650" i="3"/>
  <c r="S650" i="3"/>
  <c r="L650" i="3"/>
  <c r="M650" i="3" s="1"/>
  <c r="Y649" i="3"/>
  <c r="S649" i="3"/>
  <c r="T649" i="3" s="1"/>
  <c r="L649" i="3"/>
  <c r="M649" i="3" s="1"/>
  <c r="Y648" i="3"/>
  <c r="S648" i="3"/>
  <c r="T648" i="3" s="1"/>
  <c r="L648" i="3"/>
  <c r="M648" i="3" s="1"/>
  <c r="Y647" i="3"/>
  <c r="S647" i="3"/>
  <c r="T647" i="3" s="1"/>
  <c r="L647" i="3"/>
  <c r="M647" i="3" s="1"/>
  <c r="Y646" i="3"/>
  <c r="S646" i="3"/>
  <c r="T646" i="3" s="1"/>
  <c r="L646" i="3"/>
  <c r="M646" i="3" s="1"/>
  <c r="Y645" i="3"/>
  <c r="S645" i="3"/>
  <c r="T645" i="3" s="1"/>
  <c r="L645" i="3"/>
  <c r="M645" i="3" s="1"/>
  <c r="Y644" i="3"/>
  <c r="T644" i="3"/>
  <c r="S644" i="3"/>
  <c r="L644" i="3"/>
  <c r="M644" i="3" s="1"/>
  <c r="Y643" i="3"/>
  <c r="T643" i="3"/>
  <c r="S643" i="3"/>
  <c r="L643" i="3"/>
  <c r="M643" i="3" s="1"/>
  <c r="Y642" i="3"/>
  <c r="S642" i="3"/>
  <c r="T642" i="3" s="1"/>
  <c r="M642" i="3"/>
  <c r="L642" i="3"/>
  <c r="Y641" i="3"/>
  <c r="T641" i="3"/>
  <c r="S641" i="3"/>
  <c r="L641" i="3"/>
  <c r="M641" i="3" s="1"/>
  <c r="Y640" i="3"/>
  <c r="S640" i="3"/>
  <c r="T640" i="3" s="1"/>
  <c r="L640" i="3"/>
  <c r="M640" i="3" s="1"/>
  <c r="Y639" i="3"/>
  <c r="S639" i="3"/>
  <c r="T639" i="3" s="1"/>
  <c r="L639" i="3"/>
  <c r="M639" i="3" s="1"/>
  <c r="Y638" i="3"/>
  <c r="T638" i="3"/>
  <c r="S638" i="3"/>
  <c r="L638" i="3"/>
  <c r="M638" i="3" s="1"/>
  <c r="Y637" i="3"/>
  <c r="S637" i="3"/>
  <c r="T637" i="3" s="1"/>
  <c r="L637" i="3"/>
  <c r="M637" i="3" s="1"/>
  <c r="Y636" i="3"/>
  <c r="S636" i="3"/>
  <c r="T636" i="3" s="1"/>
  <c r="M636" i="3"/>
  <c r="L636" i="3"/>
  <c r="Y635" i="3"/>
  <c r="S635" i="3"/>
  <c r="T635" i="3" s="1"/>
  <c r="L635" i="3"/>
  <c r="M635" i="3" s="1"/>
  <c r="Y634" i="3"/>
  <c r="S634" i="3"/>
  <c r="T634" i="3" s="1"/>
  <c r="L634" i="3"/>
  <c r="M634" i="3" s="1"/>
  <c r="Y633" i="3"/>
  <c r="S633" i="3"/>
  <c r="T633" i="3" s="1"/>
  <c r="L633" i="3"/>
  <c r="M633" i="3" s="1"/>
  <c r="Y632" i="3"/>
  <c r="S632" i="3"/>
  <c r="T632" i="3" s="1"/>
  <c r="M632" i="3"/>
  <c r="L632" i="3"/>
  <c r="Y631" i="3"/>
  <c r="S631" i="3"/>
  <c r="T631" i="3" s="1"/>
  <c r="L631" i="3"/>
  <c r="M631" i="3" s="1"/>
  <c r="Y630" i="3"/>
  <c r="S630" i="3"/>
  <c r="T630" i="3" s="1"/>
  <c r="M630" i="3"/>
  <c r="L630" i="3"/>
  <c r="Y629" i="3"/>
  <c r="T629" i="3"/>
  <c r="S629" i="3"/>
  <c r="L629" i="3"/>
  <c r="M629" i="3" s="1"/>
  <c r="Y628" i="3"/>
  <c r="S628" i="3"/>
  <c r="T628" i="3" s="1"/>
  <c r="L628" i="3"/>
  <c r="M628" i="3" s="1"/>
  <c r="Y627" i="3"/>
  <c r="S627" i="3"/>
  <c r="T627" i="3" s="1"/>
  <c r="L627" i="3"/>
  <c r="M627" i="3" s="1"/>
  <c r="Y626" i="3"/>
  <c r="T626" i="3"/>
  <c r="S626" i="3"/>
  <c r="L626" i="3"/>
  <c r="M626" i="3" s="1"/>
  <c r="Y625" i="3"/>
  <c r="S625" i="3"/>
  <c r="T625" i="3" s="1"/>
  <c r="L625" i="3"/>
  <c r="M625" i="3" s="1"/>
  <c r="Y624" i="3"/>
  <c r="T624" i="3"/>
  <c r="S624" i="3"/>
  <c r="M624" i="3"/>
  <c r="L624" i="3"/>
  <c r="Y623" i="3"/>
  <c r="S623" i="3"/>
  <c r="T623" i="3" s="1"/>
  <c r="L623" i="3"/>
  <c r="M623" i="3" s="1"/>
  <c r="Y622" i="3"/>
  <c r="T622" i="3"/>
  <c r="S622" i="3"/>
  <c r="L622" i="3"/>
  <c r="M622" i="3" s="1"/>
  <c r="Y621" i="3"/>
  <c r="S621" i="3"/>
  <c r="T621" i="3" s="1"/>
  <c r="L621" i="3"/>
  <c r="M621" i="3" s="1"/>
  <c r="Y620" i="3"/>
  <c r="T620" i="3"/>
  <c r="S620" i="3"/>
  <c r="L620" i="3"/>
  <c r="M620" i="3" s="1"/>
  <c r="Y619" i="3"/>
  <c r="S619" i="3"/>
  <c r="T619" i="3" s="1"/>
  <c r="L619" i="3"/>
  <c r="M619" i="3" s="1"/>
  <c r="Y618" i="3"/>
  <c r="T618" i="3"/>
  <c r="S618" i="3"/>
  <c r="M618" i="3"/>
  <c r="L618" i="3"/>
  <c r="Y617" i="3"/>
  <c r="S617" i="3"/>
  <c r="T617" i="3" s="1"/>
  <c r="L617" i="3"/>
  <c r="M617" i="3" s="1"/>
  <c r="Y616" i="3"/>
  <c r="T616" i="3"/>
  <c r="S616" i="3"/>
  <c r="L616" i="3"/>
  <c r="M616" i="3" s="1"/>
  <c r="Y615" i="3"/>
  <c r="S615" i="3"/>
  <c r="T615" i="3" s="1"/>
  <c r="L615" i="3"/>
  <c r="M615" i="3" s="1"/>
  <c r="Y614" i="3"/>
  <c r="S614" i="3"/>
  <c r="T614" i="3" s="1"/>
  <c r="L614" i="3"/>
  <c r="M614" i="3" s="1"/>
  <c r="Y613" i="3"/>
  <c r="S613" i="3"/>
  <c r="T613" i="3" s="1"/>
  <c r="L613" i="3"/>
  <c r="M613" i="3" s="1"/>
  <c r="Y612" i="3"/>
  <c r="S612" i="3"/>
  <c r="T612" i="3" s="1"/>
  <c r="M612" i="3"/>
  <c r="L612" i="3"/>
  <c r="Y611" i="3"/>
  <c r="S611" i="3"/>
  <c r="T611" i="3" s="1"/>
  <c r="M611" i="3"/>
  <c r="L611" i="3"/>
  <c r="Y610" i="3"/>
  <c r="T610" i="3"/>
  <c r="S610" i="3"/>
  <c r="L610" i="3"/>
  <c r="M610" i="3" s="1"/>
  <c r="Y609" i="3"/>
  <c r="S609" i="3"/>
  <c r="T609" i="3" s="1"/>
  <c r="L609" i="3"/>
  <c r="M609" i="3" s="1"/>
  <c r="Y608" i="3"/>
  <c r="S608" i="3"/>
  <c r="T608" i="3" s="1"/>
  <c r="L608" i="3"/>
  <c r="M608" i="3" s="1"/>
  <c r="Y607" i="3"/>
  <c r="S607" i="3"/>
  <c r="T607" i="3" s="1"/>
  <c r="L607" i="3"/>
  <c r="M607" i="3" s="1"/>
  <c r="Y606" i="3"/>
  <c r="T606" i="3"/>
  <c r="S606" i="3"/>
  <c r="M606" i="3"/>
  <c r="L606" i="3"/>
  <c r="Y605" i="3"/>
  <c r="S605" i="3"/>
  <c r="T605" i="3" s="1"/>
  <c r="L605" i="3"/>
  <c r="M605" i="3" s="1"/>
  <c r="Y604" i="3"/>
  <c r="S604" i="3"/>
  <c r="T604" i="3" s="1"/>
  <c r="L604" i="3"/>
  <c r="M604" i="3" s="1"/>
  <c r="Y603" i="3"/>
  <c r="S603" i="3"/>
  <c r="T603" i="3" s="1"/>
  <c r="L603" i="3"/>
  <c r="M603" i="3" s="1"/>
  <c r="Y602" i="3"/>
  <c r="S602" i="3"/>
  <c r="T602" i="3" s="1"/>
  <c r="M602" i="3"/>
  <c r="L602" i="3"/>
  <c r="Y601" i="3"/>
  <c r="S601" i="3"/>
  <c r="T601" i="3" s="1"/>
  <c r="L601" i="3"/>
  <c r="M601" i="3" s="1"/>
  <c r="Y600" i="3"/>
  <c r="S600" i="3"/>
  <c r="T600" i="3" s="1"/>
  <c r="L600" i="3"/>
  <c r="M600" i="3" s="1"/>
  <c r="Y599" i="3"/>
  <c r="S599" i="3"/>
  <c r="T599" i="3" s="1"/>
  <c r="L599" i="3"/>
  <c r="M599" i="3" s="1"/>
  <c r="Y598" i="3"/>
  <c r="S598" i="3"/>
  <c r="T598" i="3" s="1"/>
  <c r="L598" i="3"/>
  <c r="M598" i="3" s="1"/>
  <c r="Y597" i="3"/>
  <c r="S597" i="3"/>
  <c r="T597" i="3" s="1"/>
  <c r="L597" i="3"/>
  <c r="M597" i="3" s="1"/>
  <c r="Y596" i="3"/>
  <c r="T596" i="3"/>
  <c r="S596" i="3"/>
  <c r="L596" i="3"/>
  <c r="M596" i="3" s="1"/>
  <c r="Y595" i="3"/>
  <c r="S595" i="3"/>
  <c r="T595" i="3" s="1"/>
  <c r="L595" i="3"/>
  <c r="M595" i="3" s="1"/>
  <c r="Y594" i="3"/>
  <c r="S594" i="3"/>
  <c r="T594" i="3" s="1"/>
  <c r="L594" i="3"/>
  <c r="M594" i="3" s="1"/>
  <c r="Y593" i="3"/>
  <c r="S593" i="3"/>
  <c r="T593" i="3" s="1"/>
  <c r="L593" i="3"/>
  <c r="M593" i="3" s="1"/>
  <c r="Y592" i="3"/>
  <c r="T592" i="3"/>
  <c r="S592" i="3"/>
  <c r="L592" i="3"/>
  <c r="M592" i="3" s="1"/>
  <c r="Y591" i="3"/>
  <c r="S591" i="3"/>
  <c r="T591" i="3" s="1"/>
  <c r="L591" i="3"/>
  <c r="M591" i="3" s="1"/>
  <c r="Y590" i="3"/>
  <c r="S590" i="3"/>
  <c r="T590" i="3" s="1"/>
  <c r="L590" i="3"/>
  <c r="M590" i="3" s="1"/>
  <c r="Y589" i="3"/>
  <c r="S589" i="3"/>
  <c r="T589" i="3" s="1"/>
  <c r="L589" i="3"/>
  <c r="M589" i="3" s="1"/>
  <c r="Y588" i="3"/>
  <c r="T588" i="3"/>
  <c r="S588" i="3"/>
  <c r="M588" i="3"/>
  <c r="L588" i="3"/>
  <c r="Y587" i="3"/>
  <c r="S587" i="3"/>
  <c r="T587" i="3" s="1"/>
  <c r="L587" i="3"/>
  <c r="M587" i="3" s="1"/>
  <c r="Y586" i="3"/>
  <c r="S586" i="3"/>
  <c r="T586" i="3" s="1"/>
  <c r="M586" i="3"/>
  <c r="L586" i="3"/>
  <c r="Y585" i="3"/>
  <c r="S585" i="3"/>
  <c r="T585" i="3" s="1"/>
  <c r="L585" i="3"/>
  <c r="M585" i="3" s="1"/>
  <c r="Y584" i="3"/>
  <c r="S584" i="3"/>
  <c r="T584" i="3" s="1"/>
  <c r="M584" i="3"/>
  <c r="L584" i="3"/>
  <c r="Y583" i="3"/>
  <c r="T583" i="3"/>
  <c r="S583" i="3"/>
  <c r="L583" i="3"/>
  <c r="M583" i="3" s="1"/>
  <c r="Y582" i="3"/>
  <c r="T582" i="3"/>
  <c r="S582" i="3"/>
  <c r="L582" i="3"/>
  <c r="M582" i="3" s="1"/>
  <c r="Y581" i="3"/>
  <c r="T581" i="3"/>
  <c r="S581" i="3"/>
  <c r="L581" i="3"/>
  <c r="M581" i="3" s="1"/>
  <c r="Y580" i="3"/>
  <c r="S580" i="3"/>
  <c r="T580" i="3" s="1"/>
  <c r="L580" i="3"/>
  <c r="M580" i="3" s="1"/>
  <c r="Y579" i="3"/>
  <c r="S579" i="3"/>
  <c r="T579" i="3" s="1"/>
  <c r="L579" i="3"/>
  <c r="M579" i="3" s="1"/>
  <c r="Y578" i="3"/>
  <c r="S578" i="3"/>
  <c r="T578" i="3" s="1"/>
  <c r="M578" i="3"/>
  <c r="L578" i="3"/>
  <c r="Y577" i="3"/>
  <c r="S577" i="3"/>
  <c r="T577" i="3" s="1"/>
  <c r="L577" i="3"/>
  <c r="M577" i="3" s="1"/>
  <c r="Y576" i="3"/>
  <c r="S576" i="3"/>
  <c r="T576" i="3" s="1"/>
  <c r="M576" i="3"/>
  <c r="L576" i="3"/>
  <c r="Y575" i="3"/>
  <c r="S575" i="3"/>
  <c r="T575" i="3" s="1"/>
  <c r="M575" i="3"/>
  <c r="L575" i="3"/>
  <c r="Y574" i="3"/>
  <c r="S574" i="3"/>
  <c r="T574" i="3" s="1"/>
  <c r="L574" i="3"/>
  <c r="M574" i="3" s="1"/>
  <c r="Y573" i="3"/>
  <c r="S573" i="3"/>
  <c r="T573" i="3" s="1"/>
  <c r="L573" i="3"/>
  <c r="M573" i="3" s="1"/>
  <c r="Y572" i="3"/>
  <c r="S572" i="3"/>
  <c r="T572" i="3" s="1"/>
  <c r="L572" i="3"/>
  <c r="M572" i="3" s="1"/>
  <c r="Y571" i="3"/>
  <c r="S571" i="3"/>
  <c r="T571" i="3" s="1"/>
  <c r="L571" i="3"/>
  <c r="M571" i="3" s="1"/>
  <c r="Y570" i="3"/>
  <c r="S570" i="3"/>
  <c r="T570" i="3" s="1"/>
  <c r="L570" i="3"/>
  <c r="M570" i="3" s="1"/>
  <c r="Y569" i="3"/>
  <c r="S569" i="3"/>
  <c r="T569" i="3" s="1"/>
  <c r="L569" i="3"/>
  <c r="M569" i="3" s="1"/>
  <c r="Y568" i="3"/>
  <c r="T568" i="3"/>
  <c r="S568" i="3"/>
  <c r="M568" i="3"/>
  <c r="L568" i="3"/>
  <c r="Y567" i="3"/>
  <c r="S567" i="3"/>
  <c r="T567" i="3" s="1"/>
  <c r="L567" i="3"/>
  <c r="M567" i="3" s="1"/>
  <c r="Y566" i="3"/>
  <c r="S566" i="3"/>
  <c r="T566" i="3" s="1"/>
  <c r="M566" i="3"/>
  <c r="L566" i="3"/>
  <c r="Y565" i="3"/>
  <c r="S565" i="3"/>
  <c r="T565" i="3" s="1"/>
  <c r="M565" i="3"/>
  <c r="L565" i="3"/>
  <c r="Y564" i="3"/>
  <c r="S564" i="3"/>
  <c r="T564" i="3" s="1"/>
  <c r="L564" i="3"/>
  <c r="M564" i="3" s="1"/>
  <c r="Y563" i="3"/>
  <c r="S563" i="3"/>
  <c r="T563" i="3" s="1"/>
  <c r="M563" i="3"/>
  <c r="L563" i="3"/>
  <c r="Y562" i="3"/>
  <c r="S562" i="3"/>
  <c r="T562" i="3" s="1"/>
  <c r="L562" i="3"/>
  <c r="M562" i="3" s="1"/>
  <c r="Y561" i="3"/>
  <c r="S561" i="3"/>
  <c r="T561" i="3" s="1"/>
  <c r="L561" i="3"/>
  <c r="M561" i="3" s="1"/>
  <c r="Y560" i="3"/>
  <c r="S560" i="3"/>
  <c r="T560" i="3" s="1"/>
  <c r="M560" i="3"/>
  <c r="L560" i="3"/>
  <c r="Y559" i="3"/>
  <c r="S559" i="3"/>
  <c r="T559" i="3" s="1"/>
  <c r="L559" i="3"/>
  <c r="M559" i="3" s="1"/>
  <c r="Y558" i="3"/>
  <c r="S558" i="3"/>
  <c r="T558" i="3" s="1"/>
  <c r="L558" i="3"/>
  <c r="M558" i="3" s="1"/>
  <c r="Y557" i="3"/>
  <c r="S557" i="3"/>
  <c r="T557" i="3" s="1"/>
  <c r="L557" i="3"/>
  <c r="M557" i="3" s="1"/>
  <c r="Y556" i="3"/>
  <c r="T556" i="3"/>
  <c r="S556" i="3"/>
  <c r="L556" i="3"/>
  <c r="M556" i="3" s="1"/>
  <c r="Y555" i="3"/>
  <c r="S555" i="3"/>
  <c r="T555" i="3" s="1"/>
  <c r="L555" i="3"/>
  <c r="M555" i="3" s="1"/>
  <c r="Y554" i="3"/>
  <c r="S554" i="3"/>
  <c r="T554" i="3" s="1"/>
  <c r="L554" i="3"/>
  <c r="M554" i="3" s="1"/>
  <c r="Y553" i="3"/>
  <c r="S553" i="3"/>
  <c r="T553" i="3" s="1"/>
  <c r="L553" i="3"/>
  <c r="M553" i="3" s="1"/>
  <c r="Y552" i="3"/>
  <c r="S552" i="3"/>
  <c r="T552" i="3" s="1"/>
  <c r="L552" i="3"/>
  <c r="M552" i="3" s="1"/>
  <c r="Y551" i="3"/>
  <c r="S551" i="3"/>
  <c r="T551" i="3" s="1"/>
  <c r="L551" i="3"/>
  <c r="M551" i="3" s="1"/>
  <c r="Y550" i="3"/>
  <c r="S550" i="3"/>
  <c r="T550" i="3" s="1"/>
  <c r="L550" i="3"/>
  <c r="M550" i="3" s="1"/>
  <c r="Y549" i="3"/>
  <c r="S549" i="3"/>
  <c r="T549" i="3" s="1"/>
  <c r="L549" i="3"/>
  <c r="M549" i="3" s="1"/>
  <c r="Y548" i="3"/>
  <c r="S548" i="3"/>
  <c r="T548" i="3" s="1"/>
  <c r="L548" i="3"/>
  <c r="M548" i="3" s="1"/>
  <c r="Y547" i="3"/>
  <c r="S547" i="3"/>
  <c r="T547" i="3" s="1"/>
  <c r="L547" i="3"/>
  <c r="M547" i="3" s="1"/>
  <c r="Y546" i="3"/>
  <c r="S546" i="3"/>
  <c r="T546" i="3" s="1"/>
  <c r="L546" i="3"/>
  <c r="M546" i="3" s="1"/>
  <c r="Y545" i="3"/>
  <c r="S545" i="3"/>
  <c r="T545" i="3" s="1"/>
  <c r="M545" i="3"/>
  <c r="L545" i="3"/>
  <c r="Y544" i="3"/>
  <c r="T544" i="3"/>
  <c r="S544" i="3"/>
  <c r="L544" i="3"/>
  <c r="M544" i="3" s="1"/>
  <c r="Y543" i="3"/>
  <c r="S543" i="3"/>
  <c r="T543" i="3" s="1"/>
  <c r="L543" i="3"/>
  <c r="M543" i="3" s="1"/>
  <c r="Y542" i="3"/>
  <c r="S542" i="3"/>
  <c r="T542" i="3" s="1"/>
  <c r="L542" i="3"/>
  <c r="M542" i="3" s="1"/>
  <c r="Y541" i="3"/>
  <c r="S541" i="3"/>
  <c r="T541" i="3" s="1"/>
  <c r="L541" i="3"/>
  <c r="M541" i="3" s="1"/>
  <c r="Y540" i="3"/>
  <c r="S540" i="3"/>
  <c r="T540" i="3" s="1"/>
  <c r="L540" i="3"/>
  <c r="M540" i="3" s="1"/>
  <c r="Y539" i="3"/>
  <c r="S539" i="3"/>
  <c r="T539" i="3" s="1"/>
  <c r="M539" i="3"/>
  <c r="L539" i="3"/>
  <c r="Y538" i="3"/>
  <c r="S538" i="3"/>
  <c r="T538" i="3" s="1"/>
  <c r="L538" i="3"/>
  <c r="M538" i="3" s="1"/>
  <c r="Y537" i="3"/>
  <c r="S537" i="3"/>
  <c r="T537" i="3" s="1"/>
  <c r="M537" i="3"/>
  <c r="L537" i="3"/>
  <c r="Y536" i="3"/>
  <c r="S536" i="3"/>
  <c r="T536" i="3" s="1"/>
  <c r="M536" i="3"/>
  <c r="L536" i="3"/>
  <c r="Y535" i="3"/>
  <c r="T535" i="3"/>
  <c r="S535" i="3"/>
  <c r="L535" i="3"/>
  <c r="M535" i="3" s="1"/>
  <c r="Y534" i="3"/>
  <c r="S534" i="3"/>
  <c r="T534" i="3" s="1"/>
  <c r="L534" i="3"/>
  <c r="M534" i="3" s="1"/>
  <c r="Y533" i="3"/>
  <c r="S533" i="3"/>
  <c r="T533" i="3" s="1"/>
  <c r="L533" i="3"/>
  <c r="M533" i="3" s="1"/>
  <c r="Y532" i="3"/>
  <c r="S532" i="3"/>
  <c r="T532" i="3" s="1"/>
  <c r="L532" i="3"/>
  <c r="M532" i="3" s="1"/>
  <c r="Y531" i="3"/>
  <c r="S531" i="3"/>
  <c r="T531" i="3" s="1"/>
  <c r="L531" i="3"/>
  <c r="M531" i="3" s="1"/>
  <c r="Y530" i="3"/>
  <c r="S530" i="3"/>
  <c r="T530" i="3" s="1"/>
  <c r="L530" i="3"/>
  <c r="M530" i="3" s="1"/>
  <c r="Y529" i="3"/>
  <c r="S529" i="3"/>
  <c r="T529" i="3" s="1"/>
  <c r="L529" i="3"/>
  <c r="M529" i="3" s="1"/>
  <c r="Y528" i="3"/>
  <c r="S528" i="3"/>
  <c r="T528" i="3" s="1"/>
  <c r="L528" i="3"/>
  <c r="M528" i="3" s="1"/>
  <c r="Y527" i="3"/>
  <c r="T527" i="3"/>
  <c r="S527" i="3"/>
  <c r="L527" i="3"/>
  <c r="M527" i="3" s="1"/>
  <c r="Y526" i="3"/>
  <c r="S526" i="3"/>
  <c r="T526" i="3" s="1"/>
  <c r="L526" i="3"/>
  <c r="M526" i="3" s="1"/>
  <c r="Y525" i="3"/>
  <c r="S525" i="3"/>
  <c r="T525" i="3" s="1"/>
  <c r="L525" i="3"/>
  <c r="M525" i="3" s="1"/>
  <c r="Y524" i="3"/>
  <c r="S524" i="3"/>
  <c r="T524" i="3" s="1"/>
  <c r="L524" i="3"/>
  <c r="M524" i="3" s="1"/>
  <c r="Y523" i="3"/>
  <c r="S523" i="3"/>
  <c r="T523" i="3" s="1"/>
  <c r="L523" i="3"/>
  <c r="M523" i="3" s="1"/>
  <c r="Y522" i="3"/>
  <c r="S522" i="3"/>
  <c r="T522" i="3" s="1"/>
  <c r="M522" i="3"/>
  <c r="L522" i="3"/>
  <c r="Y521" i="3"/>
  <c r="S521" i="3"/>
  <c r="T521" i="3" s="1"/>
  <c r="L521" i="3"/>
  <c r="M521" i="3" s="1"/>
  <c r="Y520" i="3"/>
  <c r="S520" i="3"/>
  <c r="T520" i="3" s="1"/>
  <c r="L520" i="3"/>
  <c r="M520" i="3" s="1"/>
  <c r="Y519" i="3"/>
  <c r="S519" i="3"/>
  <c r="T519" i="3" s="1"/>
  <c r="L519" i="3"/>
  <c r="M519" i="3" s="1"/>
  <c r="Y518" i="3"/>
  <c r="S518" i="3"/>
  <c r="T518" i="3" s="1"/>
  <c r="L518" i="3"/>
  <c r="M518" i="3" s="1"/>
  <c r="Y517" i="3"/>
  <c r="S517" i="3"/>
  <c r="T517" i="3" s="1"/>
  <c r="L517" i="3"/>
  <c r="M517" i="3" s="1"/>
  <c r="Y516" i="3"/>
  <c r="S516" i="3"/>
  <c r="T516" i="3" s="1"/>
  <c r="L516" i="3"/>
  <c r="M516" i="3" s="1"/>
  <c r="Y515" i="3"/>
  <c r="T515" i="3"/>
  <c r="S515" i="3"/>
  <c r="L515" i="3"/>
  <c r="M515" i="3" s="1"/>
  <c r="Y514" i="3"/>
  <c r="S514" i="3"/>
  <c r="T514" i="3" s="1"/>
  <c r="L514" i="3"/>
  <c r="M514" i="3" s="1"/>
  <c r="Y513" i="3"/>
  <c r="S513" i="3"/>
  <c r="T513" i="3" s="1"/>
  <c r="L513" i="3"/>
  <c r="M513" i="3" s="1"/>
  <c r="Y512" i="3"/>
  <c r="S512" i="3"/>
  <c r="T512" i="3" s="1"/>
  <c r="L512" i="3"/>
  <c r="M512" i="3" s="1"/>
  <c r="Y511" i="3"/>
  <c r="S511" i="3"/>
  <c r="T511" i="3" s="1"/>
  <c r="L511" i="3"/>
  <c r="M511" i="3" s="1"/>
  <c r="Y510" i="3"/>
  <c r="S510" i="3"/>
  <c r="T510" i="3" s="1"/>
  <c r="M510" i="3"/>
  <c r="L510" i="3"/>
  <c r="Y509" i="3"/>
  <c r="S509" i="3"/>
  <c r="T509" i="3" s="1"/>
  <c r="M509" i="3"/>
  <c r="L509" i="3"/>
  <c r="Y508" i="3"/>
  <c r="S508" i="3"/>
  <c r="T508" i="3" s="1"/>
  <c r="L508" i="3"/>
  <c r="M508" i="3" s="1"/>
  <c r="Y507" i="3"/>
  <c r="S507" i="3"/>
  <c r="T507" i="3" s="1"/>
  <c r="L507" i="3"/>
  <c r="M507" i="3" s="1"/>
  <c r="Y506" i="3"/>
  <c r="S506" i="3"/>
  <c r="T506" i="3" s="1"/>
  <c r="L506" i="3"/>
  <c r="M506" i="3" s="1"/>
  <c r="Y505" i="3"/>
  <c r="S505" i="3"/>
  <c r="T505" i="3" s="1"/>
  <c r="L505" i="3"/>
  <c r="M505" i="3" s="1"/>
  <c r="Y504" i="3"/>
  <c r="S504" i="3"/>
  <c r="T504" i="3" s="1"/>
  <c r="L504" i="3"/>
  <c r="M504" i="3" s="1"/>
  <c r="Y503" i="3"/>
  <c r="T503" i="3"/>
  <c r="S503" i="3"/>
  <c r="L503" i="3"/>
  <c r="M503" i="3" s="1"/>
  <c r="Y502" i="3"/>
  <c r="S502" i="3"/>
  <c r="T502" i="3" s="1"/>
  <c r="L502" i="3"/>
  <c r="M502" i="3" s="1"/>
  <c r="Y501" i="3"/>
  <c r="S501" i="3"/>
  <c r="T501" i="3" s="1"/>
  <c r="L501" i="3"/>
  <c r="M501" i="3" s="1"/>
  <c r="Y500" i="3"/>
  <c r="S500" i="3"/>
  <c r="T500" i="3" s="1"/>
  <c r="L500" i="3"/>
  <c r="M500" i="3" s="1"/>
  <c r="Y499" i="3"/>
  <c r="S499" i="3"/>
  <c r="T499" i="3" s="1"/>
  <c r="L499" i="3"/>
  <c r="M499" i="3" s="1"/>
  <c r="Y498" i="3"/>
  <c r="S498" i="3"/>
  <c r="T498" i="3" s="1"/>
  <c r="M498" i="3"/>
  <c r="L498" i="3"/>
  <c r="Y497" i="3"/>
  <c r="S497" i="3"/>
  <c r="T497" i="3" s="1"/>
  <c r="L497" i="3"/>
  <c r="M497" i="3" s="1"/>
  <c r="Y496" i="3"/>
  <c r="S496" i="3"/>
  <c r="T496" i="3" s="1"/>
  <c r="L496" i="3"/>
  <c r="M496" i="3" s="1"/>
  <c r="Y495" i="3"/>
  <c r="S495" i="3"/>
  <c r="T495" i="3" s="1"/>
  <c r="L495" i="3"/>
  <c r="M495" i="3" s="1"/>
  <c r="Y494" i="3"/>
  <c r="S494" i="3"/>
  <c r="T494" i="3" s="1"/>
  <c r="L494" i="3"/>
  <c r="M494" i="3" s="1"/>
  <c r="Y493" i="3"/>
  <c r="S493" i="3"/>
  <c r="T493" i="3" s="1"/>
  <c r="L493" i="3"/>
  <c r="M493" i="3" s="1"/>
  <c r="Y492" i="3"/>
  <c r="S492" i="3"/>
  <c r="T492" i="3" s="1"/>
  <c r="L492" i="3"/>
  <c r="M492" i="3" s="1"/>
  <c r="Y491" i="3"/>
  <c r="T491" i="3"/>
  <c r="S491" i="3"/>
  <c r="L491" i="3"/>
  <c r="M491" i="3" s="1"/>
  <c r="Y490" i="3"/>
  <c r="S490" i="3"/>
  <c r="T490" i="3" s="1"/>
  <c r="L490" i="3"/>
  <c r="M490" i="3" s="1"/>
  <c r="Y489" i="3"/>
  <c r="S489" i="3"/>
  <c r="T489" i="3" s="1"/>
  <c r="L489" i="3"/>
  <c r="M489" i="3" s="1"/>
  <c r="Y488" i="3"/>
  <c r="S488" i="3"/>
  <c r="T488" i="3" s="1"/>
  <c r="L488" i="3"/>
  <c r="M488" i="3" s="1"/>
  <c r="Y487" i="3"/>
  <c r="S487" i="3"/>
  <c r="T487" i="3" s="1"/>
  <c r="L487" i="3"/>
  <c r="M487" i="3" s="1"/>
  <c r="Y486" i="3"/>
  <c r="S486" i="3"/>
  <c r="T486" i="3" s="1"/>
  <c r="M486" i="3"/>
  <c r="L486" i="3"/>
  <c r="Y485" i="3"/>
  <c r="S485" i="3"/>
  <c r="T485" i="3" s="1"/>
  <c r="L485" i="3"/>
  <c r="M485" i="3" s="1"/>
  <c r="Y484" i="3"/>
  <c r="S484" i="3"/>
  <c r="T484" i="3" s="1"/>
  <c r="L484" i="3"/>
  <c r="M484" i="3" s="1"/>
  <c r="Y483" i="3"/>
  <c r="S483" i="3"/>
  <c r="T483" i="3" s="1"/>
  <c r="L483" i="3"/>
  <c r="M483" i="3" s="1"/>
  <c r="Y482" i="3"/>
  <c r="S482" i="3"/>
  <c r="T482" i="3" s="1"/>
  <c r="L482" i="3"/>
  <c r="M482" i="3" s="1"/>
  <c r="Y481" i="3"/>
  <c r="S481" i="3"/>
  <c r="T481" i="3" s="1"/>
  <c r="L481" i="3"/>
  <c r="M481" i="3" s="1"/>
  <c r="Y480" i="3"/>
  <c r="S480" i="3"/>
  <c r="T480" i="3" s="1"/>
  <c r="L480" i="3"/>
  <c r="M480" i="3" s="1"/>
  <c r="Y479" i="3"/>
  <c r="T479" i="3"/>
  <c r="S479" i="3"/>
  <c r="L479" i="3"/>
  <c r="M479" i="3" s="1"/>
  <c r="Y478" i="3"/>
  <c r="S478" i="3"/>
  <c r="T478" i="3" s="1"/>
  <c r="L478" i="3"/>
  <c r="M478" i="3" s="1"/>
  <c r="Y477" i="3"/>
  <c r="S477" i="3"/>
  <c r="T477" i="3" s="1"/>
  <c r="L477" i="3"/>
  <c r="M477" i="3" s="1"/>
  <c r="Y476" i="3"/>
  <c r="S476" i="3"/>
  <c r="T476" i="3" s="1"/>
  <c r="L476" i="3"/>
  <c r="M476" i="3" s="1"/>
  <c r="Y475" i="3"/>
  <c r="S475" i="3"/>
  <c r="T475" i="3" s="1"/>
  <c r="L475" i="3"/>
  <c r="M475" i="3" s="1"/>
  <c r="Y474" i="3"/>
  <c r="S474" i="3"/>
  <c r="T474" i="3" s="1"/>
  <c r="M474" i="3"/>
  <c r="L474" i="3"/>
  <c r="Y473" i="3"/>
  <c r="S473" i="3"/>
  <c r="T473" i="3" s="1"/>
  <c r="M473" i="3"/>
  <c r="L473" i="3"/>
  <c r="Y472" i="3"/>
  <c r="S472" i="3"/>
  <c r="T472" i="3" s="1"/>
  <c r="L472" i="3"/>
  <c r="M472" i="3" s="1"/>
  <c r="Y471" i="3"/>
  <c r="S471" i="3"/>
  <c r="T471" i="3" s="1"/>
  <c r="L471" i="3"/>
  <c r="M471" i="3" s="1"/>
  <c r="Y470" i="3"/>
  <c r="S470" i="3"/>
  <c r="T470" i="3" s="1"/>
  <c r="L470" i="3"/>
  <c r="M470" i="3" s="1"/>
  <c r="Y469" i="3"/>
  <c r="S469" i="3"/>
  <c r="T469" i="3" s="1"/>
  <c r="L469" i="3"/>
  <c r="M469" i="3" s="1"/>
  <c r="Y468" i="3"/>
  <c r="S468" i="3"/>
  <c r="T468" i="3" s="1"/>
  <c r="L468" i="3"/>
  <c r="M468" i="3" s="1"/>
  <c r="Y467" i="3"/>
  <c r="T467" i="3"/>
  <c r="S467" i="3"/>
  <c r="L467" i="3"/>
  <c r="M467" i="3" s="1"/>
  <c r="Y466" i="3"/>
  <c r="S466" i="3"/>
  <c r="T466" i="3" s="1"/>
  <c r="L466" i="3"/>
  <c r="M466" i="3" s="1"/>
  <c r="Y465" i="3"/>
  <c r="S465" i="3"/>
  <c r="T465" i="3" s="1"/>
  <c r="L465" i="3"/>
  <c r="M465" i="3" s="1"/>
  <c r="Y464" i="3"/>
  <c r="S464" i="3"/>
  <c r="T464" i="3" s="1"/>
  <c r="L464" i="3"/>
  <c r="M464" i="3" s="1"/>
  <c r="Y463" i="3"/>
  <c r="S463" i="3"/>
  <c r="T463" i="3" s="1"/>
  <c r="L463" i="3"/>
  <c r="M463" i="3" s="1"/>
  <c r="Y462" i="3"/>
  <c r="S462" i="3"/>
  <c r="T462" i="3" s="1"/>
  <c r="M462" i="3"/>
  <c r="L462" i="3"/>
  <c r="Y461" i="3"/>
  <c r="S461" i="3"/>
  <c r="T461" i="3" s="1"/>
  <c r="L461" i="3"/>
  <c r="M461" i="3" s="1"/>
  <c r="Y460" i="3"/>
  <c r="S460" i="3"/>
  <c r="T460" i="3" s="1"/>
  <c r="L460" i="3"/>
  <c r="M460" i="3" s="1"/>
  <c r="Y459" i="3"/>
  <c r="S459" i="3"/>
  <c r="T459" i="3" s="1"/>
  <c r="L459" i="3"/>
  <c r="M459" i="3" s="1"/>
  <c r="Y458" i="3"/>
  <c r="S458" i="3"/>
  <c r="T458" i="3" s="1"/>
  <c r="L458" i="3"/>
  <c r="M458" i="3" s="1"/>
  <c r="Y457" i="3"/>
  <c r="S457" i="3"/>
  <c r="T457" i="3" s="1"/>
  <c r="L457" i="3"/>
  <c r="M457" i="3" s="1"/>
  <c r="Y456" i="3"/>
  <c r="S456" i="3"/>
  <c r="T456" i="3" s="1"/>
  <c r="L456" i="3"/>
  <c r="M456" i="3" s="1"/>
  <c r="Y455" i="3"/>
  <c r="T455" i="3"/>
  <c r="S455" i="3"/>
  <c r="L455" i="3"/>
  <c r="M455" i="3" s="1"/>
  <c r="Y454" i="3"/>
  <c r="S454" i="3"/>
  <c r="T454" i="3" s="1"/>
  <c r="L454" i="3"/>
  <c r="M454" i="3" s="1"/>
  <c r="Y453" i="3"/>
  <c r="S453" i="3"/>
  <c r="T453" i="3" s="1"/>
  <c r="L453" i="3"/>
  <c r="M453" i="3" s="1"/>
  <c r="Y452" i="3"/>
  <c r="S452" i="3"/>
  <c r="T452" i="3" s="1"/>
  <c r="L452" i="3"/>
  <c r="M452" i="3" s="1"/>
  <c r="Y451" i="3"/>
  <c r="S451" i="3"/>
  <c r="T451" i="3" s="1"/>
  <c r="L451" i="3"/>
  <c r="M451" i="3" s="1"/>
  <c r="Y450" i="3"/>
  <c r="S450" i="3"/>
  <c r="T450" i="3" s="1"/>
  <c r="M450" i="3"/>
  <c r="L450" i="3"/>
  <c r="Y449" i="3"/>
  <c r="S449" i="3"/>
  <c r="T449" i="3" s="1"/>
  <c r="L449" i="3"/>
  <c r="M449" i="3" s="1"/>
  <c r="Y448" i="3"/>
  <c r="S448" i="3"/>
  <c r="T448" i="3" s="1"/>
  <c r="L448" i="3"/>
  <c r="M448" i="3" s="1"/>
  <c r="Y447" i="3"/>
  <c r="S447" i="3"/>
  <c r="T447" i="3" s="1"/>
  <c r="L447" i="3"/>
  <c r="M447" i="3" s="1"/>
  <c r="Y446" i="3"/>
  <c r="S446" i="3"/>
  <c r="T446" i="3" s="1"/>
  <c r="L446" i="3"/>
  <c r="M446" i="3" s="1"/>
  <c r="Y445" i="3"/>
  <c r="S445" i="3"/>
  <c r="T445" i="3" s="1"/>
  <c r="L445" i="3"/>
  <c r="M445" i="3" s="1"/>
  <c r="Y444" i="3"/>
  <c r="S444" i="3"/>
  <c r="T444" i="3" s="1"/>
  <c r="L444" i="3"/>
  <c r="M444" i="3" s="1"/>
  <c r="Y443" i="3"/>
  <c r="T443" i="3"/>
  <c r="S443" i="3"/>
  <c r="L443" i="3"/>
  <c r="M443" i="3" s="1"/>
  <c r="Y442" i="3"/>
  <c r="S442" i="3"/>
  <c r="T442" i="3" s="1"/>
  <c r="L442" i="3"/>
  <c r="M442" i="3" s="1"/>
  <c r="Y441" i="3"/>
  <c r="S441" i="3"/>
  <c r="T441" i="3" s="1"/>
  <c r="L441" i="3"/>
  <c r="M441" i="3" s="1"/>
  <c r="Y440" i="3"/>
  <c r="S440" i="3"/>
  <c r="T440" i="3" s="1"/>
  <c r="L440" i="3"/>
  <c r="M440" i="3" s="1"/>
  <c r="Y439" i="3"/>
  <c r="S439" i="3"/>
  <c r="T439" i="3" s="1"/>
  <c r="L439" i="3"/>
  <c r="M439" i="3" s="1"/>
  <c r="Y438" i="3"/>
  <c r="S438" i="3"/>
  <c r="T438" i="3" s="1"/>
  <c r="M438" i="3"/>
  <c r="L438" i="3"/>
  <c r="Y437" i="3"/>
  <c r="S437" i="3"/>
  <c r="T437" i="3" s="1"/>
  <c r="M437" i="3"/>
  <c r="L437" i="3"/>
  <c r="Y436" i="3"/>
  <c r="S436" i="3"/>
  <c r="T436" i="3" s="1"/>
  <c r="L436" i="3"/>
  <c r="M436" i="3" s="1"/>
  <c r="Y435" i="3"/>
  <c r="S435" i="3"/>
  <c r="T435" i="3" s="1"/>
  <c r="L435" i="3"/>
  <c r="M435" i="3" s="1"/>
  <c r="Y434" i="3"/>
  <c r="S434" i="3"/>
  <c r="T434" i="3" s="1"/>
  <c r="L434" i="3"/>
  <c r="M434" i="3" s="1"/>
  <c r="Y433" i="3"/>
  <c r="S433" i="3"/>
  <c r="T433" i="3" s="1"/>
  <c r="L433" i="3"/>
  <c r="M433" i="3" s="1"/>
  <c r="Y432" i="3"/>
  <c r="S432" i="3"/>
  <c r="T432" i="3" s="1"/>
  <c r="L432" i="3"/>
  <c r="M432" i="3" s="1"/>
  <c r="Y431" i="3"/>
  <c r="T431" i="3"/>
  <c r="S431" i="3"/>
  <c r="L431" i="3"/>
  <c r="M431" i="3" s="1"/>
  <c r="Y430" i="3"/>
  <c r="S430" i="3"/>
  <c r="T430" i="3" s="1"/>
  <c r="L430" i="3"/>
  <c r="M430" i="3" s="1"/>
  <c r="Y429" i="3"/>
  <c r="S429" i="3"/>
  <c r="T429" i="3" s="1"/>
  <c r="L429" i="3"/>
  <c r="M429" i="3" s="1"/>
  <c r="Y428" i="3"/>
  <c r="S428" i="3"/>
  <c r="T428" i="3" s="1"/>
  <c r="M428" i="3"/>
  <c r="L428" i="3"/>
  <c r="Y427" i="3"/>
  <c r="S427" i="3"/>
  <c r="T427" i="3" s="1"/>
  <c r="L427" i="3"/>
  <c r="M427" i="3" s="1"/>
  <c r="Y426" i="3"/>
  <c r="S426" i="3"/>
  <c r="T426" i="3" s="1"/>
  <c r="M426" i="3"/>
  <c r="L426" i="3"/>
  <c r="Y425" i="3"/>
  <c r="S425" i="3"/>
  <c r="T425" i="3" s="1"/>
  <c r="L425" i="3"/>
  <c r="M425" i="3" s="1"/>
  <c r="Y424" i="3"/>
  <c r="S424" i="3"/>
  <c r="T424" i="3" s="1"/>
  <c r="L424" i="3"/>
  <c r="M424" i="3" s="1"/>
  <c r="Y423" i="3"/>
  <c r="S423" i="3"/>
  <c r="T423" i="3" s="1"/>
  <c r="L423" i="3"/>
  <c r="M423" i="3" s="1"/>
  <c r="Y422" i="3"/>
  <c r="S422" i="3"/>
  <c r="T422" i="3" s="1"/>
  <c r="L422" i="3"/>
  <c r="M422" i="3" s="1"/>
  <c r="Y421" i="3"/>
  <c r="S421" i="3"/>
  <c r="T421" i="3" s="1"/>
  <c r="L421" i="3"/>
  <c r="M421" i="3" s="1"/>
  <c r="Y420" i="3"/>
  <c r="S420" i="3"/>
  <c r="T420" i="3" s="1"/>
  <c r="L420" i="3"/>
  <c r="M420" i="3" s="1"/>
  <c r="Y419" i="3"/>
  <c r="T419" i="3"/>
  <c r="S419" i="3"/>
  <c r="L419" i="3"/>
  <c r="M419" i="3" s="1"/>
  <c r="Y418" i="3"/>
  <c r="S418" i="3"/>
  <c r="T418" i="3" s="1"/>
  <c r="L418" i="3"/>
  <c r="M418" i="3" s="1"/>
  <c r="Y417" i="3"/>
  <c r="S417" i="3"/>
  <c r="T417" i="3" s="1"/>
  <c r="L417" i="3"/>
  <c r="M417" i="3" s="1"/>
  <c r="Y416" i="3"/>
  <c r="S416" i="3"/>
  <c r="T416" i="3" s="1"/>
  <c r="L416" i="3"/>
  <c r="M416" i="3" s="1"/>
  <c r="Y415" i="3"/>
  <c r="S415" i="3"/>
  <c r="T415" i="3" s="1"/>
  <c r="L415" i="3"/>
  <c r="M415" i="3" s="1"/>
  <c r="Y414" i="3"/>
  <c r="S414" i="3"/>
  <c r="T414" i="3" s="1"/>
  <c r="M414" i="3"/>
  <c r="L414" i="3"/>
  <c r="Y413" i="3"/>
  <c r="S413" i="3"/>
  <c r="T413" i="3" s="1"/>
  <c r="L413" i="3"/>
  <c r="M413" i="3" s="1"/>
  <c r="Y412" i="3"/>
  <c r="S412" i="3"/>
  <c r="T412" i="3" s="1"/>
  <c r="L412" i="3"/>
  <c r="M412" i="3" s="1"/>
  <c r="Y411" i="3"/>
  <c r="S411" i="3"/>
  <c r="T411" i="3" s="1"/>
  <c r="L411" i="3"/>
  <c r="M411" i="3" s="1"/>
  <c r="Y410" i="3"/>
  <c r="S410" i="3"/>
  <c r="T410" i="3" s="1"/>
  <c r="L410" i="3"/>
  <c r="M410" i="3" s="1"/>
  <c r="Y409" i="3"/>
  <c r="S409" i="3"/>
  <c r="T409" i="3" s="1"/>
  <c r="L409" i="3"/>
  <c r="M409" i="3" s="1"/>
  <c r="Y408" i="3"/>
  <c r="S408" i="3"/>
  <c r="T408" i="3" s="1"/>
  <c r="L408" i="3"/>
  <c r="M408" i="3" s="1"/>
  <c r="Y407" i="3"/>
  <c r="T407" i="3"/>
  <c r="S407" i="3"/>
  <c r="L407" i="3"/>
  <c r="M407" i="3" s="1"/>
  <c r="Y406" i="3"/>
  <c r="S406" i="3"/>
  <c r="T406" i="3" s="1"/>
  <c r="L406" i="3"/>
  <c r="M406" i="3" s="1"/>
  <c r="Y405" i="3"/>
  <c r="S405" i="3"/>
  <c r="T405" i="3" s="1"/>
  <c r="L405" i="3"/>
  <c r="M405" i="3" s="1"/>
  <c r="Y404" i="3"/>
  <c r="S404" i="3"/>
  <c r="T404" i="3" s="1"/>
  <c r="L404" i="3"/>
  <c r="M404" i="3" s="1"/>
  <c r="Y403" i="3"/>
  <c r="S403" i="3"/>
  <c r="T403" i="3" s="1"/>
  <c r="L403" i="3"/>
  <c r="M403" i="3" s="1"/>
  <c r="Y402" i="3"/>
  <c r="S402" i="3"/>
  <c r="T402" i="3" s="1"/>
  <c r="M402" i="3"/>
  <c r="L402" i="3"/>
  <c r="Y401" i="3"/>
  <c r="S401" i="3"/>
  <c r="T401" i="3" s="1"/>
  <c r="L401" i="3"/>
  <c r="M401" i="3" s="1"/>
  <c r="Y400" i="3"/>
  <c r="S400" i="3"/>
  <c r="T400" i="3" s="1"/>
  <c r="L400" i="3"/>
  <c r="M400" i="3" s="1"/>
  <c r="Y399" i="3"/>
  <c r="S399" i="3"/>
  <c r="T399" i="3" s="1"/>
  <c r="L399" i="3"/>
  <c r="M399" i="3" s="1"/>
  <c r="Y398" i="3"/>
  <c r="S398" i="3"/>
  <c r="T398" i="3" s="1"/>
  <c r="L398" i="3"/>
  <c r="M398" i="3" s="1"/>
  <c r="Y397" i="3"/>
  <c r="S397" i="3"/>
  <c r="T397" i="3" s="1"/>
  <c r="L397" i="3"/>
  <c r="M397" i="3" s="1"/>
  <c r="Y396" i="3"/>
  <c r="S396" i="3"/>
  <c r="T396" i="3" s="1"/>
  <c r="L396" i="3"/>
  <c r="M396" i="3" s="1"/>
  <c r="Y395" i="3"/>
  <c r="T395" i="3"/>
  <c r="S395" i="3"/>
  <c r="L395" i="3"/>
  <c r="M395" i="3" s="1"/>
  <c r="Y394" i="3"/>
  <c r="S394" i="3"/>
  <c r="T394" i="3" s="1"/>
  <c r="L394" i="3"/>
  <c r="M394" i="3" s="1"/>
  <c r="Y393" i="3"/>
  <c r="S393" i="3"/>
  <c r="T393" i="3" s="1"/>
  <c r="L393" i="3"/>
  <c r="M393" i="3" s="1"/>
  <c r="Y392" i="3"/>
  <c r="S392" i="3"/>
  <c r="T392" i="3" s="1"/>
  <c r="M392" i="3"/>
  <c r="L392" i="3"/>
  <c r="Y391" i="3"/>
  <c r="S391" i="3"/>
  <c r="T391" i="3" s="1"/>
  <c r="L391" i="3"/>
  <c r="M391" i="3" s="1"/>
  <c r="Y390" i="3"/>
  <c r="S390" i="3"/>
  <c r="T390" i="3" s="1"/>
  <c r="M390" i="3"/>
  <c r="L390" i="3"/>
  <c r="Y389" i="3"/>
  <c r="S389" i="3"/>
  <c r="T389" i="3" s="1"/>
  <c r="L389" i="3"/>
  <c r="M389" i="3" s="1"/>
  <c r="Y388" i="3"/>
  <c r="S388" i="3"/>
  <c r="T388" i="3" s="1"/>
  <c r="L388" i="3"/>
  <c r="M388" i="3" s="1"/>
  <c r="Y387" i="3"/>
  <c r="S387" i="3"/>
  <c r="T387" i="3" s="1"/>
  <c r="L387" i="3"/>
  <c r="M387" i="3" s="1"/>
  <c r="Y386" i="3"/>
  <c r="S386" i="3"/>
  <c r="T386" i="3" s="1"/>
  <c r="L386" i="3"/>
  <c r="M386" i="3" s="1"/>
  <c r="Y385" i="3"/>
  <c r="S385" i="3"/>
  <c r="T385" i="3" s="1"/>
  <c r="L385" i="3"/>
  <c r="M385" i="3" s="1"/>
  <c r="Y384" i="3"/>
  <c r="S384" i="3"/>
  <c r="T384" i="3" s="1"/>
  <c r="L384" i="3"/>
  <c r="M384" i="3" s="1"/>
  <c r="Y383" i="3"/>
  <c r="T383" i="3"/>
  <c r="S383" i="3"/>
  <c r="L383" i="3"/>
  <c r="M383" i="3" s="1"/>
  <c r="Y382" i="3"/>
  <c r="S382" i="3"/>
  <c r="T382" i="3" s="1"/>
  <c r="L382" i="3"/>
  <c r="M382" i="3" s="1"/>
  <c r="Y381" i="3"/>
  <c r="S381" i="3"/>
  <c r="T381" i="3" s="1"/>
  <c r="L381" i="3"/>
  <c r="M381" i="3" s="1"/>
  <c r="Y380" i="3"/>
  <c r="S380" i="3"/>
  <c r="T380" i="3" s="1"/>
  <c r="L380" i="3"/>
  <c r="M380" i="3" s="1"/>
  <c r="Y379" i="3"/>
  <c r="S379" i="3"/>
  <c r="T379" i="3" s="1"/>
  <c r="L379" i="3"/>
  <c r="M379" i="3" s="1"/>
  <c r="Y378" i="3"/>
  <c r="S378" i="3"/>
  <c r="T378" i="3" s="1"/>
  <c r="M378" i="3"/>
  <c r="L378" i="3"/>
  <c r="Y377" i="3"/>
  <c r="S377" i="3"/>
  <c r="T377" i="3" s="1"/>
  <c r="L377" i="3"/>
  <c r="M377" i="3" s="1"/>
  <c r="Y376" i="3"/>
  <c r="S376" i="3"/>
  <c r="T376" i="3" s="1"/>
  <c r="L376" i="3"/>
  <c r="M376" i="3" s="1"/>
  <c r="Y375" i="3"/>
  <c r="S375" i="3"/>
  <c r="T375" i="3" s="1"/>
  <c r="L375" i="3"/>
  <c r="M375" i="3" s="1"/>
  <c r="Y374" i="3"/>
  <c r="S374" i="3"/>
  <c r="T374" i="3" s="1"/>
  <c r="L374" i="3"/>
  <c r="M374" i="3" s="1"/>
  <c r="Y373" i="3"/>
  <c r="S373" i="3"/>
  <c r="T373" i="3" s="1"/>
  <c r="L373" i="3"/>
  <c r="M373" i="3" s="1"/>
  <c r="Y372" i="3"/>
  <c r="S372" i="3"/>
  <c r="T372" i="3" s="1"/>
  <c r="L372" i="3"/>
  <c r="M372" i="3" s="1"/>
  <c r="Y371" i="3"/>
  <c r="S371" i="3"/>
  <c r="T371" i="3" s="1"/>
  <c r="M371" i="3"/>
  <c r="L371" i="3"/>
  <c r="Y370" i="3"/>
  <c r="S370" i="3"/>
  <c r="T370" i="3" s="1"/>
  <c r="L370" i="3"/>
  <c r="M370" i="3" s="1"/>
  <c r="Y369" i="3"/>
  <c r="S369" i="3"/>
  <c r="T369" i="3" s="1"/>
  <c r="M369" i="3"/>
  <c r="L369" i="3"/>
  <c r="Y368" i="3"/>
  <c r="T368" i="3"/>
  <c r="S368" i="3"/>
  <c r="L368" i="3"/>
  <c r="M368" i="3" s="1"/>
  <c r="Y367" i="3"/>
  <c r="T367" i="3"/>
  <c r="S367" i="3"/>
  <c r="L367" i="3"/>
  <c r="M367" i="3" s="1"/>
  <c r="Y366" i="3"/>
  <c r="S366" i="3"/>
  <c r="T366" i="3" s="1"/>
  <c r="M366" i="3"/>
  <c r="L366" i="3"/>
  <c r="Y365" i="3"/>
  <c r="S365" i="3"/>
  <c r="T365" i="3" s="1"/>
  <c r="L365" i="3"/>
  <c r="M365" i="3" s="1"/>
  <c r="Y364" i="3"/>
  <c r="S364" i="3"/>
  <c r="T364" i="3" s="1"/>
  <c r="L364" i="3"/>
  <c r="M364" i="3" s="1"/>
  <c r="Y363" i="3"/>
  <c r="S363" i="3"/>
  <c r="T363" i="3" s="1"/>
  <c r="L363" i="3"/>
  <c r="M363" i="3" s="1"/>
  <c r="Y362" i="3"/>
  <c r="S362" i="3"/>
  <c r="T362" i="3" s="1"/>
  <c r="L362" i="3"/>
  <c r="M362" i="3" s="1"/>
  <c r="Y361" i="3"/>
  <c r="S361" i="3"/>
  <c r="T361" i="3" s="1"/>
  <c r="L361" i="3"/>
  <c r="M361" i="3" s="1"/>
  <c r="Y360" i="3"/>
  <c r="S360" i="3"/>
  <c r="T360" i="3" s="1"/>
  <c r="L360" i="3"/>
  <c r="M360" i="3" s="1"/>
  <c r="Y359" i="3"/>
  <c r="T359" i="3"/>
  <c r="S359" i="3"/>
  <c r="L359" i="3"/>
  <c r="M359" i="3" s="1"/>
  <c r="Y358" i="3"/>
  <c r="S358" i="3"/>
  <c r="T358" i="3" s="1"/>
  <c r="L358" i="3"/>
  <c r="M358" i="3" s="1"/>
  <c r="Y357" i="3"/>
  <c r="S357" i="3"/>
  <c r="T357" i="3" s="1"/>
  <c r="L357" i="3"/>
  <c r="M357" i="3" s="1"/>
  <c r="Y356" i="3"/>
  <c r="T356" i="3"/>
  <c r="S356" i="3"/>
  <c r="M356" i="3"/>
  <c r="L356" i="3"/>
  <c r="Y355" i="3"/>
  <c r="S355" i="3"/>
  <c r="T355" i="3" s="1"/>
  <c r="L355" i="3"/>
  <c r="M355" i="3" s="1"/>
  <c r="Y354" i="3"/>
  <c r="S354" i="3"/>
  <c r="T354" i="3" s="1"/>
  <c r="L354" i="3"/>
  <c r="M354" i="3" s="1"/>
  <c r="Y353" i="3"/>
  <c r="S353" i="3"/>
  <c r="T353" i="3" s="1"/>
  <c r="M353" i="3"/>
  <c r="L353" i="3"/>
  <c r="Y352" i="3"/>
  <c r="S352" i="3"/>
  <c r="T352" i="3" s="1"/>
  <c r="L352" i="3"/>
  <c r="M352" i="3" s="1"/>
  <c r="Y351" i="3"/>
  <c r="S351" i="3"/>
  <c r="T351" i="3" s="1"/>
  <c r="L351" i="3"/>
  <c r="M351" i="3" s="1"/>
  <c r="Y350" i="3"/>
  <c r="S350" i="3"/>
  <c r="T350" i="3" s="1"/>
  <c r="L350" i="3"/>
  <c r="M350" i="3" s="1"/>
  <c r="Y349" i="3"/>
  <c r="T349" i="3"/>
  <c r="S349" i="3"/>
  <c r="L349" i="3"/>
  <c r="M349" i="3" s="1"/>
  <c r="Y348" i="3"/>
  <c r="S348" i="3"/>
  <c r="T348" i="3" s="1"/>
  <c r="L348" i="3"/>
  <c r="M348" i="3" s="1"/>
  <c r="Y347" i="3"/>
  <c r="S347" i="3"/>
  <c r="T347" i="3" s="1"/>
  <c r="M347" i="3"/>
  <c r="L347" i="3"/>
  <c r="Y346" i="3"/>
  <c r="T346" i="3"/>
  <c r="S346" i="3"/>
  <c r="L346" i="3"/>
  <c r="M346" i="3" s="1"/>
  <c r="Y345" i="3"/>
  <c r="S345" i="3"/>
  <c r="T345" i="3" s="1"/>
  <c r="M345" i="3"/>
  <c r="L345" i="3"/>
  <c r="Y344" i="3"/>
  <c r="S344" i="3"/>
  <c r="T344" i="3" s="1"/>
  <c r="M344" i="3"/>
  <c r="L344" i="3"/>
  <c r="Y343" i="3"/>
  <c r="T343" i="3"/>
  <c r="S343" i="3"/>
  <c r="L343" i="3"/>
  <c r="M343" i="3" s="1"/>
  <c r="Y342" i="3"/>
  <c r="S342" i="3"/>
  <c r="T342" i="3" s="1"/>
  <c r="L342" i="3"/>
  <c r="M342" i="3" s="1"/>
  <c r="Y341" i="3"/>
  <c r="S341" i="3"/>
  <c r="T341" i="3" s="1"/>
  <c r="M341" i="3"/>
  <c r="L341" i="3"/>
  <c r="Y340" i="3"/>
  <c r="S340" i="3"/>
  <c r="T340" i="3" s="1"/>
  <c r="L340" i="3"/>
  <c r="M340" i="3" s="1"/>
  <c r="Y339" i="3"/>
  <c r="S339" i="3"/>
  <c r="T339" i="3" s="1"/>
  <c r="L339" i="3"/>
  <c r="M339" i="3" s="1"/>
  <c r="Y338" i="3"/>
  <c r="S338" i="3"/>
  <c r="T338" i="3" s="1"/>
  <c r="L338" i="3"/>
  <c r="M338" i="3" s="1"/>
  <c r="Y337" i="3"/>
  <c r="T337" i="3"/>
  <c r="S337" i="3"/>
  <c r="L337" i="3"/>
  <c r="M337" i="3" s="1"/>
  <c r="Y336" i="3"/>
  <c r="S336" i="3"/>
  <c r="T336" i="3" s="1"/>
  <c r="L336" i="3"/>
  <c r="M336" i="3" s="1"/>
  <c r="Y335" i="3"/>
  <c r="T335" i="3"/>
  <c r="S335" i="3"/>
  <c r="L335" i="3"/>
  <c r="M335" i="3" s="1"/>
  <c r="Y334" i="3"/>
  <c r="T334" i="3"/>
  <c r="S334" i="3"/>
  <c r="L334" i="3"/>
  <c r="M334" i="3" s="1"/>
  <c r="Y333" i="3"/>
  <c r="S333" i="3"/>
  <c r="T333" i="3" s="1"/>
  <c r="L333" i="3"/>
  <c r="M333" i="3" s="1"/>
  <c r="Y332" i="3"/>
  <c r="S332" i="3"/>
  <c r="T332" i="3" s="1"/>
  <c r="L332" i="3"/>
  <c r="M332" i="3" s="1"/>
  <c r="Y331" i="3"/>
  <c r="S331" i="3"/>
  <c r="T331" i="3" s="1"/>
  <c r="L331" i="3"/>
  <c r="M331" i="3" s="1"/>
  <c r="Y330" i="3"/>
  <c r="S330" i="3"/>
  <c r="T330" i="3" s="1"/>
  <c r="M330" i="3"/>
  <c r="L330" i="3"/>
  <c r="Y329" i="3"/>
  <c r="S329" i="3"/>
  <c r="T329" i="3" s="1"/>
  <c r="M329" i="3"/>
  <c r="L329" i="3"/>
  <c r="Y328" i="3"/>
  <c r="S328" i="3"/>
  <c r="T328" i="3" s="1"/>
  <c r="L328" i="3"/>
  <c r="M328" i="3" s="1"/>
  <c r="Y327" i="3"/>
  <c r="S327" i="3"/>
  <c r="T327" i="3" s="1"/>
  <c r="L327" i="3"/>
  <c r="M327" i="3" s="1"/>
  <c r="Y326" i="3"/>
  <c r="S326" i="3"/>
  <c r="T326" i="3" s="1"/>
  <c r="L326" i="3"/>
  <c r="M326" i="3" s="1"/>
  <c r="Y325" i="3"/>
  <c r="T325" i="3"/>
  <c r="S325" i="3"/>
  <c r="L325" i="3"/>
  <c r="M325" i="3" s="1"/>
  <c r="Y324" i="3"/>
  <c r="S324" i="3"/>
  <c r="T324" i="3" s="1"/>
  <c r="L324" i="3"/>
  <c r="M324" i="3" s="1"/>
  <c r="Y323" i="3"/>
  <c r="S323" i="3"/>
  <c r="T323" i="3" s="1"/>
  <c r="M323" i="3"/>
  <c r="L323" i="3"/>
  <c r="Y322" i="3"/>
  <c r="S322" i="3"/>
  <c r="T322" i="3" s="1"/>
  <c r="L322" i="3"/>
  <c r="M322" i="3" s="1"/>
  <c r="Y321" i="3"/>
  <c r="S321" i="3"/>
  <c r="T321" i="3" s="1"/>
  <c r="M321" i="3"/>
  <c r="L321" i="3"/>
  <c r="Y320" i="3"/>
  <c r="T320" i="3"/>
  <c r="S320" i="3"/>
  <c r="L320" i="3"/>
  <c r="M320" i="3" s="1"/>
  <c r="Y319" i="3"/>
  <c r="T319" i="3"/>
  <c r="S319" i="3"/>
  <c r="L319" i="3"/>
  <c r="M319" i="3" s="1"/>
  <c r="Y318" i="3"/>
  <c r="S318" i="3"/>
  <c r="T318" i="3" s="1"/>
  <c r="L318" i="3"/>
  <c r="M318" i="3" s="1"/>
  <c r="Y317" i="3"/>
  <c r="S317" i="3"/>
  <c r="T317" i="3" s="1"/>
  <c r="L317" i="3"/>
  <c r="M317" i="3" s="1"/>
  <c r="Y316" i="3"/>
  <c r="S316" i="3"/>
  <c r="T316" i="3" s="1"/>
  <c r="L316" i="3"/>
  <c r="M316" i="3" s="1"/>
  <c r="Y315" i="3"/>
  <c r="S315" i="3"/>
  <c r="T315" i="3" s="1"/>
  <c r="L315" i="3"/>
  <c r="M315" i="3" s="1"/>
  <c r="Y314" i="3"/>
  <c r="S314" i="3"/>
  <c r="T314" i="3" s="1"/>
  <c r="L314" i="3"/>
  <c r="M314" i="3" s="1"/>
  <c r="Y313" i="3"/>
  <c r="S313" i="3"/>
  <c r="T313" i="3" s="1"/>
  <c r="L313" i="3"/>
  <c r="M313" i="3" s="1"/>
  <c r="Y312" i="3"/>
  <c r="S312" i="3"/>
  <c r="T312" i="3" s="1"/>
  <c r="L312" i="3"/>
  <c r="M312" i="3" s="1"/>
  <c r="Y311" i="3"/>
  <c r="T311" i="3"/>
  <c r="S311" i="3"/>
  <c r="L311" i="3"/>
  <c r="M311" i="3" s="1"/>
  <c r="Y310" i="3"/>
  <c r="S310" i="3"/>
  <c r="T310" i="3" s="1"/>
  <c r="L310" i="3"/>
  <c r="M310" i="3" s="1"/>
  <c r="Y309" i="3"/>
  <c r="S309" i="3"/>
  <c r="T309" i="3" s="1"/>
  <c r="L309" i="3"/>
  <c r="M309" i="3" s="1"/>
  <c r="Y308" i="3"/>
  <c r="S308" i="3"/>
  <c r="T308" i="3" s="1"/>
  <c r="L308" i="3"/>
  <c r="M308" i="3" s="1"/>
  <c r="Y307" i="3"/>
  <c r="S307" i="3"/>
  <c r="T307" i="3" s="1"/>
  <c r="L307" i="3"/>
  <c r="M307" i="3" s="1"/>
  <c r="Y306" i="3"/>
  <c r="S306" i="3"/>
  <c r="T306" i="3" s="1"/>
  <c r="M306" i="3"/>
  <c r="L306" i="3"/>
  <c r="Y305" i="3"/>
  <c r="S305" i="3"/>
  <c r="T305" i="3" s="1"/>
  <c r="L305" i="3"/>
  <c r="M305" i="3" s="1"/>
  <c r="Y304" i="3"/>
  <c r="S304" i="3"/>
  <c r="T304" i="3" s="1"/>
  <c r="L304" i="3"/>
  <c r="M304" i="3" s="1"/>
  <c r="Y303" i="3"/>
  <c r="S303" i="3"/>
  <c r="T303" i="3" s="1"/>
  <c r="L303" i="3"/>
  <c r="M303" i="3" s="1"/>
  <c r="Y302" i="3"/>
  <c r="S302" i="3"/>
  <c r="T302" i="3" s="1"/>
  <c r="L302" i="3"/>
  <c r="M302" i="3" s="1"/>
  <c r="Y301" i="3"/>
  <c r="S301" i="3"/>
  <c r="T301" i="3" s="1"/>
  <c r="L301" i="3"/>
  <c r="M301" i="3" s="1"/>
  <c r="Y300" i="3"/>
  <c r="S300" i="3"/>
  <c r="T300" i="3" s="1"/>
  <c r="L300" i="3"/>
  <c r="M300" i="3" s="1"/>
  <c r="Y299" i="3"/>
  <c r="S299" i="3"/>
  <c r="T299" i="3" s="1"/>
  <c r="M299" i="3"/>
  <c r="L299" i="3"/>
  <c r="Y298" i="3"/>
  <c r="S298" i="3"/>
  <c r="T298" i="3" s="1"/>
  <c r="L298" i="3"/>
  <c r="M298" i="3" s="1"/>
  <c r="Y297" i="3"/>
  <c r="S297" i="3"/>
  <c r="T297" i="3" s="1"/>
  <c r="M297" i="3"/>
  <c r="L297" i="3"/>
  <c r="Y296" i="3"/>
  <c r="T296" i="3"/>
  <c r="S296" i="3"/>
  <c r="L296" i="3"/>
  <c r="M296" i="3" s="1"/>
  <c r="Y295" i="3"/>
  <c r="T295" i="3"/>
  <c r="S295" i="3"/>
  <c r="L295" i="3"/>
  <c r="M295" i="3" s="1"/>
  <c r="Y294" i="3"/>
  <c r="S294" i="3"/>
  <c r="T294" i="3" s="1"/>
  <c r="M294" i="3"/>
  <c r="L294" i="3"/>
  <c r="Y293" i="3"/>
  <c r="S293" i="3"/>
  <c r="T293" i="3" s="1"/>
  <c r="L293" i="3"/>
  <c r="M293" i="3" s="1"/>
  <c r="Y292" i="3"/>
  <c r="S292" i="3"/>
  <c r="T292" i="3" s="1"/>
  <c r="L292" i="3"/>
  <c r="M292" i="3" s="1"/>
  <c r="Y291" i="3"/>
  <c r="S291" i="3"/>
  <c r="T291" i="3" s="1"/>
  <c r="L291" i="3"/>
  <c r="M291" i="3" s="1"/>
  <c r="Y290" i="3"/>
  <c r="S290" i="3"/>
  <c r="T290" i="3" s="1"/>
  <c r="L290" i="3"/>
  <c r="M290" i="3" s="1"/>
  <c r="Y289" i="3"/>
  <c r="S289" i="3"/>
  <c r="T289" i="3" s="1"/>
  <c r="L289" i="3"/>
  <c r="M289" i="3" s="1"/>
  <c r="Y288" i="3"/>
  <c r="S288" i="3"/>
  <c r="T288" i="3" s="1"/>
  <c r="L288" i="3"/>
  <c r="M288" i="3" s="1"/>
  <c r="Y287" i="3"/>
  <c r="T287" i="3"/>
  <c r="S287" i="3"/>
  <c r="L287" i="3"/>
  <c r="M287" i="3" s="1"/>
  <c r="Y286" i="3"/>
  <c r="S286" i="3"/>
  <c r="T286" i="3" s="1"/>
  <c r="L286" i="3"/>
  <c r="M286" i="3" s="1"/>
  <c r="Y285" i="3"/>
  <c r="S285" i="3"/>
  <c r="T285" i="3" s="1"/>
  <c r="L285" i="3"/>
  <c r="M285" i="3" s="1"/>
  <c r="Y284" i="3"/>
  <c r="T284" i="3"/>
  <c r="S284" i="3"/>
  <c r="M284" i="3"/>
  <c r="L284" i="3"/>
  <c r="Y283" i="3"/>
  <c r="S283" i="3"/>
  <c r="T283" i="3" s="1"/>
  <c r="L283" i="3"/>
  <c r="M283" i="3" s="1"/>
  <c r="Y282" i="3"/>
  <c r="S282" i="3"/>
  <c r="T282" i="3" s="1"/>
  <c r="L282" i="3"/>
  <c r="M282" i="3" s="1"/>
  <c r="Y281" i="3"/>
  <c r="S281" i="3"/>
  <c r="T281" i="3" s="1"/>
  <c r="M281" i="3"/>
  <c r="L281" i="3"/>
  <c r="Y280" i="3"/>
  <c r="S280" i="3"/>
  <c r="T280" i="3" s="1"/>
  <c r="L280" i="3"/>
  <c r="M280" i="3" s="1"/>
  <c r="Y279" i="3"/>
  <c r="S279" i="3"/>
  <c r="T279" i="3" s="1"/>
  <c r="L279" i="3"/>
  <c r="M279" i="3" s="1"/>
  <c r="Y278" i="3"/>
  <c r="S278" i="3"/>
  <c r="T278" i="3" s="1"/>
  <c r="L278" i="3"/>
  <c r="M278" i="3" s="1"/>
  <c r="Y277" i="3"/>
  <c r="T277" i="3"/>
  <c r="S277" i="3"/>
  <c r="L277" i="3"/>
  <c r="M277" i="3" s="1"/>
  <c r="Y276" i="3"/>
  <c r="S276" i="3"/>
  <c r="T276" i="3" s="1"/>
  <c r="L276" i="3"/>
  <c r="M276" i="3" s="1"/>
  <c r="Y275" i="3"/>
  <c r="S275" i="3"/>
  <c r="T275" i="3" s="1"/>
  <c r="L275" i="3"/>
  <c r="M275" i="3" s="1"/>
  <c r="Y274" i="3"/>
  <c r="T274" i="3"/>
  <c r="S274" i="3"/>
  <c r="L274" i="3"/>
  <c r="M274" i="3" s="1"/>
  <c r="Y273" i="3"/>
  <c r="S273" i="3"/>
  <c r="T273" i="3" s="1"/>
  <c r="M273" i="3"/>
  <c r="L273" i="3"/>
  <c r="Y272" i="3"/>
  <c r="S272" i="3"/>
  <c r="T272" i="3" s="1"/>
  <c r="M272" i="3"/>
  <c r="L272" i="3"/>
  <c r="Y271" i="3"/>
  <c r="T271" i="3"/>
  <c r="S271" i="3"/>
  <c r="L271" i="3"/>
  <c r="M271" i="3" s="1"/>
  <c r="Y270" i="3"/>
  <c r="S270" i="3"/>
  <c r="T270" i="3" s="1"/>
  <c r="L270" i="3"/>
  <c r="M270" i="3" s="1"/>
  <c r="Y269" i="3"/>
  <c r="S269" i="3"/>
  <c r="T269" i="3" s="1"/>
  <c r="M269" i="3"/>
  <c r="L269" i="3"/>
  <c r="Y268" i="3"/>
  <c r="S268" i="3"/>
  <c r="T268" i="3" s="1"/>
  <c r="L268" i="3"/>
  <c r="M268" i="3" s="1"/>
  <c r="Y267" i="3"/>
  <c r="S267" i="3"/>
  <c r="T267" i="3" s="1"/>
  <c r="L267" i="3"/>
  <c r="M267" i="3" s="1"/>
  <c r="Y266" i="3"/>
  <c r="S266" i="3"/>
  <c r="T266" i="3" s="1"/>
  <c r="L266" i="3"/>
  <c r="M266" i="3" s="1"/>
  <c r="Y265" i="3"/>
  <c r="T265" i="3"/>
  <c r="S265" i="3"/>
  <c r="L265" i="3"/>
  <c r="M265" i="3" s="1"/>
  <c r="Y264" i="3"/>
  <c r="S264" i="3"/>
  <c r="T264" i="3" s="1"/>
  <c r="L264" i="3"/>
  <c r="M264" i="3" s="1"/>
  <c r="Y263" i="3"/>
  <c r="T263" i="3"/>
  <c r="S263" i="3"/>
  <c r="L263" i="3"/>
  <c r="M263" i="3" s="1"/>
  <c r="Y262" i="3"/>
  <c r="T262" i="3"/>
  <c r="S262" i="3"/>
  <c r="L262" i="3"/>
  <c r="M262" i="3" s="1"/>
  <c r="Y261" i="3"/>
  <c r="S261" i="3"/>
  <c r="T261" i="3" s="1"/>
  <c r="L261" i="3"/>
  <c r="M261" i="3" s="1"/>
  <c r="Y260" i="3"/>
  <c r="S260" i="3"/>
  <c r="T260" i="3" s="1"/>
  <c r="L260" i="3"/>
  <c r="M260" i="3" s="1"/>
  <c r="Y259" i="3"/>
  <c r="S259" i="3"/>
  <c r="T259" i="3" s="1"/>
  <c r="L259" i="3"/>
  <c r="M259" i="3" s="1"/>
  <c r="Y258" i="3"/>
  <c r="S258" i="3"/>
  <c r="T258" i="3" s="1"/>
  <c r="M258" i="3"/>
  <c r="L258" i="3"/>
  <c r="Y257" i="3"/>
  <c r="S257" i="3"/>
  <c r="T257" i="3" s="1"/>
  <c r="M257" i="3"/>
  <c r="L257" i="3"/>
  <c r="Y256" i="3"/>
  <c r="S256" i="3"/>
  <c r="T256" i="3" s="1"/>
  <c r="L256" i="3"/>
  <c r="M256" i="3" s="1"/>
  <c r="Y255" i="3"/>
  <c r="S255" i="3"/>
  <c r="T255" i="3" s="1"/>
  <c r="L255" i="3"/>
  <c r="M255" i="3" s="1"/>
  <c r="Y254" i="3"/>
  <c r="S254" i="3"/>
  <c r="T254" i="3" s="1"/>
  <c r="L254" i="3"/>
  <c r="M254" i="3" s="1"/>
  <c r="Y253" i="3"/>
  <c r="S253" i="3"/>
  <c r="T253" i="3" s="1"/>
  <c r="L253" i="3"/>
  <c r="M253" i="3" s="1"/>
  <c r="Y252" i="3"/>
  <c r="S252" i="3"/>
  <c r="T252" i="3" s="1"/>
  <c r="L252" i="3"/>
  <c r="M252" i="3" s="1"/>
  <c r="Y251" i="3"/>
  <c r="S251" i="3"/>
  <c r="T251" i="3" s="1"/>
  <c r="M251" i="3"/>
  <c r="L251" i="3"/>
  <c r="Y250" i="3"/>
  <c r="S250" i="3"/>
  <c r="T250" i="3" s="1"/>
  <c r="L250" i="3"/>
  <c r="M250" i="3" s="1"/>
  <c r="Y249" i="3"/>
  <c r="S249" i="3"/>
  <c r="T249" i="3" s="1"/>
  <c r="L249" i="3"/>
  <c r="M249" i="3" s="1"/>
  <c r="Y248" i="3"/>
  <c r="S248" i="3"/>
  <c r="T248" i="3" s="1"/>
  <c r="M248" i="3"/>
  <c r="L248" i="3"/>
  <c r="Y247" i="3"/>
  <c r="S247" i="3"/>
  <c r="T247" i="3" s="1"/>
  <c r="L247" i="3"/>
  <c r="M247" i="3" s="1"/>
  <c r="Y246" i="3"/>
  <c r="S246" i="3"/>
  <c r="T246" i="3" s="1"/>
  <c r="M246" i="3"/>
  <c r="L246" i="3"/>
  <c r="Y245" i="3"/>
  <c r="S245" i="3"/>
  <c r="T245" i="3" s="1"/>
  <c r="M245" i="3"/>
  <c r="L245" i="3"/>
  <c r="Y244" i="3"/>
  <c r="S244" i="3"/>
  <c r="T244" i="3" s="1"/>
  <c r="L244" i="3"/>
  <c r="M244" i="3" s="1"/>
  <c r="Y243" i="3"/>
  <c r="S243" i="3"/>
  <c r="T243" i="3" s="1"/>
  <c r="L243" i="3"/>
  <c r="M243" i="3" s="1"/>
  <c r="Y242" i="3"/>
  <c r="S242" i="3"/>
  <c r="T242" i="3" s="1"/>
  <c r="L242" i="3"/>
  <c r="M242" i="3" s="1"/>
  <c r="Y241" i="3"/>
  <c r="S241" i="3"/>
  <c r="T241" i="3" s="1"/>
  <c r="L241" i="3"/>
  <c r="M241" i="3" s="1"/>
  <c r="Y240" i="3"/>
  <c r="S240" i="3"/>
  <c r="T240" i="3" s="1"/>
  <c r="L240" i="3"/>
  <c r="M240" i="3" s="1"/>
  <c r="Y239" i="3"/>
  <c r="T239" i="3"/>
  <c r="S239" i="3"/>
  <c r="L239" i="3"/>
  <c r="M239" i="3" s="1"/>
  <c r="Y238" i="3"/>
  <c r="S238" i="3"/>
  <c r="T238" i="3" s="1"/>
  <c r="L238" i="3"/>
  <c r="M238" i="3" s="1"/>
  <c r="Y237" i="3"/>
  <c r="S237" i="3"/>
  <c r="T237" i="3" s="1"/>
  <c r="L237" i="3"/>
  <c r="M237" i="3" s="1"/>
  <c r="Y236" i="3"/>
  <c r="S236" i="3"/>
  <c r="T236" i="3" s="1"/>
  <c r="L236" i="3"/>
  <c r="M236" i="3" s="1"/>
  <c r="Y235" i="3"/>
  <c r="S235" i="3"/>
  <c r="T235" i="3" s="1"/>
  <c r="L235" i="3"/>
  <c r="M235" i="3" s="1"/>
  <c r="Y234" i="3"/>
  <c r="S234" i="3"/>
  <c r="T234" i="3" s="1"/>
  <c r="M234" i="3"/>
  <c r="L234" i="3"/>
  <c r="Y233" i="3"/>
  <c r="S233" i="3"/>
  <c r="T233" i="3" s="1"/>
  <c r="M233" i="3"/>
  <c r="L233" i="3"/>
  <c r="Y232" i="3"/>
  <c r="S232" i="3"/>
  <c r="T232" i="3" s="1"/>
  <c r="L232" i="3"/>
  <c r="M232" i="3" s="1"/>
  <c r="Y231" i="3"/>
  <c r="S231" i="3"/>
  <c r="T231" i="3" s="1"/>
  <c r="L231" i="3"/>
  <c r="M231" i="3" s="1"/>
  <c r="Y230" i="3"/>
  <c r="S230" i="3"/>
  <c r="T230" i="3" s="1"/>
  <c r="L230" i="3"/>
  <c r="M230" i="3" s="1"/>
  <c r="Y229" i="3"/>
  <c r="S229" i="3"/>
  <c r="T229" i="3" s="1"/>
  <c r="L229" i="3"/>
  <c r="M229" i="3" s="1"/>
  <c r="Y228" i="3"/>
  <c r="S228" i="3"/>
  <c r="T228" i="3" s="1"/>
  <c r="L228" i="3"/>
  <c r="M228" i="3" s="1"/>
  <c r="Y227" i="3"/>
  <c r="S227" i="3"/>
  <c r="T227" i="3" s="1"/>
  <c r="L227" i="3"/>
  <c r="M227" i="3" s="1"/>
  <c r="Y226" i="3"/>
  <c r="T226" i="3"/>
  <c r="S226" i="3"/>
  <c r="L226" i="3"/>
  <c r="M226" i="3" s="1"/>
  <c r="Y225" i="3"/>
  <c r="S225" i="3"/>
  <c r="T225" i="3" s="1"/>
  <c r="M225" i="3"/>
  <c r="L225" i="3"/>
  <c r="Y224" i="3"/>
  <c r="T224" i="3"/>
  <c r="S224" i="3"/>
  <c r="L224" i="3"/>
  <c r="M224" i="3" s="1"/>
  <c r="Y223" i="3"/>
  <c r="S223" i="3"/>
  <c r="T223" i="3" s="1"/>
  <c r="L223" i="3"/>
  <c r="M223" i="3" s="1"/>
  <c r="Y222" i="3"/>
  <c r="S222" i="3"/>
  <c r="T222" i="3" s="1"/>
  <c r="L222" i="3"/>
  <c r="M222" i="3" s="1"/>
  <c r="Y221" i="3"/>
  <c r="S221" i="3"/>
  <c r="T221" i="3" s="1"/>
  <c r="L221" i="3"/>
  <c r="M221" i="3" s="1"/>
  <c r="Y220" i="3"/>
  <c r="S220" i="3"/>
  <c r="T220" i="3" s="1"/>
  <c r="L220" i="3"/>
  <c r="M220" i="3" s="1"/>
  <c r="Y219" i="3"/>
  <c r="S219" i="3"/>
  <c r="T219" i="3" s="1"/>
  <c r="L219" i="3"/>
  <c r="M219" i="3" s="1"/>
  <c r="Y218" i="3"/>
  <c r="S218" i="3"/>
  <c r="T218" i="3" s="1"/>
  <c r="L218" i="3"/>
  <c r="M218" i="3" s="1"/>
  <c r="Y217" i="3"/>
  <c r="S217" i="3"/>
  <c r="T217" i="3" s="1"/>
  <c r="L217" i="3"/>
  <c r="M217" i="3" s="1"/>
  <c r="Y216" i="3"/>
  <c r="S216" i="3"/>
  <c r="T216" i="3" s="1"/>
  <c r="L216" i="3"/>
  <c r="M216" i="3" s="1"/>
  <c r="Y215" i="3"/>
  <c r="S215" i="3"/>
  <c r="T215" i="3" s="1"/>
  <c r="M215" i="3"/>
  <c r="L215" i="3"/>
  <c r="Y214" i="3"/>
  <c r="S214" i="3"/>
  <c r="T214" i="3" s="1"/>
  <c r="L214" i="3"/>
  <c r="M214" i="3" s="1"/>
  <c r="Y213" i="3"/>
  <c r="S213" i="3"/>
  <c r="T213" i="3" s="1"/>
  <c r="M213" i="3"/>
  <c r="L213" i="3"/>
  <c r="Y212" i="3"/>
  <c r="S212" i="3"/>
  <c r="T212" i="3" s="1"/>
  <c r="L212" i="3"/>
  <c r="M212" i="3" s="1"/>
  <c r="Y211" i="3"/>
  <c r="T211" i="3"/>
  <c r="S211" i="3"/>
  <c r="L211" i="3"/>
  <c r="M211" i="3" s="1"/>
  <c r="Y210" i="3"/>
  <c r="S210" i="3"/>
  <c r="T210" i="3" s="1"/>
  <c r="M210" i="3"/>
  <c r="L210" i="3"/>
  <c r="Y209" i="3"/>
  <c r="S209" i="3"/>
  <c r="T209" i="3" s="1"/>
  <c r="L209" i="3"/>
  <c r="M209" i="3" s="1"/>
  <c r="Y208" i="3"/>
  <c r="T208" i="3"/>
  <c r="S208" i="3"/>
  <c r="L208" i="3"/>
  <c r="M208" i="3" s="1"/>
  <c r="Y207" i="3"/>
  <c r="S207" i="3"/>
  <c r="T207" i="3" s="1"/>
  <c r="L207" i="3"/>
  <c r="M207" i="3" s="1"/>
  <c r="Y206" i="3"/>
  <c r="S206" i="3"/>
  <c r="T206" i="3" s="1"/>
  <c r="L206" i="3"/>
  <c r="M206" i="3" s="1"/>
  <c r="Y205" i="3"/>
  <c r="S205" i="3"/>
  <c r="T205" i="3" s="1"/>
  <c r="L205" i="3"/>
  <c r="M205" i="3" s="1"/>
  <c r="Y204" i="3"/>
  <c r="S204" i="3"/>
  <c r="T204" i="3" s="1"/>
  <c r="L204" i="3"/>
  <c r="M204" i="3" s="1"/>
  <c r="Y203" i="3"/>
  <c r="S203" i="3"/>
  <c r="T203" i="3" s="1"/>
  <c r="L203" i="3"/>
  <c r="M203" i="3" s="1"/>
  <c r="Y202" i="3"/>
  <c r="T202" i="3"/>
  <c r="S202" i="3"/>
  <c r="L202" i="3"/>
  <c r="M202" i="3" s="1"/>
  <c r="Y201" i="3"/>
  <c r="S201" i="3"/>
  <c r="T201" i="3" s="1"/>
  <c r="L201" i="3"/>
  <c r="M201" i="3" s="1"/>
  <c r="Y200" i="3"/>
  <c r="T200" i="3"/>
  <c r="S200" i="3"/>
  <c r="L200" i="3"/>
  <c r="M200" i="3" s="1"/>
  <c r="Y199" i="3"/>
  <c r="S199" i="3"/>
  <c r="T199" i="3" s="1"/>
  <c r="L199" i="3"/>
  <c r="M199" i="3" s="1"/>
  <c r="Y198" i="3"/>
  <c r="S198" i="3"/>
  <c r="T198" i="3" s="1"/>
  <c r="L198" i="3"/>
  <c r="M198" i="3" s="1"/>
  <c r="Y197" i="3"/>
  <c r="S197" i="3"/>
  <c r="T197" i="3" s="1"/>
  <c r="L197" i="3"/>
  <c r="M197" i="3" s="1"/>
  <c r="Y196" i="3"/>
  <c r="S196" i="3"/>
  <c r="T196" i="3" s="1"/>
  <c r="L196" i="3"/>
  <c r="M196" i="3" s="1"/>
  <c r="Y195" i="3"/>
  <c r="S195" i="3"/>
  <c r="T195" i="3" s="1"/>
  <c r="L195" i="3"/>
  <c r="M195" i="3" s="1"/>
  <c r="Y194" i="3"/>
  <c r="S194" i="3"/>
  <c r="T194" i="3" s="1"/>
  <c r="L194" i="3"/>
  <c r="M194" i="3" s="1"/>
  <c r="Y193" i="3"/>
  <c r="T193" i="3"/>
  <c r="S193" i="3"/>
  <c r="L193" i="3"/>
  <c r="M193" i="3" s="1"/>
  <c r="Y192" i="3"/>
  <c r="S192" i="3"/>
  <c r="T192" i="3" s="1"/>
  <c r="L192" i="3"/>
  <c r="M192" i="3" s="1"/>
  <c r="Y191" i="3"/>
  <c r="S191" i="3"/>
  <c r="T191" i="3" s="1"/>
  <c r="L191" i="3"/>
  <c r="M191" i="3" s="1"/>
  <c r="Y190" i="3"/>
  <c r="S190" i="3"/>
  <c r="T190" i="3" s="1"/>
  <c r="L190" i="3"/>
  <c r="M190" i="3" s="1"/>
  <c r="Y189" i="3"/>
  <c r="S189" i="3"/>
  <c r="T189" i="3" s="1"/>
  <c r="M189" i="3"/>
  <c r="L189" i="3"/>
  <c r="Y188" i="3"/>
  <c r="S188" i="3"/>
  <c r="T188" i="3" s="1"/>
  <c r="M188" i="3"/>
  <c r="L188" i="3"/>
  <c r="Y187" i="3"/>
  <c r="T187" i="3"/>
  <c r="S187" i="3"/>
  <c r="L187" i="3"/>
  <c r="M187" i="3" s="1"/>
  <c r="Y186" i="3"/>
  <c r="T186" i="3"/>
  <c r="S186" i="3"/>
  <c r="L186" i="3"/>
  <c r="M186" i="3" s="1"/>
  <c r="Y185" i="3"/>
  <c r="S185" i="3"/>
  <c r="T185" i="3" s="1"/>
  <c r="L185" i="3"/>
  <c r="M185" i="3" s="1"/>
  <c r="Y184" i="3"/>
  <c r="S184" i="3"/>
  <c r="T184" i="3" s="1"/>
  <c r="L184" i="3"/>
  <c r="M184" i="3" s="1"/>
  <c r="Y183" i="3"/>
  <c r="S183" i="3"/>
  <c r="T183" i="3" s="1"/>
  <c r="L183" i="3"/>
  <c r="M183" i="3" s="1"/>
  <c r="Y182" i="3"/>
  <c r="T182" i="3"/>
  <c r="S182" i="3"/>
  <c r="M182" i="3"/>
  <c r="L182" i="3"/>
  <c r="Y181" i="3"/>
  <c r="T181" i="3"/>
  <c r="S181" i="3"/>
  <c r="L181" i="3"/>
  <c r="M181" i="3" s="1"/>
  <c r="Y180" i="3"/>
  <c r="S180" i="3"/>
  <c r="T180" i="3" s="1"/>
  <c r="L180" i="3"/>
  <c r="M180" i="3" s="1"/>
  <c r="Y179" i="3"/>
  <c r="T179" i="3"/>
  <c r="S179" i="3"/>
  <c r="M179" i="3"/>
  <c r="L179" i="3"/>
  <c r="Y178" i="3"/>
  <c r="T178" i="3"/>
  <c r="S178" i="3"/>
  <c r="L178" i="3"/>
  <c r="M178" i="3" s="1"/>
  <c r="Y177" i="3"/>
  <c r="S177" i="3"/>
  <c r="T177" i="3" s="1"/>
  <c r="L177" i="3"/>
  <c r="M177" i="3" s="1"/>
  <c r="Y176" i="3"/>
  <c r="T176" i="3"/>
  <c r="S176" i="3"/>
  <c r="M176" i="3"/>
  <c r="L176" i="3"/>
  <c r="Y175" i="3"/>
  <c r="T175" i="3"/>
  <c r="S175" i="3"/>
  <c r="L175" i="3"/>
  <c r="M175" i="3" s="1"/>
  <c r="Y174" i="3"/>
  <c r="S174" i="3"/>
  <c r="T174" i="3" s="1"/>
  <c r="L174" i="3"/>
  <c r="M174" i="3" s="1"/>
  <c r="Y173" i="3"/>
  <c r="S173" i="3"/>
  <c r="T173" i="3" s="1"/>
  <c r="M173" i="3"/>
  <c r="L173" i="3"/>
  <c r="Y172" i="3"/>
  <c r="T172" i="3"/>
  <c r="S172" i="3"/>
  <c r="L172" i="3"/>
  <c r="M172" i="3" s="1"/>
  <c r="Y171" i="3"/>
  <c r="S171" i="3"/>
  <c r="T171" i="3" s="1"/>
  <c r="L171" i="3"/>
  <c r="M171" i="3" s="1"/>
  <c r="Y170" i="3"/>
  <c r="T170" i="3"/>
  <c r="S170" i="3"/>
  <c r="L170" i="3"/>
  <c r="M170" i="3" s="1"/>
  <c r="Y169" i="3"/>
  <c r="S169" i="3"/>
  <c r="T169" i="3" s="1"/>
  <c r="L169" i="3"/>
  <c r="M169" i="3" s="1"/>
  <c r="Y168" i="3"/>
  <c r="S168" i="3"/>
  <c r="T168" i="3" s="1"/>
  <c r="L168" i="3"/>
  <c r="M168" i="3" s="1"/>
  <c r="Y167" i="3"/>
  <c r="S167" i="3"/>
  <c r="T167" i="3" s="1"/>
  <c r="L167" i="3"/>
  <c r="M167" i="3" s="1"/>
  <c r="Y166" i="3"/>
  <c r="S166" i="3"/>
  <c r="T166" i="3" s="1"/>
  <c r="L166" i="3"/>
  <c r="M166" i="3" s="1"/>
  <c r="Y165" i="3"/>
  <c r="S165" i="3"/>
  <c r="T165" i="3" s="1"/>
  <c r="M165" i="3"/>
  <c r="L165" i="3"/>
  <c r="Y164" i="3"/>
  <c r="S164" i="3"/>
  <c r="T164" i="3" s="1"/>
  <c r="M164" i="3"/>
  <c r="L164" i="3"/>
  <c r="Y163" i="3"/>
  <c r="T163" i="3"/>
  <c r="S163" i="3"/>
  <c r="L163" i="3"/>
  <c r="M163" i="3" s="1"/>
  <c r="Y162" i="3"/>
  <c r="T162" i="3"/>
  <c r="S162" i="3"/>
  <c r="L162" i="3"/>
  <c r="M162" i="3" s="1"/>
  <c r="Y161" i="3"/>
  <c r="S161" i="3"/>
  <c r="T161" i="3" s="1"/>
  <c r="L161" i="3"/>
  <c r="M161" i="3" s="1"/>
  <c r="Y160" i="3"/>
  <c r="S160" i="3"/>
  <c r="T160" i="3" s="1"/>
  <c r="L160" i="3"/>
  <c r="M160" i="3" s="1"/>
  <c r="Y159" i="3"/>
  <c r="S159" i="3"/>
  <c r="T159" i="3" s="1"/>
  <c r="L159" i="3"/>
  <c r="M159" i="3" s="1"/>
  <c r="Y158" i="3"/>
  <c r="S158" i="3"/>
  <c r="T158" i="3" s="1"/>
  <c r="L158" i="3"/>
  <c r="M158" i="3" s="1"/>
  <c r="Y157" i="3"/>
  <c r="S157" i="3"/>
  <c r="T157" i="3" s="1"/>
  <c r="L157" i="3"/>
  <c r="M157" i="3" s="1"/>
  <c r="Y156" i="3"/>
  <c r="S156" i="3"/>
  <c r="T156" i="3" s="1"/>
  <c r="L156" i="3"/>
  <c r="M156" i="3" s="1"/>
  <c r="Y155" i="3"/>
  <c r="S155" i="3"/>
  <c r="T155" i="3" s="1"/>
  <c r="M155" i="3"/>
  <c r="L155" i="3"/>
  <c r="Y154" i="3"/>
  <c r="S154" i="3"/>
  <c r="T154" i="3" s="1"/>
  <c r="L154" i="3"/>
  <c r="M154" i="3" s="1"/>
  <c r="Y153" i="3"/>
  <c r="S153" i="3"/>
  <c r="T153" i="3" s="1"/>
  <c r="L153" i="3"/>
  <c r="M153" i="3" s="1"/>
  <c r="Y152" i="3"/>
  <c r="S152" i="3"/>
  <c r="T152" i="3" s="1"/>
  <c r="L152" i="3"/>
  <c r="M152" i="3" s="1"/>
  <c r="Y151" i="3"/>
  <c r="S151" i="3"/>
  <c r="T151" i="3" s="1"/>
  <c r="L151" i="3"/>
  <c r="M151" i="3" s="1"/>
  <c r="Y150" i="3"/>
  <c r="S150" i="3"/>
  <c r="T150" i="3" s="1"/>
  <c r="M150" i="3"/>
  <c r="L150" i="3"/>
  <c r="Y149" i="3"/>
  <c r="S149" i="3"/>
  <c r="T149" i="3" s="1"/>
  <c r="L149" i="3"/>
  <c r="M149" i="3" s="1"/>
  <c r="Y148" i="3"/>
  <c r="S148" i="3"/>
  <c r="T148" i="3" s="1"/>
  <c r="L148" i="3"/>
  <c r="M148" i="3" s="1"/>
  <c r="Y147" i="3"/>
  <c r="S147" i="3"/>
  <c r="T147" i="3" s="1"/>
  <c r="L147" i="3"/>
  <c r="M147" i="3" s="1"/>
  <c r="Y146" i="3"/>
  <c r="S146" i="3"/>
  <c r="T146" i="3" s="1"/>
  <c r="L146" i="3"/>
  <c r="M146" i="3" s="1"/>
  <c r="Y145" i="3"/>
  <c r="T145" i="3"/>
  <c r="S145" i="3"/>
  <c r="L145" i="3"/>
  <c r="M145" i="3" s="1"/>
  <c r="Y144" i="3"/>
  <c r="S144" i="3"/>
  <c r="T144" i="3" s="1"/>
  <c r="L144" i="3"/>
  <c r="M144" i="3" s="1"/>
  <c r="Y143" i="3"/>
  <c r="S143" i="3"/>
  <c r="T143" i="3" s="1"/>
  <c r="M143" i="3"/>
  <c r="L143" i="3"/>
  <c r="Y142" i="3"/>
  <c r="T142" i="3"/>
  <c r="S142" i="3"/>
  <c r="L142" i="3"/>
  <c r="M142" i="3" s="1"/>
  <c r="Y141" i="3"/>
  <c r="S141" i="3"/>
  <c r="T141" i="3" s="1"/>
  <c r="L141" i="3"/>
  <c r="M141" i="3" s="1"/>
  <c r="Y140" i="3"/>
  <c r="S140" i="3"/>
  <c r="T140" i="3" s="1"/>
  <c r="L140" i="3"/>
  <c r="M140" i="3" s="1"/>
  <c r="Y139" i="3"/>
  <c r="S139" i="3"/>
  <c r="T139" i="3" s="1"/>
  <c r="L139" i="3"/>
  <c r="M139" i="3" s="1"/>
  <c r="Y138" i="3"/>
  <c r="S138" i="3"/>
  <c r="T138" i="3" s="1"/>
  <c r="L138" i="3"/>
  <c r="M138" i="3" s="1"/>
  <c r="Y137" i="3"/>
  <c r="S137" i="3"/>
  <c r="T137" i="3" s="1"/>
  <c r="L137" i="3"/>
  <c r="M137" i="3" s="1"/>
  <c r="Y136" i="3"/>
  <c r="S136" i="3"/>
  <c r="T136" i="3" s="1"/>
  <c r="L136" i="3"/>
  <c r="M136" i="3" s="1"/>
  <c r="Y135" i="3"/>
  <c r="S135" i="3"/>
  <c r="T135" i="3" s="1"/>
  <c r="L135" i="3"/>
  <c r="M135" i="3" s="1"/>
  <c r="Y134" i="3"/>
  <c r="S134" i="3"/>
  <c r="T134" i="3" s="1"/>
  <c r="L134" i="3"/>
  <c r="M134" i="3" s="1"/>
  <c r="Y133" i="3"/>
  <c r="T133" i="3"/>
  <c r="S133" i="3"/>
  <c r="L133" i="3"/>
  <c r="M133" i="3" s="1"/>
  <c r="Y132" i="3"/>
  <c r="T132" i="3"/>
  <c r="S132" i="3"/>
  <c r="L132" i="3"/>
  <c r="M132" i="3" s="1"/>
  <c r="Y131" i="3"/>
  <c r="T131" i="3"/>
  <c r="S131" i="3"/>
  <c r="L131" i="3"/>
  <c r="M131" i="3" s="1"/>
  <c r="Y130" i="3"/>
  <c r="T130" i="3"/>
  <c r="S130" i="3"/>
  <c r="L130" i="3"/>
  <c r="M130" i="3" s="1"/>
  <c r="Y129" i="3"/>
  <c r="T129" i="3"/>
  <c r="S129" i="3"/>
  <c r="L129" i="3"/>
  <c r="M129" i="3" s="1"/>
  <c r="Y128" i="3"/>
  <c r="T128" i="3"/>
  <c r="S128" i="3"/>
  <c r="L128" i="3"/>
  <c r="M128" i="3" s="1"/>
  <c r="Y127" i="3"/>
  <c r="S127" i="3"/>
  <c r="T127" i="3" s="1"/>
  <c r="L127" i="3"/>
  <c r="M127" i="3" s="1"/>
  <c r="Y126" i="3"/>
  <c r="S126" i="3"/>
  <c r="T126" i="3" s="1"/>
  <c r="L126" i="3"/>
  <c r="M126" i="3" s="1"/>
  <c r="Y125" i="3"/>
  <c r="S125" i="3"/>
  <c r="T125" i="3" s="1"/>
  <c r="L125" i="3"/>
  <c r="M125" i="3" s="1"/>
  <c r="Y124" i="3"/>
  <c r="T124" i="3"/>
  <c r="S124" i="3"/>
  <c r="M124" i="3"/>
  <c r="L124" i="3"/>
  <c r="Y123" i="3"/>
  <c r="S123" i="3"/>
  <c r="T123" i="3" s="1"/>
  <c r="L123" i="3"/>
  <c r="M123" i="3" s="1"/>
  <c r="Y122" i="3"/>
  <c r="S122" i="3"/>
  <c r="T122" i="3" s="1"/>
  <c r="L122" i="3"/>
  <c r="M122" i="3" s="1"/>
  <c r="Y121" i="3"/>
  <c r="S121" i="3"/>
  <c r="T121" i="3" s="1"/>
  <c r="L121" i="3"/>
  <c r="M121" i="3" s="1"/>
  <c r="Y120" i="3"/>
  <c r="S120" i="3"/>
  <c r="T120" i="3" s="1"/>
  <c r="M120" i="3"/>
  <c r="L120" i="3"/>
  <c r="Y119" i="3"/>
  <c r="T119" i="3"/>
  <c r="S119" i="3"/>
  <c r="L119" i="3"/>
  <c r="M119" i="3" s="1"/>
  <c r="Y118" i="3"/>
  <c r="T118" i="3"/>
  <c r="S118" i="3"/>
  <c r="L118" i="3"/>
  <c r="M118" i="3" s="1"/>
  <c r="Y117" i="3"/>
  <c r="S117" i="3"/>
  <c r="T117" i="3" s="1"/>
  <c r="M117" i="3"/>
  <c r="L117" i="3"/>
  <c r="Y116" i="3"/>
  <c r="S116" i="3"/>
  <c r="T116" i="3" s="1"/>
  <c r="M116" i="3"/>
  <c r="L116" i="3"/>
  <c r="Y115" i="3"/>
  <c r="S115" i="3"/>
  <c r="T115" i="3" s="1"/>
  <c r="L115" i="3"/>
  <c r="M115" i="3" s="1"/>
  <c r="Y114" i="3"/>
  <c r="S114" i="3"/>
  <c r="T114" i="3" s="1"/>
  <c r="L114" i="3"/>
  <c r="M114" i="3" s="1"/>
  <c r="Y113" i="3"/>
  <c r="S113" i="3"/>
  <c r="T113" i="3" s="1"/>
  <c r="L113" i="3"/>
  <c r="M113" i="3" s="1"/>
  <c r="Y112" i="3"/>
  <c r="S112" i="3"/>
  <c r="T112" i="3" s="1"/>
  <c r="M112" i="3"/>
  <c r="L112" i="3"/>
  <c r="Y111" i="3"/>
  <c r="S111" i="3"/>
  <c r="T111" i="3" s="1"/>
  <c r="L111" i="3"/>
  <c r="M111" i="3" s="1"/>
  <c r="Y110" i="3"/>
  <c r="S110" i="3"/>
  <c r="T110" i="3" s="1"/>
  <c r="L110" i="3"/>
  <c r="M110" i="3" s="1"/>
  <c r="Y109" i="3"/>
  <c r="T109" i="3"/>
  <c r="S109" i="3"/>
  <c r="L109" i="3"/>
  <c r="M109" i="3" s="1"/>
  <c r="Y108" i="3"/>
  <c r="S108" i="3"/>
  <c r="T108" i="3" s="1"/>
  <c r="M108" i="3"/>
  <c r="L108" i="3"/>
  <c r="Y107" i="3"/>
  <c r="S107" i="3"/>
  <c r="T107" i="3" s="1"/>
  <c r="L107" i="3"/>
  <c r="M107" i="3" s="1"/>
  <c r="Y106" i="3"/>
  <c r="T106" i="3"/>
  <c r="S106" i="3"/>
  <c r="M106" i="3"/>
  <c r="L106" i="3"/>
  <c r="Y105" i="3"/>
  <c r="S105" i="3"/>
  <c r="T105" i="3" s="1"/>
  <c r="L105" i="3"/>
  <c r="M105" i="3" s="1"/>
  <c r="Y104" i="3"/>
  <c r="S104" i="3"/>
  <c r="T104" i="3" s="1"/>
  <c r="L104" i="3"/>
  <c r="M104" i="3" s="1"/>
  <c r="Y103" i="3"/>
  <c r="S103" i="3"/>
  <c r="T103" i="3" s="1"/>
  <c r="M103" i="3"/>
  <c r="L103" i="3"/>
  <c r="Y102" i="3"/>
  <c r="S102" i="3"/>
  <c r="T102" i="3" s="1"/>
  <c r="L102" i="3"/>
  <c r="M102" i="3" s="1"/>
  <c r="Y101" i="3"/>
  <c r="S101" i="3"/>
  <c r="T101" i="3" s="1"/>
  <c r="L101" i="3"/>
  <c r="M101" i="3" s="1"/>
  <c r="Y100" i="3"/>
  <c r="T100" i="3"/>
  <c r="S100" i="3"/>
  <c r="L100" i="3"/>
  <c r="M100" i="3" s="1"/>
  <c r="Y99" i="3"/>
  <c r="T99" i="3"/>
  <c r="S99" i="3"/>
  <c r="L99" i="3"/>
  <c r="M99" i="3" s="1"/>
  <c r="Y98" i="3"/>
  <c r="S98" i="3"/>
  <c r="T98" i="3" s="1"/>
  <c r="L98" i="3"/>
  <c r="M98" i="3" s="1"/>
  <c r="Y97" i="3"/>
  <c r="S97" i="3"/>
  <c r="T97" i="3" s="1"/>
  <c r="M97" i="3"/>
  <c r="L97" i="3"/>
  <c r="Y96" i="3"/>
  <c r="S96" i="3"/>
  <c r="T96" i="3" s="1"/>
  <c r="L96" i="3"/>
  <c r="M96" i="3" s="1"/>
  <c r="Y95" i="3"/>
  <c r="S95" i="3"/>
  <c r="T95" i="3" s="1"/>
  <c r="L95" i="3"/>
  <c r="M95" i="3" s="1"/>
  <c r="Y94" i="3"/>
  <c r="S94" i="3"/>
  <c r="T94" i="3" s="1"/>
  <c r="L94" i="3"/>
  <c r="M94" i="3" s="1"/>
  <c r="Y93" i="3"/>
  <c r="S93" i="3"/>
  <c r="T93" i="3" s="1"/>
  <c r="L93" i="3"/>
  <c r="M93" i="3" s="1"/>
  <c r="Y92" i="3"/>
  <c r="S92" i="3"/>
  <c r="T92" i="3" s="1"/>
  <c r="L92" i="3"/>
  <c r="M92" i="3" s="1"/>
  <c r="Y91" i="3"/>
  <c r="S91" i="3"/>
  <c r="T91" i="3" s="1"/>
  <c r="L91" i="3"/>
  <c r="M91" i="3" s="1"/>
  <c r="Y90" i="3"/>
  <c r="S90" i="3"/>
  <c r="T90" i="3" s="1"/>
  <c r="L90" i="3"/>
  <c r="M90" i="3" s="1"/>
  <c r="Y89" i="3"/>
  <c r="S89" i="3"/>
  <c r="T89" i="3" s="1"/>
  <c r="M89" i="3"/>
  <c r="L89" i="3"/>
  <c r="Y88" i="3"/>
  <c r="S88" i="3"/>
  <c r="T88" i="3" s="1"/>
  <c r="L88" i="3"/>
  <c r="M88" i="3" s="1"/>
  <c r="Y87" i="3"/>
  <c r="T87" i="3"/>
  <c r="S87" i="3"/>
  <c r="L87" i="3"/>
  <c r="M87" i="3" s="1"/>
  <c r="Y86" i="3"/>
  <c r="S86" i="3"/>
  <c r="T86" i="3" s="1"/>
  <c r="M86" i="3"/>
  <c r="L86" i="3"/>
  <c r="Y85" i="3"/>
  <c r="S85" i="3"/>
  <c r="T85" i="3" s="1"/>
  <c r="L85" i="3"/>
  <c r="M85" i="3" s="1"/>
  <c r="Y84" i="3"/>
  <c r="S84" i="3"/>
  <c r="T84" i="3" s="1"/>
  <c r="L84" i="3"/>
  <c r="M84" i="3" s="1"/>
  <c r="Y83" i="3"/>
  <c r="T83" i="3"/>
  <c r="S83" i="3"/>
  <c r="L83" i="3"/>
  <c r="M83" i="3" s="1"/>
  <c r="Y82" i="3"/>
  <c r="T82" i="3"/>
  <c r="S82" i="3"/>
  <c r="L82" i="3"/>
  <c r="M82" i="3" s="1"/>
  <c r="Y81" i="3"/>
  <c r="T81" i="3"/>
  <c r="S81" i="3"/>
  <c r="L81" i="3"/>
  <c r="M81" i="3" s="1"/>
  <c r="Y80" i="3"/>
  <c r="S80" i="3"/>
  <c r="T80" i="3" s="1"/>
  <c r="L80" i="3"/>
  <c r="M80" i="3" s="1"/>
  <c r="Y79" i="3"/>
  <c r="T79" i="3"/>
  <c r="S79" i="3"/>
  <c r="L79" i="3"/>
  <c r="M79" i="3" s="1"/>
  <c r="Y78" i="3"/>
  <c r="S78" i="3"/>
  <c r="T78" i="3" s="1"/>
  <c r="L78" i="3"/>
  <c r="M78" i="3" s="1"/>
  <c r="Y77" i="3"/>
  <c r="S77" i="3"/>
  <c r="T77" i="3" s="1"/>
  <c r="L77" i="3"/>
  <c r="M77" i="3" s="1"/>
  <c r="Y76" i="3"/>
  <c r="T76" i="3"/>
  <c r="S76" i="3"/>
  <c r="L76" i="3"/>
  <c r="M76" i="3" s="1"/>
  <c r="Y75" i="3"/>
  <c r="T75" i="3"/>
  <c r="S75" i="3"/>
  <c r="L75" i="3"/>
  <c r="M75" i="3" s="1"/>
  <c r="Y74" i="3"/>
  <c r="S74" i="3"/>
  <c r="T74" i="3" s="1"/>
  <c r="L74" i="3"/>
  <c r="M74" i="3" s="1"/>
  <c r="Y73" i="3"/>
  <c r="S73" i="3"/>
  <c r="T73" i="3" s="1"/>
  <c r="L73" i="3"/>
  <c r="M73" i="3" s="1"/>
  <c r="Y72" i="3"/>
  <c r="S72" i="3"/>
  <c r="T72" i="3" s="1"/>
  <c r="L72" i="3"/>
  <c r="M72" i="3" s="1"/>
  <c r="Y71" i="3"/>
  <c r="T71" i="3"/>
  <c r="S71" i="3"/>
  <c r="L71" i="3"/>
  <c r="M71" i="3" s="1"/>
  <c r="Y70" i="3"/>
  <c r="S70" i="3"/>
  <c r="T70" i="3" s="1"/>
  <c r="L70" i="3"/>
  <c r="M70" i="3" s="1"/>
  <c r="Y69" i="3"/>
  <c r="S69" i="3"/>
  <c r="T69" i="3" s="1"/>
  <c r="M69" i="3"/>
  <c r="L69" i="3"/>
  <c r="Y68" i="3"/>
  <c r="S68" i="3"/>
  <c r="T68" i="3" s="1"/>
  <c r="L68" i="3"/>
  <c r="M68" i="3" s="1"/>
  <c r="Y67" i="3"/>
  <c r="T67" i="3"/>
  <c r="S67" i="3"/>
  <c r="L67" i="3"/>
  <c r="M67" i="3" s="1"/>
  <c r="Y66" i="3"/>
  <c r="S66" i="3"/>
  <c r="T66" i="3" s="1"/>
  <c r="L66" i="3"/>
  <c r="M66" i="3" s="1"/>
  <c r="Y65" i="3"/>
  <c r="S65" i="3"/>
  <c r="T65" i="3" s="1"/>
  <c r="L65" i="3"/>
  <c r="M65" i="3" s="1"/>
  <c r="Y64" i="3"/>
  <c r="T64" i="3"/>
  <c r="S64" i="3"/>
  <c r="L64" i="3"/>
  <c r="M64" i="3" s="1"/>
  <c r="Y63" i="3"/>
  <c r="S63" i="3"/>
  <c r="T63" i="3" s="1"/>
  <c r="L63" i="3"/>
  <c r="M63" i="3" s="1"/>
  <c r="Y62" i="3"/>
  <c r="S62" i="3"/>
  <c r="T62" i="3" s="1"/>
  <c r="L62" i="3"/>
  <c r="M62" i="3" s="1"/>
  <c r="Y61" i="3"/>
  <c r="S61" i="3"/>
  <c r="T61" i="3" s="1"/>
  <c r="M61" i="3"/>
  <c r="L61" i="3"/>
  <c r="Y60" i="3"/>
  <c r="S60" i="3"/>
  <c r="T60" i="3" s="1"/>
  <c r="L60" i="3"/>
  <c r="M60" i="3" s="1"/>
  <c r="Y59" i="3"/>
  <c r="S59" i="3"/>
  <c r="T59" i="3" s="1"/>
  <c r="L59" i="3"/>
  <c r="M59" i="3" s="1"/>
  <c r="Y58" i="3"/>
  <c r="S58" i="3"/>
  <c r="T58" i="3" s="1"/>
  <c r="L58" i="3"/>
  <c r="M58" i="3" s="1"/>
  <c r="Y57" i="3"/>
  <c r="S57" i="3"/>
  <c r="T57" i="3" s="1"/>
  <c r="L57" i="3"/>
  <c r="M57" i="3" s="1"/>
  <c r="Y56" i="3"/>
  <c r="S56" i="3"/>
  <c r="T56" i="3" s="1"/>
  <c r="M56" i="3"/>
  <c r="L56" i="3"/>
  <c r="Y55" i="3"/>
  <c r="S55" i="3"/>
  <c r="T55" i="3" s="1"/>
  <c r="M55" i="3"/>
  <c r="L55" i="3"/>
  <c r="Y54" i="3"/>
  <c r="S54" i="3"/>
  <c r="T54" i="3" s="1"/>
  <c r="L54" i="3"/>
  <c r="M54" i="3" s="1"/>
  <c r="Y53" i="3"/>
  <c r="S53" i="3"/>
  <c r="T53" i="3" s="1"/>
  <c r="M53" i="3"/>
  <c r="L53" i="3"/>
  <c r="Y52" i="3"/>
  <c r="S52" i="3"/>
  <c r="T52" i="3" s="1"/>
  <c r="L52" i="3"/>
  <c r="M52" i="3" s="1"/>
  <c r="Y51" i="3"/>
  <c r="S51" i="3"/>
  <c r="T51" i="3" s="1"/>
  <c r="L51" i="3"/>
  <c r="M51" i="3" s="1"/>
  <c r="Y50" i="3"/>
  <c r="S50" i="3"/>
  <c r="T50" i="3" s="1"/>
  <c r="M50" i="3"/>
  <c r="L50" i="3"/>
  <c r="Y49" i="3"/>
  <c r="S49" i="3"/>
  <c r="T49" i="3" s="1"/>
  <c r="M49" i="3"/>
  <c r="L49" i="3"/>
  <c r="Y48" i="3"/>
  <c r="S48" i="3"/>
  <c r="T48" i="3" s="1"/>
  <c r="L48" i="3"/>
  <c r="M48" i="3" s="1"/>
  <c r="Y47" i="3"/>
  <c r="T47" i="3"/>
  <c r="S47" i="3"/>
  <c r="L47" i="3"/>
  <c r="M47" i="3" s="1"/>
  <c r="Y46" i="3"/>
  <c r="S46" i="3"/>
  <c r="T46" i="3" s="1"/>
  <c r="L46" i="3"/>
  <c r="M46" i="3" s="1"/>
  <c r="Y45" i="3"/>
  <c r="T45" i="3"/>
  <c r="S45" i="3"/>
  <c r="L45" i="3"/>
  <c r="M45" i="3" s="1"/>
  <c r="Y44" i="3"/>
  <c r="S44" i="3"/>
  <c r="T44" i="3" s="1"/>
  <c r="L44" i="3"/>
  <c r="M44" i="3" s="1"/>
  <c r="Y43" i="3"/>
  <c r="T43" i="3"/>
  <c r="S43" i="3"/>
  <c r="M43" i="3"/>
  <c r="L43" i="3"/>
  <c r="Y42" i="3"/>
  <c r="S42" i="3"/>
  <c r="T42" i="3" s="1"/>
  <c r="L42" i="3"/>
  <c r="M42" i="3" s="1"/>
  <c r="Y41" i="3"/>
  <c r="S41" i="3"/>
  <c r="T41" i="3" s="1"/>
  <c r="L41" i="3"/>
  <c r="M41" i="3" s="1"/>
  <c r="Y40" i="3"/>
  <c r="T40" i="3"/>
  <c r="S40" i="3"/>
  <c r="L40" i="3"/>
  <c r="M40" i="3" s="1"/>
  <c r="Y39" i="3"/>
  <c r="S39" i="3"/>
  <c r="T39" i="3" s="1"/>
  <c r="L39" i="3"/>
  <c r="M39" i="3" s="1"/>
  <c r="Y38" i="3"/>
  <c r="S38" i="3"/>
  <c r="T38" i="3" s="1"/>
  <c r="L38" i="3"/>
  <c r="M38" i="3" s="1"/>
  <c r="Y37" i="3"/>
  <c r="S37" i="3"/>
  <c r="T37" i="3" s="1"/>
  <c r="L37" i="3"/>
  <c r="M37" i="3" s="1"/>
  <c r="Y36" i="3"/>
  <c r="S36" i="3"/>
  <c r="T36" i="3" s="1"/>
  <c r="L36" i="3"/>
  <c r="M36" i="3" s="1"/>
  <c r="Y35" i="3"/>
  <c r="T35" i="3"/>
  <c r="S35" i="3"/>
  <c r="L35" i="3"/>
  <c r="M35" i="3" s="1"/>
  <c r="Y34" i="3"/>
  <c r="S34" i="3"/>
  <c r="T34" i="3" s="1"/>
  <c r="L34" i="3"/>
  <c r="M34" i="3" s="1"/>
  <c r="Y33" i="3"/>
  <c r="T33" i="3"/>
  <c r="S33" i="3"/>
  <c r="L33" i="3"/>
  <c r="M33" i="3" s="1"/>
  <c r="Y32" i="3"/>
  <c r="S32" i="3"/>
  <c r="T32" i="3" s="1"/>
  <c r="M32" i="3"/>
  <c r="L32" i="3"/>
  <c r="Y31" i="3"/>
  <c r="S31" i="3"/>
  <c r="T31" i="3" s="1"/>
  <c r="L31" i="3"/>
  <c r="M31" i="3" s="1"/>
  <c r="Y30" i="3"/>
  <c r="S30" i="3"/>
  <c r="T30" i="3" s="1"/>
  <c r="L30" i="3"/>
  <c r="M30" i="3" s="1"/>
  <c r="Y29" i="3"/>
  <c r="S29" i="3"/>
  <c r="T29" i="3" s="1"/>
  <c r="M29" i="3"/>
  <c r="L29" i="3"/>
  <c r="Y28" i="3"/>
  <c r="S28" i="3"/>
  <c r="T28" i="3" s="1"/>
  <c r="L28" i="3"/>
  <c r="M28" i="3" s="1"/>
  <c r="Y27" i="3"/>
  <c r="T27" i="3"/>
  <c r="S27" i="3"/>
  <c r="L27" i="3"/>
  <c r="M27" i="3" s="1"/>
  <c r="Y26" i="3"/>
  <c r="S26" i="3"/>
  <c r="T26" i="3" s="1"/>
  <c r="M26" i="3"/>
  <c r="L26" i="3"/>
  <c r="Y25" i="3"/>
  <c r="S25" i="3"/>
  <c r="T25" i="3" s="1"/>
  <c r="M25" i="3"/>
  <c r="L25" i="3"/>
  <c r="Y24" i="3"/>
  <c r="S24" i="3"/>
  <c r="T24" i="3" s="1"/>
  <c r="L24" i="3"/>
  <c r="M24" i="3" s="1"/>
  <c r="Y23" i="3"/>
  <c r="S23" i="3"/>
  <c r="T23" i="3" s="1"/>
  <c r="L23" i="3"/>
  <c r="M23" i="3" s="1"/>
  <c r="Y22" i="3"/>
  <c r="S22" i="3"/>
  <c r="T22" i="3" s="1"/>
  <c r="L22" i="3"/>
  <c r="M22" i="3" s="1"/>
  <c r="Y21" i="3"/>
  <c r="S21" i="3"/>
  <c r="T21" i="3" s="1"/>
  <c r="M21" i="3"/>
  <c r="L21" i="3"/>
  <c r="Y20" i="3"/>
  <c r="S20" i="3"/>
  <c r="T20" i="3" s="1"/>
  <c r="M20" i="3"/>
  <c r="L20" i="3"/>
  <c r="Y19" i="3"/>
  <c r="T19" i="3"/>
  <c r="S19" i="3"/>
  <c r="M19" i="3"/>
  <c r="L19" i="3"/>
  <c r="Y18" i="3"/>
  <c r="S18" i="3"/>
  <c r="L18" i="3"/>
  <c r="M18" i="3" s="1"/>
  <c r="Y17" i="3"/>
  <c r="S17" i="3"/>
  <c r="T17" i="3" s="1"/>
  <c r="M17" i="3"/>
  <c r="L17" i="3"/>
  <c r="Y16" i="3"/>
  <c r="T16" i="3"/>
  <c r="S16" i="3"/>
  <c r="L16" i="3"/>
  <c r="M16" i="3" s="1"/>
  <c r="Y15" i="3"/>
  <c r="T15" i="3"/>
  <c r="S15" i="3"/>
  <c r="L15" i="3"/>
  <c r="M15" i="3" s="1"/>
  <c r="Y14" i="3"/>
  <c r="S14" i="3"/>
  <c r="T14" i="3" s="1"/>
  <c r="M14" i="3"/>
  <c r="L14" i="3"/>
  <c r="Y13" i="3"/>
  <c r="S13" i="3"/>
  <c r="T13" i="3" s="1"/>
  <c r="L13" i="3"/>
  <c r="M13" i="3" s="1"/>
  <c r="Y12" i="3"/>
  <c r="S12" i="3"/>
  <c r="T12" i="3" s="1"/>
  <c r="L12" i="3"/>
  <c r="Y11" i="3"/>
  <c r="S11" i="3"/>
  <c r="T11" i="3" s="1"/>
  <c r="L11" i="3"/>
  <c r="M11" i="3" s="1"/>
  <c r="Y10" i="3"/>
  <c r="S10" i="3"/>
  <c r="T10" i="3" s="1"/>
  <c r="L10" i="3"/>
  <c r="Y9" i="3"/>
  <c r="T9" i="3"/>
  <c r="S9" i="3"/>
  <c r="M9" i="3"/>
  <c r="L9" i="3"/>
  <c r="Y8" i="3"/>
  <c r="S8" i="3"/>
  <c r="T8" i="3" s="1"/>
  <c r="L8" i="3"/>
  <c r="M8" i="3" s="1"/>
  <c r="Y7" i="3"/>
  <c r="S7" i="3"/>
  <c r="T7" i="3" s="1"/>
  <c r="L7" i="3"/>
  <c r="M7" i="3" s="1"/>
  <c r="Y6" i="3"/>
  <c r="S6" i="3"/>
  <c r="T6" i="3" s="1"/>
  <c r="L6" i="3"/>
  <c r="M6" i="3" s="1"/>
  <c r="Y5" i="3"/>
  <c r="S5" i="3"/>
  <c r="L5" i="3"/>
  <c r="M5" i="3" s="1"/>
  <c r="R3" i="3"/>
  <c r="Q3" i="3"/>
  <c r="P3" i="3"/>
  <c r="O3" i="3"/>
  <c r="N3" i="3"/>
  <c r="K3" i="3"/>
  <c r="J3" i="3"/>
  <c r="I3" i="3"/>
  <c r="H3" i="3"/>
  <c r="G3" i="3"/>
  <c r="A3" i="3"/>
  <c r="R2" i="3"/>
  <c r="Q2" i="3"/>
  <c r="P2" i="3"/>
  <c r="O2" i="3"/>
  <c r="N2" i="3"/>
  <c r="B95" i="5"/>
  <c r="B73" i="5"/>
  <c r="B60" i="5"/>
  <c r="L3" i="3" l="1"/>
  <c r="L2" i="3"/>
  <c r="S2" i="3"/>
  <c r="S3" i="3"/>
  <c r="B9" i="4"/>
  <c r="B8" i="4"/>
  <c r="B5" i="4"/>
  <c r="B7" i="4"/>
  <c r="B6" i="4"/>
  <c r="M12" i="3"/>
  <c r="B19" i="4"/>
  <c r="B17" i="4"/>
  <c r="B66" i="6"/>
  <c r="B65" i="6"/>
  <c r="B12" i="4"/>
  <c r="B2" i="6"/>
  <c r="B11" i="4"/>
  <c r="M10" i="3"/>
  <c r="B16" i="4" s="1"/>
  <c r="B18" i="6"/>
  <c r="B91" i="6"/>
  <c r="C72" i="6"/>
  <c r="B57" i="6"/>
  <c r="B51" i="6"/>
  <c r="B8" i="6"/>
  <c r="B26" i="6"/>
  <c r="B17" i="6"/>
  <c r="B56" i="6"/>
  <c r="B50" i="6"/>
  <c r="B41" i="6"/>
  <c r="B37" i="6"/>
  <c r="B7" i="6"/>
  <c r="B25" i="6"/>
  <c r="B16" i="6"/>
  <c r="B55" i="6"/>
  <c r="B49" i="6"/>
  <c r="B6" i="6"/>
  <c r="D102" i="6"/>
  <c r="D100" i="6"/>
  <c r="B90" i="6"/>
  <c r="D71" i="6"/>
  <c r="B40" i="6"/>
  <c r="B24" i="6"/>
  <c r="B15" i="6"/>
  <c r="B64" i="6"/>
  <c r="B54" i="6"/>
  <c r="B48" i="6"/>
  <c r="B10" i="4"/>
  <c r="B63" i="6"/>
  <c r="B32" i="6"/>
  <c r="B23" i="6"/>
  <c r="B27" i="6" s="1"/>
  <c r="C27" i="6" s="1"/>
  <c r="B62" i="6"/>
  <c r="B53" i="6"/>
  <c r="B47" i="6"/>
  <c r="B39" i="6"/>
  <c r="B10" i="6"/>
  <c r="F91" i="6"/>
  <c r="B31" i="6"/>
  <c r="B52" i="6"/>
  <c r="B46" i="6"/>
  <c r="B9" i="6"/>
  <c r="T5" i="3"/>
  <c r="F93" i="6"/>
  <c r="T18" i="3"/>
  <c r="B72" i="6"/>
  <c r="D101" i="6"/>
  <c r="C101" i="6"/>
  <c r="B101" i="6"/>
  <c r="F101" i="6" s="1"/>
  <c r="E101" i="6"/>
  <c r="F92" i="6"/>
  <c r="B93" i="6"/>
  <c r="E71" i="6"/>
  <c r="E73" i="6" s="1"/>
  <c r="D103" i="6"/>
  <c r="C103" i="6"/>
  <c r="B103" i="6"/>
  <c r="E103" i="6"/>
  <c r="D72" i="6"/>
  <c r="B38" i="6"/>
  <c r="D99" i="6"/>
  <c r="C99" i="6"/>
  <c r="B99" i="6"/>
  <c r="E99" i="6"/>
  <c r="E100" i="6"/>
  <c r="F90" i="6"/>
  <c r="E102" i="6"/>
  <c r="E72" i="6"/>
  <c r="A77" i="6"/>
  <c r="B94" i="6"/>
  <c r="B71" i="6"/>
  <c r="B92" i="6"/>
  <c r="B100" i="6"/>
  <c r="B102" i="6"/>
  <c r="C71" i="6"/>
  <c r="C100" i="6"/>
  <c r="C102" i="6"/>
  <c r="B76" i="6"/>
  <c r="B58" i="6" l="1"/>
  <c r="C58" i="6" s="1"/>
  <c r="E104" i="6"/>
  <c r="F102" i="6"/>
  <c r="A113" i="6" s="1"/>
  <c r="B77" i="5" s="1"/>
  <c r="B94" i="5" s="1"/>
  <c r="F72" i="6"/>
  <c r="E78" i="6" s="1"/>
  <c r="C66" i="6"/>
  <c r="F103" i="6"/>
  <c r="B83" i="5"/>
  <c r="B65" i="5"/>
  <c r="B18" i="4"/>
  <c r="B21" i="4" s="1"/>
  <c r="C73" i="6"/>
  <c r="B104" i="6"/>
  <c r="F99" i="6"/>
  <c r="B20" i="4"/>
  <c r="B19" i="6"/>
  <c r="C19" i="6" s="1"/>
  <c r="C104" i="6"/>
  <c r="F100" i="6"/>
  <c r="D104" i="6"/>
  <c r="B42" i="6"/>
  <c r="C42" i="6" s="1"/>
  <c r="B33" i="6"/>
  <c r="C33" i="6" s="1"/>
  <c r="B82" i="5"/>
  <c r="B64" i="5"/>
  <c r="B86" i="5"/>
  <c r="B63" i="5"/>
  <c r="B61" i="5"/>
  <c r="B81" i="5"/>
  <c r="D73" i="6"/>
  <c r="C91" i="6"/>
  <c r="C57" i="6"/>
  <c r="C51" i="6"/>
  <c r="C8" i="6"/>
  <c r="C26" i="6"/>
  <c r="C17" i="6"/>
  <c r="C93" i="6"/>
  <c r="C56" i="6"/>
  <c r="C50" i="6"/>
  <c r="C41" i="6"/>
  <c r="C37" i="6"/>
  <c r="B71" i="5" s="1"/>
  <c r="B90" i="5" s="1"/>
  <c r="C7" i="6"/>
  <c r="B108" i="6"/>
  <c r="C25" i="6"/>
  <c r="C16" i="6"/>
  <c r="C55" i="6"/>
  <c r="C49" i="6"/>
  <c r="C6" i="6"/>
  <c r="C90" i="6"/>
  <c r="C40" i="6"/>
  <c r="C24" i="6"/>
  <c r="C15" i="6"/>
  <c r="B70" i="5" s="1"/>
  <c r="B89" i="5" s="1"/>
  <c r="C54" i="6"/>
  <c r="C48" i="6"/>
  <c r="C92" i="6"/>
  <c r="C32" i="6"/>
  <c r="C23" i="6"/>
  <c r="C53" i="6"/>
  <c r="C47" i="6"/>
  <c r="C39" i="6"/>
  <c r="C10" i="6"/>
  <c r="C31" i="6"/>
  <c r="B75" i="5" s="1"/>
  <c r="B92" i="5" s="1"/>
  <c r="C94" i="6"/>
  <c r="B82" i="6"/>
  <c r="C52" i="6"/>
  <c r="C46" i="6"/>
  <c r="C9" i="6"/>
  <c r="C38" i="6"/>
  <c r="C18" i="6"/>
  <c r="B68" i="5"/>
  <c r="C64" i="6"/>
  <c r="B72" i="5"/>
  <c r="B91" i="5" s="1"/>
  <c r="B95" i="6"/>
  <c r="C95" i="6" s="1"/>
  <c r="B84" i="5"/>
  <c r="B67" i="5"/>
  <c r="D66" i="6"/>
  <c r="F78" i="6"/>
  <c r="C78" i="6"/>
  <c r="B78" i="6"/>
  <c r="A86" i="6"/>
  <c r="B27" i="4"/>
  <c r="B26" i="4"/>
  <c r="B25" i="4"/>
  <c r="B28" i="4" s="1"/>
  <c r="A112" i="6"/>
  <c r="F71" i="6"/>
  <c r="B73" i="6"/>
  <c r="B11" i="6"/>
  <c r="D78" i="6" l="1"/>
  <c r="B76" i="5"/>
  <c r="B93" i="5" s="1"/>
  <c r="B69" i="5"/>
  <c r="B88" i="5" s="1"/>
  <c r="B85" i="5"/>
  <c r="F73" i="6"/>
  <c r="F77" i="6"/>
  <c r="E77" i="6"/>
  <c r="D77" i="6"/>
  <c r="C77" i="6"/>
  <c r="B77" i="6"/>
  <c r="B87" i="5"/>
  <c r="B62" i="5"/>
  <c r="B66" i="5"/>
  <c r="F104" i="6"/>
  <c r="B109" i="6" l="1"/>
  <c r="B107" i="6"/>
  <c r="G73" i="6"/>
  <c r="B83" i="6"/>
  <c r="B81" i="6"/>
</calcChain>
</file>

<file path=xl/sharedStrings.xml><?xml version="1.0" encoding="utf-8"?>
<sst xmlns="http://schemas.openxmlformats.org/spreadsheetml/2006/main" count="16831" uniqueCount="4927">
  <si>
    <t>One Matrix - Four Steps  (LLM-ready, no background assumed)</t>
  </si>
  <si>
    <t>A single progressive-disclosure matrix for screening, coding, deep-read analysis and reporting.</t>
  </si>
  <si>
    <t>CONTEXT PRIMER  (read this before coding any paper)</t>
  </si>
  <si>
    <t>What is this review about</t>
  </si>
  <si>
    <t>This is a systematic literature review about DIGITAL TWINS used in the built-environment industry, specifically to improve SAFETY and QUALITY of designs. You are screening and coding academic papers.</t>
  </si>
  <si>
    <t>AECO</t>
  </si>
  <si>
    <t>AECO = Architecture, Engineering, Construction and Operations. It means the built-environment / construction industry (buildings, bridges, infrastructure, civil engineering). NOT manufacturing, automotive, aerospace, power/electrical equipment, healthcare, or agriculture.</t>
  </si>
  <si>
    <t>Digital Twin (DT)</t>
  </si>
  <si>
    <t>A Digital Twin is a live virtual replica of a physical asset that is connected to it by data. It is MORE than a static 3D/BIM model. If a paper only says the words 'digital twin' in passing but does not actually build or study one, treat DT as a buzzword (answer 'No').</t>
  </si>
  <si>
    <t>Design for Safety (DfS)</t>
  </si>
  <si>
    <t>Design for Safety = designing to prevent construction/operation safety incidents (e.g. fall from height, hazards, accident prevention).</t>
  </si>
  <si>
    <t>Design for Quality (DfQ)</t>
  </si>
  <si>
    <t>Design for Quality = designing to prevent defects, rework, or quality failures.</t>
  </si>
  <si>
    <t>Prevention through Design (PtD)</t>
  </si>
  <si>
    <t>Prevention through Design = the principle of eliminating risks at the design stage before construction begins. Closely related to DfS/DfQ.</t>
  </si>
  <si>
    <t>BIM</t>
  </si>
  <si>
    <t>BIM = Building Information Modelling. A static, design-stage digital model. A BIM model alone is NOT a Digital Twin (no live data link).</t>
  </si>
  <si>
    <t>bidirectional</t>
  </si>
  <si>
    <t>'bidirectional' means data flows BOTH ways: physical-&gt;virtual AND virtual-&gt;physical (the twin can act back on the real asset). One-way data flow is only a 'digital shadow'.</t>
  </si>
  <si>
    <t>Answer format</t>
  </si>
  <si>
    <t>Every Stage-1 and Stage-2 question is answered strictly as 'Yes' or 'No'. If genuinely unsure from the abstract, answer 'No' (conservative) and add a note. Do not invent information not present in the text.</t>
  </si>
  <si>
    <t>One reason only</t>
  </si>
  <si>
    <t>When a paper is excluded, the matrix auto-picks ONE standardized reason by priority. You do not write the reason yourself.</t>
  </si>
  <si>
    <t>THE FOUR STEPS</t>
  </si>
  <si>
    <t>Step 1 (all 450 papers)</t>
  </si>
  <si>
    <t>An LLM or reviewer fills the AMBER Stage-1 columns (G-K) for EVERY paper, from the TITLE and ABSTRACT only. Column L auto-decides Include/Exclude; column M auto-writes the single exclusion reason.</t>
  </si>
  <si>
    <t>Step 2 (the matrix)</t>
  </si>
  <si>
    <t>This workbook IS the summary matrix. There is nothing separate to generate.</t>
  </si>
  <si>
    <t>Retrieval + PDF gateway</t>
  </si>
  <si>
    <t>For Stage-1 includes, first mark column N 'PDF full text on hand?'. This is the gateway: only papers with the PDF on hand can be deep-read. You can revisit later - when a PDF is found, change N from 'No' to 'Yes' and the paper becomes ready for Stage-2/3.</t>
  </si>
  <si>
    <t>Step 3 (deep read)</t>
  </si>
  <si>
    <t>For papers whose PDF is on hand, fill the RED Stage-2 columns (P-R) and then the GREEN synthesis 'angle' columns (U-AG). These are the evidence for your findings section.</t>
  </si>
  <si>
    <t>Step 4 (report)</t>
  </si>
  <si>
    <t>Open 'Step1_Report' (screening + PRISMA chain + exclusion reasons) and 'Step3_Report' (capability-tier / phase / method / modality / validation / self-improvement tables). Both auto-tally from the same rows.</t>
  </si>
  <si>
    <t>COLOUR KEY</t>
  </si>
  <si>
    <t>Bands</t>
  </si>
  <si>
    <t>AMBER = Stage-1 input (from abstract) · BLUE = PDF gateway · RED = Stage-2 input (from full text) · GREEN = Stage-3 deep-read input · BLUE-GREY = auto formula, do not edit.</t>
  </si>
  <si>
    <t>Golden rule</t>
  </si>
  <si>
    <t>Never delete a paper. A paper excluded at any stage stays in the matrix with its reason recorded. This is what makes the PRISMA flow reproducible.</t>
  </si>
  <si>
    <t>Update 2026-09-30</t>
  </si>
  <si>
    <t>Matrix rebuilt from SLR summary matrix step 1.md (956 records, 244 Stage-1 includes) and step 3.md (214 full-text coded: 200 included, 14 excluded; 30 includes awaiting full text). Differences against the previous 429-record matrix are listed in 3_Change_Log. 21 Methodology labels "Perception / Computer Vision" were normalised to "Computer Vision / CNN / object-detection".</t>
  </si>
  <si>
    <t>YN</t>
  </si>
  <si>
    <t>Src</t>
  </si>
  <si>
    <t>Bin</t>
  </si>
  <si>
    <t>Tier</t>
  </si>
  <si>
    <t>DfX</t>
  </si>
  <si>
    <t>Self</t>
  </si>
  <si>
    <t>Method</t>
  </si>
  <si>
    <t>Modality</t>
  </si>
  <si>
    <t>Valid</t>
  </si>
  <si>
    <t>Cluster</t>
  </si>
  <si>
    <t>Fusion</t>
  </si>
  <si>
    <t>Conf</t>
  </si>
  <si>
    <t>Yes</t>
  </si>
  <si>
    <t>Scopus</t>
  </si>
  <si>
    <t>0</t>
  </si>
  <si>
    <t>Tier 1 - Digital Model (static, no live data)</t>
  </si>
  <si>
    <t>None</t>
  </si>
  <si>
    <t>Computer Vision / CNN / object-detection</t>
  </si>
  <si>
    <t>Single (one data type)</t>
  </si>
  <si>
    <t>Conceptual (no test)</t>
  </si>
  <si>
    <t>BIM-to-Digital-Twin architecture</t>
  </si>
  <si>
    <t>Single</t>
  </si>
  <si>
    <t>High</t>
  </si>
  <si>
    <t>No</t>
  </si>
  <si>
    <t>Web of Science</t>
  </si>
  <si>
    <t>1</t>
  </si>
  <si>
    <t>Tier 2 - Digital Shadow (one-way physical to virtual)</t>
  </si>
  <si>
    <t>Mentioned only</t>
  </si>
  <si>
    <t>Graph Neural Network (GNN)</t>
  </si>
  <si>
    <t>Multi (two or more data types)</t>
  </si>
  <si>
    <t>Simulation</t>
  </si>
  <si>
    <t>Semantic interoperability</t>
  </si>
  <si>
    <t>Co-present</t>
  </si>
  <si>
    <t>Medium</t>
  </si>
  <si>
    <t>Lens.org</t>
  </si>
  <si>
    <t>Tier 3 - Digital Twin (bidirectional, two-way)</t>
  </si>
  <si>
    <t>Both</t>
  </si>
  <si>
    <t>Implemented</t>
  </si>
  <si>
    <t>LSTM / RNN (recurrent networks)</t>
  </si>
  <si>
    <t>Lab / scale-model experiment</t>
  </si>
  <si>
    <t>Perception / Computer Vision</t>
  </si>
  <si>
    <t>Aligned</t>
  </si>
  <si>
    <t>Low</t>
  </si>
  <si>
    <t>Backward-snowball</t>
  </si>
  <si>
    <t>Tier 4 - Cognitive / Self-improving</t>
  </si>
  <si>
    <t>Other</t>
  </si>
  <si>
    <t>Convergence-characterised</t>
  </si>
  <si>
    <t>Transformer / Large Language Model (LLM)</t>
  </si>
  <si>
    <t>Single case study</t>
  </si>
  <si>
    <t>Design for Safety</t>
  </si>
  <si>
    <t>Fused</t>
  </si>
  <si>
    <t>Forward-snowball</t>
  </si>
  <si>
    <t>Unclear</t>
  </si>
  <si>
    <t>Reinforcement Learning (RL)</t>
  </si>
  <si>
    <t>Cross-project (multiple real projects)</t>
  </si>
  <si>
    <t>Predictive analytics / decision support</t>
  </si>
  <si>
    <t>Bayesian / probabilistic</t>
  </si>
  <si>
    <t>Lifecycle / governance</t>
  </si>
  <si>
    <t>Agent-based model (ABM)</t>
  </si>
  <si>
    <t>Finite Element Method / physics-based</t>
  </si>
  <si>
    <t>Ontology / semantic</t>
  </si>
  <si>
    <t>Statistical / change-point</t>
  </si>
  <si>
    <t>Digital Twin platform (no machine learning)</t>
  </si>
  <si>
    <t>Other / Mixed</t>
  </si>
  <si>
    <t>a</t>
  </si>
  <si>
    <t>b</t>
  </si>
  <si>
    <t>c</t>
  </si>
  <si>
    <t>d - 2nd duplicate (none in merged 956 corpus)</t>
  </si>
  <si>
    <t>e</t>
  </si>
  <si>
    <t>ID</t>
  </si>
  <si>
    <t>Authors (year)</t>
  </si>
  <si>
    <t>Year</t>
  </si>
  <si>
    <t>Journal</t>
  </si>
  <si>
    <t>Title</t>
  </si>
  <si>
    <t>Source database</t>
  </si>
  <si>
    <t>Stage1: Domain is AECO (built environment)?</t>
  </si>
  <si>
    <t>Stage1: Digital Twin is core (not just a buzzword)?</t>
  </si>
  <si>
    <t>Stage1: About Design for Safety / Quality / Prevention through Design?</t>
  </si>
  <si>
    <t>Stage1: Publication type OK (journal/conference article, not editorial/erratum)?</t>
  </si>
  <si>
    <t>Stage1: Written in English (full text)?</t>
  </si>
  <si>
    <t>STAGE-1 decision</t>
  </si>
  <si>
    <t>Stage-1 exclusion reason (auto)</t>
  </si>
  <si>
    <t>GATEWAY: PDF full text on hand? (change to Yes when found)</t>
  </si>
  <si>
    <t>Full text retrieved for PRISMA?</t>
  </si>
  <si>
    <t>Stage2: Digital Twin is the actual subject (full text)?</t>
  </si>
  <si>
    <t>Stage2: Design for Safety/Quality confirmed in full text?</t>
  </si>
  <si>
    <t>Stage2: Methodology is clear enough to code?</t>
  </si>
  <si>
    <t>STAGE-2 decision</t>
  </si>
  <si>
    <t>Stage-2 exclusion reason (auto)</t>
  </si>
  <si>
    <t>Deep-read: Digital Twin capability tier</t>
  </si>
  <si>
    <t>Phase: Design (1/0)</t>
  </si>
  <si>
    <t>Phase: Construction (1/0)</t>
  </si>
  <si>
    <t>Phase: Operation (1/0)</t>
  </si>
  <si>
    <t>Cross-phase? (auto)</t>
  </si>
  <si>
    <t>Deep-read: Design-for-X target</t>
  </si>
  <si>
    <t>Deep-read: Self-improvement / convergence</t>
  </si>
  <si>
    <t>Deep-read: Methodology</t>
  </si>
  <si>
    <t>Deep-read: Data modality</t>
  </si>
  <si>
    <t>Deep-read: Validation level</t>
  </si>
  <si>
    <t>Deep-read: Quality appraisal score (0 to 5)</t>
  </si>
  <si>
    <t>Deep-read: Thematic cluster</t>
  </si>
  <si>
    <t>Deep-read: Key evidence / notes</t>
  </si>
  <si>
    <t>Deep-read: Strength / research gap filled</t>
  </si>
  <si>
    <t>Deep-read: Deficiencies &amp; future work</t>
  </si>
  <si>
    <t>Deep-read: Fusion depth (AC1)</t>
  </si>
  <si>
    <t>Deep-read: Fusion evidence (AC2)</t>
  </si>
  <si>
    <t>Deep-read: Fusion confidence (AC3)</t>
  </si>
  <si>
    <t>Fusion coding flag (review)</t>
  </si>
  <si>
    <t>Full-text verification (date, source, outcome)</t>
  </si>
  <si>
    <t>DOI</t>
  </si>
  <si>
    <t>Ullah, F et al. (2026)</t>
  </si>
  <si>
    <t>A scoping review of green Internet of Things in construction and smart cities: current applications, adoption strategies and future directions</t>
  </si>
  <si>
    <t>Step-1 note: G-IoT scoping review; DT only future trend, no DfS/DfQ core</t>
  </si>
  <si>
    <t>10.1108/SASBE-11-2023-0349</t>
  </si>
  <si>
    <t>Pavón, R.M et al. (2026)</t>
  </si>
  <si>
    <t>Digital Twin development and implementation for the management of irrigation networks</t>
  </si>
  <si>
    <t>Step-1 note: Irrigation networks; agriculture/water domain, no safety/quality angle</t>
  </si>
  <si>
    <t>10.1016/j.eswa.2025.129330</t>
  </si>
  <si>
    <t>Zhu, H et al. (2025)</t>
  </si>
  <si>
    <t>Research on Multi-Sensor Data Fusion Based Real-Scene 3D Reconstruction and Digital Twin Visualization Methodology for Coal Mine Tunnels</t>
  </si>
  <si>
    <t>Step-1 note: Coal mine tunnels; mining domain, not AECO</t>
  </si>
  <si>
    <t>10.3390/s25196153</t>
  </si>
  <si>
    <t>Shen, Z et al. (2026)</t>
  </si>
  <si>
    <t>Hazard-responsive digital twin for weather-driven urban resilience and affordability</t>
  </si>
  <si>
    <t>Step-1 note: Urban resilience/affordability DT; no DfS/DfQ focus</t>
  </si>
  <si>
    <t>10.1016/j.scs.2026.107413</t>
  </si>
  <si>
    <t>Vallée, A (2026)</t>
  </si>
  <si>
    <t>From prediction to intervention: causal digital twins for personalized clinical decision support</t>
  </si>
  <si>
    <t>Step-1 note: Clinical causal DT; healthcare domain</t>
  </si>
  <si>
    <t>10.1186/s12967-026-07895-8</t>
  </si>
  <si>
    <t>Redondo, P et al. (2026)</t>
  </si>
  <si>
    <t>Residual dynamic spatio-temporal graph attention network for enhanced urban traffic origin/destination demand calibration</t>
  </si>
  <si>
    <t>Step-1 note: Traffic OD calibration; SUMO as DT, not built asset</t>
  </si>
  <si>
    <t>10.1108/EC-09-2024-0900</t>
  </si>
  <si>
    <t>Guo, X et al. (2026)</t>
  </si>
  <si>
    <t>Digital twin-enabled cooperative autonomous truck platooning framework for modeling, cost estimation, and decision-making in transportation systems</t>
  </si>
  <si>
    <t>Step-1 note: Truck platooning logistics; not AECO</t>
  </si>
  <si>
    <t>10.1016/j.tre.2025.104596</t>
  </si>
  <si>
    <t>Hong, K et al. (2025)</t>
  </si>
  <si>
    <t>Digital construction site layout planning and real-time trajectory analysis for proactive safety monitoring and control of struck-by hazards</t>
  </si>
  <si>
    <t>Digital construction site layout planning and real-time trajectory analysis for proactive safety monitoring and control of struck-by hazards (DTCS Right-time Analysis and Mitigation module; DTU/TUM): RTK-GNSS + LoRa live location tracking of pedestrian workers and heavy equipment streamed to DTCS; semi-static and dynamic hazard zones (1-m boundary + operator blind-space geometry); real-time incident detection of unauthorized entry and too-close proximity; density maps / histogram heatmaps identify hazardous activities; safety-plan revision recommendations (separating worker/equipment areas, temporary pedestrian walkways); field experiments in Munich subway rail maintenance staging area showed significant reduction in spatial conflicts and improved zone connectivity, with newly detected hazards (rail traffic, delivery trucks) triggering iterative plan updates. One-way monitoring to analysis to mitigation recommendations/alerts for safety personnel; no actuation, no learning loop. [Full-text source: 04c-port]</t>
  </si>
  <si>
    <t>Extends the Digital Twin for Construction Safety concept with a Right-time Analysis and Mitigation module tested at a Munich railway maintenance staging area: safeBIM rule checking plus RTK-GNSS over LoRa tracking at 1.0 cm median and 2.3 cm 95th percentile precision, detecting 99 unauthorized entries, mapping telehandler blind spots (right side obstructed to 1.9 m) and computing safety-weighted walkway routes that informed a revised safeBIM plan.</t>
  </si>
  <si>
    <t>Experiments lasted a limited period in a controlled staging area, RTK-GNSS suffers signal loss and interference, and operator awareness of workers could not be recorded, so head-pose or eye-tracking data is proposed; future work includes longer data collection, other equipment types, drone-based condition capture, big data analytics and standards for safe distances.</t>
  </si>
  <si>
    <t>Only RTK-GNSS over LoRa position tracking (1.0 cm median, 2.3 cm 95th percentile) drives the right-time analysis; no second measured data type exists.</t>
  </si>
  <si>
    <t>Step-1 note: DTCS struck-by hazard monitoring; PtD planning | Coded from Step-3 deep-read markdown (Prompt B), imported 2026-09-30 | Prior matrix (v260816) verification note retained in 3_Change_Log</t>
  </si>
  <si>
    <t>10.1016/j.autcon.2025.106353</t>
  </si>
  <si>
    <t>Oliinyk, V et al. (2025)</t>
  </si>
  <si>
    <t>Optimising the construction process through digitalisation: Case studies of projects under unstable resource supply</t>
  </si>
  <si>
    <t>Step-1 note: Digitalisation overview; DT one of many technologies</t>
  </si>
  <si>
    <t>10.56318/as/1.2025.92</t>
  </si>
  <si>
    <t>Zhao, B et al. (2026)</t>
  </si>
  <si>
    <t>From instance segmentation to physical quantification: High-resolution UAV-based dataset for façade defect assessment</t>
  </si>
  <si>
    <t>Step-1 note: Defect dataset+segmentation; DT only deployment target | Prior matrix (v260816) verification note retained in 3_Change_Log</t>
  </si>
  <si>
    <t>10.1016/j.autcon.2026.106980</t>
  </si>
  <si>
    <t>Kaewunruen, S et al. (2025)</t>
  </si>
  <si>
    <t>Digital twin-driven strategic demolition plan for circular asset management of bridge infrastructures</t>
  </si>
  <si>
    <t>Step-1 note: BIM 6D circular demolition; no live DT, no DfS/DfQ</t>
  </si>
  <si>
    <t>10.1038/s41598-025-94117-8</t>
  </si>
  <si>
    <t>Al-Sadoon, N et al. (2026)</t>
  </si>
  <si>
    <t>Enhancing resilience through environmental data integration in early construction planning: a cloud-based framework</t>
  </si>
  <si>
    <t>Step-1 note: BIM-ICDD semantic linking; no DT</t>
  </si>
  <si>
    <t>10.3389/fbuil.2026.1748837</t>
  </si>
  <si>
    <t>Jung, B et al. (2025)</t>
  </si>
  <si>
    <t>Transient-Aware Multi-Objective Optimization of Water Distribution Systems for Cost and Fire Flow Reliability</t>
  </si>
  <si>
    <t>Step-1 note: Water distribution optimization; no DT, not AECO</t>
  </si>
  <si>
    <t>10.3390/su17188274</t>
  </si>
  <si>
    <t>Sigmund, Z et al. (2026)</t>
  </si>
  <si>
    <t>Reducing Latency in Digital Twins: A Framework for Near-Real-Time Progress and Quality Reporting</t>
  </si>
  <si>
    <t>Technical note (Buildings 2026, U Zagreb): proposes a tiered edge-cloud processing framework for near-real-time automated progress monitoring and quality reporting, synthesising NORMENG field metrics (terrestrial LiDAR, UAS photogrammetry, 360-degree vision); shifts to neural rendering to bypass photogrammetric latency; lightweight edge analysis for immediate safety/progress alarms plus asynchronous high-fidelity DT updates as single source of truth. Framework only - no implementation or empirical validation (informs AutoGreenTraC). One-way sensing-&gt;analysis-&gt;reporting; no actuation, no learning loop. [Full-text source: browser-oa]</t>
  </si>
  <si>
    <t>Identifies data-acquisition latency and photogrammetric compute as the two bottlenecks and contributes a tiered edge-cloud hierarchy (millisecond safety alarms to asynchronous high-fidelity DT updates) with neural rendering as the latency bypass, grounded in NORMENG field metrics.</t>
  </si>
  <si>
    <t>No implementation or empirical validation; latency targets, neural-rendering pipeline details and DT update scheduling remain future work in AutoGreenTraC.</t>
  </si>
  <si>
    <t>LiDAR, SfM-MVS and 360-degree streams are discussed within a tiered hierarchy but no fusion mechanism is implemented or tested (framework only).</t>
  </si>
  <si>
    <t>REVIEW: fusion Unclear/Low confidence</t>
  </si>
  <si>
    <t>Step-1 note: DT framework for near-real-time progress/quality reporting | AB normalised to code list (source label "Perception / Computer Vision") | Coded from Step-3 deep-read markdown (Prompt B), imported 2026-09-30</t>
  </si>
  <si>
    <t>10.3390/buildings16071448</t>
  </si>
  <si>
    <t>Cao, J et al. (2026)</t>
  </si>
  <si>
    <t>In-Depth Discussion on the Construction of Security Collaborative Management and Control System Based on Digital Twins and Intelligent Sensing in the United Nations Clean Coal Project</t>
  </si>
  <si>
    <t>Step-1 note: Clean coal industrial project; not AECO built asset</t>
  </si>
  <si>
    <t>10.7716/aem.v15i3.3430</t>
  </si>
  <si>
    <t>Kanyilmaz, A et al. (2026)</t>
  </si>
  <si>
    <t>AI-driven assessment of steel structures</t>
  </si>
  <si>
    <t>Step-1 note: AI assessment case-study review; DT one of several methods</t>
  </si>
  <si>
    <t>10.1002/stab.70174</t>
  </si>
  <si>
    <t>Casini, M (2026)</t>
  </si>
  <si>
    <t>From WebGIS to a Digital Twin for Sustainable Water Governance and Climate-Resilient River Basin District Planning: The AUBAC Case in Central Italy</t>
  </si>
  <si>
    <t>Step-1 note: River-basin water governance; not built asset</t>
  </si>
  <si>
    <t>10.3390/su18052168</t>
  </si>
  <si>
    <t>Gao, K et al. (2026)</t>
  </si>
  <si>
    <t>Resilient ventilation network construction in complex underground mining environments: A holistic strategy from resilience perception to resilience enhancement</t>
  </si>
  <si>
    <t>Step-1 note: Mine ventilation resilience; mining domain</t>
  </si>
  <si>
    <t>10.1016/j.ress.2026.112634</t>
  </si>
  <si>
    <t>Wang, G et al. (2025)</t>
  </si>
  <si>
    <t>Research on modeling and application of digital twin system for mine auxiliary transportation</t>
  </si>
  <si>
    <t>Step-1 note: Mine auxiliary transport DT; mining domain</t>
  </si>
  <si>
    <t>10.1142/S1793962325500618</t>
  </si>
  <si>
    <t>Zheng, H et al. (2026)</t>
  </si>
  <si>
    <t>Photorealistic Fire Scene Video Generation via Multimodal Large Language Model and Pre-Trained Video Diffusion Model</t>
  </si>
  <si>
    <t>Step-1 note: Text-to-video fire generation; DT only future use</t>
  </si>
  <si>
    <t>10.26599/CVM.2025.9450511</t>
  </si>
  <si>
    <t>Mahomed, A.S et al. (2025)</t>
  </si>
  <si>
    <t>Unleashing the Potential of 5G for Smart Cities: A Focus on Real-Time Digital Twin Integration</t>
  </si>
  <si>
    <t>Step-1 note: 5G smart-city review; DT beneficiary, safety peripheral</t>
  </si>
  <si>
    <t>10.3390/smartcities8020070</t>
  </si>
  <si>
    <t>Seng, N.H et al. (2025)</t>
  </si>
  <si>
    <t>Mapping the Evolution of 4D BIM in Construction Digitalisation: A Scientometric Analysis and Review</t>
  </si>
  <si>
    <t>Step-1 note: 4D BIM scientometric; no DT core</t>
  </si>
  <si>
    <t>10.17576/jkukm-2025-37(6)-11</t>
  </si>
  <si>
    <t>Cui, X (2026)</t>
  </si>
  <si>
    <t>Artificial intelligence assisted structural realignment of high-rise buildings through lifting, grouting and reinforcement</t>
  </si>
  <si>
    <t>Step-1 note: AI rectification scoping review; DT one element</t>
  </si>
  <si>
    <t>10.1038/s41598-026-48789-5</t>
  </si>
  <si>
    <t>Ammairih, A (2025)</t>
  </si>
  <si>
    <t>A methodological approach to hybrid AI systems for real-time infrastructure monitoring in civil engineering</t>
  </si>
  <si>
    <t>Step-1 note: Hybrid AI SHM framework; no DT built</t>
  </si>
  <si>
    <t>10.1007/s42107-025-01409-5</t>
  </si>
  <si>
    <t>Zhou, X et al. (2025)</t>
  </si>
  <si>
    <t>Scheme and algorithm designs for optical fiber sensors based configuration inversion of umbilical cables in deep-water</t>
  </si>
  <si>
    <t>Step-1 note: Deep-water umbilical cables; marine, not AECO</t>
  </si>
  <si>
    <t>10.1016/j.oceaneng.2025.121363</t>
  </si>
  <si>
    <t>Han, F et al. (2026)</t>
  </si>
  <si>
    <t>Construction Path of Shanghai Oriental Hub Municipal Pipeline Full Cycle Digital Twin Platform</t>
  </si>
  <si>
    <t>Full-cycle municipal pipeline DT platform (Shanghai Oriental Hub): BIM0–BIM6 full-phase connection + lightweight BIM-GIS, 28 IoT sensing nodes (water pressure, gas leakage, surface temp, &lt;1 s delay) with 5-month pilot; addresses planning collision risks, construction rework, and delayed leakage detection; AI risk model predicted a valve aging risk 7 days in advance (verified on-site); 36.4% O&amp;M cost reduction. One-way IoT→platform monitoring/decision support, no actuation and no self-improvement loop. [Full-text source: 04c-port]</t>
  </si>
  <si>
    <t>Fills the gap between macro city-level twin frameworks and single-phase pipeline platforms with a full-cycle BIM0 to BIM6 plus lightweight BIM-GIS architecture for the Shanghai Oriental Hub; a 5-month pilot deployed 28 IoT nodes (pressure, gas leakage, surface temperature) with under 1 s delay, raising planning collision detection from 68 to 97 percent and predicting one valve aging risk 7 days in advance.</t>
  </si>
  <si>
    <t>The pilot covers only water supply and gas pipelines, lacking power and communication monitoring modules, and its data is not yet connected to Pudong Airport systems for cross-node emergency linkage; multi-type pipeline adaptability and cross-departmental data interface standards are stated as future work.</t>
  </si>
  <si>
    <t>Twenty-eight IoT sensing nodes (water pressure, gas leakage, surface temperature) are mapped into a lightweight BIM-GIS platform, and the AI risk model predicts per-asset (valve aging) rather than fusing streams.</t>
  </si>
  <si>
    <t>Step-1 note: Full-cycle municipal pipeline DT; safe operation focus | Coded from Step-3 deep-read markdown (Prompt B), imported 2026-09-30 | Prior matrix (v260816) verification note retained in 3_Change_Log</t>
  </si>
  <si>
    <t>10.1155/adce/8916300</t>
  </si>
  <si>
    <t>Carlini, B et al. (2025)</t>
  </si>
  <si>
    <t>Enhancing climate resilience in urban areas through satellite data: A case study of flood mapping during a rainfall event in Tuscany, Italy</t>
  </si>
  <si>
    <t>Step-1 note: SAR flood mapping; GIS DT only supporting tool</t>
  </si>
  <si>
    <t>10.1016/j.heliyon.2025.e44108</t>
  </si>
  <si>
    <t>Jian, R et al. (2026)</t>
  </si>
  <si>
    <t>BIM-GIS Integration for Collaborative Management in Complex Highway Engineering Projects</t>
  </si>
  <si>
    <t>Step-1 note: BIM-GIS highway loop; DT integration future only</t>
  </si>
  <si>
    <t>10.4018/IJAEIS.414579</t>
  </si>
  <si>
    <t>Choi, W.G et al. (2026)</t>
  </si>
  <si>
    <t>MirrorLake: A Digital Twin Platform for Real-Time Synchronization with the Real World</t>
  </si>
  <si>
    <t>Step-1 note: Generic DT platform; AECO application unspecified</t>
  </si>
  <si>
    <t>10.1109/ACCESS.2026.3680878</t>
  </si>
  <si>
    <t>Liu, W et al. (2026)</t>
  </si>
  <si>
    <t>Digital twin-enabled safety management: A bibliometric and knowledge mapping analysis with core challenge insights</t>
  </si>
  <si>
    <t>Step-1 note: Process-industry DT-safety bibliometric; not AECO</t>
  </si>
  <si>
    <t>10.1016/j.jlp.2026.106105</t>
  </si>
  <si>
    <t>Manocha, A et al. (2025)</t>
  </si>
  <si>
    <t>Enhancing sensor data reliability in structural health monitoring systems using digital twin technology</t>
  </si>
  <si>
    <t>Step-1 note: DT + W-BBN for SHM sensor-data reliability incl. buildings | Full text not coded: no matching PDF in Endnote library</t>
  </si>
  <si>
    <t>10.1002/suco.202400969</t>
  </si>
  <si>
    <t>Marangwanda, G.T et al. (2026)</t>
  </si>
  <si>
    <t>Development of a Boiler Monitoring System for Predictive Maintenance of Boiler Tube Failures</t>
  </si>
  <si>
    <t>Step-1 note: Power-plant boiler monitoring; not AECO</t>
  </si>
  <si>
    <t>10.1115/1.4071543</t>
  </si>
  <si>
    <t>Luning, X et al. (2025)</t>
  </si>
  <si>
    <t>Inversion model of stress state reconstruction for geological hazard pipelines based on digital twin</t>
  </si>
  <si>
    <t>Step-1 note: Energy pipeline geohazard DT; not AECO</t>
  </si>
  <si>
    <t>10.1007/s42452-025-07435-x</t>
  </si>
  <si>
    <t>Čaleta, D (2025)</t>
  </si>
  <si>
    <t>International Dimension of Critical Infrastructure Resilience: Challenges of the Mediterranean Security Environment</t>
  </si>
  <si>
    <t>Step-1 note: CI resilience policy paper; no DT</t>
  </si>
  <si>
    <t>10.70908/2232-6022/18.177-205</t>
  </si>
  <si>
    <t>Matsuk, Z et al. (2026)</t>
  </si>
  <si>
    <t>SYMMETRIC APPROACH TO INDUSTRIAL SAFETY RISK ASSESSMENT BASED ON MUTUAL PROBABILITY CORRESPONDENCE</t>
  </si>
  <si>
    <t>Step-1 note: Industrial safety Bayesian network; not AECO</t>
  </si>
  <si>
    <t>10.15587/2706-5448.2026.353068</t>
  </si>
  <si>
    <t>Kim, J et al. (2026)</t>
  </si>
  <si>
    <t>Active gravity-aligned reference Axis for high-precision verticality assessment in construction</t>
  </si>
  <si>
    <t>Step-1 note: Verticality sensing device; no DT</t>
  </si>
  <si>
    <t>10.1016/j.autcon.2026.107025</t>
  </si>
  <si>
    <t>Chen, Y et al. (2025)</t>
  </si>
  <si>
    <t>Automated dimension estimation of bridge components using semantic segmentation and geometric fitting of point cloud data</t>
  </si>
  <si>
    <t>Step-1 note: Point-cloud dimension estimation; DT peripheral</t>
  </si>
  <si>
    <t>10.1016/j.engstruct.2025.120837</t>
  </si>
  <si>
    <t>Liu, D et al. (2026)</t>
  </si>
  <si>
    <t>Advances in simulation technology for welding of non-metallic pipes: a systematic review and future perspectives</t>
  </si>
  <si>
    <t>Step-1 note: Pipe welding simulation review; industrial</t>
  </si>
  <si>
    <t>10.1007/s00170-026-19002-8</t>
  </si>
  <si>
    <t>Sassi, M.S.H et al. (2026)</t>
  </si>
  <si>
    <t>A cognitive digital twin architecture for intelligent gas distribution systems</t>
  </si>
  <si>
    <t>Step-1 note: Gas utility cognitive DT; not built asset</t>
  </si>
  <si>
    <t>10.1016/j.sasc.2026.200532</t>
  </si>
  <si>
    <t>Prokhorova, V.V et al. (2026)</t>
  </si>
  <si>
    <t>METHODOLOGY FOR ASSESSING THE CONDITION OF POWER PLANT UNITS USING DIGITAL TWIN MODELS; [Методика оцінки стану енергоблоків електростанцій із використанням моделей цифрових двійників]</t>
  </si>
  <si>
    <t>Step-1 note: Nuclear power plant DT; not AECO</t>
  </si>
  <si>
    <t>10.33271/nvngu/2026-2/084</t>
  </si>
  <si>
    <t>Heidari, M.R et al. (2026)</t>
  </si>
  <si>
    <t>Enhancing safety in construction: A framework predicting neuro-cognitive tipping points from environmental stressors</t>
  </si>
  <si>
    <t>Step-1 note: Neuro-cognitive safety framework; no DT</t>
  </si>
  <si>
    <t>10.1016/j.ssci.2026.107369</t>
  </si>
  <si>
    <t>Wang, S et al. (2026)</t>
  </si>
  <si>
    <t>Probabilistic Characteristics Study of Tensile Properties of Bamboo Inter-Node Material Based on Random Field Theory</t>
  </si>
  <si>
    <t>Step-1 note: Bamboo random-field modelling; no DT</t>
  </si>
  <si>
    <t>10.3390/buildings16142826</t>
  </si>
  <si>
    <t>Kiran, M et al. (2026)</t>
  </si>
  <si>
    <t>A digital twin framework for predicting and simulating type 2 diabetes onset using retrospective lifestyle data</t>
  </si>
  <si>
    <t>Step-1 note: Diabetes prediction DT; healthcare</t>
  </si>
  <si>
    <t>10.3389/fdgth.2026.1710829</t>
  </si>
  <si>
    <t>Kalkanlı, D et al. (2026)</t>
  </si>
  <si>
    <t>Human-Centric Digital Twins for Spatial Sustainability: A Procedural VR Framework for Calibrating Agent-Based Evacuation Models in Diverse Urban Morphologies</t>
  </si>
  <si>
    <t>Human-centric digital twin framework (ITU/ITC, Sustainability 2026): procedural generation creates orthogonal vs organic urban morphologies; immersive VR acts as a behavioural wind tunnel to calibrate agent-based evacuation models; validated with 37 participants under day/night visibility; night evacuation in organic layouts showed greater variability and longer times, confirming spatial configuration dictates resilience. Static procedural models + VR experiments (no live data link); no actuation, no learning loop. [Full-text source: browser-oa]</t>
  </si>
  <si>
    <t>Fills the behavioral data-scarcity gap in evacuation ABMs: procedural VR with 37 participants quantifies locomotion differences between orthogonal and organic morphologies, showing night-time divergence and confirming configuration-driven resilience in data-scarce settings.</t>
  </si>
  <si>
    <t>VR experiments are controlled simulations rather than real evacuations; 37-participant sample and two archetypes limit generalisation, and the calibrated ABM is not validated against field evacuation data.</t>
  </si>
  <si>
    <t>VR-derived behavioural parameters and procedural geometry are fused into the calibrated ABM agents for evacuation simulation.</t>
  </si>
  <si>
    <t>Step-1 note: Human-centric DT + VR evacuation calibration; life safety | Coded from Step-3 deep-read markdown (Prompt B), imported 2026-09-30</t>
  </si>
  <si>
    <t>10.3390/su18031482</t>
  </si>
  <si>
    <t>Liu, C et al. (2025)</t>
  </si>
  <si>
    <t>Vision language model-enhanced embodied intelligence for digital twin-assisted human-robot collaborative assembly</t>
  </si>
  <si>
    <t>Step-1 note: Manufacturing HRC assembly; not AECO</t>
  </si>
  <si>
    <t>10.1016/j.jii.2025.100943</t>
  </si>
  <si>
    <t>Cervantes E., MEng. et al. (2026)</t>
  </si>
  <si>
    <t>Climate Change Impacts on Reinforced Concrete Structures: A Bibliometric Analysis</t>
  </si>
  <si>
    <t>Step-1 note: Climate/RC bibliometric; no DT core</t>
  </si>
  <si>
    <t>10.1080/10168664.2026.2649216</t>
  </si>
  <si>
    <t>Huang, H et al. (2025)</t>
  </si>
  <si>
    <t>Parametric modeling and safety simulation of pit excavation affecting adjacent tunnels based on BIM-FEM framework</t>
  </si>
  <si>
    <t>Step-1 note: BIM-FEM pit excavation framework; no DT</t>
  </si>
  <si>
    <t>10.1016/j.tust.2025.106800</t>
  </si>
  <si>
    <t>Catalán, V et al. (2025)</t>
  </si>
  <si>
    <t>Virtual Reality and Digital Twins for Catastrophic Failure Prevention in Industry 4.0</t>
  </si>
  <si>
    <t>Step-1 note: Industrial engine VR/DT; not AECO</t>
  </si>
  <si>
    <t>10.3390/app15137230</t>
  </si>
  <si>
    <t>Wang, H et al. (2026)</t>
  </si>
  <si>
    <t>Digital twin modeling for multi-component thermo-mechanical state inference with shared sparse-observation-and-physics constraints in a unified latent space</t>
  </si>
  <si>
    <t>Step-1 note: Turbine cylinder thermo-mechanical DT; energy equipment</t>
  </si>
  <si>
    <t>10.1016/j.applthermaleng.2026.132643</t>
  </si>
  <si>
    <t>Maqsoom, A et al. (2026)</t>
  </si>
  <si>
    <t>BIM-Driven Safety: Automated Rule-Based Multihazard Detection and Legal Compliance in High-Rise Construction</t>
  </si>
  <si>
    <t>Step-1 note: 8D BIM rule-checking; DT framing only</t>
  </si>
  <si>
    <t>10.1061/JLADAH.LADR-1409</t>
  </si>
  <si>
    <t>Repetto, M et al. (2026)</t>
  </si>
  <si>
    <t>A Cybersecurity Digital Twin Architecture for Modelling Threats in Interconnected Systems</t>
  </si>
  <si>
    <t>Step-1 note: OT/IT cybersecurity DT; not AECO</t>
  </si>
  <si>
    <t>10.60097/ACIG/221493</t>
  </si>
  <si>
    <t>Shao, Z et al. (2026)</t>
  </si>
  <si>
    <t>An Aero-Thermodynamic Physics-Informed Neural Network for Small-Sample Performance Prediction of Variable-Speed Centrifugal Chillers</t>
  </si>
  <si>
    <t>Step-1 note: HVAC chiller DT; energy only, no safety/quality</t>
  </si>
  <si>
    <t>10.3390/en19061563</t>
  </si>
  <si>
    <t>Zhu, H et al. (2026)</t>
  </si>
  <si>
    <t>Digital twin-enhanced multi-agent reinforcement learning for distributed control of collaborative robotic arms in angle steel tower dismantling</t>
  </si>
  <si>
    <t>Step-1 note: Transmission tower dismantling; power, not AECO</t>
  </si>
  <si>
    <t>10.1088/2631-8695/ae3b9e</t>
  </si>
  <si>
    <t>Deng, J et al. (2026)</t>
  </si>
  <si>
    <t>A Digital Twin of Life-Cycle Bearing Based on a Defect-Guided Conditional Diffusion Model for Predicting Remaining Life under Limited Degradation Data</t>
  </si>
  <si>
    <t>Step-1 note: Bearing RUL diffusion DT; industrial machinery</t>
  </si>
  <si>
    <t>10.1061/AJRUA6.RUENG-1786</t>
  </si>
  <si>
    <t>Moe, S.J.S et al. (2026)</t>
  </si>
  <si>
    <t>Optimizing Federated Learning based on Weighted Hyperparameter Aggregation in Energy-constrained Building Construction</t>
  </si>
  <si>
    <t>One-shot local Bayesian optimization + loss-weighted hyperparameter aggregation for federated learning (FL), integrated into a Digital Twin platform for device registration, orchestration, and telemetry (Jeju National U, Cluster Computing 2026): clients optimise hyperparameters locally on small data subsets, the server aggregates a single global set for collaborative training; training-method agnostic; evaluated on MNIST/EEGEyeState/Weather plus a private worker-safety dataset; 6.44% average end-to-end improvement, faster convergence, lower MAE vs simple averaging, reduced response time on Raspberry Pi AIoT clients; on-device inference supports near-real-time safety alerts to supervisors and wearables. One-way telemetry-&gt;prediction-&gt;alerts; FL retraining loop implemented but no convergence criterion and no physical actuation. [Full-text source: Endnote]</t>
  </si>
  <si>
    <t>Fills the FL-HPO gap for energy-constrained construction edge nodes: one-shot local Bayesian optimisation removes iterative client-server tuning rounds, and loss-weighted aggregation of client-proposed hyperparameters yields a single global set that improves convergence, accuracy/MAE and Raspberry-Pi response time (+6.44% end-to-end) while keeping site-sensitive safety data on-device for privacy.</t>
  </si>
  <si>
    <t>Evaluation spans three public datasets plus one private worker-safety dataset rather than a longitudinal on-site deployment; convergence of the aggregated hyperparameters is not theoretically characterised; communication/privacy of shared hyperparameters and scalability to large fleets are discussed but not empirically bounded.</t>
  </si>
  <si>
    <t>Client-proposed hyperparameters from heterogeneous local data are loss-weighted into one global FL configuration, and worker-safety telemetry is joined with the DT orchestration layer for training and inference.</t>
  </si>
  <si>
    <t>Step-1 note: Federated-learning HPO inside DT platform; worker safety | Coded from Step-3 deep-read markdown (Prompt B), imported 2026-09-30</t>
  </si>
  <si>
    <t>10.1007/s10586-025-05908-7</t>
  </si>
  <si>
    <t>Jiang, Y et al. (2026)</t>
  </si>
  <si>
    <t>Enhancing Autonomous Vehicle Localization Through Cooperative LiDAR and Smart Infrastructure Integration</t>
  </si>
  <si>
    <t>Step-1 note: AV localization; vehicles, not AECO</t>
  </si>
  <si>
    <t>10.1109/OJITS.2026.3664106</t>
  </si>
  <si>
    <t>Mousavi, V et al. (2026)</t>
  </si>
  <si>
    <t>Deep reinforcement learning-based decision support system for optimal maintenance planning in bridge digital twins</t>
  </si>
  <si>
    <t>RL-based decision support system for bridge maintenance inside digital-twin environments (Western Sydney U, EngAppAI 2026): multi-objective deep centralized multi-agent actor-critic (MO-DCMAC) models maintenance cost, structural failure risk and serviceability as a vector-valued reward with fixed linear utility; evaluated on three real bridge case studies vs established rule-based policies, achieving highest overall utility by penalizing high-frequency site visits and balancing intervention cost with risk mitigation. Maintenance-policy recommendations to asset managers (no automated actuation); RL training loop implemented but no convergence criterion. [Full-text source: browser-oa]</t>
  </si>
  <si>
    <t>Brings multi-objective deep RL into bridge digital twins: vector-valued reward (cost, failure risk, serviceability) with linear utility outperforms rule-based policies across three real bridge case studies, yielding fewer but more impactful interventions.</t>
  </si>
  <si>
    <t>Fixed linear utility function prevents adaptive preference trade-offs; RL convergence not characterised; policies are recommendations (no closed-loop actuation) and case studies are retrospective.</t>
  </si>
  <si>
    <t>Maintenance cost, structural failure risk and serviceability are fused in one vector-valued reward with linear scalarization for MO-DCMAC training in bridge DT environments.</t>
  </si>
  <si>
    <t>Step-1 note: RL-DSS for bridge maintenance inside bridge DT | Coded from Step-3 deep-read markdown (Prompt B), imported 2026-09-30</t>
  </si>
  <si>
    <t>10.1016/j.engappai.2026.115649</t>
  </si>
  <si>
    <t>Jakobo, E.P et al. (2025)</t>
  </si>
  <si>
    <t>Investigating the Applicability of Industry 4.0 Technologies in Road Construction Projects: A Quantitative Research Design From Construction 4.0 Perspectives</t>
  </si>
  <si>
    <t>Step-1 note: C4.0 adoption survey; DT one technology in list</t>
  </si>
  <si>
    <t>10.1002/eng2.70406</t>
  </si>
  <si>
    <t>Balaska, V et al. (2026)</t>
  </si>
  <si>
    <t>UAV Object Detection and Positioning in a Mining Industrial Metaverse With Custom Geo-Referenced Data</t>
  </si>
  <si>
    <t>Step-1 note: Mining metaverse UAV system; mining domain</t>
  </si>
  <si>
    <t>10.1049/cps2.70048</t>
  </si>
  <si>
    <t>Li, T et al. (2025)</t>
  </si>
  <si>
    <t>A Multi-Sensor Fusion Approach Combined with RandLA-Net for Large-Scale Point Cloud Segmentation in Power Grid Scenario</t>
  </si>
  <si>
    <t>Step-1 note: Power grid tower segmentation; not AECO</t>
  </si>
  <si>
    <t>10.3390/s25113350</t>
  </si>
  <si>
    <t>Torres-Polo, M et al. (2026)</t>
  </si>
  <si>
    <t>Computational Economics of Circular Construction: Machine Learning and Digital Twins for Optimizing Demolition Waste Recovery and Business Value</t>
  </si>
  <si>
    <t>Step-1 note: Circular CDW review; DT one enabler, no DfS/DfQ</t>
  </si>
  <si>
    <t>10.3390/computation14040076</t>
  </si>
  <si>
    <t>Martini, T et al. (2025)</t>
  </si>
  <si>
    <t>Digital twin representation of socio-technical systems through a distributed co-simulation approach for crisis management</t>
  </si>
  <si>
    <t>Digital urban twin for crisis management via modular distributed co-simulation (Fraunhofer SIRIOS): engineering-model simulation modules for water, electricity, gas, telecom, built environment and agent-based emergency response exchange events over a CloudEvents/FROST (SensorThings) event-stream architecture; mapping interdependencies and cascading failures among critical infrastructures; proof-of-concept on urban flooding/heavy-rainfall scenario predicting system states and structural impacts for authorities and training. Scenario-driven co-simulation; no live sensor loop demonstrated, no actuation, no learning loop. [Full-text source: Endnote]</t>
  </si>
  <si>
    <t>Fills the gap between single-sector simulations and real crisis management: a modular event-stream co-simulation maps interdependencies and cascading effects across water, electricity, gas, telecom, built environment and emergency response in one urban digital twin, demonstrated on an urban flooding proof-of-concept for authorities and training.</t>
  </si>
  <si>
    <t>Proof-of-concept covers only a flooding scenario; no live sensor ingestion or real-time operation demonstrated, validation against real crisis data is missing, and assumptions on initial conditions and monitoring availability limit accuracy for large-scale cascading failures.</t>
  </si>
  <si>
    <t>Sector simulation outputs (water/electricity/gas/telecom, buildings, emergency response) are exchanged as events in one co-simulation to compute cascading effects; modules remain loosely coupled simulators rather than a single fused model.</t>
  </si>
  <si>
    <t>Step-1 note: Urban DT co-simulation for crisis management | Coded from Step-3 deep-read markdown (Prompt B), imported 2026-09-30</t>
  </si>
  <si>
    <t>10.1007/s10669-025-10035-0</t>
  </si>
  <si>
    <t>Candigliota, E et al. (2025)</t>
  </si>
  <si>
    <t>The Integration of a Multidomain Monitoring Platform with Structural Data: A Building Case Study</t>
  </si>
  <si>
    <t>Multidomain monitoring integration (ENEA, Sustainability 2025): affordable NDT procedure for post-earthquake damage assessment of RC buildings; NDT results and distributed sensor nodes inserted into the LIS platform to create the building digital twin for automated monitoring, management and preventive maintenance; QR-code interface simplifies operator workflow; case study on a 2016-earthquake-damaged building in Marche, Italy (MULTICLIMACT). One-way monitoring-&gt;twin-&gt;maintenance decisions; no actuation, no learning loop. [Full-text source: browser-oa]</t>
  </si>
  <si>
    <t>Delivers an affordable, ready-to-use NDT-plus-LIS procedure that stores post-earthquake damage data in an interoperable building digital twin with distributed sensor nodes and a QR-code interface, supporting automated preventive maintenance.</t>
  </si>
  <si>
    <t>Single building case; the DT stores and visualises data but performs no predictive analytics; long-term sensor reliability and multi-site scalability are not demonstrated.</t>
  </si>
  <si>
    <t>NDT results, distributed sensor-node data and BIM geometry are integrated in the LIS platform as one building twin.</t>
  </si>
  <si>
    <t>Step-1 note: NDT + digital twin for building damage assessment | Coded from Step-3 deep-read markdown (Prompt B), imported 2026-09-30</t>
  </si>
  <si>
    <t>10.3390/su17073076</t>
  </si>
  <si>
    <t>Speiser, K et al. (2026)</t>
  </si>
  <si>
    <t>Agentic system for construction safety risk assessments using large language models and knowledge graphs</t>
  </si>
  <si>
    <t>Step-1 note: LLM-agent safety risk assessment; no DT built</t>
  </si>
  <si>
    <t>10.1016/j.aei.2026.104681</t>
  </si>
  <si>
    <t>Mandal, D et al. (2026)</t>
  </si>
  <si>
    <t>FlowsDT: A geospatial digital twin for navigating urban flood dynamics</t>
  </si>
  <si>
    <t>FlowsDT-Galveston geospatial digital twin (Texas A&amp;M, Comput Environ Urban Syst 2026): 1D-2D coupled PCSWMM hydrodynamic models over LiDAR topography, land cover and storm-sewer geometry elevate the urban twin to LoD4 (underground network); validated with historical flood events and social sensing; simulates 2/10/25/50/100-yr scenarios - buildings inundated &gt;1 ft +5.7%, roads +6.7%; supports proactive flood management and urban planning. Scenario-simulation twin; real-time sensor integration only described as potential; no actuation, no learning loop. [Full-text source: browser-oa]</t>
  </si>
  <si>
    <t>Elevates urban flood digital twins to LoD4 by coupling 1D storm-sewer and 2D surface-flow models, validated against historical floods and social sensing across five return periods for street/basement-level risk mapping.</t>
  </si>
  <si>
    <t>No real-time sensor integration yet (potential only); social-sensing validation is coarse; 4D immersive visualisation is described but an interactive stakeholder interface is not delivered.</t>
  </si>
  <si>
    <t>LiDAR topography, land cover and storm-sewer geometries are fused in the coupled 1D-2D hydrodynamic model.</t>
  </si>
  <si>
    <t>Step-1 note: Geospatial urban flood DT; resilience/safety | Coded from Step-3 deep-read markdown (Prompt B), imported 2026-09-30</t>
  </si>
  <si>
    <t>10.1016/j.compenvurbsys.2026.102414</t>
  </si>
  <si>
    <t>Zhang, H et al. (2026)</t>
  </si>
  <si>
    <t>TwinOR: photorealistic digital twins of dynamic operating rooms for embodied AI research</t>
  </si>
  <si>
    <t>Step-1 note: Operating-room DT; healthcare</t>
  </si>
  <si>
    <t>10.1007/s11548-026-03644-w</t>
  </si>
  <si>
    <t>Delhibabu, R et al. (2026)</t>
  </si>
  <si>
    <t>Interconnected digital twins of subway stations for decision support systems</t>
  </si>
  <si>
    <t>Interconnected digital twins of subway stations for decision support (VIT/FRC RAS): per-station DTs interconnected to interact during operational scenarios; cameras, microphones, sensors processed in fog computing; mobile app with intelligent assistant displays detected events and answers queries via voice; event detection for hazardous situations (fire/explosion); implementation improved personnel response time by 17.4% vs REPEAT platform. One-way monitoring to event detection to decision support for operators; no actuation and no learning loop. [Full-text source: 04c-port]</t>
  </si>
  <si>
    <t>Fills the incident-response gap of subway station digital twins: interconnected per-station twins process camera, microphone and sensor data in a fog computing environment, a fine-tuned YOLOv8 detector (mAP 0.5 of 92.4 percent) spots events shown on a mobile app with a voice assistant, and personnel response times improved by 17.4 percent versus the REPEAT platform across 50 simulated trials.</t>
  </si>
  <si>
    <t>Results come from simulated emergency scenarios, and continuous TCP/IP connectivity is assumed, so deep subterranean network degradation could break the fog-to-mobile pipeline; speech recognition reaches only a 14.2 percent word error rate under 85 dB noise, and the app runs only on Android and Linux; future plans include signaling and control integration to automatically stop trains and escalators.</t>
  </si>
  <si>
    <t>Camera feeds drive YOLOv8 event detection while microphone and sensor streams support a separate voice-assistant pipeline in the same fog-computing platform, with no common representation stated.</t>
  </si>
  <si>
    <t>Step-1 note: Interconnected subway station DTs; incident response | AB normalised to code list (source label "Perception / Computer Vision") | Coded from Step-3 deep-read markdown (Prompt B), imported 2026-09-30 | Prior matrix (v260816) verification note retained in 3_Change_Log</t>
  </si>
  <si>
    <t>10.1016/j.rineng.2026.110745</t>
  </si>
  <si>
    <t>Khan, M.S (2025)</t>
  </si>
  <si>
    <t>Data-driven digital twin-based smart tunnel maintenance system</t>
  </si>
  <si>
    <t>Data-driven digital-twin-based smart tunnel maintenance (Hanyang U, Intelligent Geoengineering 2025): six-layer framework integrates monitoring-system data, FM-system records and BIM models via a hierarchical tunnel data model/classification; tunnel case study generates maintenance plans and work orders from historical and current condition data with 3D visualisation; ML models predict twin state with sufficiently high accuracy for proactive FM planning and failure prevention. One-way monitoring-&gt;prediction-&gt;maintenance decisions; offline ML, no actuation, no learning loop. [Full-text source: browser-oa]</t>
  </si>
  <si>
    <t>Integrates monitoring, FM and BIM layers in one six-layer tunnel DT with a hierarchical data model, generating predictive maintenance plans and work orders that were validated on a real tunnel.</t>
  </si>
  <si>
    <t>ML model details and prediction accuracy metrics are only summarily reported; one tunnel case; no actuation or online model updating.</t>
  </si>
  <si>
    <t>Monitoring, FM and BIM data streams are fused through the hierarchical tunnel data model into one DT state.</t>
  </si>
  <si>
    <t>Step-1 note: Data-driven tunnel maintenance DT; safety/resilience | Coded from Step-3 deep-read markdown (Prompt B), imported 2026-09-30</t>
  </si>
  <si>
    <t>10.1016/j.ige.2025.09.002</t>
  </si>
  <si>
    <t>Mehrishal, S et al. (2025)</t>
  </si>
  <si>
    <t>Tunnel Rapid AI Classification (TRaiC): An Open-Source Code for 360° Tunnel Face Mapping, Discontinuity Analysis, and RAG-LLM-Powered Geo-Engineering Reporting</t>
  </si>
  <si>
    <t>Step-1 note: Tunnel face mapping tool; safety peripheral</t>
  </si>
  <si>
    <t>10.3390/rs17162891</t>
  </si>
  <si>
    <t>Hijjawi, M et al. (2026)</t>
  </si>
  <si>
    <t>Digital Twin–Driven Reinforcement Learning for Proactive Cyber-Financial Threat Mitigation in Smart Healthcare Systems</t>
  </si>
  <si>
    <t>Step-1 note: Healthcare cyber-financial DT; healthcare</t>
  </si>
  <si>
    <t>10.59543/jidmis.v3.1141</t>
  </si>
  <si>
    <t>Deng, R et al. (2026)</t>
  </si>
  <si>
    <t>Safety risk perception of high-rise building construction process based on digital twin technology</t>
  </si>
  <si>
    <t>Safety risk perception method for high-rise construction based on DT (Chongqing Polytechnic, IJCIS 2026): improved grey relational analysis screens safety influence factors; local linear embedding reduces factor-data dimension; DT architecture establishes a bidirectional mapping between physical construction space and virtual information space, defining a construction risk index with coupling influence terms; multi-level early warning thresholds embeddable in the existing site monitoring platform; experiments (incl. immersive-VR scenario data with EEG/eye-tracking plus sensor data) give recall 96.57-99.06%, accuracy 96.76-97.89%, perception time 0.62-0.87 s. One-way monitoring-&gt;risk perception-&gt;early warning; no actuation and no learning loop. [Full-text source: Endnote]</t>
  </si>
  <si>
    <t>Fills the recall/accuracy/latency gaps of previous safety-perception methods (dual-attention, BIM+GIS, multi-class AdaBoost): grey-relational screening plus LLE plus a coupling-risk DT index reaches 96.57-99.06% recall, 96.76-97.89% accuracy and 0.62-0.87 s perception time.</t>
  </si>
  <si>
    <t>Experiments rely on simulated/VR scenario data and multi-source construction data rather than a full live high-rise deployment; grey-relational factor screening depends on expert weighting, and the mapping to an existing site monitoring platform is described as feasible but not demonstrated end-to-end on site.</t>
  </si>
  <si>
    <t>Grey-relational factor screening, LLE-reduced multi-source construction data and coupling influence terms are combined into a single construction risk index that drives hierarchical early warning.</t>
  </si>
  <si>
    <t>Step-1 note: DT risk perception for high-rise construction safety | Coded from Step-3 deep-read markdown (Prompt B), imported 2026-09-30</t>
  </si>
  <si>
    <t>10.1504/IJCIS.2026.155961</t>
  </si>
  <si>
    <t>Du, W et al. (2025)</t>
  </si>
  <si>
    <t>Physics-based and data-driven long-term evolution of a landslide: From inversion to prediction</t>
  </si>
  <si>
    <t>Step-1 note: MPM geohazard twin; disaster prevention/mitigation | Full text not coded: Endnote candidate(s) found but identity not verified</t>
  </si>
  <si>
    <t>10.1016/j.enggeo.2025.108252</t>
  </si>
  <si>
    <t>Jiang, J et al. (2026)</t>
  </si>
  <si>
    <t>Application of the multimodal model for predicting rock mechanical parameters via MWD feature splicing and fusion</t>
  </si>
  <si>
    <t>Step-1 note: MWD multimodal prediction; no DT</t>
  </si>
  <si>
    <t>10.1016/j.trgeo.2026.102063</t>
  </si>
  <si>
    <t>Jahanbiglari, A et al. (2026)</t>
  </si>
  <si>
    <t>Human-AI trust for safer heavy-duty equipment management: Insights from socio-technical literature review and interviews</t>
  </si>
  <si>
    <t>Step-1 note: Human-AI trust review; DT peripheral enabling tech</t>
  </si>
  <si>
    <t>10.1016/j.dibe.2026.100983</t>
  </si>
  <si>
    <t>Mukherjee, R et al. (2026)</t>
  </si>
  <si>
    <t>Digital Twins Reimagined: Zero-Day LLM-Powered Moving Target Defense In-Depth for Real-Time CPS</t>
  </si>
  <si>
    <t>Step-1 note: Generic CPS zero-day security; not AECO</t>
  </si>
  <si>
    <t>10.1109/JIOT.2026.3679937</t>
  </si>
  <si>
    <t>Tzvetanov, K.T et al. (2025)</t>
  </si>
  <si>
    <t>Emergency preparedness planning for active shooter situations through higher-fidelity agent-based active shooter simulations: Framework for computational modeling of injury and blood loss</t>
  </si>
  <si>
    <t>Step-1 note: Active-shooter ABM; no DT, not AECO asset</t>
  </si>
  <si>
    <t>10.5055/jem.0929</t>
  </si>
  <si>
    <t>Xie, L et al. (2026)</t>
  </si>
  <si>
    <t>Real-time, crowdsourcing-enhanced forecasting of building functionality during urban floods</t>
  </si>
  <si>
    <t>Step-1 note: Flood impact forecasting; no DT</t>
  </si>
  <si>
    <t>10.1016/j.cacaie.2026.100163</t>
  </si>
  <si>
    <t>Shao, C et al. (2025)</t>
  </si>
  <si>
    <t>A visualization system for dam safety monitoring with application of digital twin platform</t>
  </si>
  <si>
    <t>Step-1 note: Dam safety monitoring visualization DT platform | Full text not coded: Endnote candidate(s) found but identity not verified</t>
  </si>
  <si>
    <t>10.1016/j.eswa.2025.126740</t>
  </si>
  <si>
    <t>Akhavian, R et al. (2026)</t>
  </si>
  <si>
    <t>Semantic-Gravity Iterative Closest Point and AI-assisted navigation for Robot-Ready Construction Digital Twins</t>
  </si>
  <si>
    <t>BIM2RDT pipeline (SDSU/UCSD, AutCon 2026): transforms static BIM into robot-ready construction digital twins; Semantic-Gravity ICP uses LLM-guided semantic reasoning to assign BIM-family-specific upright priors for low-feature scan-to-BIM registration (RMSE reduced 60-97% in high-noise controlled experiments); YOLOE open-vocabulary detection conditions perception; HAV vibration sensing written into IFC-compatible twin (IfcEvent/IfcTask) feeds context-aware cost maps for safety-aware robot path planning. Sensing-&gt;twin-&gt;planning loop with IFC updates, but robot actuation not demonstrated (navigation constraints proposed); controlled experiments only; no learning loop. [Full-text source: browser-oa]</t>
  </si>
  <si>
    <t>Semantic-Gravity ICP with LLM-inferred upright priors cuts registration RMSE by 60-97% in low-feature scenes, and the BIM2RDT loop writes sensor-detected safety activities (HAV) into IFC for context-aware robot planning.</t>
  </si>
  <si>
    <t>Controlled experiments without real construction-site robots; LLM orchestration is narrow/bounded (no long-horizon autonomy); actuation not demonstrated; generalisation across site types untested.</t>
  </si>
  <si>
    <t>BIM geometry, UGV visual observations and IoT/HAV sensing are fused in the twin, with semantic activity layers written to IFC.</t>
  </si>
  <si>
    <t>Step-1 note: BIM2RDT robot-ready DT; safety monitoring + path planning | Coded from Step-3 deep-read markdown (Prompt B), imported 2026-09-30</t>
  </si>
  <si>
    <t>10.1016/j.autcon.2026.107134</t>
  </si>
  <si>
    <t>Hasan, A et al. (2026)</t>
  </si>
  <si>
    <t>Agentic AI in Wind Energy Systems: Multi-Agent Architectures for Optimization and Resilience</t>
  </si>
  <si>
    <t>Step-1 note: Wind energy agentic AI; not AECO</t>
  </si>
  <si>
    <t>10.1109/ACCESS.2026.3654529</t>
  </si>
  <si>
    <t>Chang, X et al. (2026)</t>
  </si>
  <si>
    <t>Structural evaluation of cracked shield tunnels using computer-vision-based model updating techniques</t>
  </si>
  <si>
    <t>Step-1 note: CV-based FE model updating; no DT</t>
  </si>
  <si>
    <t>10.1016/j.aei.2025.103818</t>
  </si>
  <si>
    <t>Bahreini, F et al. (2025)</t>
  </si>
  <si>
    <t>Developing Computer Vision-Based Digital Twin for Vegetation Management near Power Distribution Networks</t>
  </si>
  <si>
    <t>Step-1 note: Power distribution vegetation DT; not AECO</t>
  </si>
  <si>
    <t>10.3390/rs17213565</t>
  </si>
  <si>
    <t>Zhang, Y et al. (2026)</t>
  </si>
  <si>
    <t>Digital twins for low-altitude transportation and logistics: A barrier-centric survey of UAV and eVTOL systems</t>
  </si>
  <si>
    <t>Step-1 note: UAV/eVTOL logistics survey; not AECO</t>
  </si>
  <si>
    <t>10.1016/j.tre.2026.105116</t>
  </si>
  <si>
    <t>Gusev, A.L et al. (2026)</t>
  </si>
  <si>
    <t>Maglev-enhanced vertical-axis wind turbines for hydrogen production and storage systems</t>
  </si>
  <si>
    <t>Step-1 note: Maglev wind turbines/hydrogen; energy, not AECO</t>
  </si>
  <si>
    <t>10.1016/j.ijhydene.2026.156914</t>
  </si>
  <si>
    <t>Kumar, A et al. (2026)</t>
  </si>
  <si>
    <t>Explainable artificial intelligence based simulation-to-real domain adaptation for robust rotor condition monitoring</t>
  </si>
  <si>
    <t>Step-1 note: Rotor condition monitoring; industrial machinery</t>
  </si>
  <si>
    <t>10.1016/j.aei.2026.104652</t>
  </si>
  <si>
    <t>Tu, W et al. (2026)</t>
  </si>
  <si>
    <t>Serviceability assessment and structural response forecasting of near-coast utility tunnels under soft-soil conditions</t>
  </si>
  <si>
    <t>Step-1 note: Utility tunnel monitoring framework; no DT</t>
  </si>
  <si>
    <t>10.1016/j.istruc.2026.112340</t>
  </si>
  <si>
    <t>Yan, H et al. (2026)</t>
  </si>
  <si>
    <t>Digital twin-enabled 3D near-misses prediction method based on trajectories and postures for proactive construction safety management</t>
  </si>
  <si>
    <t>Computer-vision-based digital twin framework for proactive near-miss prediction (Harbin IT): integrates real-time worker trajectories, postures and interactions into a dynamic 3D construction-site model; non-autoregressive transformer predicts future movement sequences (human motion model trained on Human3.6M dataset, inverse kinematics for joint angles) + collision detection identifies potential near-misses with early warnings; field-validated in three high-risk zones (forklift paths, floor openings, material lifting). One-way perception to prediction to early warning for safety managers; no actuation and no self-improvement loop (model is offline-trained). [Full-text source: 04c-port]</t>
  </si>
  <si>
    <t>Extends near-miss management from 2D detection to in-process 3D prediction: YOLOv5, SGBM, DeepSORT and MediaPipe keypoints feed a non-autoregressive transformer that forecasts worker trajectories (ADE 0.134) and postures (ADE 0.501), reconstructed by an LBFGS inverse-kinematics solver in Unreal Engine, predicting near-misses with 93.32% precision and 96.08% recall across forklift, floor-opening, and material-lifting zones.</t>
  </si>
  <si>
    <t>The motion prediction model is trained on the Human3.6M laboratory dataset, creating a generalization gap to real construction postures; occlusions, lighting variability, and camera positioning limit reliability, and validation covered only three relatively simple high-risk zones. Future work adds more sensor types, lightweight edge-distributed architectures, domain-adaptive learning, and broader site validation.</t>
  </si>
  <si>
    <t>Worker trajectories (YOLOv5/SGBM/DeepSORT/MediaPipe) and BIM scene geometry jointly feed a non-autoregressive transformer plus inverse-kinematics reconstruction for 3D near-miss prediction.</t>
  </si>
  <si>
    <t>Step-1 note: DT 3D near-miss prediction; proactive safety | Coded from Step-3 deep-read markdown (Prompt B), imported 2026-09-30 | Prior matrix (v260816) verification note retained in 3_Change_Log</t>
  </si>
  <si>
    <t>10.1108/ECAM-05-2025-0732</t>
  </si>
  <si>
    <t>Sun, H et al. (2025)</t>
  </si>
  <si>
    <t>Digital twin of advanced geological conditions in rock tunnel construction</t>
  </si>
  <si>
    <t>Digital twin for advanced geological conditions in rock tunnel construction (Tongji U): multi-source geological data (water content, lithology, integrity) → multi-dimensional virtual models (geometric, attribute, behavior); fuzzy cloud probability model quantifies uncertainty for intelligent rock classification (92.95% accuracy); iS3 platform implements closed-loop data-model-decision; validated on five rock tunnel projects. Closed-loop data→model→decision→feedback → Tier 3; no learning loop (fuzzy cloud is probabilistic, not learning). [Full-text source: 04c-port]</t>
  </si>
  <si>
    <t>Closes the data-model-decision loop for geological uncertainty ahead of tunnel faces: TEM, GPR and borehole data become point-cloud models of water content, lithology and integrity via KNN interpolation, and a fuzzy cloud probability model quantifies uncertainty to classify surrounding rock per meter within a 30 m range, achieving 92.95 percent accuracy across 539 exposed-rock records of five tunnels on the Tongji iS3 platform.</t>
  </si>
  <si>
    <t>Decision factors cover only water content, lithology and integrity; GPR captures a single cross-section so longitudinal integrity variation is missing, databases are unevenly sized, and per-cycle computation of 10-60 s grows to 2-5 minutes for concurrent tunnels; the authors propose GPU and KD-tree acceleration plus extension to soft-soil and underwater tunnels.</t>
  </si>
  <si>
    <t>TEM, GPR and borehole data are converted into point-cloud models of water content, lithology and integrity and jointly classified by a fuzzy cloud probability model into surrounding-rock classes.</t>
  </si>
  <si>
    <t>Step-1 note: Geological DT for rock tunnel; risk management | Coded from Step-3 deep-read markdown (Prompt B), imported 2026-09-30 | Prior matrix (v260816) verification note retained in 3_Change_Log</t>
  </si>
  <si>
    <t>10.1016/j.autcon.2025.106407</t>
  </si>
  <si>
    <t>Chan, F.K.S et al. (2026)</t>
  </si>
  <si>
    <t>Smart Technological Urban Flood Management Strategies Are “Must-Do” Approaches: The Case of Chinese Coastal Megacity, Ningbo, East Coast of China</t>
  </si>
  <si>
    <t>Ningbo smart flood management case study (UNNC/Leeds, Water 2026): assesses the city Water Bureau deployed digital twin with 3D flood mapping and real-time monitoring during typhoons In-Fa (2021) and Muifa (2022), demonstrating effective safeguarding of public safety; priorities identified: computing capacity, cross-departmental coordination, open data sharing and AI integration. Governance-level evaluation of a deployed one-way monitoring/decision-support platform; no actuation, no learning loop (AI not yet integrated). [Full-text source: browser-oa]</t>
  </si>
  <si>
    <t>Provides real-event evidence (typhoons In-Fa and Muifa) that a city-scale DT with 3D flood mapping and real-time monitoring safeguards public safety, with concrete governance recommendations for scaling.</t>
  </si>
  <si>
    <t>Second-hand evaluation of a government platform (no technical details of the twin architecture or fusion); no quantitative flood metrics; AI integration is only recommended.</t>
  </si>
  <si>
    <t>The deployed Ningbo platform integrates 3D flood mapping with real-time monitoring, but fusion architecture is not described in this governance-focused study.</t>
  </si>
  <si>
    <t>Step-1 note: Ningbo smart flood DT; public safety | Coded from Step-3 deep-read markdown (Prompt B), imported 2026-09-30</t>
  </si>
  <si>
    <t>10.3390/w18030427</t>
  </si>
  <si>
    <t>Allalou, R et al. (2026)</t>
  </si>
  <si>
    <t>BIM-GIS integrated hydrodynamic modeling for road flood risk assessment: A case study in Algeria’s Chiffa Wadi</t>
  </si>
  <si>
    <t>Step-1 note: BIM-GIS-HDM flood framework; DT future only</t>
  </si>
  <si>
    <t>10.1016/j.ress.2025.111906</t>
  </si>
  <si>
    <t>Sun, J et al. (2026)</t>
  </si>
  <si>
    <t>An Enhanced Digital Twin-Driven Fault Diagnosis Approach Based on Deep Multimodal Information Fusion for Marine Machinery</t>
  </si>
  <si>
    <t>Step-1 note: Marine machinery fault DT; offshore, not AECO</t>
  </si>
  <si>
    <t>10.1109/JSEN.2025.3644934</t>
  </si>
  <si>
    <t>Nguyen, T.H et al. (2026)</t>
  </si>
  <si>
    <t>Towards Digital Twin in Flood Forecasting with Data Assimilation Satellite Earth Observations—A Proof-of-Concept</t>
  </si>
  <si>
    <t>Step-1 note: River flood forecasting DT; hydrology domain</t>
  </si>
  <si>
    <t>10.3390/rs18050685</t>
  </si>
  <si>
    <t>Teng, H et al. (2026)</t>
  </si>
  <si>
    <t>Dual-Dimensional Collaborative Analysis for the Optimization of Slope Monitoring Points</t>
  </si>
  <si>
    <t>Step-1 note: FLAC3D-as-twin slope monitoring optimization; landslide safety | Full text not coded: Endnote candidate(s) found but identity not verified</t>
  </si>
  <si>
    <t>10.1061/IJGNAI.GMENG-13767</t>
  </si>
  <si>
    <t>Domina, O et al. (2025)</t>
  </si>
  <si>
    <t>THE IMPACT OF ARTIFICIAL INTELLIGENCE ON THE FORMATION OF A TEACHER’S DIGITAL TWIN IN THE METAVERSE</t>
  </si>
  <si>
    <t>Step-1 note: Teacher digital twin in metaverse; education</t>
  </si>
  <si>
    <t>10.15330/jpnu.12.3.169-185</t>
  </si>
  <si>
    <t>Guo, C et al. (2026)</t>
  </si>
  <si>
    <t>Deep Reinforcement Learning-Based Intelligent Battery Charging Strategy</t>
  </si>
  <si>
    <t>Step-1 note: Battery charging DRL; not AECO</t>
  </si>
  <si>
    <t>10.1002/ente.70567</t>
  </si>
  <si>
    <t>Arin, I.A et al. (2025)</t>
  </si>
  <si>
    <t>An Integrated Digital Twin Architecture for Proposing Field Service Management Model in Fiber Optic Network Infrastructure: A Design Science Approach</t>
  </si>
  <si>
    <t>Step-1 note: Telecom fiber FSM DT; not AECO</t>
  </si>
  <si>
    <t>10.18280/isi.300511</t>
  </si>
  <si>
    <t>Na, Y et al. (2026)</t>
  </si>
  <si>
    <t>Data-Driven Piecewise Bivariate Regression for Best-Estimate Natural Periods of Buildings</t>
  </si>
  <si>
    <t>Step-1 note: Natural-period regression; no DT</t>
  </si>
  <si>
    <t>10.3390/buildings16071430</t>
  </si>
  <si>
    <t>Iqbal, M et al. (2025)</t>
  </si>
  <si>
    <t>IoV-TwinChain: Predictive maintenance of vehicles in internet of vehicles through digital twin and blockchain</t>
  </si>
  <si>
    <t>Step-1 note: IoV predictive maintenance; vehicles, not AECO</t>
  </si>
  <si>
    <t>10.1016/j.iot.2025.101514</t>
  </si>
  <si>
    <t>Machado, L.B et al. (2025)</t>
  </si>
  <si>
    <t>Automated procedural modeling for tunnel inspection and digital twin development</t>
  </si>
  <si>
    <t>Automated procedural modeling for tunnel inspection and digital twin development (USP): parametric modeling + field data → automated procedural modeling framework for tunnel inspection DT; PCD from Faro Focus 3D X330 laser scanner; Mesh Decimation Quality (MDQ) index evaluates mesh quality during decimation; procedural inspection grid identifies defects and classifies areas; Coastal Tunnel (Brazil) case study. Static DT for inspection — no live data link, no actuation, no learning loop. [Full-text source: 04c-port]</t>
  </si>
  <si>
    <t>Automates tunnel inspection digital twin creation from heterogeneous field data: point clouds from a Faro Focus 3D X330 scan of the Coastal Tunnel are cleaned and decimated, meshed by Poisson reconstruction in Grasshopper, with the new MDQ index guiding mesh quality, and metadata attached via EleFront; digital inspection took about 18 minutes versus 46 minutes manual and located a leakage the visual survey missed.</t>
  </si>
  <si>
    <t>The model is static with no real-time synchronization, digital inspection missed fine shrinkage cracks, portal overexposure prevents accurate color extraction, internet access is required for server connection, and point cloud density depends on scanning equipment; the authors plan additional information layers and UAV or ROV LiDAR acquisition for hard-to-reach tunnels.</t>
  </si>
  <si>
    <t>Only Faro Focus 3D X330 point-cloud data feed the procedural modelling pipeline; parametric/procedural modelling are model-generation steps, not additional measured data types.</t>
  </si>
  <si>
    <t>CHECK: coded Multi in AC but fusion=Single</t>
  </si>
  <si>
    <t>Step-1 note: Procedural tunnel inspection DT; defect detection safety | Coded from Step-3 deep-read markdown (Prompt B), imported 2026-09-30 | Prior matrix (v260816) verification note retained in 3_Change_Log</t>
  </si>
  <si>
    <t>10.1016/j.tust.2025.106929</t>
  </si>
  <si>
    <t>Larsen, T.N et al. (2025)</t>
  </si>
  <si>
    <t>Resource-constrained dynamic planning and model-free control in turbulent urban environments</t>
  </si>
  <si>
    <t>Step-1 note: Quadrotor urban DT; UAV navigation, not AECO</t>
  </si>
  <si>
    <t>10.1016/j.robot.2025.105130</t>
  </si>
  <si>
    <t>Yin, C et al. (2026)</t>
  </si>
  <si>
    <t>Topology guided fourier neural operator with decoupled geometric parameterization for dam leakage detection</t>
  </si>
  <si>
    <t>Topology-guided Fourier Neural Operator (TG-FNO) with decoupled geometric parameterization for dam leakage detection (Chongqing Jiaotong U/HKUST): FNO replaces numerical solver for forward potential-field simulation (345x speedup, mean rel error 3.18%); decoupled geometric parameterization separates deterministic defect from stochastic background; Navigator network extracts coarse topological priors to initialize parallel multi-hypothesis workflow; 99.7% avg inversion success rate, 89.3% high-fidelity reconstruction, 72x overall acceleration vs FEM; robust to 20% noise and 50% data loss, detects unseen low-contrast early leakages, OOD generalization without retraining. One-way ERT-&gt;inversion-&gt;leakage localization for safety monitoring; implemented operator-learning surrogate (offline-trained), no actuation. [Full-text source: 04c-port]</t>
  </si>
  <si>
    <t>Overcomes the conflict between smoothness priors and sharp leakage boundaries in ERT dam monitoring: a topology-guided Fourier neural operator with decoupled geometric parameterization and a Navigator warm start localizes dam leakage with 99.7% success and 89.3% high-fidelity rates, accelerating forward modeling 345-fold and inversion 72-fold versus finite element methods, while remaining stable under 20% noise and 50% data loss.</t>
  </si>
  <si>
    <t>Evaluation is entirely numerical on synthetic 2D datasets with single circular anomalies; the parameterization restricts detection to predefined shapes, spectral truncation distorts geometry, and the simulation-to-reality gap leaves field deployment untested. Future work adopts level-set representations, synchrosqueezed wavelet transforms, and libraries of condition-specific operators.</t>
  </si>
  <si>
    <t>Only electrical-resistivity-tomography data drive the TG-FNO forward model and leakage inversion; all validation uses synthetic ERT datasets.</t>
  </si>
  <si>
    <t>Step-1 note: FNO dam leakage detection; safety monitoring | Coded from Step-3 deep-read markdown (Prompt B), imported 2026-09-30 | Prior matrix (v260816) verification note retained in 3_Change_Log</t>
  </si>
  <si>
    <t>10.1016/j.cacaie.2026.100073</t>
  </si>
  <si>
    <t>Álvaro, M.D et al. (2025)</t>
  </si>
  <si>
    <t>GUIDE2FR: A smart monitoring platform with a digital twin of a firefighter training tower for emergency scenarios</t>
  </si>
  <si>
    <t>GUIDE2FR emergency-monitoring DT of a firefighter training tower (Alcorcón): Wi-Fi/LoRa beacon network (temp, humidity, CO2, TVOC) + RTSP video synchronised in a Grafana plugin; offline-trained ML forecasting pipeline (SVR/RF/Huber/GPR, forward-chaining CV, tested on 4 beacons at Fire Station 9) visualised in the DT; one-way data flow to human decision-makers, no actuation and no online learning loop. [Full-text source: 04c-port]</t>
  </si>
  <si>
    <t>Fills the gap between fire-safety DT research and operational emergency response: a functioning building DT (GUIDE2FR) fusing Wi-Fi/LoRa environmental beacons with live RTSP video in a Grafana plugin, plus an offline-trained ML forecasting pipeline (SVR, Huber, Random Forest, Gaussian Process, forward-chaining CV, adaptive ensemble) tested on data from four beacons during firefighter training exercises at Fire Station 9 in Madrid.</t>
  </si>
  <si>
    <t>No actuation or bidirectional link to building systems: forecasting models are offline-trained and never updated online. The platform relies on proprietary ArcGIS, assumes a reliable wireless network, and sensor accuracy under extreme conditions is unverified; future work targets open-source visualization and integration with more real assets for active response and evacuation mechanisms.</t>
  </si>
  <si>
    <t>Each video segment is timestamped and the custom Grafana plugin cross-references RTSP video streams with time-series sensor data stored in MySQL, giving video and beacon data a shared temporal frame (inference still runs on sensor series only).</t>
  </si>
  <si>
    <t>Step-1 note: GUIDE2FR firefighter tower DT; emergency safety | Coded from Step-3 deep-read markdown (Prompt B), imported 2026-09-30 | Prior matrix (v260816) verification note retained in 3_Change_Log</t>
  </si>
  <si>
    <t>10.1016/j.iot.2025.101768</t>
  </si>
  <si>
    <t>Zhu, D et al. (2025)</t>
  </si>
  <si>
    <t>Research on the Infrastructure Resilience System and Sustainable Development of Coastal Cities in the Bohai Sea, China: A Multi-Model and Spatiotemporal Heterogeneity Analysis Based on CAS</t>
  </si>
  <si>
    <t>Step-1 note: Regional resilience CAS evaluation; no DT</t>
  </si>
  <si>
    <t>10.3390/su17188232</t>
  </si>
  <si>
    <t>Zhang, R.-Z et al. (2026)</t>
  </si>
  <si>
    <t>Artificial intelligence in reactor physics: current status and future prospects</t>
  </si>
  <si>
    <t>Step-1 note: AI reactor physics; nuclear, not AECO</t>
  </si>
  <si>
    <t>10.1007/s41365-026-01928-z</t>
  </si>
  <si>
    <t>Ahani, E et al. (2026)</t>
  </si>
  <si>
    <t>Structural glass health monitoring: A comparative evaluation of flaw detection approaches</t>
  </si>
  <si>
    <t>Step-1 note: Structural glass SHM; no DT</t>
  </si>
  <si>
    <t>10.1016/j.compstruct.2026.120072</t>
  </si>
  <si>
    <t>Chen, H et al. (2026)</t>
  </si>
  <si>
    <t>Automatic management of shield attitude: insights from sensor data analysis and hybrid machine learning</t>
  </si>
  <si>
    <t>Step-1 note: DT-driven shield attitude control; tunnel safety | Full text not coded: Endnote candidate(s) found but identity not verified</t>
  </si>
  <si>
    <t>10.1016/j.aei.2026.104521</t>
  </si>
  <si>
    <t>Guo, F et al. (2026)</t>
  </si>
  <si>
    <t>AN INTELLIGENT CONSTRUCTION SYSTEM BASED ON DIGITAL TWIN AND FOUNDATION MODEL OPTIMIZATION</t>
  </si>
  <si>
    <t>DT x Transformer closed-loop intelligent construction system for high-rise self-climbing platform (HUST/UNSW): video/sensor/BIM/text aligned at component level via Component-ID+Timestamp; multimodal Transformer for operation-state recognition and short-horizon risk prediction; policy module encodes safety/resource/spatial precedence constraints to generate feasible task sequences delivered to crews via AR with acknowledgments to close the loop; validated on high-rise SCP project (extends risk-warning lead time, reduces violation rates, shortens decision latency). Bidirectional closed-loop (DT-&gt;reasoning-&gt;AR execution) -&gt; Tier 3; no learning loop. [Full-text source: 04c-port]</t>
  </si>
  <si>
    <t>Closes the perception-to-execution gap on a real high-rise self-climbing platform project: Component-ID plus timestamp aligns video, sensor, BIM and text streams; a multimodal Transformer recognizes operation states and predicts short-horizon risks; constraint-encoded policies generate feasible task sequences delivered via AR with acknowledgments, raising warning lead time from 1.8 to 4.6 seconds and cutting violations by 52 percent.</t>
  </si>
  <si>
    <t>High-resolution perception and large-model inference raise computational and maintenance costs, edge computing depends on stable power and network, AR execution relies on worker adaptation, and validation covers a single SCP project with confidential raw data. Future research targets model compression, lightweight deployment and adaptive zoning for scalability.</t>
  </si>
  <si>
    <t>Video, sensor, BIM and text streams are aligned at component level via Component-ID + timestamp and then jointly processed by a multimodal Transformer for operation-state recognition and short-horizon risk prediction.</t>
  </si>
  <si>
    <t>Step-1 note: DT x foundation-model closed loop for SCP; safety | Coded from Step-3 deep-read markdown (Prompt B), imported 2026-09-30 | Prior matrix (v260816) verification note retained in 3_Change_Log</t>
  </si>
  <si>
    <t>10.3846/jcem.2026.26154</t>
  </si>
  <si>
    <t>Syed, T.A et al. (2026)</t>
  </si>
  <si>
    <t>Agentic AI-enhanced digital twins for Smart City civil infrastructure: A secure, autonomous and auditable management framework</t>
  </si>
  <si>
    <t>Agentic AI-enhanced DT framework for smart-city civil infrastructure (Islamic U Madinah, PLOS ONE 2026): DT continuously updates asset/network models of bridges, roads and water infrastructure from multi-stream telemetry with state estimation, predictive maintenance and what-if simulation; LangChain/LangGraph Perception-Conceptualization-Action multi-agent workflow performs cross-domain reasoning and coordinated mitigation planning through controlled API calls; permissioned blockchain cryptographically binds observations, approvals and executed interventions; evaluated with 18,000 incident simulations (5 architectures x 3 complexity levels x 30 runs): mean detection latency 3,197 s vs 39,374 s, mitigation success 66.2% vs 45.5%, blockchain-anchored justifications 71.8%, operator workload -91.7%. Synthetic evaluation only (authors state no real-world operational validation); agentic recommendations with human operators; no learning loop. [Full-text source: Endnote]</t>
  </si>
  <si>
    <t>Fills the anomaly-detection-to-action gap in smart-city infrastructure management: agent-based Perception-Conceptualization-Action orchestration plus a permissioned blockchain links monitoring, reasoning and executed interventions with auditability, cutting detection latency from 39,374 s to 3,197 s and raising mitigation success to 66.2% in 18,000 simulations.</t>
  </si>
  <si>
    <t>Evaluation is fully synthetic (18,000 simulations; authors state it does not constitute real-world operational validation); mitigation actions, latency and blockchain overhead on municipal infrastructure remain unverified, and LLM-agent behaviours are not stress-tested against adversarial or data-quality issues.</t>
  </si>
  <si>
    <t>Multi-stream telemetry, state estimation, what-if simulation and blockchain-anchored action records are integrated through the agent orchestration layer into one decision pipeline.</t>
  </si>
  <si>
    <t>Step-1 note: Agentic AI DT for civil infrastructure; safe intervention | Coded from Step-3 deep-read markdown (Prompt B), imported 2026-09-30</t>
  </si>
  <si>
    <t>10.1371/journal.pone.0353610</t>
  </si>
  <si>
    <t>CHEN, L et al. (2025)</t>
  </si>
  <si>
    <t>Development and application of digital twins technology in aircraft strength design; [数 字 孪 生 技 术 在 飞 行 器 强 度 设 计 中 的 发 展 及 应 用]</t>
  </si>
  <si>
    <t>Step-1 note: Aircraft strength design DT; aerospace</t>
  </si>
  <si>
    <t>10.7527/S1000-6893.2025.32252</t>
  </si>
  <si>
    <t>Patil, V.B et al. (2026)</t>
  </si>
  <si>
    <t>Multi-Source Heterogeneous Data Fusion in Smart Industrial Systems: Intelligent Monitoring, Predictive Quality Assessment, and Fault Diagnosis for Safer Operations</t>
  </si>
  <si>
    <t>Step-1 note: Industrial MSHDF review; not AECO</t>
  </si>
  <si>
    <t>10.59543/jidmis.v3.2254</t>
  </si>
  <si>
    <t>Shen, W et al. (2026)</t>
  </si>
  <si>
    <t>Reverse digital twin mapping of building envelope anomalies based on UAV infrared point clouds</t>
  </si>
  <si>
    <t>Reverse digital twin mapping of building envelope anomalies based on UAV infrared point clouds (Huaqiao U): PCRNet fuses infrared + point cloud data; CNN-based anomaly detection for regular/irregular geometric envelope structures; compares extracted temperature info with labeled abnormal dataset; 299 experimental data points, 92% accuracy, 96.3% precision, 94% recall, 95.1% F1-score, 5.21s detection speed. Static DT mapping — no live data link, no actuation, no learning loop. [Full-text source: 04c-port]</t>
  </si>
  <si>
    <t>Proposes reverse digital twin mapping of building envelope anomalies from UAV infrared point clouds: a PCRNet-based fusion model adds depth information for irregular geometries and a CNN detector classifies thermal anomalies, achieving 92% average accuracy, 96.3% precision, 94% recall and a 95.1% F1 score across 299 data points at 5.21 seconds per item, with anomalies registered into a digital twin model through Mask R-CNN markers for object-oriented management.</t>
  </si>
  <si>
    <t>The dataset covers a single building case, processing still requires manual intervention rather than an end-to-end automated loop, and detection is limited to thermal defects such as thermal bridges and insulation damage, with weak recognition of fine cracks, weathering or mold; field findings also included false alarms from air-conditioner units. Future research targets multi-climate benchmark datasets, multimodal fusion, cloud plus 5G automation and large language model maintenance agents.</t>
  </si>
  <si>
    <t>PCRNet fuses infrared imagery with point-cloud depth information, and a CNN detects anomalies on the fused representation, achieving 92% accuracy and 95.1% F1.</t>
  </si>
  <si>
    <t>Step-1 note: Reverse DT envelope anomaly mapping; safety hazards | AB normalised to code list (source label "Perception / Computer Vision") | Coded from Step-3 deep-read markdown (Prompt B), imported 2026-09-30 | Prior matrix (v260816) verification note retained in 3_Change_Log</t>
  </si>
  <si>
    <t>10.1016/j.measurement.2025.119256</t>
  </si>
  <si>
    <t>Kudus, S.A et al. (2026)</t>
  </si>
  <si>
    <t>Acoustic Emission-Based Assessment of Damage Evolution in Bridge Systems: Methods, Indicators, and Advances in Structural Mechanics</t>
  </si>
  <si>
    <t>Step-1 note: AE bridge monitoring review; no DT core</t>
  </si>
  <si>
    <t>10.1007/s10921-026-01388-w</t>
  </si>
  <si>
    <t>Jiang, L et al. (2026)</t>
  </si>
  <si>
    <t>Governing Data Integrity Risks in Digital Construction: A Qualitative Liability Framework for Generative AI Across the AEC Lifecycle and Smart City Operations</t>
  </si>
  <si>
    <t>Step-1 note: Legal liability framework; no DT built</t>
  </si>
  <si>
    <t>10.3390/buildings16132577</t>
  </si>
  <si>
    <t>Zhou, J et al. (2025)</t>
  </si>
  <si>
    <t>A high-definition map architecture for transportation digital twin system construction</t>
  </si>
  <si>
    <t>Step-1 note: Traffic DT HD-map architecture; no DfS/DfQ</t>
  </si>
  <si>
    <t>10.1016/j.jag.2025.104822</t>
  </si>
  <si>
    <t>Li, Y et al. (2026)</t>
  </si>
  <si>
    <t>SafeTwinNet: Secure and Adaptive Learning Ecosystems for Digital Twins</t>
  </si>
  <si>
    <t>Step-1 note: Generic FL networking for DT; domain unspecified</t>
  </si>
  <si>
    <t>10.1109/MCOMSTD.2025.3649865</t>
  </si>
  <si>
    <t>Zohourian, M et al. (2026)</t>
  </si>
  <si>
    <t>Artificial Intelligence in the Construction Industry: A Comprehensive Review of Benefits and Challenges</t>
  </si>
  <si>
    <t>Step-1 note: Broad AI-in-construction review; DT one technology</t>
  </si>
  <si>
    <t>10.1061/JLADAH.LADR-1397</t>
  </si>
  <si>
    <t>Fan, T et al. (2026)</t>
  </si>
  <si>
    <t>Construction method of a transparent tunneling geological navigation system based on integrated borehole geophysical exploration; [基于钻孔综合物探的透明掘进地质导航系统构建方法]</t>
  </si>
  <si>
    <t>Step-1 note: Coal mine tunneling navigation; mining domain</t>
  </si>
  <si>
    <t>10.12438/cst.2025-0692</t>
  </si>
  <si>
    <t>Lee, M.-H et al. (2026)</t>
  </si>
  <si>
    <t>Nunchi as safety labor: a phenomenological study of transgender women’s survival in South Korea</t>
  </si>
  <si>
    <t>Step-1 note: Transgender health phenomenology; non-AECO</t>
  </si>
  <si>
    <t>10.1080/26895269.2026.2669181</t>
  </si>
  <si>
    <t>Cueva, M et al. (2026)</t>
  </si>
  <si>
    <t>Remote sensing and GIS-based mapping of tree fall risk and hazard along railway lines in Germany</t>
  </si>
  <si>
    <t>Step-1 note: GIS tree-fall mapping; DT only data source</t>
  </si>
  <si>
    <t>10.1007/s12518-026-00769-0</t>
  </si>
  <si>
    <t>Salmi, J et al. (2025)</t>
  </si>
  <si>
    <t>BIM for mining - Automated generation of information models using a parametric modelling concept</t>
  </si>
  <si>
    <t>Step-1 note: BIM for mining; mining domain</t>
  </si>
  <si>
    <t>10.1016/j.ijrmms.2025.106032</t>
  </si>
  <si>
    <t>Tian, J et al. (2026)</t>
  </si>
  <si>
    <t>Digital twin-driven intelligent structural fault diagnosis and decision-making for earth-rock dams using large language models</t>
  </si>
  <si>
    <t>Step-1 note: Earth-rock dam DT fault diagnosis + LLM; operational safety | Full text not coded: Endnote candidate(s) found but identity not verified</t>
  </si>
  <si>
    <t>10.1016/j.engstruct.2026.123298</t>
  </si>
  <si>
    <t>Hueros-Barrios, P.J et al. (2026)</t>
  </si>
  <si>
    <t>Real-time digital twin prototype for cyber-physical analysis of anomalies in PV–PEM–BESS systems for green hydrogen production</t>
  </si>
  <si>
    <t>Step-1 note: PV-PEM-BESS hydrogen testbed; energy, not AECO</t>
  </si>
  <si>
    <t>10.1016/j.segan.2026.102152</t>
  </si>
  <si>
    <t>Samaei, S.R et al. (2026)</t>
  </si>
  <si>
    <t>Field-Validated Digital Twin–Enabled Structural Health Monitoring for Offshore High-Pile Wharves</t>
  </si>
  <si>
    <t>Closed-loop SHM digital twin for offshore high-pile wharves (Islamic Azad U/WSSET, Future Cities and Environment 2026): 12-month field deployment instrumented six piles with triaxial accelerometers and strain gauges (GPS-synchronised, 100 Hz); unsupervised VAE anomaly score fused with CNN-GNN classifier for window-level damage probabilities and pile-by-elevation localisation; DT assimilates diagnostics via weighted least squares + EKF with model-uncertainty-derived covariance; what-if simulations quantify repair consequences; F1 0.95, AUC-ROC 0.98, false-alarm 2-5%, median detection latency ~45 s; online updating reduces frequency bias 4.8%-&gt;0.9% and raises mode-shape MAC 0.81-&gt;0.92. Monitoring-&gt;diagnostics-&gt;risk-informed maintenance planning (no actuation); online model updating implemented, no convergence criterion. [Full-text source: browser-oa]</t>
  </si>
  <si>
    <t>Closes the loop between multimodal DL diagnostics and continuous physics-based model updating on a real operating wharf: EKF assimilation with field-derived uncertainty cuts frequency bias to 0.9% and lifts MAC to &gt;=0.92, with 45 s median detection latency and 2-5% false alarms.</t>
  </si>
  <si>
    <t>Single wharf deployment; VAE-CNN-GNN fusion weights and EKF tuning details partially reported; what-if repair scenarios are diagnostic, not actuated; long-term drift under extreme storms unverified.</t>
  </si>
  <si>
    <t>VAE anomaly scores are fused with CNN-GNN classifier outputs into window-level damage probabilities, and diagnostics are assimilated with physics via EKF into one twin state.</t>
  </si>
  <si>
    <t>Step-1 note: Offshore high-pile wharf SHM with physics DT; safety | Coded from Step-3 deep-read markdown (Prompt B), imported 2026-09-30</t>
  </si>
  <si>
    <t>10.70917/fce-2026-010</t>
  </si>
  <si>
    <t>Nguyen, P et al. (2026)</t>
  </si>
  <si>
    <t>AI-driven digital twin-based security orchestration, automation and response for critical infrastructures</t>
  </si>
  <si>
    <t>Step-1 note: Generic CI security orchestration; not AECO</t>
  </si>
  <si>
    <t>10.1007/s10515-026-00612-1</t>
  </si>
  <si>
    <t>Ashwini, R et al. (2026)</t>
  </si>
  <si>
    <t>Federated Digital Twin Reinforcement Learning Framework with Physics Informed Intelligence for Autonomous Battery Management Systems</t>
  </si>
  <si>
    <t>Step-1 note: Battery BMS federated DT; not AECO</t>
  </si>
  <si>
    <t>10.59543/jidmis.v3.1041</t>
  </si>
  <si>
    <t>Jin, T et al. (2026)</t>
  </si>
  <si>
    <t>Attention Mechanisms and FFM Feature Fusion Module-Based Modification of the Deep Neural Network for Detection of Structural Cracks</t>
  </si>
  <si>
    <t>Step-1 note: Crack-detection CNN; no DT</t>
  </si>
  <si>
    <t>10.32604/cmes.2026.076415</t>
  </si>
  <si>
    <t>Gupta, D.K (2026)</t>
  </si>
  <si>
    <t>Pipeline safety for hydrogen and green gas networks in the net-zero energy transition: a brief review</t>
  </si>
  <si>
    <t>Step-1 note: Hydrogen pipeline safety review; energy pipelines</t>
  </si>
  <si>
    <t>10.1007/s10751-026-02482-1</t>
  </si>
  <si>
    <t>Rocca, I et al. (2026)</t>
  </si>
  <si>
    <t>Digital heritage preservation through drone surveying: Vulnerability analysis of Venetian church façades</t>
  </si>
  <si>
    <t>Step-1 note: Drone-surveyed heritage facade DT; vulnerability/safety | Full text not coded: Endnote candidate(s) found but identity not verified</t>
  </si>
  <si>
    <t>10.1016/j.daach.2026.e00537</t>
  </si>
  <si>
    <t>Villaverde, I et al. (2026)</t>
  </si>
  <si>
    <t>A Digital Twin-Driven System for Road Maintenance: Integrating UAVs and AMRs for Automated Inspection and Measurement</t>
  </si>
  <si>
    <t>Digital twin-driven system for road maintenance (TECNALIA): UAV + AMR integration for automated inspection and measurement of road assets; data fusion and real-time synchronisation between field agents and centralised DT; retro-reflectivity monitoring of signage, obstacle/vegetation detection; supports data-driven maintenance planning; case study on Italian highway network. One-way monitoring→DT→maintenance planning; no actuation and no learning loop. [Full-text source: 04c-port]</t>
  </si>
  <si>
    <t>Demonstrates an operational UAV plus AMR inspection workflow synchronized with a cloud digital twin: a UAV with YOLOX detection, UPerNet segmentation, and LiDAR retro-reflectivity analysis covers vertical signage and vegetation, while an AMR measures horizontal markings, with MQTT and Node-RED data fusion into ontology-based KPI dashboards, validated at the A24 motorway Gran Sasso Nord site in central Italy, with sub-10-cm AMR navigation repeatability.</t>
  </si>
  <si>
    <t>Validated only in clear daylight conditions, with sensor accuracy unproven in rain, fog, or low light and the Jetson Orin GPU running near capacity, limiting model complexity; EU regulation 2022/1426 currently bars fully autonomous AMR operation on open roads, and the twin only reports conditions without actuation. Future work covers sensor redundancy, adverse-weather training, predictive maintenance, automated work orders, and compliance-by-design.</t>
  </si>
  <si>
    <t>UAV and AMR measurements are geo-registered and merged via MQTT/Node-RED into ontology-based KPI dashboards, sharing a geospatial frame while KPI analytics run per asset type.</t>
  </si>
  <si>
    <t>Step-1 note: UAV+AMR road maintenance DT; operational safety | AB normalised to code list (source label "Perception / Computer Vision") | Coded from Step-3 deep-read markdown (Prompt B), imported 2026-09-30 | Prior matrix (v260816) verification note retained in 3_Change_Log</t>
  </si>
  <si>
    <t>10.3390/infrastructures11040124</t>
  </si>
  <si>
    <t>Wang, Y et al. (2026)</t>
  </si>
  <si>
    <t>Mapping the Affordability of Campus Digital Twin Implementation in the United States</t>
  </si>
  <si>
    <t>Step-1 note: Campus DT affordability mapping; economics, no DfS/DfQ</t>
  </si>
  <si>
    <t>10.3390/smartcities9080122</t>
  </si>
  <si>
    <t>Roversi, R et al. (2026)</t>
  </si>
  <si>
    <t>Energy-Aware Digital Twin Frameworks for Port Building Clusters: Integrating Structural Health Monitoring, Smart Metering, and Retrofit Prioritization</t>
  </si>
  <si>
    <t>Step-1 note: Port building cluster DT; industrial port domain</t>
  </si>
  <si>
    <t>10.3390/su18136443</t>
  </si>
  <si>
    <t>Xu, D et al. (2026)</t>
  </si>
  <si>
    <t>Digital twin system for deepwater well construction: Enhancing operational efficiency and safety</t>
  </si>
  <si>
    <t>Step-1 note: Deepwater well construction DT; offshore energy</t>
  </si>
  <si>
    <t>10.1016/j.oceaneng.2026.124378</t>
  </si>
  <si>
    <t>Chi, Y et al. (2026)</t>
  </si>
  <si>
    <t>Physics-guided multi-fidelity framework for probabilistic deformation prediction of concrete arch dams under digital twin-based monitoring</t>
  </si>
  <si>
    <t>Step-1 note: Arch dam deformation PGMF-BNN DT; safety monitoring | Full text not coded: Endnote candidate(s) found but identity not verified</t>
  </si>
  <si>
    <t>10.1016/j.aei.2026.105009</t>
  </si>
  <si>
    <t>Ostwald, M.J et al. (2026)</t>
  </si>
  <si>
    <t>Model-based approaches to emergency evacuation in buildings: a systematic literature review in the context of architectural practice and design</t>
  </si>
  <si>
    <t>Step-1 note: Evacuation simulation review; no DT core</t>
  </si>
  <si>
    <t>10.1186/s40410-026-00321-y</t>
  </si>
  <si>
    <t>Ferrara, M et al. (2026)</t>
  </si>
  <si>
    <t>Signal-Based Dynamic Identification of Composite Steel–Concrete Bridges Using Short-Duration Records</t>
  </si>
  <si>
    <t>Step-1 note: Bridge dynamic identification; no DT</t>
  </si>
  <si>
    <t>10.3390/infrastructures11020050</t>
  </si>
  <si>
    <t>He, M et al. (2026)</t>
  </si>
  <si>
    <t>Bionic Behavior Modeling Method for Unmanned Aerial Vehicle Swarms Empowered by Deep Reinforcement Learning; [深度强化学习赋能的无人机集群仿生行为建模方法]</t>
  </si>
  <si>
    <t>Step-1 note: UAV swarm DRL; not AECO; Chinese full text</t>
  </si>
  <si>
    <t>10.11999/JEIT251103</t>
  </si>
  <si>
    <t>Vien, B.S et al. (2025)</t>
  </si>
  <si>
    <t>Structural Health Monitoring of Anaerobic Lagoon Floating Covers Using UAV-Based LiDAR and Photogrammetry</t>
  </si>
  <si>
    <t>Step-1 note: Treatment-plant lagoon covers; not built asset</t>
  </si>
  <si>
    <t>10.3390/rs17203401</t>
  </si>
  <si>
    <t>Yoon, J et al. (2026)</t>
  </si>
  <si>
    <t>Evacuation Safety Evaluation for Deep Underground Railways Using Digital Twin Map Topology</t>
  </si>
  <si>
    <t>Digital-twin map topology for deep underground railway evacuation (Halla U/Pluxity, Buildings 2026): multi-layer topological map from high-fidelity geometry decomposing Suseo Station into functional regions; dynamic hazard-aware routing via edge-weight adjustment for blocked exits, fire-shutter operations and smoke-infiltrated domains; ten scenarios (fire origin, exit availability, vertical-circulation failure, passenger loads) with CFD smoke and Pathfinder agent simulation; vertical stairways identified as critical choke points; guided evacuation strategies restore NFPA 130/KRCODE compliance. Scenario-simulation framework (no live deployment); no actuation, no learning loop. [Full-text source: browser-oa]</t>
  </si>
  <si>
    <t>Multi-layer DT map topology with dynamic hazard-aware edge weighting reveals vertical-circulation bottlenecks in a 40-50 m deep station and shows guided strategies restore NFPA 130/KRCODE compliance even at full load.</t>
  </si>
  <si>
    <t>Scenario-based simulation without live hazard sensing; CFD-ABM coupling details simplified; no physical deployment of the routing system.</t>
  </si>
  <si>
    <t>Architectural topology, CFD smoke fields and agent dynamics are fused in hazard-aware edge weights driving one evacuation simulation.</t>
  </si>
  <si>
    <t>Step-1 note: Deep-underground railway evacuation DT; fire safety | Coded from Step-3 deep-read markdown (Prompt B), imported 2026-09-30</t>
  </si>
  <si>
    <t>10.3390/buildings16051033</t>
  </si>
  <si>
    <t>Shin, S et al. (2025)</t>
  </si>
  <si>
    <t>Efficient Method on Integration of Construction Site digital maps Using Voxelized Pointclouds</t>
  </si>
  <si>
    <t>Step-1 note: Point-cloud registration; DT enabling only</t>
  </si>
  <si>
    <t>10.6106/KJCEM.2025.26.3.075</t>
  </si>
  <si>
    <t>A Novel MBSE-Driven Multi-Agent Framework for Enhancing Cyber-Physical Security in Smart Grids</t>
  </si>
  <si>
    <t>Step-1 note: Smart grid MBSE security; not AECO</t>
  </si>
  <si>
    <t>10.3390/en19102420</t>
  </si>
  <si>
    <t>Khan, F.M et al. (2026)</t>
  </si>
  <si>
    <t>Federated Deep Learning for Collision Avoidance in IoV With Digital Twin Integration</t>
  </si>
  <si>
    <t>Step-1 note: IoV collision avoidance FL; vehicles, not AECO</t>
  </si>
  <si>
    <t>10.1111/exsy.70168</t>
  </si>
  <si>
    <t>Karatzas, S et al. (2026)</t>
  </si>
  <si>
    <t>Digital twins-enabled heritage buildings management through social dynamics</t>
  </si>
  <si>
    <t>Conceptual paper (JCHMSD): socio-technical framework of multi-level interacting digital twins integrating social dynamics (values, senses, attitudes) with building and environmental data for heritage building management, adopting a Whole-Building and system-dynamics approach. No digital twin is built, implemented or empirically tested - the authors explicitly note the lack of empirical analysis and propose pilot testing as future work. P=No, R=No -&gt; Stage-2 exclude. [Full-text source: Endnote]</t>
  </si>
  <si>
    <t>Step-1 note: Heritage building DT with social dynamics; safety in scope | Stage-2 exclusion basis: P=No; R=No | Coded from Step-3 deep-read markdown (Prompt B), imported 2026-09-30</t>
  </si>
  <si>
    <t>10.1108/JCHMSD-08-2023-0136</t>
  </si>
  <si>
    <t>Yang, C et al. (2026)</t>
  </si>
  <si>
    <t>Digital twin-based framework for multi-objective optimization of shield tunneling parameters</t>
  </si>
  <si>
    <t>DT-based framework for multi-objective optimization of shield tunneling parameters (Shenzhen U/HUST): layered architecture (data acquisition, preprocessing, modeling, optimization); SHAP identifies key parameters; ABC-NSGA-III hybrid optimization algorithm; optimized parameters iteratively fed back into DT to guide parameter adjustment; validated on Shanghai Airport Link Line project; 32.02% overall optimization rate, shield attitude deviation reduced 2.21-17.13%. Bidirectional — optimization→feedback→guidance → Tier 3; no learning loop (optimization is algorithmic, not learning). [Full-text source: 04c-port]</t>
  </si>
  <si>
    <t>Moves shield tunneling digital twins from monitoring toward closed-loop decision support: a four-layer DT framework where SHAP identifies 16 key tunneling parameters and an ABC-NSGA-III hybrid optimizer solves six attitude objectives, achieving a 32.02% overall optimization rate and 2.21 to 17.13% attitude-deviation reduction on 100 rings of the Shanghai Airport Link Line, with optimized parameters fed back to guide operations.</t>
  </si>
  <si>
    <t>The closed loop is human-machine collaborative, with operators filtering algorithm outputs rather than autonomous actuation, optimization takes about 900 seconds per ring, and validation is limited to one 100-ring subsection of a single project; future work includes transfer learning across geological conditions, improved sensing, and operator training programs.</t>
  </si>
  <si>
    <t>SHAP-selected multi-parameter shield monitoring feeds the ABC-NSGA-III hybrid optimiser, whose six-objective output is fed back into the DT to guide tunnelling parameter adjustment.</t>
  </si>
  <si>
    <t>Step-1 note: Shield tunneling parameter MOO inside DT; safety | Coded from Step-3 deep-read markdown (Prompt B), imported 2026-09-30 | Prior matrix (v260816) verification note retained in 3_Change_Log</t>
  </si>
  <si>
    <t>10.1016/j.tust.2026.107457</t>
  </si>
  <si>
    <t>Romo, M.S et al. (2026)</t>
  </si>
  <si>
    <t>Federated Learning Frameworks for Intelligent Transportation Systems: A Comparative Adaptation Analysis</t>
  </si>
  <si>
    <t>Step-1 note: ITS federated learning review; transportation</t>
  </si>
  <si>
    <t>10.3390/smartcities9010012</t>
  </si>
  <si>
    <t>Zhang, L et al. (2026)</t>
  </si>
  <si>
    <t>Digital twin-enabled synchronous jacking control of an aerial building machine using a scale model</t>
  </si>
  <si>
    <t>DT-enabled synchronous jacking control of an aerial building machine (ABM) using a scale model (HUST): scale experimental platform; deep neural network (DNN-PID) for dynamic error compensation; reinforcement learning tunes control parameters; transfer learning migrates DNN-PID controller to scale model; DT system for visual presentation of jacking data and equipment states during synchronous control; jacking tests show 0.407 mm synchronization error (max &lt;0.46 mm across 10 conditions), 29% max error reduction with fewer iterations; DNN-PID reduces MSE by 5.87 mm vs traditional PID. Bidirectional closed-loop (monitoring-&gt;control) -&gt; Tier 3; implemented RL tuning + transfer learning (implemented learning mechanism, no convergence proof). [Full-text source: 04c-port]</t>
  </si>
  <si>
    <t>Fills the gap of closed-loop digital twin control for aerial building machine jacking, validated on a 1:25 scale model of a 380-meter Wuhan project: PPO reinforcement learning tunes PID parameters and a transfer-learned DNN-PID controller with deviation coupling runs on an STM32 platform, reducing mean synchronization error to 0.377 mm versus 3.485, 0.463 and 0.709 mm for competing methods, staying below 0.46 mm across ten loading conditions with a 29 percent gain from transfer learning.</t>
  </si>
  <si>
    <t>Validated only on a scale model with four electric actuators instead of the real 12-cylinder hydraulic system; preset loading means failure boundaries, wind, actuator saturation, sensor drift and communication latency were not explored, and the twin has a 1-1.5 second delay. Future work targets stress-strain sensors, finite element safety assessment, real ABM operational data and physics-informed neural networks.</t>
  </si>
  <si>
    <t>Scale-model sensor feedback, a DNN-PID dynamic-error-compensation controller and RL-tuned parameters are combined in the closed-loop synchronous jacking control, whose command output depends on measured and model streams simultaneously.</t>
  </si>
  <si>
    <t>Step-1 note: ABM synchronous jacking control DT; structural safety | Coded from Step-3 deep-read markdown (Prompt B), imported 2026-09-30 | Prior matrix (v260816) verification note retained in 3_Change_Log</t>
  </si>
  <si>
    <t>10.1016/j.autcon.2026.107076</t>
  </si>
  <si>
    <t>Shi, F et al. (2026)</t>
  </si>
  <si>
    <t>The Research on the Construction Method of a Slope Digital Twin Model Driven by Surrogate Models</t>
  </si>
  <si>
    <t>Slope digital twin driven by an optimised surrogate model (stacking ensemble learning) for landslide safety monitoring: displacement prediction with multidimensional error analysis + adaptive parameter adjustment + model updating/retraining as a dynamic optimisation mechanism that "dynamically self-corrects against the Sim-to-Real gap"; error reduced 20% to 5% (validated with indoor loading + DIC experiments); Donglingxin landslide DT dynamically displays 2010-2022 deformation (acceleration-stabilisation, rate 12.5 to 15.5 to 11.8 mm/y). One-way monitoring to prediction/visualisation; implemented retraining loop but no convergence criterion/metric - AA=Implemented, not Convergence-characterised. [Full-text source: 04c-port]</t>
  </si>
  <si>
    <t>Fills the gap between real-time monitoring data and numerical simulation for slope safety: a stacking ensemble surrogate model (BP, RF, XGBoost, SVR, RBF) with multidimensional error analysis and adaptive parameter optimization predicts full-field displacement from limited monitoring points, reducing prediction error from 20 percent to 5 percent and reconstructing the 2010-2022 acceleration-stabilization deformation of the Donglingxin landslide at rates of 12.5-15.5-11.8 mm/y.</t>
  </si>
  <si>
    <t>Prediction results still differ from laboratory experiments because of numerical-simulation simplification and parameter uncertainty; validation covers one indoor DIC test and a single landslide, the surrogate learns from simulation rather than live sensor feedback, and the digital twin only visualizes and predicts without early-warning actuation or closed-loop control of the physical slope.</t>
  </si>
  <si>
    <t>Monitoring-point displacements are mapped onto the surrogate-model full-field predictions for the Donglingxin landslide, sharing the model frame, while the surrogate itself learns from simulation rather than live sensor feedback.</t>
  </si>
  <si>
    <t>Step-1 note: Slope surrogate-model DT; landslide safety monitoring | Coded from Step-3 deep-read markdown (Prompt B), imported 2026-09-30 | Prior matrix (v260816) verification note retained in 3_Change_Log</t>
  </si>
  <si>
    <t>10.1155/stc/8782403</t>
  </si>
  <si>
    <t>Guo, M et al. (2025)</t>
  </si>
  <si>
    <t>A methodology for sky-space-ground integrated remote sensing monitoring: A digital twin framework for multi-source Data-BIM integration in residential quality monitoring</t>
  </si>
  <si>
    <t>Sky-space-ground integrated remote sensing monitoring DT framework for multi-source Data-BIM integration in residential quality monitoring (Beijing U Civil Eng &amp; Arch, J Building Eng 2025): RBIM (residential building information model) aggregates full-lifecycle project data; SSIoT (surveying sensors + IoT) links physical things to cyberspace; multi-sensor monitoring (monitoring LiDAR, automated monitoring robots, GNSS, drones) with BIM collaborative multi-source data fusion; cloud platform unifies data processing/storage avoiding information islands; experiments: 8-phase LiDAR monitoring of a frame building tracking target-sphere centre displacement to assess building deformation trends, accuracy verification of self-developed LSIIS centre-extraction algorithm vs PCL/ICP/WTLS (Faro + Livox LiDAR), building settlement monitoring analysis with BIM-sensor linkage. One-way monitoring to DT platform for O&amp;M quality management; no actuation, no learning loop. [Full-text source: 04c-port]</t>
  </si>
  <si>
    <t>Proposes a sky-space-ground digital twin framework fusing RBIM with SSIoT multi-source sensing, including real-time LiDAR, automated monitoring robots, GNSS and SBAS-InSAR settlement data, linked through GUID object mapping tables and a cloud platform with weighted-average fusion and conflict detection, achieving consistent millimeter and sub-millimeter settlement precision across monitoring points.</t>
  </si>
  <si>
    <t>The system is limited to integrating and visually presenting multi-source data; heterogeneous format standardization between BIM and point clouds remains a major challenge, and prediction or assessment is absent. Future research will add advanced data analytics and machine learning to predict maintenance needs and potential problems from historical and real-time data.</t>
  </si>
  <si>
    <t>Multi-sensor data (monitoring LiDAR, automated robots, GNSS, drones, SBAS-InSAR) are linked to RBIM through GUID object mapping tables and combined by a cloud platform using weighted-average fusion and conflict detection.</t>
  </si>
  <si>
    <t>Step-1 note: Sky-space-ground RBIM DT; residential quality monitoring | Coded from Step-3 deep-read markdown (Prompt B), imported 2026-09-30 | Prior matrix (v260816) verification note retained in 3_Change_Log</t>
  </si>
  <si>
    <t>10.1016/j.jobe.2025.111976</t>
  </si>
  <si>
    <t>Yu, H (2025)</t>
  </si>
  <si>
    <t>A digital twin-based system for full-lifecycle safety management and dynamic risk assessment in nuclear power plants</t>
  </si>
  <si>
    <t>Step-1 note: Nuclear power plant DT safety; not AECO</t>
  </si>
  <si>
    <t>10.1007/s44163-025-00618-w</t>
  </si>
  <si>
    <t>Tan, Z et al. (2026)</t>
  </si>
  <si>
    <t>Digital twin-based multi-objective parameter identification for a cable-stayed bridge</t>
  </si>
  <si>
    <t>DT-based multi-objective parameter identification for a cable-stayed bridge (SWJTU, Structures 2026): multi-objective optimization matches measured frequencies, mode shapes and deflections; adaptive reference-point relocation for irregular Pareto fronts, sensitivity-informed variation operators, hybrid quasi-Newton local search; case study on a 580-m cable-stayed bridge: up to 52% reduction in parameter-identification error and 25-35% runtime reduction vs NSGA-II/NSGA-III, errors consistently below 3% in robustness analysis; supports bridge condition assessment and maintenance optimization. One-way measured responses-&gt;model updating-&gt;condition assessment; no actuation and no learning loop. [Full-text source: Endnote]</t>
  </si>
  <si>
    <t>Fills the single-objective parameter-identification weakness: multi-objective matching of frequencies, mode shapes and deflections with sensitivity-informed operators and quasi-Newton refinement cuts identification error by up to 52% and runtime by 25-35% vs NSGA-II/III, with robustness errors below 3%.</t>
  </si>
  <si>
    <t>Single-bridge case study; optimisation relies on measured frequencies/mode shapes/deflections of one cable-stayed bridge, and robustness under noise, temperature effects and long-term deterioration is only partially explored; no live continuous updating demonstrated.</t>
  </si>
  <si>
    <t>Frequencies, mode shapes and deflections are jointly matched in one multi-objective identification of bridge parameters.</t>
  </si>
  <si>
    <t>Step-1 note: Cable-stayed bridge parameter identification DT; safety | Coded from Step-3 deep-read markdown (Prompt B), imported 2026-09-30</t>
  </si>
  <si>
    <t>10.1016/j.istruc.2026.111723</t>
  </si>
  <si>
    <t>Lee, J.-Y et al. (2026)</t>
  </si>
  <si>
    <t>Stress-Based Fatigue Diagnosis of Wind Turbine Blades Using Physics-Informed AI Reduced-Order Modeling</t>
  </si>
  <si>
    <t>Step-1 note: Wind turbine blade fatigue; energy, not AECO</t>
  </si>
  <si>
    <t>10.3390/en19010202</t>
  </si>
  <si>
    <t>Digital Twin-Based Driver Risk-Aware Predictive Mobility Analytics for Real-Time Situational Awareness Through Cooperative Sensing</t>
  </si>
  <si>
    <t>Step-1 note: Traffic safety analytics DT; transportation domain</t>
  </si>
  <si>
    <t>10.1109/TITS.2025.3604569</t>
  </si>
  <si>
    <t>Ceken, S et al. (2026)</t>
  </si>
  <si>
    <t>Artificial intelligence for sustainable aviation: A review on operational implementations and future perspectives</t>
  </si>
  <si>
    <t>Step-1 note: AI aviation review; not AECO</t>
  </si>
  <si>
    <t>10.1017/aer.2026.10138</t>
  </si>
  <si>
    <t>Dholakia, N et al. (2026)</t>
  </si>
  <si>
    <t>An Overview of GenAI 2.0 Partnering With Digital Twin to Enhance Decision Making</t>
  </si>
  <si>
    <t>Step-1 note: GenAI+DT overview; generic domains</t>
  </si>
  <si>
    <t>10.1109/MCOMSTD.2025.3644899</t>
  </si>
  <si>
    <t>Zhao, S et al. (2026)</t>
  </si>
  <si>
    <t>Digital twin-enabled simulation system for NATM tunnel construction process considering multi-source uncertainty</t>
  </si>
  <si>
    <t>DT-enabled simulation system for NATM tunnel construction process considering multi-source uncertainty (Tongji U): five-dimensional DT concept with four-layer architecture (perception, transmission, modelling, alternation); integrated discrete event simulation (DES) model as core; Markov random field (MRF) for stochastic geological modelling; AHP-DEMATEL tunnel vulnerability evaluation + delay probability density functions for construction uncertainties; validated on a real-world tunnel project for schedule estimation, site communication, safe/efficient completion. One-way monitoring-&gt;simulation-&gt;schedule/safety decision; no actuation, no learning loop. [Full-text source: 04c-port]</t>
  </si>
  <si>
    <t>Fills the gap between theoretical process simulation and on-site tunnel management: a four-layer digital twin couples an AnyLogic discrete event simulation with Markov random field stochastic geology and AHP-DEMATEL vulnerability evaluation, and 2500 Monte Carlo runs on a real NATM tunnel estimate a 78.4 percent probability of finishing within the 1794-day plan, with the average estimated schedule differing from actual by only 9 days (0.50 percent).</t>
  </si>
  <si>
    <t>Geological modelling uses a coarse grid due to sparse data, step durations are recorded manually giving static probability distributions, sensing relies on subjective manual measurement, and the twin exerts only indirect control without real-time feedback to machinery. Future work covers tunnel seismic prediction and GPR data, 24-hour cameras for dynamic parameter updates, IoT sensor networks and unmanned construction.</t>
  </si>
  <si>
    <t>Stochastic geology (Markov random field), AHP-DEMATEL vulnerability evaluation and delay probability densities are combined inside one discrete-event simulation model whose schedule/safety outputs depend on all inputs.</t>
  </si>
  <si>
    <t>Step-1 note: NATM tunnel DT process simulation; uncertainty/risk | Coded from Step-3 deep-read markdown (Prompt B), imported 2026-09-30 | Prior matrix (v260816) verification note retained in 3_Change_Log</t>
  </si>
  <si>
    <t>10.1016/j.undsp.2025.05.012</t>
  </si>
  <si>
    <t>Bucaioni, A et al. (2026)</t>
  </si>
  <si>
    <t>Digital twins for essential services</t>
  </si>
  <si>
    <t>Step-1 note: Essential-services DT overview; cross-sector, not AECO</t>
  </si>
  <si>
    <t>10.1016/j.future.2025.108147</t>
  </si>
  <si>
    <t>Çetin, S.G et al. (2026)</t>
  </si>
  <si>
    <t>Advancing Lunar Communication Through Interdomain Space Networks and Dynamic Orchestration</t>
  </si>
  <si>
    <t>Step-1 note: Lunar communication networks; not AECO</t>
  </si>
  <si>
    <t>10.1109/TAES.2025.3633210</t>
  </si>
  <si>
    <t>Hatami, M et al. (2025)</t>
  </si>
  <si>
    <t>ANCHOR-Grid: Authenticating Smart Grid Digital Twins Using Real-World Anchors</t>
  </si>
  <si>
    <t>Step-1 note: Smart grid DT authentication; not AECO</t>
  </si>
  <si>
    <t>10.3390/s25102969</t>
  </si>
  <si>
    <t>Li, M et al. (2026)</t>
  </si>
  <si>
    <t>Research and application of key technologies for intelligent control of super-long working face in medium-thick coal seam; [中厚煤层超长工作面智能化控制关键技术研究与应用]</t>
  </si>
  <si>
    <t>Step-1 note: Coal seam intelligent control; mining; Chinese journal</t>
  </si>
  <si>
    <t>10.12438/cst.2025-1901</t>
  </si>
  <si>
    <t>Russo, L et al. (2026)</t>
  </si>
  <si>
    <t>Do urban digital twins need agents?</t>
  </si>
  <si>
    <t>Step-1 note: Urban DT + ABM conceptual agenda; safety peripheral</t>
  </si>
  <si>
    <t>10.1177/23998083251317666</t>
  </si>
  <si>
    <t>Ohiemi, I.E et al. (2026)</t>
  </si>
  <si>
    <t>Supporting the digitalisation of existing hydropower plants using computational fluid dynamics modelling</t>
  </si>
  <si>
    <t>Step-1 note: Hydropower CFD digitalisation; energy, not AECO</t>
  </si>
  <si>
    <t>10.1016/j.renene.2025.124174</t>
  </si>
  <si>
    <t>Chen, X et al. (2026)</t>
  </si>
  <si>
    <t>CFFCNet: Center-Guided Feature Fusion Completion for Accurate Vehicle Localization and Dimension Estimation from Lidar Point Clouds</t>
  </si>
  <si>
    <t>Step-1 note: Vehicle point-cloud completion; vehicles, not AECO</t>
  </si>
  <si>
    <t>10.3390/rs18010039</t>
  </si>
  <si>
    <t>Ou, F et al. (2025)</t>
  </si>
  <si>
    <t>Risk Assessment of Underground Utility Tunnel Projects in Q City Using the Analytic Hierarchy Process</t>
  </si>
  <si>
    <t>Step-1 note: AHP utility-tunnel risk assessment; DT only mentioned</t>
  </si>
  <si>
    <t>10.56578/jemse040405</t>
  </si>
  <si>
    <t>Yang, S.-W et al. (2025)</t>
  </si>
  <si>
    <t>Design and Validation of a Real-Time Maintenance Monitoring System Using BIM and Digital Twin Integration</t>
  </si>
  <si>
    <t>Real-time maintenance monitoring system using BIM and digital twin integration (Sungkyunkwan U): LOD 400 BIM model of solar-powered noise barrier tunnel + IoT sensors (vibration, tilt, light, air quality, water detection) synchronized via Autodesk Forge API + WebSockets; web-based dashboard for visualization; anomaly detection via two-tiered approach (device alerts + post-processed trend analysis); validated on Wansan Tunnel in South Korea. One-way monitoring→visualization→maintenance decisions; no actuation and no learning loop. [Full-text source: 04c-port]</t>
  </si>
  <si>
    <t>Addresses the gap between static periodic inspections and real-time infrastructure maintenance: a LOD 400 BIM model of a solar-powered noise barrier tunnel integrated with the Wansan Tunnel in Jeonju is synchronized through Autodesk Forge API and WebSockets with vibration, tilt, light, air quality, and water detection sensors, achieving over 90% light-sensor transmission and detecting illuminance and structural anomalies during a 17-day demonstration.</t>
  </si>
  <si>
    <t>Nuanced anomalies such as gradual tilt drift require offline post-processing rather than live dashboard analytics; air quality sensors lost up to 30.65% of expected records and one water sensor never transmitted; only one site and asset type was validated. Future work embeds predictive analytics in the live platform, adds buffering and failover mechanisms, and extends validation to bridges and tunnels.</t>
  </si>
  <si>
    <t>Vibration, tilt, light, air-quality and water-detection sensors are synchronised to a LOD 400 BIM model via Autodesk Forge API and WebSockets, with two-tier anomaly detection running per channel.</t>
  </si>
  <si>
    <t>Step-1 note: BIM+DT noise-barrier tunnel monitoring; maintenance safety | Coded from Step-3 deep-read markdown (Prompt B), imported 2026-09-30 | Prior matrix (v260816) verification note retained in 3_Change_Log</t>
  </si>
  <si>
    <t>10.3390/buildings15081312</t>
  </si>
  <si>
    <t>Al-Ammari, W.A et al. (2025)</t>
  </si>
  <si>
    <t>Development of Digital/Visual Twin for Real-Time Leak Detection in Gas Pipelines Under Multiphase Flow Conditions</t>
  </si>
  <si>
    <t>Step-1 note: Gas pipeline leak DT; energy pipelines, not AECO</t>
  </si>
  <si>
    <t>10.1002/ghg.2379</t>
  </si>
  <si>
    <t>Hermawan, R et al. (2026)</t>
  </si>
  <si>
    <t>Let’s read the log: root cause analysis of railway test execution logs with large language models</t>
  </si>
  <si>
    <t>Step-1 note: LLM log analysis; DT is testbed only</t>
  </si>
  <si>
    <t>10.1007/s11334-026-00657-1</t>
  </si>
  <si>
    <t>Zhumadillayeva, A et al. (2025)</t>
  </si>
  <si>
    <t>An intelligent YOLO and CNN-BiGRU framework for road infrastructure based anomaly assessment</t>
  </si>
  <si>
    <t>Step-1 note: YOLO road anomaly framework; DT environment peripheral</t>
  </si>
  <si>
    <t>10.1038/s41598-025-25030-3</t>
  </si>
  <si>
    <t>Sun, J et al. (2025)</t>
  </si>
  <si>
    <t>Tool digital twin based on knowledge embedding for precision CNC machine tools: Wear prediction for collaborative multi-tool</t>
  </si>
  <si>
    <t>Step-1 note: CNC tool-wear DT; manufacturing</t>
  </si>
  <si>
    <t>10.1016/j.jmsy.2025.02.021</t>
  </si>
  <si>
    <t>Ruiz-Díaz, C et al. (2026)</t>
  </si>
  <si>
    <t>From Laboratory to Building Scale: A Digital-Twin Methodology for Resilience-Oriented Assessment of RC Infrastructure Using Waste Wool-Fibre Cementitious Materials</t>
  </si>
  <si>
    <t>Step-1 note: OpenBIM DT for material sustainability; no DfS/DfQ core</t>
  </si>
  <si>
    <t>10.3390/su18083942</t>
  </si>
  <si>
    <t>Pérez, N et al. (2026)</t>
  </si>
  <si>
    <t>ESTIMATING THE SERVICE LIFE OF CONCRETE REINFORCED WITH ADVANCED MATERIALS: INTEGRATION OF IOT SENSORS AND DIGITAL TWINS</t>
  </si>
  <si>
    <t>Systematic literature review of embedded concrete sensors (fiber optic, piezoelectric, capacitive, resistive) for SHM and service-life estimation, examining 71 Scopus/ScienceDirect articles (2022-2025); discusses integration with AI/IoT/BIM/ANSYS and digital twins only as reported in the reviewed literature. No digital twin is built, evaluated, or methodologically developed here; DfS/DfQ is about generic structural durability. P=No, R=No → Stage-2 exclude. [Full-text source: 04c-port]</t>
  </si>
  <si>
    <t>Step-1 note: SLR: embedded sensors + DT integration for SHM/durability | Stage-2 exclusion basis: P=No; Q=No; R=No | Coded from Step-3 deep-read markdown (Prompt B), imported 2026-09-30 | Prior matrix (v260816) verification note retained in 3_Change_Log</t>
  </si>
  <si>
    <t>10.5935/jetia.v12i57.3125</t>
  </si>
  <si>
    <t>Gulisano, F et al. (2026)</t>
  </si>
  <si>
    <t>Piezoresistive mechanism of asphalt mixtures with carbon fibers</t>
  </si>
  <si>
    <t>Step-1 note: Self-sensing asphalt material study; DT motivating only</t>
  </si>
  <si>
    <t>10.1016/j.conbuildmat.2026.145903</t>
  </si>
  <si>
    <t>Song, W et al. (2026)</t>
  </si>
  <si>
    <t>Adaptive spatio-temporal graph network for environmental factors forecasting in utility tunnels</t>
  </si>
  <si>
    <t>Step-1 note: Utility tunnel forecasting model; no DT built</t>
  </si>
  <si>
    <t>10.1177/1088467X251370590</t>
  </si>
  <si>
    <t>Wang, M et al. (2026)</t>
  </si>
  <si>
    <t>A Partially Validated Probabilistic Framework for Urban Seismic Damage Prediction With Scenario Ensembles and Digital Twins</t>
  </si>
  <si>
    <t>Partially validated probabilistic framework for urban seismic damage prediction with scenario ensembles and DTs (IEEE Access 2026): four layers - data fusion, digital twin modelling, scenario ensemble simulation, probabilistic assessment; PI-GAN generates ground motions (&lt;=5% PGA error, &lt;=10% response-spectrum error); probabilistic damage-cloud module reaches 77.7% classification accuracy (79.5% recall, 87.3% precision, 83.2% F1) and 89.3% structure-damage matching, validated on the 2021 Yangbi Ms6.4 earthquake (single event, single region); cascading-failure and social-behaviour modules are conceptual only; M&gt;=7.0 extreme scenarios and full-chain validation explicitly future work. Scenario/simulation DT - no live data loop, no actuation, no learning loop. [Full-text source: Endnote]</t>
  </si>
  <si>
    <t>Fills the long-tail-risk gap in urban seismic damage prediction: a four-layer probabilistic framework with PI-GAN ground motions (&lt;=5% PGA error) and a probabilistic damage-cloud module (77.7% accuracy, 89.3% matching) validated on the 2021 Yangbi Ms6.4 earthquake, while explicitly declaring which modules remain conceptual.</t>
  </si>
  <si>
    <t>Only two of four modules validated, on a single event and region (2021 Yangbi Ms6.4); M&gt;=7.0 extreme scenarios, cascading-failure and social-behaviour modules are conceptual; full-chain validation explicitly future work.</t>
  </si>
  <si>
    <t>PI-GAN ground-motion generation and the probabilistic damage-cloud module are validated separately (single event); cascading-failure and social-behaviour modules are only aligned by design, not fused or validated.</t>
  </si>
  <si>
    <t>Step-1 note: Urban seismic damage DT framework; urban safety | Coded from Step-3 deep-read markdown (Prompt B), imported 2026-09-30</t>
  </si>
  <si>
    <t>10.1109/ACCESS.2026.3721347</t>
  </si>
  <si>
    <t>Alnfiai, M.M et al. (2026)</t>
  </si>
  <si>
    <t>TwinGuard-Sec: a federated blockchain-enabled AI framework for standardized security and privacy in cross-domain digital twin ecosystems over 6G</t>
  </si>
  <si>
    <t>Step-1 note: Cross-domain DT security framework; not AECO</t>
  </si>
  <si>
    <t>10.1038/s41598-026-49490-3</t>
  </si>
  <si>
    <t>Marsollek, L et al. (2026)</t>
  </si>
  <si>
    <t>Accelerating the Roll-Out of Modular Plants: From Engineering and Approval to Operation of Energy-Efficient Modular Plants</t>
  </si>
  <si>
    <t>Step-1 note: Modular chemical plants; process industry</t>
  </si>
  <si>
    <t>10.1002/cite.70129</t>
  </si>
  <si>
    <t>Wang, S et al. (2025)</t>
  </si>
  <si>
    <t>Reference-free ego-motion compensation for vision-based measurement of structural deformations of miter gates</t>
  </si>
  <si>
    <t>Step-1 note: Miter-gate vision measurement; DT synthetic testbed only</t>
  </si>
  <si>
    <t>10.1177/14759217241297248</t>
  </si>
  <si>
    <t>Wang, X et al. (2025)</t>
  </si>
  <si>
    <t>A digital twin integrated smart-liner for visualization monitoring of oil and gas pipeline infrastructure</t>
  </si>
  <si>
    <t>Step-1 note: Oil/gas pipeline smart-liner DT; energy, not AECO</t>
  </si>
  <si>
    <t>10.1016/j.apenergy.2025.126558</t>
  </si>
  <si>
    <t>Luo, J et al. (2026)</t>
  </si>
  <si>
    <t>Trajectory Design for UAV-Based Low-Altitude Wireless Networks in Unknown Environments: A Digital Twin-Assisted TD3 Approach</t>
  </si>
  <si>
    <t>Step-1 note: UAV wireless trajectory DT; not AECO</t>
  </si>
  <si>
    <t>10.1109/JIOT.2026.3725332</t>
  </si>
  <si>
    <t>Li, X et al. (2026)</t>
  </si>
  <si>
    <t>A lightweight and attention-enhanced framework for robust pavement defect detection</t>
  </si>
  <si>
    <t>Step-1 note: EC-YOLO pavement detection; no DT built</t>
  </si>
  <si>
    <t>10.1016/j.engappai.2025.113545</t>
  </si>
  <si>
    <t>Ku, D et al. (2026)</t>
  </si>
  <si>
    <t>Quantitative Stress Testing Using Scalable Digital Twin Simulation with MobileX Pole for Intelligent Mobile Surveillance</t>
  </si>
  <si>
    <t>Step-1 note: Surveillance stress-testing DT; not built asset</t>
  </si>
  <si>
    <t>10.32604/cmc.2026.079582</t>
  </si>
  <si>
    <t>Ren, G (2026)</t>
  </si>
  <si>
    <t>A physics-informed neural network-based edge-cloud collaborative digital twin for predictive maintenance of ageing railway signalling equipment</t>
  </si>
  <si>
    <t>Physics-informed neural network edge-cloud collaborative DT for predictive maintenance of ageing railway signalling equipment (Shaanxi College, IJICT 2026): adaptive pigeon-inspired optimised PINN (API-PINN) integrates electromechanical degradation physics with operational data to forecast faults and estimate RUL; edge nodes run low-latency real-time anomaly detection, cloud performs model training; on real-world railway signalling datasets accuracy 98.77% and R2 0.968, robust under noisy and imbalanced data; enables proactive maintenance scheduling, cost and downtime reduction, safety improvement. One-way telemetry-&gt;fault/RUL prediction-&gt;maintenance decisions; offline-trained model, no actuation, no online learning loop. [Full-text source: Endnote]</t>
  </si>
  <si>
    <t>Fills the maintenance-scheduling gap for ageing railway signalling: API-PINN embeds electromechanical degradation physics into operational data, achieving 98.77% accuracy and R2 0.968 with edge-side real-time anomaly detection and cloud training, robust to noisy and imbalanced data.</t>
  </si>
  <si>
    <t>Single-domain railway signalling dataset; the API-PINN framework is validated offline and the edge-cloud deployment is described rather than measured in service; degradation-physics completeness and RUL uncertainty quantification are limited.</t>
  </si>
  <si>
    <t>Electromechanical degradation physics and operational telemetry are fused inside the API-PINN loss/training for joint fault forecasting and RUL estimation.</t>
  </si>
  <si>
    <t>Step-1 note: Railway signalling PINN edge-cloud DT; RUL + safety | Coded from Step-3 deep-read markdown (Prompt B), imported 2026-09-30</t>
  </si>
  <si>
    <t>10.1504/IJICT.2026.155637</t>
  </si>
  <si>
    <t>Yu, J et al. (2026)</t>
  </si>
  <si>
    <t>Research on the full life cycle safety of levee based on BIM+mechanism algorithm</t>
  </si>
  <si>
    <t>Step-1 note: BIM+mechanism levee algorithms; DT downstream use only</t>
  </si>
  <si>
    <t>10.24425/ace.2026.158607</t>
  </si>
  <si>
    <t>Singh, S et al. (2026)</t>
  </si>
  <si>
    <t>A GIS-Based Multi-Criteria Vulnerability Assessment Framework Integrating Structural, Environmental, and Socio-Cultural Indicators: A Case Study of Keylong, Himachal Pradesh</t>
  </si>
  <si>
    <t>Step-1 note: GIS MCA vulnerability; DT only future integration</t>
  </si>
  <si>
    <t>10.1007/s40030-026-00984-3</t>
  </si>
  <si>
    <t>Mendhe, V et al. (2026)</t>
  </si>
  <si>
    <t>Multi-objective optimization for sustainability-based design of non-prismatic reinforced concrete structures</t>
  </si>
  <si>
    <t>Step-1 note: RC design optimization; DT for CO2 feedback only</t>
  </si>
  <si>
    <t>10.1007/s42107-025-01521-6</t>
  </si>
  <si>
    <t>Rinaldi, C et al. (2025)</t>
  </si>
  <si>
    <t>Physics-informed computational framework for assessing the seismic behavior of the Prince Moulay Abdellah Dam</t>
  </si>
  <si>
    <t>BIM-FEM-real-time monitoring framework for seismic assessment of Prince Moulay Abdellah Dam (Sapienza U): BIM digital replica interoperable with FEM simulations; real-time SHM sensor data captured during magnitude 6.8 earthquake (Sept 8, 2023); FEM analysis corroborated field measurements (abutments showed increased longitudinal displacement, central vault stable); BIM enables efficient monitoring data management. One-way monitoring→FEM validation→safety assessment; no actuation and no learning loop. [Full-text source: 04c-port]</t>
  </si>
  <si>
    <t>Integrates BIM, FEM and real-time monitoring to assess seismic behavior of the Prince Moulay Abdellah Dam in Morocco: a Revit model with sensor metadata feeds a MIDAS FEA NX 3D soil-structure model (278,778 tetrahedral elements) via Parasolid export, and response-spectrum analyses show maximum tensile stresses around 12% and compressive stresses around 85% of allowable limits at 0.5 g; vinchon records from the September 2023 magnitude 6.8 earthquake confirm abutments displace more than the stable central vault.</t>
  </si>
  <si>
    <t>Analyses remain linear-elastic with soil parameters taken from literature and an assumed 30 MPa concrete strength due to missing data, so nonlinear joint behavior is uncharacterized; monitoring data cannot be shared, and no automated live BIM-FEM coupling exists yet. Future research targets automatic interoperability, nonlinear fracture modelling at joints, and early warning systems for other dams.</t>
  </si>
  <si>
    <t>BIM and FEM share one digital replica via Parasolid export, and the September-2023 magnitude-6.8 earthquake monitoring records corroborate the FEM results, with analyses run per stage.</t>
  </si>
  <si>
    <t>Step-1 note: BIM-FEM-SHM dam seismic framework; safety | Coded from Step-3 deep-read markdown (Prompt B), imported 2026-09-30 | Prior matrix (v260816) verification note retained in 3_Change_Log</t>
  </si>
  <si>
    <t>10.1016/j.rineng.2025.106914</t>
  </si>
  <si>
    <t>Korkmaz, M et al. (2025)</t>
  </si>
  <si>
    <t>A Digital Twin Approach to Sustainable Disaster Management: Case of Cayirova</t>
  </si>
  <si>
    <t>Open-source district-level digital twin for earthquake disaster management (Gebze Technical U, Sustainability 2025): QGIS + Autodesk InfraWorks model of Cayirova district integrating geospatial, environmental, transportation, utility and demographic data as a unified 2D/3D digital database supporting risk assessment, response planning and recovery coordination; first district-level open-source DT in Cayirova. Static digital model/database - expected future use for seismic risk assessment; no simulation results, no live data, no actuation, no learning loop. [Full-text source: browser-oa]</t>
  </si>
  <si>
    <t>Provides the first open-source district-level DT database for earthquake disaster management in Cayirova, unifying geospatial and building data for faster data-driven emergency decisions.</t>
  </si>
  <si>
    <t>Digital model/database only - no risk analysis results or simulation shown; expected benefits (resilience, logistics) are unquantified; maintenance of the open data model over time unspecified.</t>
  </si>
  <si>
    <t>Geospatial, environmental, transport, utility and demographic layers are combined in one QGIS/InfraWorks database rather than analytically fused.</t>
  </si>
  <si>
    <t>Step-1 note: District-level earthquake disaster DT; resilience | Coded from Step-3 deep-read markdown (Prompt B), imported 2026-09-30</t>
  </si>
  <si>
    <t>10.3390/su17219626</t>
  </si>
  <si>
    <t>Ahmad, M.U et al. (2026)</t>
  </si>
  <si>
    <t>Historical Prediction Attention Mechanism-Based Trajectory Forecasting for Proactive Work Zone Safety in a Digital Twin Environment</t>
  </si>
  <si>
    <t>Step-1 note: Work-zone trajectory DT; proactive conflict warning | Full text not coded: Endnote candidate(s) found but identity not verified</t>
  </si>
  <si>
    <t>10.1109/JIOT.2026.3669235</t>
  </si>
  <si>
    <t>Lin, M et al. (2026)</t>
  </si>
  <si>
    <t>A cascaded deep learning framework for reconstructing high-resolution temperature fields at safety-critical heights in building fires using sparse sensor data from ceilings</t>
  </si>
  <si>
    <t>Step-1 note: DL fire temperature fields; DT application target only</t>
  </si>
  <si>
    <t>10.1016/j.aei.2026.104918</t>
  </si>
  <si>
    <t>Fikri, A.A et al. (2025)</t>
  </si>
  <si>
    <t>Sensor Fusion of Laser and Inertial Units with Kalman-KMeans-Fuzzy Framework for Real-Time Railway Geometry Monitoring</t>
  </si>
  <si>
    <t>Step-1 note: Railway geometry sensor fusion; DT future only</t>
  </si>
  <si>
    <t>10.12928/biste.v7i3.13780</t>
  </si>
  <si>
    <t>Xu, G et al. (2025)</t>
  </si>
  <si>
    <t>Enhancing traffic safety analysis with digital twin technology: integrating vehicle dynamics and environmental factors into microscopic traffic simulation</t>
  </si>
  <si>
    <t>Step-1 note: Traffic safety co-simulation DT; transportation</t>
  </si>
  <si>
    <t>10.1038/s41598-025-31930-1</t>
  </si>
  <si>
    <t>Huang, R et al. (2025)</t>
  </si>
  <si>
    <t>DesignTwin-SDN: A digital twin-driven AI framework for smart architecture and interior planning</t>
  </si>
  <si>
    <t>Step-1 note: Interior planning DT; security/energy, no DfS/DfQ</t>
  </si>
  <si>
    <t>10.1177/18724981251344721</t>
  </si>
  <si>
    <t>Hurtado, E et al. (2026)</t>
  </si>
  <si>
    <t>Digital twins as decision-support tools for automation in agriculture: A case study on robotic vaccination</t>
  </si>
  <si>
    <t>Step-1 note: Robotic vaccination DT; agriculture</t>
  </si>
  <si>
    <t>10.1016/j.atech.2025.101675</t>
  </si>
  <si>
    <t>Zhou, Z et al. (2026)</t>
  </si>
  <si>
    <t>A machine learning-driven digital twin framework for mold optimization and safety assessment in highly filled viscous materials extrusion</t>
  </si>
  <si>
    <t>Step-1 note: Propellant extrusion DT; manufacturing</t>
  </si>
  <si>
    <t>10.1016/j.jmapro.2026.08.009</t>
  </si>
  <si>
    <t>Guardia, M et al. (2025)</t>
  </si>
  <si>
    <t>A Framework for the Dynamic Mapping of Precipitations Using Open-Source 3D WebGIS Technology</t>
  </si>
  <si>
    <t>Step-1 note: Territorial WebGIS precipitation; DT framing only</t>
  </si>
  <si>
    <t>10.3390/geographies5030040</t>
  </si>
  <si>
    <t>Tian, G et al. (2026)</t>
  </si>
  <si>
    <t>AI-enhanced large-eddy simulation for urban wind flows: accelerating spin-up with Fourier neural operator initialization</t>
  </si>
  <si>
    <t>Step-1 note: LES spin-up acceleration; DT application only</t>
  </si>
  <si>
    <t>10.1016/j.buildenv.2025.114046</t>
  </si>
  <si>
    <t>Okur, F.Y (2025)</t>
  </si>
  <si>
    <t>Towards a Digital Twin Approach for Structural Stiffness Assessment: A Case Study on the Cho’ponota L1 Bridge</t>
  </si>
  <si>
    <t>Test-assisted digital twin for structural stiffness assessment of Cho'ponota L1 bridge (Karadeniz Technical U, Applied Sciences 2025): OMA plus 28 static and 24 dynamic vehicular load cases; geodetic displacements and accelerometer records (DAF computation); FE model calibrated iteratively on OMA modal properties until discrepancies minimised; validated twin reflects current condition for future predictive simulation; all displacements within safety limits. Campaign-based test data (no live link); manual iterative model updating (not a learning loop); no actuation. [Full-text source: browser-oa]</t>
  </si>
  <si>
    <t>Replicable test-assisted DT workflow: OMA-calibrated FE model with iterative material-parameter updates yields a validated twin reflecting the bridge's actual condition despite construction-induced permanent displacements.</t>
  </si>
  <si>
    <t>Campaign-based measurements rather than continuous monitoring; manual iterative calibration; single bridge; dynamic amplification beyond design loads not explored.</t>
  </si>
  <si>
    <t>OMA modal properties and static/dynamic test responses are fused in the iterative FE calibration of the bridge twin.</t>
  </si>
  <si>
    <t>Step-1 note: Test-assisted bridge DT for stiffness; safety limits | Coded from Step-3 deep-read markdown (Prompt B), imported 2026-09-30</t>
  </si>
  <si>
    <t>10.3390/app15126854</t>
  </si>
  <si>
    <t>Guo, H et al. (2026)</t>
  </si>
  <si>
    <t>From descriptive digital twins to closed-loop intelligent agents: Adaptive biogeochemical management in river-reservoir systems</t>
  </si>
  <si>
    <t>Step-1 note: River-reservoir watershed DT; not built asset</t>
  </si>
  <si>
    <t>10.1016/j.watres.2026.126501</t>
  </si>
  <si>
    <t>Almaleh, A (2026)</t>
  </si>
  <si>
    <t>A Survey of Lifecycle Management for Artificial Intelligence Systems in Urban Infrastructure Across Long-Term Operations</t>
  </si>
  <si>
    <t>Step-1 note: AI lifecycle survey in urban infra; DT one topic</t>
  </si>
  <si>
    <t>10.3390/app16147303</t>
  </si>
  <si>
    <t>Chan, R.W.K et al. (2025)</t>
  </si>
  <si>
    <t>Risk Mitigation of a Heritage Bridge Using Noninvasive Sensors</t>
  </si>
  <si>
    <t>120-yr heritage RC bridge; ambient vibration + laser displacement monitoring; FE-based DT validated against field data, used for what-if scenarios (overweight vehicles, scour loss); six-phase Incident Response Framework; model is updated/validated, not self-learning. [Full-text source: 04c-port]</t>
  </si>
  <si>
    <t>Fills the gap between heritage-bridge conservation and quantitative risk assessment: on a 120-year-old Australian reinforced concrete bridge, ambient vibration testing with ten wireless accelerometers plus laser displacement sensing feeds a Spacegass finite-element digital twin validated against measured natural frequencies (20.15 Hz versus 19.51 Hz, 3.2 percent difference), then used for what-if simulations of overweight vehicles and foundation scour.</t>
  </si>
  <si>
    <t>Monitoring is campaign-based rather than live: the twin is an offline validated finite-element model with no continuous data link or actuation, higher-order modes are missed at the 100 Hz sampling rate, and the six-phase Incident Response Framework is proposed but not yet deployed; higher-rate testing is noted for the future.</t>
  </si>
  <si>
    <t>Ambient-vibration accelerometers and laser displacement sensing both feed and validate one Spacegass FE twin of the bridge, sharing the structural model frame, with each quantity analysed separately.</t>
  </si>
  <si>
    <t>Step-1 note: Heritage bridge DT + noninvasive sensors; risk mitigation | Coded from Step-3 deep-read markdown (Prompt B), imported 2026-09-30 | Prior matrix (v260816) verification note retained in 3_Change_Log</t>
  </si>
  <si>
    <t>10.3390/s25123727</t>
  </si>
  <si>
    <t>Wang, Q et al. (2026)</t>
  </si>
  <si>
    <t>Mixed reality and machine learning-guided cable robot framework (MMCR) for real-time prefabricated construction automation</t>
  </si>
  <si>
    <t>Step-1 note: MR+ML cable robot; DT keyword only</t>
  </si>
  <si>
    <t>10.1016/j.aei.2026.104580</t>
  </si>
  <si>
    <t>Pylarinou, C et al. (2026)</t>
  </si>
  <si>
    <t>An Agentic LLM Framework for Autonomous Surgical Continuum Monitoring: ReAct-Driven Tool-Use Agents for Presurgical, Intraoperative, and Postsurgical Cardiopulmonary Care</t>
  </si>
  <si>
    <t>Step-1 note: Surgical LLM agents; healthcare</t>
  </si>
  <si>
    <t>10.3390/bioengineering13060686</t>
  </si>
  <si>
    <t>Maté-González, M.Á et al. (2025)</t>
  </si>
  <si>
    <t>Integrating Advanced Technologies for Environmental Valuation in Legacy Mining Sites: The Role of Digital Twins at Lavrion Technological and Cultural Park</t>
  </si>
  <si>
    <t>Step-1 note: Mining heritage environmental DT; mining domain</t>
  </si>
  <si>
    <t>10.3390/s25195941</t>
  </si>
  <si>
    <t>Johansson, N et al. (2026)</t>
  </si>
  <si>
    <t>The influence of information from digital buildings on fire service operations</t>
  </si>
  <si>
    <t>Step-1 note: Fire-service information interview study; DT peripheral</t>
  </si>
  <si>
    <t>10.1016/j.firesaf.2026.104746</t>
  </si>
  <si>
    <t>Smažinka, D et al. (2026)</t>
  </si>
  <si>
    <t>State-of-the-Art Review of Evacuation Simulation Tools: Approaches, Benefits and Challenges</t>
  </si>
  <si>
    <t>Step-1 note: Evacuation tool review; no DT core</t>
  </si>
  <si>
    <t>10.18280/ijsse.160310</t>
  </si>
  <si>
    <t>Sadeghi, J et al. (2026)</t>
  </si>
  <si>
    <t>Internet of Things in construction: trends and adoption insights from a scientometric perspective</t>
  </si>
  <si>
    <t>Step-1 note: IoT construction scientometric; DT one theme</t>
  </si>
  <si>
    <t>10.1080/15623599.2025.2508905</t>
  </si>
  <si>
    <t>Frontelo, I.B et al. (2026)</t>
  </si>
  <si>
    <t>End-to-End Teleoperated Driving Video Transmission Under 6G with AI and Blockchain</t>
  </si>
  <si>
    <t>Step-1 note: Teleoperated driving; vehicles, not AECO</t>
  </si>
  <si>
    <t>10.3390/s26020571</t>
  </si>
  <si>
    <t>Machaka, V et al. (2025)</t>
  </si>
  <si>
    <t>Assessing the impact of Modbus/TCP protocol attacks on critical infrastructure: WWTP case study</t>
  </si>
  <si>
    <t>Step-1 note: WWTP cyber testbed; not AECO</t>
  </si>
  <si>
    <t>10.1016/j.compeleceng.2025.110485</t>
  </si>
  <si>
    <t>Wu, L et al. (2026)</t>
  </si>
  <si>
    <t>Research on Management Efficiency and Public Participation in Smart City Construction Based on BIM-CIM Technology</t>
  </si>
  <si>
    <t>Step-1 note: BIM-CIM smart city governance; DT peripheral</t>
  </si>
  <si>
    <t>10.1061/JUPDDM.UPENG-5843</t>
  </si>
  <si>
    <t>Jayabal, R et al. (2026)</t>
  </si>
  <si>
    <t>Artificial intelligence-enabled process safety: Advances, challenges, and future directions for high-risk industrial systems</t>
  </si>
  <si>
    <t>Step-1 note: AI process-safety review; industrial</t>
  </si>
  <si>
    <t>10.1016/j.jlp.2026.106026</t>
  </si>
  <si>
    <t>Sun, L (2025)</t>
  </si>
  <si>
    <t>Innovative applications of big data and simulation technologies in the optimization design of crash safety for autonomous vehicles: a systematic review from a biomechanical aspect</t>
  </si>
  <si>
    <t>Step-1 note: AV crash safety review; vehicles</t>
  </si>
  <si>
    <t>10.55670/fpll.futech.4.4.25</t>
  </si>
  <si>
    <t>Li, J et al. (2025)</t>
  </si>
  <si>
    <t>Rapid integration strategy for oblique photogrammetry terrain and highway BIM models in large-scale scenarios</t>
  </si>
  <si>
    <t>Step-1 note: OPDM-HwyBIM integration; DT enabling only</t>
  </si>
  <si>
    <t>10.1016/j.autcon.2025.106354</t>
  </si>
  <si>
    <t>Xu, W et al. (2026)</t>
  </si>
  <si>
    <t>A Prediction Model of Interlayer Bond Strength for 3D-Printed Concrete Considering Printing Interval and Environmental Effects</t>
  </si>
  <si>
    <t>Step-1 note: 3DPC bond-strength prediction; no DT</t>
  </si>
  <si>
    <t>10.3390/ma19071377</t>
  </si>
  <si>
    <t>Dynamic prediction and control of a tunnel boring machine with a particle swarm optimization–random forest algorithm and an integrated digital twin</t>
  </si>
  <si>
    <t>Step-1 note: TBM attitude DT with PSO-RF; construction safety | Full text not coded: Endnote candidate(s) found but identity not verified</t>
  </si>
  <si>
    <t>10.1016/j.asoc.2025.113294</t>
  </si>
  <si>
    <t>Magodi, Y et al. (2026)</t>
  </si>
  <si>
    <t>Development of a hybrid reinforcement learning (hybrid-RL) system for manufacturing resilience</t>
  </si>
  <si>
    <t>Step-1 note: Manufacturing hybrid RL; not AECO</t>
  </si>
  <si>
    <t>10.3389/fmech.2026.1854257</t>
  </si>
  <si>
    <t>Labash, H et al. (2025)</t>
  </si>
  <si>
    <t>A Digital Twins in Smart Cities for Building Resilient Urban Infrastructures</t>
  </si>
  <si>
    <t>Step-1 note: Smart-city DT effectiveness study; safety one aspect</t>
  </si>
  <si>
    <t>10.22034/jipm.2025.728355</t>
  </si>
  <si>
    <t>Johansen, K.W et al. (2025)</t>
  </si>
  <si>
    <t>Knowledge graph exploitation to enhance the usability of risk assessment in construction safety planning</t>
  </si>
  <si>
    <t>Knowledge graph exploitation for construction safety planning (DTU): 4D BIM + automated safety analysis results → ontology + knowledge graph for cross-domain knowledge extraction; query building blocks transform natural language questions into actionable queries; case study shows cross-domain impact of decisions (e.g., crew assignment → safety). Static knowledge representation — no live data link, no actuation, no learning loop (ontology/querying is static). [Full-text source: 04c-port]</t>
  </si>
  <si>
    <t>Addresses the cognitive overload and information silos that block adoption of automated safety analysis: a safety ontology and Prolog knowledge graph capture BIM, schedule, and hazard analysis results (about 3,800 nodes and 20,000 edges), and categorized query building blocks turn seven planning questions into queries answered in under one second, revealing cross-domain impacts of crew assignment and delivery changes on safety.</t>
  </si>
  <si>
    <t>No live site data link: IoT sensor collection, user interfaces, and on-site usability are explicitly out of scope, and the framework is tested only on one high-rise case study. Query translation remains too technical for practitioners, and scalability bottlenecks are expected on larger graphs. Future work adds schedule dependencies, compliance results, real-time location tracking, LLM-based query generation, and game-engine dissemination.</t>
  </si>
  <si>
    <t>BIM, schedule and automated safety-analysis results are integrated into one Prolog knowledge graph (about 3,800 nodes, 20,000 edges) whose cross-domain queries answer planning questions over all three data types simultaneously.</t>
  </si>
  <si>
    <t>Step-1 note: KG + DT for construction safety planning risk | Coded from Step-3 deep-read markdown (Prompt B), imported 2026-09-30 | Prior matrix (v260816) verification note retained in 3_Change_Log</t>
  </si>
  <si>
    <t>10.1016/j.aei.2025.103305</t>
  </si>
  <si>
    <t>Górski, M et al. (2025)</t>
  </si>
  <si>
    <t>Robotic devices for Structural Health Monitoring</t>
  </si>
  <si>
    <t>Step-1 note: Robotic SHM review; DT peripheral</t>
  </si>
  <si>
    <t>10.1002/suco.202400890</t>
  </si>
  <si>
    <t>Shariatfar, M et al. (2026)</t>
  </si>
  <si>
    <t>When Roads Go Underwater: AI-Enhanced Digital Twin-Driven Flood Resilience for Roadway Serviceability Assessment</t>
  </si>
  <si>
    <t>AI-enhanced DT framework for roadway serviceability under floods: GAT (graph attention network) couples flood simulation with INRIX traffic-speed data (5-min speed, 6-h flood intervals) to predict segment-level speed/accessibility 45 min ahead (test MSE 0.2602), capturing direct + indirect (rerouting) impacts; GIS/ArcGIS-based 3D DT visualization for emergency decision support. Validated on Hurricane Harvey (Houston, 2 zones); explicitly a "digital twin prototype" — live sensor ingestion "not yet automated", flood scenarios precomputed, no bidirectional feedback/control; offline-trained GNN, no learning loop. [Full-text source: 04c-port]</t>
  </si>
  <si>
    <t>Develops an AI-enhanced digital twin for flood-driven roadway serviceability that couples flood simulation with a graph attention network predicting traffic speed 45 minutes ahead from 5-minute INRIX speed data and 6-hour flood intervals, using dynamic edges that appear and disappear with inundation to capture indirect impacts on non-flooded segments; validated on Hurricane Harvey traffic for two Houston zones, with flood edge features reducing prediction MSE.</t>
  </si>
  <si>
    <t>Flood scenarios are simulated offline with static 6-hour inundation data, live traffic is not yet ingested in real time, and no feedback or alerting loop exists; analysis covered only two Houston zip-code zones, and the model neglects inundation duration, drainage mitigation and non-flood traffic disruptions, with MSE rising after the twelfth interval. Future work targets automated real-time pipelines and broader geographic validation.</t>
  </si>
  <si>
    <t>A graph attention network couples flood simulation with INRIX 5-minute traffic-speed data, so segment-level speed and accessibility predictions depend on both data types simultaneously.</t>
  </si>
  <si>
    <t>Step-1 note: AI+DT flood resilience for roadway serviceability | Coded from Step-3 deep-read markdown (Prompt B), imported 2026-09-30 | Prior matrix (v260816) verification note retained in 3_Change_Log</t>
  </si>
  <si>
    <t>10.1061/JMENEA.MEENG-7046</t>
  </si>
  <si>
    <t>Mujawo, H et al. (2026)</t>
  </si>
  <si>
    <t>A Safety-Case-Driven Hybrid Digital Twin for Centrifugal Compressor Health Monitoring</t>
  </si>
  <si>
    <t>Step-1 note: Compressor safety-case DT; oil/gas industrial</t>
  </si>
  <si>
    <t>10.3390/machines14070712</t>
  </si>
  <si>
    <t>A transformer-based surrogate modeling strategy for tunnel digital twin in full-field displacement prediction under adjacent tunnel construction</t>
  </si>
  <si>
    <t>DT framework for predicting ground settlement and lining deformation of shield tunnels under adjacent excavation (NTU/Southeast U): hybrid surrogate model DF-STTN (Swin Transformer + TabTransformer) for full-field displacement prediction from spatial + non-spatial inputs; trained on high-fidelity FE data, then updated/validated on laboratory-scale tunnel excavation tests via a genetic-algorithm model-updating procedure that iteratively refines soil parameters using sparse test data (minimizing prediction error); outperforms convolution-based and single-fusion models; spatial info (3 measurement points) improves accuracy. One-way prediction with implemented GA-based model updating - no convergence criterion, no actuation. [Full-text source: 04c-port]</t>
  </si>
  <si>
    <t>Fills the sparse-point surrogate gap for tunnel digital twins: the DF-STTN hybrid surrogate, pairing Swin Transformer and TabTransformer with dual-stage fusion, predicts full-field ground settlement and lining deformation for shield tunnels under adjacent excavation, trained on 1000 parametric finite-element samples and reaching R2 0.9898 and 0.9951, outperforming six baseline networks, with genetic-algorithm back-analysis estimating soil parameters within 4 percent error.</t>
  </si>
  <si>
    <t>Validation rests on a scaled laboratory testbed with simplified boundary conditions, not field monitoring; time-dependent processes like consolidation and creep are ignored, settlement and lining deformation are modeled separately, and no real-time sensor link exists; future work targets field monitoring data, spatio-temporal Transformers, layered soil and groundwater, coupled models and continuous model updating.</t>
  </si>
  <si>
    <t>The DF-STTN hybrid surrogate fuses Swin-Transformer spatial fields with TabTransformer non-spatial parameters via a dual-stage fusion module, and a GA model-updating procedure joins sparse laboratory test data with the FE-trained model.</t>
  </si>
  <si>
    <t>Step-1 note: DF-STTN tunnel DT surrogate; settlement safety | Coded from Step-3 deep-read markdown (Prompt B), imported 2026-09-30 | Prior matrix (v260816) verification note retained in 3_Change_Log</t>
  </si>
  <si>
    <t>10.1016/j.aei.2025.104045</t>
  </si>
  <si>
    <t>Yena, M et al. (2025)</t>
  </si>
  <si>
    <t>INTEGRATED SIMULATION MODEL OF Swarm CONTROL AND ADAPTIVE ROUTEING OF UAVS IN A CHANGING AIR ENVIRONMENT; [ІНТЕГРОВАНА СИМУЛЯЦІЙНА МОДЕЛЬ РОЙОВОГО УПРАВЛІННЯ Й АДАПТИВНОЇ МАРШРУТИЗАЦІІ БпЛА В УМОВАХ ЗМІННОГО ПОВІТРЯННОГО СЕРЕДОВИЩА]</t>
  </si>
  <si>
    <t>Step-1 note: UAV swarm simulation; not AECO; Ukrainian</t>
  </si>
  <si>
    <t>10.30837/2522-9818.2025.4.032</t>
  </si>
  <si>
    <t>Afshari, A et al. (2025)</t>
  </si>
  <si>
    <t>A Digital Twin Platform for Real-Time Intersection Traffic Monitoring, Performance Evaluation, and Calibration</t>
  </si>
  <si>
    <t>Step-1 note: Intersection traffic DT; transportation domain</t>
  </si>
  <si>
    <t>10.3390/infrastructures10080204</t>
  </si>
  <si>
    <t>Kabashkin, I et al. (2026)</t>
  </si>
  <si>
    <t>From Reliability Modelling to Cognitive Orchestration: A Paradigm Shift in Aircraft Predictive Maintenance</t>
  </si>
  <si>
    <t>Step-1 note: Aircraft cognitive DT; aerospace</t>
  </si>
  <si>
    <t>10.3390/math14010076</t>
  </si>
  <si>
    <t>Akbulut, N.K.B et al. (2026)</t>
  </si>
  <si>
    <t>Building a 3D Digital Twin for Geotechnical Monitoring at San Xavier Mine</t>
  </si>
  <si>
    <t>Step-1 note: Mine geotechnical 3D DT; mining domain</t>
  </si>
  <si>
    <t>10.1007/s00603-024-04044-9</t>
  </si>
  <si>
    <t>Ji, F et al. (2025)</t>
  </si>
  <si>
    <t>Construction and practice of digital medical laboratory management system: taking National Clinical Research Center for Aging and Medicine (HuaShan) as an example; [数字化医学实验室管理系统的建设与实践: 以国家老年医学中心(华山)为例]</t>
  </si>
  <si>
    <t>Step-1 note: Medical lab LIMS; healthcare; Chinese</t>
  </si>
  <si>
    <t>10.3760/cma.j.cn113565-20250226-00049</t>
  </si>
  <si>
    <t>Nozari, H et al. (2026)</t>
  </si>
  <si>
    <t>Review of the Effects of Digital Transformation on the Construction Industry</t>
  </si>
  <si>
    <t>Step-1 note: Construction digital transformation review; DT one theme</t>
  </si>
  <si>
    <t>10.1007/s13132-026-03365-0</t>
  </si>
  <si>
    <t>Lee, D et al. (2026)</t>
  </si>
  <si>
    <t>Real-time multi-worker identification and action recognition system employing multimodal deep learning for human digital twin</t>
  </si>
  <si>
    <t>Step-1 note: Industrial worker HAR human DT; not AECO</t>
  </si>
  <si>
    <t>10.1093/jcde/qwag011</t>
  </si>
  <si>
    <t>Fu, E et al. (2026)</t>
  </si>
  <si>
    <t>Green, safe, efficient and low-carbon development path of open-pit coal mines in China during the 15th Five-Year Plan period; [“十五五”时期我国露天煤矿安全高效低碳绿色发展路径]</t>
  </si>
  <si>
    <t>Step-1 note: Open-pit coal mine development; mining; Chinese</t>
  </si>
  <si>
    <t>10.12438/cst.2026-0041</t>
  </si>
  <si>
    <t>Gadekallu, T.R et al. (2026)</t>
  </si>
  <si>
    <t>Artificial Intelligence of Things as a Foundation for Agentic AI Systems: Architectures, Applications, and Challenges</t>
  </si>
  <si>
    <t>Step-1 note: AIoT agentic survey; generic domains</t>
  </si>
  <si>
    <t>10.1109/JIOT.2026.3703862</t>
  </si>
  <si>
    <t>Dagou, H.H et al. (2025)</t>
  </si>
  <si>
    <t>The Future of Construction: Integrating Innovative Technologies for Smarter Project Management</t>
  </si>
  <si>
    <t>Step-1 note: Construction tech adoption survey; DT one technology</t>
  </si>
  <si>
    <t>10.3390/su17104537</t>
  </si>
  <si>
    <t>Pham, T.-A et al. (2026)</t>
  </si>
  <si>
    <t>Designing a BIM-enhanced digital twin architecture for construction pollution management in building renovation projects</t>
  </si>
  <si>
    <t>BIM-enhanced DT architecture for construction pollution management in renovation (auditorium, Chulalongkorn Univ): five components (PE/VM/DD/Ss/CN), novel hybrid LOIN-LOD framework (LOD-G 200 as-is scan-to-BIM → LOD-G 350 as-designed) defining as-needed BIM information for DT; six IoT sensor clusters (PM2.5, CO2, noise, vibration) streamed via MQTT/Firebase into Node-RED rule-based engine with threshold alerts + React/Autodesk Forge dashboard; 1-s real-time monitoring. Bidirectional feedback/actuator control described but "implementation remains limited" — no automated actuation, no ML, no learning loop. [Full-text source: 04c-port]</t>
  </si>
  <si>
    <t>Proposes a BIM-enhanced digital twin architecture for construction pollution management in building renovation, defined by five components (physical entities, virtual models, DT data, services, connections) and a hybrid LOIN-LOD framework specifying minimum modelling requirements; a Chulalongkorn University auditorium pilot integrated six IoT sensor clusters (noise, PM2.5, CO2, vibration) with MQTT, Firebase, Node-RED threshold alerts and a React plus Forge dashboard, with 1-second data transmission.</t>
  </si>
  <si>
    <t>The actuator and HVAC responses to threshold breaches are designed but not implemented, semantic ontology integration remains unexplored, and the pilot lacks construction progress tracking and complaint channels; low-cost sensor reliability and a calibration loop are open issues, while Forge visualization of large datasets caused performance bottlenecks. Future work targets cognitive DT components, semantic standards, AI analytics and complaint management.</t>
  </si>
  <si>
    <t>Six IoT sensor clusters (PM2.5, CO2, noise, vibration) stream via MQTT/Firebase into Node-RED threshold rules and a shared dashboard, with sensors linked to BIM assets while each rule acts per channel.</t>
  </si>
  <si>
    <t>Step-1 note: BIM-enhanced DT for renovation pollution; health hazard | Coded from Step-3 deep-read markdown (Prompt B), imported 2026-09-30 | Prior matrix (v260816) verification note retained in 3_Change_Log</t>
  </si>
  <si>
    <t>10.1080/15623599.2026.2651946</t>
  </si>
  <si>
    <t>A data-driven digital twin model for bridge health monitoring using feature fusion and unsupervised deep learning</t>
  </si>
  <si>
    <t>Data-driven digital twin for bridge health monitoring (Western Sydney U, Information Fusion 2026): Multi-Domain Fusion Autoencoder (MDFA) fuses raw acceleration with time-, frequency- and wavelet-domain features for unsupervised anomaly detection; transformer-based GAN generates synthetic damage scenarios; validated on Werrington Bridge (Australia) and S101 Bridge (Austria) - all real damage scenarios identified and localised without retraining, outperforming conventional unsupervised methods. Real-time one-way sensor-&gt;detection-&gt;maintenance decisions; offline-trained, no actuation, no learning loop. [Full-text source: browser-oa]</t>
  </si>
  <si>
    <t>MDFA multi-domain feature fusion plus transformer-GAN synthetic anomalies detects subtle damage on two real bridges and localises all S101 damage scenarios without retraining.</t>
  </si>
  <si>
    <t>Two bridges only; synthetic-damage evaluation for one; no actuation or online model update; generalisation to other bridge types untested.</t>
  </si>
  <si>
    <t>Raw acceleration is fused with time-, frequency- and wavelet-domain features inside the MDFA autoencoder for one anomaly score.</t>
  </si>
  <si>
    <t>Step-1 note: MDFA unsupervised DT for bridge damage detection | Coded from Step-3 deep-read markdown (Prompt B), imported 2026-09-30</t>
  </si>
  <si>
    <t>10.1016/j.inffus.2025.103534</t>
  </si>
  <si>
    <t>Delavari, Z et al. (2026)</t>
  </si>
  <si>
    <t>A taxonomy and survey of integrating emerging technologies to intelligent transportation systems</t>
  </si>
  <si>
    <t>Step-1 note: ITS technology survey; transportation</t>
  </si>
  <si>
    <t>10.1007/s44443-026-00806-3</t>
  </si>
  <si>
    <t>Mathematical Framework for Airport as Cognitive Digital Twin of Aviation Ecosystem</t>
  </si>
  <si>
    <t>Step-1 note: Airport cognitive DT; aviation</t>
  </si>
  <si>
    <t>10.3390/math14030558</t>
  </si>
  <si>
    <t>Shaddick, G et al. (2025)</t>
  </si>
  <si>
    <t>Data Science and AI for Sustainable Futures: Opportunities and Challenges</t>
  </si>
  <si>
    <t>Step-1 note: Broad data-science sustainability perspective; not AECO</t>
  </si>
  <si>
    <t>10.3390/su17052019</t>
  </si>
  <si>
    <t>Monzón-Chavarrías, M et al. (2026)</t>
  </si>
  <si>
    <t>Environmental impacts of standard building renovations: City-level extrapolation from a real case study in Spain</t>
  </si>
  <si>
    <t>Step-1 note: Renovation LCA study; DT keyword only</t>
  </si>
  <si>
    <t>10.1016/j.enbuild.2025.116938</t>
  </si>
  <si>
    <t>Romandini, N et al. (2026)</t>
  </si>
  <si>
    <t>TrustFLow: A traceable federated learning framework to enable trustworthy digital twins</t>
  </si>
  <si>
    <t>Step-1 note: Trustworthy FL for generic DT ecosystems</t>
  </si>
  <si>
    <t>10.1016/j.future.2025.108267</t>
  </si>
  <si>
    <t>Evens, M et al. (2026)</t>
  </si>
  <si>
    <t>Data-driven digital twin models for heat pumps serving both space heating and domestic hot water</t>
  </si>
  <si>
    <t>Step-1 note: Heat pump DT; energy flexibility only</t>
  </si>
  <si>
    <t>10.1016/j.applthermaleng.2026.130714</t>
  </si>
  <si>
    <t>Liu, C et al. (2026)</t>
  </si>
  <si>
    <t>Multi-line LiDAR 3D construction environment modeling and BIM consistency update method for digital twins</t>
  </si>
  <si>
    <t>LiBiDT causal LiDAR-BIM digital twin for streaming construction-site state (Sci Rep 2026): Spatio-Temporal Global Registration (LiDAR-IMU-GNSS priors), Multi-task Perception (PointNet++ semantic/instance/normal heads), Scan-to-BIM Association and State Updating (normal-guided point-to-plane refinement, bipartite matching with overlap/deviation/semantic evidence, EMA stabilisation); Decision and Risk Analytics layer outputs weighted completion, deviation summaries and three safety/compliance hazard flags; on CV4AEC 2024 Scan-to-BIM association F1 0.837, CD/RMSE 3.2/3.5 cm; held-out tile-stream case study shows state evolution and hazard-flag firing; strict temporal validation under active construction left to future work. One-way LiDAR stream-&gt;BIM state-&gt;management indicators; no actuation, no learning loop. [Full-text source: Endnote]</t>
  </si>
  <si>
    <t>Fills the registration-perception gap in streaming construction LiDAR: LiBiDT causally fuses STGR, PointNet++ multi-task perception and normal-guided scan-to-BIM association with EMA stabilisation to reach association F1 0.837 and CD/RMSE 3.2/3.5 cm, feeding auditable progress, deviation and safety/compliance flags.</t>
  </si>
  <si>
    <t>Benchmark-plus-held-out-tile validation; strict temporal validation under active construction (time-stamped multi-acquisition data) is future work; absolute association gains over the strongest baseline are modest (0.015 F1), and efficiency on full-site scales is not quantified.</t>
  </si>
  <si>
    <t>Geometric (STGR), semantic/instance (MTP) and deviation evidence are fused in S2B bipartite matching with EMA stabilisation to update one BIM state.</t>
  </si>
  <si>
    <t>Step-1 note: LiDAR BIM-consistency DT; compliance + safety management | AB normalised to code list (source label "Perception / Computer Vision") | Coded from Step-3 deep-read markdown (Prompt B), imported 2026-09-30</t>
  </si>
  <si>
    <t>10.1038/s41598-026-58063-3</t>
  </si>
  <si>
    <t>Vo, T.D.K et al. (2026)</t>
  </si>
  <si>
    <t>Camera-relocalization-driven monocular 3D safety monitoring system for crane operations</t>
  </si>
  <si>
    <t>Step-1 note: Monocular crane safety DT in Omniverse; risk assessment | Full text not coded: Endnote candidate(s) found but identity not verified</t>
  </si>
  <si>
    <t>10.1016/j.autcon.2026.107057</t>
  </si>
  <si>
    <t>Salih, F et al. (2025)</t>
  </si>
  <si>
    <t>Exploring the Adoption of Construction Technologies in Infrastructure Projects: Bridging Perceptions of Experts with Real Project Data</t>
  </si>
  <si>
    <t>Step-1 note: Construction tech adoption survey; DT peripheral</t>
  </si>
  <si>
    <t>10.1061/JITSE4.ISENG-2605</t>
  </si>
  <si>
    <t>Tan, J.-K et al. (2026)</t>
  </si>
  <si>
    <t>Shear capacity design method for vertical joints in wind turbine concrete towers under combined bending-shear loads</t>
  </si>
  <si>
    <t>Step-1 note: Wind turbine tower joints; energy, not AECO</t>
  </si>
  <si>
    <t>10.1016/j.istruc.2026.111897</t>
  </si>
  <si>
    <t>Akimov, A et al. (2026)</t>
  </si>
  <si>
    <t>PROBLEMS OF PRESERVATION, RECONSTRUCTION AND RESTORATION (ADAPTATION) OF OBJECTS OF CULTURAL HERITAGE OF INDUSTRIAL PURPOSE</t>
  </si>
  <si>
    <t>Step-1 note: Heritage adaptive-reuse metrics review; DT one pillar</t>
  </si>
  <si>
    <t>10.26782/jmcms.spl.13/2026.05.00006</t>
  </si>
  <si>
    <t>Kanetaki, Z et al. (2026)</t>
  </si>
  <si>
    <t>Three-Dimensional Scanning-Based Retrofitting of Ballast Water Treatment Systems for Enhanced Marine Environmental Protection</t>
  </si>
  <si>
    <t>Step-1 note: Ballast water system retrofit; marine vessels</t>
  </si>
  <si>
    <t>10.3390/jmse14020154</t>
  </si>
  <si>
    <t>Zhihong, Q et al. (2026)</t>
  </si>
  <si>
    <t>Intelligent Unmanned Aerial Vehicles for Low-altitude Economy: A Review of the Technology Framework and Future Prospects; [低空经济赋能者：智能无人机技术体系综述与展望]</t>
  </si>
  <si>
    <t>Step-1 note: UAV low-altitude review; not AECO; Chinese</t>
  </si>
  <si>
    <t>10.11999/JEIT251246</t>
  </si>
  <si>
    <t>Kubota, S et al. (2026)</t>
  </si>
  <si>
    <t>Integration of Three-Dimensional Point Clouds and Sensing Data for Digital Twin-Oriented Construction Management</t>
  </si>
  <si>
    <t>Step-1 note: Point-cloud construction DT system; progress/quality/safety | Full text not coded: no matching PDF in Endnote library</t>
  </si>
  <si>
    <t>10.20965/ijat.2026.p0288</t>
  </si>
  <si>
    <t>Laksono, N.B et al. (2026)</t>
  </si>
  <si>
    <t>A knowledge-based approach to UAV path planning for bridge maintenance in a digital twin environment</t>
  </si>
  <si>
    <t>Knowledge-based UAV path planning in a digital-twin environment (U Indonesia/RMIT/Kyung Hee, Knowledge-Based Systems 2026 preprint): maintenance records encoded as element-level priority weights and viewing requirements; BIM-derived geometry generates candidate viewpoints and element-specific patterns; maintenance-weighted utility evaluates routes; box-girder toll-road bridge case compares favourably against manual, coverage-only and robustness-proxy baselines with cycle-to-cycle repeatability. Static BIM+knowledge planning (no live link); no actuation, no learning loop; preprint not peer-reviewed. [Full-text source: browser-oa]</t>
  </si>
  <si>
    <t>Converts maintenance intent into repeatable UAV routes via knowledge-encoded priority weights and BIM geometry, outperforming coverage-only and robustness-proxy baselines.</t>
  </si>
  <si>
    <t>Preprint (not peer-reviewed); single case study; UAV feasibility (battery, GNSS denial under decks) treated lightly; no field flight validation.</t>
  </si>
  <si>
    <t>Maintenance priority weights and BIM geometry are fused in the maintenance-weighted viewpoint utility function.</t>
  </si>
  <si>
    <t>Step-1 note: Knowledge-based UAV planning in bridge DT; maintenance safety | Coded from Step-3 deep-read markdown (Prompt B), imported 2026-09-30</t>
  </si>
  <si>
    <t>10.1016/j.knosys.2026.116950</t>
  </si>
  <si>
    <t>Lad, V.H et al. (2025)</t>
  </si>
  <si>
    <t>State-of-Art review of resilience of bridges and bridge networks</t>
  </si>
  <si>
    <t>Step-1 note: Bridge resilience review; DT one trend</t>
  </si>
  <si>
    <t>10.1680/jbren.24.00014</t>
  </si>
  <si>
    <t>Huang, L et al. (2025)</t>
  </si>
  <si>
    <t>Real-time simulation for deep-sea mining system with sea trial validation</t>
  </si>
  <si>
    <t>Step-1 note: Deep-sea mining simulation; marine/mining</t>
  </si>
  <si>
    <t>10.1016/j.oceaneng.2025.122751</t>
  </si>
  <si>
    <t>Cho, H.S et al. (2025)</t>
  </si>
  <si>
    <t>Multi-Modal Excavator Activity Recognition Using Two-Stream CNN-LSTM with RGB and Point Cloud Inputs</t>
  </si>
  <si>
    <t>Step-1 note: Excavator activity recognition; no DT</t>
  </si>
  <si>
    <t>10.3390/app15158505</t>
  </si>
  <si>
    <t>Abbasov, G.Z et al. (2025)</t>
  </si>
  <si>
    <t>AI-DRIVEN DIGITAL TWIN OPTIMIZATION FOR REDUCING THERMOMECHANICAL STRESS IN TRANSPORT COMPONENTS</t>
  </si>
  <si>
    <t>Step-1 note: Transport-component thermomechanical DT; not AECO</t>
  </si>
  <si>
    <t>NOT PROVIDED in source markdown</t>
  </si>
  <si>
    <t>Elghaish, F et al. (2026)</t>
  </si>
  <si>
    <t>Predictive digital monitoring of construction resources: an integrated digital twin solution</t>
  </si>
  <si>
    <t>Step-1 note: DTSRM resource monitoring; cost/time focus</t>
  </si>
  <si>
    <t>10.1108/ECAM-04-2025-0604</t>
  </si>
  <si>
    <t>Integrating agentic AI and digital twins for intelligent decision-making systems</t>
  </si>
  <si>
    <t>Step-1 note: Agentic AI + DT with power-grid use case; not AECO</t>
  </si>
  <si>
    <t>10.1016/j.array.2026.100721</t>
  </si>
  <si>
    <t>Cognitive-Inspired Multimodal Learning Framework for Hazard Identification in Highway Construction with BIM–GIS Integration</t>
  </si>
  <si>
    <t>Cognitive-inspired multimodal learning for highway-construction hazard identification (Tongji/Chang'an, Sustainability 2025): biologically grounded cyclic attention models inspector search; adaptive multimodal fusion weights visual/textual/sensor streams; BIM-GIS digital twin platform synchronises physical and virtual environments; validated across five highway projects over 18 months: 91.7% accuracy, 147 ms response, +18.2% vs conventional CV and +24.8% vs commercial systems; 34% accident reduction, 42% inspection-efficiency gain, ROI in 8.7 months. Closed-loop twin claimed for real-time hazard tracking/management (human intervention, no actuation demonstrated); continuous ML improvement claimed but convergence not characterised. [Full-text source: browser-oa]</t>
  </si>
  <si>
    <t>Field-proven cognitive multimodal hazard identification with 91.7% accuracy at 147 ms and a 34% accident reduction across five highway projects.</t>
  </si>
  <si>
    <t>Accident-reduction claims rely on field statistics without control group detail; closed-loop and continuous-improvement mechanisms not rigorously characterised; five projects all highway-type.</t>
  </si>
  <si>
    <t>Visual, textual and sensor streams are adaptively weighted and fused by the multimodal learner feeding the BIM-GIS twin.</t>
  </si>
  <si>
    <t>Step-1 note: Multimodal hazard identification DT for highway safety | AB normalised to code list (source label "Perception / Computer Vision") | Coded from Step-3 deep-read markdown (Prompt B), imported 2026-09-30</t>
  </si>
  <si>
    <t>10.3390/su17219395</t>
  </si>
  <si>
    <t>Rashidian, M et al. (2026)</t>
  </si>
  <si>
    <t>An IFC-based framework for semantic integration of BIM and mobile crowd sensing in real-time evacuation routing</t>
  </si>
  <si>
    <t>IFC-based framework for semantic integration of BIM and mobile crowd sensing in real-time evacuation routing (KNTU): IFC models transformed into dynamic decision graph with spaces/exits/sensors annotated by live crowd-sensed info; Wi-Fi-based indoor localization with two-stage crowdsensing; multi-criteria shortest-path routing via extended Dijkstra with dynamically updated weights (distance to hazards, travel time, exit availability, route safety index); AHP weight prioritization; implemented in four-story academic building. One-way monitoring→routing guidance; no actuation and no learning loop (Dijkstra is algorithmic, not learning). [Full-text source: 04c-port]</t>
  </si>
  <si>
    <t>Couples IFC-based BIM semantics with mobile crowd sensing for real-time evacuation routing: IFC entities become a dynamic decision graph updated by Wi-Fi RSSI localization using a two-stage strategy that also infers silent users, and an extended Dijkstra algorithm with AHP-derived weights (distance, time, exit availability, route safety index) recomputes paths; field tests in a four-story academic building under three scenarios reached 94 to 96% in-time evacuation and 3.02 to 3.58 m positioning error.</t>
  </si>
  <si>
    <t>Validation covers a single mid-sized academic building and three scenarios, Wi-Fi localization error stays non-negligible, and occupant privacy plus data governance are unresolved; agent-level behavioural modelling and multi-building validation were beyond scope. Future work includes predictive hazard modelling, sensor fusion (BLE, IMU, UWB), privacy-preserving architectures and larger building typologies.</t>
  </si>
  <si>
    <t>Live Wi-Fi RSSI localisation and the IFC-derived decision graph are jointly consumed by an extended Dijkstra algorithm whose dynamically updated route weights depend on both simultaneously.</t>
  </si>
  <si>
    <t>Step-1 note: IFC + crowd sensing evacuation routing DT; safety | Coded from Step-3 deep-read markdown (Prompt B), imported 2026-09-30 | Prior matrix (v260816) verification note retained in 3_Change_Log</t>
  </si>
  <si>
    <t>10.1016/j.aei.2026.104500</t>
  </si>
  <si>
    <t>Lee, S et al. (2025)</t>
  </si>
  <si>
    <t>Rock Joint Segmentation in Drill Core Images via a Boundary-Aware Token-Mixing Network</t>
  </si>
  <si>
    <t>Step-1 note: Rock joint segmentation; no DT</t>
  </si>
  <si>
    <t>10.3390/buildings15173022</t>
  </si>
  <si>
    <t>Cross-domain adaptive digital twin modelling for dam structures using graph attention networks</t>
  </si>
  <si>
    <t>Step-1 note: Cross-domain GAT dam DT; safety monitoring | Full text not coded: Endnote candidate(s) found but identity not verified</t>
  </si>
  <si>
    <t>10.1016/j.aei.2025.104209</t>
  </si>
  <si>
    <t>Prabha, K et al. (2026)</t>
  </si>
  <si>
    <t>Assessment of Material Degradation Under Climate Change: Modeling and Reliability-Based Evaluation of Reinforced Concrete Durability</t>
  </si>
  <si>
    <t>Step-1 note: RC durability modeling; DT-supported only</t>
  </si>
  <si>
    <t>10.1007/s11837-026-08436-w</t>
  </si>
  <si>
    <t>Seo, H.J et al. (2025)</t>
  </si>
  <si>
    <t>Analyzing Research Trends in Smart Construction Safety: A Topic Modeling Approach</t>
  </si>
  <si>
    <t>Systematic review + topic modeling of smart construction safety technologies (Kookmin U/Cyber Hankuk U): investigates DTs, IoT, big data for real-time monitoring and predictive risk management; develops conceptual framework for integrating smart technologies into safety systems; no DT built, evaluated, or methodologically developed - R=No -&gt; Stage-2 exclude. [Full-text source: 04c-port]</t>
  </si>
  <si>
    <t>Step-1 note: Smart construction safety SLR + conceptual framework | Stage-2 exclusion basis: P=No; R=No | Coded from Step-3 deep-read markdown (Prompt B), imported 2026-09-30 | Prior matrix (v260816) verification note retained in 3_Change_Log</t>
  </si>
  <si>
    <t>10.3390/buildings15040520</t>
  </si>
  <si>
    <t>Huang, H et al. (2026)</t>
  </si>
  <si>
    <t>Digital design and safety assessment of foundation pit excavation by BIM-FEM</t>
  </si>
  <si>
    <t>Step-1 note: BIM-FEM pit excavation; no DT</t>
  </si>
  <si>
    <t>10.1016/j.undsp.2026.03.010</t>
  </si>
  <si>
    <t>Su, W et al. (2025)</t>
  </si>
  <si>
    <t>Development of a digital twin-driven bridge construction safety monitoring system</t>
  </si>
  <si>
    <t>Digital-twin-driven bridge construction safety-monitoring platform (Zhanlin Yellow River cable-stayed bridge, incremental launching): dynamic multi-resolution DT (web-BIM model + Midas Civil FE model, 267 rod elements/19 stages); 120 embedded strain gauges + support-reaction/temperature/displacement sensors stream real-time to the twin; stress/deformation warning mechanism with 3 warning levels (e.g., stress deviation 11% → L1, 20-30% → L2, &gt;30% → L3) triggers alerts to on-site personnel who adjust construction. One-way monitoring→analysis→human action; no automated actuation and no learning loop. [Full-text source: 04c-port]</t>
  </si>
  <si>
    <t>Fills the construction-phase gap left by operation-focused bridge digital twins: a multi-resolution digital twin for the Zhanlin Yellow River cable-stayed bridge links a web-BIM model with a Midas Civil finite element model (267 elements, 19 launching stages) and 120 strain gauges, applying standardized stress and deformation warning thresholds that triggered Level 1 and Level 2 alarms during jacking at 573 m.</t>
  </si>
  <si>
    <t>Theoretical simulation results were not validated by thorough field tests, the case focuses mainly on main-girder stress, and warnings still require personnel to execute predefined procedures rather than automatic control; future work includes comparing the digital twin approach with conventional construction safety control and building a large-scale cable-stayed bridge construction monitoring database.</t>
  </si>
  <si>
    <t>One hundred and twenty embedded strain gauges plus support-reaction, temperature and displacement sensors are mapped onto the web-BIM/Midas twin points, and three-level warnings fire on per-point deviations between measured and simulated stress.</t>
  </si>
  <si>
    <t>Step-1 note: Bridge construction safety monitoring DT platform | Coded from Step-3 deep-read markdown (Prompt B), imported 2026-09-30 | Prior matrix (v260816) verification note retained in 3_Change_Log</t>
  </si>
  <si>
    <t>10.1680/jensu.24.00136</t>
  </si>
  <si>
    <t>Roh, S (2026)</t>
  </si>
  <si>
    <t>DIGITAL TWIN TRAINING AND LEGAL GOVERNANCE FOR HUMANOID POLICE ROBOTS IN PATROL AND ARREST-SUPPORT</t>
  </si>
  <si>
    <t>Step-1 note: Police robot DT governance; not AECO</t>
  </si>
  <si>
    <t>Adaptive job scheduling and resource allocation for industrialized construction processes using digital twin and reinforcement learning</t>
  </si>
  <si>
    <t>Step-1 note: Production scheduling DT; no DfS/DfQ</t>
  </si>
  <si>
    <t>10.1016/j.aei.2026.105166</t>
  </si>
  <si>
    <t>Alghamdi, M et al. (2026)</t>
  </si>
  <si>
    <t>Hazard- and Fairness-Aware Evacuation with Grid-Interactive Energy Management: A Digital-Twin Controller for Life Safety and Sustainability</t>
  </si>
  <si>
    <t>Hazard- and fairness-aware evacuation digital-twin controller with grid-interactive emergency energy management (U Tabuk, Sustainability 2026): physics-based advection-diffusion-decay surrogate predicts smoke/temperature fields from sensor data; router manages per-user path updates with exposure caps and fairness weights for vulnerable occupants; receding-horizon energy dispatcher regulates PV/battery/diesel/grid to sustain life-safety loads; auditable policy knobs; co-simulation across layouts outperforms AI/RL baselines on T95/worst-case exposure and event energy/CO2 while meeting all constraints. Twin actively dispatches energy resources (virtual-to-physical control) -&gt; Tier 3; co-simulation validation only; no learning loop. [Full-text source: browser-oa]</t>
  </si>
  <si>
    <t>Jointly optimises evacuation routing fairness and emergency energy dispatch with an auditable surrogate-based controller that beats AI/RL baselines on worst-case egress and event emissions.</t>
  </si>
  <si>
    <t>Co-simulation only (no hardware/real building); surrogate fidelity vs FDS not fully quantified; human compliance with routing guidance assumed.</t>
  </si>
  <si>
    <t>Predicted hazard fields, congestion estimates and energy states are fused in one receding-horizon routing-plus-dispatch controller.</t>
  </si>
  <si>
    <t>Step-1 note: Hazard-aware evacuation DT controller; life safety | Coded from Step-3 deep-read markdown (Prompt B), imported 2026-09-30</t>
  </si>
  <si>
    <t>10.3390/su18010133</t>
  </si>
  <si>
    <t>Chaaya, M.L et al. (2025)</t>
  </si>
  <si>
    <t>Integration of Emerging Technologies with Construction Practices in Australia</t>
  </si>
  <si>
    <t>10.3390/buildings15030396</t>
  </si>
  <si>
    <t>Lim, D et al. (2025)</t>
  </si>
  <si>
    <t>An AI-Driven Thermal-Fluid Testbed for Advanced Small Modular Reactors: Integration of Digital Twin and Large Language Models</t>
  </si>
  <si>
    <t>Step-1 note: SMR thermal testbed DT; nuclear</t>
  </si>
  <si>
    <t>10.1016/j.aitf.2025.100023</t>
  </si>
  <si>
    <t>Iqbal, A.B et al. (2025)</t>
  </si>
  <si>
    <t>The Digital Evolution of the Maritime Industry: Unleashing the Power of IoT and Cloud Computing</t>
  </si>
  <si>
    <t>Step-1 note: Maritime IoT digitalization; not AECO</t>
  </si>
  <si>
    <t>Fernandes, E.H et al. (2026)</t>
  </si>
  <si>
    <t>The Patos Lagoon Digital Twin—A Framework for Assessing and Mitigating Impacts of Extreme Flood Events in Southern Brazil</t>
  </si>
  <si>
    <t>Step-1 note: Coastal lagoon flood DT; environmental domain</t>
  </si>
  <si>
    <t>10.3390/cli14020034</t>
  </si>
  <si>
    <t>Wang, Y (2026)</t>
  </si>
  <si>
    <t>Al-Driven Resilience and Risk Analysis in Disaster-Prone Transport Networks</t>
  </si>
  <si>
    <t>Step-1 note: Transport network resilience AI; not built asset</t>
  </si>
  <si>
    <t>10.1109/ACCESS.2026.3694321</t>
  </si>
  <si>
    <t>Su, P (2026)</t>
  </si>
  <si>
    <t>A dual-loop collaborative framework for smart construction sites</t>
  </si>
  <si>
    <t>Dual-loop collaborative smart-construction framework (Changsha UST, Discover Applied Sciences 2026): BIM + IoT + LSTM-Attention with an adaptive prediction-execution-feedback closed loop; 261-sensor deployment on the Taipei Bridge and Tunnel Joint Project with sub-second synchronisation; NSGA-II multi-objective optimisation over safety/cost/schedule/emissions. Statistically significant (p&lt;0.001): 46.2% latency reduction, 41.4% fewer safety incidents, 18.5% direct-cost reduction, 11.1% CO2 reduction, 99.1% safety compliance. Closed-loop decision-making (prediction-&gt;execution-&gt;feedback) -&gt; Tier 3; no self-improvement/learning loop (LSTM offline-trained). [Full-text source: Endnote]</t>
  </si>
  <si>
    <t>Fills the one-way-monitoring-to-closed-loop gap on smart sites: a dual-loop BIM+IoT+LSTM-Attention architecture with NSGA-II multi-objective optimisation achieved, on a 261-sensor bridge-tunnel project, sub-second synchronisation and statistically significant gains (-46.2% latency, -41.4% safety incidents, -18.5% cost, -11.1% CO2, 99.1% compliance).</t>
  </si>
  <si>
    <t>Single project case study; the LSTM-Attention models are offline-trained and the closed-loop execution boundaries (which decisions are automated vs human-approved) are not precisely specified; generalisation to other site types and sensor densities untested.</t>
  </si>
  <si>
    <t>261-sensor IoT streams, BIM models and LSTM-Attention predictions are fused in the dual-loop platform, with NSGA-II trading off safety/cost/schedule/emissions.</t>
  </si>
  <si>
    <t>Step-1 note: Dual-loop BIM-IoT smart construction; safety reduction | Coded from Step-3 deep-read markdown (Prompt B), imported 2026-09-30</t>
  </si>
  <si>
    <t>10.1007/s42452-026-08789-6</t>
  </si>
  <si>
    <t>Pinciroli, L et al. (2026)</t>
  </si>
  <si>
    <t>Risk assessment for modern industry</t>
  </si>
  <si>
    <t>Step-1 note: Industrial risk assessment; not AECO</t>
  </si>
  <si>
    <t>10.1016/j.ress.2025.112126</t>
  </si>
  <si>
    <t>Bossinov, D et al. (2026)</t>
  </si>
  <si>
    <t>Simulation and Optimization of Heating Networks</t>
  </si>
  <si>
    <t>Step-1 note: Heating network DT; energy utility, not AECO</t>
  </si>
  <si>
    <t>10.4028/p-bRI8lY</t>
  </si>
  <si>
    <t>Zhang, J et al. (2025)</t>
  </si>
  <si>
    <t>Research on a virtual-real fusion experimental system for the cutting part of a boom-type roadheader</t>
  </si>
  <si>
    <t>Step-1 note: Roadheader cutting DT; mining</t>
  </si>
  <si>
    <t>10.1371/journal.pone.0330291</t>
  </si>
  <si>
    <t>Tsoulfas, G.T (2026)</t>
  </si>
  <si>
    <t>Port resilience: a systematic literature review</t>
  </si>
  <si>
    <t>Step-1 note: Port resilience review; maritime</t>
  </si>
  <si>
    <t>10.1057/s41278-025-00326-3</t>
  </si>
  <si>
    <t>Zhu, J et al. (2025)</t>
  </si>
  <si>
    <t>A knowledge foundation and prospect review on thermal response of bridges</t>
  </si>
  <si>
    <t>Step-1 note: Bridge thermal bibliometric; DT one stage</t>
  </si>
  <si>
    <t>10.1177/13694332251365970</t>
  </si>
  <si>
    <t>Han, M et al. (2025)</t>
  </si>
  <si>
    <t>Enhancing worker monitoring and management on large-scale construction sites with UAVs and digital twin modeling</t>
  </si>
  <si>
    <t>UAV-based framework for worker monitoring and management on large-scale construction sites (CUHK): pretrained YOLO-LCA model (detection accuracy improved 31.5%→96.4%) + multi-object tracking + 3D site reconstruction for precise global registration and situational awareness; cross-referencing UAV detections with GPS-enabled worker IDs for authorization verification; large-scale validation across multiple construction projects in Hong Kong; continuous UAV data collection enables iterative model retraining, improving detection robustness. One-way monitoring→authorization verification→decision support; implemented retraining loop but no convergence criterion. [Full-text source: 04c-port]</t>
  </si>
  <si>
    <t>Addresses the lack of real-time worker authorization verification in large open construction sites: a UAV digital twin framework at CUHK combining YOLOv10-LCA detection (mAP50 raised from 31.5 to 96.4 percent, 3 ms inference), DeepSORT tracking, georegistered 3D site reconstruction and GPS electronic work permits, validated across Hong Kong construction projects with 19 inspection sites routed by 3D-TSP within a 41-minute flight limit.</t>
  </si>
  <si>
    <t>The system relies on a single UAV constrained by battery endurance, and its detector drops to 41.5 to 47.1 percent mAP50 on public UAV datasets, so generalization remains limited; future work includes multi-UAV cooperation, resilience in adverse weather and low light, extra sensors such as infrared and LiDAR, and broader training datasets.</t>
  </si>
  <si>
    <t>UAV detections are cross-referenced with GPS-enabled worker IDs to verify authorisation, so the decision output depends on visual detections and GPS identity data simultaneously.</t>
  </si>
  <si>
    <t>Step-1 note: UAV + DT worker monitoring; authorization safety | AB normalised to code list (source label "Perception / Computer Vision") | Coded from Step-3 deep-read markdown (Prompt B), imported 2026-09-30 | Prior matrix (v260816) verification note retained in 3_Change_Log</t>
  </si>
  <si>
    <t>10.1016/j.autcon.2025.106108</t>
  </si>
  <si>
    <t>Sidorova, A.V et al. (2026)</t>
  </si>
  <si>
    <t>Autonomous control systems for technological processes in the field of hydrogen energy</t>
  </si>
  <si>
    <t>Step-1 note: Hydrogen RPA DT; energy, not AECO</t>
  </si>
  <si>
    <t>10.1016/j.ijhydene.2025.153076</t>
  </si>
  <si>
    <t>Upadrista, V et al. (2025)</t>
  </si>
  <si>
    <t>Blockchain-enabled digital twin system for brain stroke prediction</t>
  </si>
  <si>
    <t>Step-1 note: Brain stroke DT; healthcare</t>
  </si>
  <si>
    <t>10.1186/s40708-024-00247-6</t>
  </si>
  <si>
    <t>Zhang, C et al. (2025)</t>
  </si>
  <si>
    <t>Digital Safety Navigation for Tower Crane Climbing Process from a Systematic Perspective: Risk Identification, Safety Information Requirements, and Related Intelligent Platform</t>
  </si>
  <si>
    <t>Safety Intelligent Navigation Platform (SINP) for tower crane climbing (HUST): systematic control framework integrating theoretical risk analysis (process analysis of key safety-critical points), GDTA-derived worker situation-awareness requirements, and a 4-layer digital twin virtual model (geometric/physical/behavioral/rule-based) with IoT-based real-time mapping/dataflow; edge intelligent control device (EICD) provides real-time safety navigation + alarms to workers, mobile monitoring for supervisors, cloud remote inspection; validated in indoor functional + outdoor practical experiments (task completion 515-676s→375-444s, errors 1.4-4.8→0, dialogues 11.8→0.8). One-way monitoring→navigation/alarms to humans; no automated actuation and no learning loop. [Full-text source: 04c-port]</t>
  </si>
  <si>
    <t>Fills the gap between passive crane monitoring and proactive climbing-process safety control: the SINP framework couples process-based risk identification for the eight-step climbing cycle with GDTA-derived information requirements, then delivers navigation and alarms through IoT sensors and an edge intelligent control device, cutting dialogue counts from 11.8-12.2 to 0.8-1.6, completion times from 515.6-676.0 to 375.0-444.2 seconds and operational errors to zero in tests.</t>
  </si>
  <si>
    <t>Validated on a scaled tower crane model plus one Xiangyang construction project, so generalizability is limited by the small sample size; impact on situation awareness was not systematically measured and testing scenarios may not capture real-world diversity. Future work includes integrating structural health monitoring and augmented reality into the platform.</t>
  </si>
  <si>
    <t>IoT sensors are mirrored into the four-layer DT virtual model (geometric/physical/behavioural/rule-based), and the edge intelligent control device issues navigation and alarms per signal threshold.</t>
  </si>
  <si>
    <t>Step-1 note: Tower crane climbing safety navigation platform; DT | Coded from Step-3 deep-read markdown (Prompt B), imported 2026-09-30 | Prior matrix (v260816) verification note retained in 3_Change_Log</t>
  </si>
  <si>
    <t>10.1061/JCEMD4.COENG-15772</t>
  </si>
  <si>
    <t>An, Y et al. (2025)</t>
  </si>
  <si>
    <t>Efficient low-collision UAV-based automated structural surface inspection using geometric digital twin and voxelized obstacle information</t>
  </si>
  <si>
    <t>Automatic UAV inspection mission planning from a Geometric Digital Twin (GDT) and Voxelized Obstacle Information (VOI) (Guangxi U/DUT/Beihang, AutCon 2025): FOV-centroid parallel shifting generates structural-surface waypoints; environmental VOI from 3D point clouds adjusts waypoints for safety; GA + A* hybrid optimises collision-free flight paths; verified on an office building and a steel truss bridge with significantly improved efficiency. The twin is a static geometric reference for pre-planning; the UAV then executes the plan physically, no live twin link during flight, no learning loop. [Full-text source: Endnote]</t>
  </si>
  <si>
    <t>Fills the automation/adaptation gap in UAV structural inspection: GDT + VOI waypoint generation and GA+A* path optimisation deliver collision-free, complete and efficient flight plans verified on both an office building and a steel truss bridge.</t>
  </si>
  <si>
    <t>The GDT is static LoD-based geometry: dynamic obstacles appearing after planning and mission-level autonomy (beyond path planning) are out of scope; two structure types only, and inspection-image quality metrics are secondary to flight-path metrics.</t>
  </si>
  <si>
    <t>Only geometric data (GDT mesh + point-cloud VOI) drives the planning; no second data type is fused.</t>
  </si>
  <si>
    <t>Step-1 note: Geometric DT UAV inspection planning; safety | Coded from Step-3 deep-read markdown (Prompt B), imported 2026-09-30</t>
  </si>
  <si>
    <t>10.1016/j.autcon.2025.105972</t>
  </si>
  <si>
    <t>Podolskaia, E.S et al. (2025)</t>
  </si>
  <si>
    <t>Russian Scientific Experience of Using Web-based Geoinformation Systems in Seismology; [Отечественный научный опыт использования веб-геоинформационных систем в сейсмологии]</t>
  </si>
  <si>
    <t>Step-1 note: Seismology Web-GIS review; not AECO DT</t>
  </si>
  <si>
    <t>10.2205/2025ES001035</t>
  </si>
  <si>
    <t>Durković, M et al. (2025)</t>
  </si>
  <si>
    <t>Data-Driven Traffic Management: Enhancing Road Safety through Integrated Digital Twin Technology</t>
  </si>
  <si>
    <t>Step-1 note: Traffic management DT; transportation</t>
  </si>
  <si>
    <t>10.2298/CSIS240925058D</t>
  </si>
  <si>
    <t>Jing, Z et al. (2026)</t>
  </si>
  <si>
    <t>Vision-Based Digital Twin and AI Agent Framework for Low-Cost, Explainable Indoor Building Inspection and Safety Assessment</t>
  </si>
  <si>
    <t>Vision-based digital twin and AI agent for low-cost explainable indoor safety assessment (Southeast U/ETH, Sensors 2026): single smartphone video reconstructed into metric-scale 3D point cloud (MASt3R-SLAM + AprilTag); SpatialLM parses semantic entities; risk guidelines formalised as Risk Prototypes bound with geometry, semantics, images and knowledge in a hierarchical SceneState; LangGraph dual-pathway agent performs whole-dwelling scan plus iterative tool-call follow-ups; pilot across five residences: recall 77.8-100%, precision 45-70% vs single-assessor manual reference, 71.7% judgment closure. Static reconstruction/assessment (no live link); no actuation, no learning loop. [Full-text source: browser-oa]</t>
  </si>
  <si>
    <t>Turns one smartphone video into a metric 3D twin with computable Risk Prototypes and an LLM agent audit trail, matching manual checklist risk coverage while improving spatial granularity up to 2.2x in complex dwellings.</t>
  </si>
  <si>
    <t>Precision (45-70%) remains moderate and closure rate 71.7%; single-assessor manual reference; agent costs/latency not reported; five residences only.</t>
  </si>
  <si>
    <t>Geometry, semantic labels, image observations and regulatory knowledge are bound into one hierarchical SceneState driving the agent assessment.</t>
  </si>
  <si>
    <t>Step-1 note: Vision DT + AI agent indoor safety assessment | Coded from Step-3 deep-read markdown (Prompt B), imported 2026-09-30</t>
  </si>
  <si>
    <t>10.3390/s26154992</t>
  </si>
  <si>
    <t>Dutta, A.K et al. (2026)</t>
  </si>
  <si>
    <t>Digital twin-assisted blockchain IoT security model using contrastive and causal learning techniques</t>
  </si>
  <si>
    <t>Step-1 note: IoT security DT model; not AECO</t>
  </si>
  <si>
    <t>10.1038/s41598-026-47104-6</t>
  </si>
  <si>
    <t>Pang, Z et al. (2026)</t>
  </si>
  <si>
    <t>A fast-response framework for real-time 3D wind field reconstruction: Supporting urban air mobility applications in complex environments</t>
  </si>
  <si>
    <t>Step-1 note: UAM wind reconstruction; air mobility</t>
  </si>
  <si>
    <t>10.1016/j.scs.2026.107860</t>
  </si>
  <si>
    <t>Omari, M et al. (2025)</t>
  </si>
  <si>
    <t>Neural network-based metamodel for scaffolding behavior: Application for structural load analysis and safety enhancement</t>
  </si>
  <si>
    <t>Step-1 note: Scaffolding FEM+NN metamodel; not full DT</t>
  </si>
  <si>
    <t>10.1016/j.apples.2025.100240</t>
  </si>
  <si>
    <t>Zoia, A et al. (2025)</t>
  </si>
  <si>
    <t>The Chicago Piles unearthed</t>
  </si>
  <si>
    <t>Step-1 note: Chicago Pile nuclear DT; not AECO</t>
  </si>
  <si>
    <t>10.1038/s41598-025-10901-6</t>
  </si>
  <si>
    <t>Palihakkara, A.D et al. (2025)</t>
  </si>
  <si>
    <t>A REVIEW OF THE APPLICATION OF ONTOLOGIES AND SEMANTIC WEB FOR BUILDING INFORMATION MODELLING AND DIGITAL TWINS BASED CONSTRUCTION MANAGEMENT</t>
  </si>
  <si>
    <t>Systematic literature review (52 papers, Scopus+WoS, 2005–2023) on ontology/semantic-web/linked-data integration in BIM and digital-twin based construction management during the construction execution phase; identifies 8 use cases (incl. safety management, compliance checking, construction planning &amp; production control); trend + theoretical analysis of how semantic-web tools (ifcOWL, BOT, SPARQL, SWRL) serve each use case; barriers: data privacy, scalability, ontology-mapping complexity. Review only — no DT built or tested; DfS/DfQ appear among reviewed use cases, not demonstrated; no learning loop. [Full-text source: 04c-port]</t>
  </si>
  <si>
    <t>Maps the under-reviewed use of ontologies and semantic web technologies for construction execution: a systematic review of 52 papers from Scopus and Web of Science spanning 2005-2023 categorizes use cases including safety management, compliance checking, site monitoring and 4D BIM, analyzes how semantic web tools support BIM and digital twin applications, and positions ontologies as the path toward BIM Maturity Stage 3.</t>
  </si>
  <si>
    <t>It is a literature review without its own ontology or case validation; findings are limited to building construction execution papers retrieved by April 2023 and exclude infrastructure projects; barriers include unpublished ontologies causing redundancy, scalability limits and mapping complexity, with future work on reuse best practices, IoT-linked real-time semantic data and scalable solutions.</t>
  </si>
  <si>
    <t>A systematic review of 52 papers on ontology/semantic-web integration in BIM-DT construction management; no system is built or tested, so no integration mechanism can be coded.</t>
  </si>
  <si>
    <t>Step-1 note: Ontology/semantic-web SLR for BIM-DT construction mgmt | Coded from Step-3 deep-read markdown (Prompt B), imported 2026-09-30 | Prior matrix (v260816) verification note retained in 3_Change_Log</t>
  </si>
  <si>
    <t>10.36680/j.itcon.2025.049</t>
  </si>
  <si>
    <t>Zhao, C et al. (2026)</t>
  </si>
  <si>
    <t>Edge General Intelligence Through World Models, Large Language Models, and Agentic AI: Fundamentals, Solutions, and Challenges</t>
  </si>
  <si>
    <t>Step-1 note: Edge general intelligence survey; generic</t>
  </si>
  <si>
    <t>10.1109/TCCN.2026.3658762</t>
  </si>
  <si>
    <t>Ayyub, B et al. (2025)</t>
  </si>
  <si>
    <t>Infrastructure Lifecycle Corrosion Management Using AI Analytics and Digital Twins</t>
  </si>
  <si>
    <t>Perspective/overview paper (Corrosion and Materials Degradation 2025, U Maryland/USCG): advances the discourse on corrosion monitoring with AI analytics and digital twins, demonstrating non-parametric analysis of corrosion data and providing implementation recommendations. No digital twin is built or evaluated - DTs are discussed as supportive technology and recommendations for future work. P=No, R=No -&gt; Stage-2 exclude. [Full-text source: browser-oa]</t>
  </si>
  <si>
    <t>Step-1 note: Corrosion lifecycle DT; civil infrastructure safety | Stage-2 exclusion basis: P=No; R=No | Coded from Step-3 deep-read markdown (Prompt B), imported 2026-09-30</t>
  </si>
  <si>
    <t>10.3390/cmd6020018</t>
  </si>
  <si>
    <t>Zhang, C et al. (2026)</t>
  </si>
  <si>
    <t>IoT-enabled human-cyber-physical interaction and decision system for dynamic social network intervention: an application to drug transmission</t>
  </si>
  <si>
    <t>Step-1 note: Drug transmission network DT; not AECO</t>
  </si>
  <si>
    <t>10.1016/j.iot.2026.101941</t>
  </si>
  <si>
    <t>Xu, Q et al. (2025)</t>
  </si>
  <si>
    <t>Digital twin-driven operational CycleGAN-based multiple virtual-physical mappings for remaining useful life prediction under limited life cycle data</t>
  </si>
  <si>
    <t>Step-1 note: Bearing RUL CycleGAN DT; manufacturing</t>
  </si>
  <si>
    <t>10.1016/j.jare.2025.02.029</t>
  </si>
  <si>
    <t>Tang, T et al. (2025)</t>
  </si>
  <si>
    <t>Digital twin-enabled deep learning for real-time fire situation awareness</t>
  </si>
  <si>
    <t>DT framework for real-time building fire situational awareness (China Three Gorges U, Visual Computer 2025): AIoT sensor data processed by a Bert_C (BERT+CNN) model to analyse smoldering-to-flaming transition; 96.1% accuracy, 96.2% F1; numerical fire simulation generates training scenarios; 3D DT visualisation of fire scenes for firefighting and emergency rescue decision support. One-way sensor-&gt;prediction-&gt;warning/visualisation; no actuation and no learning loop (offline-trained). [Full-text source: Endnote]</t>
  </si>
  <si>
    <t>Fills the early-fire-recognition gap (smoldering-to-flaming transition) in buildings: Bert_C on AIoT sensor data attains 96.1% accuracy / 96.2% F1 and the DT visualises 3D fire scenarios for firefighting and rescue, significantly improving warning timeliness.</t>
  </si>
  <si>
    <t>Training/validation rests on numerical fire simulations rather than real fire experiments; real-time end-to-end latency on live buildings is not measured, and smoke/thermal sensor fusion with the 3D scene is described at prototype level.</t>
  </si>
  <si>
    <t>AIoT sensor streams and Bert_C features are mapped into the 3D fire-scene DT for fused situational awareness.</t>
  </si>
  <si>
    <t>Step-1 note: DT fire situation awareness; built environment fire safety | Coded from Step-3 deep-read markdown (Prompt B), imported 2026-09-30</t>
  </si>
  <si>
    <t>10.1007/s00371-025-04131-0</t>
  </si>
  <si>
    <t>Ji, Z (2026)</t>
  </si>
  <si>
    <t>Dynamic Cost Control of Construction Engineering Projects Using Multi-Source Data Fusion</t>
  </si>
  <si>
    <t>Step-1 note: Construction cost control DT; no DfS/DfQ</t>
  </si>
  <si>
    <t>10.32738/JEPPM-2026-111</t>
  </si>
  <si>
    <t>Alreshidi, E (2025)</t>
  </si>
  <si>
    <t>Towards Quantum-Accelerated Urban Systems: Integrating Quantum Computing into Saudi Smart City Megaprojects Architecting Quantum-Smart Infrastructure for Deployment in Vision 2030 Initiatives</t>
  </si>
  <si>
    <t>Step-1 note: Quantum smart-city roadmap; UDT peripheral</t>
  </si>
  <si>
    <t>10.14569/IJACSA.2025.0161239</t>
  </si>
  <si>
    <t>Tam, N (2026)</t>
  </si>
  <si>
    <t>Autonomy is not enough: why agentic AI in the built environment demands governance</t>
  </si>
  <si>
    <t>Step-1 note: Agentic AI governance position; DT one topic</t>
  </si>
  <si>
    <t>10.1016/j.enbuild.2026.117865</t>
  </si>
  <si>
    <t>Murphy, J et al. (2025)</t>
  </si>
  <si>
    <t>When BIM Meets MBSE: Building a Semantic Bridge for Infrastructure Data Integration</t>
  </si>
  <si>
    <t>Step-1 note: BIM-MBSE semantic bridge; DT aspirational</t>
  </si>
  <si>
    <t>10.3390/systems13090770</t>
  </si>
  <si>
    <t>Callegati, F et al. (2025)</t>
  </si>
  <si>
    <t>Investigating operational technology attacks as code</t>
  </si>
  <si>
    <t>Step-1 note: OT security as code; not AECO</t>
  </si>
  <si>
    <t>10.1007/s10664-025-10713-2</t>
  </si>
  <si>
    <t>Lozano-Allimant, S et al. (2025)</t>
  </si>
  <si>
    <t>Structural Health Assessment of a Reinforced Concrete Building in Valparaíso Under Seismic and Environmental Shaking: A Foundation for IoT-Driven Digital Twin Systems</t>
  </si>
  <si>
    <t>Step-1 note: RC building modal SHM; DT future foundation</t>
  </si>
  <si>
    <t>10.3390/app15031202</t>
  </si>
  <si>
    <t>Electric Network Frequency as Environmental Fingerprint for Metaverse Security: A Comprehensive Survey</t>
  </si>
  <si>
    <t>Step-1 note: ENF metaverse security survey; not AECO</t>
  </si>
  <si>
    <t>10.3390/computers14080321</t>
  </si>
  <si>
    <t>Prokhorova, V et al. (2026)</t>
  </si>
  <si>
    <t>CONSTRUCTION OF A DIGITAL TWIN MODEL FOR A SYSTEM THAT MONITORS THE TECHNICAL CONDITION OF A NUCLEAR POWER PLANT POWER UNIT</t>
  </si>
  <si>
    <t>Step-1 note: Nuclear power unit DT; not AECO</t>
  </si>
  <si>
    <t>10.15587/1729-4061.2026.356915</t>
  </si>
  <si>
    <t>Falkowski, P et al. (2026)</t>
  </si>
  <si>
    <t>Measurement-Based Optimization of a Lightweight Upper-Extremity Rehabilitation Exoskeleton for Task-Oriented Treatment</t>
  </si>
  <si>
    <t>Step-1 note: Rehabilitation exoskeleton; healthcare</t>
  </si>
  <si>
    <t>10.3390/s26061849</t>
  </si>
  <si>
    <t>Salehi, H et al. (2026)</t>
  </si>
  <si>
    <t>Incremental tensor-train decomposition for real-time analysis of high-dimensional infrastructure data</t>
  </si>
  <si>
    <t>Step-1 note: Tensor decomposition analytics; DT keyword only</t>
  </si>
  <si>
    <t>10.1016/j.knosys.2026.116738</t>
  </si>
  <si>
    <t>Chen, R et al. (2026)</t>
  </si>
  <si>
    <t>Digital Twin-Enabled Robust Parallel Control of Construction Engineering Equipment Under Uncertainty</t>
  </si>
  <si>
    <t>Mobile gin pole (UHV construction): FEM kinetic analysis + TROA-ET surrogate (R2 0.9642) + NSGA-III safety-efficiency optimisation embedded in DT parallel-control architecture; bidirectional 4G/MQTT link (CANopen control commands) on real 110 kV project; safety risk -32.3%; surrogate is offline-trained, no online learning. [Full-text source: 04c-port]</t>
  </si>
  <si>
    <t>Addresses robust parallel control of construction equipment under uncertainty: a mobile gin pole digital twin for UHV construction embeds finite-element kinetic analysis with a TROA-ET surrogate model (R2 0.9642) and NSGA-III safety-efficiency optimisation within a DT parallel-control architecture supported by bidirectional 4G and MQTT links.</t>
  </si>
  <si>
    <t>The available record states no explicit future work; validation is documented only for the mobile gin pole application, and whether the TROA-ET surrogate is updated online, transferred to other equipment types, or tested against field disturbances beyond the stated scenario is not established.</t>
  </si>
  <si>
    <t>Live operational data and the TROA-ET/FEM surrogate coexist in the DT parallel-control architecture over bidirectional 4G/MQTT links, but the surrogate is offline-trained and no joint inference across streams is stated.</t>
  </si>
  <si>
    <t>Step-1 note: Gin pole robust parallel-control DT; lifting safety | Coded from Step-3 deep-read markdown (Prompt B), imported 2026-09-30 | Prior matrix (v260816) verification note retained in 3_Change_Log</t>
  </si>
  <si>
    <t>10.3390/buildings16101982</t>
  </si>
  <si>
    <t>Hoda, S et al. (2026)</t>
  </si>
  <si>
    <t>Toward digital twin-enabled real-time structural damage detection via POD-assisted Bayesian estimation</t>
  </si>
  <si>
    <t>Step-1 note: POD-Bayesian DT for real-time damage detection | Full text not coded: no matching PDF in Endnote library</t>
  </si>
  <si>
    <t>10.1177/14759217261444391</t>
  </si>
  <si>
    <t>Post, H (2025)</t>
  </si>
  <si>
    <t>How IoT, edge computing and digital twins empower process safety</t>
  </si>
  <si>
    <t>Step-1 note: Trade-magazine piece; not peer-reviewed</t>
  </si>
  <si>
    <t>Hajirasouli, A et al. (2025)</t>
  </si>
  <si>
    <t>Exploring the Impact of Construction 4.0 on Industrial Relations: A Comprehensive Thematic Synthesis of Workforce Transformation in the Digital Era of Construction</t>
  </si>
  <si>
    <t>Step-1 note: Construction 4.0 industrial-relations SLR; DT one theme</t>
  </si>
  <si>
    <t>10.3390/buildings15091428</t>
  </si>
  <si>
    <t>Wen, Y (2025)</t>
  </si>
  <si>
    <t>Research on the intelligent construction of prefabricated building based on digital twin</t>
  </si>
  <si>
    <t>Step-1 note: Prefab intelligent-construction DT; safety not in scope | Prior matrix (v260816) verification note retained in 3_Change_Log</t>
  </si>
  <si>
    <t>10.1680/jstbu.25.00086</t>
  </si>
  <si>
    <t>Schuhmann, F et al. (2026)</t>
  </si>
  <si>
    <t>Tackling the Complexity of Emergency Response Systems: Creating Transport-Focused Digital Twins</t>
  </si>
  <si>
    <t>Transport-focused digital twin of emergency response systems (TUM, Smart Cities 2026): combines real-time traffic data, emergency-vehicle GPS trajectories and road-network information; regression of EV speed on traffic speed plus a combined criticality indicator identifies bottleneck edges; agent-based mesoscopic model of the Munich Fire Department calibrated on recorded trajectories and validated against historical incident data; what-if scenarios for mobility-transition planning. One-way data-&gt;analysis-&gt;planning support; no actuation, no learning loop. [Full-text source: browser-oa]</t>
  </si>
  <si>
    <t>Links real-time traffic with EV GPS to pinpoint bottlenecks and a validated agent-based Munich Fire Department model, enabling evidence-based what-if planning for the mobility transition.</t>
  </si>
  <si>
    <t>Single city case; EV fleet penetration limited; agent model mesoscopic; recommendations for action explicitly deferred pending more data.</t>
  </si>
  <si>
    <t>Real-time traffic speed, EV GPS and road-network data are fused in the regression/criticality indicator feeding the ABM.</t>
  </si>
  <si>
    <t>Step-1 note: Emergency-response transport DT; what-if safety scenarios | Coded from Step-3 deep-read markdown (Prompt B), imported 2026-09-30</t>
  </si>
  <si>
    <t>10.3390/smartcities9020036</t>
  </si>
  <si>
    <t>Kuang, J et al. (2026)</t>
  </si>
  <si>
    <t>The knowledge-driven intelligent diagnosis and monitoring of spatial joint security status</t>
  </si>
  <si>
    <t>Step-1 note: Spatial joint diagnosis framework; no DT built</t>
  </si>
  <si>
    <t>10.1016/j.istruc.2026.111150</t>
  </si>
  <si>
    <t>Stylianou, M et al. (2026)</t>
  </si>
  <si>
    <t>Disaster evacuation of the old city of Nicosia</t>
  </si>
  <si>
    <t>Disaster evacuation of Nicosia Old Town (U Cyprus, Progress in Disaster Science 2026): high-fidelity geo-referenced 3D digital twin of the walled city with layered pedestrian/vehicle navigation meshes (one-way restrictions, pedestrian-only segments, six gates); hybrid agent-based simulation; controlled stress experiments (gate closures, blockages, shelter saturation) reveal high sensitivity to a few critical exits and long-tailed delays; hazard-agnostic exploratory decision support. Static model + simulation; no live data link, no actuation, no learning loop. [Full-text source: browser-oa]</t>
  </si>
  <si>
    <t>First city-scale evacuation study of a walled heritage core with six gates and a buffer zone, showing shelter expansion without adaptive guidance can worsen congestion.</t>
  </si>
  <si>
    <t>Hazard-agnostic (no specific hazard process); simulation without real incident validation; behavioral parameters approximated from traffic counts.</t>
  </si>
  <si>
    <t>Spatial geometry, traffic counts and density observations are fused to calibrate pedestrian and vehicle agents on layered navigation meshes.</t>
  </si>
  <si>
    <t>Step-1 note: Nicosia old-town evacuation DT; disaster safety | Coded from Step-3 deep-read markdown (Prompt B), imported 2026-09-30</t>
  </si>
  <si>
    <t>10.1016/j.pdisas.2026.100557</t>
  </si>
  <si>
    <t>Hao-Yang, Z et al. (2026)</t>
  </si>
  <si>
    <t>Smart Virtual Sensing for Digital Twins in Engineering Structures; [面向工程结构数字孪生的智能虚拟传感技术]</t>
  </si>
  <si>
    <t>Step-1 note: Virtual sensing for bridge DTs; Chinese full text</t>
  </si>
  <si>
    <t>10.19721/j.cnki.1001-7372.2026.01.003</t>
  </si>
  <si>
    <t>Lin, Q et al. (2025)</t>
  </si>
  <si>
    <t>TransPhyX: A data-driven method for dynamic physical field prediction in stochastic load time-series</t>
  </si>
  <si>
    <t>Step-1 note: Mechanical equipment field prediction; not AECO</t>
  </si>
  <si>
    <t>10.1016/j.knosys.2025.114492</t>
  </si>
  <si>
    <t>Zaheer, Q et al. (2026)</t>
  </si>
  <si>
    <t>TRANSFORMING RAILWAY TRANSPORTATION: THE ROLE OF EMERGING TECHNOLOGIES IN EFFICIENCY, SAFETY, AND SUSTAINABILITY</t>
  </si>
  <si>
    <t>Step-1 note: Railway tech review; DT one technology</t>
  </si>
  <si>
    <t>10.3846/jcem.2026.25811</t>
  </si>
  <si>
    <t>Wu, D et al. (2026)</t>
  </si>
  <si>
    <t>Joint Quality-Efficiency Optimization in Continuous Sampling Space for UAV-Based Autonomous Bridge Reconstruction</t>
  </si>
  <si>
    <t>Step-1 note: UAV bridge viewpoint planning; DT enabling</t>
  </si>
  <si>
    <t>10.1109/JSTARS.2026.3698148</t>
  </si>
  <si>
    <t>Wang, Y et al. (2025)</t>
  </si>
  <si>
    <t>Mixed Reality-Based Multi-Scenario Visualization and Control in Automated Terminals: A Middleware and Digital Twin Driven Approach</t>
  </si>
  <si>
    <t>Step-1 note: Container terminal DT-MR; maritime</t>
  </si>
  <si>
    <t>10.3390/buildings15213879</t>
  </si>
  <si>
    <t>Petri, I et al. (2025)</t>
  </si>
  <si>
    <t>Digital twins for dynamic life cycle assessment in the built environment</t>
  </si>
  <si>
    <t>Step-1 note: Building LCA DT; environmental focus</t>
  </si>
  <si>
    <t>10.1016/j.scitotenv.2025.179930</t>
  </si>
  <si>
    <t>Efficient edge-cloud digital twin for real-time SHM with server-deployed FEA and fast particle swarm optimization</t>
  </si>
  <si>
    <t>Step-1 note: Edge-cloud SHM DT; structural safety | Full text not coded: Endnote candidate(s) found but identity not verified</t>
  </si>
  <si>
    <t>10.1016/j.autcon.2025.106718</t>
  </si>
  <si>
    <t>Yao, S et al. (2025)</t>
  </si>
  <si>
    <t>Bidirectional Adaptation of Shared Autonomous Vehicles and Old Towns’ Urban Spaces: The Views of Residents on the Present</t>
  </si>
  <si>
    <t>Step-1 note: SAV perception study; vehicles</t>
  </si>
  <si>
    <t>10.3390/wevj16070395</t>
  </si>
  <si>
    <t>Sajja, R et al. (2026)</t>
  </si>
  <si>
    <t>Hydro3DJS: A modular web-based library for real-time 3D visualization of watershed dynamics and digital twin integration</t>
  </si>
  <si>
    <t>Step-1 note: Watershed visualization library; hydrology</t>
  </si>
  <si>
    <t>10.1016/j.envsoft.2025.106853</t>
  </si>
  <si>
    <t>Fiore, F et al. (2026)</t>
  </si>
  <si>
    <t>Real-time sensing digital twin for aerospace structural health monitoring</t>
  </si>
  <si>
    <t>Step-1 note: Aerospace sensing DT; not AECO</t>
  </si>
  <si>
    <t>10.1007/s00158-026-04324-8</t>
  </si>
  <si>
    <t>Jirawattanasomkul, T et al. (2025)</t>
  </si>
  <si>
    <t>Digital twin-based structural health monitoring and measurements of dynamic characteristics in balanced cantilever bridge</t>
  </si>
  <si>
    <t>Digital twin-based SHM for a balanced cantilever bridge (Chulalongkorn/KU/AIT, Resilient Cities and Structures 2025): accelerometers and piezo-resistive strain gauges capture operational dynamic strains; 3D-LiDAR scanning and UPV tests capture as-is geometry and elastic modulus revealing as-designed vs as-built discrepancies; modal frequencies/shapes and neutral-axis depth extracted; good agreement between measurements and the as-is model validates the twin; baseline established for future inspection and predictive maintenance. Campaign-based field measurements feeding the twin; no actuation, no learning loop. [Full-text source: browser-oa]</t>
  </si>
  <si>
    <t>As-is LiDAR/UPV characterisation plus dynamic strain/modal measurement validates a balanced-cantilever twin that exposes as-designed vs as-built discrepancies.</t>
  </si>
  <si>
    <t>Campaign-based measurements rather than continuous streaming; baseline twin only - damage scenarios and predictive maintenance remain future work.</t>
  </si>
  <si>
    <t>LiDAR geometry, UPV modulus and dynamic strain/acceleration measurements are fused in the calibrated as-is bridge model.</t>
  </si>
  <si>
    <t>Step-1 note: Balanced-cantilever bridge DT + SHM measurements | Coded from Step-3 deep-read markdown (Prompt B), imported 2026-09-30</t>
  </si>
  <si>
    <t>10.1016/j.rcns.2025.08.001</t>
  </si>
  <si>
    <t>Shiraptini, T.C et al. (2026)</t>
  </si>
  <si>
    <t>AI and Machine Learning-Enabled Cognitive Digital Twin for Crime Hotspot Detection and Analysis</t>
  </si>
  <si>
    <t>Step-1 note: Crime hotspot cognitive DT; not built asset</t>
  </si>
  <si>
    <t>10.1109/ACCESS.2026.3658944</t>
  </si>
  <si>
    <t>Llagostera-Brugarola, E et al. (2025)</t>
  </si>
  <si>
    <t>A Digital Twin for Intelligent Transportation Systems in Interurban Scenarios</t>
  </si>
  <si>
    <t>Step-1 note: Highway traffic DT; transportation</t>
  </si>
  <si>
    <t>10.3390/app15137454</t>
  </si>
  <si>
    <t>Kampourakis, K.E et al. (2025)</t>
  </si>
  <si>
    <t>Digital Twin-Enabled Incident Detection and Response: A Systematic Review of Critical Infrastructures Applications</t>
  </si>
  <si>
    <t>Step-1 note: CI cybersecurity DT review; not AECO</t>
  </si>
  <si>
    <t>10.1007/s10207-025-01113-0</t>
  </si>
  <si>
    <t>Trofymchuk, O.M et al. (2025)</t>
  </si>
  <si>
    <t>Hybrid Numerical Method for the Evaluation of the Seismic Protection of Buildings Based on Digital Twins</t>
  </si>
  <si>
    <t>Hybrid numerical method for evaluating seismic protection of buildings using dynamic FEM digital twins (NAS Ukraine et al., J Math Sci 2025): digital twins of the Pid Dubom residential complex (Lviv, Vrancea earthquake zone) driven by recorded soil-vibration accelerations from railway traffic and earthquake accelerograms; IoT sensor networks (cloud, online mode) feed the models; rubber isolators with nonlinear stiffness justified against Eurocode 8/DBN; overturning safety factors evaluated. One-way monitoring/records-&gt;FEM twin-&gt;protection design and safety assessment; no actuation, no learning loop. [Full-text source: Endnote]</t>
  </si>
  <si>
    <t>Fills the seismic-plus-railway-vibration protection gap: dynamic FEM digital twins driven by recorded railway/earthquake accelerations and IoT monitoring justify nonlinear rubber isolators for the Pid Dubom complex per Eurocode 8/DBN, including overturning safety factors.</t>
  </si>
  <si>
    <t>The DT modelling depends on recorded accelerations and manual non-destructive survey campaigns rather than a permanently live loop; friction effects give only a factor-1.5 estimate; robustness across other soil/building configurations is not quantified.</t>
  </si>
  <si>
    <t>Recorded railway/earthquake accelerations and IoT vibration records drive the FEM twin in one dynamic analysis workflow.</t>
  </si>
  <si>
    <t>Step-1 note: FEM dynamic twins for building seismic protection | Coded from Step-3 deep-read markdown (Prompt B), imported 2026-09-30</t>
  </si>
  <si>
    <t>10.1007/s10958-025-07858-2</t>
  </si>
  <si>
    <t>Rezaie, M et al. (2025)</t>
  </si>
  <si>
    <t>Designing automated digital safety systems for building health monitoring on construction sites</t>
  </si>
  <si>
    <t>Step-1 note: Digital safety system selection; DT only future | Prior matrix (v260816) verification note retained in 3_Change_Log</t>
  </si>
  <si>
    <t>10.1007/s11709-025-1213-4</t>
  </si>
  <si>
    <t>Mao, R et al. (2025)</t>
  </si>
  <si>
    <t>A comprehensive survey of battery energy in maritime transportation: Trends, challenges, and future perspectives</t>
  </si>
  <si>
    <t>Step-1 note: Maritime battery survey; not AECO</t>
  </si>
  <si>
    <t>10.1016/j.oceaneng.2025.121881</t>
  </si>
  <si>
    <t>Ding, Y et al. (2025)</t>
  </si>
  <si>
    <t>Smart building evacuation by tracking multi-camera network and explainable Re-identification model</t>
  </si>
  <si>
    <t>Step-1 note: Multi-camera evacuation tracking; DT end-goal only</t>
  </si>
  <si>
    <t>10.1016/j.engappai.2025.110394</t>
  </si>
  <si>
    <t>Ardebili, A et al. (2025)</t>
  </si>
  <si>
    <t>IoT-Driven Resilience Monitoring: Case Study of a Cyber-Physical System</t>
  </si>
  <si>
    <t>Step-1 note: Smart energy system resilience; not AECO</t>
  </si>
  <si>
    <t>10.3390/app15042092</t>
  </si>
  <si>
    <t>Zhang, K.-W et al. (2026)</t>
  </si>
  <si>
    <t>Digital twin-driven multi-metrics condition assessment of eccentrically loaded reinforced concrete columns</t>
  </si>
  <si>
    <t>Digital twin-driven multi-metrics condition assessment of eccentrically loaded RC columns (SWJTU/PolyU, Structure and Infrastructure Engineering 2026): laser-scanned point clouds and rebar scanning build a geometric DT; ABAQUS nonlinear FE with CDP and bond-slip becomes a mechanical DT through two-stage PSO updating against deflection, concrete strain and crack-width tests; updated parameters predict two validation columns with ultimate-load errors within 5%; fuzzy DS evidence theory fuses crack, deflection and load metrics into SLS/ULS condition levels, resolving threshold conflicts for serviceability and safety. One-way inspection/test data-&gt;updated twin-&gt;condition assessment; no physical actuation. [Full-text source: Endnote]</t>
  </si>
  <si>
    <t>Integrates as-built geometry, reinforcement layout, loading-test responses and code-level assessment metrics into a single RC-column mechanical DT: PSO-updated ABAQUS/CDP models match Column C1 ultimate load almost exactly (620.4 vs 620.3 kN) and transfer to C2/C3 with ultimate-load errors within 5%, while DS evidence fusion resolves crack/deflection/load threshold conflicts for more sensitive SLS/ULS assessment.</t>
  </si>
  <si>
    <t>Laboratory RC-column programme only; geometry/rebar scanning may fail under occlusion or inaccessible areas; environmental degradation, wider loading conditions, additional cross-sections and in-service RC members with initial defects are left for future validation.</t>
  </si>
  <si>
    <t>Point-cloud geometry, rebar-scanner reinforcement layout, deflection/strain/crack-width test data and load-bearing metrics are fused through PSO-updated FE modelling and DS evidence theory into one condition level.</t>
  </si>
  <si>
    <t>Step-1 note: DT condition assessment of RC columns; safety | Coded from Step-3 deep-read markdown (Prompt B), imported 2026-09-30</t>
  </si>
  <si>
    <t>10.1080/15732479.2026.2656943</t>
  </si>
  <si>
    <t>Cervenka, J et al. (2026)</t>
  </si>
  <si>
    <t>AI based surrogate model for digital twins in structural health monitoring of reinforced concrete structures</t>
  </si>
  <si>
    <t>AI-based ANN surrogate model for DTs in SHM of reinforced concrete bridges (Cervenka Consulting/CTU, RILEM SSCS 2025): ANN has two roles - calibrating the virtual twin to physical structure behavior, then deployment as fast-response surrogate providing safety information for ongoing SHM; physically informed deep learning trained from nonlinear FEM (ATENA) sensitivity analyses; demonstrated on Leonhardt shear-beam numerical example (100/400/1000-sample datasets) identifying material parameters (fc, ft, E, GF) from load-displacement diagrams. Numerical example only - no live data link to a real bridge, no actuation, no learning loop. [Full-text source: 04c-port]</t>
  </si>
  <si>
    <t>Assigns ANNs two roles in a DT for SHM of reinforced concrete bridges: first, physically informed deep learning calibrates the virtual twin by identifying material parameters (E, fc, ft, fracture energy) from ATENA nonlinear finite element sensitivity analyses, demonstrated on a Leonhardt shear beam with datasets of 100, 400, and 1000 samples; second, the trained ANN serves as a fast-response surrogate for real-time engineering interpretation of monitoring data.</t>
  </si>
  <si>
    <t>A short conference-stage contribution: only parameter identification on a numerical shear beam example is demonstrated, with no deployed structure, no live sensor data, and no quantitative surrogate accuracy reported; the conclusion and future work sections remain essentially undeveloped, so the real-time SHM surrogate role is proposed rather than validated.</t>
  </si>
  <si>
    <t>Only load-displacement curves generated by nonlinear ATENA finite-element sensitivity analyses feed the ANN surrogate; no measured sensor stream exists.</t>
  </si>
  <si>
    <t>Step-1 note: ANN surrogate DT for bridge SHM; safety info | Coded from Step-3 deep-read markdown (Prompt B), imported 2026-09-30</t>
  </si>
  <si>
    <t>Shin, H.-C et al. (2026)</t>
  </si>
  <si>
    <t>A Study on the Development of an IoT Sensor Data Acquisition Device for Railway trackside facility maintenance and worker safety</t>
  </si>
  <si>
    <t>Step-1 note: Railway IoT acquisition device; DT future only</t>
  </si>
  <si>
    <t>10.5370/KIEE.2026.75.1.193</t>
  </si>
  <si>
    <t>Rangwala, H et al. (2025)</t>
  </si>
  <si>
    <t>Leveraging Steel Structures to Measure Real-Time Environmental Hazardous Seismic Activity: A Comprehensive Review</t>
  </si>
  <si>
    <t>Step-1 note: Steel-structure seismic sensing review; no DT core</t>
  </si>
  <si>
    <t>10.38094/jastt605638</t>
  </si>
  <si>
    <t>Pan, P et al. (2025)</t>
  </si>
  <si>
    <t>Intelligent Monitoring System for Deep Foundation Pit Based on Digital Twin</t>
  </si>
  <si>
    <t>Intelligent monitoring system for deep foundation pits (Tsinghua/HUST, Buildings 2025): parametric ABAQUS modelling drives pit model generation within seconds; GA-based inverse analysis updates soil elastic modulus from real-time observed deformation (converges within 10 generations, prediction error reduced to &lt;10%); DTFPM provides real-time and predictive warnings per construction step; verified on a Beijing project. One-way monitoring-&gt;model update-&gt;warnings (no actuation); inverse-analysis model updating implemented but no formal convergence criterion. [Full-text source: browser-oa]</t>
  </si>
  <si>
    <t>GA inverse analysis updates soil stiffness from live deformation within 10 generations, cutting prediction error below 10% for real-time pit warnings.</t>
  </si>
  <si>
    <t>Single project; GA inverse analysis depends on soil layer assumptions; warnings advisory (no actuation); convergence stated empirically only.</t>
  </si>
  <si>
    <t>Observed deformation and ABAQUS FE simulation are fused through GA inverse analysis into the updated soil model.</t>
  </si>
  <si>
    <t>Step-1 note: Foundation pit DT framework; risk prediction/control | Coded from Step-3 deep-read markdown (Prompt B), imported 2026-09-30</t>
  </si>
  <si>
    <t>10.3390/buildings15030366</t>
  </si>
  <si>
    <t>Oprea, R.-L et al. (2026)</t>
  </si>
  <si>
    <t>Multi-Source 3D Documentation for Preserving Cultural Heritage</t>
  </si>
  <si>
    <t>Step-1 note: Heritage 3D documentation; DT keyword only</t>
  </si>
  <si>
    <t>10.3390/app16041834</t>
  </si>
  <si>
    <t>Corneli, A et al. (2025)</t>
  </si>
  <si>
    <t>On-Site Safety Inspections Through Marker-Less Augmented Reality and Blockchain Notarization of BIM-Based Processes †</t>
  </si>
  <si>
    <t>Step-1 note: BIM+AR safety inspection; no DT</t>
  </si>
  <si>
    <t>10.3390/buildings15132318</t>
  </si>
  <si>
    <t>Future Outdoor Safety Monitoring: Integrating Human Activity Recognition with the Internet of Physical–Virtual Things</t>
  </si>
  <si>
    <t>Step-1 note: Outdoor safety concept paper; DT future</t>
  </si>
  <si>
    <t>10.3390/app15073434</t>
  </si>
  <si>
    <t>Wakasaya, S et al. (2026)</t>
  </si>
  <si>
    <t>Proposal of digital twin approach in cooperation with flood analysis for small and medium rivers</t>
  </si>
  <si>
    <t>Step-1 note: Small river flood DT; hydrology domain</t>
  </si>
  <si>
    <t>10.3178/hrl.25-00023</t>
  </si>
  <si>
    <t>Huang, C et al. (2026)</t>
  </si>
  <si>
    <t>Research on an intelligent monitoring system for the entire tunnel construction process based on IoT and digital twin</t>
  </si>
  <si>
    <t>IoT+Digital Twin intelligent monitoring system for tunnel construction (Zhejiang Songyang): multi-source sensor network (environment, equipment, surrounding rock) + BIM dynamic modeling + risk intelligent analysis using improved D-S evidence theory (multi-source risk assessment with effectiveness factor and conflict weakening strategy); 100% monitoring coverage and 100% warning accuracy; captures palm face collapse and enclosing rock deformation time-sequence. One-way monitoring→risk assessment→early warning; no actuation and no learning loop (D-S evidence theory is rule-based fusion, not learning). [Full-text source: 04c-port]</t>
  </si>
  <si>
    <t>Targets sparse and lagging manual tunnel monitoring with an IoT plus digital twin system on a shield tunnel beneath the Jinan High-Speed Train Depot: multi-source fusion of personnel, pipe-sheet, shield and environmental data into BIM dynamic modeling, improved D-S evidence theory with conflict weakening and a validity factor cutting belief interval length 0.37 to 0.14, capturing a palm face collapse; prediction errors under 1.9 MN thrust and 5.44 mm settlement.</t>
  </si>
  <si>
    <t>Sensing equipment is exposed to humidity, dust and vibration, so measurements can drift and regular calibration is required, and future validation will quantify mean-time-to-failure and accuracy decline in real tunnel conditions; the authors also plan to optimize the fusion and prediction algorithms and extend the system to mine tunneling and urban underground space.</t>
  </si>
  <si>
    <t>Multi-source risk assessment uses improved D-S evidence theory with conflict weakening and a validity factor to fuse personnel, pipe-sheet, shield and environmental data into one belief-level risk output.</t>
  </si>
  <si>
    <t>Step-1 note: IoT + DT tunnel construction monitoring; risk warning | Coded from Step-3 deep-read markdown (Prompt B), imported 2026-09-30 | Prior matrix (v260816) verification note retained in 3_Change_Log</t>
  </si>
  <si>
    <t>10.1051/ijmqe/2025014</t>
  </si>
  <si>
    <t>Chowdhury, S et al. (2026)</t>
  </si>
  <si>
    <t>A Model-Based Systems Engineering Framework for Reassessing Structural Capacity Integrating Health Monitoring Data</t>
  </si>
  <si>
    <t>Step-1 note: MBSE capacity reassessment; DT conceptual</t>
  </si>
  <si>
    <t>10.3390/systems14010002</t>
  </si>
  <si>
    <t>Preetha, K et al. (2026)</t>
  </si>
  <si>
    <t>Multi-Agent and Forecast-Conscious DRL-MPC Framework of Safe and Efficient EV Fast-Charging With Digital Twins</t>
  </si>
  <si>
    <t>Step-1 note: EV charging DT; not AECO</t>
  </si>
  <si>
    <t>10.1002/adc2.70064</t>
  </si>
  <si>
    <t>Konopski, P et al. (2026)</t>
  </si>
  <si>
    <t>Responsive Architecture and Fire Safety: A Comparative Review of Regulatory Regimes in the USA, Asia, and the EU/UK, with Implications for Poland in the Context of BIM/DT/AI/IoT</t>
  </si>
  <si>
    <t>Step-1 note: Fire safety regulatory review; DT contextual</t>
  </si>
  <si>
    <t>10.3390/su18083808</t>
  </si>
  <si>
    <t>Li, R et al. (2026)</t>
  </si>
  <si>
    <t>Digital Twin-Assisted 3D Channel Knowledge Map Inference and Multi-Type Base Station Deployment Optimization for Urban Low-Altitude Economy</t>
  </si>
  <si>
    <t>Step-1 note: LAE channel DT; wireless comms</t>
  </si>
  <si>
    <t>10.1109/TMC.2026.3692307</t>
  </si>
  <si>
    <t>Grießel, R et al. (2026)</t>
  </si>
  <si>
    <t>Virtual Reality Techniques in Workplace Design and Ergonomic Assessment</t>
  </si>
  <si>
    <t>Step-1 note: VR ergonomics review; DT keyword only</t>
  </si>
  <si>
    <t>10.1109/TVCG.2026.3686923</t>
  </si>
  <si>
    <t>Lu, L et al. (2025)</t>
  </si>
  <si>
    <t>Application of Digital Twin Platform for Prefabricated Assembled Superimposed Stations Based on SERIC and IoT Integration</t>
  </si>
  <si>
    <t>SERIC-IoT digital twin platform for prefabricated assembled superimposed stations (Tongji/Jinan Transportation, Buildings 2025): Scene-Entity-Relationship-Incident-Control modelling over a 1+5+N architecture with model-data separation, lightweight processing and model-data association; BIM models + engineering data + IoT sensor inputs drive multi-source analytics for construction progress, safety surveillance, quality control and design optimisation; implemented at Jinan Metro Line 8 prefabricated underground station. One-way IoT-&gt;platform-&gt;management (no automated actuation); no ML, no learning loop. [Full-text source: browser-oa]</t>
  </si>
  <si>
    <t>SERIC modelling with 1+5+N architecture unifies scene/entity/relationship/incident/control layers for lifecycle data sharing on a real prefabricated metro station.</t>
  </si>
  <si>
    <t>Single station application; safety/quality analytics qualitative; no ML prediction; platform scalability beyond the pilot unproven.</t>
  </si>
  <si>
    <t>BIM models, engineering data and IoT sensor inputs are fused through SERIC model-data association for multi-source analytics.</t>
  </si>
  <si>
    <t>Step-1 note: SERIC + IoT DT for prefab stations; safety/quality | Coded from Step-3 deep-read markdown (Prompt B), imported 2026-09-30</t>
  </si>
  <si>
    <t>10.3390/buildings15213856</t>
  </si>
  <si>
    <t>Zhang, Z et al. (2026)</t>
  </si>
  <si>
    <t>A Fixed-Budget Study of Real–Synthetic Data Mixing for PPE Detection in Construction</t>
  </si>
  <si>
    <t>Step-1 note: PPE benchmark; DT sim data source only</t>
  </si>
  <si>
    <t>10.3390/buildings16102034</t>
  </si>
  <si>
    <t>Huang, Z et al. (2026)</t>
  </si>
  <si>
    <t>Lifecycle updating of rockfill dam deformation models via dependence-aware sequential Bayesian inference with posterior-guided continual surrogate learning</t>
  </si>
  <si>
    <t>Lifecycle updating of rockfill dam deformation models (Wuhan U, CACAIE 2026): dependence-aware sequential Bayesian inference with Gaussian-Copula priors progressively assimilates monitoring data across construction/impoundment/operation stages; deep neural surrogate continually refined via posterior-guided FE samples, historical replay and Fisher-weighted regularisation; on the 303 m Lianghekou dam global relative settlement prediction error falls 37.4%-&gt;9.7% with 45.8% surrogate-updating cost reduction. Monitoring-&gt;updating-&gt;uncertainty-informed safety assessment (no actuation); continual surrogate learning implemented, no convergence criterion. [Full-text source: browser-oa]</t>
  </si>
  <si>
    <t>Copula-dependence sequential Bayesian updating plus continual surrogate learning halves the surrogate cost and cuts dam settlement error from 37.4% to 9.7%.</t>
  </si>
  <si>
    <t>Single dam case; copula structure empirical; continual-learning forgetting bounds not proven; predictions for extreme future stages remain uncertain.</t>
  </si>
  <si>
    <t>Monitoring data, copula-structured priors and FE-informed surrogate samples are fused in sequential Bayesian posterior updates.</t>
  </si>
  <si>
    <t>Step-1 note: Rockfill dam Bayesian surrogate DT; safety assessment | Coded from Step-3 deep-read markdown (Prompt B), imported 2026-09-30</t>
  </si>
  <si>
    <t>10.1016/j.cacaie.2026.100169</t>
  </si>
  <si>
    <t>Eren, M.E et al. (2026)</t>
  </si>
  <si>
    <t>Seismic Failure Mechanism Shift in RC Buildings Revealed by NDT-Supported, Field-Calibrated BIM-Based Models</t>
  </si>
  <si>
    <t>Step-1 note: NDT-calibrated BIM; static Level-2 twin</t>
  </si>
  <si>
    <t>10.3390/app16010455</t>
  </si>
  <si>
    <t>Zvierieva, A et al. (2025)</t>
  </si>
  <si>
    <t>Research on Polyurethane-Stabilized Soils and Development of Quantitative Indicators for Integration into BIM-Based Project Planning</t>
  </si>
  <si>
    <t>Step-1 note: Soil-polymer composites; DT keyword only</t>
  </si>
  <si>
    <t>10.3390/su17177781</t>
  </si>
  <si>
    <t>Jiang, H et al. (2026)</t>
  </si>
  <si>
    <t>Cognitive collaboration: A design methodology for future-oriented intelligent industrial systems</t>
  </si>
  <si>
    <t>Step-1 note: Cognitive industrial design methodology; not AECO</t>
  </si>
  <si>
    <t>10.1016/j.jii.2026.101071</t>
  </si>
  <si>
    <t>Bhatia, M et al. (2026)</t>
  </si>
  <si>
    <t>Trends and Frontiers of Emerging Technologies in Oil and Gas: A Scientometric Perspective</t>
  </si>
  <si>
    <t>Step-1 note: Oil/gas DT scientometric; not AECO</t>
  </si>
  <si>
    <t>10.1109/JIOT.2025.3631090</t>
  </si>
  <si>
    <t>Gugliermetti, L et al. (2026)</t>
  </si>
  <si>
    <t>The Challenge of Machine Learning and Artificial Intelligence in the Construction Sector: The Lesson Learned from the Rome Technopole Project</t>
  </si>
  <si>
    <t>Step-1 note: AI/DT perspective; energy-transition focus</t>
  </si>
  <si>
    <t>10.3390/app16104964</t>
  </si>
  <si>
    <t>Chen, C et al. (2025)</t>
  </si>
  <si>
    <t>Digital Twin-Based and Knowledge Graph-Enhanced Emergency Response in Urban Infrastructure Construction</t>
  </si>
  <si>
    <t>Tunnel project in China; DT continuously integrates settlement/TBM/structural monitoring; KG rule-based reasoning infers hazards and mitigation; bidirectional DT-KG interaction visualised for decisions; prevention of further structural impact claimed in real emergency. [Full-text source: 04c-port]</t>
  </si>
  <si>
    <t>Addresses the reactive and static gap in tunnel construction emergency response: a digital twin continuously integrating settlement, TBM operational and structural monitoring data is coupled with a knowledge graph using SWRL rule-based reasoning to infer hazards, detect anomalies and suggest mitigations, with inference results visualized back in the twin; deployed on an urban tunnel project in Shanghai where it enabled early anomaly identification.</t>
  </si>
  <si>
    <t>Data quality dependency is acknowledged: sensor noise, loss, calibration drift and delays can misclassify risk levels; the ontology and rules are manually built for Shanghai urban tunnels, limiting scalability; reasoning speed, throughput and prediction accuracy are not quantitatively benchmarked; single-project validation; future work includes confidence metrics, automated rule generation, dynamic learning and stress testing.</t>
  </si>
  <si>
    <t>Settlement, TBM-operational and structural monitoring data are continuously integrated in the DT and jointly reasoned over by a knowledge graph with SWRL rules to infer hazards and mitigation.</t>
  </si>
  <si>
    <t>Step-1 note: DT + KG emergency response for tunnel construction | Coded from Step-3 deep-read markdown (Prompt B), imported 2026-09-30 | Prior matrix (v260816) verification note retained in 3_Change_Log</t>
  </si>
  <si>
    <t>10.3390/app15116009</t>
  </si>
  <si>
    <t>Liu, S et al. (2025)</t>
  </si>
  <si>
    <t>A multi-module deep learning framework with graph-based network and crack attention for tunnel lining crack segmentation from LiDAR point cloud</t>
  </si>
  <si>
    <t>Step-1 note: PointCrackNet tunnel segmentation; no DT</t>
  </si>
  <si>
    <t>10.1016/j.conbuildmat.2025.143383</t>
  </si>
  <si>
    <t>Presta, R et al. (2026)</t>
  </si>
  <si>
    <t>Trustworthy Companion AI for Human-Aware Transition of Control: Motivation, Architecture, and Research Roadmap</t>
  </si>
  <si>
    <t>Step-1 note: Driving takeover DT; vehicles</t>
  </si>
  <si>
    <t>10.3390/technologies14070386</t>
  </si>
  <si>
    <t>Yu, G et al. (2025)</t>
  </si>
  <si>
    <t>Scenario Modeling for Urban Road Emergency Management: A Cognitive Digital Twin-Based Method</t>
  </si>
  <si>
    <t>Cognitive Digital Twin modelling method for urban road emergency scenarios (Southeast U, JCCEE 2025): element-level and scenario-level twin models defined in geometry/attribute/behaviour dimensions with resilience theory; SysML + ontology modelling and a SysML2Ontology transformation tool build the Emergency Scenario Cognitive Digital Twin (ESCDT); case study constructs an ESCDT for a collision accident on the North-South Elevated Road (Shanghai) and uses it for scenario deduction in emergency management. Static scenario models for deduction; no live data link, no actuation, no learning loop. [Full-text source: Endnote]</t>
  </si>
  <si>
    <t>Fills the unified scenario-modelling gap for urban road emergencies: SysML + ontology twin models (geometry/attribute/behaviour, resilience theory) with a SysML2Ontology tool produce the ESCDT demonstrated on a Shanghai elevated-road collision accident for scenario deduction.</t>
  </si>
  <si>
    <t>Case study stops at scenario model construction and deduction; live data integration, prediction accuracy and rescue-decision benefits are not quantitatively evaluated; ontology coverage and tool scalability to other emergency types remain open.</t>
  </si>
  <si>
    <t>Geometry/attribute/behaviour views from SysML and ontology models are merged through the SysML2Ontology tool into one ESCDT scenario twin.</t>
  </si>
  <si>
    <t>Step-1 note: Cognitive DT for urban road emergency scenarios | Coded from Step-3 deep-read markdown (Prompt B), imported 2026-09-30</t>
  </si>
  <si>
    <t>10.1061/JCCEE5.CPENG-6190</t>
  </si>
  <si>
    <t>Dao, J et al. (2025)</t>
  </si>
  <si>
    <t>A Semantic Digital Twin-Driven Framework for Multi-Source Data Integration in Forest Fire Prediction and Response</t>
  </si>
  <si>
    <t>Step-1 note: Forest fire semantic DT; not built asset</t>
  </si>
  <si>
    <t>10.3390/f16111661</t>
  </si>
  <si>
    <t>Sarigul, F.H et al. (2026)</t>
  </si>
  <si>
    <t>Integrated BIM, GIS and interoperable digital technologies in lifecycle management of building construction projects: systematic literature review</t>
  </si>
  <si>
    <t>Step-1 note: BIM-GIS lifecycle SLR; no DT core</t>
  </si>
  <si>
    <t>10.1108/SASBE-08-2024-0312</t>
  </si>
  <si>
    <t>Cao, Y et al. (2026)</t>
  </si>
  <si>
    <t>TunnelSDF-FilterNet: A Domain-Aware Neural Framework for High-Fidelity 3D Reconstruction of Railway Tunnels</t>
  </si>
  <si>
    <t>Step-1 note: TunnelSDF reconstruction; DT downstream only</t>
  </si>
  <si>
    <t>10.1007/s40864-026-00273-z</t>
  </si>
  <si>
    <t>Yahya, M et al. (2025)</t>
  </si>
  <si>
    <t>Robust priority aware multi-criterion offloading in digital twin UAVs networks</t>
  </si>
  <si>
    <t>Step-1 note: UAV MEC offloading DT; not AECO</t>
  </si>
  <si>
    <t>10.1016/j.iot.2025.101763</t>
  </si>
  <si>
    <t>LI, T et al. (2026)</t>
  </si>
  <si>
    <t>A review of detection technology for structural diseases in metro shield tunnels; [地铁盾构隧道结构病害检测技术综述]</t>
  </si>
  <si>
    <t>Step-1 note: Metro tunnel disease detection review; no DT</t>
  </si>
  <si>
    <t>10.19606/j.cnki.jmst.2025115</t>
  </si>
  <si>
    <t>Zhang, T et al. (2026)</t>
  </si>
  <si>
    <t>Multiscale energy and mass transport for a sustainable geo-energy future</t>
  </si>
  <si>
    <t>Step-1 note: Geo-energy transport perspective; energy domain</t>
  </si>
  <si>
    <t>10.46690/ager.2026.05.07</t>
  </si>
  <si>
    <t>Zhansheng, L et al. (2025)</t>
  </si>
  <si>
    <t>Intelligent safety control modeling and construction process control of steel mesh frame structures</t>
  </si>
  <si>
    <t>Digital twin-driven intelligent safety control for large-span steel mesh frame structures (Beijing U Tech): DT model built from actual engineering data + FE analysis; random forest algorithm analyzes influencing factors of overall jacking construction process (jacking height difference and jacking speed most influential); real-time monitoring + fault diagnosis; validated on airport reconstruction project. One-way monitoring→analysis→safety control; no actuation and no learning loop (random forest is offline-trained). [Full-text source: 04c-port]</t>
  </si>
  <si>
    <t>Fills the gap of costly experience-based health monitoring for large-span steel mesh frames by combining a digital twin with geometric, finite-element, behavioral and rule models with random forest feature-importance analysis of overall jacking data from an airport project, showing that maximum jacking height difference and jacking speed dominate structural stress, consistent with construction code provisions.</t>
  </si>
  <si>
    <t>The random forest provides importance ranking rather than prediction accuracy metrics, safety control relies on rule-based alarms and shutdown commands without learning-based updating, and only one airport project validates the method; the authors state data transmission efficiency must improve and plan extension to bridges and high-rise platforms with better sensors and optimized predictive algorithms.</t>
  </si>
  <si>
    <t>Multi-channel overall-jacking monitoring data are jointly analysed by a random-forest model that ranks jacking height difference and jacking speed as the dominant factors for structural stress.</t>
  </si>
  <si>
    <t>Step-1 note: DT-driven safety control of steel mesh frame construction | Coded from Step-3 deep-read markdown (Prompt B), imported 2026-09-30 | Prior matrix (v260816) verification note retained in 3_Change_Log</t>
  </si>
  <si>
    <t>10.1016/j.istruc.2025.109158</t>
  </si>
  <si>
    <t>He, F et al. (2025)</t>
  </si>
  <si>
    <t>Investigating the synergistic effects of temporal knowledge graphs and digital twin technologies to enhance situational awareness decision-making in smart cities</t>
  </si>
  <si>
    <t>Step-1 note: Urban traffic TKG+DT; transportation</t>
  </si>
  <si>
    <t>10.1177/14727978241305755</t>
  </si>
  <si>
    <t>Ostermann, M et al. (2026)</t>
  </si>
  <si>
    <t>Enhancing the resilience of remote patient monitoring and hospital-at-home systems: a digital-twin-based framework</t>
  </si>
  <si>
    <t>Step-1 note: Hospital-at-home patient DT; healthcare</t>
  </si>
  <si>
    <t>10.1038/s44401-026-00109-9</t>
  </si>
  <si>
    <t>Qi, X et al. (2026)</t>
  </si>
  <si>
    <t>Digital Twin Framework for Structural Health Monitoring of Transmission Towers: Integrating BIM, IoT and FEM for Wind–Flood Multi-Hazard Simulation</t>
  </si>
  <si>
    <t>Step-1 note: Transmission tower DT; power grid, not AECO</t>
  </si>
  <si>
    <t>10.3390/app16083620</t>
  </si>
  <si>
    <t>Krestenitis, M et al. (2026)</t>
  </si>
  <si>
    <t>Digitalization and Automation of Runway Inspection Using Unmanned Aerial Vehicles</t>
  </si>
  <si>
    <t>Step-1 note: Runway UAV inspection; DT keyword only</t>
  </si>
  <si>
    <t>10.3390/s26041100</t>
  </si>
  <si>
    <t>Fu, T et al. (2026)</t>
  </si>
  <si>
    <t>Multi-road-user simulation platform for traffic safety analysis: Platform design and applications</t>
  </si>
  <si>
    <t>Step-1 note: Road-user traffic simulation; transportation</t>
  </si>
  <si>
    <t>10.1016/j.simpat.2026.103298</t>
  </si>
  <si>
    <t>Du, S et al. (2026)</t>
  </si>
  <si>
    <t>Physics-Informed Hybrid Transformer with Bayesian Optimization for Intelligent Geological CO2 Sequestration Modeling</t>
  </si>
  <si>
    <t>Step-1 note: CO2 sequestration surrogate; energy/environment</t>
  </si>
  <si>
    <t>10.1021/acs.energyfuels.6c00950</t>
  </si>
  <si>
    <t>Kotenko, I et al. (2026)</t>
  </si>
  <si>
    <t>USING A DIGITAL TWIN FOR CYBER THREAT DETECTION IN INTELLIGENT POWER GRID CONTROL SYSTEMS; [ИСПОЛЬЗОВАНИЕ ЦИФРОВОГО ДВОЙНИКА ДЛЯ ОБНАРУЖЕНИЯ КИБЕРУГРОЗ В СИСТЕМАХ УПРАВЛЕНИЯ ИНТЕЛЛЕКТУАЛЬНЫМИ ЭНЕРГОСЕТЯМИ]</t>
  </si>
  <si>
    <t>Step-1 note: Smart grid cyber DT; energy + Russian journal</t>
  </si>
  <si>
    <t>10.15622/ia.25.3.8</t>
  </si>
  <si>
    <t>Liu, M et al. (2025)</t>
  </si>
  <si>
    <t>Multi-fidelity digital twin based optimization for aircraft overhaul shop scheduling</t>
  </si>
  <si>
    <t>Step-1 note: Aircraft overhaul shop scheduling; aerospace</t>
  </si>
  <si>
    <t>10.1016/j.jmsy.2025.07.018</t>
  </si>
  <si>
    <t>Detailed transient modeling and FPGA-based real-time digital-twin development for sodium-cooled fast reactor</t>
  </si>
  <si>
    <t>Step-1 note: Sodium-cooled fast reactor DT; nuclear</t>
  </si>
  <si>
    <t>10.1016/j.pnucene.2025.105890</t>
  </si>
  <si>
    <t>Vision-driven dynamic tunnel digital twin for real-time situation and emergency awareness</t>
  </si>
  <si>
    <t>Vision-driven dynamic tunnel digital twin (PolyU, Underground Space 2026): leverages existing CCTV networks to synchronously update a high-fidelity virtual tunnel; Tunnel Re-identification Model (TRIM, transformer-based) achieves state-of-the-art mAP@10 0.684 for cross-camera vehicle tracking, outperforming CNNs and standard ViT backbones; coupled vision fire-detection module localises and visualises emergent tunnel fires in the twin. Explicitly a data-fusion/perception layer rather than a fully automated closed-loop twin; one-way vision-&gt;situational awareness for operators; no actuation, no learning loop. [Full-text source: browser-oa]</t>
  </si>
  <si>
    <t>Reuses existing CCTV with a transformer Re-ID (mAP@10 0.684) and vision fire detection to keep the tunnel twin synchronised, avoiding hardware redevelopment and improving operator situational judgment.</t>
  </si>
  <si>
    <t>Perception layer only - no automated control; Re-ID validated on datasets with deployment described rather than benchmarked; fire module performance metrics partial.</t>
  </si>
  <si>
    <t>CCTV vision feeds both the TRIM tracking and the fire-detection module in one platform (single modality, multi-task).</t>
  </si>
  <si>
    <t>Step-1 note: Vision-driven tunnel DT for situation/emergency awareness | Coded from Step-3 deep-read markdown (Prompt B), imported 2026-09-30</t>
  </si>
  <si>
    <t>10.1016/j.undsp.2026.05.004</t>
  </si>
  <si>
    <t>Samadian, D et al. (2026)</t>
  </si>
  <si>
    <t>Stack-AttenLSTM: A surrogate deep learning model for sequential earthquake-flood structural response assessment of steel buildings</t>
  </si>
  <si>
    <t>Step-1 note: Steel building surrogate model; no DT</t>
  </si>
  <si>
    <t>10.1016/j.engstruct.2026.122345</t>
  </si>
  <si>
    <t>Wang, Z et al. (2025)</t>
  </si>
  <si>
    <t>Digital Twin-Driven Sorting System for 3D Printing Farm</t>
  </si>
  <si>
    <t>Step-1 note: 3D printing farm sorting DT; agriculture</t>
  </si>
  <si>
    <t>10.3390/app151810222</t>
  </si>
  <si>
    <t>Akkaya, M et al. (2026)</t>
  </si>
  <si>
    <t>A digital twin-based approach for energy optimisation in medical gas systems in hospital intensive care units</t>
  </si>
  <si>
    <t>Step-1 note: ICU medical gas energy DT; healthcare</t>
  </si>
  <si>
    <t>10.1016/j.seta.2026.105225</t>
  </si>
  <si>
    <t>Parallel images: the theoretical foundation and multimodal vision applications; [平行图像:从理论框架到多模态智能视觉应用]</t>
  </si>
  <si>
    <t>Step-1 note: Parallel images vision theory; generic + Chinese</t>
  </si>
  <si>
    <t>10.11834/jig.250231</t>
  </si>
  <si>
    <t>A closed-loop framework integrating robotic inspection and digital twins for fatigue prognosis of in-service steel bridges</t>
  </si>
  <si>
    <t>Closed-loop robotic inspection + digital twin for fatigue prognosis of orthotropic steel decks (Hohai/Alberta/SEU, Communications Engineering 2026): magnetic-wheeled robot with manipulator/camera inspects box-girder welds (lab localisation 2.7 +/- 0.8 cm); field deployment on an in-service cable-stayed bridge cut inspection time 124.6-&gt;50.4 min/girder (-59.6%); quantified cracks assimilated into FEM fracture-mechanics twin with traffic spectra for remaining-life prediction; discrepancies between simulated and observed propagation paths (elevated Mode-II shear) feed back to refine the model and monitoring strategies. Adaptive model-updating loop implemented (no convergence criterion); maintenance decisions to humans, no actuation. [Full-text source: browser-oa]</t>
  </si>
  <si>
    <t>Closes the inspection-to-prognosis loop: robot-vision cracks are assimilated into an FEM fracture-mechanics twin, and simulated-vs-observed propagation discrepancies feed back to refine the model, halving per-girder inspection time.</t>
  </si>
  <si>
    <t>Single bridge field deployment; robot access limited to box girders; Mode-II uncertainty not fully resolved; no convergence criterion for the adaptive loop.</t>
  </si>
  <si>
    <t>Robot-vision crack skeletons are fused with FEM fracture mechanics and traffic spectra in the assimilated twin.</t>
  </si>
  <si>
    <t>Step-1 note: Closed-loop robotic inspection DT for bridge fatigue prognosis | Coded from Step-3 deep-read markdown (Prompt B), imported 2026-09-30</t>
  </si>
  <si>
    <t>10.1038/s44172-026-00637-0</t>
  </si>
  <si>
    <t>Zhang, Y et al. (2025)</t>
  </si>
  <si>
    <t>Research on the Digital Twin System for Rotation Construction Monitoring of Cable-Stayed Bridge Based on MBSE</t>
  </si>
  <si>
    <t>MBSE-based design of a DT system for rotation-construction monitoring of a 90m+90m single-tower cable-stayed bridge (SWJTU): V-model architecture via RFLP (requirements-functional-logical-physical) process; SysML models for requirements/functions/behavior/integration; DT intended to predict risks and optimize rotation construction plans before implementation; MBSE improves design efficiency and early flaw detection. Design-phase work only - DT not yet implemented/deployed, model validation is future work; no live data link, no learning loop. [Full-text source: 04c-port]</t>
  </si>
  <si>
    <t>Fills the gap of system-level design methods for bridge construction digital twins: MBSE with a V-model architecture over the RFLP process models requirements, functions, logic and physics in SysML for monitoring a 90+90 meter cable-stayed bridge rotation (21,200 tons, 79 degrees), and a 1:100 scale prototype with DHT11, MPU6050, wind and laser displacement sensors over MQTT to Unreal Engine verifies data flow and threshold alarms.</t>
  </si>
  <si>
    <t>The actual bridge was still under construction and rotation had not started, so verification is limited to a 1:100 scale model and the design decomposition phase; the authors acknowledge implementation costs, resource needs, system complexity and applicability constraints. Future research targets standardization frameworks, integrated toolchains and machine learning for long-term deformation and predictive maintenance.</t>
  </si>
  <si>
    <t>DHT11, MPU6050, wind and laser displacement sensors stream over MQTT to the Unreal prototype for dataflow verification and threshold alarms, sharing the twin frame while each channel is checked separately.</t>
  </si>
  <si>
    <t>Step-1 note: MBSE DT for cable-stayed bridge rotation construction monitoring | Coded from Step-3 deep-read markdown (Prompt B), imported 2026-09-30 | Prior matrix (v260816) verification note retained in 3_Change_Log</t>
  </si>
  <si>
    <t>10.3390/buildings15091492</t>
  </si>
  <si>
    <t>Kalasapudi, V.S et al. (2026)</t>
  </si>
  <si>
    <t>The overlooked frontier of AI in construction: conversational, document-native automation for administrative workflows</t>
  </si>
  <si>
    <t>Step-1 note: AI administrative workflows; DT context only</t>
  </si>
  <si>
    <t>10.3389/fbuil.2025.1713342</t>
  </si>
  <si>
    <t>Song, C et al. (2026)</t>
  </si>
  <si>
    <t>Simultaneous Digital Twin: Chaining Climbing-Robot, Defect Segmentation, and Model Updating for Building Facade Inspection</t>
  </si>
  <si>
    <t>Simultaneous digital twin framework for building facade inspection (Tsinghua U): wall-climbing robot (negative pressure adhesion) with RGB camera + penetrating sensors; real-time vision-based defect segmentation (mAP 0.775) and metric quantification (length error 1.140 cm, center error 0.826 cm); cloud-based DT platform for quantitative defect visualization, spatiotemporal traceability, and data-driven project management; on-site inspection cycle latency 2.8-4.8s; validated on real building projects. One-way monitoring→DT→decision support; no actuation and no learning loop. [Full-text source: 04c-port]</t>
  </si>
  <si>
    <t>Addresses the gap between robotic facade inspection and quantitative, real-time damage assessment: a negative-pressure wall-climbing robot with RTK-GNSS and IMU localization feeds a lightweight YOLO12 segmentation model (0.775 mAP) whose skeletonization and PCA quantification reach 1.140 cm length error and 0.826 cm center error, all mapped into a cloud digital twin with 2.8-4.8 s response cycles on a Tongzhou Beijing building.</t>
  </si>
  <si>
    <t>The adhesion mechanism cannot handle highly rough surfaces and only surface cracks and spalling are analyzed, leaving UWB radar and infrared subsurface data unused; validation is limited to laboratory specimens and one residential building, and future work targets robot hardware adaptation to complex facades plus subsurface defect characterization through multi-modal cross-validation.</t>
  </si>
  <si>
    <t>RGB camera imagery, RTK-GNSS and IMU localisation are combined so skeletonization and PCA can convert segmentations into metric crack length and centre measurements on the building facade.</t>
  </si>
  <si>
    <t>Step-1 note: Climbing-robot facade inspection with real-time DT platform | AB normalised to code list (source label "Perception / Computer Vision") | Coded from Step-3 deep-read markdown (Prompt B), imported 2026-09-30 | Prior matrix (v260816) verification note retained in 3_Change_Log</t>
  </si>
  <si>
    <t>10.3390/buildings16030646</t>
  </si>
  <si>
    <t>Brocchini, L et al. (2026)</t>
  </si>
  <si>
    <t>Intelligent Traffic Control Strategies for Road Networks: A Taxonomy-Based Perspective on Methods, Applications, and Future Directions</t>
  </si>
  <si>
    <t>Step-1 note: Traffic control strategies taxonomy; transportation</t>
  </si>
  <si>
    <t>10.3390/app16136341</t>
  </si>
  <si>
    <t>Falkowski, P et al. (2025)</t>
  </si>
  <si>
    <t>Multibody Dynamics Simulation of Upper Extremity Rehabilitation Exoskeleton During Task-Oriented Exercises</t>
  </si>
  <si>
    <t>10.3390/act14090426</t>
  </si>
  <si>
    <t>Wang, B et al. (2025)</t>
  </si>
  <si>
    <t>Digital Twin Framework for Predictive Simulation and Decision Support in Ship Damage Control</t>
  </si>
  <si>
    <t>Step-1 note: Ship damage control DT; marine vessels</t>
  </si>
  <si>
    <t>10.3390/jmse13122348</t>
  </si>
  <si>
    <t>Zhang, B et al. (2026)</t>
  </si>
  <si>
    <t>Advancing Small Unmanned Aerial Systems Simulation Testing in Realistic Windy Conditions</t>
  </si>
  <si>
    <t>Step-1 note: sUAS wind simulation; UAV/aerospace</t>
  </si>
  <si>
    <t>10.1109/ACCESS.2026.3684379</t>
  </si>
  <si>
    <t>Doukari, O et al. (2026)</t>
  </si>
  <si>
    <t>Stakeholder-informed renovation digital twin for multi-domain monitoring: Pilot implementation and acceptance evaluation</t>
  </si>
  <si>
    <t>Renovation Digital Twin (RDT) platform (Northumbria U, RINNO Project): pilot implementation on French demonstration site; real-time data + dashboards monitoring 13 KPIs across 5 domains (cost, schedule, quality, safety, environment); TAM evaluation (102 professionals, Attitude Toward Use RII 0.894); 73% emissions reduction achieved but economic viability challenges. One-way monitoring→dashboard→decision support; no actuation and no learning loop. [Full-text source: 04c-port]</t>
  </si>
  <si>
    <t>Fills the renovation-phase gap in digital twins: a stakeholder-informed Renovation Digital Twin built with Design Science Research in the RINNO project monitors 13 KPIs across cost, schedule, quality, safety and environment on the Project Sarrazins demo site in Lille, and a Technology Acceptance Model survey of 102 professionals gave attitude toward use RII 0.894 while the site achieved a 73 percent emissions reduction.</t>
  </si>
  <si>
    <t>Proof-of-concept scope: a single renovation project, functional verification only, no quantified cost, schedule or safety improvements, a short evaluation period, a TAM sample biased to early-career professionals, manual data entry, and no AI or predictive analytics beyond historical KPI visualization; future work calls for multi-site validation, longitudinal studies, IoT automation, deep-learning prediction and cognitive twin capabilities.</t>
  </si>
  <si>
    <t>Real-time data and dashboards monitor 13 KPIs across five domains (cost, schedule, quality, safety, environment) in one renovation DT platform, without a stated shared reference frame joining the domains.</t>
  </si>
  <si>
    <t>Step-1 note: Renovation DT monitoring cost/schedule/quality/safety/environment | Coded from Step-3 deep-read markdown (Prompt B), imported 2026-09-30 | Prior matrix (v260816) verification note retained in 3_Change_Log</t>
  </si>
  <si>
    <t>10.1016/j.enbuild.2026.116979</t>
  </si>
  <si>
    <t>Liu, Y (2026)</t>
  </si>
  <si>
    <t>Edge-cloud collaborative digital twin architecture for bridge structural health monitoring: multi-sensor fusion and anomaly detection algorithm design</t>
  </si>
  <si>
    <t>Edge-cloud collaborative digital twin architecture for bridge SHM (Shijiazhuang Transport Investment, Discover Applied Sciences 2026): five layers (physical/edge/cloud/DT/application) with hierarchical multi-sensor fusion; edge attention 1D-CNN plus cloud VAE-BiLSTM collaborative anomaly detection; Bayesian model updating synchronises virtual and physical entities; 1:5 scaled steel beam experiments: edge task delay 39.7 ms, cloud 20.1 ms, strain-fusion RMSE -62%, displacement reconstruction RMSE -68%, anomaly accuracy &gt;96%, Bayesian updating improves strain prediction by 40.1%. One-way monitoring-&gt;fusion-&gt;anomaly alerts; Bayesian updating implemented, no convergence criterion, no actuation. [Full-text source: browser-oa]</t>
  </si>
  <si>
    <t>First hierarchical edge-cloud DT for bridge SHM: edge attention CNN plus cloud VAE-BiLSTM cuts strain-fusion RMSE by 62% and reaches &gt;96% anomaly accuracy at 39.7/20.1 ms edge/cloud delays.</t>
  </si>
  <si>
    <t>1:5 scale-beam experiment, not a full bridge; anomaly classes limited; Bayesian updating gains measured on strain only; no actuation.</t>
  </si>
  <si>
    <t>Hierarchical fusion combines edge attention CNN and cloud VAE-BiLSTM outputs over multi-sensor strain/displacement data.</t>
  </si>
  <si>
    <t>Step-1 note: Edge-cloud collaborative DT for bridge SHM | Coded from Step-3 deep-read markdown (Prompt B), imported 2026-09-30</t>
  </si>
  <si>
    <t>10.1007/s42452-026-08991-6</t>
  </si>
  <si>
    <t>Svitelman, V et al. (2025)</t>
  </si>
  <si>
    <t>Digital twin of underground research laboratory as a valuable instrument at early stages of a geological disposal programme</t>
  </si>
  <si>
    <t>Step-1 note: Underground lab DT for radioactive waste disposal</t>
  </si>
  <si>
    <t>10.1007/s12665-025-12344-8</t>
  </si>
  <si>
    <t>Abuhussain, M.A (2026)</t>
  </si>
  <si>
    <t>Digital twin and AI-driven smart adaptive walls for energy, comfort and carbon optimization in intelligent green buildings</t>
  </si>
  <si>
    <t>Step-1 note: Smart adaptive wall DT; energy/comfort/carbon focus</t>
  </si>
  <si>
    <t>10.1016/j.energy.2026.140990</t>
  </si>
  <si>
    <t>Duan, J et al. (2026)</t>
  </si>
  <si>
    <t>A digital twin framework for damage detection and localization of self-sensed cured-in-place underground pipelines</t>
  </si>
  <si>
    <t>DT framework for damage detection and localisation of self-sensed CIPP-rehabilitated underground pipelines (Purdue/NDSU, Engineering Structures 2026): distributed fibre-optic sensors give high-resolution continuous strain; FEM + deep-learning strain-field correlation extend strain monitoring to structural deformation assessment; eccentric-compression experiments on bare and CIPP-lined steel substrates; DT enables real-time structural visualisation, early plastic-region identification and crack-severity quantification for predictive maintenance and pipeline safety. Lab experiments + numerical validation (no live pipeline deployment yet); one-way sensing-&gt;assessment; no actuation, no learning loop. [Full-text source: Endnote]</t>
  </si>
  <si>
    <t>Fills the buckling-assessment gap for CIPP-rehabilitated pipes: DFOS self-sensing plus FEM and DL strain-field correlation extend strain monitoring to deformation assessment, enabling early plastic-region detection and crack-severity quantification for predictive maintenance.</t>
  </si>
  <si>
    <t>Eccentric-compression lab experiments on steel substrates; in-situ live pipeline deployment, soil-structure interaction and long-term environmental effects are not yet validated; DL strain-field generalisation across diameters/materials is limited.</t>
  </si>
  <si>
    <t>DFOS strain fields, FEM and DL strain-field correlation are fused into one deformation/damage assessment pipeline.</t>
  </si>
  <si>
    <t>Step-1 note: DT for damage detection of CIPP underground pipelines | Coded from Step-3 deep-read markdown (Prompt B), imported 2026-09-30</t>
  </si>
  <si>
    <t>10.1016/j.engstruct.2026.122401</t>
  </si>
  <si>
    <t>Sun, Z et al. (2026)</t>
  </si>
  <si>
    <t>Human-in-the-Loop Digital Twin Modeling for Smart Civil Infrastructure Operation and Maintenance</t>
  </si>
  <si>
    <t>Human-in-the-loop digital twin (HITL-DT) framework for smart civil infrastructure O&amp;M (Beijing U Tech): fuses human cognition (perception, team situation awareness), AI, and engineering knowledge for risk sensing/diagnosis (spatiotemporal changes) and risk prediction/control; formalizes structural mechanics knowledge, embeds engineering code rules, expandable case knowledge base; multi-source spatiotemporal sensing (human inspection + machine vision). Human-in-the-loop bidirectional with human oversight → Tier 3; no learning loop (knowledge is rule-based, not learning). [Full-text source: 04c-port]</t>
  </si>
  <si>
    <t>Bridges the divide between data-driven automation with limited interpretability and human-centered assessment with limited scalability: a human-AI-knowledge HITL-DT framework formalizes engineering codes and human cognition (individual perception, team situation awareness) alongside AI reasoning into a closed-loop device-model-decision architecture for risk sensing, prediction and control in civil infrastructure O&amp;M.</t>
  </si>
  <si>
    <t>Validation is qualitative and conceptual only, demonstrating operational feasibility and logical consistency without numerical performance tests or comparisons with other systems; formalizing context-dependent expert knowledge into computable rules remains unresolved, multi-source data systems are costly, and future work targets autonomous learning, cross-infrastructure knowledge transfer, and full-lifecycle risk management.</t>
  </si>
  <si>
    <t>The human-in-the-loop DT framework formalises human cognition, AI and engineering knowledge into a device-model-decision architecture, but validation is qualitative and conceptual only.</t>
  </si>
  <si>
    <t>Step-1 note: Human-in-the-loop DT for smart CI O&amp;M safety | Coded from Step-3 deep-read markdown (Prompt B), imported 2026-09-30 | Prior matrix (v260816) verification note retained in 3_Change_Log</t>
  </si>
  <si>
    <t>10.3390/app16041848</t>
  </si>
  <si>
    <t>Musstafa, A.Y.A et al. (2026)</t>
  </si>
  <si>
    <t>A Machine-Learning-Enhanced Geospatial Framework for Sustainable and Disaster-Resilient Infrastructure: Multi-Hazard Societal Impact Assessment in Sudan</t>
  </si>
  <si>
    <t>Step-1 note: Sudan societal impact ML; DT keyword only</t>
  </si>
  <si>
    <t>10.3390/su18168269</t>
  </si>
  <si>
    <t>Kaewunruen, S et al. (2026)</t>
  </si>
  <si>
    <t>BIM-Driven Digital Twin for Climate Change Adaptation and Resilience of Railway Overhead Line System</t>
  </si>
  <si>
    <t>Step-1 note: Railway overhead line BIM climate resilience; DT aspirational</t>
  </si>
  <si>
    <t>10.3390/su18041909</t>
  </si>
  <si>
    <t>Kim, K et al. (2026)</t>
  </si>
  <si>
    <t>Reinforcement learning-based dynamic evacuation guidance for fire emergencies: Toward safety digital twins</t>
  </si>
  <si>
    <t>Step-1 note: RL evacuation guidance; DT framing goal only</t>
  </si>
  <si>
    <t>10.1016/j.aei.2026.105085</t>
  </si>
  <si>
    <t>Shen, T et al. (2026)</t>
  </si>
  <si>
    <t>A semantic-geometric digital twin framework for performance-driven design evaluation: methodology and application to civil aircraft cabins</t>
  </si>
  <si>
    <t>Step-1 note: Aircraft cabin semantic-geometric DT; aerospace</t>
  </si>
  <si>
    <t>10.1007/s00163-026-00478-0</t>
  </si>
  <si>
    <t>Yu, Z et al. (2026)</t>
  </si>
  <si>
    <t>Construction and realization of a digital twin experimental platform for crane bridge structure</t>
  </si>
  <si>
    <t>Step-1 note: Crane bridge teaching DT platform; mechanical equipment</t>
  </si>
  <si>
    <t>10.1007/s12008-026-02657-8</t>
  </si>
  <si>
    <t>Sungheetha, A et al. (2026)</t>
  </si>
  <si>
    <t>Explainable AI framework for psilocybin depression treatment optimization</t>
  </si>
  <si>
    <t>Step-1 note: Psilocybin treatment DT; healthcare</t>
  </si>
  <si>
    <t>10.3389/fcomp.2025.1652190</t>
  </si>
  <si>
    <t>Karkaria, V et al. (2025)</t>
  </si>
  <si>
    <t>A Digital Twin Framework Utilizing Machine Learning for Robust Predictive Maintenance: Enhancing Tire Health Monitoring</t>
  </si>
  <si>
    <t>Step-1 note: Tire health predictive maintenance DT; automotive</t>
  </si>
  <si>
    <t>10.1115/1.4067270</t>
  </si>
  <si>
    <t>Sharafat, A et al. (2025)</t>
  </si>
  <si>
    <t>Digital Twin-Driven Stability Optimization Framework for Large Underground Caverns</t>
  </si>
  <si>
    <t>Digital twin-driven stability optimization framework for large underground caverns (Hanyang U): five-dimensional DT framework (physical objects, virtual objects, service systems, DT data, interconnections) with six modules (structure, geology, material, behavior, performance, environment); IFC standards for interoperability; seven-step methodology (geological assessment, virtual modeling, BIM-based design, construction, real-time monitoring, optimization); case study demonstrates improved deformation monitoring and rock support efficiency. One-way monitoring→optimization→stability management; no actuation and no learning loop (optimization is rule-based, not learning). [Full-text source: 04c-port]</t>
  </si>
  <si>
    <t>Proposes a five-dimensional digital twin framework with six modules and a seven-step methodology for large underground cavern stability, adding IFC extensions (new entities and property sets for geotechnical monitoring, excavation sequence and convergence) and validated on the Neelum Jhelum hydropower powerhouse cavern where 52 extensometers, load cells and 24 prism targets feed FEM models to trigger rock support adjustments in near real time.</t>
  </si>
  <si>
    <t>Evaluation metrics are comparative estimates rather than measured outcomes, convergence station readings were collected manually on a weekly basis until obstructed, and reflective targets had to be replaced mid-project; real-time processing of large geotechnical datasets demands high-performance computing and validation covers only one geological setting. Future research targets enhanced automation, predictive analytics and wider environments.</t>
  </si>
  <si>
    <t>Extensometers, load cells and prism-target measurements jointly feed the FEM models that trigger rock-support adjustments on the Neelum Jhelum powerhouse cavern.</t>
  </si>
  <si>
    <t>Step-1 note: DT-driven stability optimization of large underground caverns | Coded from Step-3 deep-read markdown (Prompt B), imported 2026-09-30 | Prior matrix (v260816) verification note retained in 3_Change_Log</t>
  </si>
  <si>
    <t>10.3390/app15084481</t>
  </si>
  <si>
    <t>Lv, Y et al. (2026)</t>
  </si>
  <si>
    <t>Automating digitalization of engineered slopes to support interactive digital twin visualization</t>
  </si>
  <si>
    <t>Automated digitalization of engineered slopes for interactive digital twin visualization (HKUST): city-scale LiDAR point clouds → DrainNet (CNN, 81.26% Dice) for drainage channel delineation → automated parametric BIM modeling (Grasshopper, 9x faster than Dynamo) → web-based digital twin platform for interactive visualization and asset management. Static BIM models for visualization — no live data link, no actuation, no learning loop. [Full-text source: 04c-port]</t>
  </si>
  <si>
    <t>Fills the gap of resource-intensive modeling blocking city-scale slope digital twins: DrainNet, a CNN with directional convolutions, dilated blocks and channel attention, delineates drainage channels with 81.26 percent Dice and 0.24 connectivity error using only 0.28M parameters on the 1226-image CurvaChannel dataset, and an automated Grasshopper workflow builds slope BIM models about nine times faster than Dynamo for a web-based twin platform.</t>
  </si>
  <si>
    <t>Only exposed drainage channels and topography are modeled, cross-sections use one uniform empirical size, the closure heuristic may wrongly connect distinct channels, and the twin is static with no live monitoring data; the authors plan real-time sensor integration, hydrodynamic simulation, data-driven susceptibility analysis and higher-LOD models toward fully realized digital twins.</t>
  </si>
  <si>
    <t>Only Hong Kong territory-wide LiDAR survey data (up to 0.1 m resolution) are used; the DrainNet input images and the slope topography are both derived products of that single survey.</t>
  </si>
  <si>
    <t>Step-1 note: Automated BIM models for engineered slope DT visualization | AB normalised to code list (source label "Perception / Computer Vision") | Coded from Step-3 deep-read markdown (Prompt B), imported 2026-09-30 | Prior matrix (v260816) verification note retained in 3_Change_Log</t>
  </si>
  <si>
    <t>10.1016/j.autcon.2025.106564</t>
  </si>
  <si>
    <t>Jiao, W et al. (2025)</t>
  </si>
  <si>
    <t>Factors Affecting the Implementation of the Digital Twins in the Construction Industry: An Interpretive Structural Modelling Analysis</t>
  </si>
  <si>
    <t>Step-1 note: DT implementation factors ISM; no DfS/DfQ/PtD</t>
  </si>
  <si>
    <t>10.37934/araset.53.2.263282</t>
  </si>
  <si>
    <t>Wang, Z et al. (2026)</t>
  </si>
  <si>
    <t>Integrated Physics-Informed Machine Learning Framework for Structural Damage Detection, Localization, and Severity Classification</t>
  </si>
  <si>
    <t>Step-1 note: PIML damage identification; hybrid DT keyword only</t>
  </si>
  <si>
    <t>10.3390/s26154976</t>
  </si>
  <si>
    <t>Trevlopoulos, K et al. (2026)</t>
  </si>
  <si>
    <t>Interpretable damage state-dependent fragility models for multi-hazard interactions based on Bayesian modeling and causal inference</t>
  </si>
  <si>
    <t>Step-1 note: Multi-hazard fragility models; no DT</t>
  </si>
  <si>
    <t>10.1016/j.strusafe.2026.102713</t>
  </si>
  <si>
    <t>Lessons Learned from the Real-World Deployment of Multisensor Fusion for Proactive Work Zone Safety Application</t>
  </si>
  <si>
    <t>Step-1 note: Work-zone sensor deployment; DT keyword only | Prior matrix (v260816) verification note retained in 3_Change_Log</t>
  </si>
  <si>
    <t>10.1177/03611981261441281</t>
  </si>
  <si>
    <t>Xiong, C et al. (2026)</t>
  </si>
  <si>
    <t>Edge-cloud collaborative digital twin for vibration anomaly detection and localization in high-rise buildings</t>
  </si>
  <si>
    <t>Edge-cloud collaborative digital twin for vibration anomaly detection and localization in high-rise buildings (Shenzhen U): wireless time-synchronized smart sensor (WTSS) with edge computing for anomaly detection; cloud server runs structural dynamics DT model for vibration source localization; BIM-based management platform for visualization; validated on 17-story high-rise teaching building with harmonic excitation tests. One-way monitoring→detection→localization; no actuation and no learning loop. [Full-text source: 04c-port]</t>
  </si>
  <si>
    <t>Fills the gap of edge-cloud collaborative intelligence for vibration anomaly detection and localization in high-rise buildings: a wireless time-synchronized smart sensor with LoRa chain synchronization below 20 microseconds and edge STFT anomaly detection, plus a cloud MDOF flexural-shear digital twin updated by SSI-COV and PSO that localizes sources via spectrum amplitude feature matching, validated on a 17-story building under 82.9 N shaking-table excitation.</t>
  </si>
  <si>
    <t>Localization reaches only zonal level with about one floor of error because adjacent-floor signatures are similar; the method covers only single-frequency steady-state excitations, edge nodes run only basic signal processing, and validation used one building with five sensors. Future work targets floor-specific identification, multi-source non-stationary vibration, and deep learning at the edge.</t>
  </si>
  <si>
    <t>Wireless time-synchronised smart-sensor vibration data are mapped onto the cloud MDOF flexural-shear twin updated by SSI-COV and PSO, which then localises vibration sources by spectrum matching.</t>
  </si>
  <si>
    <t>Step-1 note: Edge-cloud DT for high-rise vibration anomaly detection | Coded from Step-3 deep-read markdown (Prompt B), imported 2026-09-30 | Prior matrix (v260816) verification note retained in 3_Change_Log</t>
  </si>
  <si>
    <t>10.1016/j.engstruct.2025.122061</t>
  </si>
  <si>
    <t>Jin, A.-B et al. (2026)</t>
  </si>
  <si>
    <t>Risk Visualization in Mining Processes Based on 3Dmine-3DEC Data Interoperability</t>
  </si>
  <si>
    <t>Step-1 note: Mining risk visualization 3Dmine-3DEC; mining</t>
  </si>
  <si>
    <t>10.3390/app16020816</t>
  </si>
  <si>
    <t>Yang, F et al. (2026)</t>
  </si>
  <si>
    <t>Research on the pathways for high-quality development of the Longdong comprehensive energy and chemical industry base through new quality productivity</t>
  </si>
  <si>
    <t>Step-1 note: Energy-chemical industry base; energy</t>
  </si>
  <si>
    <t>10.1007/s43621-026-03711-x</t>
  </si>
  <si>
    <t>Deng, M et al. (2026)</t>
  </si>
  <si>
    <t>Integrating LLMs and Digital Twins for Adaptive Multi-Robot Task Allocation in Construction</t>
  </si>
  <si>
    <t>Step-1 note: LLM+DT robot task allocation; no DfS/DfQ/PtD | Prior matrix (v260816) verification note retained in 3_Change_Log</t>
  </si>
  <si>
    <t>10.1109/TASE.2026.3697962</t>
  </si>
  <si>
    <t>Lin, X et al. (2025)</t>
  </si>
  <si>
    <t>Digital twin-enabled safety monitoring system for seamless worker-robot collaboration in construction</t>
  </si>
  <si>
    <t>DT-enabled safety monitoring system for seamless worker-robot collaboration (Tsinghua U): depth camera + LiDAR perceive workers/robots/materials → geometric-solid virtual representations in a digital twin; computes separation distance (SD) and dynamic protective separation distance (PSD, per ISO 15066/13855); when SD exceeds PSD the system "accesses the physical actuators of robots to stop it" — explicit virtual→physical control (emergency stop). Experiments: 9.8 FPS, 0.177 s reaction latency, 0.09 m perception error, static+dynamic scenarios. No ML used and no learning loop (predictive motion methods are future work). [Full-text source: 04c-port]</t>
  </si>
  <si>
    <t>Closes the gap between industrial speed-and-separation monitoring and seamless construction worker-robot collaboration: a digital twin system perceiving workers via Azure Kinect 32-point skeletons with 14 capsule representations, robots via URDF plus encoders, and materials via ArUco and QR tags with IFC data, computing rapid separation distance and dynamic protective separation distance to halt the robot, achieving 9.8 FPS, 0.177 s reaction and 0.09 m perception error with zero collisions in static and dynamic conflict tests.</t>
  </si>
  <si>
    <t>Validation covers one mobile manipulator prototype in controlled scenarios with protective equipment and human supervision, and virtual-state updates still depend on robot actuators for stopping. Future work targets more robot types including humanoids, faster perception methods with less latency, and predictive motion models to improve protective separation distance calculation.</t>
  </si>
  <si>
    <t>Depth-camera 32-point skeletons, LiDAR/URDF robot models and ArUco/QR material tags are combined into geometric-solid virtual representations on which separation-distance and protective-separation-distance computation runs jointly.</t>
  </si>
  <si>
    <t>Step-1 note: DT-enabled safety monitoring for worker-robot collaboration | AB normalised to code list (source label "Perception / Computer Vision") | Coded from Step-3 deep-read markdown (Prompt B), imported 2026-09-30 | Prior matrix (v260816) verification note retained in 3_Change_Log</t>
  </si>
  <si>
    <t>10.1016/j.autcon.2025.106147</t>
  </si>
  <si>
    <t>Tian, J et al. (2025)</t>
  </si>
  <si>
    <t>Digital twin model for analyzing deformation and seepage in high earth-rock dams</t>
  </si>
  <si>
    <t>Step-1 note: DT for deformation/seepage of high earth-rock dams | Full text not coded: Endnote candidate(s) found but identity not verified</t>
  </si>
  <si>
    <t>10.1016/j.autcon.2025.106079</t>
  </si>
  <si>
    <t>Kim, M.-H et al. (2026)</t>
  </si>
  <si>
    <t>Harnessing Cellular Feeling: Epigenetic to Mechanical Memory as a Framework for Stem Cell Manufacturing</t>
  </si>
  <si>
    <t>Step-1 note: Stem cell manufacturing; biotech</t>
  </si>
  <si>
    <t>10.1002/bit.70187</t>
  </si>
  <si>
    <t>Qin, W (2026)</t>
  </si>
  <si>
    <t>Application of construction site management based on digital twin and point cloud semantic segmentation technology</t>
  </si>
  <si>
    <t>Construction-site management via digital twin and RandLA-Net point-cloud semantic segmentation (SW Petroleum U, PLOS One 2026): field point clouds reconstructed into a site digital twin; semantic segmentation identifies types and locations of materials/machinery/buildings with colour-coded 3D labels, enabling pre-extreme-weather risk identification and site-layout optimisation; assessed on a road-and-bridge construction site. Static reconstruction and identification (no live link); no actuation, no learning loop. [Full-text source: browser-oa]</t>
  </si>
  <si>
    <t>Point-cloud semantic segmentation of the site DT gives pre-weather identification and location of at-risk materials/machinery, streamlining layout optimisation.</t>
  </si>
  <si>
    <t>Static reconstruction; segmentation accuracy vs extreme-weather ground truth not quantified in depth; single site; no live update cycle.</t>
  </si>
  <si>
    <t>Only field point clouds drive the reconstruction and semantic labelling.</t>
  </si>
  <si>
    <t>Step-1 note: DT + point-cloud segmentation for extreme-weather site safety | AB normalised to code list (source label "Perception / Computer Vision") | Coded from Step-3 deep-read markdown (Prompt B), imported 2026-09-30</t>
  </si>
  <si>
    <t>10.1371/journal.pone.0340274</t>
  </si>
  <si>
    <t>Han, Y et al. (2026)</t>
  </si>
  <si>
    <t>Digital twin-driven pose estimation and trajectory prediction for modular integrated construction on-site stacking via spatio-temporal feature fusion modeling</t>
  </si>
  <si>
    <t>Digital twin-driven pose estimation and trajectory prediction for modular integrated construction (MiC) on-site stacking (PolyU): UWB sensors + IMUs capture real-time dynamic activities of smart stacking objects; DT of stacking operations interacts with physical counterparts in real time for seamless mapping/visualization; PosTraFormer network (spatio-temporal feature fusion of trajectory point relations) for 6-D module pose estimation and trajectory prediction to provide stacking guidance; comparative experiments + case studies show higher trajectory prediction performance. One-way monitoring/prediction→guidance for crane operators; no actuation and no learning loop (PosTraFormer is offline-trained). [Full-text source: 04c-port]</t>
  </si>
  <si>
    <t>Targets delayed hoisting control and fragmented information in modular integrated construction stacking: a DT platform (DTPTS) fusing UWB and IMU sensing with a PosTraFormer spatio-temporal network whose multi-layer GCNs model trajectory point relations, achieving the lowest FDE and ADE across four lifting scenarios (0.0417 and 0.0476 in lifting) and on a real PolyU site case after fine-tuning (0.0277 and 0.0319), with protective collision shields in the twin.</t>
  </si>
  <si>
    <t>PosTraFormer has the largest parameter count (5661.7K) and lowest speed (288.8 frames per second) among tested models, and training relies on simulated trajectories because stacking datasets are scarce, with only 70 real pose sets for fine-tuning; no explicit future work is stated, so data collection and lightweight deployment remain unaddressed.</t>
  </si>
  <si>
    <t>UWB and IMU sensing streams are fused inside the PosTraFormer spatio-temporal network (multi-layer GCNs over trajectory point relations) for 6-D pose estimation and trajectory prediction.</t>
  </si>
  <si>
    <t>Step-1 note: DT-driven MiC stacking pose estimation; collision safety | Coded from Step-3 deep-read markdown (Prompt B), imported 2026-09-30 | Prior matrix (v260816) verification note retained in 3_Change_Log</t>
  </si>
  <si>
    <t>10.1016/j.compind.2026.104501</t>
  </si>
  <si>
    <t>Galant, F et al. (2026)</t>
  </si>
  <si>
    <t>Automatic Calibration of Structural Damage in Building Information Modeling Models with Robotic Process Automation</t>
  </si>
  <si>
    <t>Step-1 note: BIM damage calibration with RPA; no DT</t>
  </si>
  <si>
    <t>10.1016/j.eng.2026.04.001</t>
  </si>
  <si>
    <t>Hasulyó, G (2026)</t>
  </si>
  <si>
    <t>Dynamic Digital Twin Network for Real-Time Safety Monitoring and Predictive Risk Assessment of Hydrogen Refueling Infrastructure</t>
  </si>
  <si>
    <t>Step-1 note: Hydrogen refueling infrastructure DT; energy</t>
  </si>
  <si>
    <t>10.32604/ee.2026.081099</t>
  </si>
  <si>
    <t>Wang, K et al. (2025)</t>
  </si>
  <si>
    <t>Digital twin safety analysis of large-span spatial structure based on airborne LiDAR</t>
  </si>
  <si>
    <t>Geometric digital twin from airborne LiDAR for safety analysis of large-span spatial structures (HIT Shenzhen, J Build Eng 2025): one-dimensional geometric models extracted from point clouds capture real initial geometric imperfections of the Shenzhen Gymnasium retractable roof; FE models built from LiDAR measurements represent real structural performance better than the consistent-imperfection-mode method for stability/safety assessment. One-off measurement -&gt; geometric twin -&gt; FE safety analysis; no live data link, no actuation, no learning loop. [Full-text source: Endnote]</t>
  </si>
  <si>
    <t>Fills the initial-imperfection gap in large-span spatial-structure safety analysis: airborne-LiDAR-derived 1D geometric twins capture real imperfections of the Shenzhen Gymnasium roof, and FE models from these twins represent real structural performance better than the consistent-imperfection-mode method.</t>
  </si>
  <si>
    <t>One-off LiDAR survey of one roof; the static geometric twin does not feed a live monitoring loop, and sensitivity to point-cloud density, scanning coverage and member-level defect capture is not fully quantified.</t>
  </si>
  <si>
    <t>Only LiDAR geometry enters the analysis; no second measured data type.</t>
  </si>
  <si>
    <t>Step-1 note: Airborne LiDAR geometric DT for spatial structure safety | Coded from Step-3 deep-read markdown (Prompt B), imported 2026-09-30</t>
  </si>
  <si>
    <t>10.1016/j.jobe.2025.112126</t>
  </si>
  <si>
    <t>Wu, X et al. (2026)</t>
  </si>
  <si>
    <t>Knowledge-data driven digital twin platform: intelligent prediction and control of tunnel face stability during large-diameter slurry shield construction</t>
  </si>
  <si>
    <t>Knowledge-data driven digital twin platform for tunnel face stability (TFS) prediction and control in large-diameter slurry shield construction (HUST): bidirectional synchronization between physical entity and virtual model; BO-GCN-BiLSTM + SHAP for TFS prediction (avg R2 0.935, RMSE 0.162 across 6 geological types); expert knowledge integration; control of TFS by maintaining slurry pressure within optimal range; validated on Wuhan Metro Line 12. Bidirectional — prediction→control → Tier 3; implemented BO-GCN-BiLSTM, no convergence criterion. [Full-text source: 04c-port]</t>
  </si>
  <si>
    <t>Closes the gap between data-driven TFS models and operational control by embedding a BO-GCN-BiLSTM predictor and SHAP interpretation in a digital twin platform with bidirectional IoT and 5G links: on the Wuhan Metro Line 12 Yangtze tunnel it predicts slurry pressure across six geological types with average R-squared 0.935 and RMSE 0.162, outperforming six baselines, and iteratively keeps slurry pressure within the warning range.</t>
  </si>
  <si>
    <t>Generalization to abrupt or unseen geological transitions is limited because the model learns only from historical data, it lacks physical interpretability, and expert-based parameter selection remains subjective; control instructions are executed by human operators rather than automated actuation. Future research will embed geological priors and governing physical equations into the network so it can self-correct on sudden ground changes.</t>
  </si>
  <si>
    <t>A BO-GCN-BiLSTM predictor with SHAP interpretation jointly consumes multi-parameter slurry-shield construction data and iteratively keeps slurry pressure within the warning range via bidirectional IoT/5G links.</t>
  </si>
  <si>
    <t>Step-1 note: Knowledge-data DT platform for slurry shield face stability | Coded from Step-3 deep-read markdown (Prompt B), imported 2026-09-30 | Prior matrix (v260816) verification note retained in 3_Change_Log</t>
  </si>
  <si>
    <t>10.1016/j.engappai.2026.114029</t>
  </si>
  <si>
    <t>Pradhana, A.A.S et al. (2026)</t>
  </si>
  <si>
    <t>A 3D Indoor Modelling Method Using 360° Panoramic Images and Its Application to CCTV Camera Placement Optimization</t>
  </si>
  <si>
    <t>Step-1 note: CCTV placement via 3D indoor modelling; DT enabling tool</t>
  </si>
  <si>
    <t>10.3390/s26113431</t>
  </si>
  <si>
    <t>Koltun, O.V et al. (2025)</t>
  </si>
  <si>
    <t>Participation of Architect-Engineer in the Life Cycle of Nuclear Power Plant: Tools, Opportunities, and Prospects</t>
  </si>
  <si>
    <t>Step-1 note: Architect-engineer NPP lifecycle; nuclear</t>
  </si>
  <si>
    <t>10.1134/S1063778825100151</t>
  </si>
  <si>
    <t>Arias-Ferreiro, G et al. (2026)</t>
  </si>
  <si>
    <t>Integrated Air–Ground Robotic System for Autonomous Post-Blast Operations in GNSS-Denied Tunnels</t>
  </si>
  <si>
    <t>Integrated air-ground robotic system for autonomous post-blast operations (ACCIONA/CATEC/TECNALIA, Remote Sensing 2026): digital twin acts as central operational digital interface coordinating a UAV (LiDAR-thermal-inertial SLAM, maps 500 m tunnel &lt;8 min in zero visibility) and an autonomous wheel loader for debris removal in GNSS-denied tunnels; shared coordinate frame handed to ground machinery; operations start 50-80% earlier, 100% elimination of human exposure, 8% daily time saving, ROI 1-7 months. Twin orchestrates autonomous machines (virtual-to-physical) -&gt; Tier 3; validated in a realistic emulated tunnel environment (not production); no learning loop. [Full-text source: browser-oa]</t>
  </si>
  <si>
    <t>DT-orchestrated UAV-AWL team starts post-blast operations 50-80% earlier and eliminates human exposure in GNSS-denied tunnels, with ROI of 1-7 months.</t>
  </si>
  <si>
    <t>Validated in an emulated realistic tunnel, not production blasting cycles; debris-removal autonomy details limited; comms in deep tunnels unaddressed.</t>
  </si>
  <si>
    <t>LiDAR, thermal and inertial streams are fused for SLAM, and robot statuses are fused in the DT orchestration layer.</t>
  </si>
  <si>
    <t>Step-1 note: Air-ground robotic post-blast tunnel ops under DT supervision | AB normalised to code list (source label "Perception / Computer Vision") | Coded from Step-3 deep-read markdown (Prompt B), imported 2026-09-30</t>
  </si>
  <si>
    <t>10.3390/rs18081133</t>
  </si>
  <si>
    <t>Guikema, S et al. (2025)</t>
  </si>
  <si>
    <t>Digital twins as a security risk?</t>
  </si>
  <si>
    <t>Step-1 note: DT security risk perspective; generic, not AECO</t>
  </si>
  <si>
    <t>10.1111/risa.15749</t>
  </si>
  <si>
    <t>Isolan, L et al. (2025)</t>
  </si>
  <si>
    <t>Extravasation modeling from a PET/CT imaging for a possible digital twin approach</t>
  </si>
  <si>
    <t>Step-1 note: PET/CT extravasation DT; healthcare</t>
  </si>
  <si>
    <t>10.1016/j.radphyschem.2025.113080</t>
  </si>
  <si>
    <t>Jeon, J et al. (2026)</t>
  </si>
  <si>
    <t>A methodology to develop and manage data-driven models for marine engine long-term health prognosis</t>
  </si>
  <si>
    <t>Step-1 note: Marine engine health prognosis DT; maritime</t>
  </si>
  <si>
    <t>10.1016/j.isatra.2025.09.030</t>
  </si>
  <si>
    <t>Secchi, M et al. (2026)</t>
  </si>
  <si>
    <t>Learning Debris Flow Dynamics with a Deep Learning Fourier Neural Operator: Application to the Rendinara–Morino Area</t>
  </si>
  <si>
    <t>Step-1 note: Debris flow FNO surrogate; natural hazard</t>
  </si>
  <si>
    <t>10.3390/geosciences16020055</t>
  </si>
  <si>
    <t>Röhrich, M et al. (2026)</t>
  </si>
  <si>
    <t>From Digital Motion Capture to Human-Friendly Forestry Machines: A Digital Human Modeling Framework—Case Study in Design and Prototyping of Forestry Machines</t>
  </si>
  <si>
    <t>Step-1 note: Forestry machine ergonomics; forestry</t>
  </si>
  <si>
    <t>10.3390/f17020235</t>
  </si>
  <si>
    <t>Ma, Y et al. (2026)</t>
  </si>
  <si>
    <t>Real-time multivariate forecasting of rail temperature with TimeGPT-1</t>
  </si>
  <si>
    <t>Step-1 note: Rail temperature forecasting; DT keyword only</t>
  </si>
  <si>
    <t>10.1007/s13349-026-01120-2</t>
  </si>
  <si>
    <t>He, Y et al. (2026)</t>
  </si>
  <si>
    <t>Deep learning-based intelligent path planning system design for subsea pipeline laying</t>
  </si>
  <si>
    <t>Step-1 note: Subsea pipeline path planning; marine</t>
  </si>
  <si>
    <t>10.1016/j.jpse.2025.100394</t>
  </si>
  <si>
    <t>Szmuk, A et al. (2025)</t>
  </si>
  <si>
    <t>Methodological Approach for Determining the Aerodynamic Resistance Using 3D Scanning: Application in Mine Ventilation Modeling</t>
  </si>
  <si>
    <t>Step-1 note: Mine ventilation LiDAR; mining</t>
  </si>
  <si>
    <t>10.3390/app152111723</t>
  </si>
  <si>
    <t>Yin, Z et al. (2025)</t>
  </si>
  <si>
    <t>A knowledge graph construction method based on co-occurrence for traffic entity prediction</t>
  </si>
  <si>
    <t>Step-1 note: Traffic entity KG + HD maps; transportation</t>
  </si>
  <si>
    <t>10.1016/j.jag.2025.104717</t>
  </si>
  <si>
    <t>Venkatesan, P et al. (2026)</t>
  </si>
  <si>
    <t>Reinforcement learning-based dynamic spectrum allocation for efficient cognitive radio network management</t>
  </si>
  <si>
    <t>Step-1 note: Cognitive radio network RL; telecom</t>
  </si>
  <si>
    <t>10.1016/j.comnet.2026.112217</t>
  </si>
  <si>
    <t>Samanipour, A et al. (2026)</t>
  </si>
  <si>
    <t>Adaptive reconfigurable software-defined vehicles (ARSDV): a deep-reinforcement-learning-based approach for optimized smart vehicle drive</t>
  </si>
  <si>
    <t>Step-1 note: Software-defined vehicles; automotive</t>
  </si>
  <si>
    <t>10.1007/s11227-026-08767-0</t>
  </si>
  <si>
    <t>Liu, J et al. (2025)</t>
  </si>
  <si>
    <t>Human–Robot collaboration in construction: Robot design, perception and Interaction, and task allocation and execution</t>
  </si>
  <si>
    <t>Step-1 note: HRC construction review; DT future direction only</t>
  </si>
  <si>
    <t>10.1016/j.aei.2025.103109</t>
  </si>
  <si>
    <t>Ye, Y et al. (2026)</t>
  </si>
  <si>
    <t>Digital twin-based multiscale fatigue crack life prediction of rib-to-deck weld joints</t>
  </si>
  <si>
    <t>Step-1 note: DT-based multiscale fatigue crack life prediction of weld joints | Full text not coded: Endnote candidate(s) found but identity not verified</t>
  </si>
  <si>
    <t>10.1016/j.jcsr.2026.110443</t>
  </si>
  <si>
    <t>Hu, R et al. (2026)</t>
  </si>
  <si>
    <t>Multi-dimensional framework for assessing digital twin maturity in construction machinery</t>
  </si>
  <si>
    <t>Step-1 note: Construction machinery DT maturity assessment; not DfS/DfQ | Prior matrix (v260816) verification note retained in 3_Change_Log</t>
  </si>
  <si>
    <t>10.1016/j.jii.2026.101067</t>
  </si>
  <si>
    <t>Zhu, Y et al. (2025)</t>
  </si>
  <si>
    <t>A computer vision and dynamic strain fusion approach for urban bridge weigh-in-motion</t>
  </si>
  <si>
    <t>Step-1 note: Bridge weigh-in-motion video-strain; no DT</t>
  </si>
  <si>
    <t>10.1038/s44172-025-00544-w</t>
  </si>
  <si>
    <t>Sisto, G (2025)</t>
  </si>
  <si>
    <t>Blockchain in agrifood supply chain achieving traceability and sustainability under the un 2030 agenda</t>
  </si>
  <si>
    <t>Step-1 note: Blockchain agrifood supply chain; agriculture</t>
  </si>
  <si>
    <t>10.13135/2785-7867/12269</t>
  </si>
  <si>
    <t>Dan, D et al. (2026)</t>
  </si>
  <si>
    <t>Online traffic load identification of high-speed railway bridge using time integration of strain monitoring data</t>
  </si>
  <si>
    <t>Step-1 note: HSR bridge load identification; DT keyword only</t>
  </si>
  <si>
    <t>10.1016/j.measurement.2026.120781</t>
  </si>
  <si>
    <t>Jiang, S et al. (2025)</t>
  </si>
  <si>
    <t>Digital twin driven intelligent assessment method for structural safety; [数字孪生驱动的结构智能安全评估方法]</t>
  </si>
  <si>
    <t>Step-1 note: DT structural safety assessment; Chinese journal</t>
  </si>
  <si>
    <t>10.15951/j.tmgcxb.24040296</t>
  </si>
  <si>
    <t>Abdel-Mooty, M.N et al. (2026)</t>
  </si>
  <si>
    <t>A scalable data driven geospatial framework for climate risk assessment</t>
  </si>
  <si>
    <t>Step-1 note: Community flood risk ML; DT keyword only</t>
  </si>
  <si>
    <t>10.1038/s41598-025-32370-7</t>
  </si>
  <si>
    <t>Wu, S et al. (2026)</t>
  </si>
  <si>
    <t>Digital-Twin Enabled “Living Fresco”</t>
  </si>
  <si>
    <t>Digital-twin enabled living fresco facade (ACS Omega 2026): GFRP-reinforced translucent polymer-concrete panel (65 MPa, 22% transmittance) with embedded FBG arrays at 5 cm pitch; ViT-GAN converts Kinect skeleton streams into 30 fps light patterns on a 12 m LED wall (dwell +340%); edge TinyML CNNs process FBG signals to detect 0.1 mm cracks at 96.7% accuracy and autonomously dim the artwork as a safety cue; X-ray CT voids &lt;1.2%; calibrated reduced-order twin predicts 7.8% stiffness loss / &lt;5% optical attenuation over 30 years with alerts 6 months ahead. Twin actively controls the LED artwork (actuation) -&gt; Tier 3; closed-loop calibration implemented, no convergence criterion; lab/bench validation. [Full-text source: browser-oa]</t>
  </si>
  <si>
    <t>Merges structural self-sensing, interactive aesthetics and 30-year prognosis in one facade: 0.1 mm crack detection at 96.7% with automatic safety dimming of the artwork.</t>
  </si>
  <si>
    <t>Bench/lab validation with 30-year simulated prognosis; full-scale building integration and UV/weathering field data not yet demonstrated.</t>
  </si>
  <si>
    <t>FBG strain/temperature, Kinect skeleton vision and material characterisation are fused in the reduced-order twin.</t>
  </si>
  <si>
    <t>Step-1 note: DT-enabled self-sensing translucent concrete facade | AB normalised to code list (source label "Perception / Computer Vision") | Coded from Step-3 deep-read markdown (Prompt B), imported 2026-09-30</t>
  </si>
  <si>
    <t>10.1021/acsomega.5c10292</t>
  </si>
  <si>
    <t>Senese, A et al. (2026)</t>
  </si>
  <si>
    <t>A simulation-based dataset for anomaly detection in hydrogen blend transport networks</t>
  </si>
  <si>
    <t>Step-1 note: Hydrogen blend transport network dataset; energy</t>
  </si>
  <si>
    <t>10.1016/j.dib.2026.112520</t>
  </si>
  <si>
    <t>Colaw, C.L et al. (2025)</t>
  </si>
  <si>
    <t>Methodology for Enablement of Human Digital Twins for Quality Assurance in the Aerospace Manufacturing Domain</t>
  </si>
  <si>
    <t>Step-1 note: Human DT aerospace manufacturing QA; aerospace</t>
  </si>
  <si>
    <t>10.3390/s25113362</t>
  </si>
  <si>
    <t>Mohammadi, A et al. (2026)</t>
  </si>
  <si>
    <t>Modeling vehicle-cyclists' interactions to support automated driving and advanced driving assistance systems</t>
  </si>
  <si>
    <t>Step-1 note: Vehicle-cyclist interaction simulator; traffic</t>
  </si>
  <si>
    <t>10.1016/j.iatssr.2026.02.004</t>
  </si>
  <si>
    <t>Jeong, H et al. (2026)</t>
  </si>
  <si>
    <t>Automated optimization of visual sensor deployment for construction sites</t>
  </si>
  <si>
    <t>Step-1 note: Visual sensor deployment optimization; DT enabling only</t>
  </si>
  <si>
    <t>10.1016/j.autcon.2026.107264</t>
  </si>
  <si>
    <t>Liang, X et al. (2026)</t>
  </si>
  <si>
    <t>Self-Learning Digital Twin for Offshore Floating Platform Dynamics and Productivity</t>
  </si>
  <si>
    <t>Step-1 note: Offshore floating platform DT; marine</t>
  </si>
  <si>
    <t>10.1109/TICPS.2026.3703363</t>
  </si>
  <si>
    <t>Hekmatnejad, A et al. (2025)</t>
  </si>
  <si>
    <t>Toward intelligent tunnel construction: The universal discontinuity index for rapid probabilistic prediction of progressive batch rock-block failure—A theoretical, numerical, and experimental validation framework</t>
  </si>
  <si>
    <t>Step-1 note: Tunnel rock-block UDi within DT workflow; no twin built</t>
  </si>
  <si>
    <t>10.1016/j.tust.2025.107017</t>
  </si>
  <si>
    <t>Zhang, H et al. (2025)</t>
  </si>
  <si>
    <t>Forest fire rescue framework to jointly optimize firefighting force configuration and facility layout: a case study of digital-twin simulation optimization</t>
  </si>
  <si>
    <t>Step-1 note: Forest fire rescue DT simulation; natural hazard</t>
  </si>
  <si>
    <t>10.1007/s00500-025-10434-0</t>
  </si>
  <si>
    <t>Aroquipa, H et al. (2025)</t>
  </si>
  <si>
    <t>Methodological framework for integrating structural health monitoring and digital-twin models for seismic assessment of heritage buildings: Case study of Basilica Maria Auxiliadora, Lima, Peru</t>
  </si>
  <si>
    <t>Methodological framework for integrating SHM with numerical DT models for seismic assessment of heritage buildings (Basilica Maria Auxiliadora, Lima): numerical models in 3DEC and SAP2000 (modal + time-history of 34 seismic ground-motion records) identify susceptible zones and recommended sensor locations; sensor deployment and validation against experimental models are explicitly future work - no DT implemented, no live data link, no learning loop. [Full-text source: 04c-port]</t>
  </si>
  <si>
    <t>Provides a methodology for integrating SHM with numerical DT models for seismic assessment of heritage buildings: a LiDAR-derived BIM of the Basilica Maria Auxiliadora in Lima fed calibrated SAP2000 and 3DEC models (about 4500 block elements, 161000 contact zones), modal analysis with 220 modes, time-history analysis reproducing the 2007 Pisco earthquake crack patterns, and 25 sensor control points selected via intensity-duration-frequency plots.</t>
  </si>
  <si>
    <t>No sensors are yet deployed: the study covers only Building Virtualization and part of sensor data analysis, so the EWS and DT feedback loop remain pending; validation relies on historical damage reports and analytical consistency, with future research to include experimental models, tri-axial sensor installation, and ambient-vibration calibration of the numerical model.</t>
  </si>
  <si>
    <t>The LiDAR point-cloud survey is converted into a BIM that is linked to the 3DEC/SAP2000 FEM models through an explicit BIM-FEM linking process, sharing one building geometry frame while each model analyses separately.</t>
  </si>
  <si>
    <t>Step-1 note: SHM + DT seismic assessment of heritage basilica | Coded from Step-3 deep-read markdown (Prompt B), imported 2026-09-30 | Prior matrix (v260816) verification note retained in 3_Change_Log</t>
  </si>
  <si>
    <t>10.1016/j.istruc.2025.110115</t>
  </si>
  <si>
    <t>Du, W et al. (2026)</t>
  </si>
  <si>
    <t>Research on the Construction of the Yellow River Smart Ice Prevention Application</t>
  </si>
  <si>
    <t>Step-1 note: Yellow River ice prevention DT; river hydrology</t>
  </si>
  <si>
    <t>10.7716/aem.v15i3.3347</t>
  </si>
  <si>
    <t>Peng, P et al. (2026)</t>
  </si>
  <si>
    <t>Exploring a comprehensive knowledge map for bridge management research: a Delphi-enhanced scientometric analysis</t>
  </si>
  <si>
    <t>Step-1 note: Bridge management scientometric; DT one hotspot</t>
  </si>
  <si>
    <t>10.1038/s41598-026-51462-6</t>
  </si>
  <si>
    <t>Sanfilippo, R et al. (2025)</t>
  </si>
  <si>
    <t>ITA − AITES tunnelling information modelling − A BIM approach for a sustainable life cycle management</t>
  </si>
  <si>
    <t>Step-1 note: ITA-AITES tunnel BIM guideline; DT keyword; sustainability</t>
  </si>
  <si>
    <t>10.1016/j.tust.2025.106711</t>
  </si>
  <si>
    <t>Qiu, S et al. (2025)</t>
  </si>
  <si>
    <t>LiDAR-Simulated Multimodal and Self-Supervised Contrastive Digital Twin Approach for Probabilistic Point Cloud Generation of Rail Fasteners</t>
  </si>
  <si>
    <t>Step-1 note: Rail fastener point clouds; DT downstream only | Prior matrix (v260816) verification note retained in 3_Change_Log</t>
  </si>
  <si>
    <t>10.1061/JCCEE5.CPENG-6137</t>
  </si>
  <si>
    <t>Talaghat, M.A et al. (2026)</t>
  </si>
  <si>
    <t>Fully automated pavement crack quantification and PCI estimation via a digital twin-ready vision-based deep learning pipeline</t>
  </si>
  <si>
    <t>Step-1 note: Pavement crack PCI pipeline; DT-ready only</t>
  </si>
  <si>
    <t>10.1016/j.rineng.2026.111659</t>
  </si>
  <si>
    <t>Model–data hybrid thermal management and health monitoring of the space station application fluid loop</t>
  </si>
  <si>
    <t>Step-1 note: Space station fluid loop PHM; aerospace</t>
  </si>
  <si>
    <t>10.1016/j.rineng.2026.109387</t>
  </si>
  <si>
    <t>Umar, I.H et al. (2026)</t>
  </si>
  <si>
    <t>Factor of safety prediction for open-pit slope using IoT-enabled hybrid machine learning digital twin with real-time adaptive updating</t>
  </si>
  <si>
    <t>Step-1 note: Open-pit slope IoT DT; mining</t>
  </si>
  <si>
    <t>10.1007/s43452-026-01605-3</t>
  </si>
  <si>
    <t>REN, W et al. (2026)</t>
  </si>
  <si>
    <t>Advances in Structural System Modification Strengthening for Performance Enhancement of Existing Bridges; [桥梁结构性能提升的改变结构体系加固法研究进展]</t>
  </si>
  <si>
    <t>Step-1 note: Bridge strengthening review; Chinese journal</t>
  </si>
  <si>
    <t>10.19721/j.cnki.1001-7372.2026.04.007</t>
  </si>
  <si>
    <t>Vasconcellos, E.C et al. (2025)</t>
  </si>
  <si>
    <t>Yara: An Ocean Virtual Environment for Research and Development of Autonomous Sailing Robots and Other Unmanned Surface Vessels</t>
  </si>
  <si>
    <t>Step-1 note: Ocean virtual environment for sailboats; marine</t>
  </si>
  <si>
    <t>10.1007/s10846-024-02212-1</t>
  </si>
  <si>
    <t>Limin, Z (2026)</t>
  </si>
  <si>
    <t>Coping with risks of geological hazard chains; [地质灾害链风险防控]</t>
  </si>
  <si>
    <t>Step-1 note: Geological hazard chains; Chinese journal</t>
  </si>
  <si>
    <t>10.11779/CJGE20250999</t>
  </si>
  <si>
    <t>Sayghe, A et al. (2026)</t>
  </si>
  <si>
    <t>A digital twin and deep-learning ensemble for cyber attack detection in industrial control systems at the IoT edge</t>
  </si>
  <si>
    <t>Step-1 note: ICS cyber attack detection DT; generic CPS</t>
  </si>
  <si>
    <t>10.1038/s41598-026-53863-z</t>
  </si>
  <si>
    <t>Digital twin models for architectural heritage conservation</t>
  </si>
  <si>
    <t>Five-dimensional DT framework for architectural heritage preventive conservation (BUCEA, J Build Eng 2025): physical entity, digital twin, twin data, service and connection dimensions; HBIM reconstruction plus structural linkage rule model and mechanics-based displacement trend model (LSTM) give real-time situational awareness and hyper-real-time extrapolation; prototype at the Yingxian Wooden Pagoda predicts spatio-temporal structural changes, supports disaster risk reduction and conservation decisions. One-way monitoring/prediction-&gt;conservation decision support; no actuation, no learning loop. [Full-text source: Endnote]</t>
  </si>
  <si>
    <t>Fills the reactive-to-proactive conservation gap for architectural heritage: a five-dimensional DT with HBIM, structural linkage rules and LSTM displacement trends provides real-time awareness and hyper-real-time extrapolation at the Yingxian Wooden Pagoda, supporting disaster risk reduction.</t>
  </si>
  <si>
    <t>Prototype scope at one pagoda; long-term drift of HBIM/rule/LSTM models under climate and material degradation is not demonstrated, and the quantitative accuracy of extrapolation vs on-site measurements is only partially reported.</t>
  </si>
  <si>
    <t>HBIM geometry, mechanical linkage rules and LSTM displacement trends are fused in the five-dimensional DT for spatio-temporal prediction.</t>
  </si>
  <si>
    <t>Step-1 note: 5D DT framework for architectural heritage conservation | Coded from Step-3 deep-read markdown (Prompt B), imported 2026-09-30</t>
  </si>
  <si>
    <t>10.1016/j.jobe.2025.113792</t>
  </si>
  <si>
    <t>Bianchi, G et al. (2026)</t>
  </si>
  <si>
    <t>AI–Digital Twin framework for automated predictive maintenance of bonded insulated rail joints</t>
  </si>
  <si>
    <t>AI-Digital Twin framework for automated predictive maintenance of bonded insulated rail joints (U Parma, AutCon 2026): high-fidelity physics-informed DT simulates coupled IRJ-sleeper behaviour under bolt-preload loss and support degradation, generating physically consistent labelled datasets; STFT-CNN, WT-CNN and decision-tree classifiers on time-frequency representations classify degradation states across six PdM scenarios with quantified detectability limits. Simulation-generated training plus classifier validation only (no field monitoring loop); no actuation, no learning loop. [Full-text source: browser-oa]</t>
  </si>
  <si>
    <t>Physics-informed DT generates safe labelled degradation datasets that DCNNs leverage for automated IRJ condition classification with quantified detectability limits.</t>
  </si>
  <si>
    <t>No field monitoring data - classifiers trained only on simulated signals; generalization to real track noise and multiple line conditions unproven.</t>
  </si>
  <si>
    <t>DT-simulated displacement and gap time-frequency images are fused with physics-based health classes via CNN classifiers.</t>
  </si>
  <si>
    <t>Step-1 note: AI-DT predictive maintenance of insulated rail joints | Coded from Step-3 deep-read markdown (Prompt B), imported 2026-09-30</t>
  </si>
  <si>
    <t>10.1016/j.autcon.2026.107102</t>
  </si>
  <si>
    <t>Li, L et al. (2026)</t>
  </si>
  <si>
    <t>STIF-DGCN: a spatiotemporal interactive fusion dual-graph convolutional network for multi-vehicle trajectory prediction</t>
  </si>
  <si>
    <t>Step-1 note: Multi-vehicle trajectory prediction; traffic</t>
  </si>
  <si>
    <t>10.1007/s11227-026-08725-w</t>
  </si>
  <si>
    <t>Yu, Q et al. (2026)</t>
  </si>
  <si>
    <t>Digital Twin Model Reconstruction and Environmental Load Analysis of the Umbrella-Shaped Tensile Membrane Structure Based on 3D Point Clouds</t>
  </si>
  <si>
    <t>Digital twin model reconstruction of an umbrella-shaped tensile membrane structure (China U Mining &amp; Tech, Applied Sciences 2026): test-bench point clouds registered by ICP and reconstructed by Screened Poisson surface reconstruction; 3D3S FE theoretical model updated to the measured surface, cutting maximum form deviation from 43.56 mm to 0.05 mm; updated model used for environmental load combinations and hazard warning of weak areas. Static reconstruction + FE load analysis; no live link, no actuation, no learning loop. [Full-text source: browser-oa]</t>
  </si>
  <si>
    <t>SPSR-based model updating reduces membrane form deviation from 43.56 mm to 0.05 mm, giving a twin suitable for ultimate-load weak-area identification.</t>
  </si>
  <si>
    <t>Test-bench scale; environmental loads are ultimate-combination simulations; no long-term drift monitoring of the membrane.</t>
  </si>
  <si>
    <t>Only 3D point-cloud geometry feeds the reconstruction pipeline.</t>
  </si>
  <si>
    <t>Step-1 note: DT reconstruction and load analysis of tensile membrane structure | AB normalised to code list (source label "Perception / Computer Vision") | Coded from Step-3 deep-read markdown (Prompt B), imported 2026-09-30</t>
  </si>
  <si>
    <t>10.3390/app16157658</t>
  </si>
  <si>
    <t>Su, D et al. (2025)</t>
  </si>
  <si>
    <t>Real-time attitude control of large rectangular pipe-jacking machines using a mechanics-informed digital twin</t>
  </si>
  <si>
    <t>Step-1 note: Mechanics-informed DT for pipe-jacking attitude control | Full text not coded: Endnote candidate(s) found but identity not verified</t>
  </si>
  <si>
    <t>10.1016/j.autcon.2025.106373</t>
  </si>
  <si>
    <t>Xie, W et al. (2025)</t>
  </si>
  <si>
    <t>AIoT-powered building digital twin for smart firefighting and super real-time fire forecast</t>
  </si>
  <si>
    <t>AIoT-powered building digital twin for smart firefighting and super real-time fire forecast (PolyU): AIoT-integrated DT maps building fires to digital fire scene; ADLSTM-Fire model transforms discrete sensor-array data into high-dimensional spatiotemporal temperature fields; forecasts fire development and hazardous regions 60s in advance; validated via full-scale building fire experiment; 93% reconstruction accuracy, 92% forecast accuracy. One-way monitoring→forecast→firefighting support; no actuation and no learning loop (offline-trained). [Full-text source: 04c-port]</t>
  </si>
  <si>
    <t>Bridges the gap between sparse on-site sensor readings and comprehensive understanding of building fire dynamics: an AIoT-integrated digital twin with LoRa wireless thermometry whose ADLSTM-Fire model reconstructs the full spatiotemporal temperature field from discrete sensor-array data (R2 93%) and forecasts fire development 60 s ahead (R2 92%), validated against CFD benchmarks and full-scale building fire experiments.</t>
  </si>
  <si>
    <t>The model is offline-trained on numerical simulation data and the advance forecast is less precise than reconstruction, with up to 18% error in one experimental scenario; future work refines ADLSTM-Fire for unfamiliar buildings, adds building layout as an input parameter, enriches datasets with structural and wind factors, optimizes sensor layouts, and tests more building types.</t>
  </si>
  <si>
    <t>The LoRa temperature-sensor array is mapped onto the spatiotemporal building-fire field learned by ADLSTM-Fire, so measured readings and the model field share one spatiotemporal frame while inference runs in the model.</t>
  </si>
  <si>
    <t>Step-1 note: AIoT building DT for smart firefighting and fire forecast | Coded from Step-3 deep-read markdown (Prompt B), imported 2026-09-30 | Prior matrix (v260816) verification note retained in 3_Change_Log</t>
  </si>
  <si>
    <t>10.1016/j.aei.2025.103117</t>
  </si>
  <si>
    <t>Bae, S et al. (2026)</t>
  </si>
  <si>
    <t>Digital Twin–Based Virtual Hospital Platform for IT Outage Disaster Response Training: Implementation and Evaluation Study</t>
  </si>
  <si>
    <t>Step-1 note: Virtual hospital IT outage training DT; healthcare</t>
  </si>
  <si>
    <t>10.2196/93135</t>
  </si>
  <si>
    <t>Tulaganov, B et al. (2026)</t>
  </si>
  <si>
    <t>INTEGRATED GIS AND DIGITAL TWIN–BASED FRAMEWORK FOR SCENARIO-BASED SEISMIC VULNERABILITY ASSESSMENT OF URBAN BUILDINGS: CONCEPTUAL ARCHITECTURE AND CASE STUDY OF TASHKENT</t>
  </si>
  <si>
    <t>Step-1 note: GIS+DT conceptual architecture for seismic vulnerability</t>
  </si>
  <si>
    <t>10.21837/pm.v24i43.2137</t>
  </si>
  <si>
    <t>Yan, H et al. (2025)</t>
  </si>
  <si>
    <t>Real-Time Digital Twin-Driven 3D Near-Miss Detection System at Construction Sites</t>
  </si>
  <si>
    <t>Computer-vision-based digital twin framework for proactive near-miss prediction (Harbin IT): integrates real-time worker trajectories, postures and interactions into a dynamic 3D construction-site model; non-autoregressive transformer predicts future movement sequences (human motion model trained on Human3.6M dataset, inverse kinematics for joint angles) + collision detection identifies potential near-misses with early warnings; field-validated in three high-risk zones (forklift paths, floor openings, material lifting). One-way perception→prediction→early warning for safety managers; no actuation and no self-improvement loop (model is offline-trained). [Full-text source: 04c-port]</t>
  </si>
  <si>
    <t>Fills the gap of three-dimensional near-miss detection at construction sites: drone imagery builds a BIM-based static scene and binocular cameras feed YOLOv5 target recognition, DeepSORT tracking, and SGM stereo matching into an Unreal Engine digital twin with protective envelopes and early warnings, detecting 1181 of 1300 near-misses (93.80% precision, 96.64% recall) in a one-month Foshan steel-hoisting pilot.</t>
  </si>
  <si>
    <t>Overlapping personnel and machinery cause incomplete information capture, extreme lighting degrades stability (Type S3 precision fell to 73.97% under overexposure), and the vision system works only within about 20 meters, excluding high-rise and large buildings; future work adds multiple perspectives against occlusion and tests update frequencies.</t>
  </si>
  <si>
    <t>Real-time worker trajectories, postures and interactions are integrated into the BIM-anchored Unreal twin, and a non-autoregressive transformer jointly predicts future movements and collision near-misses.</t>
  </si>
  <si>
    <t>Step-1 note: Real-time DT-driven 3D near-miss detection at construction sites | Coded from Step-3 deep-read markdown (Prompt B), imported 2026-09-30 | Prior matrix (v260816) verification note retained in 3_Change_Log</t>
  </si>
  <si>
    <t>10.1061/JCEMD4.COENG-15583</t>
  </si>
  <si>
    <t>Aragón, A et al. (2025)</t>
  </si>
  <si>
    <t>Seeking a Definition of Digital Twins for Construction and Infrastructure Management</t>
  </si>
  <si>
    <t>Step-1 note: Definition study of construction DTs; not DfS/DfQ focused | Prior matrix (v260816) verification note retained in 3_Change_Log</t>
  </si>
  <si>
    <t>10.3390/app15031557</t>
  </si>
  <si>
    <t>Alhazmi, M et al. (2025)</t>
  </si>
  <si>
    <t>Can digital twin technology revolutionize wildfire management and energy resilience in Los Angeles?</t>
  </si>
  <si>
    <t>Step-1 note: Wildfire energy-water DT; energy/environment</t>
  </si>
  <si>
    <t>10.1016/j.egyr.2025.09.008</t>
  </si>
  <si>
    <t>Tian, Y et al. (2026)</t>
  </si>
  <si>
    <t>Review on application of fully-mechanized mining equipment technologies based on digital twin; [基于数字孪生的综采装备技术应用研究综述]</t>
  </si>
  <si>
    <t>Step-1 note: Mining equipment DT review; mining + Chinese journal</t>
  </si>
  <si>
    <t>10.12438/cst.2025-1258</t>
  </si>
  <si>
    <t>Chen, B et al. (2026)</t>
  </si>
  <si>
    <t>Large AI Models Empowering Intelligent Manufacturing: Architecture, Evolution, and Prospects</t>
  </si>
  <si>
    <t>Step-1 note: Large AI models in manufacturing; manufacturing</t>
  </si>
  <si>
    <t>10.1109/ACCESS.2026.3716955</t>
  </si>
  <si>
    <t>Investigating the Correlation and Synergy of Artificial Intelligence Techniques, Construction Technologies, and Their Key Benefits</t>
  </si>
  <si>
    <t>Step-1 note: AI + construction technologies correlation; DT one theme</t>
  </si>
  <si>
    <t>10.1061/JAEIED.AEENG-1979</t>
  </si>
  <si>
    <t>Long, K et al. (2025)</t>
  </si>
  <si>
    <t>AI-Enabled Digital Twin Framework for Safe and Sustainable Intelligent Transportation</t>
  </si>
  <si>
    <t>Step-1 note: AI-DT platform for intelligent transportation; traffic</t>
  </si>
  <si>
    <t>10.3390/su17104391</t>
  </si>
  <si>
    <t>Research on visual operation and maintenance platform of accelerator neutron source driven by digital twins</t>
  </si>
  <si>
    <t>Step-1 note: Accelerator neutron source DT; nuclear research</t>
  </si>
  <si>
    <t>10.1016/j.eswa.2025.127866</t>
  </si>
  <si>
    <t>Shao, C et al. (2026)</t>
  </si>
  <si>
    <t>Lightweight graph retrieval-augmented generation agent for safety monitoring digital twins in small- and medium-scale hydropower projects</t>
  </si>
  <si>
    <t>Step-1 note: GraphRAG agent for hydropower safety monitoring DT | Full text not coded: Endnote candidate(s) found but identity not verified</t>
  </si>
  <si>
    <t>10.1016/j.autcon.2026.107041</t>
  </si>
  <si>
    <t>Responsive Architecture in Practice: BIM/DT/AI/IoT for Dynamic Fire Evacuation—A Comparative Case Study Analysis</t>
  </si>
  <si>
    <t>Structured narrative review + comparative case analysis (Sustainability 2026, Wroclaw/Poznan): PICo-based selection of six dynamic fire safety system (DFS) implementations from Scopus (2015-2026), scored with an original ten-criterion maturity rubric grounded in TRL/IRL/DT maturity frameworks (kappa-w 0.797); identifies regulatory gaps and proposes five normative recommendations for Poland/EU. No digital twin is built or evaluated by the authors - the six cases are analysed from published sources. P=No, R=No -&gt; Stage-2 exclude. [Full-text source: browser-oa]</t>
  </si>
  <si>
    <t>Step-1 note: BIM/DT/AI/IoT dynamic fire evacuation comparative cases | Stage-2 exclusion basis: P=No; R=No | Coded from Step-3 deep-read markdown (Prompt B), imported 2026-09-30</t>
  </si>
  <si>
    <t>10.3390/su18125920</t>
  </si>
  <si>
    <t>Lee, C.-S et al. (2026)</t>
  </si>
  <si>
    <t>A Declarative Geographic Knowledge Graph Framework for District-Scale Urban Infrastructure Analysis</t>
  </si>
  <si>
    <t>Step-1 note: Declarative GeoKG for urban DT; KG enabling only</t>
  </si>
  <si>
    <t>10.1109/ACCESS.2026.3705784</t>
  </si>
  <si>
    <t>Xu, G et al. (2026)</t>
  </si>
  <si>
    <t>Challenging extremes: Engineering frontiers and strategic outlook for Antarctic wharf infrastructure</t>
  </si>
  <si>
    <t>Step-1 note: Antarctic wharf review; DT keyword only</t>
  </si>
  <si>
    <t>10.1016/j.istruc.2026.112998</t>
  </si>
  <si>
    <t>Aruanno, B et al. (2025)</t>
  </si>
  <si>
    <t>Extended Reality in Industry and Healthcare: Current Trends and Future Perspectives</t>
  </si>
  <si>
    <t>Step-1 note: Extended reality industry/healthcare survey; generic</t>
  </si>
  <si>
    <t>10.1115/1.4070203</t>
  </si>
  <si>
    <t>Berhanu, A et al. (2026)</t>
  </si>
  <si>
    <t>Engineering programmable floating wetlands: synthetic biology, sensing, and AI control for water quality</t>
  </si>
  <si>
    <t>Step-1 note: Floating treatment wetlands; environmental</t>
  </si>
  <si>
    <t>10.1016/j.biortech.2026.135561</t>
  </si>
  <si>
    <t>Sha, A.-M (2026)</t>
  </si>
  <si>
    <t>Exploration of the Development Trend and Path of Road Engineering Technology; [道路工程技术发展方向与路径探究]</t>
  </si>
  <si>
    <t>Step-1 note: Road engineering trends; Chinese journal</t>
  </si>
  <si>
    <t>10.19721/j.cnki.1001-7372.2026.05.007</t>
  </si>
  <si>
    <t>Potsiou, C et al. (2025)</t>
  </si>
  <si>
    <t>Impact of Climate Change and Other Disasters on Coastal Cultural Heritage: An Example from Greece</t>
  </si>
  <si>
    <t>Step-1 note: Coastal heritage geospatial tools; DT methodology only</t>
  </si>
  <si>
    <t>10.3390/land14102007</t>
  </si>
  <si>
    <t>Choi, D et al. (2026)</t>
  </si>
  <si>
    <t>A study on extended HACCP and preventive control systems for novel foods through comparison of global regulations; [글로벌 규제 비교를 통한 신소재 식품의 확장형 HACCP 및 예방관리 체계 고찰]</t>
  </si>
  <si>
    <t>Step-1 note: Novel foods HACCP; food industry</t>
  </si>
  <si>
    <t>10.9721/KJFST.2026.58.3.269</t>
  </si>
  <si>
    <t>Yilmaz, M.T et al. (2026)</t>
  </si>
  <si>
    <t>Deep Tabular and Sequential Models for Robust SCADA Cybersecurity Using the Custom-Built SCADANet Dataset</t>
  </si>
  <si>
    <t>Step-1 note: SCADA cybersecurity DL; generic CPS</t>
  </si>
  <si>
    <t>10.1109/ACCESS.2026.3691986</t>
  </si>
  <si>
    <t>Jin, Y et al. (2026)</t>
  </si>
  <si>
    <t>Unveiling the future: A bibliometric review of emerging trends and hotspots in sustainable modern industrial chains</t>
  </si>
  <si>
    <t>Step-1 note: Industrial chains bibliometric; generic</t>
  </si>
  <si>
    <t>10.1016/j.sftr.2026.102046</t>
  </si>
  <si>
    <t>Yang, S et al. (2026)</t>
  </si>
  <si>
    <t>Digital twin-based evaluation of tactical interventions for high-density pedestrian environments</t>
  </si>
  <si>
    <t>Digital twin-based evaluation of tactical interventions for high-density pedestrian environments (Hanbat/York/UVic, Geo-spatial Information Science 2026): campus digital twin used as an urban simulation platform; agent-based simulation tests one-way sidewalk systems and building-entrance control for pedestrian spacing; interventions disperse pedestrians without major infrastructure disruption. Static campus twin + simulation (no live data link); no actuation, no learning loop; single-campus generalisability caveat acknowledged. [Full-text source: browser-oa]</t>
  </si>
  <si>
    <t>Applies tactical urbanism inside a campus digital twin, showing one-way sidewalks and entrance control improve pedestrian spacing without capital upgrades.</t>
  </si>
  <si>
    <t>One campus only; agent parameters and demand data approximations; no real-world intervention follow-up measured.</t>
  </si>
  <si>
    <t>Campus geometry and pedestrian-flow data are fused into the agent-based simulation for intervention evaluation.</t>
  </si>
  <si>
    <t>Step-1 note: Campus DT for tactical pedestrian safety interventions | Coded from Step-3 deep-read markdown (Prompt B), imported 2026-09-30</t>
  </si>
  <si>
    <t>10.1080/10095020.2025.2600195</t>
  </si>
  <si>
    <t>Yang, B et al. (2025)</t>
  </si>
  <si>
    <t>Prediction and optimization of structural performance of prefabricated bridges based on physical information neural network (PINN) and BlM</t>
  </si>
  <si>
    <t>PINN + BIM framework for prediction and optimisation of prefabricated-bridge structural performance (Anhui Vocational Colleges/ZSTU, Discover AI 2025): BIM provides geometry, material and construction-process data to build a digital twin; PINN embeds stress/strain/equilibrium physics into the network; optimisation algorithms refine design against safety, cost and environmental criteria; experiments show superior accuracy and generalisation vs traditional methods. Design-time simulation twin; no live data link, no actuation, no learning loop. [Full-text source: Endnote]</t>
  </si>
  <si>
    <t>Fills the data-scarce prediction gap in prefabricated-bridge design: PINN physics constraints on BIM-derived twin data yield more accurate, generalisable performance prediction and multi-objective (safety/cost/environment) design optimisation than traditional methods.</t>
  </si>
  <si>
    <t>Numerical/experimental validation on generic prefabricated-bridge configurations rather than a real project; PINN training cost and mesh/physics completeness for complex nonlinear cases are not addressed; optimisation-to-design integration is not automated.</t>
  </si>
  <si>
    <t>BIM geometry/material/process data and PINN physics constraints are fused in one predictive-optimisation model.</t>
  </si>
  <si>
    <t>Step-1 note: PINN+BIM digital twin for prefabricated bridge performance | Coded from Step-3 deep-read markdown (Prompt B), imported 2026-09-30</t>
  </si>
  <si>
    <t>10.1007/s44163-025-00245-5</t>
  </si>
  <si>
    <t>Responsive Architecture and Dynamic Fire-Safety Systems: A Conceptual–Bibliometric Framework for Performance-Based Design and Regulatory Transition</t>
  </si>
  <si>
    <t>Step-1 note: Dynamic fire-safety conceptual-bibliometric; DT one technology</t>
  </si>
  <si>
    <t>10.3390/su18147466</t>
  </si>
  <si>
    <t>Moe, S.J.S et al. (2025)</t>
  </si>
  <si>
    <t>Safety monitoring digital twin-based centralized model consolidation mechanism using dynamic node selection for multi-worker safety prediction</t>
  </si>
  <si>
    <t>FL-based Safety Monitoring Digital Twin (SMDT) framework for multi-worker safety prediction (Jeju National U): DT platform + central FL server; edge devices (Raspberry Pi) represent workers and IoT nodes; real-world construction safety data (worker status, weather, structural parameters); dynamic node selection mechanism (normal distribution) optimizes global model convergence in FL; DT supports device registration, model creation, real-time control, visualization of FL training, and safety prediction. One-way monitoring→FL aggregation→safety prediction; implemented FL training loop but no convergence criterion. [Full-text source: 04c-port]</t>
  </si>
  <si>
    <t>Fills the lack of integrated multi-worker safety monitoring systems by coupling a digital twin platform with federated learning: six Raspberry Pi edge nodes train a DNN on 50,000 records of worker, weather and structural data, and a normal-distribution-based dynamic node selection improves FedAVG aggregation to R2 0.978 under IID and 0.965 under non-IID conditions with 0.551 s average inference delay.</t>
  </si>
  <si>
    <t>Experiments run in a controlled testbed with emulated sensors rather than an active construction site, the digital twin supports monitoring and control commands but no autonomous actuation, and only general safety prediction is covered; the authors plan field deployment, additional data features, accident-specific models and fairness plus long-term robustness evaluation.</t>
  </si>
  <si>
    <t>Worker-status, weather and structural-parameter records (50,000 samples) are jointly trained into one DNN via federated learning with dynamic node selection, and the DT visualises the fused global model.</t>
  </si>
  <si>
    <t>Step-1 note: FL-based safety monitoring DT for multi-worker sites | Coded from Step-3 deep-read markdown (Prompt B), imported 2026-09-30 | Prior matrix (v260816) verification note retained in 3_Change_Log</t>
  </si>
  <si>
    <t>10.1016/j.engappai.2025.112186</t>
  </si>
  <si>
    <t>Menaka, K et al. (2026)</t>
  </si>
  <si>
    <t>Reliability Analysis of Micropile-Supported Deep Excavations Using Multivariate Adaptive Regression Splines</t>
  </si>
  <si>
    <t>Step-1 note: Micropile excavation reliability MARS; no DT</t>
  </si>
  <si>
    <t>10.1007/s10706-025-03612-2</t>
  </si>
  <si>
    <t>Chang, Z et al. (2026)</t>
  </si>
  <si>
    <t>Using digital twin technology to conduct dynamic simulation of industry-education integration</t>
  </si>
  <si>
    <t>Step-1 note: DT construction safety training framework with VR | Full text not coded: Endnote candidate(s) found but identity not verified</t>
  </si>
  <si>
    <t>10.1504/EJIE.2026.10072994</t>
  </si>
  <si>
    <t>Zhao, W et al. (2025)</t>
  </si>
  <si>
    <t>Automatic response prediction in a digital twin framework for regional bridges group</t>
  </si>
  <si>
    <t>Digital twin system for a regional bridges group (Southeast U / Tongji): physical space collects vehicle info + structural response from bridges; digital space builds numerical models per bridge with traffic load as the linking variable; Transformer neural network predicts bridge responses (vehicle-load-based, within/cross-bridge, measured-data fusion) to enable safety warning across the regional network; validated on three concrete bridges in Jiangsu (vehicle driven over bridges; compared vs LSTM/BiLSTM/BiGRU; metrics Ta/RMAE/R²). One-way monitoring/prediction→safety warning &amp; O&amp;M decisions; no actuation and no self-improvement loop (offline-trained Transformer). [Full-text source: 04c-port]</t>
  </si>
  <si>
    <t>Fills the gap of monitoring bridges that lack sensors by extending a digital twin across a regional bridge group: WIM data from six million vehicles is fitted with Gaussian mixtures and MCMC sampling to drive finite element models of three Jiangsu bridges, and Transformer encoder-decoder models predict responses with R2 above 0.99 (0.9970-0.9999), outperforming LSTM, BiLSTM and BiGRU and validated by field vehicle tests.</t>
  </si>
  <si>
    <t>Simulations assume vehicles cross individually, ignoring queues and congestion; training multiple Transformers for many measurement points burdens real-time use; prediction accuracy depends on finite element models; and validation is limited to box girder bridges. Future work includes realistic traffic models with generative augmentation, transfer learning, periodic load tests for model updating and other bridge types.</t>
  </si>
  <si>
    <t>WIM vehicle data (six million vehicles, Gaussian mixture + MCMC sampling) and structural responses jointly train Transformer encoder-decoder models that predict bridge responses across the regional network.</t>
  </si>
  <si>
    <t>Step-1 note: DT framework for regional bridge group response prediction | Coded from Step-3 deep-read markdown (Prompt B), imported 2026-09-30 | Prior matrix (v260816) verification note retained in 3_Change_Log</t>
  </si>
  <si>
    <t>10.1016/j.istruc.2025.109052</t>
  </si>
  <si>
    <t>Saba, M et al. (2026)</t>
  </si>
  <si>
    <t>Affordable risk mapping and detection of asbestos-cement roofs via remote sensing: towards accessible urban digital twins in low- to middle-income countries</t>
  </si>
  <si>
    <t>Step-1 note: Asbestos roof detection; DT goal only</t>
  </si>
  <si>
    <t>10.1016/j.jenvman.2026.128908</t>
  </si>
  <si>
    <t>Cai, J et al. (2026)</t>
  </si>
  <si>
    <t>Affective computing in smart city spaces: Research on emotion recognition and response mechanisms under a digital twin framework</t>
  </si>
  <si>
    <t>Step-1 note: Affective computing smart city DT; generic service</t>
  </si>
  <si>
    <t>10.1016/j.ijcce.2026.04.001</t>
  </si>
  <si>
    <t>Salem, A et al. (2026)</t>
  </si>
  <si>
    <t>Digital Leadership and Safety Performance in Construction Projects: The Role of Employee Competence and Adaptive Leadership</t>
  </si>
  <si>
    <t>Step-1 note: Digital leadership PLS-SEM; DT context only</t>
  </si>
  <si>
    <t>10.3390/systems14060658</t>
  </si>
  <si>
    <t>Gumus, F et al. (2026)</t>
  </si>
  <si>
    <t>Optimizing multilayer perceptron (MLP) hyperparameters via covariance matrix adaptation evolution strategy (CMA-ES) for predicting composite bending behavior</t>
  </si>
  <si>
    <t>Step-1 note: Composite bending MLP; materials science</t>
  </si>
  <si>
    <t>10.1007/s10999-025-09851-8</t>
  </si>
  <si>
    <t>Wei, X.( et al. (2026)</t>
  </si>
  <si>
    <t>Online Adaptive Reinforcement Learning and Approximate Bayesian Computation (OARL-ABC) for real-time long-term calibration of rotordynamic models</t>
  </si>
  <si>
    <t>Step-1 note: Rotordynamic model calibration; machinery</t>
  </si>
  <si>
    <t>10.1016/j.ymssp.2026.114291</t>
  </si>
  <si>
    <t>Bajoria, S et al. (2026)</t>
  </si>
  <si>
    <t>A Survey on LLM-Enabled UAV Digital Twins for Internet of Vehicles Systems</t>
  </si>
  <si>
    <t>Step-1 note: UAV DT for Internet of Vehicles; vehicles</t>
  </si>
  <si>
    <t>10.1109/OJVT.2026.3699572</t>
  </si>
  <si>
    <t>Zong, P et al. (2026)</t>
  </si>
  <si>
    <t>Satellite-Enabled Edge Intelligence for Climate-Resilient Emergency Mobility: A Survey of On-Orbit Edge Computing</t>
  </si>
  <si>
    <t>Step-1 note: Satellite edge intelligence survey; transportation</t>
  </si>
  <si>
    <t>10.1109/TITS.2026.3677347</t>
  </si>
  <si>
    <t>Franciosi, M et al. (2024)</t>
  </si>
  <si>
    <t>Digital twins in bridge engineering for streamlined maintenance and enhanced sustainability</t>
  </si>
  <si>
    <t>Adaptable digital twin methodology for existing bridge management (HEIG-VD): integrates BIM + IFC (open interoperable formats) + ontology + FE models; laser-scanned 3D model converted to DT via IFC; enables structural analysis and what-if scenario simulations for maintenance decision-making; differential evolution algorithm for optimized FE model; case study demonstrates feasibility; cradle-to-cradle approach for end-of-life. One-way monitoring/analysis→maintenance decisions; no actuation and no learning loop (updates are manual inspection-based). [Full-text source: 04c-port]</t>
  </si>
  <si>
    <t>Establishes an adaptable methodology for existing-bridge digital twins addressing software obsolescence and interoperability: laser-scanned geometry (RIEGL VZ-2000i) converted to IFC 4.3 BIM and enriched from the KUBA database, then imported into SCIA Engineer for what-if corrosion scenarios on the 377.60 m Praz bridge and DE-algorithm FE updating against DIC measurements on the Grandson bridge.</t>
  </si>
  <si>
    <t>Scan-to-BIM remains semi-automated and the DT provides no automatic defect detection; updates come in batch from inspections rather than a real-time link. Future work covers a method to integrate inspection and monitoring results into DTs, extension to new bridges during design, and linking DTs into networks for whole transport corridors.</t>
  </si>
  <si>
    <t>RIEGL VZ-2000i laser-scanned geometry is converted to IFC 4.3 BIM, and the SCIA Engineer FE model is updated against DIC measurements, linking scan geometry and measurement data through the shared bridge model.</t>
  </si>
  <si>
    <t>Step-1 note: DTs in bridge engineering for maintenance and safety | Coded from Step-3 deep-read markdown (Prompt B), imported 2026-09-30 | Prior matrix (v260816) verification note retained in 3_Change_Log</t>
  </si>
  <si>
    <t>10.1016/j.autcon.2024.105834</t>
  </si>
  <si>
    <t>Marai, O.E et al. (2025)</t>
  </si>
  <si>
    <t>Roads Infrastructure Digital Twin: Advancing Situational Awareness Through Bandwidth-Aware 360° Video Streaming and Multi-View Clustering</t>
  </si>
  <si>
    <t>Step-1 note: Roads infrastructure DT 360 video; transportation</t>
  </si>
  <si>
    <t>10.1109/OJVT.2025.3572405</t>
  </si>
  <si>
    <t>Zhang, L et al. (2024)</t>
  </si>
  <si>
    <t>Advanced informatic technologies for intelligent construction: A review</t>
  </si>
  <si>
    <t>Step-1 note: Intelligent construction informatics review; DT one topic</t>
  </si>
  <si>
    <t>10.1016/j.engappai.2024.109104</t>
  </si>
  <si>
    <t>Liu, D et al. (2023)</t>
  </si>
  <si>
    <t>Multisensory and BIM-Integrated Digital Twin to Improve Urban Excavation Safety</t>
  </si>
  <si>
    <t>Multisensory + BIM-integrated digital twin for urban excavation safety (Tianjin U, Shandong case): physical excavator equipped with multi-sensors, 3D pose estimated via kinematic model + social spider algorithm (SSA) (bucket-tip error 24.61 mm, translation accuracy +4.0 cm); BIM of buried utilities + 3D excavator model form a dynamic virtual model mirroring the excavation; physical-virtual coupled DT enables real-time safety control - dynamic collision-risk assessment with 3D visual guidance and safety warning (pipe model turns red when bucket enters risk area, operator stops) to avoid pipe-collision accidents; system prototype field-tested in two case studies, 0.05 s sampling. One-way monitoring to guidance/warning to the human operator; no automated actuation and no learning loop. [Full-text source: 04c-port]</t>
  </si>
  <si>
    <t>Equips an excavator with four IMU sensors and two GNSS receivers, estimates its 3D pose via an Euler-based kinematic model refined by social spider algorithm optimization, cutting bucket tip mean error from 64.59 mm to 24.61 mm, and couples it with a BIM of buried pipes in Unity for real-time collision risk assessment with 30 cm and 50 cm warning zones, applied to a 1760 m Shandong pipe project.</t>
  </si>
  <si>
    <t>Safety warning distances are set from experience rather than from the uncertainty of the pipe BIM, and the excavator case is validated in one project; hardware random errors are ignored. Future work will derive reasonable warning distances through field tests and extend the pose estimation method to other heavy machinery.</t>
  </si>
  <si>
    <t>Four IMU sensors and two GNSS receivers are fused in an Euler-based kinematic model refined by social-spider-algorithm optimisation to estimate excavator pose, which then drives BIM-based collision-risk assessment.</t>
  </si>
  <si>
    <t>Step-1 note: Multisensory BIM-integrated DT for urban excavation safety | Coded from Step-3 deep-read markdown (Prompt B), imported 2026-09-30 | Prior matrix (v260816) verification note retained in 3_Change_Log</t>
  </si>
  <si>
    <t>10.1061/JCCEE5.CPENG-5354</t>
  </si>
  <si>
    <t>Park, S et al. (2018)</t>
  </si>
  <si>
    <t>Design and implementation of a Smart IoT based building and town disaster management system in Smart City Infrastructure</t>
  </si>
  <si>
    <t>Step-1 note: AR building disaster management; DT keyword only</t>
  </si>
  <si>
    <t>10.3390/app8112239</t>
  </si>
  <si>
    <t>Jiao, Y et al. (2024)</t>
  </si>
  <si>
    <t>A digital twin-based motion forecasting framework for preemptive risk monitoring</t>
  </si>
  <si>
    <t>Step-1 note: DT-based motion forecasting for preemptive risk monitoring | Full text not coded: Endnote candidate(s) found but identity not verified</t>
  </si>
  <si>
    <t>10.1016/j.aei.2023.102250</t>
  </si>
  <si>
    <t>Nielsen, R.E et al. (2022)</t>
  </si>
  <si>
    <t>Machine learning enhancement of manoeuvring prediction for ship Digital Twin using full-scale recordings</t>
  </si>
  <si>
    <t>Step-1 note: Ship manoeuvring DT ML; marine</t>
  </si>
  <si>
    <t>10.1016/j.oceaneng.2022.111579</t>
  </si>
  <si>
    <t>Park, J et al. (2024)</t>
  </si>
  <si>
    <t>Unlocking the Potential of Digital Twins in Construction: A Systematic and Quantitative Review Using Text Mining</t>
  </si>
  <si>
    <t>Step-1 note: DT potential review text mining; not DfS/DfQ focused | Prior matrix (v260816) verification note retained in 3_Change_Log</t>
  </si>
  <si>
    <t>10.3390/buildings14030702</t>
  </si>
  <si>
    <t>Kim, M.-G et al. (2024)</t>
  </si>
  <si>
    <t>A digital twin model for contaminant fate and transport in urban and natural drainage networks with online state estimation</t>
  </si>
  <si>
    <t>Step-1 note: Contaminant transport drainage DT; water quality</t>
  </si>
  <si>
    <t>10.1016/j.envsoft.2023.105868</t>
  </si>
  <si>
    <t>You, K et al. (2023)</t>
  </si>
  <si>
    <t>Earthwork digital twin for teleoperation of an automated bulldozer in edge dumping</t>
  </si>
  <si>
    <t>Earthwork digital twin for teleoperation of an automated bulldozer in mine edge dumping (Hulunbuir open-pit): three-stage DT — anterior-time (UAV tilt-photography 3D model, 0.6 cm avg error; improved BoundED point-cloud edge detection of retaining wall, precision 0.923/F1 0.877; blade-trajectory generation), real-time (5G teleoperation platform displaying video, radar obstacle detection, RTK/IMU attitude, force feedback, eye-tracking), posterior-time (big-data storage/analysis; +2 h/day effective work). DT provides real-time perception/visualisation for human teleoperation (control via operator, not automated by twin); no learning loop. [Full-text source: 04c-port]</t>
  </si>
  <si>
    <t>Fills the gap of accurate real-time environment perception for bulldozer teleoperation in hazardous mine dumping: an anterior-time digital twin from UAV tilt photography achieves 0.6 cm average 3D error over 35,000 square meters, deep-learning retaining-wall edge detection reaches 0.923 precision and 0.877 F1, and a real-time platform with force, sound, and naked-eye 3D feedback supports a Shantui SD90 bulldozer, raising effective working time by 25%.</t>
  </si>
  <si>
    <t>Validation is confined to one open-pit mine backfill condition and the authors state more practical tests are needed to verify reliability; blade paths still depend on expert operator knowledge. Future work continues optimizing the system, improving algorithm accuracy and reliability, and advancing intelligent mine construction.</t>
  </si>
  <si>
    <t>UAV photogrammetry models, radar obstacle detection, RTK/IMU attitude, force feedback and eye-tracking are all shown in one geolocated 5G teleoperation platform, sharing the scene frame while each stage processes its own data.</t>
  </si>
  <si>
    <t>Step-1 note: Earthwork DT for automated bulldozer teleoperation safety | Coded from Step-3 deep-read markdown (Prompt B), imported 2026-09-30 | Prior matrix (v260816) verification note retained in 3_Change_Log</t>
  </si>
  <si>
    <t>10.1002/rob.22234</t>
  </si>
  <si>
    <t>Wang, Z et al. (2023)</t>
  </si>
  <si>
    <t>Methods and Applications of Safety Control for Cable Net Structure Considering Spatiotemporal Changes</t>
  </si>
  <si>
    <t>Spatiotemporal safety control of cable net construction via digital twins (BJUT/Tianjin U, Sustainability 2023): twin-model safety-control framework with spatiotemporal representation and on-site data collection/processing; real-time comparison between site mechanical/geometric information and real-time FE simulation results; validated on the Xiaotian Cultural and Sports Park project. One-way monitoring-&gt;FE comparison-&gt;safety control guidance; no actuation, no learning loop. [Full-text source: browser-oa]</t>
  </si>
  <si>
    <t>Extends cable-net safety control from step-wise checks to real-time spatiotemporal comparison of site data with live FE simulation on a real stadium project.</t>
  </si>
  <si>
    <t>Single project; control is guidance to site crews (human-in-loop); FE model fidelity and update latency not quantified.</t>
  </si>
  <si>
    <t>On-site mechanical/geometric measurements are fused with real-time FE simulation outputs for safety comparison.</t>
  </si>
  <si>
    <t>Step-1 note: Cable net structure safety control DT; spatiotemporal | Coded from Step-3 deep-read markdown (Prompt B), imported 2026-09-30</t>
  </si>
  <si>
    <t>10.3390/su151813922</t>
  </si>
  <si>
    <t>Guardia, M et al. (2023)</t>
  </si>
  <si>
    <t>Towards Digital Twinning on the Web: Heterogeneous 3D Data Fusion Based on Open-Source Structure</t>
  </si>
  <si>
    <t>Step-1 note: Web 3D data fusion; DT enabling first step</t>
  </si>
  <si>
    <t>10.3390/rs15030721</t>
  </si>
  <si>
    <t>Torrecilla-García, J.A et al. (2022)</t>
  </si>
  <si>
    <t>Overall Introduction to the Framework of BIM-based Digital Twinning in Decision-making in Safety Management in Building Construction Industry</t>
  </si>
  <si>
    <t>Scoping literature review + Research-through-Design proposal of a conceptual framework integrating BIM-based digital twinning, Safety Management processes, and a Decision Support System (DSS) for OHS decision-making in building construction; outlines data/information streams, KPIs, real-time interfaces and worker engagement, and notes ML as a future requirement for real-time optimisation of assessment. Purely conceptual — no DT built, no experiment, no test; predictive/self-improving features only proposed as future work. [Full-text source: 04c-port]</t>
  </si>
  <si>
    <t>Provides an early conceptual bridge between BIM-based digital twinning and OHS decision-making: a scoping literature review plus a Research-through-Design proposal outlines a framework correlating safety management processes, project-level strategic decision-making, BIM-based digital twins and a Decision Support System to shift construction safety toward predictive analysis and all-worker inclusion.</t>
  </si>
  <si>
    <t>It is a preliminary conceptual framework with no prototype, sensor integration, live data link, or implementation; the authors concede many shortcomings in the initial version and call for in-depth strategic analysis, development of a functional model for the executive level of construction companies, and alignment with real construction project contingencies.</t>
  </si>
  <si>
    <t>A scoping review plus Research-through-Design proposal outlines a BIM-DT-DSS safety framework, with no prototype, sensor integration or live data link.</t>
  </si>
  <si>
    <t>Step-1 note: BIM-based DT for OHS decision-making in construction | Coded from Step-3 deep-read markdown (Prompt B), imported 2026-09-30</t>
  </si>
  <si>
    <t>10.37610/dyo.v0i76.614</t>
  </si>
  <si>
    <t>Melikhov, M.V et al. (2025)</t>
  </si>
  <si>
    <t>Integrated Approach to Remote Monitoring of Waterworks Facilities in the Mining Industry Using Space and Digital Technologies</t>
  </si>
  <si>
    <t>Step-1 note: Mining waterworks remote monitoring; mining</t>
  </si>
  <si>
    <t>10.1134/S1062739125010168</t>
  </si>
  <si>
    <t>Ponzo, F.C et al. (2024)</t>
  </si>
  <si>
    <t>DInSAR–SBAS satellite monitoring of infrastructures: how temperature affects the “Ponte della Musica” case study</t>
  </si>
  <si>
    <t>Step-1 note: DInSAR-SBAS bridge monitoring; no DT</t>
  </si>
  <si>
    <t>10.1007/s13349-023-00751-z</t>
  </si>
  <si>
    <t>Heikkilä, M et al. (2024)</t>
  </si>
  <si>
    <t>Navigating the Future: Developing Smart Fairways for Enhanced Maritime Safety and Efficiency</t>
  </si>
  <si>
    <t>Step-1 note: Smart fairways maritime; marine</t>
  </si>
  <si>
    <t>10.3390/jmse12020324</t>
  </si>
  <si>
    <t>Abebe, M et al. (2024)</t>
  </si>
  <si>
    <t>Mitigating Measurement Inaccuracies in Digital Twins of Construction Machinery through Multi-Objective Optimization</t>
  </si>
  <si>
    <t>Step-1 note: Excavator DT measurement optimization; not DfS/DfQ</t>
  </si>
  <si>
    <t>10.3390/s24113347</t>
  </si>
  <si>
    <t>Sresakoolchai, J et al. (2023)</t>
  </si>
  <si>
    <t>Track Geometry Prediction Using Three-Dimensional Recurrent Neural Network-Based Models Cross-Functionally Co-Simulated with BIM</t>
  </si>
  <si>
    <t>Step-1 note: Track geometry RNN prediction; DT keyword only</t>
  </si>
  <si>
    <t>10.3390/s23010391</t>
  </si>
  <si>
    <t>Alberti, A.L et al. (2023)</t>
  </si>
  <si>
    <t>Automation levels for nuclear reactor operations: A revised perspective</t>
  </si>
  <si>
    <t>Step-1 note: Nuclear reactor automation levels; nuclear</t>
  </si>
  <si>
    <t>10.1016/j.pnucene.2022.104559</t>
  </si>
  <si>
    <t>Kaliske, M et al. (2021)</t>
  </si>
  <si>
    <t>Vision on a Digital Twin of the Road-Tire-Vehicle System for Future Mobility</t>
  </si>
  <si>
    <t>Step-1 note: Road-tire-vehicle DT vision; vehicles</t>
  </si>
  <si>
    <t>10.2346/tire.21.190223</t>
  </si>
  <si>
    <t>Aschieri, D.L.D et al. (2024)</t>
  </si>
  <si>
    <t>Web-GIS Application for Hydrogeological Risk Prevention: The Case Study of Cervo Valley</t>
  </si>
  <si>
    <t>Step-1 note: Web-GIS hydrogeological risk; natural hazard</t>
  </si>
  <si>
    <t>10.3390/su16229833</t>
  </si>
  <si>
    <t>Bevilacqua, M et al. (2020)</t>
  </si>
  <si>
    <t>Digital twin reference model development to prevent operators' risk in process plants</t>
  </si>
  <si>
    <t>Step-1 note: DT reference model for process plants; industrial</t>
  </si>
  <si>
    <t>10.3390/su12031088</t>
  </si>
  <si>
    <t>Sleiti, A.K et al. (2022)</t>
  </si>
  <si>
    <t>Carbon Dioxide Transport Pipeline Systems: Overview of Technical Characteristics, Safety, Integrity and Cost, and Potential Application of Digital Twin</t>
  </si>
  <si>
    <t>Step-1 note: CO2 pipeline DT overview; energy pipelines</t>
  </si>
  <si>
    <t>10.1115/1.4053348</t>
  </si>
  <si>
    <t>Granzner, M et al. (2023)</t>
  </si>
  <si>
    <t>Data-Driven Condition Assessment and Life Cycle Analysis Methods for Dynamically and Fatigue-Loaded Railway Infrastructure Components</t>
  </si>
  <si>
    <t>Step-1 note: Railway noise barrier condition assessment; DT keyword only | Prior matrix (v260816) verification note retained in 3_Change_Log</t>
  </si>
  <si>
    <t>10.3390/infrastructures8110162</t>
  </si>
  <si>
    <t>Li, S et al. (2025)</t>
  </si>
  <si>
    <t>Online Intelligent Monitoring System and Key Technologies for Dam Operation Safety</t>
  </si>
  <si>
    <t>Three Gorges Dam intelligent monitoring platform (Changjiang Spatial Info + CTG, Advances in Civil Engineering 2025): GIS+BIM digital base builds a DT geometric model of the hub; BIM+FE online rapid structural calculation and early warning; machine-learning analysis models mine monitoring data for intelligent prediction of potential safety hazards; IoT + Micro-INS digitises inspection workflows; workflow engine provides full-process digital collaboration. Real deployment at Three Gorges Dam; one-way monitoring-&gt;calculation/prediction-&gt;safety decision support; no actuation, no learning loop. [Full-text source: Endnote]</t>
  </si>
  <si>
    <t>Fills the centralised-intelligence gap of mega-dam monitoring: the Three Gorges platform integrates GIS+BIM digital base, BIM+FE online rapid calculation, ML hazard prediction and IoT+Micro-INS inspection digitisation into a single safety-management workflow.</t>
  </si>
  <si>
    <t>Single mega-dam deployment; prediction accuracy of the ML hazard models and false-alarm rates are not reported quantitatively, and integration with emergency-response actuation is absent.</t>
  </si>
  <si>
    <t>GIS+BIM, IoT monitoring, FE calculation and ML hazard models are fused in the dam platform for online safety evaluation.</t>
  </si>
  <si>
    <t>Step-1 note: Three Gorges Dam intelligent monitoring platform; DT-based | Coded from Step-3 deep-read markdown (Prompt B), imported 2026-09-30</t>
  </si>
  <si>
    <t>10.1155/adce/9983255</t>
  </si>
  <si>
    <t>Fang, W et al. (2024)</t>
  </si>
  <si>
    <t>A status digital twin approach for physically monitoring over-and-under excavation in large tunnels</t>
  </si>
  <si>
    <t>Step-1 note: Status DT for over-under excavation in large tunnels | Full text not coded: Endnote candidate(s) found but identity not verified</t>
  </si>
  <si>
    <t>10.1016/j.aei.2024.102648</t>
  </si>
  <si>
    <t>Yang, L et al. (2021)</t>
  </si>
  <si>
    <t>CAVTest: A Closed Connected and Automated Vehicles Test Field of Chang'an University in China</t>
  </si>
  <si>
    <t>Step-1 note: CAVTest closed field; vehicles</t>
  </si>
  <si>
    <t>10.4271/12-04-04-0032</t>
  </si>
  <si>
    <t>Jia, Z et al. (2025)</t>
  </si>
  <si>
    <t>IFC2BCM: A Tool for Generating IndoorGML and Building Configuration Model from IFC</t>
  </si>
  <si>
    <t>Step-1 note: IFC2BCM software tool; DT keyword only</t>
  </si>
  <si>
    <t>10.1016/j.softx.2024.101975</t>
  </si>
  <si>
    <t>Shi, G et al. (2023)</t>
  </si>
  <si>
    <t>Intelligent Assessment Method of Structural Reliability Driven by Carrying Capacity Sustainable Target: Taking Bearing Capacity as Criterion</t>
  </si>
  <si>
    <t>Intelligent structural reliability assessment driven by a carrying-capacity sustainability target (BJUT, Sustainability 2023): high-fidelity twin modelling method for reliability evaluation with bearing capacity as criterion; simulation accuracy up to 95%; coupling between component failure and reliability indicators established; mechanical response under different load cases analysed for maintenance decisions. Twin maps mechanical state in real time (conceptual) but validation is experimental analysis of a rigid cable truss; no actuation, no learning loop. [Full-text source: browser-oa]</t>
  </si>
  <si>
    <t>Twin-based reliability evaluation with bearing capacity as sustainability criterion reaches 95% simulation accuracy and exposes the coupling between component failure and reliability indicators.</t>
  </si>
  <si>
    <t>Experimental validation only; real-time claim is conceptual; reliability index computation details partial.</t>
  </si>
  <si>
    <t>Mechanical response data and reliability indicators are fused in the high-fidelity twin evaluation.</t>
  </si>
  <si>
    <t>Step-1 note: DT-driven structural reliability assessment; bearing capacity | Coded from Step-3 deep-read markdown (Prompt B), imported 2026-09-30</t>
  </si>
  <si>
    <t>10.3390/su151310655</t>
  </si>
  <si>
    <t>Nåfors, D et al. (2020)</t>
  </si>
  <si>
    <t>Application of a hybrid digital twin concept for factory layout planning</t>
  </si>
  <si>
    <t>Step-1 note: Hybrid DT factory layout planning; manufacturing</t>
  </si>
  <si>
    <t>10.1520/SSMS20190033</t>
  </si>
  <si>
    <t>Saleh, S et al. (2025)</t>
  </si>
  <si>
    <t>Real-Time Pothole Detection With Edge Intelligence and Digital Twin in Internet of Vehicles</t>
  </si>
  <si>
    <t>Step-1 note: Pothole detection IoV DT; vehicles</t>
  </si>
  <si>
    <t>10.1109/JIOT.2024.3517342</t>
  </si>
  <si>
    <t>Mukhopadhyay, A et al. (2022)</t>
  </si>
  <si>
    <t>Virtual-reality-based digital twin of office spaces with social distance measurement feature</t>
  </si>
  <si>
    <t>Step-1 note: VR DT office social distancing; not DfS/DfQ</t>
  </si>
  <si>
    <t>10.1016/j.vrih.2022.01.004</t>
  </si>
  <si>
    <t>Liu, I.-H et al. (2025)</t>
  </si>
  <si>
    <t>Cyberattack Kill Chain Analysis on Hydraulic Infrastructure</t>
  </si>
  <si>
    <t>Step-1 note: Hydraulic ICS cyber testbed; DT reference only</t>
  </si>
  <si>
    <t>10.57417/jrnal.11.2_170</t>
  </si>
  <si>
    <t>Kim, D et al. (2024)</t>
  </si>
  <si>
    <t>Real-time estimation of responses and loads of real-scale pipes subjected to earthquakes and external loads using digital twin technology</t>
  </si>
  <si>
    <t>Real-time estimation of responses and loads of real-scale pipes under simultaneous seismic and external loads (Kyungpook/Hanbat/Pusan, Smart Structures and Systems 2024): numerical model with dynamic characteristics of a nuclear-plant piping system; reduced-order modelling plus Newmark-beta integration; inverse load estimation from minimum sensors reconstructs displacement/velocity/acceleration/stress at all points in real time; verified against real-scale pipe vibration tests. One-way sensing-&gt;real-time virtual estimation; no actuation, no learning loop. [Full-text source: browser-oa]</t>
  </si>
  <si>
    <t>ROM plus inverse load estimation lets a minimum-sensor twin reconstruct full-field pipe response in real time under simultaneous seismic and external loads.</t>
  </si>
  <si>
    <t>Real-scale pipe test rather than in-service plant; noise/uncertainty handling partial; load-estimation error bounds not fully reported.</t>
  </si>
  <si>
    <t>Measured accelerations and ground-motion inputs are fused through inverse load estimation into the ROM twin.</t>
  </si>
  <si>
    <t>Step-1 note: DT SHM of real-scale pipes under seismic loads | Coded from Step-3 deep-read markdown (Prompt B), imported 2026-09-30</t>
  </si>
  <si>
    <t>10.12989/sss.2024.33.5.375</t>
  </si>
  <si>
    <t>Tanne, Y.A et al. (2023)</t>
  </si>
  <si>
    <t>Review of Construction Automation and Robotics Practices in Indonesian Construction State-Owned Enterprises: Position in Project Life Cycle, Gap to Best Practice and Potential Uses</t>
  </si>
  <si>
    <t>Step-1 note: Indonesian CAR review; DT not core</t>
  </si>
  <si>
    <t>10.1007/s44150-023-00098-5</t>
  </si>
  <si>
    <t>Lee, M.S et al. (2023)</t>
  </si>
  <si>
    <t>A Study on the Implement of AI-based Integrated Smart Fire Safety (ISFS) System in Public Facility</t>
  </si>
  <si>
    <t>AI-based Integrated Smart Fire Safety (ISFS) system for public facilities (Dongguk U, IJHRB 2023): AIoT hardware + wireless network + intelligent SW platform (Builder for DT modelling, Watch for real-time control via physical-virtual synchronisation, Simulator for agent-based scenario verification); CCTV-linked intelligent image analysis, ALTERA routing engine, variable location-guidance devices and DT virtual fencing; accredited test results and verification at multiple site types (factories, department stores, underground malls). Twin control platform drives variable guidance devices (virtual-to-physical) -&gt; Tier 3; no learning loop described. [Full-text source: browser-oa]</t>
  </si>
  <si>
    <t>Deploys an accredited AIoT + DT platform (Builder/Watch/Simulator) with variable guidance devices and virtual fencing across multiple public facilities.</t>
  </si>
  <si>
    <t>Performance metrics mostly from accredited tests summarised briefly; algorithmic details of ALTERA partial; learning/adaptation absent.</t>
  </si>
  <si>
    <t>AIoT sensing, CCTV image analysis and the DT platform are fused for variable guidance control.</t>
  </si>
  <si>
    <t>Step-1 note: AI+DT smart fire safety system for public facilities | Coded from Step-3 deep-read markdown (Prompt B), imported 2026-09-30</t>
  </si>
  <si>
    <t>10.21022/IJHRB.2023.12.3.225</t>
  </si>
  <si>
    <t>Hong, C et al. (2022)</t>
  </si>
  <si>
    <t>An Integrated Intelligent Approach for Monitoring and Management of a Deep Foundation Pit in a Subway Station</t>
  </si>
  <si>
    <t>Integrated intelligent approach for monitoring and management of deep foundation pit in a subway station (Shenzhen Metro Line 12 Waterlands Resort East Station): on-site geological investigation + 3D transparent geology on BIM platform; multi-source sensing (MEMS, BOFDA distributed optical fiber, laser radar, UAV, machine vision) for pit axial force/displacement/strain/temperature; BIM-based intelligent monitoring platform (proprietary cast modeling cloud platform); four ML neural networks predict key pit parameters - GA-BP achieved smallest error on this project; DT app terminal with 3D visualization, full-lifecycle monitoring, predictive analysis + AR combining BIM 3D model with real tunnel scenario. One-way monitoring to prediction to risk management; no actuation, no learning loop. [Full-text source: 04c-port]</t>
  </si>
  <si>
    <t>Fills the scarcity of whole-lifecycle intelligent monitoring for deep foundation pits with an integrated approach at Waterlands Resort East Station on Shenzhen Metro Line 12: three-dimensional transparent geology, MEMS, BOFDA distributed fiber, UAV and machine vision sensing, four neural network predictors with GA-BP performing best, plus a BIM monitoring platform and Unity3D digital twin app with AR for construction and maintenance phases.</t>
  </si>
  <si>
    <t>The monitoring platform currently covers only the foundation pit construction stage, and the app runs only on Android with compatibility still needing improvement; sensor stability differences make the multi-source fusion platform costly and time-consuming, and no explicit future work section is provided beyond these stated gaps.</t>
  </si>
  <si>
    <t>Multi-source sensing (MEMS, BOFDA distributed optical fibre, laser radar, UAV, machine vision) feeds four neural-network predictors on the BIM platform, which the paper itself calls a multi-source fusion platform.</t>
  </si>
  <si>
    <t>Step-1 note: Integrated intelligent monitoring of deep foundation pit | Coded from Step-3 deep-read markdown (Prompt B), imported 2026-09-30 | Prior matrix (v260816) verification note retained in 3_Change_Log</t>
  </si>
  <si>
    <t>10.3390/s22228737</t>
  </si>
  <si>
    <t>Talmaki, S.A et al. (2022)</t>
  </si>
  <si>
    <t>Sensor Acquisition and Allocation for Real-Time Monitoring of Articulated Construction Equipment in Digital Twins</t>
  </si>
  <si>
    <t>Sensor acquisition and allocation for real-time monitoring of articulated construction equipment in digital twins (U Michigan): orientation sensors on backhoe loader boom/stick/bucket → real-time 3D DT visualization + proximity monitoring with preset safety thresholds → audio-visual warnings for operators; proof-of-concept for excavator operators preventing underground utility strikes; validation experiments characterize spatio-temporal discrepancies. One-way monitoring→DT visualization→warnings; no actuation and no learning loop. [Full-text source: 04c-port]</t>
  </si>
  <si>
    <t>Addresses the micro-level gap of mapping live articulated-equipment motion into digital twins: orientation sensors (XSens MTw) on the boom, stick and bucket of a Caterpillar 430E IT backhoe drive forward-kinematic updates of a 3D twin with proximity monitoring, achieving a 0.06 m mean separation error with 0.05 m standard deviation in 15 configurations and testing audio-visual warnings against 2.0-3.0 m safety buffers.</t>
  </si>
  <si>
    <t>Validation used a stationary backhoe in an indoor facility with a flat virtual ground model, bucket geometric differences and 0.5-degree sensor accuracy causing discrepancies; safety-buffer penetration rose with operating speed (15 to 68 percent), so dynamic tolerance zones, linear encoders, operator training, and extension to cranes, dump trucks and graders are identified as future work.</t>
  </si>
  <si>
    <t>Only orientation-sensor data (XSens MTw on boom, stick and bucket) drive the forward-kinematic DT updates; vision references in the text are background literature, not an implemented data source.</t>
  </si>
  <si>
    <t>Step-1 note: Sensor allocation for real-time equipment DTs; strike avoidance | Coded from Step-3 deep-read markdown (Prompt B), imported 2026-09-30 | Prior matrix (v260816) verification note retained in 3_Change_Log</t>
  </si>
  <si>
    <t>10.3390/s22197635</t>
  </si>
  <si>
    <t>Wang, T et al. (2025)</t>
  </si>
  <si>
    <t>AI and Digital Twin for Consumer Electronics in Smart Cities</t>
  </si>
  <si>
    <t>Step-1 note: Consumer electronics DT smart cities; generic</t>
  </si>
  <si>
    <t>10.1109/MCE.2024.3444312</t>
  </si>
  <si>
    <t>Jauhari, K et al. (2024)</t>
  </si>
  <si>
    <t>Building digital-twin virtual machining for milling chatter detection based on VMD, synchro-squeeze wavelet, and pre-trained network CNNs with vibration signals</t>
  </si>
  <si>
    <t>Step-1 note: Milling chatter DT virtual machining; manufacturing</t>
  </si>
  <si>
    <t>10.1007/s10845-023-02195-0</t>
  </si>
  <si>
    <t>Popov, I et al. (2024)</t>
  </si>
  <si>
    <t>Digital twin model of a large scale hot molten metal ladle pouring system</t>
  </si>
  <si>
    <t>Step-1 note: Hot metal ladle pouring DT; steelmaking</t>
  </si>
  <si>
    <t>10.1007/s00170-024-13739-w</t>
  </si>
  <si>
    <t>Moztarzadeh, O et al. (2023)</t>
  </si>
  <si>
    <t>Metaverse and Medical Diagnosis: A Blockchain-Based Digital Twinning Approach Based on MobileNetV2 Algorithm for Cervical Vertebral Maturation</t>
  </si>
  <si>
    <t>Step-1 note: Dentistry metaverse DT; healthcare</t>
  </si>
  <si>
    <t>10.3390/diagnostics13081485</t>
  </si>
  <si>
    <t>Liu, Z et al. (2022)</t>
  </si>
  <si>
    <t>Digital twin–based testing process management for large and complex equipment components</t>
  </si>
  <si>
    <t>Step-1 note: DT test process management LCEC; manufacturing</t>
  </si>
  <si>
    <t>10.1007/s00170-022-09475-8</t>
  </si>
  <si>
    <t>Sartaj, H et al. (2024)</t>
  </si>
  <si>
    <t>Model-based digital twins of medicine dispensers for healthcare IoT applications</t>
  </si>
  <si>
    <t>Step-1 note: Medicine dispenser DTs; healthcare</t>
  </si>
  <si>
    <t>10.1002/spe.3311</t>
  </si>
  <si>
    <t>AbdulLateef, O et al. (2024)</t>
  </si>
  <si>
    <t>An association rule mining model for the application of construction technologies during COVID-19</t>
  </si>
  <si>
    <t>Step-1 note: ARM construction tech COVID; DT keyword only</t>
  </si>
  <si>
    <t>10.1080/15623599.2023.2212420</t>
  </si>
  <si>
    <t>Speiser, K et al. (2024)</t>
  </si>
  <si>
    <t>Automatic creation of personalised virtual construction safety training in digital twins</t>
  </si>
  <si>
    <t>Step-1 note: Personalised virtual construction safety training in DTs | Full text not coded: Endnote candidate(s) found but identity not verified</t>
  </si>
  <si>
    <t>10.1680/jmapl.23.00104</t>
  </si>
  <si>
    <t>Benedetti, A.C et al. (2022)</t>
  </si>
  <si>
    <t>The Process of Digitalization of the Urban Environment for the Development of Sustainable and Circular Cities: A Case Study of Bologna, Italy</t>
  </si>
  <si>
    <t>Step-1 note: Bologna urban regeneration GIS; no DT</t>
  </si>
  <si>
    <t>10.3390/su142113740</t>
  </si>
  <si>
    <t>Jiang, W et al. (2022)</t>
  </si>
  <si>
    <t>Digital twin: Stability analysis for tower crane hoisting safety with a scale model</t>
  </si>
  <si>
    <t>DT framework of human-machine hoisting (tower crane, HUST): 1/30 physical scale model (sensors at 20 Hz) as physical entity + synchronous virtual model (FEM, BIM, component IDA) + IoT data flow for real-time dynamic stability analysis; four unsafe hoisting behaviors (vertical/tilt/sudden braking/unloading) compared (scale model vs simulation vs real-model simulation); collapse-probability level function ranks tilt hoisting as most dangerous, foundation/mast most vulnerable for sensor deployment. Lab scale-model experiment; warning to operator via threshold but no actuation and no learning loop (monitoring system design is future work). [Full-text source: 04c-port]</t>
  </si>
  <si>
    <t>Addresses the scarcity of experimental knowledge on unsafe hoisting behavior effects: a human-machine interaction DT built on a 1/30 scale tower crane with 20 Hz sensors synchronizes virtual FEM and BIM models through IoT data flow, and incremental dynamic load analysis yields collapse probability levels (TCL, FCL, MCL, JCL, CCL, RCL) showing tilt hoisting as most dangerous with foundation and masts most vulnerable.</t>
  </si>
  <si>
    <t>Results come from a laboratory scale model under simplified single-behavior conditions; sensor data agree with the virtual model in trend but differ in magnitude due to material property differences. Combined environmental loads and other unsafe behaviors, tower crane structural changes, and component influence weights during instability remain future work, and the unsafe hoisting monitoring system is only planned, not built.</t>
  </si>
  <si>
    <t>Twenty-Hz scale-model sensors (displacement, tilt etc.) stream through IoT into synchronous FEM/BIM/IDA virtual models that compute real-time dynamic stability analysis and collapse-probability levels.</t>
  </si>
  <si>
    <t>Step-1 note: Scale-model DT for tower crane hoisting stability safety | Coded from Step-3 deep-read markdown (Prompt B), imported 2026-09-30 | Prior matrix (v260816) verification note retained in 3_Change_Log</t>
  </si>
  <si>
    <t>10.1016/j.autcon.2022.104257</t>
  </si>
  <si>
    <t>Zhong, X et al. (2022)</t>
  </si>
  <si>
    <t>A multidisciplinary approach to the development of digital twin models of critical care delivery in intensive care units</t>
  </si>
  <si>
    <t>Step-1 note: ICU critical care DT; healthcare</t>
  </si>
  <si>
    <t>10.1080/00207543.2021.2022235</t>
  </si>
  <si>
    <t>Liu, Z et al. (2020)</t>
  </si>
  <si>
    <t>Intelligent tensioning method for prestressed cables based on digital twins and artificial intelligence</t>
  </si>
  <si>
    <t>Intelligent tensioning method for prestressed cables via DT + AI integration (Beijing U Tech): fusion mechanism of DTs and AI for intelligent tensioning; multi-dimensional/multi-scale modeling for visualization; AI control center with closed-loop control framework; sensing equipment + intelligent algorithms for high-fidelity twin model and safety performance evaluation; enables dynamic perception, real-time processing, intelligent diagnosis, and intelligent decision-making. Closed-loop control framework → Tier 3; no learning loop (AI is control/decision, not self-improving). [Full-text source: 04c-port]</t>
  </si>
  <si>
    <t>Moves digital twin application beyond reflecting reality toward virtual control of reality for cable tensioning: a fusion mechanism of digital twins and AI with multi-dimensional and multi-scale twin agents, a DBN (RBM pretraining plus BP fine-tuning) predicting cable forces, and a 1:10 wheel-spoke cable truss test where twin correction against sensor strain cut cable-force errors to within 3 percent and DBN-based safety levels guided maintenance under quarter-span live load.</t>
  </si>
  <si>
    <t>The system is demonstrated only on a 1:10 scale test model rather than a full-scale project, and the authors acknowledge intelligent tensioning research is still preliminary with the DBN trained on historical mining data. Further work calls for deeper digital twin and AI integration and improved information collection and communication for whole-process tensioning control.</t>
  </si>
  <si>
    <t>Sensor strain measurements correct the twin (cutting cable-force errors to within 3%) and a DBN predicts cable forces, so the safety-evaluation output depends on measured and model streams simultaneously.</t>
  </si>
  <si>
    <t>Step-1 note: DT+AI intelligent tensioning of prestressed cables | Coded from Step-3 deep-read markdown (Prompt B), imported 2026-09-30 | Prior matrix (v260816) verification note retained in 3_Change_Log</t>
  </si>
  <si>
    <t>10.3390/s20247006</t>
  </si>
  <si>
    <t>Hu, X et al. (2024)</t>
  </si>
  <si>
    <t>An intelligent BIM-enabled digital twin framework for real-time structural health monitoring using wireless IoT sensing, digital signal processing, and structural analysis</t>
  </si>
  <si>
    <t>BIM-enabled digital twin framework for real-time structural health monitoring (NJIT): wireless IoT sensing (strain gauges, laser displacement) + digital signal processing (WT with sym4 kernel optimal) + structural analysis domain knowledge; sensor data interpolation in Revit for visualization of structural behaviors at different locations; DT updating frequency of 5 Hz; validated on prototyped structural frame under bending forces. One-way monitoring→visualization→decision support; no actuation and no learning loop (interpolation is static mapping). [Full-text source: 04c-port]</t>
  </si>
  <si>
    <t>Addresses offline processing, uncertain sensor data quality and missing structural-analysis knowledge in BIM-based SHM with a digital twin framework tested on a prototyped aluminum frame at NJIT: Robot Structural Analysis guides sensor placement, Raspberry Pi sensing with strain gauge and laser distance sensor, wavelet sym4 denoising (threshold 25, level 6), and Revit Dynamo color-coded deformation visualization refreshing at 5 Hz from one sensor via bending-moment interpolation.</t>
  </si>
  <si>
    <t>The strain interpolation requires predefined mathematical representations and fails for live loads with moving locations; only tensile strain is monitored, not shear or torsion, and validation used a small-scale frame in a controlled environment, so the authors will run full-scale laboratory and field tests with additional sensors.</t>
  </si>
  <si>
    <t>Strain-gauge and laser-distance sensor readings are mapped onto BIM elements through Revit Dynamo interpolation, sharing the BIM frame while each sensor channel is processed separately.</t>
  </si>
  <si>
    <t>Step-1 note: BIM-enabled DT framework for real-time SHM | Coded from Step-3 deep-read markdown (Prompt B), imported 2026-09-30 | Prior matrix (v260816) verification note retained in 3_Change_Log</t>
  </si>
  <si>
    <t>10.1016/j.eswa.2024.124204</t>
  </si>
  <si>
    <t>Gu, J et al. (2023)</t>
  </si>
  <si>
    <t>A Metaverse-Based Teaching Building Evacuation Training System With Deep Reinforcement Learning</t>
  </si>
  <si>
    <t>Step-1 note: Metaverse evacuation training; DT one enabling tech | Prior matrix (v260816) verification note retained in 3_Change_Log</t>
  </si>
  <si>
    <t>10.1109/TSMC.2022.3231299</t>
  </si>
  <si>
    <t>Anna, Z et al. (2021)</t>
  </si>
  <si>
    <t>State regulation of the IoT in the Russian Federation: Fundamentals and challenges</t>
  </si>
  <si>
    <t>Step-1 note: IoT state regulation Russia; generic</t>
  </si>
  <si>
    <t>10.11591/ijece.v11i5.pp4542-4549</t>
  </si>
  <si>
    <t>Lyu, C et al. (2024)</t>
  </si>
  <si>
    <t>Digital twin modeling method for lithium-ion batteries based on data-mechanism fusion driving</t>
  </si>
  <si>
    <t>Step-1 note: Lithium-ion battery DT; energy storage</t>
  </si>
  <si>
    <t>10.1016/j.geits.2024.100162</t>
  </si>
  <si>
    <t>Ali, T (2025)</t>
  </si>
  <si>
    <t>AI-DRIVEN IOT-ENABLED UAV INSPECTION FRAMEWORK FOR PREDICTIVE MAINTENANCE AND SUSTAINABLE OPERATIONS IN DESALINATION PLANTS</t>
  </si>
  <si>
    <t>Step-1 note: Desalination plant UAV inspection; industrial</t>
  </si>
  <si>
    <t>10.5121/ijcnc.2025.17308</t>
  </si>
  <si>
    <t>Henriksen, H.J et al. (2023)</t>
  </si>
  <si>
    <t>A New Digital Twin for Climate Change Adaptation, Water Management, and Disaster Risk Reduction (HIP Digital Twin)</t>
  </si>
  <si>
    <t>Step-1 note: HIP hydrological DT Denmark; hydrology</t>
  </si>
  <si>
    <t>10.3390/w15010025</t>
  </si>
  <si>
    <t>DeFelipe, I et al. (2022)</t>
  </si>
  <si>
    <t>Towards a Digital Twin of the Earth System: Geo-Soft-CoRe, a Geoscientific Software &amp; Code Repository</t>
  </si>
  <si>
    <t>Step-1 note: Earth system DT software repository; earth science</t>
  </si>
  <si>
    <t>10.3389/feart.2022.828005</t>
  </si>
  <si>
    <t>Mishra, N et al. (2025)</t>
  </si>
  <si>
    <t>EDGE EMPOWERED DIGITAL TWIN ARCHITECTURE FOR REAL-TIME STRUCTURAL HEALTH MONITORING OF SMART BRIDGES</t>
  </si>
  <si>
    <t>Edge-empowered digital twin architecture for real-time bridge SHM (Kalinga U, Archives for Technical Sciences 2025): IoT + edge + cloud decentralised scheme; autoencoder-based anomaly detection compares reconstructed vs measured sensor data at the edge to flag structural problems and initiate maintenance actions; evaluated on five indicators (accuracy, processing time, energy, scalability, false-alarm rate) and reported better than traditional SHM. Architecture-level evaluation without a full real-bridge deployment; no actuation, no learning loop. [Full-text source: browser-oa]</t>
  </si>
  <si>
    <t>Edge placement of autoencoder anomaly detection lowers latency/energy and false alarms versus cloud-only SHM, with explicit five-indicator evaluation.</t>
  </si>
  <si>
    <t>Evaluation appears architectural/simulated without a full bridge deployment; autoencoder training data and false-alarm statistics limited.</t>
  </si>
  <si>
    <t>Edge-processed sensor streams and the autoencoder reconstruction are fused into one anomaly decision.</t>
  </si>
  <si>
    <t>Step-1 note: Edge-empowered DT for real-time SHM of smart bridges | Coded from Step-3 deep-read markdown (Prompt B), imported 2026-09-30</t>
  </si>
  <si>
    <t>10.70102/afts.2025.1834.178</t>
  </si>
  <si>
    <t>Sun, Z et al. (2025)</t>
  </si>
  <si>
    <t>Data and Knowledge-Driven Bridge Digital Twin Modeling for Smart Operation and Maintenance</t>
  </si>
  <si>
    <t>Data and knowledge-driven bridge digital twin modeling (DK-DTM) framework for smart O&amp;M (Beijing U Tech): multi-source data collection + spatiotemporal modeling + expert knowledge reasoning; real-time data from spatial/temporal models; expert knowledge model for automated structural health assessment; supports monitoring, prediction, and decision-making for efficient maintenance. One-way monitoring→assessment→decision support; no actuation and no learning loop (expert knowledge is rule-based, not learning). [Full-text source: 04c-port]</t>
  </si>
  <si>
    <t>Fills the gap between data-driven bridge SHM and expert knowledge: the DK-DTM framework combines UAV imagery processed by YOLOv8, LiDAR point clouds processed by PointNet, and LSTM-forecast sensor series with a fuzzy-logic expert knowledge base and rule engine, applied to the 612 m Hedong Bridge where it found a 12 mm mid-span displacement and early-stage fatigue risks.</t>
  </si>
  <si>
    <t>Validation is limited to the Hedong Bridge case with no reported quantitative accuracy for the detection and prediction models; real-time performance depends on multi-source data integration speed, machine-learning robustness depends on training data quality, and uncertain expert rules complicate knowledge base construction; future work includes advanced ML algorithms and automatic knowledge-base selection per bridge type.</t>
  </si>
  <si>
    <t>YOLOv8 UAV imagery, PointNet LiDAR point clouds and LSTM-forecast sensor series are combined through a fuzzy-logic expert knowledge base whose rules assess structural health over all three outputs.</t>
  </si>
  <si>
    <t>Step-1 note: Data-knowledge driven bridge DT for smart O&amp;M | Coded from Step-3 deep-read markdown (Prompt B), imported 2026-09-30 | Prior matrix (v260816) verification note retained in 3_Change_Log</t>
  </si>
  <si>
    <t>10.3390/app15010231</t>
  </si>
  <si>
    <t>Kalla, M et al. (2024)</t>
  </si>
  <si>
    <t>Station biophilia–assessing the perception of greenery on railway platforms using a digital twin</t>
  </si>
  <si>
    <t>Step-1 note: Station greenery perception via DT; not DfS/DfQ</t>
  </si>
  <si>
    <t>10.1080/09613218.2023.2219792</t>
  </si>
  <si>
    <t>Tsai, R.-G et al. (2021)</t>
  </si>
  <si>
    <t>Automation Tool for Home Fire Safety Check</t>
  </si>
  <si>
    <t>Step-1 note: Home fire safety check automation; DT keyword only</t>
  </si>
  <si>
    <t>10.1109/LSENS.2021.3124800</t>
  </si>
  <si>
    <t>Ugliotti, F.M et al. (2023)</t>
  </si>
  <si>
    <t>Enhancing Risk Analysis toward a Landscape Digital Twin Framework: A Multi-Hazard Approach in the Context of a Socio-Economic Perspective</t>
  </si>
  <si>
    <t>Landscape digital twin framework for multi-hazard risk analysis (Politecnico di Torino, Sustainability 2023): matrix framework relating road network to flood and landslide scenarios from open-source data; risk-score maps and origin-destination graphs quantify accessibility changes to facilities under scenarios; socio-economic perspective; validated on the Piedmont Region road network. Static GIS-based methodological setup (real-time enrichment aspirational); no actuation, no learning loop. [Full-text source: browser-oa]</t>
  </si>
  <si>
    <t>Open-source multi-hazard landscape twin with risk-score maps and OD matrices quantifies socio-economic accessibility loss in the Piedmont region.</t>
  </si>
  <si>
    <t>Static GIS workflows; scenario realism depends on open-data quality; no live monitoring integration demonstrated.</t>
  </si>
  <si>
    <t>Flood/landslide hazard layers, road-network and socio-economic data are fused into risk-score maps.</t>
  </si>
  <si>
    <t>Step-1 note: Landscape DT framework for multi-hazard road network risk | Coded from Step-3 deep-read markdown (Prompt B), imported 2026-09-30</t>
  </si>
  <si>
    <t>10.3390/su151612429</t>
  </si>
  <si>
    <t>Kyvelou, P et al. (2022)</t>
  </si>
  <si>
    <t>Numerical simulation and evaluation of the world's first metal additively manufactured bridge</t>
  </si>
  <si>
    <t>Step-1 note: MX3D bridge FE simulation; DT potential only</t>
  </si>
  <si>
    <t>10.1016/j.istruc.2022.06.012</t>
  </si>
  <si>
    <t>Jamshidi, M et al. (2024)</t>
  </si>
  <si>
    <t>CNN-FL for Biotechnology Industry Empowered by Internet-of-BioNano Things and Digital Twins</t>
  </si>
  <si>
    <t>Step-1 note: CNN-FL biotech DTs; biotechnology</t>
  </si>
  <si>
    <t>10.1109/IOTM.001.2400081</t>
  </si>
  <si>
    <t>Atencio, E et al. (2024)</t>
  </si>
  <si>
    <t>Integrating Web-Based Weather Data into Building Information Modeling Models through Robot Process Automation</t>
  </si>
  <si>
    <t>Step-1 note: RPA weather data into BIM; DT context only</t>
  </si>
  <si>
    <t>10.3390/app14199109</t>
  </si>
  <si>
    <t>Torrecilla-García, J.A et al. (2021)</t>
  </si>
  <si>
    <t>Overall introduction to the framework of BIM-based digital twinning in decision-making in safety management in building construction industry</t>
  </si>
  <si>
    <t>Step-1 note: BIM-based DT for OHS decision-making in construction | Coded from Step-3 deep-read markdown (Prompt B), imported 2026-09-30 | Prior matrix (v260816) verification note retained in 3_Change_Log</t>
  </si>
  <si>
    <t>10.37610/DYO.V0I74.600</t>
  </si>
  <si>
    <t>Zhu, B et al. (2023)</t>
  </si>
  <si>
    <t>An information model for highway operational risk management based on the IFC-Brick schema</t>
  </si>
  <si>
    <t>Step-1 note: IFC-Brick highway risk information model; DT enabling</t>
  </si>
  <si>
    <t>10.1016/j.ijtst.2022.12.004</t>
  </si>
  <si>
    <t>Brucherseifer, E et al. (2021)</t>
  </si>
  <si>
    <t>Digital Twin conceptual framework for improving critical infrastructure resilience; [Rahmenkonzept für Digitale Zwillinge zur Verbesserung der Resilienz kritischer Infrastrukturen]</t>
  </si>
  <si>
    <t>Step-1 note: DT conceptual framework for generic critical infrastructure | Prior matrix (v260816) verification note retained in 3_Change_Log</t>
  </si>
  <si>
    <t>10.1515/auto-2021-0104</t>
  </si>
  <si>
    <t>He, Y et al. (2024)</t>
  </si>
  <si>
    <t>Reliable simulation analysis for high-temperature inrush water hazard based on the digital twin model of tunnel geological environment</t>
  </si>
  <si>
    <t>DT of the tunnel geological environment for high-temperature water-inrush simulation (SWJTU, TUST 2024): voxel structure integrates multi-field attributes (stress, seepage, temperature); Gaussian-Process geological modelling fuses multi-source geophysical prediction data (TSP, TEM, IP, GPR); GP-Differential-Evolution back-analysis calibrates environment parameters; validated on a 230-m-burial ultra-high-temperature inrush tunnel in China and corroborated by tunnel monitoring data, supporting dynamic optimisation design and safety prevention during construction. One-way data-&gt;twin-&gt;simulation/safety measures; no actuation, no learning loop. [Full-text source: Endnote]</t>
  </si>
  <si>
    <t>Fills the multi-physics simulation gap for water inrush under incomplete data: GP geological modelling over TSP/TEM/IP/GPR data plus GP-DE back-analysis calibrates a voxel DT validated on a 230-m high-temperature tunnel, corroborated by monitoring data.</t>
  </si>
  <si>
    <t>Validated on one tunnel section; GP-DE back-analysis cost and convergence are not bounded, and the coupling of stress-seepage-temperature fields relies on voxel simplification; long-term updates with new excavation data not shown.</t>
  </si>
  <si>
    <t>TSP/TEM/IP/GPR multi-source geophysical data are fused by Gaussian-Process modelling into one voxel geological twin, calibrated via GP-DE back-analysis.</t>
  </si>
  <si>
    <t>Step-1 note: Tunnel water inrush hazard DT simulation | Coded from Step-3 deep-read markdown (Prompt B), imported 2026-09-30</t>
  </si>
  <si>
    <t>10.1016/j.tust.2024.106110</t>
  </si>
  <si>
    <t>Digital Twin-Assisted Fuzzy Logic-Inspired Intelligent Approach for Flood Prediction</t>
  </si>
  <si>
    <t>Step-1 note: Flood prediction fuzzy DT; hydrology</t>
  </si>
  <si>
    <t>10.1109/JSEN.2023.3322535</t>
  </si>
  <si>
    <t>Liu, Z et al. (2021)</t>
  </si>
  <si>
    <t>Digital twin-based safety risk coupling of prefabricated building hoisting</t>
  </si>
  <si>
    <t>DT-based safety risk coupling framework for prefabricated building hoisting (Beijing U Tech, Sensors 2021): integrates IoT + BIM with Apriori algorithm (association-rule mining among hoisting risk factors) + complex network analysis of risk-factor coupling relationships, built as a DT coupling model; real-time perception and virtual-real interaction of multi-source hoisting information, with BIM visual display to guide on-site hoisting; validated on a large-scale prefabricated project, identifying key control factors. One-way monitoring/analysis→visual guidance for managers; no actuation and no learning loop (early-warning uses mined rules, not self-updating). [Full-text source: 04c-port]</t>
  </si>
  <si>
    <t>Fills the coupling-analysis vacancy in hoisting safety: a digital twin framework combining IoT and BIM with Apriori association-rule mining (support 0.5, confidence 0.6, lift-ranked rules) mapped into a weighted complex network whose degree centrality identifies key risk nodes such as illegal operation and poor safety-protection wearing, validated on a large prefabricated project using 26 days of integrated site records.</t>
  </si>
  <si>
    <t>Validation data samples are acknowledged as insufficient, the mined rules lack an intelligent evaluation system, and single-project results cannot transfer to other projects without recalibration; no automated control loop is implemented. Future work integrates this coupling method with other prefabricated hoisting safety twin services.</t>
  </si>
  <si>
    <t>Twenty-six days of integrated multi-source site records are jointly mined by Apriori association rules and complex-network analysis to identify risk-factor coupling relationships.</t>
  </si>
  <si>
    <t>Step-1 note: DT-based hoisting safety risk coupling for prefab buildings | Coded from Step-3 deep-read markdown (Prompt B), imported 2026-09-30 | Prior matrix (v260816) verification note retained in 3_Change_Log</t>
  </si>
  <si>
    <t>10.3390/s21113583</t>
  </si>
  <si>
    <t>Pan, X et al. (2024)</t>
  </si>
  <si>
    <t>Assessing and forecasting collective urban heat exposure with smart city digital twins</t>
  </si>
  <si>
    <t>Step-1 note: Urban heat exposure smart city DT; not DfS/DfQ</t>
  </si>
  <si>
    <t>10.1038/s41598-024-59228-8</t>
  </si>
  <si>
    <t>Jiang, L et al. (2023)</t>
  </si>
  <si>
    <t>Intelligent control of building fire protection system using digital twins and semantic web technologies</t>
  </si>
  <si>
    <t>Intelligent control of building fire protection (BFP) system using DT + semantic web technologies (SJTU): BFP ontology fuses static BIM geometric info + dynamic IoT sensing data into DT data model; rule model activates process model (workflow engine) for intelligent control mechanisms; DT data model synced with physical space; fire accident simulation case study demonstrates rapid response and evacuation facilitation; semantic web enables information acquisition/extraction/verification/update. Bidirectional — rule model triggers process model → physical actuation → Tier 3; no ML learning loop (rule-based control). [Full-text source: 04c-port]</t>
  </si>
  <si>
    <t>Fills the gap between BIM and IoT fire monitoring and closed-loop fire protection control: a BFP ontology fuses static BIM geometry with dynamic IoT sensing data into a DT data model, and rule models plus BPMN process models execute intelligent control with update rules keeping virtual and physical spaces synchronized. Three scenarios, sprinkler, fire door, and smoke control, were verified through FDS simulation.</t>
  </si>
  <si>
    <t>Only verified by fire accident simulation; on-site experiments are still needed. The approach assumes IoT terminal data are fully obtainable and well processed, and only three basic fire protection scenarios are investigated. Future work covers a unified hardware-software platform for validation, more fire protection scenarios refined by domain experts, and extension to other system control tasks such as active seismic response control.</t>
  </si>
  <si>
    <t>The BFP ontology fuses static BIM geometry with dynamic IoT sensing data into one DT data model, on which rule models trigger BPMN process models for fire-protection control.</t>
  </si>
  <si>
    <t>Step-1 note: DT + semantic web intelligent control of building fire protection | Coded from Step-3 deep-read markdown (Prompt B), imported 2026-09-30 | Prior matrix (v260816) verification note retained in 3_Change_Log</t>
  </si>
  <si>
    <t>10.1016/j.autcon.2022.104728</t>
  </si>
  <si>
    <t>Sukuvaara, T et al. (2024)</t>
  </si>
  <si>
    <t>Work-in-Progress Report: Intelligent Traffic Road Weather and Safety Services for Heavy Vehicles</t>
  </si>
  <si>
    <t>Step-1 note: Heavy vehicle road weather services; vehicles</t>
  </si>
  <si>
    <t>10.3390/vehicles6040100</t>
  </si>
  <si>
    <t>Gong, X et al. (2021)</t>
  </si>
  <si>
    <t>Digital twin driven airflow intelligent control system for the air outlet of heading face; [数字孪生驱动的掘进工作面出风口风流智能调控系统]</t>
  </si>
  <si>
    <t>Step-1 note: Heading face airflow DT; mining + Chinese journal</t>
  </si>
  <si>
    <t>10.13225/j.cnki.jccs.2020.0963</t>
  </si>
  <si>
    <t>Li, C et al. (2023)</t>
  </si>
  <si>
    <t>Intelligent Monitoring Platform and Application for Building Energy Using Information Based on Digital Twin</t>
  </si>
  <si>
    <t>Step-1 note: Building energy use monitoring DT; energy focus</t>
  </si>
  <si>
    <t>10.3390/en16196839</t>
  </si>
  <si>
    <t>Wang, J et al. (2023)</t>
  </si>
  <si>
    <t>Research on coal mine safety management based on digital twin</t>
  </si>
  <si>
    <t>Step-1 note: Coal mine safety DT; mining</t>
  </si>
  <si>
    <t>10.1016/j.heliyon.2023.e13608</t>
  </si>
  <si>
    <t>Blomfors, M et al. (2020)</t>
  </si>
  <si>
    <t>Incorporation of pre-existing longitudinal cracks in finite element analyses of corroded reinforced concrete beams failing in anchorage</t>
  </si>
  <si>
    <t>Step-1 note: Corroded RC beam FE cracks; DT keyword only</t>
  </si>
  <si>
    <t>10.1080/15732479.2020.1782444</t>
  </si>
  <si>
    <t>Zhang, Y et al. (2024)</t>
  </si>
  <si>
    <t>Research on Building Process Optimization Framework Based on BIM-DT</t>
  </si>
  <si>
    <t>Building process optimization framework based on BIM-DT (whole lifecycle: survey/design, construction preparation, construction, O&amp;M): integrates data management system + BIM modelling system + digital twin model with real-time feedback; in the empirical study the construction phase data management system is built and a BP neural network is used for construction fault diagnosis (avg 99% accuracy vs CNN 90.23%, SVM 89.19%, PSO 88.35%; 9 fault types incl. construction joints, grouting, pouring sequence). One-way monitoring→fault diagnosis/safety; framework is partly conceptual (stage integration with BIM-DT model not described in detail — acknowledged), no actuation and no learning loop. [Full-text source: 04c-port]</t>
  </si>
  <si>
    <t>Builds a whole-lifecycle construction process optimization framework integrating a data management system, BIM modelling system, and Flexsim digital twin across survey, design, construction, and operation phases, feeding detected problems back to the BIM model to eliminate information islands. A BP neural network diagnoses eight construction fault types with 99 percent average accuracy versus 90.23, 89.19, and 88.35 percent for CNN, SVM, and PSO baselines.</t>
  </si>
  <si>
    <t>The framework is mostly conceptual; the paper does not describe in detail how each construction stage integrates and upgrades with the BIM-DT model, and the empirical study covers only the construction phase. Future research will focus on applying each stage of the framework in practice.</t>
  </si>
  <si>
    <t>A BP neural network is trained on construction-phase data to diagnose nine fault types (construction joints, grouting, pouring sequence), so diagnosis depends on multiple input channels simultaneously.</t>
  </si>
  <si>
    <t>Step-1 note: BIM-DT building process optimization framework | Coded from Step-3 deep-read markdown (Prompt B), imported 2026-09-30 | Prior matrix (v260816) verification note retained in 3_Change_Log</t>
  </si>
  <si>
    <t>10.17559/TV-20240115001267</t>
  </si>
  <si>
    <t>Gao, Y et al. (2024)</t>
  </si>
  <si>
    <t>Bridge Digital Twin for Practical Bridge Operation and Maintenance by Integrating GIS and BIM</t>
  </si>
  <si>
    <t>Integrated bridge DT system (Cardiff U): combines WebGIS (Cesium), WebBIM (Xeokit), and graph algorithms (Neo4j) in a three-layer architecture with a common data environment (CDE); enables real-time monitoring, drone-enabled inspection, maintenance planning, traffic diversion, and logistics optimization; adaptive data structure with JSON-based bridge defect information modeling and triple-based roadmap graphs; SHM system flags structural issues and triggers alerts/traffic redirection; defects from drone inspection inform maintenance planning. One-way monitoring→analysis→decision support; no actuation and no learning loop. [Full-text source: 04c-port]</t>
  </si>
  <si>
    <t>Integrates WebGIS (Cesium), WebBIM (Xeokit) and graph algorithms (Neo4j) in a three-layer bridge DT with a common data environment, JSON-based defect modeling and triple-based roadmap graphs, enabling real-time monitoring, drone inspection, traffic diversion and maintenance planning; validated on the River Neath Swing Bridge with regional operation and individual maintenance case studies.</t>
  </si>
  <si>
    <t>Defect information modeling relies on custom JSON files that lack extensibility, and the multi-module stack risks cross-platform compatibility issues as functionality grows. Future work targets redefining defect and damage data in IFC format, improving cross-platform interoperability and scalability for more advanced bridge DT applications.</t>
  </si>
  <si>
    <t>WebGIS (Cesium), WebBIM (Xeokit) and Neo4j graph algorithms are integrated in a three-layer architecture with a common data environment, spatially linking GIS, BIM and defect data for the River Neath Swing Bridge.</t>
  </si>
  <si>
    <t>Step-1 note: Bridge DT integrating GIS+BIM for O&amp;M | Coded from Step-3 deep-read markdown (Prompt B), imported 2026-09-30 | Prior matrix (v260816) verification note retained in 3_Change_Log</t>
  </si>
  <si>
    <t>10.3390/buildings14123731</t>
  </si>
  <si>
    <t>Teizer, J et al. (2024)</t>
  </si>
  <si>
    <t>Relationship between Subcontracting Models and Adoption of Innovative Methods in Construction Safety</t>
  </si>
  <si>
    <t>Step-1 note: Subcontracting and safety innovation; DT keyword only</t>
  </si>
  <si>
    <t>10.1061/JLADAH.LADR-1050</t>
  </si>
  <si>
    <t>Skvortsova, I.V et al. (2025)</t>
  </si>
  <si>
    <t>INTEGRATING ARTIFICIAL INTELLIGENCE INTO THE ARCTIC ECONOMY: PROSPECTS FOR RUSSIAN-CHINESE COOPERATION; [ИНТЕГРАЦИЯ ИСКУССТВЕННОГО ИНТЕЛЛЕКТА В ЭКОНОМИКУ АРКТИКИ: ПЕРСПЕКТИВЫ РОССИЙСКО-КИТАЙСКОГО СОТРУДНИЧЕСТВА]</t>
  </si>
  <si>
    <t>Step-1 note: Arctic AI economy; Russian journal</t>
  </si>
  <si>
    <t>10.37614/2220-802X.4.2025.90.010</t>
  </si>
  <si>
    <t>Martelli, M et al. (2021)</t>
  </si>
  <si>
    <t>An Outlook on the Future Marine Traffic Management System for Autonomous Ships</t>
  </si>
  <si>
    <t>Step-1 note: Future marine traffic management; marine</t>
  </si>
  <si>
    <t>10.1109/ACCESS.2021.3130741</t>
  </si>
  <si>
    <t>Szybicki, D et al. (2024)</t>
  </si>
  <si>
    <t>Application of Digital Twins in Designing Safety Systems for Robotic Stations</t>
  </si>
  <si>
    <t>Step-1 note: DT safety systems robotic stations; manufacturing</t>
  </si>
  <si>
    <t>10.3390/electronics13214179</t>
  </si>
  <si>
    <t>Yuan, Z et al. (2023)</t>
  </si>
  <si>
    <t>Fault data generation of lithium ion batteries based on digital twin: A case for internal short circuit</t>
  </si>
  <si>
    <t>Step-1 note: Battery fault data DT; energy storage</t>
  </si>
  <si>
    <t>10.1016/j.est.2023.107113</t>
  </si>
  <si>
    <t>Wang, X et al. (2024)</t>
  </si>
  <si>
    <t>Parallel Driving with Big Models and Foundation Intelligence in Cyber–Physical–Social Spaces</t>
  </si>
  <si>
    <t>Step-1 note: Parallel driving CAVs; vehicles</t>
  </si>
  <si>
    <t>10.34133/research.0349</t>
  </si>
  <si>
    <t>Zhou, J et al. (2022)</t>
  </si>
  <si>
    <t>Revisiting digital twins: Origins, fundamentals, and practices</t>
  </si>
  <si>
    <t>Step-1 note: Revisiting DTs origins; generic, not AECO</t>
  </si>
  <si>
    <t>10.1007/s42524-022-0216-2</t>
  </si>
  <si>
    <t>Li, M et al. (2024)</t>
  </si>
  <si>
    <t>Digital twin-enabled collision early warning system for marine piling: Application to a wharf project in China</t>
  </si>
  <si>
    <t>Step-1 note: DT collision early warning for marine piling wharf | Full text not coded: Endnote candidate(s) found but identity not verified</t>
  </si>
  <si>
    <t>10.1016/j.aei.2023.102269</t>
  </si>
  <si>
    <t>Chen, W et al. (2024)</t>
  </si>
  <si>
    <t>Intelligent Parking Service System Design Based on Digital Twin for Old Residential Areas</t>
  </si>
  <si>
    <t>Step-1 note: Intelligent parking DT; not DfS/DfQ</t>
  </si>
  <si>
    <t>10.3390/electronics13234597</t>
  </si>
  <si>
    <t>Shao, F et al. (2022)</t>
  </si>
  <si>
    <t>Intelligent overall planning model of underground space based on digital twin</t>
  </si>
  <si>
    <t>Intelligent overall planning model of underground space based on digital twin (Qingdao U): analytic hierarchy process for relative weight vector + Bayesian network for safety accident risk assessment; five-dimensional DT model for visualization and disaster prevention monitoring; real-time monitoring and analysis of underground space data; conceptual model with no DT built or validated; no actuation and no learning loop. [Full-text source: 04c-port]</t>
  </si>
  <si>
    <t>Builds an intelligent overall planning model for underground space using a five-dimensional digital twin, analytic hierarchy process with variable weights and a Bayesian network for safety accident risk assessment; twin-based construction simulation yields a maximum column-bottom settlement of 21.897 mm and adjacent column differential of 2.886 mm, within code limits, and fire-scene imaging experiments show fused short-wave plus long-wave infrared equipment performs best under dense smoke.</t>
  </si>
  <si>
    <t>All evidence comes from simulations and idealized models rather than a deployed sensor network, so real-time underground monitoring is asserted but not demonstrated; risk assessment uses assumed probabilities, and the authors note insufficient equipment and data collection delayed earlier intelligent planning. No explicit future work or limitations section is provided beyond these points.</t>
  </si>
  <si>
    <t>An AHP + Bayesian-network underground-space planning model is presented with five-dimensional DT visualisation, but all evidence comes from simulations and assumed probabilities, with no deployed sensor network.</t>
  </si>
  <si>
    <t>Step-1 note: DT-based underground space planning with disaster warning | Coded from Step-3 deep-read markdown (Prompt B), imported 2026-09-30 | Prior matrix (v260816) verification note retained in 3_Change_Log</t>
  </si>
  <si>
    <t>10.1016/j.compeleceng.2022.108393</t>
  </si>
  <si>
    <t>Almatared, M et al. (2024)</t>
  </si>
  <si>
    <t>Digital-Twin-Based Fire Safety Management Framework for Smart Buildings</t>
  </si>
  <si>
    <t>Four-layer DT-based fire-safety framework (physical/virtual/application/user-interaction) with explicit feedback "integrated back with the physical building layer for automatic control"; validated only via FM-professional questionnaire, no technical test; AI learning cited from literature, not implemented. [Full-text source: 04c-port]</t>
  </si>
  <si>
    <t>Addresses the underexplored application of DT to fire safety management: a four-layer framework (physical building, virtual building, application, and user interaction layers) combining BIM, IoT, AI, data fusion, blockchain, and AR, with virtual-layer decisions fed back to the physical building layer for automatic control and operation optimization while keeping FM professionals in the loop.</t>
  </si>
  <si>
    <t>Conceptual only: the framework was validated through a thematic analysis of 37 studies and a survey of FM professionals (66 responses, 28 complete) rather than a live implementation; no prototype or sensor deployment is reported. Future work includes a Delphi study with a broader panel and involving firefighters as end users.</t>
  </si>
  <si>
    <t>Four-layer fire-safety framework validated only through a thematic analysis and an FM-professional questionnaire; the layer integration mechanism is not implemented.</t>
  </si>
  <si>
    <t>Step-1 note: DT-based fire safety management framework for smart buildings | Coded from Step-3 deep-read markdown (Prompt B), imported 2026-09-30 | Prior matrix (v260816) verification note retained in 3_Change_Log</t>
  </si>
  <si>
    <t>10.3390/buildings14010004</t>
  </si>
  <si>
    <t>Assadzadeh, A et al. (2023)</t>
  </si>
  <si>
    <t>Excavator 3D pose estimation using deep learning and hybrid datasets</t>
  </si>
  <si>
    <t>Step-1 note: Excavator pose estimation; DT as data source only</t>
  </si>
  <si>
    <t>10.1016/j.aei.2023.101875</t>
  </si>
  <si>
    <t>Harode, A et al. (2023)</t>
  </si>
  <si>
    <t>A TOOL-BASED SYSTEM ARCHITECTURE FOR A DIGITAL TWIN: A CASE STUDY IN A HEALTHCARE FACILITY</t>
  </si>
  <si>
    <t>Step-1 note: Healthcare facility DT architecture; not DfS/DfQ</t>
  </si>
  <si>
    <t>10.36680/J.ITCON.2023.006</t>
  </si>
  <si>
    <t>Chacón, R et al. (2024)</t>
  </si>
  <si>
    <t>Digital twinning of building construction processes. Case study: A reinforced concrete cast-in structure</t>
  </si>
  <si>
    <t>Step-1 note: Construction process DT pipelines; general monitoring | Prior matrix (v260816) verification note retained in 3_Change_Log</t>
  </si>
  <si>
    <t>10.1016/j.jobe.2024.108522</t>
  </si>
  <si>
    <t>Torres, J et al. (2024)</t>
  </si>
  <si>
    <t>Building Digital Twins to Overcome Digitalization Barriers for Automating Construction Site Management</t>
  </si>
  <si>
    <t>Building Digital Twin Platform (BDTP) architecture to overcome digitalization barriers for automating construction site management (TECNALIA, DSR + PDCA + Living Labs): diagnoses on-site inefficiencies and barriers via questionnaires/interviews; proposes standardized BPMN workflows with the DT as a service-oriented actor, modelling five cross-cutting domains (progress monitoring, quality control, OHS, equipment control, production planning) with digital/human agents connected via APIs; property-graph data model and use cases. Conceptual framework only — implementation, KPIs and AI/ML are "in the long-term"/future ("could be seamlessly implemented"); no deployed data link, no learning loop. [Full-text source: 04c-port]</t>
  </si>
  <si>
    <t>Fills the gap between conceptual digital twins and on-site construction management: a Design Science Research study, grounded in the H2020 BIM2TWIN project, uses Living Lab questionnaires and interviews to rank on-site inefficiencies and digitalization barriers, then derives PDCA-classified user requirements and standardized BPMN workflows covering progress monitoring, quality control, health and safety, equipment control, and production planning.</t>
  </si>
  <si>
    <t>Remains a conceptual architecture with no implemented platform, live sensor link, or field validation; real-time data acquisition, AI-driven knowledge extraction, and closed-loop correction are described only as future scenarios. Authors propose multi-site BDT portfolios with a broker, a Digital Twin Federator across city-scale DTs, and KPIs feeding automated learning as future work.</t>
  </si>
  <si>
    <t>The BDTP architecture with BPMN workflows and digital/human agents connected via APIs is a Design-Science conceptual framework; implementation, KPIs and AI/ML are future work.</t>
  </si>
  <si>
    <t>Step-1 note: Building DT platform automating site management incl. OHS/QC | Coded from Step-3 deep-read markdown (Prompt B), imported 2026-09-30 | Prior matrix (v260816) verification note retained in 3_Change_Log</t>
  </si>
  <si>
    <t>10.3390/buildings14072238</t>
  </si>
  <si>
    <t>Futai, M.M et al. (2022)</t>
  </si>
  <si>
    <t>Challenges in the application of digital transformation to inspection and maintenance of bridges</t>
  </si>
  <si>
    <t>Step-1 note: Bridge inspection digital transformation challenges; DT one element</t>
  </si>
  <si>
    <t>10.1080/15732479.2022.2063908</t>
  </si>
  <si>
    <t>Lewis, R.H et al. (2024)</t>
  </si>
  <si>
    <t>Fire and smoke digital twin – A computational framework for modeling fire incident outcomes</t>
  </si>
  <si>
    <t>Step-1 note: Fire and smoke DT; public health air quality focus</t>
  </si>
  <si>
    <t>10.1016/j.compenvurbsys.2024.102093</t>
  </si>
  <si>
    <t>Galvan-Nunez, S et al. (2025)</t>
  </si>
  <si>
    <t>Digital Twin Vision for Freight Railroads: A Case Study in North America</t>
  </si>
  <si>
    <t>Vision/review paper (IEEE TITS 2025): reviews DT concepts in the North American freight-railroad industry and presents the vision of implementation layers for a DT of the FAST (Facility for Accelerated Service Testing) loop plus current efforts toward that vision. No digital twin is actually built or evaluated in the paper; methodological detail is about the vision architecture only. P=No, R=No -&gt; Stage-2 exclude. [Full-text source: Endnote]</t>
  </si>
  <si>
    <t>Step-1 note: DT vision and case study for freight railroads safety | Stage-2 exclusion basis: P=No; R=No | Coded from Step-3 deep-read markdown (Prompt B), imported 2026-09-30</t>
  </si>
  <si>
    <t>10.1109/TITS.2025.3575006</t>
  </si>
  <si>
    <t>Wang, J et al. (2024)</t>
  </si>
  <si>
    <t>Development and validation of graphics-based digital twin framework for UAV-aided post-earthquake inspection of high-rise buildings</t>
  </si>
  <si>
    <t>Graphics-based digital twin (GBDT) framework for UAV-aided post-earthquake inspection of high-rise buildings (Guangzhou U/UIUC): FE model + photorealistic computer graphics (CG) model; CG model automatically imports structural components from FE model + adds nonstructural components; GBDT used to evaluate UAV flight schemes for inspection; FE analysis determines earthquake-induced damage locations; three UAV inspection schemes implemented virtually to select best. Static DT for inspection planning — no live data link, no actuation, no learning loop. [Full-text source: 04c-port]</t>
  </si>
  <si>
    <t>Fills the gap between image-only damage inspection and system-level planning: the graphics-based digital twin couples a SAP2000 finite element model with a photorealistic Blender computer graphics model of a 45-floor Guangzhou tower, validated against UAV photogrammetry point clouds, and uses earthquake damage hotspots plus environmental constraints to compare three UAV flight schemes, recommending a parallel path that stays within battery life.</t>
  </si>
  <si>
    <t>A static, offline virtual testbed without live data or actuation; the optimal flight scheme conclusion is case-specific and simplified, damage comes from assumed seismic analysis, and no automated damage detection is yet implemented. Future development includes component-level FE analysis, part and texture libraries for automated CG modeling, multi-UAV path planning, and machine-learning damage detection trained on synthetic images.</t>
  </si>
  <si>
    <t>The FE model and the photorealistic CG model share one imported building geometry (SAP2000 to Blender), so the two model types are aligned by component, while UAV flight-scheme evaluation runs on the coupled model.</t>
  </si>
  <si>
    <t>Step-1 note: Graphics-based DT for UAV post-earthquake inspection | Coded from Step-3 deep-read markdown (Prompt B), imported 2026-09-30 | Prior matrix (v260816) verification note retained in 3_Change_Log</t>
  </si>
  <si>
    <t>10.1002/tal.2127</t>
  </si>
  <si>
    <t>Ali, S et al. (2023)</t>
  </si>
  <si>
    <t>Metaverse in Healthcare Integrated with Explainable AI and Blockchain: Enabling Immersiveness, Ensuring Trust, and Providing Patient Data Security</t>
  </si>
  <si>
    <t>Step-1 note: Metaverse healthcare; healthcare</t>
  </si>
  <si>
    <t>10.3390/s23020565</t>
  </si>
  <si>
    <t>Liu, L et al. (2024)</t>
  </si>
  <si>
    <t>Construction and simulation analysis of lithium-ion batteries thermoelectric coupling model based on digital twin</t>
  </si>
  <si>
    <t>Step-1 note: Battery thermoelectric DT; energy storage</t>
  </si>
  <si>
    <t>10.1049/rpg2.12823</t>
  </si>
  <si>
    <t>Akdag, E et al. (2024)</t>
  </si>
  <si>
    <t>Geo-spatial traffic behaviour analysis and anomaly detection for ITS applications</t>
  </si>
  <si>
    <t>Step-1 note: Traffic behaviour ITS; transportation</t>
  </si>
  <si>
    <t>10.1049/itr2.12591</t>
  </si>
  <si>
    <t>Bryan, H.C et al. (2023)</t>
  </si>
  <si>
    <t>Remote nuclear microreactors: a preliminary economic evaluation of digital twins and centralized offsite control</t>
  </si>
  <si>
    <t>Step-1 note: Nuclear microreactor DT economics; nuclear</t>
  </si>
  <si>
    <t>10.3389/fnuen.2023.1293908</t>
  </si>
  <si>
    <t>Wu, Z et al. (2022)</t>
  </si>
  <si>
    <t>A Novel Method for Tunnel Digital Twin Construction and Virtual-Real Fusion Application</t>
  </si>
  <si>
    <t>Tunnel digital twin construction and virtual-real fusion application (China Academy of Transportation Sciences): BIM technology constructs static tunnel scene model; 3D registration/projection integrates multi-channel surveillance video into 3D virtual scene in real time; multi-source sensing data fused for traffic flow, accident rescue, facility management, emergency response; management model for tunnel operations. One-way monitoring→virtual-real fusion→management; no actuation and no learning loop. [Full-text source: 04c-port]</t>
  </si>
  <si>
    <t>Fills the gap of fragmented tunnel surveillance video, separation of video and business data, and missing two- and three-dimensional linkage in tunnel digital operations: a BIM static scene model fused in real time with multi-channel surveillance video through 3D registration and projection plus multi-source IoT sensing data, demonstrated on a tunnel in China for traffic flow, accident rescue, facility management, and emergency response.</t>
  </si>
  <si>
    <t>Camera position and attitude must be calibrated one by one, two-way interaction between the virtual and real models is not yet realized, and the video data structure algorithm lacks integration; field cameras have low resolution and incomplete coverage. Future work includes online data-driven 3D scene updates, data-driven traffic operation simulations, and predictive deduction.</t>
  </si>
  <si>
    <t>Multi-channel surveillance video is fused into the BIM static scene through 3D registration and projection, and multi-source IoT sensing data are integrated into the same scene for tunnel operations management.</t>
  </si>
  <si>
    <t>Step-1 note: Tunnel DT construction and virtual-real fusion maintenance | Coded from Step-3 deep-read markdown (Prompt B), imported 2026-09-30 | Prior matrix (v260816) verification note retained in 3_Change_Log</t>
  </si>
  <si>
    <t>10.3390/electronics11091413</t>
  </si>
  <si>
    <t>Xia, J et al. (2024)</t>
  </si>
  <si>
    <t>A digital twin-driven approach for partial domain fault diagnosis of rotating machinery</t>
  </si>
  <si>
    <t>Step-1 note: Rotating machinery fault diagnosis DT; machinery</t>
  </si>
  <si>
    <t>10.1016/j.engappai.2024.107848</t>
  </si>
  <si>
    <t>Sindi, A et al. (2024)</t>
  </si>
  <si>
    <t>Advancing digital healthcare engineering for aging ships and offshore structures: An in-depth review and feasibility analysis</t>
  </si>
  <si>
    <t>Step-1 note: Aging ships digital healthcare; marine</t>
  </si>
  <si>
    <t>10.1017/dce.2024.14</t>
  </si>
  <si>
    <t>Lei, Y et al. (2023)</t>
  </si>
  <si>
    <t>Research and Application of the Obstacle Avoidance System for High-Speed Railway Tunnel Lining Inspection Train Based on Integrated 3D LiDAR and 2D Camera Machine Vision Technology</t>
  </si>
  <si>
    <t>Step-1 note: Tunnel lining inspection obstacle avoidance; no DT</t>
  </si>
  <si>
    <t>10.3390/app13137689</t>
  </si>
  <si>
    <t>Digital Twins-Based Impact Response Prediction of Prestressed Steel Structure</t>
  </si>
  <si>
    <t>DT-based impact response prediction of prestressed steel structures (Beijing U Tech): high-fidelity DT from 3D laser scanning + BIM + FE simulation; improved BP algorithm predicts structural impact response; perception/transmission/analysis/service layers; validated on prestressed steel structure experiment. One-way monitoring→prediction→safety assessment; no actuation and no learning loop (BP is offline-trained). [Full-text source: 04c-port]</t>
  </si>
  <si>
    <t>Addresses the lack of efficient impact response prediction tools for structure O and M: a high-fidelity digital twin combining BIM, 3D laser scanning and ANSYS/LS-DYNA simulation, with an improved LM-BP neural network (14 inputs, 5 outputs) trained on 219 drop-hammer working conditions, achieving R of 0.99293 in training and 0.98766 in testing with 99.7 percent overall accuracy, versus 48 hours of physical testing.</t>
  </si>
  <si>
    <t>The model outputs single data points of peak cable force and displacement, not time-history responses, and is trained offline without online updating; 5G real-time transmission stability for large structures is an open challenge. Future research covers big data technologies for O and M data and integration with health monitoring and maintenance policy services.</t>
  </si>
  <si>
    <t>BIM, 3D laser scanning and ANSYS/LS-DYNA share one high-fidelity twin geometry, while the improved BP predictor is trained offline on FE working-condition samples and field data serve verification only.</t>
  </si>
  <si>
    <t>Step-1 note: DTs+ML impact response prediction of prestressed steel structure | Coded from Step-3 deep-read markdown (Prompt B), imported 2026-09-30 | Prior matrix (v260816) verification note retained in 3_Change_Log</t>
  </si>
  <si>
    <t>10.3390/s22041647</t>
  </si>
  <si>
    <t>Arowoiya, V.A et al. (2024)</t>
  </si>
  <si>
    <t>Driving Factors for the Adoption of Digital Twin Technology Implementation for Construction Project Performance in Nigeria</t>
  </si>
  <si>
    <t>Step-1 note: DT adoption drivers Nigeria; not DfS/DfQ | Prior matrix (v260816) verification note retained in 3_Change_Log</t>
  </si>
  <si>
    <t>10.1061/JCEMD4.COENG-13659</t>
  </si>
  <si>
    <t>Liu, Y et al. (2023)</t>
  </si>
  <si>
    <t>A digital twin-based framework for simulation and monitoring analysis of floating wind turbine structures</t>
  </si>
  <si>
    <t>Step-1 note: Floating wind turbine DT; energy</t>
  </si>
  <si>
    <t>10.1016/j.oceaneng.2023.115009</t>
  </si>
  <si>
    <t>Pham, C.V et al. (2024)</t>
  </si>
  <si>
    <t>BIM and TLS Point Cloud Integration for Information Management of Underground Coal Mines: A Case Study in Nui Beo Underground Coal Mining in Vietnam</t>
  </si>
  <si>
    <t>Step-1 note: BIM+TLS underground coal mine; mining</t>
  </si>
  <si>
    <t>10.1007/s12205-024-0247-9</t>
  </si>
  <si>
    <t>Pracucci, A (2024)</t>
  </si>
  <si>
    <t>Designing Digital Twin with IoT and AI in Warehouse to Support Optimization and Safety in Engineer-to-Order Manufacturing Process for Prefabricated Building Products</t>
  </si>
  <si>
    <t>Design methodology for a warehouse digital twin in engineer-to-order manufacturing (Focchi S.p.A., Applied Sciences 2024): in-depth stakeholder/user-requirement analysis of the Focchi warehouse defines how BIM + IoT + AI would support outdoor warehouse optimization and worker safety, but the paper states preliminary testing results are not yet available - no DT is implemented or evaluated. P=No, R=No -&gt; Stage-2 exclude. [Full-text source: browser-oa]</t>
  </si>
  <si>
    <t>Step-1 note: DT design for ETO prefab warehouse optimization and safety | Stage-2 exclusion basis: P=No; R=No | Coded from Step-3 deep-read markdown (Prompt B), imported 2026-09-30</t>
  </si>
  <si>
    <t>10.3390/app14156835</t>
  </si>
  <si>
    <t>Kaewunruen, S et al. (2024)</t>
  </si>
  <si>
    <t>Digital twins for managing bridge climate change adaptation</t>
  </si>
  <si>
    <t>Step-1 note: Bridge climate adaptation 6D BIM; DT future; climate focus</t>
  </si>
  <si>
    <t>10.12688/openreseurope.17809.2</t>
  </si>
  <si>
    <t>Brehmer-Hine, T et al. (2024)</t>
  </si>
  <si>
    <t>Modelling a Geothermal Vaporiser: A First Step Towards a Digital Twin</t>
  </si>
  <si>
    <t>Step-1 note: Geothermal vaporiser model; energy</t>
  </si>
  <si>
    <t>10.1016/B978-0-443-28824-1.50032-6</t>
  </si>
  <si>
    <t>Wang, W et al. (2023)</t>
  </si>
  <si>
    <t>Data information processing of traffic digital twins in smart cities using edge intelligent federation learning</t>
  </si>
  <si>
    <t>Step-1 note: Traffic DT edge FL; transportation</t>
  </si>
  <si>
    <t>10.1016/j.ipm.2022.103171</t>
  </si>
  <si>
    <t>Mohammad, A.A et al. (2024)</t>
  </si>
  <si>
    <t>Using Digital Twin Technology to Conduct Dynamic Simulation of Industry-Education Integration; [Uso de la tecnología de gemelos digitales para realizar una simulación dinámica de la integración de la industria y la educación]</t>
  </si>
  <si>
    <t>Digital Twin-based Construction Safety Training Framework (DT-CSTF) with AI (Data and Metadata 2024): Unity game engine builds a VR training environment prototype that incorporates BIM, construction schedules and safety requirements; user data on risks collected and tailored feedback provided; automated VR training scenarios generated from project intent/status/safety history. Evaluation is via effectiveness ratios (96.90%-99.25%) for training/cost/monitoring/behaviour/education; no live site link, no actuation. [Full-text source: browser-oa]</t>
  </si>
  <si>
    <t>VR safety training prototype built in Unity that auto-generates scenarios from DT project intent/status/safety-history data, with reported effectiveness ratios above 95%.</t>
  </si>
  <si>
    <t>VR prototype evaluation percentages lack methodological detail; no live construction-site data link demonstrated.</t>
  </si>
  <si>
    <t>BIM, schedules, safety requirements and DT history data are fused to auto-generate VR training scenarios.</t>
  </si>
  <si>
    <t>Step-1 note: DT-CSTF construction safety training with AI/VR | Coded from Step-3 deep-read markdown (Prompt B), imported 2026-09-30</t>
  </si>
  <si>
    <t>10.56294/dm2024422</t>
  </si>
  <si>
    <t>Dresia, K et al. (2023)</t>
  </si>
  <si>
    <t>AUTOMATION OF TESTING AND FAULT DETECTION FOR ROCKET ENGINE TEST FACILITIES WITH MACHINE LEARNING</t>
  </si>
  <si>
    <t>Step-1 note: Rocket engine test facility ML; aerospace</t>
  </si>
  <si>
    <t>10.1615/IntJEnergeticMaterialsChemProp.2023047195</t>
  </si>
  <si>
    <t>Haghshenas, A et al. (2023)</t>
  </si>
  <si>
    <t>Predictive digital twin for offshore wind farms</t>
  </si>
  <si>
    <t>Step-1 note: Offshore wind farm predictive DT; energy</t>
  </si>
  <si>
    <t>10.1186/s42162-023-00257-4</t>
  </si>
  <si>
    <t>Virtual Fencing for Safety-Critical Cyber-Physical Systems: Computer-Vision Enabled Digital Twins</t>
  </si>
  <si>
    <t>Step-1 note: Virtual fencing EWZ UAV crowd safety; generic CPS</t>
  </si>
  <si>
    <t>10.1109/ACCESS.2025.3581041</t>
  </si>
  <si>
    <t>Shirinyan, E et al. (2024)</t>
  </si>
  <si>
    <t>Large-Scale Solar Potential Analysis in a 3D CAD Framework as a Use Case of Urban Digital Twins</t>
  </si>
  <si>
    <t>Step-1 note: Solar potential 3D CAD; urban DT use case only</t>
  </si>
  <si>
    <t>10.3390/rs16152700</t>
  </si>
  <si>
    <t>Ellul, C et al. (2024)</t>
  </si>
  <si>
    <t>Exploring Data for Construction Digital Twins: Building Health and Safety and Progress Monitoring Twins Using the Unreal Gaming Engine</t>
  </si>
  <si>
    <t>Construction digital twin demonstrators (health &amp; safety + progress monitoring) using Unreal Gaming Engine + CesiumJS mapping on a highway project (Skanska/UCL): location data integrates diverse sources; no-code approach for DT development; two case studies demonstrate 4D data presentation; explicitly described as human-in-the-loop DT (two-way communication with manual decision making) — virtual model changes reflect real-world changes, and humans act back on the physical site via decisions. Predictive capabilities discussed but not implemented; no learning loop. [Full-text source: 04c-port]</t>
  </si>
  <si>
    <t>Demonstrates location-enabled construction digital twins on a live Skanska highway project, building health and safety and progress monitoring twins in Unreal Engine 5 with CesiumJS georeferencing. The health and safety twin delivers site walk-throughs, clickable asset inspection records, color-coded hazard and risk boxes, and 1-metre danger-zone alerts around machinery built with no-code Blueprints.</t>
  </si>
  <si>
    <t>The prototypes are proof of concept: only a small subset of live sensor data was explored, no analytics or prediction were incorporated, asset placement was manual with positional errors up to 1 metre, and no formal usability tests were run. Future work includes automated progress quantification, live worker tracking with wearables, analytics, data security and Datasmith scalability trials.</t>
  </si>
  <si>
    <t>Location-enabled twins georeference diverse data sources through CesiumJS and place them in Unreal Engine scenes, linking hazard boxes and asset inspection records to site coordinates.</t>
  </si>
  <si>
    <t>Step-1 note: Unreal Engine twins for H&amp;S and progress monitoring | Coded from Step-3 deep-read markdown (Prompt B), imported 2026-09-30 | Prior matrix (v260816) verification note retained in 3_Change_Log</t>
  </si>
  <si>
    <t>10.3390/buildings14072216</t>
  </si>
  <si>
    <t>Kaewunruen, S et al. (2021)</t>
  </si>
  <si>
    <t>Digital twin aided vulnerability assessment and risk-based maintenance planning of bridge infrastructures exposed to extreme conditions</t>
  </si>
  <si>
    <t>Digital twin aided vulnerability assessment and risk-based maintenance planning of bridges (Birmingham, Sustainability 2021): case study of Zhongcheng Village Bridge (Zhejiang, China); DT applications for bridge model establishment, information collection/sharing, data processing and inspection/maintenance planning; integrates DT/BIM with a bridge risk inspection model as an information platform to mitigate risks from extreme weather over the life cycle. BIM/inspection-data platform without a live sensor loop; no actuation, no learning loop. [Full-text source: Endnote]</t>
  </si>
  <si>
    <t>Fills the inspection-efficiency gap in bridge management: the DT/BIM + risk-inspection-model platform (Zhongcheng Village Bridge case) enables risk-based inspection and maintenance planning over the life cycle, mitigating extreme-weather risks.</t>
  </si>
  <si>
    <t>BIM/inspection platform without live sensors; vulnerability assessment depends on inspection records and risk-model assumptions, and the platform is demonstrated on one bridge without quantified maintenance-cost outcomes.</t>
  </si>
  <si>
    <t>BIM model data and inspection/risk-model records are integrated into one bridge information platform for maintenance planning.</t>
  </si>
  <si>
    <t>Step-1 note: DT vulnerability assessment and risk-based bridge maintenance | Coded from Step-3 deep-read markdown (Prompt B), imported 2026-09-30</t>
  </si>
  <si>
    <t>10.3390/su13042051</t>
  </si>
  <si>
    <t>Machaka, V et al. (2024)</t>
  </si>
  <si>
    <t>Comparative analysis of the standalone and Hybrid SDN solutions for early detection of network channel attacks in Industrial Control Systems: A WWTP case study</t>
  </si>
  <si>
    <t>Step-1 note: SDN WWTP cyberattack detection; water ICS</t>
  </si>
  <si>
    <t>10.1016/j.iot.2024.101413</t>
  </si>
  <si>
    <t>Milašinović, M et al. (2023)</t>
  </si>
  <si>
    <t>Failure Conditions Assessment of Complex Water Systems Using Fuzzy Logic</t>
  </si>
  <si>
    <t>Fuzzy-logic failure scenario generator coupled with a system dynamics (SD) model for dam and reservoir system digital twins (Water Resources Management 2023): causal failure generation uses hazard severity and subsystem reliability as fuzzy inputs, producing failure magnitudes on a normalized scale; coupled failure-implementation framework is generic for any DRS; 10-year simulation of the Pirot DRS (Serbia) shows rare hazards + outdated infrastructure can cut performance by 50%, revealing hidden failure risks and supporting maintenance prioritization. Offline what-if simulation (no live data link). [Full-text source: browser-oa]</t>
  </si>
  <si>
    <t>Causal fuzzy failure generator overcomes random-failure practice in dam-reservoir DTs and exposes hidden failure risks (50% performance drop in the Pirot case).</t>
  </si>
  <si>
    <t>SD model fidelity not quantified; fuzzy rules expert-derived; only one DRS case and offline simulation.</t>
  </si>
  <si>
    <t>Hazard severity and subsystem reliability are fused via fuzzy logic into the SD model failure simulation.</t>
  </si>
  <si>
    <t>Step-1 note: DT failure assessment of dam and reservoir systems | Coded from Step-3 deep-read markdown (Prompt B), imported 2026-09-30</t>
  </si>
  <si>
    <t>10.1007/s11269-022-03420-w</t>
  </si>
  <si>
    <t>Fang, Q et al. (2023)</t>
  </si>
  <si>
    <t>Intervention and management of construction workers’ unsafe behavior: A simulation digital twin model</t>
  </si>
  <si>
    <t>Hybrid simulation digital twin model for construction worker unsafe-behavior intervention (Central South U): closed-loop structured model with control panel, proactive management panel, and reactive panel; simulates workers behavioral safety under different intervention strategies using dual-attitude theory and reinforcement theory; proactive management maintains behavioral safety longer than reactive management. Simulation model only - no live data link to a real site, no actuation, no learning loop. [Full-text source: 04c-port]</t>
  </si>
  <si>
    <t>Fills the behavioral-psychology gap in worker unsafe-behavior research by building a closed-loop hybrid simulation digital twin in AnyLogic that couples agent-based, system dynamics and discrete-event models with dual attitude theory and reinforcement learning. Calibrated with 84 valid questionnaires (Cronbach alpha 0.868), experiments with 84 worker agents show proactive management sustains safety after withdrawal while reactive management decays fast.</t>
  </si>
  <si>
    <t>No live site data link; the model is a static simulation whose parameters come from a limited questionnaire sample, and its reliability and predictive capability are acknowledged as weaker than data-driven methods. Authors propose larger samples, EEG and eye-tracking for psychophysiological data, and adding agent-to-agent interactions as future work.</t>
  </si>
  <si>
    <t>Only questionnaire-calibrated agent parameters (84 valid questionnaires, Cronbach alpha 0.868) feed the AnyLogic hybrid simulation; no second measured data type exists.</t>
  </si>
  <si>
    <t>Step-1 note: Simulation DT model of workers unsafe behaviour intervention | Coded from Step-3 deep-read markdown (Prompt B), imported 2026-09-30 | Prior matrix (v260816) verification note retained in 3_Change_Log</t>
  </si>
  <si>
    <t>10.1016/j.aei.2023.102182</t>
  </si>
  <si>
    <t>Longo, G et al. (2023)</t>
  </si>
  <si>
    <t>MaCySTe: A virtual testbed for maritime cybersecurity</t>
  </si>
  <si>
    <t>Step-1 note: Maritime cybersecurity testbed; marine</t>
  </si>
  <si>
    <t>10.1016/j.softx.2023.101426</t>
  </si>
  <si>
    <t>Zhu, X et al. (2023)</t>
  </si>
  <si>
    <t>Fast electrothermal coupling calculation method for supporting digital twin construction of electrical equipment</t>
  </si>
  <si>
    <t>Step-1 note: Electrical equipment electrothermal DT; power</t>
  </si>
  <si>
    <t>10.1049/hve2.12260</t>
  </si>
  <si>
    <t>Kaji, M et al. (2020)</t>
  </si>
  <si>
    <t>Constructing a reliable health indicator for bearings using convolutional autoencoder and continuous wavelet transform</t>
  </si>
  <si>
    <t>Step-1 note: Bearing health indicator CAE; machinery</t>
  </si>
  <si>
    <t>10.3390/app10248948</t>
  </si>
  <si>
    <t>Dañobeitia, J.J et al. (2023)</t>
  </si>
  <si>
    <t>The role of the marine research infrastructures in the European marine observation landscape: present and future perspectives</t>
  </si>
  <si>
    <t>Step-1 note: Marine research infrastructures; marine</t>
  </si>
  <si>
    <t>10.3389/fmars.2023.1047251</t>
  </si>
  <si>
    <t>Zhao, H et al. (2024)</t>
  </si>
  <si>
    <t>Predictive diagnosis of hidden risk for urban lifeline infrastructures driven by digital twin modeling of multisource observations: perspective</t>
  </si>
  <si>
    <t>Perspective article reviewing structural monitoring/evaluation/diagnosis for urban lifeline infrastructures; proposes a conceptual paradigm of integrated structural state-effect DT modeling and predictive diagnosis of hidden risks, and countermeasures for three bottleneck issues (multi-source point monitoring + area detection data fusion). No DT is built or validated and no specific methodology is implemented - R=No -&gt; Stage-2 exclude. [Full-text source: 04c-port]</t>
  </si>
  <si>
    <t>Step-1 note: DT modeling for hidden risk diagnosis of urban lifelines | Stage-2 exclusion basis: P=No; R=No | Coded from Step-3 deep-read markdown (Prompt B), imported 2026-09-30 | Prior matrix (v260816) verification note retained in 3_Change_Log</t>
  </si>
  <si>
    <t>10.55092/sc20240014</t>
  </si>
  <si>
    <t>Irfan, M et al. (2024)</t>
  </si>
  <si>
    <t>Toward Transportation Digital Twin Systems for Traffic Safety and Mobility: A Review</t>
  </si>
  <si>
    <t>Step-1 note: Transportation DT review; transportation</t>
  </si>
  <si>
    <t>10.1109/JIOT.2024.3395186</t>
  </si>
  <si>
    <t>Levine, N.M et al. (2022)</t>
  </si>
  <si>
    <t>Post-Earthquake Building Evaluation Using UAVs: A BIM-Based Digital Twin Framework</t>
  </si>
  <si>
    <t>BIM-based digital twin framework for post-earthquake building evaluation from UAV surveys: BIM guides automatic selection of optimal images per damage-sensitive component; GrabCut+nearest-neighbour segmentation assigns image pixels to BIM components (IoU 0.80–0.90); 3D point-cloud change detection (pre/post) identifies damaged nonstructural walls (std-dev indicator, threshold 0.010, correct at moderate-severe levels); damage tied to BIM to link with fragility curves + structural analysis for global safety. Example 1 = real Turner Hall RC frame; Example 2 = synthetic graphics. Framework not fully validated end-to-end (future PBGM work); one-way inspection pipeline, no learning loop. [Full-text source: 04c-port]</t>
  </si>
  <si>
    <t>Addresses the gap between component-level computer vision damage detection and whole-building post-earthquake safety assessment: a BIM-referenced digital twin where the BIM guides automatic selection of optimal UAV images per damage-sensitive component, GrabCut-based segmentation assigns each pixel to a BIM element (IoU 0.80 to 0.90), and 3D point cloud change detection flags damaged nonstructural components, demonstrated on Turner Hall with 989 images and a synthetic masonry damage environment.</t>
  </si>
  <si>
    <t>The full methodology is not yet demonstrated end to end on a real damaged building; BIM geometry is simplified and alignment errors distort labels near beam-column connections, 3D change detection misses light damage, and no structural analysis is yet integrated. Future work includes physics-based graphics model validation and coupling damage states to pre-earthquake analysis to predict global safety.</t>
  </si>
  <si>
    <t>BIM-guided UAV image selection, GrabCut pixel-to-component assignment (IoU 0.80-0.90) and pre/post 3D point-cloud change detection all operate on one shared BIM reference frame, with per-stage analyses.</t>
  </si>
  <si>
    <t>Step-1 note: BIM-based DT framework for post-earthquake building evaluation | Coded from Step-3 deep-read markdown (Prompt B), imported 2026-09-30 | Prior matrix (v260816) verification note retained in 3_Change_Log</t>
  </si>
  <si>
    <t>10.3390/s22030873</t>
  </si>
  <si>
    <t>Ruangpan, L et al. (2023)</t>
  </si>
  <si>
    <t>Real time control of nature-based solutions: Towards Smart Solutions and digital twins in Rangsit Area, Thailand</t>
  </si>
  <si>
    <t>Step-1 note: Nature-based solutions RTC; hydrology</t>
  </si>
  <si>
    <t>10.1016/j.jenvman.2023.118389</t>
  </si>
  <si>
    <t>Mao, G et al. (2022)</t>
  </si>
  <si>
    <t>The Internet of Things for Smart Roads: A Road Map From Present to Future Road Infrastructure</t>
  </si>
  <si>
    <t>Step-1 note: IoT smart roads roadmap; transportation</t>
  </si>
  <si>
    <t>10.1109/MITS.2021.3115126</t>
  </si>
  <si>
    <t>Liu, A et al. (2024)</t>
  </si>
  <si>
    <t>Digital twins for hand gesture-guided human-robot collaboration systems</t>
  </si>
  <si>
    <t>Step-1 note: Hand gesture HRC DT; manufacturing robotics</t>
  </si>
  <si>
    <t>10.1177/09544054231223783</t>
  </si>
  <si>
    <t>Akanmu, A.A et al. (2021)</t>
  </si>
  <si>
    <t>Towards next generation cyber-physical systems and digital twins for construction</t>
  </si>
  <si>
    <t>Step-1 note: Next-gen CPS/DT for construction position; not DfS focused | Prior matrix (v260816) verification note retained in 3_Change_Log</t>
  </si>
  <si>
    <t>10.36680/j.itcon.2021.027</t>
  </si>
  <si>
    <t>Xie, L et al. (2024)</t>
  </si>
  <si>
    <t>3D City Modeling on Infrastructure Construction Using Digital Twin</t>
  </si>
  <si>
    <t>Step-1 note: 3D city modeling CAD/VR; not DfS/DfQ</t>
  </si>
  <si>
    <t>10.14733/cadaps.2024.S12.1-18</t>
  </si>
  <si>
    <t>Meschini, S et al. (2022)</t>
  </si>
  <si>
    <t>Toward cognitive digital twins using a BIM-GIS asset management system for a diffused university</t>
  </si>
  <si>
    <t>Step-1 note: Cognitive DT BIM-GIS campus asset management; not DfS | Prior matrix (v260816) verification note retained in 3_Change_Log</t>
  </si>
  <si>
    <t>10.3389/fbuil.2022.959475</t>
  </si>
  <si>
    <t>Adeagbo, M.O et al. (2024)</t>
  </si>
  <si>
    <t>Revamping structural health monitoring of advanced rail transit systems: A paradigmatic shift from digital shadows to digital twins</t>
  </si>
  <si>
    <t>Comprehensive literature survey on digital shadows and digital twins for structural health monitoring of advanced rail transit systems (Advanced Engineering Informatics 2024): reviews enablers, capabilities, benefits and bottlenecks, and proposes a DT-based monitoring framework for ARTS, but builds/evaluates no DT itself. P=No, R=No -&gt; Stage-2 exclude. [Full-text source: browser-oa]</t>
  </si>
  <si>
    <t>Step-1 note: Digital shadows to DTs for rail transit SHM survey | Stage-2 exclusion basis: P=No; R=No | Coded from Step-3 deep-read markdown (Prompt B), imported 2026-09-30</t>
  </si>
  <si>
    <t>10.1016/j.aei.2024.102450</t>
  </si>
  <si>
    <t>Qamsane, Y et al. (2022)</t>
  </si>
  <si>
    <t>Open Process Automation- and Digital Twin-Based Performance Monitoring of a Process Manufacturing System</t>
  </si>
  <si>
    <t>Step-1 note: Process manufacturing DT performance; manufacturing</t>
  </si>
  <si>
    <t>10.1109/ACCESS.2022.3179982</t>
  </si>
  <si>
    <t>Hagen, A et al. (2024)</t>
  </si>
  <si>
    <t>Asset management, condition monitoring and Digital Twins: damage detection and virtual inspection on a reinforced concrete bridge</t>
  </si>
  <si>
    <t>Stava bridge (E6, Norway) incident study (SAP/NPRA, SIE 2024): the bridge DT processing IoT sensor data alerted a rapidly developing structural defect, enabling online and offline diagnostics and virtual inspection; physics-based methods combined with machine learning for damage detection and diagnosis; positions SHM and DTs within risk- and condition-based maintenance; damage was detected in time to stop development though not to avoid closure. One-way monitoring-&gt;diagnostics-&gt;human maintenance decisions; no actuation, no learning loop. [Full-text source: Endnote]</t>
  </si>
  <si>
    <t>Fills the diagnostics gap in bridge asset management: the Stava bridge DT alerted a critical defect from IoT data in time to stop its development, and physics+ML diagnostics plus virtual inspection demonstrated risk/condition-based maintenance in practice.</t>
  </si>
  <si>
    <t>Single incident retrospective; the DT alerted but could not prevent the closure, ML damage detection details are partial, and a prospective operational deployment with quantified lead-time gains is not demonstrated.</t>
  </si>
  <si>
    <t>IoT sensor data, physics-based methods and ML are combined in one damage-detection and virtual-inspection pipeline for the bridge.</t>
  </si>
  <si>
    <t>Step-1 note: Stava bridge DT damage detection and virtual inspection | Coded from Step-3 deep-read markdown (Prompt B), imported 2026-09-30</t>
  </si>
  <si>
    <t>10.1080/15732479.2024.2311911</t>
  </si>
  <si>
    <t>Abohassan, M et al. (2024)</t>
  </si>
  <si>
    <t>Leveraging LiDAR-Based Simulations to Quantify the Complexity of the Static Environment for Autonomous Vehicles in Rural Settings</t>
  </si>
  <si>
    <t>Step-1 note: Rural AV LiDAR simulations; vehicles</t>
  </si>
  <si>
    <t>10.3390/s24020452</t>
  </si>
  <si>
    <t>Ji, S.Y (2021)</t>
  </si>
  <si>
    <t>Interactive smart space for single-person households using electroencephalogram through fusion of digital twin and artificial intelligence</t>
  </si>
  <si>
    <t>Step-1 note: EEG smart space DT; emotion control not DfS</t>
  </si>
  <si>
    <t>10.3390/en14227771</t>
  </si>
  <si>
    <t>Luo, J et al. (2025)</t>
  </si>
  <si>
    <t>A perception-powered urban digital twin to support human-centered urban planning and sustainable city development</t>
  </si>
  <si>
    <t>Step-1 note: Perception-powered urban DT planning; not DfS</t>
  </si>
  <si>
    <t>10.1016/j.cities.2024.105473</t>
  </si>
  <si>
    <t>Salvi, A et al. (2022)</t>
  </si>
  <si>
    <t>Cyber-resilience of Critical Cyber Infrastructures: Integrating digital twins in the electric power ecosystem</t>
  </si>
  <si>
    <t>Step-1 note: Cyber-resilience electric power DT; energy</t>
  </si>
  <si>
    <t>10.1016/j.cose.2021.102507</t>
  </si>
  <si>
    <t>Ji, C et al. (2024)</t>
  </si>
  <si>
    <t>A hybrid evolutionary and machine learning approach for smart city planning: Digital twin approach</t>
  </si>
  <si>
    <t>Step-1 note: Smart grid cyber DL framework; energy</t>
  </si>
  <si>
    <t>10.1016/j.seta.2024.103650</t>
  </si>
  <si>
    <t>Li, M et al. (2021)</t>
  </si>
  <si>
    <t>Digital twin-driven virtual sensor approach for safe construction operations of trailing suction hopper dredger</t>
  </si>
  <si>
    <t>Step-1 note: Dredger virtual sensor DT; marine vessel | Prior matrix (v260816) verification note retained in 3_Change_Log</t>
  </si>
  <si>
    <t>10.1016/j.autcon.2021.103961</t>
  </si>
  <si>
    <t>Tang, X et al. (2024)</t>
  </si>
  <si>
    <t>Artificial Intelligence-Powered Digital Twins for Sustainable and Resilient Engineering Structures; [KI gestützte digitale Zwillinge für nachhaltige und widerstandsfähige technische Bauwerke]</t>
  </si>
  <si>
    <t>Step-1 note: AI-powered DT4ENG framework for resilient engineering structures | Full text not coded: Endnote candidate(s) found but identity not verified</t>
  </si>
  <si>
    <t>10.37544/0005-6650-2024-09-36</t>
  </si>
  <si>
    <t>Prajapat, S et al. (2025)</t>
  </si>
  <si>
    <t>Quantum Secure Energy-Efficient Authentication Protocol for Digital Twins-Enabled Transportation Cyber-Physical Systems</t>
  </si>
  <si>
    <t>Step-1 note: Quantum auth protocol transportation DT; transportation</t>
  </si>
  <si>
    <t>10.1109/TITS.2025.3546432</t>
  </si>
  <si>
    <t>Wu, S et al. (2024)</t>
  </si>
  <si>
    <t>Using Eye-Tracking to Measure Worker Situation Awareness in Augmented Reality</t>
  </si>
  <si>
    <t>Step-1 note: Eye-tracking AR situation awareness; DT keyword only</t>
  </si>
  <si>
    <t>10.1016/j.autcon.2024.105582</t>
  </si>
  <si>
    <t>Guo, Y et al. (2024)</t>
  </si>
  <si>
    <t>Efficient distributed association management method of data, model, and knowledge for digital twin railway</t>
  </si>
  <si>
    <t>Distributed association management of data-model-knowledge for digital twin railway (Int. J. Digital Earth 2024): tripartite DMK-Graph model associates temporal/spatial/interactive relationships; global-local graph index mechanism; prototype system validated via a high-temperature safety risk analysis case in railway tunnel engineering with multi-physics field coupling. Association/index infrastructure for DT services (one-way into analyses). [Full-text source: browser-oa]</t>
  </si>
  <si>
    <t>DMK-Graph tripartite model and global-local index give a unified data-model-knowledge association mechanism for digital twin railway, demonstrated on tunnel high-temperature safety analysis.</t>
  </si>
  <si>
    <t>Prototype-level demonstration; index performance at larger scales not reported; multi-physics coupling depth limited to one case.</t>
  </si>
  <si>
    <t>Railway data, models and knowledge are fused through the tripartite graph association index.</t>
  </si>
  <si>
    <t>Step-1 note: Digital twin railway data-model-knowledge association | Coded from Step-3 deep-read markdown (Prompt B), imported 2026-09-30</t>
  </si>
  <si>
    <t>10.1080/17538947.2024.2340089</t>
  </si>
  <si>
    <t>Cheng, G et al. (2025)</t>
  </si>
  <si>
    <t>Monitoring Construction and System Development of Bridge Horizontal Rotation "Traction-rotation"</t>
  </si>
  <si>
    <t>Step-1 note: Bridge horizontal rotation monitoring; Chinese journal</t>
  </si>
  <si>
    <t>10.19721/j.cnki.1001-7372.2025.06.006</t>
  </si>
  <si>
    <t>Campolo, C et al. (2024)</t>
  </si>
  <si>
    <t>An Edge-Based Digital Twin Framework for Connected and Autonomous Vehicles: Design and Evaluation</t>
  </si>
  <si>
    <t>Step-1 note: Edge DT for CAVs; vehicles</t>
  </si>
  <si>
    <t>10.1109/ACCESS.2024.3382001</t>
  </si>
  <si>
    <t>Ammar, A et al. (2024)</t>
  </si>
  <si>
    <t>Practical Application of Digital Twins for Transportation Asset Data Management: Case Example of a Safety Hardware Asset</t>
  </si>
  <si>
    <t>Survey + case study on guiderail data management for a transportation agency: investigates current practices and proposes a data architecture for information-rich analytical models using DTs, but no DT is actually built or evaluated - P=No -&gt; Stage-2 exclude. [Full-text source: 04c-port]</t>
  </si>
  <si>
    <t>Step-1 note: DT for transportation safety hardware asset management | Stage-2 exclusion basis: P=No | Coded from Step-3 deep-read markdown (Prompt B), imported 2026-09-30 | Prior matrix (v260816) verification note retained in 3_Change_Log</t>
  </si>
  <si>
    <t>10.1177/03611981241231804</t>
  </si>
  <si>
    <t>Chauhan, H.S et al. (2023)</t>
  </si>
  <si>
    <t>D2PG: Deep Deterministic Policy Gradient-Based Vehicular Edge Caching Scheme for Digital Twin-Based Vehicular Networks</t>
  </si>
  <si>
    <t>Step-1 note: Vehicular edge caching DT; vehicles</t>
  </si>
  <si>
    <t>10.23940/ijpe.23.05.p7.350358</t>
  </si>
  <si>
    <t>Ma, S et al. (2024)</t>
  </si>
  <si>
    <t>Fast 3D site reconstruction using multichannel dynamic and static object separation</t>
  </si>
  <si>
    <t>Step-1 note: Fast 3D site reconstruction; no DT</t>
  </si>
  <si>
    <t>10.1016/j.autcon.2024.105807</t>
  </si>
  <si>
    <t>Patel, P et al. (2024)</t>
  </si>
  <si>
    <t>Current Benefits of ASCE 75 and its Potential to Affect Digital As-Built Initiatives at State Departments of Transportation</t>
  </si>
  <si>
    <t>Step-1 note: ASCE 75 standard for digital as-builts; DT downstream</t>
  </si>
  <si>
    <t>10.1177/03611981231182961</t>
  </si>
  <si>
    <t>Asadi, A.R et al. (2025)</t>
  </si>
  <si>
    <t>Bits, Bytes, and Bars: Towards a Digital Twin of the US Criminal Justice System</t>
  </si>
  <si>
    <t>Step-1 note: Criminal justice system DT; social domain</t>
  </si>
  <si>
    <t>10.1080/10447318.2025.2452201</t>
  </si>
  <si>
    <t>Vrana, J (2020)</t>
  </si>
  <si>
    <t>NDE Perception and Emerging Reality: NDE 4.0 Value Extraction</t>
  </si>
  <si>
    <t>Step-1 note: NDE 4.0 value extraction; generic industry</t>
  </si>
  <si>
    <t>10.32548/2020.me-04131</t>
  </si>
  <si>
    <t>Stergiopoulos, G et al. (2025)</t>
  </si>
  <si>
    <t>Enhancing Urban Heatwave Response Planning via a Graph-Based Digital Twin Approach: Spatial Dependency Risk Analysis in Vienna City</t>
  </si>
  <si>
    <t>Step-1 note: Urban heatwave graph DT; health response not DfS | Prior matrix (v260816) verification note retained in 3_Change_Log</t>
  </si>
  <si>
    <t>10.1109/ACCESS.2025.3580334</t>
  </si>
  <si>
    <t>Zhou, Y et al. (2025)</t>
  </si>
  <si>
    <t>Real Time Simulation Study of DEH for Digital Twin Steam Turbine Generators</t>
  </si>
  <si>
    <t>Step-1 note: Steam turbine DEH DT; power generation</t>
  </si>
  <si>
    <t>10.1049/gtd2.70119</t>
  </si>
  <si>
    <t>Martinez, V.M.G et al. (2025)</t>
  </si>
  <si>
    <t>Sustainable Intelligent Transportation Systems via Digital Twins: A Contextualized Survey</t>
  </si>
  <si>
    <t>Step-1 note: Sustainable ITS via DTs survey; transportation</t>
  </si>
  <si>
    <t>10.1109/OJITS.2025.3553696</t>
  </si>
  <si>
    <t>Maheshwari, R.U et al. (2024)</t>
  </si>
  <si>
    <t>Assessment of Cybersecurity Risks in Digital Twin Deployments in Smart Cities</t>
  </si>
  <si>
    <t>Step-1 note: Smart city DT cybersecurity risks; generic</t>
  </si>
  <si>
    <t>10.22399/ijcesen.494</t>
  </si>
  <si>
    <t>Ham, Y et al. (2020)</t>
  </si>
  <si>
    <t>Participatory Sensing and Digital Twin City: Updating Virtual City Models for Enhanced Risk-Informed Decision-Making</t>
  </si>
  <si>
    <t>Step-1 note: Participatory sensing toward DT city; step only | Prior matrix (v260816) verification note retained in 3_Change_Log</t>
  </si>
  <si>
    <t>10.1061/(ASCE)ME.1943-5479.0000748</t>
  </si>
  <si>
    <t>Saini, G.S et al. (2022)</t>
  </si>
  <si>
    <t>Intelligent Action Planning for Well Construction Operations Demonstrated for Hole Cleaning Optimization and Automation</t>
  </si>
  <si>
    <t>Step-1 note: Well construction RL DT; oil drilling</t>
  </si>
  <si>
    <t>10.3390/en15155749</t>
  </si>
  <si>
    <t>Zhang, A et al. (2024)</t>
  </si>
  <si>
    <t>Joint detection PCD-based method for automatic construction of geometric digital twin in cable dome structure</t>
  </si>
  <si>
    <t>Joint-detection PCD-based method for automatic construction of geometric digital twin (DS-gDT) in cable dome structures (Beijing U Civil Eng): enhanced target-recognition algorithm with novel shape-estimation model samples minimum point sets to identify structural components; joints determined by component spatial relationships for topological reconstruction of the gDT; validated on scaled cable dome PCD (component segmentation success ~51.5% higher than traditional methods; joint fitting accuracy &gt;99%); enables joint-deviation assessment. Static geometric DT - no live data link, no learning loop. [Full-text source: 04c-port]</t>
  </si>
  <si>
    <t>Fills the gap of an automated geometric digital twin method for cable dome structures: DS-gDT detects joints from point cloud data using a three-point normal cylinder fitting model with radius-constrained sampling and double termination criterion, then rebuilds topology via an adjacency matrix, achieving recognition about 51.5 percent above conventional RANSAC, 20.09 percent efficiency gain and above 99 percent joint-coordinate accuracy on a scaled dome.</t>
  </si>
  <si>
    <t>Static geometric twin only: DS-gDT cannot monitor component stresses or strains or update joint positions in real time, point cloud processing is time-consuming, and clustering accuracy drops when paired regions lack data. Authors plan to extend the method to suspend-dome and reticulated shell structures, build a mechanical twin and quantify how joint deviations affect structural stability.</t>
  </si>
  <si>
    <t>Only point-cloud data drive the DS-gDT joint detection and topology reconstruction; no second measured data type exists.</t>
  </si>
  <si>
    <t>Step-1 note: Joint detection for geometric DT of cable dome structures | AB normalised to code list (source label "Perception / Computer Vision") | Coded from Step-3 deep-read markdown (Prompt B), imported 2026-09-30 | Prior matrix (v260816) verification note retained in 3_Change_Log</t>
  </si>
  <si>
    <t>10.1016/j.engstruct.2024.118908</t>
  </si>
  <si>
    <t>Xie, J et al. (2023)</t>
  </si>
  <si>
    <t>Preliminary research on the operation mode of virtual-real integration in fully-mechanized mining face based on industrial metaverse; [基于工业元宇宙的综采工作面虚实融合运行模式初步探索]</t>
  </si>
  <si>
    <t>Step-1 note: Fully mechanized mining metaverse; mining + Chinese journal</t>
  </si>
  <si>
    <t>10.13199/j.cnki.cst.2022-1864</t>
  </si>
  <si>
    <t>Ayobo-Abongo, D et al. (2025)</t>
  </si>
  <si>
    <t>Generative AI-Assisted Digital Twin for Power Asset Management</t>
  </si>
  <si>
    <t>Step-1 note: GenAI DT power asset management; energy</t>
  </si>
  <si>
    <t>10.1109/MCOM.001.2500155</t>
  </si>
  <si>
    <t>Kampczyk, A et al. (2021)</t>
  </si>
  <si>
    <t>The fundamental approach of the digital twin application in railway turnouts with innovative monitoring of weather conditions</t>
  </si>
  <si>
    <t>Fundamental approach to digital twins for railway turnouts with innovative weather monitoring (Sensors 2021): UbiBot WS1 WIFI logger with external DS18B20 sensor embedded in an S49 (49E1) rail (Tszyn WS1 WIFI) measures rail-head temperature, humidity, ambient temperature and light (Jan-May); confirms the TgCWRII second-temperature-difference indicator for turnout monitoring and positions rail-temperature data as a component of turnout DT condition data. Sensing/data-acquisition foundation only - no twin model built. [Full-text source: browser-oa]</t>
  </si>
  <si>
    <t>Rail-embedded wireless temperature sensing (Tszyn WS1 WIFI) provides the environmental data foundation for turnout digital twins and confirms the TgCWRII indicator.</t>
  </si>
  <si>
    <t>Sensing only - no turnout twin model or geometry integration demonstrated.</t>
  </si>
  <si>
    <t>Rail temperature, humidity, ambient temperature and light are fused into turnout condition monitoring data.</t>
  </si>
  <si>
    <t>Step-1 note: DT for railway turnouts with weather monitoring | Coded from Step-3 deep-read markdown (Prompt B), imported 2026-09-30</t>
  </si>
  <si>
    <t>10.3390/s21175757</t>
  </si>
  <si>
    <t>Hoeft, M et al. (2022)</t>
  </si>
  <si>
    <t>Safety Built Right in: Exploring the Occupational Health and Safety Potential of BIM-Based Platforms throughout the Building Lifecycle</t>
  </si>
  <si>
    <t>Step-1 note: BIM OHS platforms; DT keyword only</t>
  </si>
  <si>
    <t>10.3390/su14106104</t>
  </si>
  <si>
    <t>Park, S et al. (2023)</t>
  </si>
  <si>
    <t>Comparison of Single-Camera-Based Depth Estimation Technology for Digital Twin Model Synchronization of Underground Utility Tunnels</t>
  </si>
  <si>
    <t>Comparison of single-camera depth estimation for digital twin model synchronization of underground utility tunnels (KICT, Applied Sciences 2023): DenseDepth transfer learning vs floor-plan-projection coordinate conversion for locating changed objects from monocular CCTV; coordinate conversion shows 0.23-1.5 m error within 50 m versus 1-3 m for DenseDepth, so it is selected as the synchronization method for disaster-safety DT models. Enabling computer-vision study, no complete twin. [Full-text source: browser-oa]</t>
  </si>
  <si>
    <t>Rigorous comparison shows floor-plan coordinate conversion (0.23-1.5 m error) is suitable for single-CCTV depth estimation in utility tunnels, avoiding costly stereo/depth camera retrofits.</t>
  </si>
  <si>
    <t>Depth estimation alone; object detection/semantics and full DT synchronization not implemented.</t>
  </si>
  <si>
    <t>Monocular CCTV image data alone drives floor-plan-projection depth estimation for model synchronization.</t>
  </si>
  <si>
    <t>Step-1 note: DT model synchronization for underground utility tunnels | Coded from Step-3 deep-read markdown (Prompt B), imported 2026-09-30</t>
  </si>
  <si>
    <t>10.3390/app13042106</t>
  </si>
  <si>
    <t>Fayyad, T.M et al. (2025)</t>
  </si>
  <si>
    <t>A scientometric analysis of drone-based structural health monitoring and new technologies</t>
  </si>
  <si>
    <t>Step-1 note: Drone SHM scientometric; DT one link</t>
  </si>
  <si>
    <t>10.1177/13694332241255734</t>
  </si>
  <si>
    <t>Kunkera, Z et al. (2022)</t>
  </si>
  <si>
    <t>Using Digital Twin in a Shipbuilding Project</t>
  </si>
  <si>
    <t>Step-1 note: Shipbuilding DT; shipyard</t>
  </si>
  <si>
    <t>10.3390/app122412721</t>
  </si>
  <si>
    <t>Gazzotti, S et al. (2021)</t>
  </si>
  <si>
    <t>Virtual and Augmented Reality Use Cases for Fusion Design Engineering</t>
  </si>
  <si>
    <t>Step-1 note: Fusion engineering VR/AR; nuclear fusion</t>
  </si>
  <si>
    <t>10.1016/j.fusengdes.2021.112780</t>
  </si>
  <si>
    <t>Steyn, W.J.M (2020)</t>
  </si>
  <si>
    <t>Selected implications of a hyper-connected world on pavement engineering</t>
  </si>
  <si>
    <t>Step-1 note: Hyper-connected pavement discussion; DT one concept</t>
  </si>
  <si>
    <t>10.1007/s42947-020-6012-7</t>
  </si>
  <si>
    <t>Johansen, K.W et al. (2024)</t>
  </si>
  <si>
    <t>Automated quantification of construction workers’ exposure to falling object hazards</t>
  </si>
  <si>
    <t>Step-1 note: Falling object exposure via BIM/AI; DT keyword only</t>
  </si>
  <si>
    <t>10.1680/jmapl.23.00103</t>
  </si>
  <si>
    <t>Railway infrastructure maintenance efficiency improvement using deep reinforcement learning integrated with digital twin based on track geometry and component defects</t>
  </si>
  <si>
    <t>Deep RL (Advantage Actor-Critic) integrated with a digital twin for railway maintenance efficiency (Birmingham, Sci Rep 2023): DT built from four years of real field data over 30 km; track geometry parameters, component defects and maintenance activities form states/actions; rewards from maintenance costs and occurring defects; trained policy reduces maintenance activities by 21% and occurring defects by 68%, improving safety and passenger comfort. Maintenance-policy recommendations to decision-makers (no automated track actuation); RL training loop implemented but no convergence criterion. [Full-text source: Endnote]</t>
  </si>
  <si>
    <t>Fills the efficiency gap of railway predictive maintenance: A2C reinforcement learning on a 30-km four-year field-data DT cuts maintenance activities by 21% and occurring defects by 68%, with track geometry treated per-parameter and seven independent actions.</t>
  </si>
  <si>
    <t>The RL policy is trained on historical four-year data and validated by simulation of maintenance policy, not by live closed-loop control of actual maintenance operations; convergence of A2C training is not analysed, and reward design (cost vs safety weighting) is not fully explored.</t>
  </si>
  <si>
    <t>Track geometry, component defects and maintenance activities are jointly encoded in the RL state/action/reward of one DT-trained policy.</t>
  </si>
  <si>
    <t>Step-1 note: DRL + DT for railway maintenance efficiency | Coded from Step-3 deep-read markdown (Prompt B), imported 2026-09-30</t>
  </si>
  <si>
    <t>10.1038/s41598-023-29526-8</t>
  </si>
  <si>
    <t>Kang, N et al. (2025)</t>
  </si>
  <si>
    <t>Effective Underground Facilities Management in Virtual Reality by Applying a Cybersickness Reduction Technique Based on a Four-Degree-of-Freedom Motion Simulator</t>
  </si>
  <si>
    <t>VR-based UUT management training simulator (Korea ETRI): digital twin of an underground utility tunnel modeled once from high-precision LiDAR scans, integrated with a 4-DoF motor motion platform; visual (HMD) + kinematic (fall, micro-vibration) feedback with cybersickness-reduction acceleration control; scenario content (facility installation, inspection, device repair); evaluated with 17 participants for cybersickness vs existing VR. Static reconstructed training replica — no live data link from a real asset and no learning loop; worker-safety training motivation. [Full-text source: 04c-port]</t>
  </si>
  <si>
    <t>Fills the worker safety and training gap in underground utility tunnel management: a LiDAR-modeled UUT digital twin in Unreal is coupled with a four-degree-of-freedom motion platform, visual and kinematic acceleration control, and treadmill velocity thresholding to reduce cybersickness; SSQ-based tests with 17 participants show significantly reduced headaches and motion sickness, with MANOVA confirming the technique effect.</t>
  </si>
  <si>
    <t>The UUT model is a one-time static LiDAR scan with no live facility data link, and the four-degree-of-freedom platform cannot support yaw or sway motions required by diverse VR applications; cybersickness symptoms still vary by age, and only 17 participants were tested. Extending the platform toward five degrees of freedom with a rotary drive for 360-degree yaw is underway.</t>
  </si>
  <si>
    <t>Only high-precision LiDAR scans of the underground utility tunnel feed the Unreal digital twin; the 4-DoF motion platform adds haptic actuation, not a second data type.</t>
  </si>
  <si>
    <t>Step-1 note: VR UUT training simulator integrating DTs; safety | Coded from Step-3 deep-read markdown (Prompt B), imported 2026-09-30 | Prior matrix (v260816) verification note retained in 3_Change_Log</t>
  </si>
  <si>
    <t>10.1109/ACCESS.2025.3532597</t>
  </si>
  <si>
    <t>Smagin, D.I et al. (2023)</t>
  </si>
  <si>
    <t>Method for predictive analysis of failure and pre-failure conditions of aircraft units using data obtained during their operation</t>
  </si>
  <si>
    <t>Step-1 note: Aircraft unit predictive failure; aerospace</t>
  </si>
  <si>
    <t>10.1007/s42401-022-00178-2</t>
  </si>
  <si>
    <t>Pham, V.H.S et al. (2025)</t>
  </si>
  <si>
    <t>Optimizing construction site layouts with dynamic multi-objective methods and time-based facility placement</t>
  </si>
  <si>
    <t>Step-1 note: Site layout dynamic optimization; DT keyword only</t>
  </si>
  <si>
    <t>10.1108/ECAM-01-2025-0131</t>
  </si>
  <si>
    <t>Namuduri, K (2023)</t>
  </si>
  <si>
    <t>Digital Twin Approach for Integrated Airspace Management With Applications to Advanced Air Mobility</t>
  </si>
  <si>
    <t>Step-1 note: Airspace management DT; aviation</t>
  </si>
  <si>
    <t>10.1109/OJVT.2023.3312277</t>
  </si>
  <si>
    <t>Hasan, S.M et al. (2022)</t>
  </si>
  <si>
    <t>Augmented reality and digital twin system for interaction with construction machinery</t>
  </si>
  <si>
    <t>Step-1 note: AR+DT construction machinery CPS; operations tracking | Prior matrix (v260816) verification note retained in 3_Change_Log</t>
  </si>
  <si>
    <t>10.1080/13467581.2020.1869557</t>
  </si>
  <si>
    <t>Bosurgi, G et al. (2025)</t>
  </si>
  <si>
    <t>Railway condition information modelling in a BIM framework for maintenance applications</t>
  </si>
  <si>
    <t>Step-1 note: Railway condition BIM framework; DT basis only</t>
  </si>
  <si>
    <t>10.1080/23248378.2024.2397660</t>
  </si>
  <si>
    <t>Dille, M et al. (2025)</t>
  </si>
  <si>
    <t>Advancing river flow monitoring with small uncrewed aircraft and simulation-driven development</t>
  </si>
  <si>
    <t>Step-1 note: River flow UAV monitoring; hydrology</t>
  </si>
  <si>
    <t>10.3389/frsen.2025.1520963</t>
  </si>
  <si>
    <t>Kliestik, T et al. (2024)</t>
  </si>
  <si>
    <t>Enterprise generative artificial intelligence technologies, internet of things and blockchain-based fintech management, and digital twin industrial metaverse in the cognitive algorithmic economy</t>
  </si>
  <si>
    <t>Step-1 note: Fintech DT industrial metaverse; generic</t>
  </si>
  <si>
    <t>10.24136/oc.3109</t>
  </si>
  <si>
    <t>Koo, B et al. (2023)</t>
  </si>
  <si>
    <t>Digital twin for natural gas infrastructure operation and management via streaming dynamic mode decomposition with control</t>
  </si>
  <si>
    <t>Step-1 note: Natural gas infrastructure DT; energy</t>
  </si>
  <si>
    <t>10.1016/j.energy.2023.127317</t>
  </si>
  <si>
    <t>Kim, Y et al. (2024)</t>
  </si>
  <si>
    <t>Spatio-temporal heat risk analysis in construction: Digital twin-enabled monitoring</t>
  </si>
  <si>
    <t>Digital twin-enabled heat risk monitoring for construction workers (Texas A&amp;M): geometric digital twin of construction site + real-time weather station data + computational simulations for spatio-temporal heat risk analysis; case study in Stephenville, Texas, shows superior fidelity vs black-globe thermometer; near-real-time heat risk maps enable targeted interventions. One-way monitoring→simulation→risk maps; no actuation and no learning loop (microclimate simulation is physics-based, not learning). [Full-text source: 04c-port]</t>
  </si>
  <si>
    <t>Overcomes the point-measurement limits of black-globe thermometers: UAV photogrammetry builds a geometric site twin, an on-site weather station streams temperature, humidity, irradiance, and wind, and SOLWEIG microclimate simulation with shadow, sky view factor, and surface material maps yields site-wide heat risk maps; in Stephenville, Texas, the simulation method estimated mean radiant temperature with RMSE 4.21 C and R2 0.93 versus 11.80 C and 0.44 for the black-globe method.</t>
  </si>
  <si>
    <t>The geometric virtual model is not synchronized between UAV image updates, so same-day erected structures and moving equipment are missed; surface temperature simulation overestimates by up to 23.6 C for asphalt, and manual material registration is labor-intensive. UAV infrared thermography is computationally demanding at site scale. Future research targets integrating biometric sensors for individualized worker heat risk assessment.</t>
  </si>
  <si>
    <t>Weather-station variables (temperature, humidity, irradiance, wind) and the UAV-photogrammetry geometric site twin are jointly consumed by SOLWEIG microclimate simulation to produce site-wide heat-risk maps.</t>
  </si>
  <si>
    <t>Step-1 note: Construction site DT for spatio-temporal heat risk | Coded from Step-3 deep-read markdown (Prompt B), imported 2026-09-30 | Prior matrix (v260816) verification note retained in 3_Change_Log</t>
  </si>
  <si>
    <t>10.1016/j.autcon.2024.105805</t>
  </si>
  <si>
    <t>Maftouh, J et al. (2025)</t>
  </si>
  <si>
    <t>Integrating cutting-edge technologies in smart mining across the value chain: a comprehensive state of the art</t>
  </si>
  <si>
    <t>Step-1 note: Smart mining review; mining</t>
  </si>
  <si>
    <t>10.1080/17480930.2025.2604235</t>
  </si>
  <si>
    <t>Liu, Z et al. (2025)</t>
  </si>
  <si>
    <t>Research progress and trends of intelligent technology construction in large infrastructures: a CiteSpace-based visualization and analysis</t>
  </si>
  <si>
    <t>Step-1 note: Intelligent construction CiteSpace; DT keyword only</t>
  </si>
  <si>
    <t>10.1108/ECAM-04-2025-0553</t>
  </si>
  <si>
    <t>Fialho, B.C et al. (2022)</t>
  </si>
  <si>
    <t>Development of a BIM and IoT-Based Smart Lighting Maintenance System Prototype for Universities’ FM Sector</t>
  </si>
  <si>
    <t>Step-1 note: BIM-IoT lighting maintenance; DT context only</t>
  </si>
  <si>
    <t>10.3390/buildings12020099</t>
  </si>
  <si>
    <t>Baniqued, P.D.E et al. (2024)</t>
  </si>
  <si>
    <t>Multimodal immersive digital twin platform for cyber–physical robot fleets in nuclear environments</t>
  </si>
  <si>
    <t>Step-1 note: Nuclear robot fleet DT; nuclear</t>
  </si>
  <si>
    <t>10.1002/rob.22329</t>
  </si>
  <si>
    <t>Li, L et al. (2022)</t>
  </si>
  <si>
    <t>Digital Twin in Aerospace Industry: A Gentle Introduction</t>
  </si>
  <si>
    <t>Step-1 note: Aerospace DT introduction; aerospace</t>
  </si>
  <si>
    <t>10.1109/ACCESS.2021.3136458</t>
  </si>
  <si>
    <t>Flammini, F (2021)</t>
  </si>
  <si>
    <t>Digital twins as run-time predictive models for the resilience of cyber-physical systems: A conceptual framework</t>
  </si>
  <si>
    <t>Step-1 note: DT run-time CPS resilience conceptual; generic</t>
  </si>
  <si>
    <t>10.1098/rsta.2020.0369</t>
  </si>
  <si>
    <t>Bosso, N et al. (2023)</t>
  </si>
  <si>
    <t>Application of machine learning techniques to build digital twins for long train dynamics simulations</t>
  </si>
  <si>
    <t>Step-1 note: Train dynamics DT surrogates; rolling stock</t>
  </si>
  <si>
    <t>10.1080/00423114.2023.2174885</t>
  </si>
  <si>
    <t>Gao, L et al. (2024)</t>
  </si>
  <si>
    <t>Cooperative Localization in Transportation 5.0</t>
  </si>
  <si>
    <t>Step-1 note: Cooperative localization Transportation 5.0; traffic</t>
  </si>
  <si>
    <t>10.1109/TIV.2024.3377163</t>
  </si>
  <si>
    <t>Kotlyarevskaya, A.V et al. (2024)</t>
  </si>
  <si>
    <t>Digital twin of a building as the basis for the application of nanotechnologies in construction</t>
  </si>
  <si>
    <t>Step-1 note: Building DT concept for smart city; not DfS</t>
  </si>
  <si>
    <t>10.15828/2075-8545-2024-16-2-189-197</t>
  </si>
  <si>
    <t>Cruz, L et al. (2024)</t>
  </si>
  <si>
    <t>For how large soil shear wave velocity the soil-structure interaction effects on a tall building can be neglected? – A case study</t>
  </si>
  <si>
    <t>Step-1 note: SSI tall building seismic; no DT</t>
  </si>
  <si>
    <t>10.1016/j.soildyn.2024.108845</t>
  </si>
  <si>
    <t>Chandrasekaran, M et al. (2024)</t>
  </si>
  <si>
    <t>Real-time mass estimation of connected commercial vehicle using artificial neural network model</t>
  </si>
  <si>
    <t>Step-1 note: Vehicle mass estimation ANN; vehicles</t>
  </si>
  <si>
    <t>10.56042/ijems.v31i3.8233</t>
  </si>
  <si>
    <t>Casey, L et al. (2024)</t>
  </si>
  <si>
    <t>A real-time digital twin for active safety in an aircraft hangar</t>
  </si>
  <si>
    <t>Step-1 note: Aircraft hangar active safety DT; aerospace ops</t>
  </si>
  <si>
    <t>10.3389/frvir.2024.1372923</t>
  </si>
  <si>
    <t>Shubinsky, I.B et al. (2023)</t>
  </si>
  <si>
    <t>INNOVATIVE METHODS OF ENSURING THE FUNCTIONAL SAFETY OF TRAIN CONTROL SYSTEMS</t>
  </si>
  <si>
    <t>Functional-safety methods for train control systems (NIIAS/TUEV Rheinland, RT&amp;A 2023): a digital twin is defined as a mathematical model + software implementation performing all operating functions of the initial object + verification results; two same-type DTs form a dual external safety circuit so a SIL1/SIL2 control system reaches at least SIL3 (virtual second channels use information redundancy instead of hardware redundancy); evaluated analytically for an axle-counter-based train control system. The twin acts back on the control system as a safety channel -&gt; Tier 3 (analytical safety-case evaluation, no deployed test); no learning loop. [Full-text source: Endnote]</t>
  </si>
  <si>
    <t>Fills the cost/safety trade-off gap for train control: dual digital-twin external circuits (virtual second channels, information redundancy) analytically achieve at least SIL3 for a SIL1/SIL2 axle-counter system, reducing hardware while preserving functional safety.</t>
  </si>
  <si>
    <t>Analytical safety-case evaluation without deployed test or field data; the DT is a software replica of the controller rather than of the physical asset, and acceptability/verification effort for the additional software is delegated to the developer.</t>
  </si>
  <si>
    <t>Only control-system states/model outputs are used; no multi-modal data fusion.</t>
  </si>
  <si>
    <t>Step-1 note: DT-based functional safety method for train control systems | Coded from Step-3 deep-read markdown (Prompt B), imported 2026-09-30</t>
  </si>
  <si>
    <t>10.24412/1932-2321-2023-476-909-920</t>
  </si>
  <si>
    <t>Anthi, E et al. (2025)</t>
  </si>
  <si>
    <t>The Role of Artificial Intelligence in Shaping Intelligent Motorways: Opportunities, Challenges, and Real-World Implementations</t>
  </si>
  <si>
    <t>Step-1 note: AI intelligent motorways; transportation</t>
  </si>
  <si>
    <t>10.1109/TITS.2025.3609972</t>
  </si>
  <si>
    <t>Jacques, M.-B et al. (2025)</t>
  </si>
  <si>
    <t>European collaborations for safe and efficient dismantling: Digital twins, ontology and data exchange</t>
  </si>
  <si>
    <t>Step-1 note: Nuclear dismantling DTs; nuclear</t>
  </si>
  <si>
    <t>10.1051/epjn/2025022</t>
  </si>
  <si>
    <t>Zhang, B et al. (2025)</t>
  </si>
  <si>
    <t>Three-Dimensional Stratigraphic Structure and Property Collaborative Modeling in Urban Engineering Construction</t>
  </si>
  <si>
    <t>Step-1 note: 3D stratigraphic modeling; no DT</t>
  </si>
  <si>
    <t>10.3390/math13030345</t>
  </si>
  <si>
    <t>Structural safety risk prediction method for terminal building steel roof construction considering spatial and temporal variations</t>
  </si>
  <si>
    <t>Structural safety risk prediction for terminal building steel roof construction (Beijing U Tech): DT model + FE analysis → sensor installation (hydraulic jacks, temperature, stress); XGBoost prediction model for stress changes of key rods (98% accuracy); compared GA-BPNN, RF, XGBoost; validated on airport renovation project. One-way monitoring→prediction→risk management; no actuation and no learning loop (XGBoost is offline-trained). [Full-text source: 04c-port]</t>
  </si>
  <si>
    <t>Fills the gap between finite-element simulation and next-moment stress prediction during overall jacking of an airport terminal steel mesh roof: a digital twin built with Midas/Gen life-and-death element analysis guides sensor placement on twelve hydraulic jacks and key bars, and an XGBoost model predicts key-bar stress with 98 percent accuracy and validation R2 of 0.9919, outperforming GA-BPNN and random forest.</t>
  </si>
  <si>
    <t>The training set uses real site monitoring values with error superposition, the model is offline-trained on one project with only four days of jacking data, and no automated warning integration exists; the authors plan multi-source sensor fusion with real-time monitoring systems and evaluation of generalization across different steel structures and construction conditions.</t>
  </si>
  <si>
    <t>Hydraulic-jack, temperature and stress sensor readings from the jacking process are fed together into an XGBoost model (with FE-guided sensor placement) predicting key-bar stress with 98% accuracy.</t>
  </si>
  <si>
    <t>Step-1 note: DT for terminal steel roof construction safety risk prediction | Coded from Step-3 deep-read markdown (Prompt B), imported 2026-09-30 | Prior matrix (v260816) verification note retained in 3_Change_Log</t>
  </si>
  <si>
    <t>10.1016/j.jcsr.2024.109126</t>
  </si>
  <si>
    <t>Lamba, S et al. (2025)</t>
  </si>
  <si>
    <t>City-Scale Seismic Risk Assessment Using Physics Based Earthquake Simulator: A Case Study of BHU Campus and Crossing Republik, Ghaziabad</t>
  </si>
  <si>
    <t>Step-1 note: City-scale seismic risk assessment using digital twins | Full text not coded: Endnote candidate(s) found but identity not verified</t>
  </si>
  <si>
    <t>10.1007/s40009-025-01771-7</t>
  </si>
  <si>
    <t>Tagharobi, M et al. (2025)</t>
  </si>
  <si>
    <t>Data-driven progress prediction in construction: a multi-project portfolio management approach</t>
  </si>
  <si>
    <t>Step-1 note: Construction progress prediction; no DT</t>
  </si>
  <si>
    <t>10.3389/fbuil.2025.1681156</t>
  </si>
  <si>
    <t>Single-Shot Visual Relationship Detection for the Accurate Identification of Contact-Driven Hazards in Sustainable Digitized Construction</t>
  </si>
  <si>
    <t>Step-1 note: Visual relationship detection; semantic DT enabling only</t>
  </si>
  <si>
    <t>10.3390/su16125058</t>
  </si>
  <si>
    <t>Peng, C.-C et al. (2024)</t>
  </si>
  <si>
    <t>Fixed-Wing Unmanned Aerial Vehicle Rotary Engine Anomaly Detection via Online Digital Twin Methods</t>
  </si>
  <si>
    <t>Step-1 note: UAV rotary engine anomaly DT; aerospace</t>
  </si>
  <si>
    <t>10.1109/TAES.2023.3329797</t>
  </si>
  <si>
    <t>Clementi, M et al. (2024)</t>
  </si>
  <si>
    <t>GIS-Based Digital Twin Model for Solar Radiation Mapping to Support Sustainable Urban Agriculture Design</t>
  </si>
  <si>
    <t>Step-1 note: GIS DT solar radiation urban agriculture; not DfS</t>
  </si>
  <si>
    <t>10.3390/su16156590</t>
  </si>
  <si>
    <t>Zhao, N et al. (2022)</t>
  </si>
  <si>
    <t>Trajectory Predictions with Details in a Robotic Twin-Crane System</t>
  </si>
  <si>
    <t>Step-1 note: Twin-crane trajectory ports; ports/factories</t>
  </si>
  <si>
    <t>10.23919/CSMS.2021.0028</t>
  </si>
  <si>
    <t>Xiao, Y et al. (2023)</t>
  </si>
  <si>
    <t>CommandFence: A Novel Digital-Twin-Based Preventive Framework for Securing Smart Home Systems</t>
  </si>
  <si>
    <t>Step-1 note: Smart home security DT; cybersecurity focus</t>
  </si>
  <si>
    <t>10.1109/TDSC.2022.3184185</t>
  </si>
  <si>
    <t>Lichte, D et al. (2022)</t>
  </si>
  <si>
    <t>Framework for Operational Resilience Management of Critical Infrastructures and Organizations</t>
  </si>
  <si>
    <t>Step-1 note: Operational resilience CI framework; generic CI</t>
  </si>
  <si>
    <t>10.3390/infrastructures7050070</t>
  </si>
  <si>
    <t>González-Böhme, L.F et al. (2023)</t>
  </si>
  <si>
    <t>Mixed Reality for Safe and Reliable Human-Robot Collaboration in Timber Frame Construction</t>
  </si>
  <si>
    <t>Step-1 note: MR timber frame HRC; DT keyword only | Prior matrix (v260816) verification note retained in 3_Change_Log</t>
  </si>
  <si>
    <t>10.3390/buildings13081965</t>
  </si>
  <si>
    <t>Shcherba, D et al. (2018)</t>
  </si>
  <si>
    <t>Developing of phenomenological damage model for automotive low-carbon structural steel for using in validation of Euroncap frontal impact</t>
  </si>
  <si>
    <t>Step-1 note: Automotive steel damage model SUV DT; vehicles</t>
  </si>
  <si>
    <t>10.18720/MPM.4022018_13</t>
  </si>
  <si>
    <t>Hu, B et al. (2023)</t>
  </si>
  <si>
    <t>Construction of Digital Twin System for Cold Chain Logistics Stereo Warehouse</t>
  </si>
  <si>
    <t>Step-1 note: Cold chain logistics warehouse DT; logistics</t>
  </si>
  <si>
    <t>10.1109/ACCESS.2023.3295819</t>
  </si>
  <si>
    <t>Jiang, F et al. (2022)</t>
  </si>
  <si>
    <t>Underpass clearance checking in highway widening projects using digital twins</t>
  </si>
  <si>
    <t>Digital twin approach for underpass clearance checking in highway widening projects (UCL/HUST): online map data (DSM, DEM, aerial photos) → digital twin of existing main road + underpass road → BIM model of widened road; clearance check and redesign at preliminary design stage; cost-effective without field surveys; implemented on a UK underpass road. One-way design-stage analysis→clearance check; no live data link, no actuation, no learning loop. [Full-text source: 04c-port]</t>
  </si>
  <si>
    <t>Fills the gap of preliminary clearance checking without field surveys: a digital twin method reconstructing the existing main road and underpass road from online map data (Digimap DSM, DTM and aerial photos) via road-marking extraction, smoothing-spline alignment fitting at R-square near 1.0, and flattened terrain models; clash detection of a 5.338 m clearance envelope in the M11 and Sawbridgeworth Road case caught insufficient clearance and guided redesign of underpass vertical alignment.</t>
  </si>
  <si>
    <t>Accuracy was not compared with field survey data, which the authors admit is needed to evaluate the method, and only underpass roads are handled; future research will validate through field surveys, focus groups and expert interviews, and extend the approach to overpasses, bridges, tunnels and traffic safety facilities.</t>
  </si>
  <si>
    <t>Online map layers (DSM, DEM and aerial photos) are jointly processed to reconstruct the existing road and underpass as one digital twin used for clearance checking.</t>
  </si>
  <si>
    <t>Step-1 note: Underpass clearance checking DT for highway widening PtD | Coded from Step-3 deep-read markdown (Prompt B), imported 2026-09-30 | Prior matrix (v260816) verification note retained in 3_Change_Log</t>
  </si>
  <si>
    <t>10.1016/j.autcon.2022.104406</t>
  </si>
  <si>
    <t>Wei, Z et al. (2020)</t>
  </si>
  <si>
    <t>Optimal Sampling of Water Distribution Network Dynamics Using Graph Fourier Transform</t>
  </si>
  <si>
    <t>Step-1 note: Water network sampling GFT; DT modelling enabling</t>
  </si>
  <si>
    <t>10.1109/TNSE.2019.2941834</t>
  </si>
  <si>
    <t>Agool, Z.M et al. (2025)</t>
  </si>
  <si>
    <t>High-speed elevators – aerodynamic challenges and vibration performance: A comprehensive review</t>
  </si>
  <si>
    <t>Step-1 note: High-speed elevator review; DT one tech</t>
  </si>
  <si>
    <t>10.12913/22998624/210471</t>
  </si>
  <si>
    <t>Lin, L et al. (2025)</t>
  </si>
  <si>
    <t>A deep feature fusion network based on multi-scale kernel construction for filling wing stress field data; [基 于 多 尺 度 核 构 造 的 深 度 特 征 融 合 网 络 及 其 在机 翼 应 力 场 数 据 填 补 中 的 应 用]</t>
  </si>
  <si>
    <t>Step-1 note: Wing stress field DL; aerospace + Chinese journal</t>
  </si>
  <si>
    <t>10.7527/S1000-6893.2025.32343</t>
  </si>
  <si>
    <t>Chan, J.H et al. (2023)</t>
  </si>
  <si>
    <t>Enhancement of Jaibot: Developing Safety and Monitoring Features for Jaibot Using IoT Technologies</t>
  </si>
  <si>
    <t>Step-1 note: Jaibot robot IoT safety; DT keyword only</t>
  </si>
  <si>
    <t>10.14716/ijtech.v14i6.6627</t>
  </si>
  <si>
    <t>Park, S et al. (2019)</t>
  </si>
  <si>
    <t>AI-based physical and virtual platform with 5-layered architecture for sustainable smart energy city development</t>
  </si>
  <si>
    <t>Step-1 note: Smart energy city platform; energy</t>
  </si>
  <si>
    <t>10.3390/su11164479</t>
  </si>
  <si>
    <t>Zhao, S et al. (2025)</t>
  </si>
  <si>
    <t>Digital twin-enabled anti-collision system for smart construction sites</t>
  </si>
  <si>
    <t>Digital-twin-enabled anti-collision system for HRI safety on construction sites (5D DT: PE/DD/VE/SS/CN): multi-sensor fusion (RGB-D image+depth, IMU motion) + multi-modal analysis (YOLOv5/Faster-RCNN detection, HRNet excavator key-points) drive a Unity 3D virtual entity; rule model divides 3D site into dangerous/warning/safe zones (TTC+SO, d_danger=600 mm, d_warn=1200 mm) triggering collision warnings to smart helmets/tri-colour lights in a perception-analysis-decision-execution closed loop. Lab case study with 1:24 scaled excavator: zone warning precision 96.4%/95.3%, recall 98.8%/97.4%, delay 0.13 s. Warnings executed to humans/devices but no automated machine control; no self-improvement (manual retraining via data management). [Full-text source: 04c-port]</t>
  </si>
  <si>
    <t>Fills the gap of a closed perception-analysis-decision-execution loop for human-robot collision warning: a five-dimensional digital twin fuses RGB-D and IMU data with Faster R-CNN, YOLOv5 and HRNet detection, achieving millimetre-level excavator key point deviations and over 96 percent dangerous-zone and 95 percent warning-zone prediction precision with about 0.13 second warning delay in a case study.</t>
  </si>
  <si>
    <t>Validation uses physical models rather than a live construction site; when dangerous or warning zones are misjudged as safe the system lacks a dynamic response mechanism, and black-box deep models plus sensor limits can compromise recognition. Future work adds a dynamic verification module, thermal, UWB and lidar sensors, model interpretability and edge-cloud reliability improvements.</t>
  </si>
  <si>
    <t>RGB-D image+depth and IMU motion streams are fused and analysed by YOLOv5/Faster-RCNN/HRNet to drive the Unity virtual entity, whose rule model computes dangerous/warning/safe zones for collision warnings.</t>
  </si>
  <si>
    <t>Step-1 note: DT-enabled anti-collision system for smart construction sites | Coded from Step-3 deep-read markdown (Prompt B), imported 2026-09-30 | Prior matrix (v260816) verification note retained in 3_Change_Log</t>
  </si>
  <si>
    <t>10.55092/sc20250022</t>
  </si>
  <si>
    <t>Khajavi, S.H et al. (2023)</t>
  </si>
  <si>
    <t>Digital Twin for Safety and Security: Perspectives on Building Lifecycle</t>
  </si>
  <si>
    <t>Real-world building digital twin for fire safety and anomaly detection (17 months of data, two use cases): advanced sensors + dimensionally-accurate 3D model + thermal camera sensors with real-time data fusion; features early fire/anomaly detection, fire localization and intensity evaluation, real-time incident data sharing, and fire-propagation simulation; data analysis predicts potential future threats. One-way sensing→visualization/simulation for operators; no automated actuation (integrating access-control actuation suggested as future work) and no learning loop. [Full-text source: 04c-port]</t>
  </si>
  <si>
    <t>Fills the scarce real-world evidence gap on building safety DTs with two 17-month deployments: an office and a grain drying facility using Raspberry Pi sensor packages (thermal, RGB, UV, motion sensors), LiDAR-derived dimensionally accurate 3D models in Unity and WebGL, and Azure dashboards; normal operational signature analysis detects anomalies, localizes fires without triangulation, and a candle flame was detected in under one second.</t>
  </si>
  <si>
    <t>Monitoring only with no actuation or closed control of building systems. Validation is limited to the use phase, with no case studies from other lifecycle phases, and no quantitative comparison of detection speed and accuracy against conventional fire detection methods. Cost, lack of adoption knowledge, and manual 3D model generation remain obstacles; these comparisons and lifecycle studies are future research.</t>
  </si>
  <si>
    <t>Advanced sensor packages (thermal, RGB, UV, motion) plus LiDAR-derived 3D models are combined with stated real-time data fusion for fire/anomaly detection in two 17-month deployments.</t>
  </si>
  <si>
    <t>Step-1 note: DT for building safety and security lifecycle; fire | Coded from Step-3 deep-read markdown (Prompt B), imported 2026-09-30 | Prior matrix (v260816) verification note retained in 3_Change_Log</t>
  </si>
  <si>
    <t>10.1109/ACCESS.2023.3278267</t>
  </si>
  <si>
    <t>Liu, K et al. (2023)</t>
  </si>
  <si>
    <t>MetaMining: Mining in the Metaverse</t>
  </si>
  <si>
    <t>Step-1 note: MetaMining metaverse; mining</t>
  </si>
  <si>
    <t>10.1109/TSMC.2022.3233588</t>
  </si>
  <si>
    <t>Ybañez, R.S et al. (2023)</t>
  </si>
  <si>
    <t>Related Literature Review 5D Model for Project and Operation/Maintenance Remote Monitoring of Equipment and Piping System</t>
  </si>
  <si>
    <t>Step-1 note: 5D model review oil/gas plants; energy</t>
  </si>
  <si>
    <t>10.18280/jesa.560301</t>
  </si>
  <si>
    <t>Risco-Martín, J.L et al. (2023)</t>
  </si>
  <si>
    <t>Simulation-driven engineering for the management of harmful algal and cyanobacterial blooms</t>
  </si>
  <si>
    <t>Step-1 note: Harmful algal blooms DEVS; environment</t>
  </si>
  <si>
    <t>10.1177/00375497231184246</t>
  </si>
  <si>
    <t>Cogswell, D et al. (2022)</t>
  </si>
  <si>
    <t>Guidance for Materials 4.0 to interact with a digital twin</t>
  </si>
  <si>
    <t>Step-1 note: Materials 4.0 component DT position; materials</t>
  </si>
  <si>
    <t>10.1017/dce.2022.23</t>
  </si>
  <si>
    <t>Wu, Z et al. (2021)</t>
  </si>
  <si>
    <t>Research on Digital Twin Construction and Safety Management Application of Inland Waterway Based on 3D Video Fusion</t>
  </si>
  <si>
    <t>Step-1 note: Inland waterway DT safety; waterway navigation | Prior matrix (v260816) verification note retained in 3_Change_Log</t>
  </si>
  <si>
    <t>10.1109/ACCESS.2021.3101653</t>
  </si>
  <si>
    <t>Luo, W et al. (2024)</t>
  </si>
  <si>
    <t>Process Manufacturing Intelligence Empowered by Industrial Metaverse: A Survey</t>
  </si>
  <si>
    <t>Step-1 note: Process manufacturing metaverse survey; manufacturing</t>
  </si>
  <si>
    <t>10.1109/TCYB.2024.3420958</t>
  </si>
  <si>
    <t>Lindström, J et al. (2020)</t>
  </si>
  <si>
    <t>An initial model for zero defect manufacturing</t>
  </si>
  <si>
    <t>Step-1 note: Zero defect manufacturing DT; manufacturing</t>
  </si>
  <si>
    <t>10.3390/app10134570</t>
  </si>
  <si>
    <t>Zeng, Q et al. (2025)</t>
  </si>
  <si>
    <t>A dynamic digital twin-based health monitoring method for steel structures integrating multi-source sensing and intelligent algorithms</t>
  </si>
  <si>
    <t>RETRACTED ARTICLE: This paper (A dynamic digital twin-based health monitoring method for steel structures integrating multi-source sensing and intelligent algorithms, Int J Structural Integrity 2025) has been RETRACTED by the publisher. Per SLR best practice, retracted papers must be excluded from the review. P=Q=R=No. The Endnote full text is flagged RETRACTED in its header. [Full-text source: 04c-port]</t>
  </si>
  <si>
    <t>Step-1 note: Dynamic DT health monitoring of steel structures | Stage-2 exclusion basis: Retracted article | Retracted article - formula reason shows P=No; true reason = retraction | Coded from Step-3 deep-read markdown (Prompt B), imported 2026-09-30 | Prior matrix (v260816) verification note retained in 3_Change_Log</t>
  </si>
  <si>
    <t>10.1108/IJSI-06-2025-0147</t>
  </si>
  <si>
    <t>Mitchell, D et al. (2021)</t>
  </si>
  <si>
    <t>Symbiotic System of Systems Design for Safe and Resilient Autonomous Robotics in Offshore Wind Farms</t>
  </si>
  <si>
    <t>Step-1 note: Offshore wind farm robotics; energy</t>
  </si>
  <si>
    <t>10.1109/ACCESS.2021.3117727</t>
  </si>
  <si>
    <t>Xu, J et al. (2023)</t>
  </si>
  <si>
    <t>Ensuring construction material provenance using Internet of Things and blockchain: Learning from the food industry</t>
  </si>
  <si>
    <t>Step-1 note: Material provenance blockchain; no DT</t>
  </si>
  <si>
    <t>10.1016/j.jii.2023.100455</t>
  </si>
  <si>
    <t>Paché, G (2025)</t>
  </si>
  <si>
    <t>The Palletized Citizen: Surveillance, Mobility, and Algorithmic Urbanism</t>
  </si>
  <si>
    <t>Step-1 note: Palletized citizen urban critique; not DT study</t>
  </si>
  <si>
    <t>10.4018/IJEPR.389050</t>
  </si>
  <si>
    <t>Lozano-Galant, F et al. (2025)</t>
  </si>
  <si>
    <t>An open-source GIS app for digitalising bridge inspections and automating BIM model integration</t>
  </si>
  <si>
    <t>Step-1 note: GIS bridge inspection app; DT keyword only</t>
  </si>
  <si>
    <t>10.1080/15732479.2025.2456979</t>
  </si>
  <si>
    <t>Zou, Y et al. (2024)</t>
  </si>
  <si>
    <t>Digital Twin Construction Method for Monitoring Operation Status of Building Machine Jacking Operation</t>
  </si>
  <si>
    <t>DT construction method for monitoring operation status of building machine jacking operation (BMJO) (Hubei U Tech): DT framework with layered architecture; Blender geometric node group creates parametric virtual model; ANN enables online prediction of structural performance; motion model realizes real-time state mapping; real BM project validates system (quantitative monitoring, evaluation, early warning, real-time prediction of operational posture; high accuracy, fast analysis). One-way monitoring-&gt;prediction-&gt;early warning; no actuation, no learning loop. [Full-text source: 04c-port]</t>
  </si>
  <si>
    <t>Proposes a five-layer digital twin framework for building machine jacking operations, creating parametric twin models in Blender geometric node groups (98.48 percent auto-generation accuracy) and an RBF neural network for online stress and deformation prediction with relative errors within 0.1 percent and 6 percent respectively, verified on a 186.3 m Wuhan building where five major accidents were avoided and jacking efficiency rose 19.75 percent.</t>
  </si>
  <si>
    <t>Predicted structural performance and motion are only displayed on the platform without autonomous decision-making, and prediction correctness depends on sensor data accuracy. Future research will adopt deep learning for data correction, reinforcement learning for autonomous control, and cloud and blockchain strategies for data storage, cleaning, and security.</t>
  </si>
  <si>
    <t>Multi-sensor monitoring data and a Blender parametric twin feed an RBF neural network for online stress and deformation prediction, with a motion model for real-time state mapping.</t>
  </si>
  <si>
    <t>Step-1 note: DT monitoring of building machine jacking operation | Coded from Step-3 deep-read markdown (Prompt B), imported 2026-09-30 | Prior matrix (v260816) verification note retained in 3_Change_Log</t>
  </si>
  <si>
    <t>10.3390/buildings14082318</t>
  </si>
  <si>
    <t>Li, W et al. (2020)</t>
  </si>
  <si>
    <t>Digital twin for battery systems: Cloud battery management system with online state-of-charge and state-of-health estimation</t>
  </si>
  <si>
    <t>Step-1 note: Battery cloud DT; energy storage</t>
  </si>
  <si>
    <t>10.1016/j.est.2020.101557</t>
  </si>
  <si>
    <t>Espejo, F et al. (2024)</t>
  </si>
  <si>
    <t>Low-cost “buffer” structural measure for flooding risk reduction in irrigation reservoirs</t>
  </si>
  <si>
    <t>Step-1 note: Irrigation reservoir flood buffer; hydrology</t>
  </si>
  <si>
    <t>10.1016/j.jhydrol.2024.131017</t>
  </si>
  <si>
    <t>Vairo, T et al. (2023)</t>
  </si>
  <si>
    <t>Understanding the Vulnerability of Complex Systems. An Integrated Approach</t>
  </si>
  <si>
    <t>Step-1 note: Port complex systems vulnerability; ports</t>
  </si>
  <si>
    <t>10.3303/CET2399047</t>
  </si>
  <si>
    <t>Zhu, H et al. (2022)</t>
  </si>
  <si>
    <t>Key Component Capture and Safety Intelligent Analysis of Beam String Structure Based on Digital Twins</t>
  </si>
  <si>
    <t>Key-component capture and safety intelligent analysis of beam string structures based on digital twins (Symmetry 2022): DT mapping-feedback framework fuses multi-source construction data; Dempster-Shafer evidence theory fuses mechanical parameters; temperature-induced parameter variation captured to identify key components; applied to a convention-and-exhibition-center string-supported beam roof during construction. One-way data fusion into safety analysis. [Full-text source: browser-oa]</t>
  </si>
  <si>
    <t>D-S evidence-theory fusion of multi-source mechanical parameters captures key components under temperature, improving construction safety analysis intelligence.</t>
  </si>
  <si>
    <t>Single construction case; D-S fusion parameter independence assumptions unverified.</t>
  </si>
  <si>
    <t>Multi-source mechanical parameters are fused with D-S evidence theory to capture key components.</t>
  </si>
  <si>
    <t>Step-1 note: DT key component capture and safety analysis of beam string | Coded from Step-3 deep-read markdown (Prompt B), imported 2026-09-30</t>
  </si>
  <si>
    <t>10.3390/sym14061152</t>
  </si>
  <si>
    <t>Lee, A et al. (2022)</t>
  </si>
  <si>
    <t>A Geospatial Platform to Manage Large-Scale Individual Mobility for an Urban Digital Twin Platform</t>
  </si>
  <si>
    <t>Step-1 note: Individual mobility geospatial UDT platform; not DfS</t>
  </si>
  <si>
    <t>10.3390/rs14030723</t>
  </si>
  <si>
    <t>Zhou, R et al. (2023)</t>
  </si>
  <si>
    <t>Global Mechanical Response Sensing of Corrugated Compensators Based on Digital Twins</t>
  </si>
  <si>
    <t>Step-1 note: Corrugated compensator DT; industrial piping</t>
  </si>
  <si>
    <t>10.3390/app13064048</t>
  </si>
  <si>
    <t>Evaluation of digital twin resource allocation and multimodal information learning in internet of vehicles</t>
  </si>
  <si>
    <t>Step-1 note: DT resource allocation IoV; vehicles</t>
  </si>
  <si>
    <t>10.1504/IJIIDS.2025.147424</t>
  </si>
  <si>
    <t>Yadav, N et al. (2022)</t>
  </si>
  <si>
    <t>The effects of partial proxy embodiment on the awareness of linear distance in omnidirectional treadmill enabled immersive virtual environment</t>
  </si>
  <si>
    <t>Step-1 note: VR distance perception study; generic</t>
  </si>
  <si>
    <t>10.1016/j.chbr.2022.100203</t>
  </si>
  <si>
    <t>Digital Twin‐Based Risk Control during Prefabricated Building Hoisting Operations</t>
  </si>
  <si>
    <t>DT-based risk control framework for prefabricated building hoisting (Beijing U Tech): DEMATEL-ISM establishes hierarchical safety risk model considering correlation between risk factors; Bayesian network visualizes decision analysis process for risk control; real-time data interaction with DT model; key degree of indirect inducement variables calculated by probability; validated on a large prefabricated building project. One-way monitoring→analysis→decision support; no actuation and no learning loop (Bayesian network is offline-inferred). [Full-text source: 04c-port]</t>
  </si>
  <si>
    <t>Elevates prefabricated hoisting digital twin research from static expert-based risk scoring to the essence of safety risk: a DEMATEL-ISM hierarchical risk model embedded in the twin, with Bayesian network reasoning via EM-trained parameters computing the key degree of indirect inducement factors when a direct factor such as sling angle turns dangerous, verified on a 71,172 square meter Tianjin prefabricated project with RFID, IMU, crane black box and LoRa sensing.</t>
  </si>
  <si>
    <t>The training sample set is very limited (three integrated time points, expert-copied and expanded) and no intelligent decision system or automatic actuation exists; integration with hoisting risk assessment and prediction methods remains open. Future research will expand data samples to improve accuracy and enhance the BIM platform visualization and functional modules.</t>
  </si>
  <si>
    <t>RFID, IMU, crane black-box and LoRa sensing data jointly feed a DEMATEL-ISM hierarchical risk model and Bayesian-network reasoning that computes key degrees of indirect inducement factors.</t>
  </si>
  <si>
    <t>Step-1 note: DT-based risk control of prefab hoisting operations | Coded from Step-3 deep-read markdown (Prompt B), imported 2026-09-30 | Prior matrix (v260816) verification note retained in 3_Change_Log</t>
  </si>
  <si>
    <t>10.3390/s22072522</t>
  </si>
  <si>
    <t>Hussain, M et al. (2024)</t>
  </si>
  <si>
    <t>Predicting degraded lifting capacity of aging tower cranes: A digital twin-driven approach</t>
  </si>
  <si>
    <t>Digital twin-driven prediction of degraded lifting capacity of aging tower cranes (PolyU, Advanced Engineering Informatics 2024): theoretical/numerical fatigue and degradation analysis combined with real-time vibration data from cyclic load scenarios; ML model predicts degraded LC (MSE 0.2253, R2 0.9973; k-5 cross-validation R2 0.9714); degraded load charts for each decade of usage (0-70 years) assist operators in applying safe loads. Scaled-down prototype demonstrator; prediction assists decisions, no actuation. [Full-text source: browser-oa]</t>
  </si>
  <si>
    <t>First DTD model predicting aging-induced degraded lifting capacity with high accuracy (R2 0.9973) and decadal degraded load charts for crane operators.</t>
  </si>
  <si>
    <t>Scaled-down prototype rather than in-service crane; vibration noise/uncertainty handling limited.</t>
  </si>
  <si>
    <t>Theoretical fatigue analysis and real-time vibration data are fused in the ML lifting-capacity predictor.</t>
  </si>
  <si>
    <t>Step-1 note: DT-driven prediction of tower crane degraded lifting capacity | Coded from Step-3 deep-read markdown (Prompt B), imported 2026-09-30</t>
  </si>
  <si>
    <t>10.1016/j.aei.2023.102310</t>
  </si>
  <si>
    <t>Ai, Y et al. (2024)</t>
  </si>
  <si>
    <t>PMWorld: A Parallel Testing Platform for Autonomous Driving in Mines</t>
  </si>
  <si>
    <t>Step-1 note: Mining autonomous driving test platform; mining</t>
  </si>
  <si>
    <t>10.1109/TIV.2023.3332739</t>
  </si>
  <si>
    <t>Lee, D.-G et al. (2023)</t>
  </si>
  <si>
    <t>Development of stability evaluation system for retaining walls: Differential evolution algorithm-artificial neural network</t>
  </si>
  <si>
    <t>Step-1 note: Retaining wall stability DE-ANN; DT keyword only</t>
  </si>
  <si>
    <t>10.12989/gae.2023.34.3.329</t>
  </si>
  <si>
    <t>Kivrak, H et al. (2024)</t>
  </si>
  <si>
    <t>Cyber–physical system architecture of autonomous robot ecosystem for industrial asset monitoring</t>
  </si>
  <si>
    <t>Step-1 note: Industrial asset monitoring robot CPS; industrial</t>
  </si>
  <si>
    <t>10.1016/j.comcom.2024.02.013</t>
  </si>
  <si>
    <t>Davila-Gonzalez, S et al. (2024)</t>
  </si>
  <si>
    <t>Human Digital Twin in Industry 5.0: A Holistic Approach to Worker Safety and Well-Being through Advanced AI and Emotional Analytics</t>
  </si>
  <si>
    <t>Step-1 note: Human DT worker safety oil/gas; energy</t>
  </si>
  <si>
    <t>10.3390/s24020655</t>
  </si>
  <si>
    <t>Suhail, S et al. (2022)</t>
  </si>
  <si>
    <t>Towards situational aware cyber-physical systems: A security-enhancing use case of blockchain-based digital twins</t>
  </si>
  <si>
    <t>Step-1 note: Blockchain DT CPS security; generic/automotive</t>
  </si>
  <si>
    <t>10.1016/j.compind.2022.103699</t>
  </si>
  <si>
    <t>Ye, Q et al. (2024)</t>
  </si>
  <si>
    <t>Metaverse for the Energy Industry: Technologies, Applications, and Solutions</t>
  </si>
  <si>
    <t>Step-1 note: Metaverse energy industry; energy</t>
  </si>
  <si>
    <t>10.1109/TCYB.2024.3475272</t>
  </si>
  <si>
    <t>Zhang, J et al. (2022)</t>
  </si>
  <si>
    <t>Digital Twins for Construction Sites: Concepts, LoD Definition, and Applications</t>
  </si>
  <si>
    <t>Framework extending BIM Level-of-Details (LoDs) for construction-site digital twins: defines four core DT components (physical environment, digital representation/BIM, IoT, data storage-integration-analytics, interaction/feedback) plus new LoD-Graphics and LoD-Information (100–500) for construction-site components (site space, roads, facility, equipment, material, people) and maps minimum LoDs per BIM use/stage. Validated only via 31 questionnaires + 10 international expert interviews (&gt;77% agree DT improves construction safety); no DT implemented or tested; feedback/autonomy described as future direction, no learning loop. [Full-text source: 04c-port]</t>
  </si>
  <si>
    <t>Fills the gap of a framework jointly covering digital twins and BIM level-of-details for construction site management: four interacting components (BIM digital representation, IoT, data storage-integration-analytics, physical-environment interaction) are extended with LoD-Graphics and LoD-Information levels from approximate to verified across all site stages, and 31 questionnaires plus 10 expert interviews confirm support for monitoring, quality, efficiency and safety.</t>
  </si>
  <si>
    <t>Conceptual framework without a completed application case, so overall performance improvement cannot be quantified; validation relies on 31 questionnaires and 10 interviews, which the authors note are limited by time and resources. Future directions include autonomous feedback and control from twin to physical world, human-in-the-loop research, and governance and ethics of twin data.</t>
  </si>
  <si>
    <t>A conceptual framework extending BIM LoDs to construction-site DTs is validated only through 31 questionnaires and 10 expert interviews; no DT is implemented or tested.</t>
  </si>
  <si>
    <t>Step-1 note: DTs for construction sites concepts and LoD; quality/safety | Coded from Step-3 deep-read markdown (Prompt B), imported 2026-09-30 | Prior matrix (v260816) verification note retained in 3_Change_Log</t>
  </si>
  <si>
    <t>10.1061/(ASCE)ME.1943-5479.0000948</t>
  </si>
  <si>
    <t>Ghosh, B et al. (2023)</t>
  </si>
  <si>
    <t>The Conventional Construction Scenario and the Emergence of Advance Technologies in the Bridge Construction: Implementation, Impediments, and Case Study</t>
  </si>
  <si>
    <t>Step-1 note: Bridge construction tech adoption survey; DT one tech</t>
  </si>
  <si>
    <t>10.1007/s40030-023-00732-x</t>
  </si>
  <si>
    <t>Werth, A.W et al. (2023)</t>
  </si>
  <si>
    <t>A digital twin internal to a PLC to detect malicious commands and ladder logic that potentially cause safety violations</t>
  </si>
  <si>
    <t>Step-1 note: PLC-internal DT IPS; industrial security</t>
  </si>
  <si>
    <t>10.1080/23742917.2023.2171538</t>
  </si>
  <si>
    <t>Li, M et al. (2023)</t>
  </si>
  <si>
    <t>Research on the Construction of a Digital Twin Model for a 3D Measurement System of Gears</t>
  </si>
  <si>
    <t>Step-1 note: Gear measurement DT; manufacturing</t>
  </si>
  <si>
    <t>10.1109/ACCESS.2023.3330153</t>
  </si>
  <si>
    <t>Li, H et al. (2024)</t>
  </si>
  <si>
    <t>Digital twin-driven intelligent operation and maintenance platform for large-scale hydro-steel structures</t>
  </si>
  <si>
    <t>Step-1 note: DT-driven O&amp;M platform for hydro-steel structures | Full text not coded: Endnote candidate(s) found but identity not verified</t>
  </si>
  <si>
    <t>10.1016/j.aei.2024.102661</t>
  </si>
  <si>
    <t>Lai, X et al. (2022)</t>
  </si>
  <si>
    <t>Building a Lightweight Digital Twin of a Crane Boom for Structural Safety Monitoring Based on a Multifidelity Surrogate Model</t>
  </si>
  <si>
    <t>Lightweight digital twin of a crane boom for real-time structural safety monitoring using a multi-fidelity surrogate (MFS) model: low-fidelity surrogate (mechanistic, large LF data) + high-fidelity surrogate (statistical, small HF data) fused with live sensor inputs (inclination, strain at 18 test points) rendered in a Web app; real-time posture mirroring and stress prediction; uncertainty from physical-space sensors quantified (140-run trajectory data). Validated on a lab crane boom; MFS-RBF improves accuracy over single-fidelity and cuts cost vs numerical DT. Offline-trained surrogate, one-way monitoring/prediction — no online learning loop. [Full-text source: 04c-port]</t>
  </si>
  <si>
    <t>Fills the real-time cost versus accuracy gap between mechanistic and statistical twins: a multi-fidelity surrogate combining a low-fidelity RBF trained on large low-fidelity data with a high-fidelity RBF on few high-fidelity samples yields a lightweight crane boom twin predicting stress and deformation in 0.035 s with R2 above 0.98 at 18 test points, plus Gaussian uncertainty quantification from 140 repeated lifts, rendered in a WebGL scene.</t>
  </si>
  <si>
    <t>Restricted to the linear elastic stage of materials, excluding plasticity, nonlinear behavior, and multiphysics coupling, and validated only on a laboratory crane boom; prediction accuracy depends on the limited high-fidelity sample set, and sensor uncertainty is modeled but not eliminated. Future work should explore nonlinear materials, plastic deformation, and multiphysics coupling for a more realistic twin.</t>
  </si>
  <si>
    <t>Low-fidelity and high-fidelity RBF surrogates are fused with live inclination and strain sensor inputs (18 test points) to predict stress and deformation in 0.035 s with Gaussian uncertainty quantification.</t>
  </si>
  <si>
    <t>Step-1 note: Lightweight DT of crane boom for structural safety | Coded from Step-3 deep-read markdown (Prompt B), imported 2026-09-30 | Prior matrix (v260816) verification note retained in 3_Change_Log</t>
  </si>
  <si>
    <t>10.1115/1.4053606</t>
  </si>
  <si>
    <t>Qin, Z et al. (2022)</t>
  </si>
  <si>
    <t>Quantitative Assessment Model of IT Operation and Maintenance Operation Risk Based on the Digital Twin Model</t>
  </si>
  <si>
    <t>Step-1 note: IT O&amp;M risk assessment; IT domain</t>
  </si>
  <si>
    <t>10.1155/2022/4210927</t>
  </si>
  <si>
    <t>Rojek, I et al. (2024)</t>
  </si>
  <si>
    <t>Digital Twins in 3D Printing Processes Using Artificial Intelligence</t>
  </si>
  <si>
    <t>Step-1 note: 3D printing DTs with AI; manufacturing</t>
  </si>
  <si>
    <t>10.3390/electronics13173550</t>
  </si>
  <si>
    <t>Cavieres-Lagos, S et al. (2024)</t>
  </si>
  <si>
    <t>Integration of BIM Tools for the Facility Management of Railway Bridges</t>
  </si>
  <si>
    <t>Step-1 note: BIM railway bridge FM; DT initial step only</t>
  </si>
  <si>
    <t>10.3390/app14146209</t>
  </si>
  <si>
    <t>Samaro, N et al. (2025)</t>
  </si>
  <si>
    <t>Developing a system reference architecture for assessing risks of heatwaves in residential buildings using a cloud-BIM environment: a design science research approach</t>
  </si>
  <si>
    <t>Step-1 note: Heatwave cloud-BIM architecture; no DT</t>
  </si>
  <si>
    <t>10.1108/SASBE-04-2025-0181</t>
  </si>
  <si>
    <t>Mu, J et al. (2023)</t>
  </si>
  <si>
    <t>Digital Twins-Enabled Federated Learning in Mobile Networks: From the Perspective of Communication-Assisted Sensing</t>
  </si>
  <si>
    <t>Step-1 note: DT federated learning mobile networks; telecom</t>
  </si>
  <si>
    <t>10.1109/JSAC.2023.3310082</t>
  </si>
  <si>
    <t>Wu, W et al. (2023)</t>
  </si>
  <si>
    <t>Internet of Everything and Digital Twin enabled Service Platform for Cold Chain Logistics</t>
  </si>
  <si>
    <t>Step-1 note: Cold chain logistics IoE DT; logistics</t>
  </si>
  <si>
    <t>10.1016/j.jii.2023.100443</t>
  </si>
  <si>
    <t>Kabir, M.R et al. (2025)</t>
  </si>
  <si>
    <t>Digital Twin Technologies for Vehicular Prototyping: A Survey</t>
  </si>
  <si>
    <t>Step-1 note: DT vehicular prototyping survey; vehicles</t>
  </si>
  <si>
    <t>10.1109/OJITS.2025.3562504</t>
  </si>
  <si>
    <t>Kaveh, H et al. (2025)</t>
  </si>
  <si>
    <t>ADVANCING CIVIL INFRASTRUCTURE WITH DIGITAL TWINS: A REVIEW OF APPLICATIONS AND CHALLENGES</t>
  </si>
  <si>
    <t>Comprehensive survey of digital twin applications in civil infrastructure (SHM, predictive maintenance, smart cities, disaster response) reviewing methodologies, case studies and challenges (cost, interoperability, cybersecurity). DTs are the subject but the paper is a narrative/descriptive review with no original methodology, no framework, and no implementation to classify - R=No -&gt; Stage-2 exclude. [Full-text source: 04c-port]</t>
  </si>
  <si>
    <t>Step-1 note: Civil infrastructure DTs review; SHM and disaster response | Stage-2 exclusion basis: P=No; R=No | Coded from Step-3 deep-read markdown (Prompt B), imported 2026-09-30 | Prior matrix (v260816) verification note retained in 3_Change_Log</t>
  </si>
  <si>
    <t>10.3846/jcem.2025.24921</t>
  </si>
  <si>
    <t>Luleci, F et al. (2024)</t>
  </si>
  <si>
    <t>Community Twin Ecosystem for Disaster Resilient Communities</t>
  </si>
  <si>
    <t>COWINE community DT ecosystem for disaster-resilient communities built on Cities:Skylines simulation engine with integrated real-world data (Brevard County FL pilot: topography, infrastructure, traffic, transit, disaster stats, 120k simulated agents); five-dimensional DT framing; collaborative stakeholder/public use-case for tornado preparedness/response/recovery with resilience-property analysis (vulnerability, robustness, redundancy, resourcefulness). Explicitly NOT real-time: "manual data-integration process", "human-based (manual) intermittent data flow", no automated calibration (future mods); no ML and no learning loop — descriptive, simulation-based. [Full-text source: 04c-port]</t>
  </si>
  <si>
    <t>Fills the gap between conceptual community-resilience digital twins and functional visualization: COWINE uses Cities:Skylines as simulation engine integrated with real-world topography, infrastructure, economic, traffic and disaster data for a Brevard County Florida pilot region, with interactive visualizations and a tornado case study demonstrating collaborative before-during-after resilience planning among stakeholders.</t>
  </si>
  <si>
    <t>Data flow is not real-time but manual and intermittent, assets are uniform with no deterioration models, and there is no traffic crash or fuel consumption simulation; the tornado scenario is demonstrative rather than validated, and the authors list future work on mods for real-time data flow, deterioration tracking and empirical validation.</t>
  </si>
  <si>
    <t>Real-world topography, infrastructure, traffic, transit and disaster data are manually integrated into one georeferenced Cities:Skylines simulation scene, with no automated calibration or live link.</t>
  </si>
  <si>
    <t>Step-1 note: Community twin ecosystem for disaster-resilient communities | Coded from Step-3 deep-read markdown (Prompt B), imported 2026-09-30 | Prior matrix (v260816) verification note retained in 3_Change_Log</t>
  </si>
  <si>
    <t>10.3390/smartcities7060137</t>
  </si>
  <si>
    <t>Ge, Q et al. (2024)</t>
  </si>
  <si>
    <t>A Study on the Construction and Evaluation of the Water Resource Reutilization System for Farmland Diversion and Drainage</t>
  </si>
  <si>
    <t>Step-1 note: Farmland diversion drainage; agriculture/hydrology</t>
  </si>
  <si>
    <t>10.3390/w16162289</t>
  </si>
  <si>
    <t>Guo, J et al. (2021)</t>
  </si>
  <si>
    <t>Study on the Construction and Application of Digital Twins on High Voltage Transmission Line Live Working Scenes</t>
  </si>
  <si>
    <t>Step-1 note: HV transmission live working DT; power</t>
  </si>
  <si>
    <t>10.1109/ACCESS.2021.3097179</t>
  </si>
  <si>
    <t>Li, X et al. (2022)</t>
  </si>
  <si>
    <t>Application of Digital Twin in Handling and Transportation of Hazardous Chemicals</t>
  </si>
  <si>
    <t>Step-1 note: Hazardous chemicals transport DT; transportation</t>
  </si>
  <si>
    <t>10.3390/app122412746</t>
  </si>
  <si>
    <t>Newrzella, S.R et al. (2022)</t>
  </si>
  <si>
    <t>Three-Dimension Digital Twin Reference Architecture Model for Functionality, Dependability, and Life Cycle Development Across Industries</t>
  </si>
  <si>
    <t>Step-1 note: Cross-industry DT reference architecture; generic</t>
  </si>
  <si>
    <t>10.1109/ACCESS.2022.3202941</t>
  </si>
  <si>
    <t>Intelligent Prediction of Prestressed Steel Structure Construction Safety Based on BP Neural Network</t>
  </si>
  <si>
    <t>Intelligent prediction of prestressed steel structure construction safety based on BP neural network (South China U Tech): DT virtual model of construction process; BP neural network captures relationship between design parameters and mechanical parameters; working conditions set in twin model to obtain mechanical parameters, then safety performance evaluated; applied to string beam construction; predicted results verified against on-site measured data. One-way monitoring-&gt;BP prediction-&gt;safety assessment; no actuation, no learning loop. [Full-text source: 04c-port]</t>
  </si>
  <si>
    <t>Establishes a correlation mechanism between structural design parameters and mechanical parameters and fuses it with a four-level geometry-physics-behavior-rule digital twin, training a BP neural network on finite element samples to intelligently predict construction safety of a string beam. Predicted vertical displacement and lower-chord cable stress were verified against field measurements, providing a basis for safety control.</t>
  </si>
  <si>
    <t>The BP network is trained only on finite element simulation data, only two mechanical parameters are predicted, and validation covers a single string beam of one convention center roof; no online updating from live monitoring is implemented. Future research will combine mechanical with design parameters to find key safety factors and consider more realistic conditions.</t>
  </si>
  <si>
    <t>BP-network training samples come from FE working-condition simulation, and predicted displacement/stress are verified against on-site measurements, sharing the structural model frame without joint inference.</t>
  </si>
  <si>
    <t>Step-1 note: DTs + BP neural network for prestressed steel construction safety | Coded from Step-3 deep-read markdown (Prompt B), imported 2026-09-30 | Prior matrix (v260816) verification note retained in 3_Change_Log</t>
  </si>
  <si>
    <t>10.3390/app12031442</t>
  </si>
  <si>
    <t>Braik, A.M et al. (2023)</t>
  </si>
  <si>
    <t>A novel digital twin framework of electric power infrastructure systems subjected to hurricanes</t>
  </si>
  <si>
    <t>Step-1 note: Electric power network DT hurricanes; energy</t>
  </si>
  <si>
    <t>10.1016/j.ijdrr.2023.104020</t>
  </si>
  <si>
    <t>Shi, G et al. (2024)</t>
  </si>
  <si>
    <t>Optimization method of cable structure demolition driven by digital twin evolution model</t>
  </si>
  <si>
    <t>DT evolution model for cable-structure demolition optimisation (BJUT, Structures 2024): virtual-real mapping of the demolition process via visual, simulation and data modelling; improved PSO-BPNN analyses mechanical properties across demolition steps to select the best construction scheme; a DT platform guides actual construction; verified on a cable-truss experimental model, accurately mapping the demolition process and improving visualisation and guidance. Experimental-model validation; one-way twin-&gt;guidance to construction crews; no actuation, no learning loop. [Full-text source: Endnote]</t>
  </si>
  <si>
    <t>Fills the scheme-optimisation gap in cable-structure demolition: the DT evolution model with improved PSO-BPNN mechanical-property analysis selects the best demolition scheme and the twin platform guides construction, verified on a cable-truss experimental model.</t>
  </si>
  <si>
    <t>Experimental cable-truss model rather than a real demolition project; PSO-BPNN generalisation and the live data feed from an actual site are not demonstrated, and quantitative safety gains are not reported.</t>
  </si>
  <si>
    <t>Visual, simulation and data models are integrated in the DT evolution model, and PSO-BPNN fuses demolition-step mechanical-property changes.</t>
  </si>
  <si>
    <t>Step-1 note: DT evolution model for cable structure demolition safety | Coded from Step-3 deep-read markdown (Prompt B), imported 2026-09-30</t>
  </si>
  <si>
    <t>10.1016/j.istruc.2024.107425</t>
  </si>
  <si>
    <t>Ban, X et al. (2024)</t>
  </si>
  <si>
    <t>IoTFuzz: Automated Discovery of Violations in Smart Homes with Real Environment</t>
  </si>
  <si>
    <t>Step-1 note: Smart home IoT fuzzing; security testing</t>
  </si>
  <si>
    <t>10.1109/JIOT.2023.3325851</t>
  </si>
  <si>
    <t>Khan, M et al. (2021)</t>
  </si>
  <si>
    <t>Environmental particulate matter (Pm) exposure assessment of construction activities using low-cost pm sensor and latin hypercubic technique</t>
  </si>
  <si>
    <t>Step-1 note: PM exposure sensors; no DT</t>
  </si>
  <si>
    <t>10.3390/su13147797</t>
  </si>
  <si>
    <t>Dedousis, P et al. (2023)</t>
  </si>
  <si>
    <t>Enhancing Operational Resilience of Critical Infrastructure Processes Through Chaos Engineering</t>
  </si>
  <si>
    <t>Step-1 note: Chaos engineering CPS; generic</t>
  </si>
  <si>
    <t>10.1109/ACCESS.2023.3316028</t>
  </si>
  <si>
    <t>Chen, J et al. (2024)</t>
  </si>
  <si>
    <t>IoT-Based SHM Using Digital Twins for Interoperable and Scalable Decentralized Smart Sensing Systems</t>
  </si>
  <si>
    <t>IoT-based SHM using hierarchical digital twins for interoperable and scalable decentralized smart sensing systems (RWTH Aachen, Information 2024): organizational scheme scales monitoring from components via systems to clusters; conceptual framework addresses communication security, data sovereignty and interoperability; proof-of-concept implementation monitors a cantilever component with near-real-time deformation and strain data via an app. Prototype demonstrator. [Full-text source: browser-oa]</t>
  </si>
  <si>
    <t>Hierarchical DT scheme addresses interoperability, security and scalability for IoT-based SHM from component to cluster scales.</t>
  </si>
  <si>
    <t>Cantilever proof-of-concept; scaling to clusters untested; security evaluation not quantified.</t>
  </si>
  <si>
    <t>Deformation and strain sensor streams are fused into the near-real-time cantilever DT.</t>
  </si>
  <si>
    <t>Step-1 note: IoT SHM with DTs for decentralized smart sensing systems | Coded from Step-3 deep-read markdown (Prompt B), imported 2026-09-30</t>
  </si>
  <si>
    <t>10.3390/info15030121</t>
  </si>
  <si>
    <t>Parallel Training: An ACP-Based Training Framework for Iterative Learning in Uncertain Driving Spaces</t>
  </si>
  <si>
    <t>Step-1 note: Parallel training autonomous driving; vehicles</t>
  </si>
  <si>
    <t>10.1109/TIV.2023.3249287</t>
  </si>
  <si>
    <t>Digital Twins for Real-Time Scenario Analysis during Well Construction Operations</t>
  </si>
  <si>
    <t>Step-1 note: Well construction DT scenario analysis; oil drilling</t>
  </si>
  <si>
    <t>10.3390/en15186584</t>
  </si>
  <si>
    <t>Lv, Z et al. (2023)</t>
  </si>
  <si>
    <t>Digital twins for secure thermal energy storage in building</t>
  </si>
  <si>
    <t>Step-1 note: Thermal energy storage DT building; energy focus</t>
  </si>
  <si>
    <t>10.1016/j.apenergy.2023.120907</t>
  </si>
  <si>
    <t>Apolinário, F et al. (2024)</t>
  </si>
  <si>
    <t>FingerCI: Writing industrial process specifications from network traffic</t>
  </si>
  <si>
    <t>Step-1 note: FingerCI baggage handling DT; industrial</t>
  </si>
  <si>
    <t>10.1016/j.ijcip.2024.100725</t>
  </si>
  <si>
    <t>Guo, F et al. (2025)</t>
  </si>
  <si>
    <t>Enhancing Negotiation Policies via Spatio-Temporal Directed Graphs for Autonomous Interaction</t>
  </si>
  <si>
    <t>Step-1 note: Negotiation policies AVs; vehicles</t>
  </si>
  <si>
    <t>10.1109/TASE.2025.3586434</t>
  </si>
  <si>
    <t>A framework for an indoor safety management system based on digital twin</t>
  </si>
  <si>
    <t>Indoor safety management system (ISMS) based on digital twin, applied to a room in the Beijing 2022 Winter Olympics bobsleigh/sled stadium: IoT sensors collect real-time indoor operation data → BIM-based DTM maps real→virtual; SVM (support vector machine) trained to automatically classify danger types and assess danger levels from DTM data; functions include operation-status scene display, danger warning and positioning, danger classification/level assessment, and automatic danger-handling suggestions; synchronous virtual+real-world alarms. One-way monitoring/analysis→suggestions for staff; no actuation and no stated self-improvement loop (SVM is offline-trained). [Full-text source: 04c-port]</t>
  </si>
  <si>
    <t>Addresses the disconnect between independent indoor safety systems and building information: a digital twin-based indoor safety management system combining lightweight WebGL BIM, LoRa IoT terminals (oxygen, CO, smoke, temperature, door and window sensors plus camera people counting) and SVM models that classify fire, illegal intrusion and overcrowding with 97.57 to 100 percent accuracy and grade danger levels at 96.2 percent accuracy with R2 above 0.89, applied to a Beijing Winter Olympics stadium building.</t>
  </si>
  <si>
    <t>The SVM models are trained offline on 15 days of simulated danger data from one stairwell room, danger coefficient scoring depends on safety staff judgment, and danger handling still falls to human staff. Future work targets more targeted handling suggestions, additional dangers such as harmful gas leaks, and extending digital twin models to structural and equipment safety management.</t>
  </si>
  <si>
    <t>LoRa IoT terminals (oxygen, CO, smoke, temperature, door/window sensors, camera people-counting) are jointly classified by SVM models into fire, illegal-intrusion and overcrowding dangers with danger-level grading.</t>
  </si>
  <si>
    <t>Step-1 note: DT framework for indoor building safety management | Coded from Step-3 deep-read markdown (Prompt B), imported 2026-09-30 | Prior matrix (v260816) verification note retained in 3_Change_Log</t>
  </si>
  <si>
    <t>10.3390/s20205771</t>
  </si>
  <si>
    <t>Kamari, M et al. (2022)</t>
  </si>
  <si>
    <t>Analyzing Safety Risk Imposed by Jobsite Debris to Nearby Built Environments Using Geometric Digital Twins and Vision-Based Deep Learning</t>
  </si>
  <si>
    <t>Vision-based risk assessment of jobsite windborne-debris impact on nearby dwellings: geometric digital twin of a gravel pile built from 45 UAV aerial images (dense point cloud + binarized DSM, volume 63 m³, EM ~4.6%) + semantic segmentation of glazing panels via CNNs (ResNet50 85.0% acc) from Google Street View + satellite terrain modeling; reliability of glazing systems computed with FEMA-HAZUS windborne-missile model (N_adjusted ~237 impacts at 62 m/s, 80 m). Static one-shot reconstruction/analysis — no live data link and no learning loop. [Full-text source: 04c-port]</t>
  </si>
  <si>
    <t>Extends jobsite debris risk assessment to neighboring communities: a geometric digital twin of a railroad jobsite gravel pile built from 45 UAV images (volumetric error about 4.6 percent) feeds a HAZUS-based glazing reliability model together with ResNet50 street-view window segmentation (85.0 percent accuracy), computing failure probability of nearby dwelling glazing systems across 35 to 65 m/s wind scenarios.</t>
  </si>
  <si>
    <t>Relies on static Google Street View and UAV imagery with no live wind or site monitoring; facade occlusion by cars and trees degrades window detection, and performance drops in rain and fog. HAZUS assumptions such as uniform gravel size and persistent wind direction and the lack of validation against real disaster cases remain; collecting such data at scale is future work.</t>
  </si>
  <si>
    <t>UAV photogrammetry, Street-View CNN segmentation and satellite terrain modelling are combined in one HAZUS-based reliability computation of nearby glazing systems under windborne-debris impact.</t>
  </si>
  <si>
    <t>Step-1 note: Geometric DTs for windborne debris risk to built environments | AB normalised to code list (source label "Perception / Computer Vision") | Coded from Step-3 deep-read markdown (Prompt B), imported 2026-09-30 | Prior matrix (v260816) verification note retained in 3_Change_Log</t>
  </si>
  <si>
    <t>10.1061/(ASCE)CP.1943-5487.0001044</t>
  </si>
  <si>
    <t>The role of the foundation flexibility on the seismic response of a modern tall building: Vertically incident plane waves</t>
  </si>
  <si>
    <t>Step-1 note: SSI tall building seismic; DT keyword only</t>
  </si>
  <si>
    <t>10.1016/j.soildyn.2024.108819</t>
  </si>
  <si>
    <t>Gordan, M et al. (2024)</t>
  </si>
  <si>
    <t>Protecting critical infrastructure against cascading effects: The PRECINCT approach</t>
  </si>
  <si>
    <t>Step-1 note: PRECINCT CI cascading security; generic CI</t>
  </si>
  <si>
    <t>10.1016/j.rcns.2024.04.001</t>
  </si>
  <si>
    <t>Wu, B et al. (2024)</t>
  </si>
  <si>
    <t>The Application of Digital Technology in the Field of Civil Aircraft Fireproof †</t>
  </si>
  <si>
    <t>Step-1 note: Aircraft fireproof digital tech; aerospace</t>
  </si>
  <si>
    <t>10.3390/engproc2024080031</t>
  </si>
  <si>
    <t>Omer, K et al. (2025)</t>
  </si>
  <si>
    <t>Multi-layer robotic controller for enhancing the safety of mobile robot navigation in human-centered indoor environments</t>
  </si>
  <si>
    <t>Step-1 note: Robot navigation safety controller; DT keyword only</t>
  </si>
  <si>
    <t>10.3389/frobt.2025.1629931</t>
  </si>
  <si>
    <t>Dang, J et al. (2023)</t>
  </si>
  <si>
    <t>Developing DELPHI expert consensus rules for a digital twin model of acute stroke care in the neuro critical care unit</t>
  </si>
  <si>
    <t>Step-1 note: Stroke care DT DELPHI; healthcare</t>
  </si>
  <si>
    <t>10.1186/s12883-023-03192-9</t>
  </si>
  <si>
    <t>Zhao, Y et al. (2022)</t>
  </si>
  <si>
    <t>An Established Theory of Digital Twin Model for Tunnel Construction Safety Assessment</t>
  </si>
  <si>
    <t>Digital twin model theory for tunnel construction safety assessment (Beijing U Tech): IoT + smart sensors collect project data; DT built combining BIM + Midas + LSTM ML algorithm; black-box/gray-box/white-box hierarchical data processing; vault (arch crown) settlement predicted with high accuracy and dynamic safety-state assessment during tunnel construction. One-way monitoring-&gt;prediction-&gt;assessment; no actuation, no learning loop (LSTM offline-trained). [Full-text source: 04c-port]</t>
  </si>
  <si>
    <t>Fills the gap of static risk assessment that cannot track dynamic tunnel construction: a digital twin theory fuses IoT-collected data into geometry, physics and knowledge models (BIM, Midas, LSTM) with black-box, gray-box and white-box accuracy levels, and LSTM prediction of vault settlement (RMSE 0.0929 mm, maximum error about 0.135 mm) drives displacement-level safety grading against a 120 mm design limit.</t>
  </si>
  <si>
    <t>Only vault settlement is verified, on a single Grade-V rock tunnel section with data collected once per day, so real-time continuous mapping is not demonstrated and assessment of other risk types remains theoretical. Authors state they will verify the method across as many security risk categories as possible to strengthen the theory.</t>
  </si>
  <si>
    <t>IoT multi-sensor project data are fused into BIM+Midas+LSTM twin models with black/gray/white-box processing levels, and the LSTM predicts vault settlement for dynamic safety grading.</t>
  </si>
  <si>
    <t>Step-1 note: DT modeling theory for tunnel construction safety assessment | Coded from Step-3 deep-read markdown (Prompt B), imported 2026-09-30 | Prior matrix (v260816) verification note retained in 3_Change_Log</t>
  </si>
  <si>
    <t>10.3390/app122312256</t>
  </si>
  <si>
    <t>Ghaffarian, S et al. (2023)</t>
  </si>
  <si>
    <t>Explainable artificial intelligence in disaster risk management: Achievements and prospective futures</t>
  </si>
  <si>
    <t>Step-1 note: XAI disaster risk review; generic DRM</t>
  </si>
  <si>
    <t>10.1016/j.ijdrr.2023.104123</t>
  </si>
  <si>
    <t>Li, J et al. (2024)</t>
  </si>
  <si>
    <t>Automated generation and semantic segmentation of roof orthophoto for digital twin -based monitoring of slated roofs</t>
  </si>
  <si>
    <t>DT-based monitoring pipeline for slated pitched roofs (University of Edinburgh / Historic Environment Scotland): (1) automated occlusion-free roof-panel orthophoto generation from SfM photogrammetry + the building DT/BIM model; (2) deep-learning semantic segmentation of orthophotos into slates/leadwork/other (PointRend+Focal Loss best, background corrected to 100%); validated on 3 real traditional buildings (Duff House, St Mary's Church, ...). Outputs are semantically linked to DT/digital logbook elements for future defect detection and epoch comparison; processing pipeline is static/offline — no live data link and no learning loop. [Full-text source: 04c-port]</t>
  </si>
  <si>
    <t>Fills the gap of automated condition monitoring for pitched slated roofs, for which no prior orthophoto or segmentation work existed: a pipeline generating occlusion-free metric panel orthophotos from SfM reconstruction plus the building DT model, then deep-learning semantic segmentation into slate, leadwork and other, with PointRend plus background label correction reaching 94.22 mIoU and 100 percent background accuracy, validated on Duff House, St Marys Church and a Stirling house.</t>
  </si>
  <si>
    <t>Stage C defect detection is not implemented; segmentation still confuses leadwork and other classes, generalization drops sharply on unseen buildings, and occlusions such as chimneys can survive the median merging as shadows. Future work covers more roof data, SAM-based segmentation, defect detection in the semantic segments, and populating and maintaining the roof digital logbook.</t>
  </si>
  <si>
    <t>SfM photogrammetry and the building DT/BIM geometry are jointly used to generate occlusion-free metric orthophotos, on which deep-learning semantic segmentation then runs.</t>
  </si>
  <si>
    <t>Step-1 note: Roof orthophoto pipeline for DT-based slated roof monitoring | AB normalised to code list (source label "Perception / Computer Vision") | Coded from Step-3 deep-read markdown (Prompt B), imported 2026-09-30 | Prior matrix (v260816) verification note retained in 3_Change_Log</t>
  </si>
  <si>
    <t>10.1016/j.autcon.2024.105725</t>
  </si>
  <si>
    <t>Armijo, A et al. (2024)</t>
  </si>
  <si>
    <t>Integration of Railway Bridge Structural Health Monitoring into the Internet of Things with a Digital Twin: A Case Study</t>
  </si>
  <si>
    <t>2-year in-service railway bridge pilot; unsupervised clustering of normal vibration + FEM-calibrated synthetic damage + LightGBM classifier (ROC-AUC 0.9999); periodic retraining of the model on accumulated data = implemented learning loop, but no convergence criterion/metric. [Full-text source: 04c-port]</t>
  </si>
  <si>
    <t>Demonstrates an operational digital twin for railway bridge SHM: low-cost wireless accelerometers (about EUR 300), hybrid edge-cloud processing with real-time FFT, unsupervised clustering of normal vibration, FEM-calibrated synthetic damage data, and a LightGBM classifier reaching ROC-AUC 0.9999 on two years of in-service vibration data from a bridge in the Basque Country.</t>
  </si>
  <si>
    <t>Detection is anomaly-based rather than damage localization or quantification, which the authors list as future work; validation is limited to one short-span bridge pilot, and analytics still rely on middleware plus cloud, with plans to move FFT and inference onto energy-harvesting edge sensors and to extend to wind towers and broader production deployments.</t>
  </si>
  <si>
    <t>Only ambient-vibration time series from wireless accelerometers feed the analytics; FEM-calibrated synthetic damage is model-generated training data, not a second measured data type.</t>
  </si>
  <si>
    <t>Step-1 note: Railway bridge SHM IoT with DT case study | Coded from Step-3 deep-read markdown (Prompt B), imported 2026-09-30 | Prior matrix (v260816) verification note retained in 3_Change_Log</t>
  </si>
  <si>
    <t>10.3390/s24072115</t>
  </si>
  <si>
    <t>Adamos, K et al. (2024)</t>
  </si>
  <si>
    <t>Enhancing attack resilience of cyber-physical systems through state dependency graph models</t>
  </si>
  <si>
    <t>Step-1 note: CPS attack resilience graphs; generic CPS</t>
  </si>
  <si>
    <t>10.1007/s10207-023-00731-w</t>
  </si>
  <si>
    <t>Wu, X et al. (2024)</t>
  </si>
  <si>
    <t>Multisource information fusion for real-time prediction and multiobjective optimization of large-diameter slurry shield attitude</t>
  </si>
  <si>
    <t>Multisource information fusion for real-time prediction and multiobjective optimization of large-diameter slurry shield attitude (HUST): BO-CatBoost prediction model (R2 &gt; 0.9, RMSE &lt; 1.2, MAE &lt; 0.9 across 3 soils) + MOEAD multiobjective optimization; SHAP identifies propulsive thrust as most influential; DT framework for SA control; validated on Yangtze River large-diameter slurry shield project (Wuhan). One-way monitoring→prediction→optimization; no actuation and no learning loop (offline-trained). [Full-text source: 04c-port]</t>
  </si>
  <si>
    <t>Combines prediction and optimization for large-diameter slurry shield attitude: Bayesian-optimized CatBoost maps 19 construction parameters to six attitude targets with R-squared above 0.9 on three soils of the Yangtze River tunnel in Wuhan, SHAP finds push-group thrust dominant, and MOEAD multiobjective optimization improves attitude by up to 23.436 percent across five scenarios, embedded in a digital twin framework with warnings and parameter recommendations.</t>
  </si>
  <si>
    <t>The three studied soils are relatively uniform, so complex ground behavior is untested, penetration degree and tool size are ignored, and real-time monitoring data must be imported manually with no autonomous platform link. Future work will add more shield projects and soil types for generalizability and connect the monitoring platform so prediction and optimization run independently.</t>
  </si>
  <si>
    <t>Bayesian-optimised CatBoost maps 19 construction parameters to six attitude targets as one multi-input model, with SHAP identifying dominant factors and MOEAD multi-objective optimisation on the predictions.</t>
  </si>
  <si>
    <t>Step-1 note: DT framework for slurry shield attitude safety prediction | Coded from Step-3 deep-read markdown (Prompt B), imported 2026-09-30 | Prior matrix (v260816) verification note retained in 3_Change_Log</t>
  </si>
  <si>
    <t>10.1016/j.ress.2024.110305</t>
  </si>
  <si>
    <t>Lanin, D.G (2023)</t>
  </si>
  <si>
    <t>Topical Issues of the Introduction of Artificial Intelligence Into the Design Process of Nuclear Power Plants</t>
  </si>
  <si>
    <t>Step-1 note: AI in NPP design; nuclear</t>
  </si>
  <si>
    <t>10.1007/s10749-023-01612-x</t>
  </si>
  <si>
    <t>Hu, Y et al. (2025)</t>
  </si>
  <si>
    <t>Data-knowledge hybrid driven intelligent prediction method of tunnel excavation profiles geometric deformation</t>
  </si>
  <si>
    <t>Step-1 note: Tunnel excavation deformation prediction; DT context only</t>
  </si>
  <si>
    <t>10.1080/17538947.2025.2459317</t>
  </si>
  <si>
    <t>Intelligent Control of Building Operation and Maintenance Processes Based on Global Navigation Satellite System and Digital Twins</t>
  </si>
  <si>
    <t>Step-1 note: GNSS+DT building O&amp;M control; not DfS</t>
  </si>
  <si>
    <t>10.3390/rs14061387</t>
  </si>
  <si>
    <t>Zheng, Z et al. (2022)</t>
  </si>
  <si>
    <t>Digital Twin-Based Investigation of a Building Collapse Accident</t>
  </si>
  <si>
    <t>Digital twin-based investigation of a building collapse accident (Tsinghua U): virtual digital building models (BIM, FE model, physics-engine model) built from real-world info; real-world data mapped into virtual space to construct highly realistic multistage models before and after the collapse, synchronized; investigators integrate/update/check models to reveal collapse mechanism; validated on a real collapse accident (columns exceeded critical buckling stress from welding-induced local buckling/plastic deformation). One-way data-&gt;model-&gt;cause diagnosis; no actuation, no learning loop. [Full-text source: 04c-port]</t>
  </si>
  <si>
    <t>Fills the gap between out-of-sync site investigation and simulation in collapse forensics: a digital twin built from BIM, finite element and physics engine models reconstructs the multistage life cycle of a seven-story hotel retrofitted from a four-story steel frame, reproduces the collapse and matches simulated wreckage with actual debris, showing welding-induced column buckling and plastic deformation caused the failure rather than local buckling alone.</t>
  </si>
  <si>
    <t>A retrospective forensic tool: the accident has already occurred and caused heavy losses, and the twin is built from drawings and records rather than live sensor data. Future research will establish digital twin models for important buildings in advance to perform multihazard simulations and continuously monitor key component mechanical states to prevent disasters.</t>
  </si>
  <si>
    <t>Real-world records (drawings, photos, investigation data) are mapped into BIM, FE and physics-engine models that reconstruct the collapse in stages, sharing one building frame while each model analyses its own domain.</t>
  </si>
  <si>
    <t>Step-1 note: DT-based investigation of building collapse accident | Coded from Step-3 deep-read markdown (Prompt B), imported 2026-09-30 | Prior matrix (v260816) verification note retained in 3_Change_Log</t>
  </si>
  <si>
    <t>10.1155/2022/9568967</t>
  </si>
  <si>
    <t>Creb, C et al. (2024)</t>
  </si>
  <si>
    <t>Intelligent Transportation Systems Using Roadside Infrastructure: A Literature Survey</t>
  </si>
  <si>
    <t>Step-1 note: ITS roadside infrastructure survey; transportation</t>
  </si>
  <si>
    <t>10.1109/TITS.2023.3343434</t>
  </si>
  <si>
    <t>Zhang, Z et al. (2025)</t>
  </si>
  <si>
    <t>Digital Twin Technology Architecture and Application for Nuclear Reactor Intelligent Operation and Maintenance</t>
  </si>
  <si>
    <t>Step-1 note: Nuclear reactor O&amp;M DT; nuclear</t>
  </si>
  <si>
    <t>10.1109/ACCESS.2025.3570182</t>
  </si>
  <si>
    <t>Bachelor, G et al. (2020)</t>
  </si>
  <si>
    <t>Model-Based Design of Complex Aeronautical Systems through Digital Twin and Thread Concepts</t>
  </si>
  <si>
    <t>Step-1 note: Aeronautical MBD DT and thread; aerospace</t>
  </si>
  <si>
    <t>10.1109/JSYST.2019.2925627</t>
  </si>
  <si>
    <t>Intelligent safety assessment of prestressed steel structures based on digital twins</t>
  </si>
  <si>
    <t>Intelligent safety assessment of prestressed steel structures based on digital twins (BJUT, Symmetry 2021): DT framework with physical and virtual space models; multidimensional spatiotemporal information fusion for structural safety performance analysis; Bow-tie model for maintenance modelling of unsafe construction events; applied to a wheel-spoke cable truss, validated by comparing theoretical and site-measured cable force. One-way fusion into assessment and maintenance. [Full-text source: browser-oa]</t>
  </si>
  <si>
    <t>DT framework with multidimensional spatiotemporal fusion and Bow-tie maintenance modelling, validated on a real wheel-spoke cable truss against site cable forces.</t>
  </si>
  <si>
    <t>Single case; Bow-tie maintenance model depth limited; assessment guidance depends on site crews.</t>
  </si>
  <si>
    <t>Multi-source construction information is fused across time and space for safety performance analysis.</t>
  </si>
  <si>
    <t>Step-1 note: DT-based intelligent safety assessment of prestressed steel | Coded from Step-3 deep-read markdown (Prompt B), imported 2026-09-30</t>
  </si>
  <si>
    <t>10.3390/sym13101927</t>
  </si>
  <si>
    <t>Schreiber, H et al. (2024)</t>
  </si>
  <si>
    <t>ESIT – a digital twin of air surveillance infrastructure; [ESIT – ein Digitaler Zwilling für das zivile Flugsicherungsradar]</t>
  </si>
  <si>
    <t>Step-1 note: Air surveillance radar DT; aviation</t>
  </si>
  <si>
    <t>10.1007/s00502-024-01214-z</t>
  </si>
  <si>
    <t>Beheshti, M et al. (2023)</t>
  </si>
  <si>
    <t>A Smart Service System for Spatial Intelligence and Onboard Navigation for Individuals with Visual Impairment (VIS4ION Thailand): study protocol of a randomized controlled trial of visually impaired students at the Ratchasuda College, Thailand</t>
  </si>
  <si>
    <t>Step-1 note: VIS4ION navigation wearable; healthcare</t>
  </si>
  <si>
    <t>10.1186/s13063-023-07173-8</t>
  </si>
  <si>
    <t>Marra, A et al. (2021)</t>
  </si>
  <si>
    <t>DIGITAL MODELS FOR E-CONSERVATION: THE HBRIM OF A BRIDGE ALONG THE ATERNO RIVER</t>
  </si>
  <si>
    <t>Step-1 note: HBrIM bridge e-conservation; DT keyword only</t>
  </si>
  <si>
    <t>10.2423/i22394303v11n2p83</t>
  </si>
  <si>
    <t>Lauria, M et al. (2024)</t>
  </si>
  <si>
    <t>Digital Transformation in the Construction Sector: A Digital Twin for Seismic Safety in the Lifecycle of Buildings</t>
  </si>
  <si>
    <t>DT4SEM digital twin for seismic safety in the building lifecycle (Mediterranean University of Reggio Calabria, Sustainability 2024): experimental application on a reinforced-concrete sample building synchronizing the physical building with its as-built digital model via IoT (2 gateways, 85 multi-sensor nodes) on a collaborative platform; first results support proactive seismic behaviour monitoring, maintenance scheduling and informed building management. Monitoring-oriented (no actuation). [Full-text source: browser-oa]</t>
  </si>
  <si>
    <t>Operational DT4SEM on a real building with 85 sensor nodes synchronizing an as-built model for seismic monitoring and maintenance scheduling.</t>
  </si>
  <si>
    <t>First results only; long-term sensor network reliability and decision workflows not yet quantified.</t>
  </si>
  <si>
    <t>85 multi-sensor streams are fused with the as-built model for seismic behaviour monitoring.</t>
  </si>
  <si>
    <t>Step-1 note: DT for seismic safety in building lifecycle | Coded from Step-3 deep-read markdown (Prompt B), imported 2026-09-30</t>
  </si>
  <si>
    <t>10.3390/su16188245</t>
  </si>
  <si>
    <t>Gironimo, G et al. (2023)</t>
  </si>
  <si>
    <t>Preliminary architecture of the DTT remote handling test and training facility</t>
  </si>
  <si>
    <t>Step-1 note: DTT remote handling facility; nuclear fusion</t>
  </si>
  <si>
    <t>10.1016/j.fusengdes.2023.113978</t>
  </si>
  <si>
    <t>Danesi, L et al. (2025)</t>
  </si>
  <si>
    <t>Assessing the Suitability of Damage Indexes for Digital Twin Applications in RC Buildings Considering Masonry Infills</t>
  </si>
  <si>
    <t>Step-1 note: Damage indexes for DT RC buildings; DT future only</t>
  </si>
  <si>
    <t>10.3390/app15041999</t>
  </si>
  <si>
    <t>Kim, Y.-J et al. (2024)</t>
  </si>
  <si>
    <t>Advanced fire emergency management based on potential fire risk assessment with informative digital twins</t>
  </si>
  <si>
    <t>Informative digital twin (IDT) based fire emergency management system (Sehan U/KUT): cloud-edge-device layers; edge-layer IDT built with object-oriented design gathers/processes building state data; fire recognition via online DTW similarity measurement between real and simulated virtual sensor data; risk assessment with ARET/RRET/SM metrics per zone; case study shows 0.88s fire recognition processing time and 65s evacuation time reduction. One-way monitoring→fire recognition→risk assessment; no actuation and no learning loop (DTW is similarity matching, not learning). [Full-text source: 04c-port]</t>
  </si>
  <si>
    <t>Bridges pre-simulated fire knowledge and real-time emergency response: an edge-layer informative digital twin on a cloud-edge-device architecture compares live sensor data against a pre-simulated fire knowledge base using online DTW with parallel processing, recognizing fire scenarios in 0.88 s versus over eight hours of CFD; zone-based ARET, RRET, and safety margin assessment cut evacuation time by 65 s and injuries by 406 in a Hoehyeon underground mall simulation.</t>
  </si>
  <si>
    <t>Validated through simulation only, with no real fire deployment. Risk assessment considers just three fire risk factors and assumes average walking speed, ignoring obstacles, blocked paths, age, and disability; recognition accuracy depends on the completeness of the knowledge base, and computing and network resources may be strained as buildings and sensors scale. Future work covers generative-AI scenario generation and personalized risk assessment.</t>
  </si>
  <si>
    <t>Live sensor data are compared against a pre-simulated virtual-sensor fire knowledge base via online DTW similarity measurement, so fire recognition depends on real and simulated data streams simultaneously.</t>
  </si>
  <si>
    <t>Step-1 note: Informative DT for fire emergency management | Coded from Step-3 deep-read markdown (Prompt B), imported 2026-09-30 | Prior matrix (v260816) verification note retained in 3_Change_Log</t>
  </si>
  <si>
    <t>10.1016/j.autcon.2024.105722</t>
  </si>
  <si>
    <t>Yu, C et al. (2024)</t>
  </si>
  <si>
    <t>Intelligent Analysis of Construction Safety of Large Underground Space Based on Digital Twin</t>
  </si>
  <si>
    <t>Intelligent safety-monitoring DT system for large underground space construction (Shanghai Baoye/BJUT, Buildings 2024): BIM builds the physical construction model; IoT collects multi-source heterogeneous monitoring data in real time; virtual-physical information exchange enables real-time security analysis whose results are fed back to the application service layer; verified on an example project, obtaining parameter-index mapping for the orthogonal arch and reasonable control measures. One-way monitoring-&gt;analysis-&gt;feedback to managers; no actuation, no learning loop. [Full-text source: Endnote]</t>
  </si>
  <si>
    <t>Fills the fragmented-monitoring gap of underground-space construction: a BIM+IoT DT system centralises multi-source heterogeneous monitoring for real-time security analysis of large underground spaces, verified on an example project with parameter mapping and control measures.</t>
  </si>
  <si>
    <t>Single example project; the real-time security analysis algorithm and its accuracy are not detailed, and feedback to the service layer is for managers, not automated control.</t>
  </si>
  <si>
    <t>Multi-source heterogeneous IoT monitoring data are fused for real-time security analysis of the underground space.</t>
  </si>
  <si>
    <t>Step-1 note: DT safety analysis of large underground space construction | Coded from Step-3 deep-read markdown (Prompt B), imported 2026-09-30 | Prior matrix (v260816) verification note retained in 3_Change_Log</t>
  </si>
  <si>
    <t>10.3390/buildings14061551</t>
  </si>
  <si>
    <t>Ye, Z et al. (2023)</t>
  </si>
  <si>
    <t>A digital twin approach for tunnel construction safety early warning and management</t>
  </si>
  <si>
    <t>Digital-twin based multi-information intelligent early warning and safety management platform for tunnel construction (CUGB/Beijing Jiaotong U): WSN base stations for instruction sending, warning, positioning, information transmission; multi-source sensors (safety, environmental, construction, auxiliary) integrated; four-level early warning and emergency response plan; validated on Dongtianshan Tunnel (deep buried, extreme weather, harmful gas); collapse accident successfully predicted. One-way monitoring→early warning→management; no actuation and no learning loop. [Full-text source: 04c-port]</t>
  </si>
  <si>
    <t>Fills the gap of multi-source information transmission and DT-based early warning in deep-buried tunnel construction: multifunctional wireless base stations collect harmful gas, meteorological, deformation, and personnel-positioning data, mirrored in an OpenGL virtual tunnel with a four-level warning and emergency response mechanism, which successfully predicted a collapse at the K0+668 face of the 11.7 km Dongtianshan Tunnel with no casualties.</t>
  </si>
  <si>
    <t>The virtual simulation lacks detailed display and monitoring of worker behavior, health, and collision risks, and pre-construction risk analysis is not integrated; future work adds more monitoring data types, deeper pre-construction risk analysis, and an improved tunnel construction information database for predictive analysis in the maintenance stage.</t>
  </si>
  <si>
    <t>Multi-source sensors (safety, environmental, construction, auxiliary) are integrated into an OpenGL virtual tunnel with four-level early warnings, linked to the tunnel model while warnings fire per parameter.</t>
  </si>
  <si>
    <t>Step-1 note: DT platform for tunnel construction safety early warning | Coded from Step-3 deep-read markdown (Prompt B), imported 2026-09-30 | Prior matrix (v260816) verification note retained in 3_Change_Log</t>
  </si>
  <si>
    <t>10.1016/j.compind.2022.103783</t>
  </si>
  <si>
    <t>Zhu, Q et al. (2023)</t>
  </si>
  <si>
    <t>Cloud and Edge Computing for Connected and Automated Vehicles</t>
  </si>
  <si>
    <t>Step-1 note: Cloud/edge computing CAVs; vehicles</t>
  </si>
  <si>
    <t>10.1561/1000000058</t>
  </si>
  <si>
    <t>Zeydan, E et al. (2025)</t>
  </si>
  <si>
    <t>The Role of Mobile Communications for Industrial Automation: Architecture, Applications and Challenges</t>
  </si>
  <si>
    <t>Step-1 note: Mobile communications industrial automation; industrial</t>
  </si>
  <si>
    <t>10.1109/OJCOMS.2025.3595403</t>
  </si>
  <si>
    <t>Sun, A et al. (2025)</t>
  </si>
  <si>
    <t>Near Real-Time 3D Reconstruction of Construction Sites Based on Surveillance Cameras</t>
  </si>
  <si>
    <t>Step-1 note: Construction site 3D reconstruction; no DT</t>
  </si>
  <si>
    <t>10.3390/buildings15040567</t>
  </si>
  <si>
    <t>Chen, L et al. (2024)</t>
  </si>
  <si>
    <t>Smart Mining With Autonomous Driving in Industry 5.0: Architectures, Platforms, Operating Systems, Foundation Models, and Applications</t>
  </si>
  <si>
    <t>Step-1 note: Smart mining autonomous driving; mining</t>
  </si>
  <si>
    <t>10.1109/TIV.2024.3365997</t>
  </si>
  <si>
    <t>Shimonishi, H et al. (2024)</t>
  </si>
  <si>
    <t>Probabilistic Representation and Its Application of Digital-Twin of Spatio-Temporal Real-World Toward Trustable Cyber-Physical Interactions</t>
  </si>
  <si>
    <t>Step-1 note: Probabilistic DT representation; generic CPS</t>
  </si>
  <si>
    <t>10.1109/MNET.2024.3439514</t>
  </si>
  <si>
    <t>Katzorke, N et al. (2023)</t>
  </si>
  <si>
    <t>Fields of interest and demands for a digital proving ground twin</t>
  </si>
  <si>
    <t>Step-1 note: Digital proving ground twin; vehicles</t>
  </si>
  <si>
    <t>10.1016/j.trip.2023.100782</t>
  </si>
  <si>
    <t>Well Construction Action Planning and Automation through Finite-Horizon Sequential Decision-Making</t>
  </si>
  <si>
    <t>Step-1 note: Well construction MDP DT; oil drilling</t>
  </si>
  <si>
    <t>10.3390/en15165776</t>
  </si>
  <si>
    <t>Mahmudah, H et al. (2025)</t>
  </si>
  <si>
    <t>iYOLOV7-TPE-SS: Leveraging Improved YOLO Model With Multilevel Hyperparameter Optimization for Road Damage Detection on Edge Devices</t>
  </si>
  <si>
    <t>Step-1 note: Road damage detection YOLO; DT context only</t>
  </si>
  <si>
    <t>10.1109/ACCESS.2025.3562612</t>
  </si>
  <si>
    <t>Hao, X et al. (2024)</t>
  </si>
  <si>
    <t>A Method for Building a Mixed-Reality Digital Twin of a Roadheader Monitoring System</t>
  </si>
  <si>
    <t>Step-1 note: Roadheader MR DT monitoring; mining equipment</t>
  </si>
  <si>
    <t>10.3390/app142411582</t>
  </si>
  <si>
    <t>Müller, J et al. (2024)</t>
  </si>
  <si>
    <t>Analysis of thermal cycles during DED-Arc of high-strength low-alloy steel and microstructural evolution</t>
  </si>
  <si>
    <t>Step-1 note: DED-Arc steel AM thermal cycles; manufacturing</t>
  </si>
  <si>
    <t>10.1016/j.jmrt.2024.07.066</t>
  </si>
  <si>
    <t>Almusaed, A et al. (2023)</t>
  </si>
  <si>
    <t>Architectural Reply for Smart Building Design Concepts Based on Artificial Intelligence Simulation Models and Digital Twins</t>
  </si>
  <si>
    <t>Step-1 note: AI simulation + DT smart building design concepts; not DfS</t>
  </si>
  <si>
    <t>10.3390/su15064955</t>
  </si>
  <si>
    <t>Chandaluri, R et al. (2024)</t>
  </si>
  <si>
    <t>Performance evaluation of electro-mechanical railway interlocking system for digital twin application</t>
  </si>
  <si>
    <t>Step-1 note: Railway interlocking DT simulation; safety devices | Full text not coded: no matching PDF in Endnote library</t>
  </si>
  <si>
    <t>10.1016/j.compeleceng.2024.109225</t>
  </si>
  <si>
    <t>Yu, S et al. (2023)</t>
  </si>
  <si>
    <t>Application research on digital twins of urban earthquake disasters</t>
  </si>
  <si>
    <t>Urban earthquake disaster digital twin (Ningxia Earthquake Agency et al., Geomatics Natural Hazards and Risk 2023): oblique photogrammetry matched with LiDAR builds a high-precision 3D real-scene model; shortest-fault-distance intensity attenuation estimates seismic intensity from active faults and aftershock sequences; elastic-plastic time-history analysis computes building seismic response and visualizes damage levels; real-time sensors map dynamic disaster changes to support emergency rescue decision-making. One-way mapping into analysis/decision support. [Full-text source: browser-oa]</t>
  </si>
  <si>
    <t>High-precision urban real-scene twin combining oblique photogrammetry, LiDAR and elastoplastic time-history analysis for earthquake rescue decisions.</t>
  </si>
  <si>
    <t>Damage visualization rather than physical actuation; intensity model applicability constrained to known faults.</t>
  </si>
  <si>
    <t>Photogrammetry/LiDAR geometry, intensity estimates and real-time sensor data are fused in the city twin.</t>
  </si>
  <si>
    <t>Step-1 note: Urban earthquake disaster DT application | Coded from Step-3 deep-read markdown (Prompt B), imported 2026-09-30</t>
  </si>
  <si>
    <t>10.1080/19475705.2023.2278274</t>
  </si>
  <si>
    <t>Wu, S et al. (2022)</t>
  </si>
  <si>
    <t>Real-time mixed reality-based visual warning for construction workforce safety</t>
  </si>
  <si>
    <t>Real-time mixed reality-based visual warning system for construction workforce safety (RMIT U): integrates BIM + CV + DL; VCS simulates construction activities, identifies hazards from BIM models + real-time camera info; wearable MR devices present hazard information to workers for proactive actions; three outdoor tests; 96.1% hazard identification accuracy, 424ms delay, 72m² effective area. One-way monitoring→hazard identification→warnings; no actuation and no learning loop. [Full-text source: 04c-port]</t>
  </si>
  <si>
    <t>Delivers hazard warnings through ambient vision rather than the occupied focal channel: YOLOv4-tiny with Deep SORT tracks objects from CCTV streams, a 4D BIM-based virtual construction site computes red, yellow, and blue danger zones, and Microsoft HoloLens 2 overlays them in real time, tested in three quasi-on-site scenarios with detection accuracy above 96.1 percent, a 72 square meter effective area, and 11.47 cm average alignment error.</t>
  </si>
  <si>
    <t>Object localization suffers uncorrected perspective and lens distortion effects, virtual-to-real alignment is manual, the detector covers only person and truck classes from MS-COCO, and turning vehicles expose uncovered red zones. Future work includes distortion correction, image-based prediction for fast-moving hazards, additional IoT sensors, spatial-anchor based automatic alignment, and cognitive ergonomics evaluation of user workload.</t>
  </si>
  <si>
    <t>YOLOv4-tiny + DeepSORT detections are anchored into the 4D BIM virtual construction site, so danger-zone computation and HoloLens overlays depend on live vision data and BIM geometry simultaneously.</t>
  </si>
  <si>
    <t>Step-1 note: MR visual warning DT for construction workforce safety | AB normalised to code list (source label "Perception / Computer Vision") | Coded from Step-3 deep-read markdown (Prompt B), imported 2026-09-30 | Prior matrix (v260816) verification note retained in 3_Change_Log</t>
  </si>
  <si>
    <t>10.1016/j.autcon.2022.104252</t>
  </si>
  <si>
    <t>Li, H et al. (2025)</t>
  </si>
  <si>
    <t>Applications of artificial intelligence in the AEC industry: a review and future outlook</t>
  </si>
  <si>
    <t>Step-1 note: AI in AEC review; DT one theme</t>
  </si>
  <si>
    <t>10.1080/13467581.2024.2343800</t>
  </si>
  <si>
    <t>Vila-Chã, E et al. (2023)</t>
  </si>
  <si>
    <t>Implementation of a Condition Monitoring Strategy for the Monastery of Salzedas, Portugal: Challenges and Optimisation</t>
  </si>
  <si>
    <t>Step-1 note: Monastery condition monitoring; DT first step only</t>
  </si>
  <si>
    <t>10.3390/buildings13030719</t>
  </si>
  <si>
    <t>Li, X et al. (2023)</t>
  </si>
  <si>
    <t>Digital-twin-enabled JIT design of rock tunnel: Methodology and application</t>
  </si>
  <si>
    <t>Step-1 note: DT-enabled JIT design of rock tunnel; low-risk | Full text not coded: Endnote candidate(s) found but identity not verified</t>
  </si>
  <si>
    <t>10.1016/j.tust.2023.105307</t>
  </si>
  <si>
    <t>Uncertainty technologies in aircraft digital strength twins; [飞 行 器 数 字 强 度 孪 生 中 的 不 确 定 性 技 术]</t>
  </si>
  <si>
    <t>Step-1 note: Aircraft digital strength twins; aerospace + Chinese journal</t>
  </si>
  <si>
    <t>10.7527/S1000-6893.2025.32408</t>
  </si>
  <si>
    <t>Braik, A.M et al. (2024)</t>
  </si>
  <si>
    <t>A digital twin framework for efficient electric power restoration and resilient recovery in the aftermath of hurricanes considering the interdependencies with road network and essential facilities</t>
  </si>
  <si>
    <t>Step-1 note: Electric power restoration DT hurricanes; energy</t>
  </si>
  <si>
    <t>10.1016/j.rcns.2024.07.004</t>
  </si>
  <si>
    <t>Gregorio, S et al. (2025)</t>
  </si>
  <si>
    <t>A Transdisciplinary Analysis of the 2009 Catastrophe in Giampilieri Superiore by Land Use Evolution Over Time</t>
  </si>
  <si>
    <t>Step-1 note: Giampilieri debris flow DT; natural hazard</t>
  </si>
  <si>
    <t>10.1007/s41748-024-00454-5</t>
  </si>
  <si>
    <t>Wei, W et al. (2023)</t>
  </si>
  <si>
    <t>Augmenting progress monitoring in soil-foundation construction utilizing SOLOv2-based instance segmentation and visual BIM representation</t>
  </si>
  <si>
    <t>Step-1 note: Soil-foundation progress monitoring SOLOv2; no DT</t>
  </si>
  <si>
    <t>10.1016/j.autcon.2023.105048</t>
  </si>
  <si>
    <t>Chen, Z et al. (2023)</t>
  </si>
  <si>
    <t>Artificial Intelligence and Environmental Protection of Buildings; [Sztuczna inteligencja i ochrona środowiska budynków]</t>
  </si>
  <si>
    <t>Step-1 note: AI environmental protection of buildings; no DT</t>
  </si>
  <si>
    <t>10.35784/preko.4039</t>
  </si>
  <si>
    <t>Lahnsteiner, L et al. (2024)</t>
  </si>
  <si>
    <t>Automatic Object Detection in Radargrams of Multi-Antenna GPR Systems Based on Simulation Data for Railway Infrastructure Analysis</t>
  </si>
  <si>
    <t>Step-1 note: GPR railway object detection; no DT</t>
  </si>
  <si>
    <t>10.3390/app14083521</t>
  </si>
  <si>
    <t>Zhao, L et al. (2022)</t>
  </si>
  <si>
    <t>Digital Twin Evaluation of Environment and Health of Public Toilet Ventilation Design Based on Building Information Modeling</t>
  </si>
  <si>
    <t>Step-1 note: Public toilet ventilation DT; IAQ not DfS | Prior matrix (v260816) verification note retained in 3_Change_Log</t>
  </si>
  <si>
    <t>10.3390/buildings12040470</t>
  </si>
  <si>
    <t>Łaziński, P et al. (2025)</t>
  </si>
  <si>
    <t>Reconstruction of the road bridge on Monte Cassino Avenue in Koszalin; [Przebudowa wiaduktu drogowego w ciągu Alei Monte Cassino w Koszalinie]</t>
  </si>
  <si>
    <t>Step-1 note: Koszalin bridge reconstruction; DT future use</t>
  </si>
  <si>
    <t>10.24425/ace.2025.156162</t>
  </si>
  <si>
    <t>Wu, K et al. (2025)</t>
  </si>
  <si>
    <t>A Digital Twin Framework for Physical-Virtual Integration in V2X-Enabled Connected Vehicle Corridors</t>
  </si>
  <si>
    <t>Step-1 note: V2X connected corridor DT; transportation</t>
  </si>
  <si>
    <t>10.1109/TITS.2025.3564351</t>
  </si>
  <si>
    <t>Wysocki, O et al. (2025)</t>
  </si>
  <si>
    <t>Toward Low-Cost Digital Twins for Urban Transportation Systems</t>
  </si>
  <si>
    <t>Step-1 note: Tram DT predictive maintenance; transit vehicles</t>
  </si>
  <si>
    <t>10.1109/ACCESS.2025.3585362</t>
  </si>
  <si>
    <t>Huang, M et al. (2022)</t>
  </si>
  <si>
    <t>DIGITAL TWIN FOR UNDERGROUND STATIONS: IMPROVING DECISION MAKING FOR CONSTRUCTION LIFECYCLE</t>
  </si>
  <si>
    <t>BIM-driven multi-module digital twin for underground stations (Monash/Nottingham, Australian Geomechanics 2022): IFC schema extension for station systems; parametric multi-LOD BIM instantiation (ground, excavation, station parts, support systems); automatic BIM-geotechnical-analysis information exchange bridging information and numerical modelling; preliminarily verified on Melbourne Metro Tunnel stations. Interoperability platform prototype without live data connection. [Full-text source: browser-oa]</t>
  </si>
  <si>
    <t>IFC extension plus automated BIM-to-geotechnical-analysis exchange verified on Melbourne Metro Tunnel stations.</t>
  </si>
  <si>
    <t>Preliminary verification; interoperability tested on selected use cases; live monitoring absent.</t>
  </si>
  <si>
    <t>GIS, geological interpretation, excavation modelling and multi-LOD BIM are fused via the interoperability platform.</t>
  </si>
  <si>
    <t>Step-1 note: DT for underground stations construction lifecycle; geotechnical safety | Coded from Step-3 deep-read markdown (Prompt B), imported 2026-09-30</t>
  </si>
  <si>
    <t>10.56295/AGJ5737</t>
  </si>
  <si>
    <t>Korkmaz, M et al. (2024)</t>
  </si>
  <si>
    <t>Leveraging Digital Twins as a Common Operating Picture for Disaster Management: Case of Seismic Hazards</t>
  </si>
  <si>
    <t>Digital twin as a common operating picture for seismic disaster management (Gebze Technical University, ISPRS IJGI 2024): 3D core model of Kocaeli integrates BIM and seismic hazard assessments with real-time data from various sources; DT-COP framework enhances situational awareness and resource allocation during response; challenges in data accuracy, integration and interoperability acknowledged. Decision-support orientation, no actuation. [Full-text source: browser-oa]</t>
  </si>
  <si>
    <t>DT-COP integration for the Kocaeli case shows enhanced situational awareness and resource allocation for seismic response.</t>
  </si>
  <si>
    <t>Challenges in data accuracy/integration/interoperability acknowledged; quantitative evaluation limited.</t>
  </si>
  <si>
    <t>BIM models and seismic hazard assessments are fused with real-time sources in the COP twin.</t>
  </si>
  <si>
    <t>Step-1 note: DT common operating picture for seismic disaster response | Coded from Step-3 deep-read markdown (Prompt B), imported 2026-09-30</t>
  </si>
  <si>
    <t>10.3390/ijgi13120430</t>
  </si>
  <si>
    <t>Zhou, Y et al. (2021)</t>
  </si>
  <si>
    <t>The Modelling of Digital Twins Technology in the Construction Process of Prefabricated Buildings</t>
  </si>
  <si>
    <t>Modelling study of prefabricated building construction process using digital twins + prefabricated BIM (Chongqing Jiaotong U): DT/prefab construction system with measuring sensors for real-time monitoring and prediction of component damage/deformation (production, transport, assembly); assembly BIM transferred to network cloud for BIM display; risk-indicator data analysed with factor analysis (Cronbach alpha 0.8-0.9, KMO, variance 65.02% cumulative) for potential safety hazards during construction. One-way monitoring/prediction→designer guidance; no actuation and no self-improvement loop (data collection is narrow — acknowledged limitation). [Full-text source: 04c-port]</t>
  </si>
  <si>
    <t>Combines DT technology with prefabricated BIM to model prefabricated building construction, so measuring sensors monitor displacement and rotation torque during component production, transport, and assembly, and risk indicators are tracked in real time. Validation uses factor analysis on risk cases (130 valid cases, 100 percent effective, extraction values 0.75 to 0.86), filling the gap of few DT studies on prefabricated construction in smart cities.</t>
  </si>
  <si>
    <t>The index selection in the construction process is not comprehensive enough and the data collection area is narrow, which the authors state affects universality; the work remains a modelling study without a demonstrated live sensor-to-twin data link. Future work will select multilevel data, supplement research data, and reduce the deviation of research results.</t>
  </si>
  <si>
    <t>A modelling study of prefabricated-construction DTs describes measuring sensors and factor-analysed risk indicators, but the authors state the work lacks a demonstrated live sensor-to-twin data link.</t>
  </si>
  <si>
    <t>Step-1 note: DT modelling of prefab building construction; damage prediction | Coded from Step-3 deep-read markdown (Prompt B), imported 2026-09-30 | Prior matrix (v260816) verification note retained in 3_Change_Log</t>
  </si>
  <si>
    <t>10.1155/2021/2801557</t>
  </si>
  <si>
    <t>Wang, W et al. (2024)</t>
  </si>
  <si>
    <t>From BIM to digital twin in BIPV: A review of current knowledge</t>
  </si>
  <si>
    <t>Step-1 note: BIPV DT review; energy performance focus</t>
  </si>
  <si>
    <t>10.1016/j.seta.2024.103855</t>
  </si>
  <si>
    <t>Yuan, M et al. (2022)</t>
  </si>
  <si>
    <t>BIM Digital Shadow Technology and Risk Assessment Method of the Deep Foundation Pit’s Behavior for Zibo Light Rail</t>
  </si>
  <si>
    <t>Step-1 note: BIM digital shadow foundation pit; not full DT</t>
  </si>
  <si>
    <t>10.3389/feart.2022.908032</t>
  </si>
  <si>
    <t>Gao, L et al. (2025)</t>
  </si>
  <si>
    <t>Digital twin-based vibration displacement sensing and recognition technology for large engineering structures</t>
  </si>
  <si>
    <t>DT-based construction safety-management model for large engineering structures (48 m-span steel roof): DT generates real-time structural state samples that train a PSO-optimised BP neural network for vibration displacement / stress prediction (vertical displacement PA 98.2%, cable stress PA 99.1%, EV 0.978); validated only on a numerical model under 5 simulated working conditions; monitoring-and-warning only, no actuation, offline-trained predictor, no learning loop. [Full-text source: 04c-port]</t>
  </si>
  <si>
    <t>Combines a digital twin construction-safety model with a PSO-optimized BP neural network for vibration displacement sensing and recognition of large structures: the twin generates real-time structural state training samples and the model reaches 98.2 percent prediction accuracy overall, 99.1 percent for tension-cable stress, with eigenvalue EV 0.978 and correct critical-component identification on a 48 m span steel roof model.</t>
  </si>
  <si>
    <t>Validation is numerical, using a 48 m steel roof structural model with five working conditions rather than a monitored real project; the paper reports no live site data or actuation and no explicit limitations section. Future direction stated is only to deepen digital twin research for construction safety assessment and structural optimization design.</t>
  </si>
  <si>
    <t>Only twin-generated structural-state samples (numerical 48 m steel roof under five working conditions) train the PSO-BP predictor; no live measured data exists.</t>
  </si>
  <si>
    <t>Step-1 note: DT vibration sensing and recognition for large structures | Coded from Step-3 deep-read markdown (Prompt B), imported 2026-09-30 | Prior matrix (v260816) verification note retained in 3_Change_Log</t>
  </si>
  <si>
    <t>10.24425/ace.2025.156179</t>
  </si>
  <si>
    <t>Enabling Building Information Model-driven human-robot collaborative construction workflows with closed-loop digital twins</t>
  </si>
  <si>
    <t>BIM-driven closed-loop digital twin framework for human-robot collaborative construction (TAMU/U Michigan): BIM drives robot functions; robot adaptively adjusts plans based on actual site conditions; human co-worker oversees and intervenes (change task sequence, workspace geometry, new motion plan); as-built information sent back to BIM forming closed-loop; drywall installation case study + Gazebo simulation + physical robotic arm experiments. Bidirectional closed-loop — BIM updated with as-built data → Tier 3; no learning loop (adaptation is rule-based, not learning). [Full-text source: 04c-port]</t>
  </si>
  <si>
    <t>Closes the missing loop between BIM and robotic construction: a Rhino-based BIM with layered shop-drawing data drives a KUKA KR120 robot through ROS and MoveIt, automatically generated Unity digital twins let humans approve plans and intervene, robot-proposed adaptations resolve parent and nearby-object deviations, and sensed as-built data are written back to the BIM, verified on a drywall installation case and block pick-and-place tests with 100 percent success at 10 mm gaps.</t>
  </si>
  <si>
    <t>Laboratory-only validation on a 1:2 scale with one slow robot at 3 to 7 percent speed, AprilTag localization errors causing collisions at 1 mm gaps, manually authored BIM sequence and gripping data, and no support for deformable or fluid materials. Future work includes continuous component tracking, a second arm with vacuum gripping, computational design of fabrication data, force-feedback control, and efficiency studies.</t>
  </si>
  <si>
    <t>BIM shop-drawing geometry, AprilTag vision localisation and sensed as-built data are combined in the robot motion-planning loop, whose adaptation output depends on all three simultaneously, with as-built data written back to BIM.</t>
  </si>
  <si>
    <t>Step-1 note: Closed-loop DT for BIM-driven human-robot construction | Coded from Step-3 deep-read markdown (Prompt B), imported 2026-09-30 | Prior matrix (v260816) verification note retained in 3_Change_Log</t>
  </si>
  <si>
    <t>10.1016/j.compind.2024.104112</t>
  </si>
  <si>
    <t>Vishnu, R.S et al. (2024)</t>
  </si>
  <si>
    <t>Disaster Risk Assessment and Analysis of Physical Infrastructure: A Comprehensive Review of Scientific Methods and Techniques</t>
  </si>
  <si>
    <t>Step-1 note: Disaster risk assessment review; DT not core</t>
  </si>
  <si>
    <t>10.5595/001c.124123</t>
  </si>
  <si>
    <t>Wang, H et al. (2022)</t>
  </si>
  <si>
    <t>Deep and ultra-deep oil and gas well drilling technologies: Progress and prospect</t>
  </si>
  <si>
    <t>Step-1 note: Deep oil/gas well drilling; energy</t>
  </si>
  <si>
    <t>10.1016/j.ngib.2021.08.019</t>
  </si>
  <si>
    <t>Jiang, H et al. (2022)</t>
  </si>
  <si>
    <t>Monitoring System for the Construction of Arch Cover Method Subway Station Based on DT and IoT</t>
  </si>
  <si>
    <t>DT+IoT multi-information monitoring system for arch-cover method subway station construction (Shikui Road Station, Dalian Metro Line 5): automatic sensor network (settlement, stress, etc.) → IFC extension + Revit BIM parametric sensor models → BIM database visualization with time-history curves and color-change early-warning; "Construction Control Based on Data Analysis" uses monitored data as control value for decisions, but the loop is human-in-the-loop (feedback to decision-makers), not automated actuation; no ML, no self-improvement. [Full-text source: 04c-port]</t>
  </si>
  <si>
    <t>Provides automatic monitoring for arch cover method subway stations, rare in the literature, via a DT and IoT system at Shikui Road Station of Dalian Metro Line 5: pressure cells, rebar meters, strain gauges and displacement meters stream into a Revit secondary-developed BIM platform with IFC-extended sensor attributes and color-change alarms; lining pressure rises after temporary support removal informed inverse analysis that set midwall demolition at 12 m.</t>
  </si>
  <si>
    <t>The system is only applied to one station project, sensor equipment still needs anticorrosion and anti-interference development, and the numerical analysis model must be improved for true two-way mapping between digital and physical worlds; future work includes prediction algorithms, web, GIS, 5G and blockchain integration for multi-station unified management.</t>
  </si>
  <si>
    <t>Settlement, stress and displacement sensors stream into IFC-extended Revit BIM models with parametric sensor attributes and time-history curves, linking sensors to BIM elements without joint inference.</t>
  </si>
  <si>
    <t>Step-1 note: DT + IoT monitoring of arch cover subway station | Coded from Step-3 deep-read markdown (Prompt B), imported 2026-09-30 | Prior matrix (v260816) verification note retained in 3_Change_Log</t>
  </si>
  <si>
    <t>10.1155/2022/1875196</t>
  </si>
  <si>
    <t>A Systematic Survey of Digital Twin Applications: Transferring Knowledge From Automotive and Aviation to Maritime Industry</t>
  </si>
  <si>
    <t>Step-1 note: DT survey automotive/aviation to maritime; vehicles</t>
  </si>
  <si>
    <t>10.1109/TITS.2025.3535593</t>
  </si>
  <si>
    <t>Arya, V et al. (2025)</t>
  </si>
  <si>
    <t>DTSafe-O: A Semantic Digital Twin Ontology for Construction Safety</t>
  </si>
  <si>
    <t>DTSafe-O semantic digital twin ontology for construction safety (HKMU/Salerno, IJSWIS 2025): OWL 2 DL ontology with SWRL rules and SHACL constraints formalizes computable safety-critical requirements; integrates SSN/SOSA, ifcOWL, BRICK, IDS and ICDD to connect IoT sensors, BIM and regulatory documents; validation pipeline with reasoning, compliance checking and performance metrics on synthetic and field data; replicable materials in a public repository. Knowledge-graph layer for safety decisions, no physical twin. [Full-text source: browser-oa]</t>
  </si>
  <si>
    <t>Computable OWL/SWRL/SHACL formalization of safety regulations enables explainable, verifiable safety inferences with public replicability.</t>
  </si>
  <si>
    <t>Synthetic + field data validation; operational deployment on live sites not demonstrated; uncertainty management future work.</t>
  </si>
  <si>
    <t>IoT sensors, BIM and regulatory documents are fused in the semantic knowledge graph.</t>
  </si>
  <si>
    <t>Step-1 note: DTSafe-O semantic DT ontology for construction safety | Coded from Step-3 deep-read markdown (Prompt B), imported 2026-09-30</t>
  </si>
  <si>
    <t>10.4018/IJSWIS.395999</t>
  </si>
  <si>
    <t>Meng, F et al. (2024)</t>
  </si>
  <si>
    <t>Research on the prediction method of string-supported dome cable force based on digital twin technology</t>
  </si>
  <si>
    <t>Step-1 note: DT cable force prediction of string-supported dome | Full text not coded: Endnote candidate(s) found but identity not verified</t>
  </si>
  <si>
    <t>10.2478/amns.2023.2.00506</t>
  </si>
  <si>
    <t>Mufti, A.A et al. (2024)</t>
  </si>
  <si>
    <t>Role of Civionics in the Civil Structural Health Monitoring System</t>
  </si>
  <si>
    <t>Step-1 note: Civionics CSHM review; DT keyword only</t>
  </si>
  <si>
    <t>10.3390/infrastructures9030057</t>
  </si>
  <si>
    <t>Shin, Y et al. (2024)</t>
  </si>
  <si>
    <t>A New Benchmark Model for the Automated Detection and Classification of a Wide Range of Heavy Construction Equipment</t>
  </si>
  <si>
    <t>Step-1 note: Heavy equipment detection benchmark; no DT</t>
  </si>
  <si>
    <t>10.1061/JMENEA.MEENG-5630</t>
  </si>
  <si>
    <t>Dan, D et al. (2022)</t>
  </si>
  <si>
    <t>Digital Twin System of Bridges Group Based on Machine Vision Fusion Monitoring of Bridge Traffic Load</t>
  </si>
  <si>
    <t>Digital twin system for a regional bridges group (Shanghai, Tongji U): physical space - WIM + multi-source machine vision traffic-load monitoring on target bridge + lightweight sensors on bridge group; digital space - mechanical analysis models per bridge linked by measured traffic loads for working-condition perception and safety warning across the regional network; preliminarily implemented in a Shanghai bridges group. One-way monitoring to analysis to warning for operators; no actuation and no learning loop. [Full-text source: 04c-port]</t>
  </si>
  <si>
    <t>Fills the group-level gap in bridge digital twins: for a regional bridge network around Shanghai, weigh-in-motion and multi-source machine vision fusion measure full-bridge traffic loads on a target bridge, lightweight sensors capture responses on group bridges, and measured loads drive mechanical models in digital space, enabling working-condition perception and safety warning across the whole network, demonstrated with Monte Carlo and Intelligent Driver Model simulations on the Yongjiang cable-stayed bridge.</t>
  </si>
  <si>
    <t>One-way implementation: digital models are loaded with measured traffic loads but no feedback or control channel back to physical bridges exists, and deriving bridge health status from simulation results to form more interaction tasks between the two spaces is left as future exploration.</t>
  </si>
  <si>
    <t>Weigh-in-motion and multi-source machine-vision monitoring are fused to measure full-bridge traffic loads, which then drive the mechanical analysis models of a regional bridge group.</t>
  </si>
  <si>
    <t>Step-1 note: Bridges group DT with machine vision traffic load monitoring | AB normalised to code list (source label "Perception / Computer Vision") | Coded from Step-3 deep-read markdown (Prompt B), imported 2026-09-30 | Prior matrix (v260816) verification note retained in 3_Change_Log</t>
  </si>
  <si>
    <t>10.1109/TITS.2021.3130025</t>
  </si>
  <si>
    <t>Argyroudis, S.A et al. (2022)</t>
  </si>
  <si>
    <t>Digital technologies can enhance climate resilience of critical infrastructure</t>
  </si>
  <si>
    <t>Step-1 note: Digital tech for climate resilience of CI; generic CI</t>
  </si>
  <si>
    <t>10.1016/j.crm.2021.100387</t>
  </si>
  <si>
    <t>Salem, T et al. (2023)</t>
  </si>
  <si>
    <t>Digital Twins for Construction Projects—Developing a Risk Systematization Approach to Facilitate Anomaly Detection in Smart Buildings</t>
  </si>
  <si>
    <t>Risk systematization approach for construction projects using Digital Twins for Construction Projects (DTCP) (UT Cluj-Napoca): reviews risks and proposes risk treatment procedure + custom risk matrix adapted to DTCP; aims to improve prediction capabilities for decision-makers; conceptual framework with no DT built or validated; no live data link, no actuation, no learning loop. [Full-text source: 04c-port]</t>
  </si>
  <si>
    <t>Develops a conceptual risk systematization for the Digital Twin for Construction Projects (DTCP) approach through READ-method document analysis of 32 selected studies, mapping five construction risk categories (planning and monitoring, security and safety, quality, human resources, execution) onto twin capabilities, and proposing a ten-step risk treatment procedure plus a custom risk matrix with reduced assessment levels to speed anomaly handling and prediction.</t>
  </si>
  <si>
    <t>The work is purely conceptual with no implemented system, sensor deployment or case validation, and conclusions rely on a narrow set of studies and the authors individual project experience. The paper calls for future research on safeguarding shared data and information security, human-machine interface issues, psychological impacts of automation, regulatory compliance, and machine learning extensions.</t>
  </si>
  <si>
    <t>A document-analysis-based risk systematisation for construction DTs proposes a ten-step risk-treatment procedure and custom risk matrix, with no implemented system or data integration.</t>
  </si>
  <si>
    <t>Step-1 note: DT risk systematization for construction projects | Coded from Step-3 deep-read markdown (Prompt B), imported 2026-09-30 | Prior matrix (v260816) verification note retained in 3_Change_Log</t>
  </si>
  <si>
    <t>10.3390/telecom4010009</t>
  </si>
  <si>
    <t>Miraj, P et al. (2025)</t>
  </si>
  <si>
    <t>Organising digital twin in the built environment: a systematic review and research directions on the missing links of use and user perspectives of digital twin in Architecture, Engineering and Construction (AEC) sector</t>
  </si>
  <si>
    <t>Step-1 note: Organisational DT in AEC review; not DfS focused</t>
  </si>
  <si>
    <t>10.1080/01446193.2025.2451631</t>
  </si>
  <si>
    <t>Foshati, A et al. (2025)</t>
  </si>
  <si>
    <t>Digital Twin-Based Cyber Redundancies to Achieve Cost-Effective Fault Tolerance</t>
  </si>
  <si>
    <t>Step-1 note: Vehicle cyber redundancy DT; vehicles</t>
  </si>
  <si>
    <t>10.1109/JIOT.2025.3574101</t>
  </si>
  <si>
    <t>Continuous Dynamic Analysis Method and Case Verification of Cable Structure Based on Digital Twin</t>
  </si>
  <si>
    <t>Continuous dynamic analysis of cable structure construction based on digital twin (BJUT, Sustainability 2023): multidimensional DT model continuously corrected by real-time sensor data; constitution and equilibrium equations corrected to improve the FE method; a single FE model covers all stages from lifting to tension forming; intelligent simulation system applied to actual cable construction with average calculation accuracy above 97%. Sensor-to-model correction only. [Full-text source: browser-oa]</t>
  </si>
  <si>
    <t>Single continuously corrected FE model covering lifting-to-tensioning achieves &gt;97% accuracy, replacing discrete stage models.</t>
  </si>
  <si>
    <t>Accuracy measured against own FE model; sensor network scope and outlier handling not detailed.</t>
  </si>
  <si>
    <t>Real-time sensor data continuously correct the FE twin model equations.</t>
  </si>
  <si>
    <t>Step-1 note: Continuous dynamic analysis of cable structure via DT | Coded from Step-3 deep-read markdown (Prompt B), imported 2026-09-30</t>
  </si>
  <si>
    <t>10.3390/su152216125</t>
  </si>
  <si>
    <t>Ozerov, A.V et al. (2025)</t>
  </si>
  <si>
    <t>Diagnostic Systems and Complexes for Railways</t>
  </si>
  <si>
    <t>Step-1 note: Railway diagnostics overview; DT keyword only</t>
  </si>
  <si>
    <t>10.3103/S1068371225700208</t>
  </si>
  <si>
    <t>Lei, Z et al. (2022)</t>
  </si>
  <si>
    <t>Fiber Bragg Grating Smart Material and Structural Health Monitoring System Based on Digital Twin Drive</t>
  </si>
  <si>
    <t>Step-1 note: FBG smart material SHM; DT in title only</t>
  </si>
  <si>
    <t>10.1155/2022/4356974</t>
  </si>
  <si>
    <t>Chen, M et al. (2025)</t>
  </si>
  <si>
    <t>Reinforcement-Learning-Based AAV 3-D Target Tracking and Digital-Twin-Assisted Collision Avoidance With Integrated Sensing and Communication</t>
  </si>
  <si>
    <t>Step-1 note: AAV target tracking DT collision avoidance; UAV comms</t>
  </si>
  <si>
    <t>10.1109/JIOT.2025.3559078</t>
  </si>
  <si>
    <t>Fontanelli, G.A et al. (2024)</t>
  </si>
  <si>
    <t>Preliminary architecture design for human-in-the-loop control of robotic equipment in remote handling tasks: Case study on the NEFERTARI project</t>
  </si>
  <si>
    <t>Step-1 note: Fusion remote handling VR DT; nuclear fusion</t>
  </si>
  <si>
    <t>10.1016/j.fusengdes.2024.114586</t>
  </si>
  <si>
    <t>Liu, Z.-S et al. (2022)</t>
  </si>
  <si>
    <t>Digital Twin-Based Intelligent Safety Risks Prediction of Prefabricated Construction Hoisting</t>
  </si>
  <si>
    <t>Digital twin-based intelligent safety risk prediction of prefabricated construction hoisting (BJUT, Sustainability 2022): multi-dimensional multi-scale DT model of the hoisting site; DT-SVM algorithm processes virtual-model and on-site data to predict hoisting risk in real time and deduce its spatiotemporal evolution; case study verifies prediction function; authors note future work towards automatic controls. Prediction/early-warning only. [Full-text source: browser-oa]</t>
  </si>
  <si>
    <t>DT-SVM predicts hoisting risk in real time and deduces its spatiotemporal evolution on a real prefabrication project.</t>
  </si>
  <si>
    <t>Prediction only (authors note future automatic controls); SVM interpretability limited.</t>
  </si>
  <si>
    <t>On-site hoisting data and virtual-model data are fused in the DT-SVM predictor.</t>
  </si>
  <si>
    <t>Step-1 note: DT-SVM prefab hoisting safety risk prediction | Coded from Step-3 deep-read markdown (Prompt B), imported 2026-09-30</t>
  </si>
  <si>
    <t>10.3390/su14095179</t>
  </si>
  <si>
    <t>Developing a digital twin model for monitoring building structural health by combining a building information model and a real-scene 3D model</t>
  </si>
  <si>
    <t>Digital twin model for monitoring building structural health by combining BIM and real-scene 3D model (Nanjing Tech U): fuses BIM with real-scene 3D model via rigid-body transformation (3D spatial position registration) + semantic information mapping (JSON); reconstructs BIM into sub-BIMs; sensor data stored in database and integrated with fused model; Nanjing Museum Old Hall case study. One-way monitoring→fusion→visualization; no actuation and no learning loop. [Full-text source: 04c-port]</t>
  </si>
  <si>
    <t>Addresses the lack of spatial linkage between internal BIM components and external building scenes for structural health monitoring: IFC BIM is split into sub-BIMs and fused with an oblique-photogrammetry real-scene 3D Tiles model through rigid-body SVD registration and JSON semantic mapping, integrating 60 vibration, displacement, strain, and temperature sensors of the Nanjing Museum Old Hall into a Cesium-based monitoring system.</t>
  </si>
  <si>
    <t>Tie-point selection is manual and the separate merging programs take about 25 minutes to run; the fusion lacks level-of-detail handling which slows BIM loading, the structural safety evaluation function is reserved and not yet developed, and dynamic analysis of overall building health from local sensor data requires further investigation.</t>
  </si>
  <si>
    <t>BIM and the oblique-photogrammetry real-scene 3D model are fused by rigid-body SVD registration plus JSON semantic mapping, and 60 sensors (vibration, displacement, strain, temperature) are integrated into the fused model.</t>
  </si>
  <si>
    <t>Step-1 note: BIM + real-scene 3D DT model for building SHM | Coded from Step-3 deep-read markdown (Prompt B), imported 2026-09-30 | Prior matrix (v260816) verification note retained in 3_Change_Log</t>
  </si>
  <si>
    <t>10.1016/j.measurement.2023.112955</t>
  </si>
  <si>
    <t>Song, Z et al. (2023)</t>
  </si>
  <si>
    <t>Digital twin-assisted fault diagnosis system for robot joints with insufficient data</t>
  </si>
  <si>
    <t>Digital-twin-assisted fault diagnosis for construction-robot joints (RV reducer): gear-dynamics virtual-entity model generates faultless vibration (X-domain), CycleGAN maps virtual→physical domain using only ~400 measured samples (Y-domain), and CNN-ResNet classifies wear/crack/pitting/normal faults — accuracy raised from 32.5% (measured only) to 98.86% with 1200 simulated samples (best of GAN/transfer baselines). Validated on a lab RV-reducer test rig with acceleration/temperature sensors; DT is an offline data-augmentation/generative model for training, no live twin loop, no learning. [Full-text source: 04c-port]</t>
  </si>
  <si>
    <t>Fills the insufficient-data gap in deep-learning fault diagnosis of construction-robot joints: a gear-dynamics virtual entity generates faultless vibration data as the X-domain and a CycleGAN-based digital twin maps it to the physical Y-domain, so that with only 400 measured samples a CNN-ResNet classifier reaches 98.86 percent accuracy versus 32.5 percent without augmentation, outperforming GAN baselines on an RV reducer test rig.</t>
  </si>
  <si>
    <t>The digital twin is an offline simulation-to-reality data generator rather than a live synchronized model; only planetary-wheel faults of the RV reducer are considered on a laboratory test rig, and online diagnosis, model updating, or integration with an operating construction robot is not demonstrated or stated as future work.</t>
  </si>
  <si>
    <t>Only vibration signals (plus auxiliary temperature on the test rig) drive the CycleGAN-augmented CNN-ResNet fault classifier; the gear-dynamics virtual entity generates training data, not a second measured type.</t>
  </si>
  <si>
    <t>Step-1 note: DT-assisted fault diagnosis of construction robot joints | Coded from Step-3 deep-read markdown (Prompt B), imported 2026-09-30 | Prior matrix (v260816) verification note retained in 3_Change_Log</t>
  </si>
  <si>
    <t>10.1002/rob.22127</t>
  </si>
  <si>
    <t>Mutawa, A.M et al. (2023)</t>
  </si>
  <si>
    <t>Digital Twin of a Data Center at an Educational Institution</t>
  </si>
  <si>
    <t>Digital twin of a university data center (Kuwait University, Journal of Engineering Research 2023): temperature, humidity, smoke and water-leakage sensor streams analysed by an Extreme Learning Machine using the minimum ratio between successive real-time streams for abnormal event detection; outperforms LVQ and RBF classifiers; GSM alerts staff and, in urgent cases, actuators are activated via microcontrollers (server shutdown, fire extinguishing, standby AC). Virtual-to-physical actuation -&gt; Tier 3. [Full-text source: browser-oa]</t>
  </si>
  <si>
    <t>ELM-based abnormal event detection with actuator response (server shutdown, extinguishing, standby AC) in a working data center.</t>
  </si>
  <si>
    <t>Single data center; detection thresholds and false-alarm behaviour partially reported.</t>
  </si>
  <si>
    <t>Temperature/humidity/smoke/leakage streams are fused for ELM abnormal event detection.</t>
  </si>
  <si>
    <t>Step-1 note: Data center DT with smoke/leakage safety detection | Coded from Step-3 deep-read markdown (Prompt B), imported 2026-09-30</t>
  </si>
  <si>
    <t>10.36909/jer.15973</t>
  </si>
  <si>
    <t>Sayed, A.N et al. (2024)</t>
  </si>
  <si>
    <t>Unmanned Aerial Vehicle Classification Using Neural Neworks and Radar Digital Twins: UAV Classification Using Neural Networks and Radar Digital Twins</t>
  </si>
  <si>
    <t>Step-1 note: UAV classification radar DT; UAV</t>
  </si>
  <si>
    <t>10.1109/MMM.2024.3444529</t>
  </si>
  <si>
    <t>Ugliotti, F.M et al. (2025)</t>
  </si>
  <si>
    <t>Spatial Insights for Building Resilience: The Territorial Risk Management &amp; Analysis Across Scale Framework for Bridging Scales in Multi-Hazard Assessment</t>
  </si>
  <si>
    <t>Step-1 note: TERIMAAS multi-hazard BIM/GIS/IoT; DT keyword only | Prior matrix (v260816) verification note retained in 3_Change_Log</t>
  </si>
  <si>
    <t>10.3390/smartcities8010027</t>
  </si>
  <si>
    <t>Xiang, Y et al. (2025)</t>
  </si>
  <si>
    <t>Underwater defect detection and diagnosis assessment for high dams: current status and challenges; [高坝水下缺陷检测与诊断评估：现状与挑战]</t>
  </si>
  <si>
    <t>Step-1 note: High dam underwater defect review; Chinese journal</t>
  </si>
  <si>
    <t>10.14042/j.cnki.32.1309.2025.04.001</t>
  </si>
  <si>
    <t>Omer, M et al. (2019)</t>
  </si>
  <si>
    <t>Use of gaming technology to bring bridge inspection to the office</t>
  </si>
  <si>
    <t>Step-1 note: Bridge inspection VR gaming; step toward DT only</t>
  </si>
  <si>
    <t>10.1080/15732479.2019.1615962</t>
  </si>
  <si>
    <t>Rihm, S.D et al. (2024)</t>
  </si>
  <si>
    <t>The digital lab manager: Automating research support</t>
  </si>
  <si>
    <t>Step-1 note: Digital lab manager; lab automation</t>
  </si>
  <si>
    <t>10.1016/j.slast.2024.100135</t>
  </si>
  <si>
    <t>Park, D et al. (2023)</t>
  </si>
  <si>
    <t>A Digital Twin Dam and Watershed Management Platform</t>
  </si>
  <si>
    <t>K-Twin SJ digital twin dam and watershed management platform (K-water, Water 2023): GIS geospatial twin of the Sumjin dam/river system (4913 km2, 173 km, 91 infrastructures) synchronized with real-time rainfall, water levels, flow and CCTV; three hydraulic/hydrological simulation models; AI predicts river water level and suggests optimal dam discharge scenarios; plus levee geotechnical safety module, drone monitoring and AI CCTV surveillance. Supports decisions, does not auto-actuate. [Full-text source: browser-oa]</t>
  </si>
  <si>
    <t>Full-watershed real-time synchronized twin with AI discharge suggestions and levee/drone/CCTV safety modules for flood response.</t>
  </si>
  <si>
    <t>Platform-oriented paper; quantitative flood-reduction outcomes not yet reported.</t>
  </si>
  <si>
    <t>Rainfall, levels, flow and CCTV are fused with hydraulic/hydrological models and AI prediction.</t>
  </si>
  <si>
    <t>Step-1 note: K-Twin SJ dam and watershed management DT platform | Coded from Step-3 deep-read markdown (Prompt B), imported 2026-09-30</t>
  </si>
  <si>
    <t>10.3390/w15112106</t>
  </si>
  <si>
    <t>Tran, C.A et al. (2025)</t>
  </si>
  <si>
    <t>Physical digital twins for ancient stone masonry informed of original construction techniques: the case of Sardinian nuraghi; [Jumeaux numériques physiques de maçonnerie antique basés sur les techniques de construction originelles: le cas des nuraghi sardes]</t>
  </si>
  <si>
    <t>Review + methodology proposal for "physical digital twins" of ancient corbelled stone masonry (Sardinian nuraghi, cultural heritage): combines historical analysis of original construction techniques (dry masonry, thrust-free pseudo-domes, block distribution) with proposed mechanical-modelling approaches (discrete-element / variational-inequality granular models, multiphysical weathering: water diffusion, salt crystallisation, thermal, chemical) to assess structural safety and predict preservation-state evolution. No DT is actually built or validated — approaches are "possible roads... under investigation for future structural studies"; no live data, no learning. [Full-text source: 04c-port]</t>
  </si>
  <si>
    <t>Addresses the absence of modeling methodology for heritage corbelled dry-stone masonry: historical analysis of nuraghe construction techniques is linked to physical digital twins combining 3D surveys, historical documentation, and laboratory tests, with discrete block-based kinematics, friction, damage variables, and multiphysical weathering couplings, such as water diffusion, salt crystallisation, and thermal and chemical effects, framed through variational principles.</t>
  </si>
  <si>
    <t>Purely a review and methodology proposal: no digital twin has been constructed, no numerical experiments or validation are reported, and no live data connection is considered. Future challenges listed by the authors include progressively adding coupled multiphysical weathering phenomena one at a time and building calibrated models of specific nuraghe structures.</t>
  </si>
  <si>
    <t>A review plus methodology proposal for physical digital twins of nuraghi masonry lists possible mechanical and multiphysical modelling roads, with no twin built or validated.</t>
  </si>
  <si>
    <t>Step-1 note: Physical DTs for ancient masonry structural safety | Coded from Step-3 deep-read markdown (Prompt B), imported 2026-09-30 | Prior matrix (v260816) verification note retained in 3_Change_Log</t>
  </si>
  <si>
    <t>10.5802/crmeca.308</t>
  </si>
  <si>
    <t>Chen, D et al. (2023)</t>
  </si>
  <si>
    <t>Integrated Node Infrastructure for Future Smart City Sensing and Response</t>
  </si>
  <si>
    <t>Step-1 note: City sensing base station; smart city infrastructure</t>
  </si>
  <si>
    <t>10.3390/rs15143699</t>
  </si>
  <si>
    <t>Xia, G et al. (2024)</t>
  </si>
  <si>
    <t>Real-time digital twin of autonomous ships based on virtual-physical mapping model</t>
  </si>
  <si>
    <t>Step-1 note: Autonomous ship DT; marine</t>
  </si>
  <si>
    <t>10.1063/5.0222332</t>
  </si>
  <si>
    <t>Loggia, R et al. (2023)</t>
  </si>
  <si>
    <t>Electrical Safety Enhanced With BIM, SCADA and Digital Twin Integration: A Case Study of a MV-LV Substation</t>
  </si>
  <si>
    <t>Step-1 note: Electrical substation safety BIM/SCADA/DT; energy</t>
  </si>
  <si>
    <t>10.1109/TIA.2023.3332311</t>
  </si>
  <si>
    <t>Wang, Y et al. (2024)</t>
  </si>
  <si>
    <t>Digital twin approach for enhancing urban resilience: A cycle between virtual space and the real world</t>
  </si>
  <si>
    <t>Digital twin approach for enhancing urban resilience as a virtual-real cycle (CEA/USTB/Tsinghua, Resilient Cities and Structures 2024): a comprehensive summary of the authors' research-group endeavors covering data acquisition into virtual space, disaster simulation, and translation of virtual insights into prevention strategies for earthquake/fire/wind; showcases prior techniques rather than building/evaluating a new DT. P=No, R=No -&gt; Stage-2 exclude. [Full-text source: browser-oa]</t>
  </si>
  <si>
    <t>Step-1 note: DT concepts for urban disaster resilience cycle | Stage-2 exclusion basis: P=No; R=No | Coded from Step-3 deep-read markdown (Prompt B), imported 2026-09-30</t>
  </si>
  <si>
    <t>10.1016/j.rcns.2024.06.002</t>
  </si>
  <si>
    <t>Mehmood, A et al. (2023)</t>
  </si>
  <si>
    <t>A Hybrid Methodology to Assess Cyber Resilience of IoT in Energy Management and Connected Sites</t>
  </si>
  <si>
    <t>Step-1 note: IoT cyber resilience energy management; energy/cyber</t>
  </si>
  <si>
    <t>10.3390/s23218720</t>
  </si>
  <si>
    <t>Xu, H et al. (2022)</t>
  </si>
  <si>
    <t>A digital twin framework for construction and operation of the radio active waste repository</t>
  </si>
  <si>
    <t>Step-1 note: Radioactive waste repository DT; nuclear</t>
  </si>
  <si>
    <t>10.2298/NTRP2203181X</t>
  </si>
  <si>
    <t>Wen, H et al. (2024)</t>
  </si>
  <si>
    <t>The digital twins for mine site rescue environment: Application framework and key technologies</t>
  </si>
  <si>
    <t>Step-1 note: Mine site rescue DT; mining</t>
  </si>
  <si>
    <t>10.1016/j.psep.2024.04.007</t>
  </si>
  <si>
    <t>Lan, H et al. (2024)</t>
  </si>
  <si>
    <t>Dynamic disaster risk assessment of urban waterlogging on pedestrian flow by intelligent simulation of hydrodynamics coupled with agent-based models in Chao-yang river basin of Nanning, China</t>
  </si>
  <si>
    <t>Step-1 note: Urban waterlogging pedestrian risk; hydrology</t>
  </si>
  <si>
    <t>10.1007/s00477-024-02782-4</t>
  </si>
  <si>
    <t>Enhancing dam safety evaluation using dam digital twins</t>
  </si>
  <si>
    <t>Dam digital twin (Jiangya dam, 131 m gravity dam) for automated continuous safety evaluation: extended IFC data schema (IfcDSMSystem/IfcMonitoringItem/IfcSensorAssembly) integrates DSM monitoring information (deformation, seepage, stress, environment); HST statistical models set baselines; multi-rule cloud-reasoning model evaluates monitoring points, multi-dimensional cloud model + improved CRITIC (no-human weights) aggregate to five-grade dam safety status. Case: continuous evaluation Jan–Sep 2019 → "basically normal". One-way monitoring→automated evaluation→human decisions (preventive maintenance); statistical models are regression fits, no self-improvement loop. [Full-text source: 04c-port]</t>
  </si>
  <si>
    <t>Extends the IFC schema with IfcDSMSystem, IfcMonitoringItem, and IfcSensorAssembly entities to integrate dam safety monitoring information into a dam digital twin, then automates continuous safety evaluation with multi-rule cloud reasoning, a multi-dimensional cloud model, and an improved CRITIC weighting method, demonstrated on the 131 m Jiangya gravity dam from January to September 2019.</t>
  </si>
  <si>
    <t>Evaluation baselines rely only on historical monitoring-data statistical models, without FEM simulation results, and the IFC schema still lacks dam-specific entities such as IfcDam and IfcDamFoundation; evaluation remains one-way with no actuation. Future work is integrating simulation results into the dam DT and combining both information sources.</t>
  </si>
  <si>
    <t>Deformation, seepage, stress and environmental monitoring information are aggregated by a multi-dimensional cloud model with improved CRITIC weighting into one five-grade dam safety status.</t>
  </si>
  <si>
    <t>Step-1 note: Dam digital twins for comprehensive safety evaluation | Coded from Step-3 deep-read markdown (Prompt B), imported 2026-09-30 | Prior matrix (v260816) verification note retained in 3_Change_Log</t>
  </si>
  <si>
    <t>10.1080/15732479.2021.1991387</t>
  </si>
  <si>
    <t>Sun, Z et al. (2023)</t>
  </si>
  <si>
    <t>Intelligent Risk Prognosis and Control of Foundation Pit Excavation Based on Digital Twin</t>
  </si>
  <si>
    <t>Intelligent risk prognosis and control of foundation pit excavation (FPE) based on DT (Beijing U Tech): physical space (RFID + sensors capture components, environment, personnel) + virtual space (high-fidelity physics-based model); data fusion from physical and virtual space; FE model (FLAC3D) updated with real-time parameters; geometric model updated via point data; risk prognosis and control measures established based on safety state; validated on Wuhan Metro Line. Bidirectional — virtual model updated from physical, control measures from virtual → Tier 3; no learning loop (model updating is manual). [Full-text source: 04c-port]</t>
  </si>
  <si>
    <t>Fills the spatiotemporal risk-prognosis gap in foundation pit excavation: a five-component digital twin (physical space, FLAC3D virtual model, twin data, service, connections) fuses RFID, displacement, soil-pressure and environmental sensing to update an 850141-cell finite element model after each step, with Markov-chain risk prediction and a bow-tie model selecting control measures, validated on the Wuhan Metro Line 7 air-shaft pit with 15.2 mm maximum settlement.</t>
  </si>
  <si>
    <t>The method depends on dense, costly sensor arrays; several displacements are still measured manually with inclinometers, soil is idealized as homogeneous and isotropic, and consolidation over time and groundwater seepage are ignored; future work targets real-time sensing with AI-driven risk prediction, better sensor placement, and seepage and time-dependent effects.</t>
  </si>
  <si>
    <t>RFID, displacement, soil-pressure and environmental sensing are fused into an 850,141-cell FLAC3D model updated after each excavation step, with Markov-chain risk prediction and a bow-tie model selecting control measures.</t>
  </si>
  <si>
    <t>Step-1 note: DT-based risk prognosis and control of foundation pit excavation | Coded from Step-3 deep-read markdown (Prompt B), imported 2026-09-30 | Prior matrix (v260816) verification note retained in 3_Change_Log</t>
  </si>
  <si>
    <t>10.3390/buildings13010247</t>
  </si>
  <si>
    <t>Zhang, Y et al. (2023)</t>
  </si>
  <si>
    <t>A hybrid approach for optimizing deep excavation safety measures based on Bayesian network and design structure matrix</t>
  </si>
  <si>
    <t>Step-1 note: Deep excavation safety BN-DSM; DT keyword only</t>
  </si>
  <si>
    <t>10.1016/j.aei.2023.102223</t>
  </si>
  <si>
    <t>Jeong, J et al. (2023)</t>
  </si>
  <si>
    <t>On-Track Demonstration of Automated Eco-Driving Control for an Electric Vehicle</t>
  </si>
  <si>
    <t>Step-1 note: EV eco-driving control; vehicles</t>
  </si>
  <si>
    <t>10.4271/2023-01-0221</t>
  </si>
  <si>
    <t>Vijayakumar, K et al. (2019)</t>
  </si>
  <si>
    <t>Digital twin for factory system simulation</t>
  </si>
  <si>
    <t>Step-1 note: Factory system simulation DT; manufacturing</t>
  </si>
  <si>
    <t>Jansky, A et al. (2022)</t>
  </si>
  <si>
    <t>Nuclear Regulatory Acceptance of Certified Process Data Reconciliation</t>
  </si>
  <si>
    <t>Step-1 note: Nuclear CPDR data; nuclear</t>
  </si>
  <si>
    <t>10.1115/1.4051619</t>
  </si>
  <si>
    <t>Lin Y.-C., Prof. et al. (2020)</t>
  </si>
  <si>
    <t>Developing WSN/BIM-Based Environmental Monitoring Management System for Parking Garages in Smart Cities</t>
  </si>
  <si>
    <t>Step-1 note: Parking garage WSN/BIM monitoring; DT application only | Prior matrix (v260816) verification note retained in 3_Change_Log</t>
  </si>
  <si>
    <t>10.1061/(ASCE)ME.1943-5479.0000760</t>
  </si>
  <si>
    <t>Xu, H et al. (2023)</t>
  </si>
  <si>
    <t>Smart Mobility in the Cloud: Enabling Real-Time Situational Awareness and Cyber-Physical Control Through a Digital Twin for Traffic</t>
  </si>
  <si>
    <t>Step-1 note: Chattanooga traffic DT; transportation</t>
  </si>
  <si>
    <t>10.1109/TITS.2022.3226746</t>
  </si>
  <si>
    <t>Hu, S et al. (2023)</t>
  </si>
  <si>
    <t>Construction of a digital twin system for the blended-wing-body underwater glider</t>
  </si>
  <si>
    <t>Step-1 note: Underwater glider DT; marine</t>
  </si>
  <si>
    <t>10.1016/j.oceaneng.2022.113610</t>
  </si>
  <si>
    <t>Pan, Y et al. (2022)</t>
  </si>
  <si>
    <t>Enriching geometric digital twins of buildings with small objects by fusing laser scanning and AI-based image recognition</t>
  </si>
  <si>
    <t>Enriching geometric digital twins of buildings with small objects (TUM/Cambridge): fuses laser scanning + photogrammetry; AI-based image segmentation (deep learning) detects small objects (electrical, fire-safety, plumbing); AI-based text detection/recognition extracts object IDs; semantic info mapped to 3D point cloud → enriched DT with geometric + semantic + text info; comprehensive case study. Static DT for facility management — no live data link, no actuation, no learning loop. [Full-text source: 04c-port]</t>
  </si>
  <si>
    <t>Fills the gap of enriching geometric building twins with electrical and fire-safety objects that prior scan-to-BIM methods ignored: a mostly automated pipeline fusing laser scanning and photogrammetry, with Mask-RCNN detections mapped into point clouds via COLMAP, ICP alignment and voxel raycasting, then RANSAC shape fitting and OCR text extraction, raising mIoU for smoke alarms from 29.1% to 48.6% and lights from 69.4% to 79.9% versus KPConv.</t>
  </si>
  <si>
    <t>Validation is limited to TUM office interiors with a manually labelled dataset; detection is weaker for objects that vary across buildings and many classes like furniture remain missing; only simple geometric primitives are fitted, point-cloud registration stays manual, and the photogrammetric step needs enough overlapping images. Future work adds more classes, CAD-level shapes, and joint 2D and 3D deep learning.</t>
  </si>
  <si>
    <t>Laser scanning and photogrammetry are fused, and Mask-RCNN detections are mapped into point clouds via COLMAP, ICP alignment and voxel raycasting to enrich the geometric twin with semantic and text information.</t>
  </si>
  <si>
    <t>Step-1 note: Enriching geometric DTs of buildings with safety elements | AB normalised to code list (source label "Perception / Computer Vision") | Coded from Step-3 deep-read markdown (Prompt B), imported 2026-09-30 | Prior matrix (v260816) verification note retained in 3_Change_Log</t>
  </si>
  <si>
    <t>10.1016/j.autcon.2022.104375</t>
  </si>
  <si>
    <t>Jiang, W et al. (2024)</t>
  </si>
  <si>
    <t>Early-warning of unsafe hoisting operations: An integration of digital twin and knowledge graph</t>
  </si>
  <si>
    <t>Early-warning of unsafe hoisting operations via DT + knowledge graph (HUST): DT framework mirrors real-time operational status of tower crane (lifting, luffing, rotation); knowledge graph identifies unsafe hoisting operations by leveraging real-time data from the DT; scaled-down tower crane replica in lab; warning rate &gt;70%, false alarm rate &lt;20%. One-way monitoring→KG analysis→early warning; no actuation and no learning loop (KG is rule-based). [Full-text source: 04c-port]</t>
  </si>
  <si>
    <t>Fills the construction-phase early-warning gap for unsafe hoisting operations: a DT mirrors a 1:80 scaled tower crane through STM32 boards, three 9-axis IMUs, two laser sensors, and MQTT, and a standards-derived knowledge graph built from seven standards and 86 accident reports identifies safety events, achieving over 70 percent warning accuracy with under 20 percent false alarms and Theil consistency below 0.1.</t>
  </si>
  <si>
    <t>Validated only on a scaled-down crane in the laboratory, neglecting dynamic site environments and operator-specific habits; mapping suffers cumulative errors, and events like untested lifting and reverse operation show low accuracy or elevated false alarms requiring manual verification. Future work: analyzing consistency disparity sources, developing a more comprehensive mapping framework, and collecting real-world hoisting data.</t>
  </si>
  <si>
    <t>Real-time multi-sensor states mirrored in the DT are jointly reasoned over by a standards-derived knowledge graph to identify unsafe hoisting operations and trigger early warnings.</t>
  </si>
  <si>
    <t>Step-1 note: DT + knowledge graph early warning of unsafe hoisting | Coded from Step-3 deep-read markdown (Prompt B), imported 2026-09-30 | Prior matrix (v260816) verification note retained in 3_Change_Log</t>
  </si>
  <si>
    <t>10.1016/j.dibe.2024.100490</t>
  </si>
  <si>
    <t>Liu, XF et al. (2023)</t>
  </si>
  <si>
    <t>Supply chain management for modular construction using building information modeling</t>
  </si>
  <si>
    <t>Step-1 note: Modular construction supply chain DT; logistics</t>
  </si>
  <si>
    <t>10.15554/pcij68.5-02</t>
  </si>
  <si>
    <t>Farghaly, K et al. (2023)</t>
  </si>
  <si>
    <t>The evolution of ontology in AEC: A two-decade synthesis, application domains, and future directions</t>
  </si>
  <si>
    <t>Step-1 note: Ontology in AEC review; DT context only</t>
  </si>
  <si>
    <t>10.1016/j.jii.2023.100519</t>
  </si>
  <si>
    <t>Liu, Z et al. (2023)</t>
  </si>
  <si>
    <t>Immersive Technologies-Driven Building Information Modeling (BIM) in the Context of Metaverse</t>
  </si>
  <si>
    <t>Step-1 note: Immersive technologies BIM metaverse review; not DT core</t>
  </si>
  <si>
    <t>10.3390/buildings13061559</t>
  </si>
  <si>
    <t>El-Din, MN et al. (2022)</t>
  </si>
  <si>
    <t>Digital Twins for Construction Assets Using BIM Standard Specifications</t>
  </si>
  <si>
    <t>Step-1 note: DT framework via BIM standards; not DfS focused | Prior matrix (v260816) verification note retained in 3_Change_Log</t>
  </si>
  <si>
    <t>10.3390/buildings12122155</t>
  </si>
  <si>
    <t>Pauwels, P et al. (2026)</t>
  </si>
  <si>
    <t>Artificial Intelligence for the Built World</t>
  </si>
  <si>
    <t>Step-1 note: AI for built world special issue editorial</t>
  </si>
  <si>
    <t>10.1016/j.aei.2025.104225</t>
  </si>
  <si>
    <t>Deng, HR et al. (2025)</t>
  </si>
  <si>
    <t>Real-time bridge disaster management: Enabling technology and application framework</t>
  </si>
  <si>
    <t>Systematic review (146 articles) of bridge disaster management + proposed Real-time Bridge Disaster Management (RtBDM) framework: dynamic adaptation + digitalisation (BIM/DT integration for full-lifecycle data management and automated decision-making) + disaster cycle (pre-warning, real-time response, post-disaster recovery); addresses interoperability, delayed response, and coordination gaps. Framework only - no DT built or validated; no live data link and no learning loop. [Full-text source: 04c-port]</t>
  </si>
  <si>
    <t>Synthesizes 146 bridge disaster management articles to expose fragmented technology integration, delayed response and poor coordination, then proposes the RtBDM framework combining dynamic adaptation, digitalisation and a disaster-cycle component that integrates BIM and digital twin technologies with sensors, big data analytics, IoT and artificial intelligence for real-time monitoring, early warning, response and recovery across pre-disaster to post-disaster phases.</t>
  </si>
  <si>
    <t>Purely conceptual: the framework is built only on literature analysis and existing tools, has not been validated in any real-world scenario, and needs ongoing updates to track technology; future research should run pilot implementations and case studies across regions, disaster types and bridge systems, and improve technology integration and data management.</t>
  </si>
  <si>
    <t>A review-based RtBDM framework proposes BIM/DT integration with sensors and AI for real-time bridge disaster management, but no system is built or validated, so no integration mechanism is demonstrated.</t>
  </si>
  <si>
    <t>Step-1 note: Real-time bridge disaster management framework with DT | Coded from Step-3 deep-read markdown (Prompt B), imported 2026-09-30 | Prior matrix (v260816) verification note retained in 3_Change_Log</t>
  </si>
  <si>
    <t>10.1016/j.autcon.2025.106150</t>
  </si>
  <si>
    <t>Bianco, F et al. (2027)</t>
  </si>
  <si>
    <t>Reliability-oriented Digital Twin of a building-scale rainwater treatment and reuse system under uncertain demand and climate variability</t>
  </si>
  <si>
    <t>Step-1 note: Rainwater treatment DT reliability; water systems</t>
  </si>
  <si>
    <t>10.1016/j.ress.2026.113206</t>
  </si>
  <si>
    <t>Muñoz-La Rivera, F et al. (2025)</t>
  </si>
  <si>
    <t>A Comprehensive Framework for Integrating Extended Reality into Lifecycle-Based Construction Safety Management</t>
  </si>
  <si>
    <t>Step-1 note: XR construction safety framework; DT keyword only</t>
  </si>
  <si>
    <t>10.3390/app15105690</t>
  </si>
  <si>
    <t>Lin, SW et al. (2026)</t>
  </si>
  <si>
    <t>Creation and application of a geometric digital twin model for construction of spatial cable structures: A case study</t>
  </si>
  <si>
    <t>Dynamic geometric digital twin (gDT) for spatial cable-net structure construction (Shanghai Jiao Tong): multi-stage laser scanning extracts geometric info → parametric IFC/BIM (cables as straight segments, clamps as Revit families) + ABAQUS FEM (shape &amp; force prediction); previous-stage FEM + construction progress + temperature data fill gaps between scan stages to build a continuous dynamic IFC model; stage modelling+computation &lt;140 s, BIM-vs-point-cloud avg 15-20 mm, next-stage cable shape/force prediction deviations 1.3%/1.5%. One-way physical→virtual stage-by-stage update with prediction; no actuation and no learning loop (manual re-parameterisation). [Full-text source: 04c-port]</t>
  </si>
  <si>
    <t>Fills the synchronization gap between BIM and FEM in construction-phase cable structures: multi-stage laser scanning (six scans of an 18-cable-set cable net) feeds parametric IFC modeling and ABAQUS secondary-development FEM, with BIM-to-point-cloud accuracy of 15 to 20 mm, per-stage modeling and computation within 140 s, and FEM prediction deviations of cable shape and force versus next-stage measurements within about 1 and 2 percent.</t>
  </si>
  <si>
    <t>The IFC model carries only geometric data, connecting members are simplified as rectangular prisms without internal detail, and the FEM assumes zero displacement at the cable anchorage. Future work includes supplementing material, load and construction information in the IFC data and adjusting boundary stiffness based on monitoring data.</t>
  </si>
  <si>
    <t>Previous-stage FEM results, construction-progress data and temperature data are jointly interpolated with multi-stage laser scans to build one continuous dynamic IFC model between scan stages.</t>
  </si>
  <si>
    <t>Step-1 note: Geometric DT for spatial cable structure construction | Coded from Step-3 deep-read markdown (Prompt B), imported 2026-09-30 | Prior matrix (v260816) verification note retained in 3_Change_Log</t>
  </si>
  <si>
    <t>10.1007/s11709-026-1301-0</t>
  </si>
  <si>
    <t>Kumar, NH et al. (2026)</t>
  </si>
  <si>
    <t>A PLS-SEM based framework for enabling digital twin systems for real-time monitoring and control in construction projects</t>
  </si>
  <si>
    <t>Step-1 note: PLS-SEM DT enabling factors; adoption study</t>
  </si>
  <si>
    <t>10.1108/CI-06-2025-0266</t>
  </si>
  <si>
    <t>Jahangir, MF et al. (2024)</t>
  </si>
  <si>
    <t>A REVIEW OF DRIVERS AND BARRIERS OF DIGITAL TWIN ADOPTION IN BUILDING PROJECT DEVELOPMENT PROCESSES</t>
  </si>
  <si>
    <t>Step-1 note: DT adoption drivers/barriers review; not DfS</t>
  </si>
  <si>
    <t>10.36680/j.itcon.2024.008</t>
  </si>
  <si>
    <t>Ahmed, AH et al. (2026)</t>
  </si>
  <si>
    <t>Multimodal machine learning in the AEC industry: a lifecycle-aligned review of strategies, challenges, and informatics frameworks</t>
  </si>
  <si>
    <t>Step-1 note: Multimodal ML AEC review; DT one aspect</t>
  </si>
  <si>
    <t>10.1016/j.aei.2026.104863</t>
  </si>
  <si>
    <t>Banihashemi, S et al. (2024)</t>
  </si>
  <si>
    <t>Circular economy in construction: The digital transformation perspective</t>
  </si>
  <si>
    <t>Step-1 note: Circular economy construction review; DT one tool</t>
  </si>
  <si>
    <t>10.1016/j.clet.2023.100715</t>
  </si>
  <si>
    <t>Naderi, H et al. (2024)</t>
  </si>
  <si>
    <t>Digital twin non-fungible token (DT-NFT): Enabling data ownership in the AEC industry</t>
  </si>
  <si>
    <t>Step-1 note: DT-NFT data ownership blockchain; not DfS</t>
  </si>
  <si>
    <t>10.1016/j.autcon.2024.105777</t>
  </si>
  <si>
    <t>Sepasgozar, SME et al. (2023)</t>
  </si>
  <si>
    <t>BIM and Digital Twin for Developing Convergence Technologies as Future of Digital Construction</t>
  </si>
  <si>
    <t>Step-1 note: BIM + DT convergence roadmap; technology roadmap</t>
  </si>
  <si>
    <t>10.3390/buildings13020441</t>
  </si>
  <si>
    <t>Araújo, CS et al. (2025)</t>
  </si>
  <si>
    <t>Proposal of a conceptual model of digital twins for construction sites</t>
  </si>
  <si>
    <t>Step-1 note: Conceptual DT model for construction sites; management | Prior matrix (v260816) verification note retained in 3_Change_Log</t>
  </si>
  <si>
    <t>10.7764/RIC.00168.21</t>
  </si>
  <si>
    <t>Afaq, M et al. (2026)</t>
  </si>
  <si>
    <t>Robotics and AI for prefabrication of steel building components: Systematic review and future roadmap</t>
  </si>
  <si>
    <t>Step-1 note: Robotics AI steel prefab review; DT one tech</t>
  </si>
  <si>
    <t>10.1016/j.autcon.2026.107107</t>
  </si>
  <si>
    <t>Bucher, DF et al. (2024)</t>
  </si>
  <si>
    <t>From BIM to Web3: A critical interpretive synthesis of present and emerging data management approaches in construction informatics</t>
  </si>
  <si>
    <t>Step-1 note: Construction informatics data management review</t>
  </si>
  <si>
    <t>10.1016/j.aei.2024.102884</t>
  </si>
  <si>
    <t>Deng, B et al. (2025)</t>
  </si>
  <si>
    <t>Structural Analysis of Construction Risk Management Assessment Model Based on Digital Twins</t>
  </si>
  <si>
    <t>DTCRAM: five-layer DT construction-risk assessment model (physical twin / data twin / twin model / data analysis / decision feedback) built via 3-round Delphi (9 experts, 15 risks incl. worker safety A1, equipment safety A2, construction quality A3) + case study (Thames Tidal Tunnel); real-time sensor data feeds simulation/risk prediction; claimed ~1% risk-probability reduction per project (A2 5%-&gt;3%, C1 3%-&gt;2%) but figures are estimates; feedback/optimisation loop described conceptually, not a demonstrated learning mechanism. [Full-text source: 04c-port]</t>
  </si>
  <si>
    <t>Responds to the lack of practical construction risk models: DTCRAM combines a three-round Delphi study with nine industry experts, identifying 15 construction risks and 15 countermeasures classified into 12 strategy types, with a five-layer digital twin structure (physical twin, data twin, twin model, data analysis, decision feedback) for dynamic monitoring and risk prediction, verified on the Thames Tidal Tunnel case with over 1 percent probability reduction per project.</t>
  </si>
  <si>
    <t>Expert-driven and weakly operationalized: only nine Delphi experts limit objectivity, results are tied to one specific project, and the model remains at a development stage with unquantified technical and methodological challenges; future research targets higher applicability and accuracy, larger samples across project types, and artificial intelligence and big data integration.</t>
  </si>
  <si>
    <t>The five-layer DTCRAM risk model is built from a Delphi study and a case study in which sensor-fed simulation and feedback loops are described only conceptually, so no implemented integration mechanism can be identified.</t>
  </si>
  <si>
    <t>Step-1 note: DTCRAM digital twin construction risk assessment model | Coded from Step-3 deep-read markdown (Prompt B), imported 2026-09-30 | Prior matrix (v260816) verification note retained in 3_Change_Log</t>
  </si>
  <si>
    <t>10.21315/jcdc.2025.30.s2.10</t>
  </si>
  <si>
    <t>Sepasgozar, SME et al. (2021)</t>
  </si>
  <si>
    <t>Metrics development and modelling the mixed reality and digital twin adoption in the context of Industry 4.0</t>
  </si>
  <si>
    <t>Step-1 note: MRDT adoption metrics TAM; adoption study</t>
  </si>
  <si>
    <t>10.1108/ECAM-10-2020-0880</t>
  </si>
  <si>
    <t>Baena-Miret, S et al. (2024)</t>
  </si>
  <si>
    <t>Enhancing efficiency and quality control: The impact of Digital Twins in drinking water networks</t>
  </si>
  <si>
    <t>Step-1 note: Drinking water network DTs; water utility</t>
  </si>
  <si>
    <t>10.1002/wer.11139</t>
  </si>
  <si>
    <t>Oyediran, AO et al. (2025)</t>
  </si>
  <si>
    <t>Exploring application areas of cyber-physical systems in the construction industry: a case of Nigeria</t>
  </si>
  <si>
    <t>Step-1 note: CPS application areas survey; DT keyword only</t>
  </si>
  <si>
    <t>10.1080/15623599.2025.2482216</t>
  </si>
  <si>
    <t>Zhang, XN et al. (2024)</t>
  </si>
  <si>
    <t>AIoT-enabled digital twin system for smart tunnel fire safety management</t>
  </si>
  <si>
    <t>AIoT-enabled digital twin system for smart tunnel fire safety management (PolyU/HKU, Developments in the Built Environment 2024): Transformer deep learning model trained on simulation data predicts real-time fire location and size from dynamic sensor data; integrated into a Unity 3D digital twin platform visualizing the 3D fire scene to support evacuation, firefighting and emergency rescue; demonstrated with numerical experiments and large-scale tunnel fire tests. Prediction + visualization, no actuation. [Full-text source: browser-oa]</t>
  </si>
  <si>
    <t>Transformer-based fire source prediction validated on large-scale tunnel fire tests and visualized in a Unity 3D twin.</t>
  </si>
  <si>
    <t>Numerical + large-scale tests but no continuous live tunnel deployment described.</t>
  </si>
  <si>
    <t>Dynamic sensor data and simulation-trained Transformer outputs are fused in the 3D fire twin.</t>
  </si>
  <si>
    <t>Step-1 note: AIoT digital twin for smart tunnel fire safety management | Coded from Step-3 deep-read markdown (Prompt B), imported 2026-09-30</t>
  </si>
  <si>
    <t>10.1016/j.dibe.2024.100381</t>
  </si>
  <si>
    <t>Wang, X et al. (2021)</t>
  </si>
  <si>
    <t>Interactive and Immersive Process-Level Digital Twin for Collaborative Human-Robot Construction Work</t>
  </si>
  <si>
    <t>Interactive and immersive process-level digital twin (I2PL-DT) in VR for collaborative human-robot construction work (Univ. of Michigan): human in VR does high-level task planning/supervision and trajectory guidance; KUKA mobile robotic arm (emulator) does sensing, motion planning (SBT/motion-plan generation, collision-free) and physical execution via ros_control + PID to real actuators; seamless bidirectional communication between human and robot with real-time robot status supervision; augmented telepresence prevents workers from exposure to on-site hazards (safety benefit); drywall installation case with imperfect framing, 20-subject human-in-the-loop study. Genuine virtual→physical robot control → Tier 3; no ML learning loop. [Full-text source: 04c-port]</t>
  </si>
  <si>
    <t>Addresses the gap between robot teleoperation and safe collaborative construction: the I2PL-DT couples immersive VR with a ROS-connected KUKA arm so workers without programming skills perform high-level task planning, preview and approve collision-free motions, and supervise execution with bidirectional communication, verified on a drywall installation case with imperfect framing and a 20-subject human-in-the-loop study reporting positive usability.</t>
  </si>
  <si>
    <t>The arm keeps a fixed pose while its base moves, execution halts and waits for humans when obstacles appear, material positions are assumed known, and point-cloud processing causes delays; verification is mostly simulated rather than on a real site. Future work targets dynamic arm pose adjustment, autonomous path adaptation, vision-based material detection, real-time performance, and long-term human factors studies on physical KUKA KR120 arms.</t>
  </si>
  <si>
    <t>Human VR task plans and the robot status are synchronised bidirectionally in the process-level DT, sharing one robot-state frame, while sensing, motion planning and execution run in their own stages.</t>
  </si>
  <si>
    <t>Step-1 note: Process-level DT for collaborative human-robot construction | Coded from Step-3 deep-read markdown (Prompt B), imported 2026-09-30 | Prior matrix (v260816) verification note retained in 3_Change_Log</t>
  </si>
  <si>
    <t>10.1061/(ASCE)CP.1943-5487.0000988</t>
  </si>
  <si>
    <t>Xu, L et al. (2025)</t>
  </si>
  <si>
    <t>Automation in manufacturing and assembly of industrialised construction</t>
  </si>
  <si>
    <t>Step-1 note: Industrialised construction automation review; DT one tech</t>
  </si>
  <si>
    <t>10.1016/j.autcon.2024.105945</t>
  </si>
  <si>
    <t>Gupta, A et al. (2026)</t>
  </si>
  <si>
    <t>Enhancing Sustainability and Construction Safety Research in the Era of Artificial Intelligence</t>
  </si>
  <si>
    <t>Step-1 note: AI sustainability &amp; safety review; DT one technology</t>
  </si>
  <si>
    <t>10.1115/1.4071434</t>
  </si>
  <si>
    <t>Chou, JS et al. (2026)</t>
  </si>
  <si>
    <t>Artificial Intelligence in Earthquake Engineering: A Systematic Review from Machine Learning to Agentic AI</t>
  </si>
  <si>
    <t>Step-1 note: AI earthquake engineering review; DT one paradigm</t>
  </si>
  <si>
    <t>10.32604/cmes.2026.084591</t>
  </si>
  <si>
    <t>Hou, YR et al. (2026)</t>
  </si>
  <si>
    <t>Advancing Smart Construction Management: A Comprehensive Analysis of Digital Twin Applications and Challenges</t>
  </si>
  <si>
    <t>Step-1 note: DT construction management SLR; not DfS focused</t>
  </si>
  <si>
    <t>10.1061/JSDCCC.SCENG-1953</t>
  </si>
  <si>
    <t>Li, MH et al. (2022)</t>
  </si>
  <si>
    <t>Brillouin fiber optic sensors and mobile augmented reality-based digital twins for quantitative safety assessment of underground pipelines</t>
  </si>
  <si>
    <t>Brillouin fibre-optic sensors + mobile augmented reality digital twin for underground pipelines (Dalian UT, AutCon 2022): distributed BFOS networks measure unpredictable deformations (longitudinal bending, axial thermal strain); a joint data-physics driven model estimates structural stress states more accurately than common calculation models; MAR-based human-asset interface enables intuitive, efficient and automated O&amp;M; field experiments demonstrate quantitative safety assessment and prediction from the DT. One-way sensing-&gt;assessment/prediction; no actuation, no learning loop; in-line robotic systems left as future work. [Full-text source: Endnote]</t>
  </si>
  <si>
    <t>Fills the quantitative-assessment gap for invisible pipelines: BFOS distributed sensing plus a joint data-physics stress model and MAR interaction interface enable quantitative safety assessment and prediction from the DT, demonstrated in field experiments.</t>
  </si>
  <si>
    <t>Field experiments on a single pipeline; the joint data-physics model requires material/soil assumptions, and MAR interface benefits (efficiency gains) are qualitative; in-line robotic inspection and localised damage models are future work.</t>
  </si>
  <si>
    <t>BFOS bending/thermal-strain measurements and the physics model are fused into one joint data-physics stress-state estimator.</t>
  </si>
  <si>
    <t>Step-1 note: BFOS + MAR DT for underground pipeline safety assessment | Coded from Step-3 deep-read markdown (Prompt B), imported 2026-09-30</t>
  </si>
  <si>
    <t>10.1016/j.autcon.2022.104617</t>
  </si>
  <si>
    <t>Zhang, ZP et al. (2025)</t>
  </si>
  <si>
    <t>Advancements in digital twin-enhanced health monitoring and condition assessment of cable-supported bridges</t>
  </si>
  <si>
    <t>Literature review + bibliometric analysis (Structures 2025): systematically reviews digital-twin-enhanced health monitoring and condition assessment of cable-supported bridges and proposes a novel three-layer DT framework with seven challenge areas and future trends. No DT is built, evaluated or methodologically developed in this paper (framework proposal only). P=No, R=No -&gt; Stage-2 exclude. [Full-text source: Endnote]</t>
  </si>
  <si>
    <t>Step-1 note: DT-enhanced health monitoring of cable-supported bridges review | Stage-2 exclusion basis: P=No; R=No | Coded from Step-3 deep-read markdown (Prompt B), imported 2026-09-30</t>
  </si>
  <si>
    <t>10.1016/j.istruc.2025.109448</t>
  </si>
  <si>
    <t>Bao, XH et al. (2026)</t>
  </si>
  <si>
    <t>Intelligent technologies for tunnel construction and maintenance: A state-of-the-art review of methods and supporting platforms</t>
  </si>
  <si>
    <t>Step-1 note: Intelligent tunnel technologies review; DT one element | Prior matrix (v260816) verification note retained in 3_Change_Log</t>
  </si>
  <si>
    <t>10.1016/j.tust.2025.107207</t>
  </si>
  <si>
    <t>Tian, FH et al. (2026)</t>
  </si>
  <si>
    <t>Defect Trigger Identification in a Construction Digital Twin Using Quality Linked Data and Iterative Deviation Computation</t>
  </si>
  <si>
    <t>Quality defect trigger identification in a construction digital twin (Southeast U): evolution-mechanism + ontology-based four-layer semantic model (quality standards / quality data / defect triggers / construction processes) implemented in GraphDB for semantic linkage of multisource heterogeneous data; an iterative deviation-computation engine (process logic + rule constraints) identifies potential quality defect triggers and visualises them in the DT; validated on a real prefabricated composite-slab installation case + comparative experiments + expert evaluation. One-way data integration→reasoning→identification/visualisation for proactive quality management; no actuation, no self-improvement loop. [Full-text source: 04c-port]</t>
  </si>
  <si>
    <t>Fills the granularity gap between abstract quality risk and concrete defects: a quality-defect-trigger concept with an evolution-mechanism, ontology-based four-layer semantic model and GraphDB linked-data pipeline uses SPARQL deviation computation to flag triggers exceeding tolerance thresholds, identifying a 4.63 mm x-axis misalignment and 2.9 mm seam-flatness deviation in a prefabricated composite-slab installation while reaching 100 percent identification accuracy in 371 s.</t>
  </si>
  <si>
    <t>The framework depends on high-quality real-time data, lacks a standardized defect-trigger grading and remediation system, offers limited BIM and mobile-platform integration and weak visualization, and management-related and human-related triggers remain under-detected; future work targets data robustness, multiplatform DT integration, grading models, and reinforcement learning or large language model support.</t>
  </si>
  <si>
    <t>Multisource heterogeneous data are semantically linked in an ontology-based four-layer model in GraphDB, and SPARQL iterative deviation computation reasons over the linked data to identify quality defect triggers.</t>
  </si>
  <si>
    <t>Step-1 note: Quality defect triggers in construction digital twin | Coded from Step-3 deep-read markdown (Prompt B), imported 2026-09-30 | Prior matrix (v260816) verification note retained in 3_Change_Log</t>
  </si>
  <si>
    <t>10.1061/JCEMD4.COENG-18029</t>
  </si>
  <si>
    <t>Bozeman, JF III et al. (2023)</t>
  </si>
  <si>
    <t>Three research priorities for just and sustainable urban systems: Now is the time to refocus</t>
  </si>
  <si>
    <t>Step-1 note: Just sustainable urban systems perspective; urban policy</t>
  </si>
  <si>
    <t>10.1111/jiec.13360</t>
  </si>
  <si>
    <t>Zhang, YH et al. (2027)</t>
  </si>
  <si>
    <t>Quantifying insulation aging risks in power transformers: A spatially selective Bayesian digital twin framework</t>
  </si>
  <si>
    <t>Step-1 note: Power transformer Bayesian DT; energy</t>
  </si>
  <si>
    <t>10.1016/j.ress.2026.113323</t>
  </si>
  <si>
    <t>Zhou, TF et al. (2026)</t>
  </si>
  <si>
    <t>DECARBONIZATION THROUGH DIGITAL TWINS: INTEGRATING MANAGEMENT COMPETENCIES AND INDUSTRIAL ENERGY EFFICIENCY</t>
  </si>
  <si>
    <t>Step-1 note: Decarbonization DTs industrial; energy/industry</t>
  </si>
  <si>
    <t>10.23055/ijietap.2026.33.1.11445</t>
  </si>
  <si>
    <t>Nassereddine, H et al. (2025)</t>
  </si>
  <si>
    <t>PROPOSING A DIGITAL TWIN DATADOSE FRAMEWORK FOR ASSET MANAGEMENT IN STATE DEPARTMENTS OF TRANSPORTATION</t>
  </si>
  <si>
    <t>Step-1 note: DataDOSE DOT asset management data framework</t>
  </si>
  <si>
    <t>10.36680/j.itcon.2025.039</t>
  </si>
  <si>
    <t>Madubuike, OC et al. (2023)</t>
  </si>
  <si>
    <t>Digital Twin-Based Health Care Facilities Management</t>
  </si>
  <si>
    <t>Step-1 note: Healthcare facilities management DT; maintenance focus</t>
  </si>
  <si>
    <t>10.1061/JCCEE5.CPENG-4842</t>
  </si>
  <si>
    <t>Elmousalami, H et al. (2025)</t>
  </si>
  <si>
    <t>AI in automated sustainable construction engineering management</t>
  </si>
  <si>
    <t>Step-1 note: AI sustainable construction review; DT one element</t>
  </si>
  <si>
    <t>10.1016/j.autcon.2025.106202</t>
  </si>
  <si>
    <t>Liu, Y et al. (2025)</t>
  </si>
  <si>
    <t>Intelligent construction technology for reservoir dams</t>
  </si>
  <si>
    <t>Step-1 note: Reservoir dam intelligent construction bibliometric</t>
  </si>
  <si>
    <t>10.1016/j.autcon.2025.106177</t>
  </si>
  <si>
    <t>Ali, Y et al. (2027)</t>
  </si>
  <si>
    <t>Physics-informed zero-trust digital twins for resilient and safe cloud-controlled unmanned aerial vehicles under cyber-physical attacks</t>
  </si>
  <si>
    <t>Step-1 note: PZTwin UAV zero-trust DT; UAV</t>
  </si>
  <si>
    <t>10.1016/j.ress.2026.113302</t>
  </si>
  <si>
    <t>Liang, CJ et al. (2020)</t>
  </si>
  <si>
    <t>Teaching robots to perform quasi-repetitive construction tasks through human demonstration</t>
  </si>
  <si>
    <t>Step-1 note: Robot LfD construction tasks; DT component only</t>
  </si>
  <si>
    <t>10.1016/j.autcon.2020.103370</t>
  </si>
  <si>
    <t>AI-based risk assessment for construction site disaster preparedness through deep learning-based digital twinning</t>
  </si>
  <si>
    <t>Vision-based digital twinning and threat assessment for construction site disaster preparedness (Texas A&amp;M): deep learning encodes disaster risk context into construction site digital twin models to identify and analyze potential wind-borne debris characteristics and impacts; case studies on nine piles of construction materials; rapid 2D/3D semantic segmentation for vulnerability flagging. Static DT for risk assessment — no live data link, no actuation, no learning loop. [Full-text source: 04c-port]</t>
  </si>
  <si>
    <t>Systematizes pre-hurricane preparedness beyond error-prone manual checklist inspection: SfM and MVS photogrammetry reconstruct jobsite point clouds, ResNet50 semantic segmentation reaches 98.2 percent accuracy, and a depth-aware projection raises 3D segmentation accuracy from 97.85 to 99.8 percent; volumetric measurement of nine material piles (errors 2.4 to 9.2 percent) feeds kinetic-energy threat heatmaps at hurricane-category wind speeds.</t>
  </si>
  <si>
    <t>Case studies are static snapshots of two jobsites without live data integration. Segmentation is expected to degrade in rain, fog, or dim light and under occlusions and moving objects; volumetric measurement overestimates unstacked piles because RGB cameras cannot see inside them. Building robust machine vision accounting for these challenges is the direction of ongoing research.</t>
  </si>
  <si>
    <t>SfM/MVS photogrammetry reconstructs jobsite point clouds, ResNet50 semantic segmentation runs in 2D and a depth-aware projection fuses the two into 3D semantic segmentations (97.85 to 99.8% accuracy).</t>
  </si>
  <si>
    <t>Step-1 note: Vision-based DT for construction disaster preparedness | AB normalised to code list (source label "Perception / Computer Vision") | Coded from Step-3 deep-read markdown (Prompt B), imported 2026-09-30 | Prior matrix (v260816) verification note retained in 3_Change_Log</t>
  </si>
  <si>
    <t>10.1016/j.autcon.2021.104091</t>
  </si>
  <si>
    <t>Di Marco, G (2026)</t>
  </si>
  <si>
    <t>A Digital Twin With Material Characterisation and LLM as High-Level Orchestrator via Few-Shot In-Context Learning for Closed-Loop Control in Robotic Adaptive 3DCP</t>
  </si>
  <si>
    <t>Computational digital twin with material characterisation for robotic adaptive 3D concrete printing (XJTLU, Struct Control Health Monit 2026): Grasshopper parametric workflow implements a compressive-strength predictive model with Monte Carlo uncertainty propagation (1000 samples), optimising process parameters to maximise parallel strength and guarantee grade M20 at the 5th percentile (design-for-safety); variance in parallel structural strength reduced by 25% with 90% confidence of M20, reducing anisotropy; a pretrained LLM acting as high-level orchestrator for closed-loop control via few-shot in-context learning is proposed/PoC-described but the closed loop is not demonstrated on the physical cell (no test-bed experimental data). Virtual-testing validation; no live physical link; learning mechanism mentioned only. [Full-text source: Endnote]</t>
  </si>
  <si>
    <t>Fills the standardisation gap for 3DCP: a computational DT with material characterisation and Monte Carlo uncertainty propagation optimises process parameters to maximise parallel strength (variance -25%, 90% confidence of M20), prioritising the 5th-percentile design-for-safety criterion, with an LLM proposed as closed-loop orchestrator.</t>
  </si>
  <si>
    <t>No physical test-bed experiments: validation is virtual (Monte Carlo); the LLM closed-loop orchestration is proposed/PoC-described and not demonstrated on the robotic cell; few-shot prompt robustness and physical actuation safety are open questions.</t>
  </si>
  <si>
    <t>Material characterisation, process parameters and environmental factors with Monte Carlo uncertainty are fused in one strength-prediction model.</t>
  </si>
  <si>
    <t>Step-1 note: Computational DT for adaptive 3D concrete printing quality | Coded from Step-3 deep-read markdown (Prompt B), imported 2026-09-30</t>
  </si>
  <si>
    <t>10.1155/stc/8514242</t>
  </si>
  <si>
    <t>Liu, KX et al. (2025)</t>
  </si>
  <si>
    <t>A scoping review of fire safety on building construction sites: current measures, practices and future research directions</t>
  </si>
  <si>
    <t>Step-1 note: Fire safety construction sites scoping review; DT not core</t>
  </si>
  <si>
    <t>10.1108/ECAM-11-2024-1519</t>
  </si>
  <si>
    <t>Hu, YL et al. (2026)</t>
  </si>
  <si>
    <t>Artificial intelligence-based tunnel leakage detection and monitoring: A review of sensing technologies and multimodal fusion</t>
  </si>
  <si>
    <t>Step-1 note: Tunnel leakage AI review; DT keyword only</t>
  </si>
  <si>
    <t>10.1016/j.measurement.2026.122444</t>
  </si>
  <si>
    <t>Moe, SJS et al. (2026)</t>
  </si>
  <si>
    <t>SMAC-based cooperative hyperparameter optimization for occupational risk assessment in decentralized federated on-device AI networks</t>
  </si>
  <si>
    <t>Step-1 note: Federated HPO occupational risk; DT orchestration only | Prior matrix (v260816) verification note retained in 3_Change_Log</t>
  </si>
  <si>
    <t>10.1016/j.aej.2026.05.006</t>
  </si>
  <si>
    <t>Geng, ZH et al. (2025)</t>
  </si>
  <si>
    <t>Integrating multi-source data for life-cycle risk assessment of bridge networks: a system digital twin framework</t>
  </si>
  <si>
    <t>System digital twin (SDT) for life-cycle risk assessment of bridge networks: Bayesian network (BN) integrates multi-source data (NBI bridge inspections, FDOT traffic/AADT, USGS river gage) to update bridge failure risk (superstructure + scour) over time via automated Bayesian inference (indicator matrix for annual updates; network risk profile trends up as data update reduces uncertainty). Miami-Dade County case: 1,034 bridges, 6,478 nodes, 10,584 edges; 3 flexibility scenarios (new bridge, decommissioning, climate-change flood with CPT recalibration). Updating is implemented Bayesian inference — but authors state framework "has not yet been validated"; CPT refits are manual, no autonomous learning loop. [Full-text source: 04c-port]</t>
  </si>
  <si>
    <t>Proposes a Bayesian-network system digital twin for county-scale life-cycle risk assessment of bridge networks, fusing NBI inspection ratings, traffic monitoring and river gage data across 1,034 bridges, 1,261 traffic stations and 10 river gages in Miami-Dade County, with a 6,478-node, 10,584-edge graph capturing component, system and cross-system correlations for scenario-based risk updating.</t>
  </si>
  <si>
    <t>The framework has not yet been validated with field or laboratory tests, and its large Bayesian network demands 97,484.8 MB of memory just to store conditional probability tables, limiting practical scale-up. Future work includes custom Bayesian networks to cut computation, validation through field coring and lab testing, and adding restoration and resilience modelling.</t>
  </si>
  <si>
    <t>A Bayesian network fuses NBI inspection ratings, FDOT traffic monitoring and USGS river-gage data into one 6,478-node, 10,584-edge network that updates bridge failure risk through automated Bayesian inference.</t>
  </si>
  <si>
    <t>Step-1 note: System digital twin for bridge network life-cycle risk | Coded from Step-3 deep-read markdown (Prompt B), imported 2026-09-30 | Prior matrix (v260816) verification note retained in 3_Change_Log</t>
  </si>
  <si>
    <t>10.1186/s43065-025-00121-7</t>
  </si>
  <si>
    <t>Wang, J et al. (2026)</t>
  </si>
  <si>
    <t>Digital twin-augmented graph convolutional network for cross-modal fault diagnosis in rocket segments with limited labeled data</t>
  </si>
  <si>
    <t>Step-1 note: Rocket segment fault diagnosis DT; aerospace</t>
  </si>
  <si>
    <t>10.1088/1361-6501/ae4127</t>
  </si>
  <si>
    <t>Bayat, M et al. (2026)</t>
  </si>
  <si>
    <t>Equitable Prioritization of Off-System Bridge Maintenance under Tornado Risk Using Inspection Data and Digital Shadows</t>
  </si>
  <si>
    <t>Step-1 note: Off-system bridge maintenance digital shadow; not DT</t>
  </si>
  <si>
    <t>10.1061/JCCEE5.CPENG-6912</t>
  </si>
  <si>
    <t>Zhang, F et al. (2025)</t>
  </si>
  <si>
    <t>Technology and implementation of safety monitoring system for power grid construction site based on intelligent video analysis</t>
  </si>
  <si>
    <t>Step-1 note: Power grid construction site safety video; energy</t>
  </si>
  <si>
    <t>10.1177/14727978251366517</t>
  </si>
  <si>
    <t>Zhu, T et al. (2026)</t>
  </si>
  <si>
    <t>From artificial intelligence for science to autonomous chemical innovation: closing the loop in energy and chemical engineering</t>
  </si>
  <si>
    <t>Step-1 note: AI for chemical innovation; chemistry</t>
  </si>
  <si>
    <t>10.1093/ce/zkag033</t>
  </si>
  <si>
    <t>Tung, PV et al. (2026)</t>
  </si>
  <si>
    <t>Operational intelligence for climate-resilient water systems: a systematic-integrative review of digital technologies, hydro-climatic constraints, and system-level resilience</t>
  </si>
  <si>
    <t>Step-1 note: Climate-resilient water systems review; water</t>
  </si>
  <si>
    <t>10.2166/wst.2026.334</t>
  </si>
  <si>
    <t>Kunchi, LS et al. (2026)</t>
  </si>
  <si>
    <t>PeopleFlow: a reproducible geometry-aware multi-agent framework for evacuation safety evaluation across diversified building environments</t>
  </si>
  <si>
    <t>Step-1 note: PeopleFlow evacuation framework; DT keyword only</t>
  </si>
  <si>
    <t>10.3389/fbuil.2026.1850477</t>
  </si>
  <si>
    <t>Shi, XM (2025)</t>
  </si>
  <si>
    <t>Leveraging emerging technologies to address the crisis of aging concrete infrastructure</t>
  </si>
  <si>
    <t>Step-1 note: Aging concrete infrastructure commentary; DT one element</t>
  </si>
  <si>
    <t>10.1186/s43065-025-00147-x</t>
  </si>
  <si>
    <t>Kannari, L et al. (2025)</t>
  </si>
  <si>
    <t>Reinforcement learning for control and optimization of real buildings: Identifying and addressing implementation hurdles</t>
  </si>
  <si>
    <t>Step-1 note: RL building control review; DT keyword only</t>
  </si>
  <si>
    <t>10.1016/j.jobe.2025.112283</t>
  </si>
  <si>
    <t>Hu, ZZ et al. (2026)</t>
  </si>
  <si>
    <t>Digital disaster prevention for ocean engineering: Current progress and future directions</t>
  </si>
  <si>
    <t>Step-1 note: Ocean engineering digital disaster prevention; marine</t>
  </si>
  <si>
    <t>10.1016/j.oceaneng.2026.125101</t>
  </si>
  <si>
    <t>Zeng, SQ et al. (2025)</t>
  </si>
  <si>
    <t>Multi-source data-driven intelligent analysis and decision optimization for high-density pedestrian flows in urban public spaces</t>
  </si>
  <si>
    <t>Step-1 note: Pedestrian flows review; DT trend only</t>
  </si>
  <si>
    <t>10.1016/j.autcon.2025.106367</t>
  </si>
  <si>
    <t>Behún, M et al. (2026)</t>
  </si>
  <si>
    <t>Data-Driven Calibration Scheduling for Measuring Instruments-A Smart Management Architecture</t>
  </si>
  <si>
    <t>Step-1 note: Calibration scheduling smart manufacturing; manufacturing</t>
  </si>
  <si>
    <t>10.3390/app16157675</t>
  </si>
  <si>
    <t>Siahkouhi, M et al. (2026)</t>
  </si>
  <si>
    <t>AI-assisted fibre optic sensing frameworks for automated monitoring of railway infrastructure</t>
  </si>
  <si>
    <t>Step-1 note: Fibre optic sensing railway review; no DT core</t>
  </si>
  <si>
    <t>10.1016/j.iintel.2026.100214</t>
  </si>
  <si>
    <t>Aryai, V et al. (2021)</t>
  </si>
  <si>
    <t>Reliability of multi-purpose offshore-facilities: Present status and future direction in Australia</t>
  </si>
  <si>
    <t>Step-1 note: Offshore MPOP reliability; marine</t>
  </si>
  <si>
    <t>10.1016/j.psep.2020.10.016</t>
  </si>
  <si>
    <t>Sambhavi, YV et al. (2026)</t>
  </si>
  <si>
    <t>Hydrogen-powered electric vehicles: A state-of-the-art review</t>
  </si>
  <si>
    <t>Step-1 note: Hydrogen electric vehicles review; vehicles</t>
  </si>
  <si>
    <t>10.1016/j.rineng.2026.111826</t>
  </si>
  <si>
    <t>STEP 1 &amp; PRISMA - screening outcomes (auto)</t>
  </si>
  <si>
    <t>PRISMA stage</t>
  </si>
  <si>
    <t>n</t>
  </si>
  <si>
    <t>Records identified (in matrix)</t>
  </si>
  <si>
    <t>Records screened (Stage-1 decided)</t>
  </si>
  <si>
    <t xml:space="preserve">  Excluded at Stage-1 (title/abstract)</t>
  </si>
  <si>
    <t>Stage-1 INCLUDE -&gt; sought for retrieval</t>
  </si>
  <si>
    <t xml:space="preserve">  PDF full text on hand (gateway = Yes)</t>
  </si>
  <si>
    <t xml:space="preserve">  PDF not yet on hand (revisit later)</t>
  </si>
  <si>
    <t>Reports assessed for eligibility (full text)</t>
  </si>
  <si>
    <t xml:space="preserve">  Excluded at Stage-2 (full text, with reasons)</t>
  </si>
  <si>
    <t>STUDIES INCLUDED IN SYNTHESIS</t>
  </si>
  <si>
    <t>Stage-1 exclusion reasons</t>
  </si>
  <si>
    <t>Reason</t>
  </si>
  <si>
    <t>Wrong domain (non-AECO)</t>
  </si>
  <si>
    <t>Digital Twin not core / buzzword</t>
  </si>
  <si>
    <t>No Design for Safety/Quality/PtD</t>
  </si>
  <si>
    <t>Wrong publication type</t>
  </si>
  <si>
    <t>Non-English</t>
  </si>
  <si>
    <t>Total Stage-1 exclusions</t>
  </si>
  <si>
    <t>Stage-2 (full-text) exclusion reasons</t>
  </si>
  <si>
    <t>Digital Twin mentioned only, not the subject</t>
  </si>
  <si>
    <t>No Design for Safety/Quality in full text</t>
  </si>
  <si>
    <t>Methodology not codable</t>
  </si>
  <si>
    <t>Total Stage-2 exclusions</t>
  </si>
  <si>
    <t>LIVE DATA FEED — the text of every shape above is generated from these formula cells</t>
  </si>
  <si>
    <t>Key</t>
  </si>
  <si>
    <t>Text used in shape (live formula)</t>
  </si>
  <si>
    <t>Identified</t>
  </si>
  <si>
    <t>Screened</t>
  </si>
  <si>
    <t>Excluded1</t>
  </si>
  <si>
    <t>Sought</t>
  </si>
  <si>
    <t>NotRetrieved</t>
  </si>
  <si>
    <t>Assessed</t>
  </si>
  <si>
    <t>Excluded2</t>
  </si>
  <si>
    <t>Included</t>
  </si>
  <si>
    <t>PanelHeader</t>
  </si>
  <si>
    <t>PanelTier</t>
  </si>
  <si>
    <t>PanelSelf</t>
  </si>
  <si>
    <t>PanelValid</t>
  </si>
  <si>
    <t>PanelPhase</t>
  </si>
  <si>
    <t>Footnote</t>
  </si>
  <si>
    <t>Shapes version. Rebuilt 2026-09-30 from Step-1 (956 merged records) and Step-3 markdown. "Not retrieved" = 30 Stage-1 includes whose full text is not yet verified. The hand-drawn PRISMA diagram shapes still show the previous corpus and must be refreshed.</t>
  </si>
  <si>
    <t>PanelModality</t>
  </si>
  <si>
    <t>PanelFusion</t>
  </si>
  <si>
    <t>FusionHeadline</t>
  </si>
  <si>
    <t>CUSTOM SHAPE FEED — matches the hand-styled wording of the diagram shapes (live formulas)</t>
  </si>
  <si>
    <t>Shape name</t>
  </si>
  <si>
    <t>Text pushed into shape (live formula)</t>
  </si>
  <si>
    <t>PR_Screened</t>
  </si>
  <si>
    <t>PR_Sought</t>
  </si>
  <si>
    <t>PR_Assessed</t>
  </si>
  <si>
    <t>PR_Included</t>
  </si>
  <si>
    <t>PR_Excluded1</t>
  </si>
  <si>
    <t>PR_NotRetrieved</t>
  </si>
  <si>
    <t>PR_Excluded2</t>
  </si>
  <si>
    <t>PR_PanelTier</t>
  </si>
  <si>
    <t>PR_PanelSelf</t>
  </si>
  <si>
    <t>PR_PanelValid</t>
  </si>
  <si>
    <t>PR_PanelPhase</t>
  </si>
  <si>
    <t>PR_PanelModality</t>
  </si>
  <si>
    <t>PR_PanelFusion</t>
  </si>
  <si>
    <t>PR_FusionHeadline</t>
  </si>
  <si>
    <t>PR_Title</t>
  </si>
  <si>
    <t>STEP 3 - deep-read synthesis tables (auto = findings section)</t>
  </si>
  <si>
    <t>Total included studies</t>
  </si>
  <si>
    <t>Digital Twin capability tier (Gap 1)</t>
  </si>
  <si>
    <t>Tier Level</t>
  </si>
  <si>
    <t>% of incl.</t>
  </si>
  <si>
    <t>Self-improvement / convergence (Gap 4 - core gap)</t>
  </si>
  <si>
    <t>Category</t>
  </si>
  <si>
    <t>Design-for-X target</t>
  </si>
  <si>
    <t>Data modality (Gap 2)</t>
  </si>
  <si>
    <t>Validation level (Gap 5)</t>
  </si>
  <si>
    <t>Total (must equal included)</t>
  </si>
  <si>
    <t>Methodology (RQ2)</t>
  </si>
  <si>
    <t>Lifecycle phase coverage (Gap 3)</t>
  </si>
  <si>
    <t>Coverage</t>
  </si>
  <si>
    <t>Design (any)</t>
  </si>
  <si>
    <t>Construction (any)</t>
  </si>
  <si>
    <t>Operation (any)</t>
  </si>
  <si>
    <t>Single-phase</t>
  </si>
  <si>
    <t>Multi-phase (cross-phase)</t>
  </si>
  <si>
    <t>Gap 2 x Gap 4 cross-tab - is multimodal data converted into adaptive capability?</t>
  </si>
  <si>
    <t>Data modality \ Self-improvement</t>
  </si>
  <si>
    <t>Total</t>
  </si>
  <si>
    <t>Same cross-tab as % of each modality row (does data richness become adaptive capability?)</t>
  </si>
  <si>
    <t>Cross-tab integrity check (grand total must equal total included studies)</t>
  </si>
  <si>
    <t>Cross-tab grand total</t>
  </si>
  <si>
    <t>Reconciles?</t>
  </si>
  <si>
    <t>Headline (auto)</t>
  </si>
  <si>
    <t>Fusion depth (Gap 2b - how deeply are the data types actually integrated?)</t>
  </si>
  <si>
    <t>Fusion coding confidence</t>
  </si>
  <si>
    <t>Confidence</t>
  </si>
  <si>
    <t>Rows flagged for review</t>
  </si>
  <si>
    <t>Fusion depth x Gap 4 cross-tab - does deeper integration produce adaptive capability?</t>
  </si>
  <si>
    <t>Fusion depth \ Self-improvement</t>
  </si>
  <si>
    <t>Fusion coding integrity check</t>
  </si>
  <si>
    <t>Fusion cross-tab grand total</t>
  </si>
  <si>
    <t>Source</t>
  </si>
  <si>
    <t>ID (title key)</t>
  </si>
  <si>
    <t>Full title (from SLR markdown, 2026-08-30)</t>
  </si>
  <si>
    <t>SLR summary matrix step 1.md (956-record merged corpus)</t>
  </si>
  <si>
    <t>New ID</t>
  </si>
  <si>
    <t>Change type</t>
  </si>
  <si>
    <t>Field</t>
  </si>
  <si>
    <t>Previous matrix (v260816)</t>
  </si>
  <si>
    <t>New Step-3 coding</t>
  </si>
  <si>
    <t>Previous verification note</t>
  </si>
  <si>
    <t>Previously INCLUDED, not included/coded in new run</t>
  </si>
  <si>
    <t>INCLUDE</t>
  </si>
  <si>
    <t>Stage-1 Exclude</t>
  </si>
  <si>
    <t>Verified 2026-08-22 (deep re-read) vs PDF. Lane-level tracking, RTK GNSS (NovAtel CPT7700), Digital Shadow/Digital Sibling, TTC/PET, C-V2X confirmed; "no explicit future work" confirmed (paper ends with CONCLUSION AND RECOMMENDATIONS). YEAR CORRECTED 2026 -&gt; 2025: header reads "arXiv:2508.01599v1 [cs.OH] 3 Aug 2025" and "Submission Date: August 5, 2025"; the document contains no evidence of a 2026 version of record.</t>
  </si>
  <si>
    <t>Verified 2026-08-22 vs PDF. Perspective paper: "two-way dynamic mapping between virtual models and physical components", drywall/near-miss scenarios with case-based reasoning described as opportunities, nothing implemented. Tier 3, AD Conceptual, AA Mentioned only all upheld.</t>
  </si>
  <si>
    <t>Verified 2026-08-22 vs PDF (UPM / UNE / CEN). CEN/TC 442/WG 9 and CEN/TR 18077 confirmed; two implemented DT management platforms described - Bidebieta-Basauri railway station (Bilbao-Orduna network, Basque Country) and the UPM civil engineering school. AD Cross-project supported by two distinct real projects. Tier 1, AA None upheld.</t>
  </si>
  <si>
    <t>10.7764/ric.00168.21</t>
  </si>
  <si>
    <t>Verified 2026-08-22 vs PDF. Design Science Research methodology confirmed; Smart Twins 4.0 empirical study confirmed verbatim: "Through an inspection of 151 panels using Smart Twins, 100% exhibited external defects, and 98% exhibited internal defects", most common defect external wear (42%). Tier 2, AD Conceptual, AA None upheld.</t>
  </si>
  <si>
    <t>10.3390/buildings16122433</t>
  </si>
  <si>
    <t>Serverless 3D Reconstruction and Spatial Anchoring for Cloud-Native Infrastructure Inspection</t>
  </si>
  <si>
    <t>Previously INCLUDED, absent from new 956 corpus</t>
  </si>
  <si>
    <t>Verified 2026-08-22 (deep re-read) vs PDF (Buildings 2026, 16, 2433). Serverless orchestration, PostGIS anchors, sub-25 ms query latency and &gt;90% image retrieval confirmed; explicit contrast with passive "Level 1" twins supports Tier 1. VALIDATION SCOPE RESOLVED: "experiments using two distinct datasets" - Dataset A is The Mill building in London (167 UAV images, nadir + single oblique pass) and Dataset B is a building roof structure at EPFL, Lausanne (85 images, circular oblique, Phantom FC330 at 30 m AGL). Two separate real assets =&gt; AD corrected to Cross-project.</t>
  </si>
  <si>
    <t>Coding differs</t>
  </si>
  <si>
    <t>Verified 2026-08-22 vs PDF (Sensors 2024, 24, 2115). ROC-AUC 0.9999 and 2-year in-service pilot confirmed. RE-VERIFIED 2026-08-23 (self-improvement audit, full text, not keyword search): AA=Implemented OVERTURNED. The retraining language is confined to Sec. 4.1.7 of the GENERIC methodology; Sec. 4.1 states verbatim "While not all seven steps were fully implemented for the pilot bridge in this work" and "Validation and continuous learning" is step 7. The pilot (Sec. 4.2) and Results (Sec. 5) document a single Databricks AutoML/MLflow experiment (8646 rows, 60/20/20) with no repeat training, no updated model version and no performance-over-time evidence; the sole reported adaptation to seasonal drift was a manual sensor-offset correction. AA corrected to Mentioned only.</t>
  </si>
  <si>
    <t>Verified 2026-08-22 vs PDF (at-Automatisierungstechnik 69(12):1062-1080). Requirements analysis mapped to a DT conceptual framework with virtual clones and control centre; no implementation or case evaluation. Tier 1, AA None, AD Conceptual upheld.</t>
  </si>
  <si>
    <t>Verified 2026-08-22 vs PDF (H2020 ASHVIN, office building in Poblenou, Barcelona). "A description of six different pipelines of information is provided" confirmed. Fusion=Co-present strongly supported: the authors state the study "has not permitted to act weekly using conclusions from the extracted information". Tier 2, AA None upheld.</t>
  </si>
  <si>
    <t>10.1016/j.autcon.2024.105303</t>
  </si>
  <si>
    <t>Autonomous dimensional inspection and issue tracking of rebar using semantically enriched 3D models</t>
  </si>
  <si>
    <t>Verified 2026-08-22 vs PDF (NTU). AprilTag scale calibration, Mask R-CNN + DBSCAN clustering, "Diameter inspection achieves an accuracy of 95.5% for large-size rebars" and "Spacing inspection achieves a mean relative error of 0.98%" all confirmed. Tier 1, AA None upheld.</t>
  </si>
  <si>
    <t>10.1109/tase.2026.3697962</t>
  </si>
  <si>
    <t>Verified 2026-08-22 vs PDF. Tier 3 supported: DT "serves as the user interface, creating a closed-loop feedback mechanism"; "closed-loop digital twin system" in methodology. LLM constraint/parameter extraction "over 97% accuracy" confirmed. Validation is a Gazebo simulation case study; AA None upheld (LLM is inference-time, not self-improving).</t>
  </si>
  <si>
    <t>Verified 2026-08-22 vs PDF. Systematic review "resulting in 229 publications after applying the proposed criteria" and the ISO 19650-based conceptual DT development framework both confirmed; no implementation. Tier Unclear, AD Conceptual, AA None upheld.</t>
  </si>
  <si>
    <t>Verified 2026-08-22 vs PDF (J Infrastruct Preserv Resil 6:9). Bayesian network over Miami-Dade bridge network with annual risk updating from NBI/FDOT/USGS sources confirmed. CRITICAL: "converg" appears 0 times, and the authors state "the current framework has NOT YET BEEN VALIDATED. Future work should focus on assessing the performance and quality of the SDT". AA=Implemented is therefore weak - the annual Bayesian update is a designed procedure rather than a demonstrated running learning loop, and AD Single case study may overstate an unvalidated framework. RECOMMEND REVIEW of AA and AD. [RE-VERIFIED 2026-08-23 at user request: AA corrected Implemented -&gt; None. Evidence: "self-improv/self-learn/self-correct/self-adapt" = 0 hits; "retrain" = 0 hits. The paper updates the DIGITAL STATE via Bayesian inference on an annual cycle (bridge condition ratings every two years, AADT every three years, river data annually, coordinated by a binary indicator matrix), which is state estimation, not model self-improvement. BN structure and CPTs are elicited once from data/domain expertise (EM or maximum likelihood) and are not revised from accumulated experience.]</t>
  </si>
  <si>
    <t>Verified 2026-08-22 vs PDF (USM Chile). Vision-based collaborative robot for wood stereotomy; carpenter lays out joinery marks and "the robot cuts it"; "A digital twin of the robot allows the carpenter to previsualize all motions ... for task validation and to know when to enter the collaborative workspace". Tier 3 upheld, AA None upheld.</t>
  </si>
  <si>
    <t>Verified 2026-08-22 vs PDF (OeBB railway noise barriers). Abaqus 6.23-1 FEM digital twin, Bayesian updating for data-based condition assessment, and the stress-range comparison confirmed: normative range 71 N/mm2 versus PL0 at 772 N/mm2 (almost 4x the ideal installation condition). Tier 1, AD Simulation, AA Mentioned only upheld.</t>
  </si>
  <si>
    <t>10.1109/tsmc.2022.3231299</t>
  </si>
  <si>
    <t>Verified 2026-08-22 vs PDF (IEEE Trans. SMC: Systems 53(4), 2023). Metaverse evacuation training, DRL dynamic guidance, video cameras + smoke detectors, and "experiments in different simulation scenes" all confirmed. Tier 2, AA None, AD Simulation upheld.</t>
  </si>
  <si>
    <t>10.1061/(asce)me.1943-5479.0000748</t>
  </si>
  <si>
    <t>Verified 2026-08-22 vs PDF ("Participatory Sensing and Digital Twin City: Updating Virtual City Models..."). Houston case study, crowdsourced/participatory sensing, and CAVE immersive visualization all confirmed. Tier 2, AC Single, AA None upheld.</t>
  </si>
  <si>
    <t>Verified 2026-08-22 vs PDF (Automation in Construction 174:106108, CUHK). YOLOv10-LCA achieving mAP 96.4% and detection improvement from 31.5% confirmed; large-scale validation "across multiple construction projects in Hong Kong" (19 inspection sites) confirmed. AA=Implemented CAUTION: the only retraining statement is forward-looking - "The continuous UAV-driven data collection ENABLES iterative model retraining, steadily improving detection robustness" - describing a capability rather than a demonstrated running loop; "converg" refers to training-curve convergence of the one-off model training (Fig. 11), not an operational loop. Consider reviewing AA -&gt; None. Also note AD Single case study may understate validation across 19 sites / multiple projects. [User-approved 2026-08-22: AA Implemented -&gt; None applied. TITLE CORRECTED 2026-08-22 verbatim from publisher PDF: "Enhancing worker monitoring and management on large-scale construction sites with UAVs and digital twin modeling" (Automation in Construction 174 (2025) 106108); an earlier reconstructed title was wrong and has been replaced. AD Single case study -&gt; Cross-project applied (user-approved) on the basis of validation across 19 inspection sites and multiple Hong Kong projects.]</t>
  </si>
  <si>
    <t>Verified 2026-08-22 vs PDF (J Asian Architecture and Building Engineering). Tier 3 supported: Arduino sensor/actuator network with Unity3D DT over Wi-Fi, "Bi-directional communication", AR marker controlling crane-arm servo rotation and hook translation, latency &lt;1 s. Lab prototype only - AD Simulation and AA None upheld.</t>
  </si>
  <si>
    <t>Verified 2026-08-22 vs PDF (HUST). "Five dimensions and 24 indicators across five maturity levels", two-stage expert competency-based grouping, and validation "through a real-world case study involving an automated construction system (ACS)" all confirmed. Tier Unclear, AA None upheld.</t>
  </si>
  <si>
    <t>Verified 2026-08-22 (deep re-read) vs PDF (Automation in Construction). 1/30 geometric similarity factor, 20 Hz sensors, collapse-probability level function confirmed. VALIDATION RECLASSIFIED: the title itself states "with a scale model" and the authors note site experiments are "extremely dangerous to carry out ... on the construction site" - a physical scale-model laboratory experiment.</t>
  </si>
  <si>
    <t>Verified 2026-08-22 (deep re-read) vs PDF (Developments in the Built Environment, HUST). Warning rate &gt;70% and false alarm rate &lt;20% confirmed verbatim. VALIDATION RECLASSIFIED: Section 4 is "Validation through laboratory experiment"; the replica is a physical scaled tower crane at approximately 1:80 ratio, and the authors acknowledge the study "focused on a scaled-down tower crane within a laboratory setting".</t>
  </si>
  <si>
    <t>10.12989/sss.2023.31.3.275</t>
  </si>
  <si>
    <t>Constructing a digital twin for estimating the response and load of a piping system subjected to seismic and arbitrary loads</t>
  </si>
  <si>
    <t>Verified 2026-08-22 vs PDF. Reduced-order model "with 62 DOFs, which is approximately 1% of the finite-element model with a total of 7428 DOFs", ~450x calculation speed-up, and RMSE 0.0103 (Y-axis) / 0.0266 (Z-axis) all confirmed. Tier 2, AC Single, AD Simulation upheld.</t>
  </si>
  <si>
    <t>10.1016/j.tust.2023.105430</t>
  </si>
  <si>
    <t>3D laser point cloud-based geometric digital twin for condition assessment of large diameter pipelines</t>
  </si>
  <si>
    <t>Verified 2026-08-22 vs PDF (Dalian/Tongji). Density-based clustering, fitting and region-growing algorithm, geometric DT for deformation and blockage defect assessment, and Leica total-station accuracy benchmarking all confirmed. Tier 1, AA None upheld. (Earlier fusion flag resolved: single point-cloud data type.)</t>
  </si>
  <si>
    <t>Verified 2026-08-22 vs PDF (Automation in Construction 132:103961, Tianjin U / Tianjin Dredging). TSHD SCADA monitoring with 793 data dimensions confirmed (Table 1 lists items numbered to 793), ML prediction accuracy R2 &gt; 0.9, and DBN selected as the best-performing virtual sensor all confirmed. Tier 2, AA None upheld.</t>
  </si>
  <si>
    <t>10.1061/(asce)me.1943-5479.0000760</t>
  </si>
  <si>
    <t>Verified 2026-08-22 vs PDF (Taipei underground parking garage). WSN nodes collecting CO, temperature and humidity mapped onto 3D BIM components confirmed; the system "reacted to the hazardous gas in approximately 1-2 s" with ventilator actuation and red-colour warning driven by the WSN control node, not via the virtual twin - supporting Tier 2 rather than Tier 3. AA None upheld.</t>
  </si>
  <si>
    <t>Verified 2026-08-22 (deep re-read) vs PDF (Sensors 2020). "Closed-loop control of the intelligent tensioning safety evaluation" confirmed, supporting Tier 3. VALIDATION RECLASSIFIED: the experimental model is a reduced-scale wheel-spoke cable truss at 1:10 scale ratio (cross-sectional area ratio 1:100) based on a real project - a physical laboratory scale-model experiment, not a field case study.</t>
  </si>
  <si>
    <t>Verified 2026-08-22 vs PDF (HKUST). DrainNet CNN "81.26 % Dice with only 0.28 M parameters" on 1226 annotated images, and Grasshopper "approximately nine times faster than Dynamo" both confirmed. FUSION FLAG RESOLVED: the only measured source is the city-scale LiDAR point cloud (zero occurrences of aerial imagery/orthophoto as a separate source), so fusion=Single is correct and AC should be Single, not Multi.</t>
  </si>
  <si>
    <t>10.1016/j.tust.2023.105544</t>
  </si>
  <si>
    <t>Tunnel performance prediction through degradation inspection and digital twin construction</t>
  </si>
  <si>
    <t>Verified 2026-08-22 vs PDF (USP). Tunnel serviceability index (TSI) correlated to defects via "a 2D grid composed of classified unit cells converted into a virtual representation", with a railway tunnel for ore transport in northern Brazil as case study, all confirmed. Tier 2, AA None upheld.</t>
  </si>
  <si>
    <t>Verified 2026-08-22 vs PDF (Frontiers in Built Environment, DOI 10.3389/fbuil.2022.959475). Title "Toward cognitive digital twins..."; two University of Turin buildings as demonstrators; crowd simulations for fire-emergency safety; CDT framed as future objective. Tier 1 and AA Mentioned only upheld.</t>
  </si>
  <si>
    <t>Verified 2026-08-22 vs PDF (Jeju National U). SMAC-based one-shot cooperative HPO for decentralised FL confirmed, with convergence QUANTIFIED: "convergence rounds dropped from 42 to 18 for worker safety and from 8 to 3 for MNIST", accuracy 92.4%-&gt;95.3%, MAE 0.058-&gt;0.042, p&lt;0.01, plus discussion of convergence rate versus the spectral gap of the communication graph. HOWEVER AA=None is CORRECT: the paper states explicitly that "The Digital Twin layer functions as a non-processing observability plane and does not participate in the decentralized model aggregation or hyperparameter optimization logic" - the convergence analysis belongs to the FL/HPO algorithm, not to a digital-twin self-improvement loop. Strong supporting evidence that convergence characterisation exists in adjacent ML work but not within DT loops in this corpus.</t>
  </si>
  <si>
    <t>10.1016/j.enbuild.2026.117751</t>
  </si>
  <si>
    <t>Construction defects, envelope degradation and lifecycle carbon implications for building energy performance: evidence from Lagos, Nigeria</t>
  </si>
  <si>
    <t>Verified 2026-08-22 vs PDF. QSII index, "a survey of 83 construction professionals in Nigeria and a longitudinal review of maintenance records for 14 residential, commercial, and institutional buildings", and the 82.3 tCO2e per 1,000 m2 over five years figure all confirmed. NOTE: AG cites a "3.4x carbon multiplier"; in the PDF 43.4% is a sample-composition figure - the multiplier claim should be re-checked against the results tables. Tier 1, AD Conceptual, AA None upheld.</t>
  </si>
  <si>
    <t>10.1155/adce/2063316</t>
  </si>
  <si>
    <t>An Anomaly-Enhanced Digital Twin (AEDT) Model for Intelligent Inspection and Management of Civil Infrastructure</t>
  </si>
  <si>
    <t>Verified 2026-08-22 vs PDF (Nat. Yunlin Univ. Sci. Tech.). AEDT achieving "a macroaverage F1-score of 0.81", held-out test set from "a total of 2000 annotated images spanning four anomaly types with three severity levels", inspection time reduced "by ~63%", and the SWC structure case study in central Taiwan all confirmed. Tier 2, AA None upheld.</t>
  </si>
  <si>
    <t>10.1061/jccee5.cpeng-6137</t>
  </si>
  <si>
    <t>Verified 2026-08-22 vs PDF. Siamese self-supervised contrastive network with Bayesian NN, Chamfer distance values "ranging from 0.3926 to 0.4050", and the paper's own framing as a "Step toward Digital Twin" all confirmed - supporting Tier Unclear. AA None upheld.</t>
  </si>
  <si>
    <t>10.3390/s26030947</t>
  </si>
  <si>
    <t>A BIM-Based Digital Twin Framework for Urban Roads: Integrating MMS and Municipal Geospatial Data for AI-Ready Urban Infrastructure Management</t>
  </si>
  <si>
    <t>Verified 2026-08-22 vs PDF. Geometric accuracy +/-3 cm, more than 45 km of urban road network, IFC 4.3 schema and LoD200-LoD400 multi-scale workflow all confirmed. Tier 1 (no live link), AA None upheld.</t>
  </si>
  <si>
    <t>10.1109/access.2025.3580334</t>
  </si>
  <si>
    <t>Verified 2026-08-22 vs PDF (IEEE Access, DOI 10.1109/ACCESS.2025.3580334). Vienna city centre, Google Solar API real-time heat index, Node 683 cumulative dependency risk, PANTHEON project all confirmed. Tier 2, AA None upheld.</t>
  </si>
  <si>
    <t>Verified 2026-08-20 vs PDF (MDPI, 9 Oct 2022). Only orientation sensors (boom/stick/bucket) drive the twin; GPS/camera/vision appear ONLY as prior-art discussion. Fusion=Single correct; AC CORRECTED Multi-&gt;Single on this basis.</t>
  </si>
  <si>
    <t>10.1016/j.cma.2023.116584</t>
  </si>
  <si>
    <t>A digital twin framework for civil engineering structures</t>
  </si>
  <si>
    <t>Verified 2026-08-22 vs PDF (Comput. Methods Appl. Mech. Engrg. 418:116584). Tier 3 upheld (sequential Bayesian assimilation physical-&gt;digital; health-dependent control policy digital-&gt;physical). AD Simulation upheld ("assessed on two synthetic case studies": L-shaped cantilever beam, railway bridge; noise-corrupted high-fidelity simulation data, no experimental data). RE-VERIFIED 2026-08-23 (self-improvement audit, full text): AA=Implemented OVERTURNED. Algorithm 2 "Preliminary offline phase" trains NNCL/NNRG once on ROM-populated data and computes the control policy once, all before the online phase; nothing is re-learned online. Sec. 2.2 offers the transition CPT as estimable "offline from historical data ... or learned online from experience" (an option, not done), and the Conclusions state verbatim "Future research lines will investigate the ability of the digital twin to update the transition dynamics models by learning from previous data" and to use reinforcement learning for planning. AA corrected to Mentioned only.</t>
  </si>
  <si>
    <t>Verified 2026-08-22 vs PDF (Smart Cities 2025, Politecnico di Torino). TERIMAAS framework integrating BIM, GIS and IoT; PostGIS repository; public building case study in "a critical natural hazards area in northwest Italy" demonstrating real-time flood risk assessment all confirmed. Tier 2, AA None upheld.</t>
  </si>
  <si>
    <t>Verified 2026-08-22 vs PDF (Proc. ICE Structures and Buildings 178(9):851-863). State-of-the-art review with a proposed structured DT framework and construction-service-bus (CSB) architecture; no DT implemented. Tier Unclear, AD Conceptual, AA None upheld.</t>
  </si>
  <si>
    <t>Verified 2026-08-22 vs PDF (HUST). Tier 3 supported (bidirectional synchronisation, slurry-pressure control). AA=Implemented CAUTION: the single "converg" occurrence is inside the BO-GCN-BiLSTM training pseudocode ("while not convergence do") describing Bayesian hyperparameter optimisation during one-off model training, not an operational self-improvement loop; no retraining from accumulated site data is reported. Consider reviewing AA -&gt; None. [RE-VERIFIED 2026-08-23 vs PDF (Eng. Appl. Artif. Intell. 168:114029): AA CORRECTED Implemented -&gt; None. Searches return 0 hits for online/incremental/continual learning; the only self-correct mention is in a CITED reference (Cao et al. 2025), not this study. The three "retrain" hits are (i) the train() pseudocode procedure, (ii) a data-preprocessing-before-training sentence, and (iii) "significantly reducing both retraining overhead and inference time" - an architecture-efficiency comparison. Model training is one-off with Bayesian hyperparameter optimisation; no updating from accumulated site data. Tier 3 is unaffected (bidirectional slurry-pressure control stands).]</t>
  </si>
  <si>
    <t>10.1109/access.2021.3101653</t>
  </si>
  <si>
    <t>Verified 2026-08-20 vs PDF. 3D video fusion into BIM/drone scene confirmed; "next step is ... digital twin scene iteration driven by online data" confirms AA = Mentioned only.</t>
  </si>
  <si>
    <t>10.1061/jcemd4.coeng-15583</t>
  </si>
  <si>
    <t>Verified 2026-08-22 vs publisher PDF (ASCE J. Constr. Eng. Manage. 04025021). Confirmed: stereovision/binocular + drone capture, YOLOv5 recognition, Unreal Engine 5.1.1 site reconstruction, BIM import, early-warning module, and demonstration on "a lifting project under various exposure conditions". Human3.6M, non-autoregressive transformer and "three high-risk zones" appear 0 times - those belong to ID 3909. Narrative fields rewritten and AB corrected on this basis.</t>
  </si>
  <si>
    <t>Verified 2026-08-22 (deep re-read) vs PDF (Computer-Aided Civil and Infrastructure Engineering 2026). 345x forward speedup, 72x overall, 99.7% success, 89.3% high-fidelity confirmed. AA CORRECTED Implemented -&gt; None: the FNO surrogate is trained once offline (cross-resolution 64x64 train / 128x128 deploy) and the paper explicitly reports evaluation "at arbitrary resolutions without retraining", out-of-distribution generalisation "Without retraining", and that sensor-anomaly adaptation "requires no retraining of the neural networks". The 100 Adam iterations update the LATENT VECTORS z during each inversion (inference-time problem solving), not the model weights, so there is no model-improvement loop. [User-approved 2026-08-22: AA Implemented -&gt; None retained.]</t>
  </si>
  <si>
    <t>Verified 2026-08-30 vs PDF (Buildings 2024, 14, 1551; MDPI; Yu, Liu, Wang, Shi, Song; DOI 10.3390/buildings14061551). PDF LOCATED 2026-08-30 - gateway N changed No -&gt; Yes and paper coded at Stage 2/3. Confirmed: BIM + 4D simulation twin of foundation pit; Table 1 lists seven sensor types with model numbers; Zigbee/4G transmission; platform shows alarm-value exceedance counts over 30 days; Section 4.3 parametric analysis of orthogonal arch concludes "the best measure to ensure the safety of the structure is to increase the section height of the main arch". TIER 2 rationale: Section 2.2 and the Eqs. (4)-(6) fusion mechanism claim generation of control instruction C(t) and "automatic decision-making and self-scheduling", which would read as Tier 3, BUT Section 4 demonstrates only monitoring, visualisation, threshold alarms and an offline FEM what-if study whose output is a human control measure; no actuator or automated write-back to the physical asset is implemented. Coded Tier 2 (demonstrated capability) and FLAGGED for second-coder review of the Tier 2 vs Tier 3 boundary. AA=None: only regression and difference analysis, no ML, no retraining, no adaptation. AE=3 (real project, but no quantitative system-performance evaluation and a single-parameter analysis).</t>
  </si>
  <si>
    <t>Verified 2026-08-22 vs PDF (Engineering Structures 320:118908). Joint detection and fitting accuracy "exceeding 99%" confirmed. NOTE: the 51.5% figure is a COMPONENT RECOGNITION SUCCESS RATE improvement over the traditional RANSAC algorithm (with ~20.09% efficiency gain), not a segmentation-success delta as AG implies. VALIDATION RECLASSIFIED: Fig. 12 is captioned "Case: scale model of cable dome structure and its point cloud"; no real/actual structure is referenced, so AD corrected Single case study -&gt; Lab / scale-model experiment.</t>
  </si>
  <si>
    <t>10.1007/s12273-025-1332-9</t>
  </si>
  <si>
    <t>AI-empowered digital twin modeling for high-precision building defect management integrating UAV and GeoBIM</t>
  </si>
  <si>
    <t>Verified 2026-08-22 vs PDF (Build Simul 2025, 18:2531-2558, CUHK). UAV + GeoBIM pipeline, synthetic views for depth-based defect localisation, and "a dual-verification method combining image and geographic features ... to eliminate duplicate detection across overlapping images" all confirmed. Tier 2, AA None upheld.</t>
  </si>
  <si>
    <t>Verified 2026-08-22 vs PDF. CUBIT-InSeg confirmed verbatim: "6996 images at 4800 x 3200 with 62,187 annotated instances" of cracks and spalling; "Over 80 models were benchmarked"; zero-shot transferability on two cross-domain datasets; deployment workflow registers defects to an as-is digital twin. Tier 2, AA None upheld.</t>
  </si>
  <si>
    <t>Verified 2026-08-22 (deep re-read) vs PDF. Precision 96.36%/95.31%, recall 98.76%/97.36%, delay 0.13 s confirmed. VALIDATION RECLASSIFIED: physical models scaled 1:24 (excavator, trucks, facilities) and 1:20 (worker) with 3D-printed buildings, smart helmets and tri-colour warning lights - a physical laboratory experiment, not numerical simulation.</t>
  </si>
  <si>
    <t>10.1108/ecam-01-2025-0031</t>
  </si>
  <si>
    <t>Integration of building information modelling and digital twin in mechanized tunnelling construction</t>
  </si>
  <si>
    <t>Verified 2026-08-22 vs PDF (Implenia/NYU/Technion). Design science research within a TBM tunnelling case study; DTC system confirmed. Modelling-time claim confirmed with detail: 15-20 minutes per ring reduced to 1 minute of manual quality checks, "cut cycle time by more than 90% per ring". Tier 2, AA None upheld.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</si>
</sst>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quot;Excl&quot;\ #"/>
    <numFmt numFmtId="178" formatCode="&quot;Yes&quot;\ #"/>
    <numFmt numFmtId="179" formatCode="&quot;No&quot;\ #"/>
    <numFmt numFmtId="180" formatCode="&quot;Excl.&quot;\ #"/>
    <numFmt numFmtId="181" formatCode="&quot;Incl.&quot;\ #"/>
  </numFmts>
  <fonts count="32" x14ac:knownFonts="1">
    <font>
      <sz val="11"/>
      <color theme="1"/>
      <name val="Calibri"/>
      <family val="2"/>
      <charset val="1"/>
    </font>
    <font>
      <b/>
      <sz val="14"/>
      <color rgb="FF1F4E5F"/>
      <name val="Arial"/>
      <charset val="1"/>
    </font>
    <font>
      <i/>
      <sz val="10"/>
      <color rgb="FF595959"/>
      <name val="Arial"/>
      <charset val="1"/>
    </font>
    <font>
      <b/>
      <sz val="12"/>
      <color rgb="FF1F4E5F"/>
      <name val="Arial"/>
      <charset val="1"/>
    </font>
    <font>
      <b/>
      <sz val="10"/>
      <name val="Arial"/>
      <charset val="1"/>
    </font>
    <font>
      <sz val="10"/>
      <name val="Arial"/>
      <charset val="1"/>
    </font>
    <font>
      <b/>
      <sz val="9"/>
      <color rgb="FFFFFFFF"/>
      <name val="Arial"/>
      <charset val="1"/>
    </font>
    <font>
      <sz val="9"/>
      <name val="Arial"/>
      <charset val="1"/>
    </font>
    <font>
      <b/>
      <sz val="13"/>
      <color rgb="FF1F4E5F"/>
      <name val="Arial"/>
      <charset val="1"/>
    </font>
    <font>
      <sz val="11"/>
      <name val="Arial"/>
      <charset val="1"/>
    </font>
    <font>
      <b/>
      <sz val="11"/>
      <name val="Arial"/>
      <charset val="1"/>
    </font>
    <font>
      <b/>
      <sz val="9"/>
      <color rgb="FFFFFFFF"/>
      <name val="Arial"/>
      <family val="2"/>
    </font>
    <font>
      <b/>
      <sz val="11"/>
      <color rgb="FFFFFFFF"/>
      <name val="Calibri"/>
      <family val="2"/>
      <charset val="1"/>
    </font>
    <font>
      <sz val="9"/>
      <color theme="1"/>
      <name val="Arial"/>
      <family val="2"/>
    </font>
    <font>
      <b/>
      <sz val="11"/>
      <color theme="1"/>
      <name val="Calibri"/>
      <family val="2"/>
      <charset val="1"/>
    </font>
    <font>
      <b/>
      <sz val="8"/>
      <color rgb="FF1F3864"/>
      <name val="Arial"/>
      <family val="2"/>
    </font>
    <font>
      <sz val="8"/>
      <color theme="1"/>
      <name val="Arial"/>
      <family val="2"/>
    </font>
    <font>
      <b/>
      <sz val="8"/>
      <color theme="1"/>
      <name val="Arial"/>
      <family val="2"/>
    </font>
    <font>
      <b/>
      <sz val="11"/>
      <color rgb="FF1F4E5F"/>
      <name val="Calibri"/>
      <family val="2"/>
      <charset val="1"/>
    </font>
    <font>
      <b/>
      <sz val="10"/>
      <color rgb="FFFFFFFF"/>
      <name val="Arial"/>
      <family val="2"/>
    </font>
    <font>
      <sz val="11"/>
      <color rgb="FFB04A4A"/>
      <name val="Calibri"/>
      <family val="2"/>
      <charset val="1"/>
    </font>
    <font>
      <sz val="11"/>
      <color rgb="FF1F4E5F"/>
      <name val="Calibri"/>
      <family val="2"/>
      <charset val="1"/>
    </font>
    <font>
      <b/>
      <sz val="12"/>
      <color rgb="FF1F4E5F"/>
      <name val="Arial"/>
      <family val="2"/>
    </font>
    <font>
      <b/>
      <sz val="10"/>
      <name val="Arial"/>
      <family val="2"/>
    </font>
    <font>
      <b/>
      <sz val="13"/>
      <color rgb="FF1F4E5F"/>
      <name val="Arial"/>
      <family val="2"/>
    </font>
    <font>
      <b/>
      <sz val="11"/>
      <name val="Arial"/>
      <family val="2"/>
    </font>
    <font>
      <b/>
      <i/>
      <sz val="11"/>
      <color theme="1"/>
      <name val="Calibri"/>
      <family val="2"/>
      <charset val="1"/>
    </font>
    <font>
      <sz val="12"/>
      <color rgb="FF1F4E5F"/>
      <name val="Arial"/>
      <family val="2"/>
    </font>
    <font>
      <sz val="9"/>
      <color rgb="FFFFFFFF"/>
      <name val="Arial"/>
      <family val="2"/>
    </font>
    <font>
      <sz val="10"/>
      <name val="Arial"/>
      <family val="2"/>
    </font>
    <font>
      <b/>
      <sz val="11"/>
      <color rgb="FFFFFFFF"/>
      <name val="Calibri"/>
    </font>
    <font>
      <sz val="9"/>
      <name val="宋体"/>
      <family val="3"/>
      <charset val="134"/>
    </font>
  </fonts>
  <fills count="17">
    <fill>
      <patternFill patternType="none"/>
    </fill>
    <fill>
      <patternFill patternType="gray125"/>
    </fill>
    <fill>
      <patternFill patternType="solid">
        <fgColor rgb="FF1F4E5F"/>
        <bgColor rgb="FF333333"/>
      </patternFill>
    </fill>
    <fill>
      <patternFill patternType="solid">
        <fgColor rgb="FFFFF7DB"/>
        <bgColor rgb="FFFFFFFF"/>
      </patternFill>
    </fill>
    <fill>
      <patternFill patternType="solid">
        <fgColor rgb="FFEAF1F4"/>
        <bgColor rgb="FFE7EEFC"/>
      </patternFill>
    </fill>
    <fill>
      <patternFill patternType="solid">
        <fgColor rgb="FFE7EEFC"/>
        <bgColor rgb="FFEAF1F4"/>
      </patternFill>
    </fill>
    <fill>
      <patternFill patternType="solid">
        <fgColor rgb="FFFCE4E4"/>
        <bgColor rgb="FFFFF7DB"/>
      </patternFill>
    </fill>
    <fill>
      <patternFill patternType="solid">
        <fgColor rgb="FFE3F0E1"/>
        <bgColor rgb="FFEAF1F4"/>
      </patternFill>
    </fill>
    <fill>
      <patternFill patternType="solid">
        <fgColor rgb="FF1F4E5F"/>
        <bgColor indexed="64"/>
      </patternFill>
    </fill>
    <fill>
      <patternFill patternType="solid">
        <fgColor rgb="FFE3F0E1"/>
        <bgColor indexed="64"/>
      </patternFill>
    </fill>
    <fill>
      <patternFill patternType="solid">
        <fgColor rgb="FFDCE9F7"/>
        <bgColor indexed="64"/>
      </patternFill>
    </fill>
    <fill>
      <patternFill patternType="solid">
        <fgColor rgb="FFF2F2F2"/>
        <bgColor indexed="64"/>
      </patternFill>
    </fill>
    <fill>
      <patternFill patternType="solid">
        <fgColor rgb="FFFFFF00"/>
        <bgColor indexed="64"/>
      </patternFill>
    </fill>
    <fill>
      <patternFill patternType="solid">
        <fgColor theme="0" tint="-0.34998626667073579"/>
        <bgColor indexed="64"/>
      </patternFill>
    </fill>
    <fill>
      <patternFill patternType="solid">
        <fgColor rgb="FFFFFF00"/>
        <bgColor rgb="FFEAF1F4"/>
      </patternFill>
    </fill>
    <fill>
      <patternFill patternType="solid">
        <fgColor rgb="FFFFFF00"/>
        <bgColor rgb="FFE7EEFC"/>
      </patternFill>
    </fill>
    <fill>
      <patternFill patternType="solid">
        <fgColor rgb="FF1F4E78"/>
      </patternFill>
    </fill>
  </fills>
  <borders count="8">
    <border>
      <left/>
      <right/>
      <top/>
      <bottom/>
      <diagonal/>
    </border>
    <border>
      <left style="thin">
        <color rgb="FFBFBFBF"/>
      </left>
      <right style="thin">
        <color rgb="FFBFBFBF"/>
      </right>
      <top style="thin">
        <color rgb="FFBFBFBF"/>
      </top>
      <bottom style="thin">
        <color rgb="FFBFBFBF"/>
      </bottom>
      <diagonal/>
    </border>
    <border>
      <left/>
      <right/>
      <top style="thin">
        <color auto="1"/>
      </top>
      <bottom/>
      <diagonal/>
    </border>
    <border>
      <left/>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s>
  <cellStyleXfs count="1">
    <xf numFmtId="0" fontId="0" fillId="0" borderId="0"/>
  </cellStyleXfs>
  <cellXfs count="83">
    <xf numFmtId="0" fontId="0" fillId="0" borderId="0" xfId="0"/>
    <xf numFmtId="0" fontId="1" fillId="0" borderId="0" xfId="0" applyFont="1"/>
    <xf numFmtId="0" fontId="2" fillId="0" borderId="0" xfId="0" applyFont="1"/>
    <xf numFmtId="0" fontId="3" fillId="0" borderId="0" xfId="0" applyFont="1"/>
    <xf numFmtId="0" fontId="4" fillId="0" borderId="0" xfId="0" applyFont="1" applyAlignment="1">
      <alignment horizontal="left" vertical="top" wrapText="1"/>
    </xf>
    <xf numFmtId="0" fontId="5" fillId="0" borderId="0" xfId="0" applyFont="1" applyAlignment="1">
      <alignment horizontal="left" vertical="top" wrapText="1"/>
    </xf>
    <xf numFmtId="0" fontId="6" fillId="2" borderId="1" xfId="0" applyFont="1" applyFill="1" applyBorder="1" applyAlignment="1">
      <alignment horizontal="center" vertical="center" wrapText="1"/>
    </xf>
    <xf numFmtId="0" fontId="7" fillId="0" borderId="1" xfId="0" applyFont="1" applyBorder="1"/>
    <xf numFmtId="0" fontId="7" fillId="0" borderId="1" xfId="0" applyFont="1" applyBorder="1" applyAlignment="1">
      <alignment horizontal="left" vertical="top" wrapText="1"/>
    </xf>
    <xf numFmtId="0" fontId="7" fillId="7" borderId="1" xfId="0" applyFont="1" applyFill="1" applyBorder="1" applyAlignment="1">
      <alignment horizontal="left" vertical="top" wrapText="1"/>
    </xf>
    <xf numFmtId="0" fontId="8" fillId="0" borderId="0" xfId="0" applyFont="1"/>
    <xf numFmtId="0" fontId="6" fillId="2" borderId="1" xfId="0" applyFont="1" applyFill="1" applyBorder="1"/>
    <xf numFmtId="0" fontId="5" fillId="0" borderId="1" xfId="0" applyFont="1" applyBorder="1"/>
    <xf numFmtId="0" fontId="9" fillId="0" borderId="1" xfId="0" applyFont="1" applyBorder="1" applyAlignment="1">
      <alignment horizontal="center" vertical="center" wrapText="1"/>
    </xf>
    <xf numFmtId="0" fontId="4" fillId="0" borderId="1" xfId="0" applyFont="1" applyBorder="1"/>
    <xf numFmtId="0" fontId="10" fillId="0" borderId="1" xfId="0" applyFont="1" applyBorder="1" applyAlignment="1">
      <alignment horizontal="center" vertical="center" wrapText="1"/>
    </xf>
    <xf numFmtId="0" fontId="4" fillId="7" borderId="1" xfId="0" applyFont="1" applyFill="1" applyBorder="1"/>
    <xf numFmtId="0" fontId="10" fillId="7" borderId="1" xfId="0" applyFont="1" applyFill="1" applyBorder="1" applyAlignment="1">
      <alignment horizontal="center" vertical="center" wrapText="1"/>
    </xf>
    <xf numFmtId="0" fontId="4" fillId="4" borderId="1" xfId="0" applyFont="1" applyFill="1" applyBorder="1"/>
    <xf numFmtId="0" fontId="10" fillId="4" borderId="1" xfId="0" applyFont="1" applyFill="1" applyBorder="1" applyAlignment="1">
      <alignment horizontal="center" vertical="center" wrapText="1"/>
    </xf>
    <xf numFmtId="0" fontId="7" fillId="0" borderId="1" xfId="0" applyFont="1" applyBorder="1" applyAlignment="1">
      <alignment horizontal="center" vertical="top" wrapText="1"/>
    </xf>
    <xf numFmtId="0" fontId="7" fillId="3" borderId="1" xfId="0" applyFont="1" applyFill="1" applyBorder="1" applyAlignment="1">
      <alignment horizontal="center" vertical="top" wrapText="1"/>
    </xf>
    <xf numFmtId="0" fontId="7" fillId="4" borderId="1" xfId="0" applyFont="1" applyFill="1" applyBorder="1" applyAlignment="1">
      <alignment horizontal="center" vertical="top" wrapText="1"/>
    </xf>
    <xf numFmtId="0" fontId="7" fillId="5" borderId="1" xfId="0" applyFont="1" applyFill="1" applyBorder="1" applyAlignment="1">
      <alignment horizontal="center" vertical="top" wrapText="1"/>
    </xf>
    <xf numFmtId="0" fontId="7" fillId="6" borderId="1" xfId="0" applyFont="1" applyFill="1" applyBorder="1" applyAlignment="1">
      <alignment horizontal="center" vertical="top" wrapText="1"/>
    </xf>
    <xf numFmtId="0" fontId="7" fillId="7" borderId="1" xfId="0" applyFont="1" applyFill="1" applyBorder="1" applyAlignment="1">
      <alignment horizontal="center" vertical="top" wrapText="1"/>
    </xf>
    <xf numFmtId="1" fontId="7" fillId="0" borderId="1" xfId="0" applyNumberFormat="1" applyFont="1" applyBorder="1" applyAlignment="1">
      <alignment horizontal="center" vertical="top" wrapText="1"/>
    </xf>
    <xf numFmtId="0" fontId="11" fillId="2" borderId="1" xfId="0" applyFont="1" applyFill="1" applyBorder="1" applyAlignment="1">
      <alignment horizontal="center" vertical="center" wrapText="1"/>
    </xf>
    <xf numFmtId="0" fontId="11" fillId="8" borderId="0" xfId="0" applyFont="1" applyFill="1" applyAlignment="1">
      <alignment horizontal="center" vertical="center" wrapText="1"/>
    </xf>
    <xf numFmtId="0" fontId="13" fillId="9" borderId="0" xfId="0" applyFont="1" applyFill="1" applyAlignment="1">
      <alignment horizontal="left" vertical="top" wrapText="1"/>
    </xf>
    <xf numFmtId="0" fontId="14" fillId="0" borderId="0" xfId="0" applyFont="1"/>
    <xf numFmtId="0" fontId="16" fillId="11" borderId="0" xfId="0" applyFont="1" applyFill="1"/>
    <xf numFmtId="0" fontId="15" fillId="0" borderId="0" xfId="0" applyFont="1" applyAlignment="1">
      <alignment vertical="center"/>
    </xf>
    <xf numFmtId="0" fontId="16" fillId="0" borderId="0" xfId="0" applyFont="1" applyAlignment="1">
      <alignment vertical="center"/>
    </xf>
    <xf numFmtId="0" fontId="17" fillId="11" borderId="0" xfId="0" applyFont="1" applyFill="1" applyAlignment="1">
      <alignment vertical="center"/>
    </xf>
    <xf numFmtId="0" fontId="16" fillId="11" borderId="0" xfId="0" applyFont="1" applyFill="1" applyAlignment="1">
      <alignment vertical="center"/>
    </xf>
    <xf numFmtId="0" fontId="18" fillId="0" borderId="0" xfId="0" applyFont="1"/>
    <xf numFmtId="0" fontId="14" fillId="0" borderId="4" xfId="0" applyFont="1" applyBorder="1"/>
    <xf numFmtId="0" fontId="18" fillId="0" borderId="4" xfId="0" applyFont="1" applyBorder="1"/>
    <xf numFmtId="0" fontId="14" fillId="0" borderId="2" xfId="0" applyFont="1" applyBorder="1"/>
    <xf numFmtId="0" fontId="19" fillId="8" borderId="5" xfId="0" applyFont="1" applyFill="1" applyBorder="1" applyAlignment="1">
      <alignment horizontal="center" vertical="center" wrapText="1"/>
    </xf>
    <xf numFmtId="0" fontId="12" fillId="8" borderId="6" xfId="0" applyFont="1" applyFill="1" applyBorder="1" applyAlignment="1">
      <alignment horizontal="center" vertical="center" wrapText="1"/>
    </xf>
    <xf numFmtId="0" fontId="12" fillId="8" borderId="7" xfId="0" applyFont="1" applyFill="1" applyBorder="1" applyAlignment="1">
      <alignment horizontal="center" vertical="center" wrapText="1"/>
    </xf>
    <xf numFmtId="0" fontId="14" fillId="0" borderId="5" xfId="0" applyFont="1" applyBorder="1"/>
    <xf numFmtId="0" fontId="14" fillId="0" borderId="7" xfId="0" applyFont="1" applyBorder="1"/>
    <xf numFmtId="0" fontId="14" fillId="0" borderId="6" xfId="0" applyFont="1" applyBorder="1"/>
    <xf numFmtId="0" fontId="18" fillId="0" borderId="2" xfId="0" applyFont="1" applyBorder="1"/>
    <xf numFmtId="0" fontId="12" fillId="8" borderId="5" xfId="0" applyFont="1" applyFill="1" applyBorder="1" applyAlignment="1">
      <alignment horizontal="center" vertical="center" wrapText="1"/>
    </xf>
    <xf numFmtId="0" fontId="14" fillId="9" borderId="0" xfId="0" applyFont="1" applyFill="1" applyAlignment="1">
      <alignment wrapText="1"/>
    </xf>
    <xf numFmtId="0" fontId="14" fillId="10" borderId="0" xfId="0" applyFont="1" applyFill="1" applyAlignment="1">
      <alignment wrapText="1"/>
    </xf>
    <xf numFmtId="0" fontId="20" fillId="0" borderId="0" xfId="0" applyFont="1" applyAlignment="1">
      <alignment wrapText="1"/>
    </xf>
    <xf numFmtId="0" fontId="21" fillId="0" borderId="0" xfId="0" applyFont="1" applyAlignment="1">
      <alignment wrapText="1"/>
    </xf>
    <xf numFmtId="0" fontId="0" fillId="0" borderId="0" xfId="0" applyAlignment="1">
      <alignment wrapText="1"/>
    </xf>
    <xf numFmtId="176" fontId="14" fillId="0" borderId="6" xfId="0" applyNumberFormat="1" applyFont="1" applyBorder="1"/>
    <xf numFmtId="0" fontId="14" fillId="9" borderId="0" xfId="0" applyFont="1" applyFill="1" applyAlignment="1">
      <alignment horizontal="left" wrapText="1"/>
    </xf>
    <xf numFmtId="0" fontId="0" fillId="0" borderId="0" xfId="0" applyAlignment="1">
      <alignment horizontal="left"/>
    </xf>
    <xf numFmtId="0" fontId="22" fillId="0" borderId="0" xfId="0" applyFont="1"/>
    <xf numFmtId="0" fontId="24" fillId="0" borderId="0" xfId="0" applyFont="1"/>
    <xf numFmtId="0" fontId="23" fillId="0" borderId="0" xfId="0" applyFont="1"/>
    <xf numFmtId="0" fontId="25" fillId="7" borderId="0" xfId="0" applyFont="1" applyFill="1"/>
    <xf numFmtId="0" fontId="14" fillId="0" borderId="3" xfId="0" applyFont="1" applyBorder="1"/>
    <xf numFmtId="176" fontId="14" fillId="0" borderId="7" xfId="0" applyNumberFormat="1" applyFont="1" applyBorder="1"/>
    <xf numFmtId="0" fontId="26" fillId="0" borderId="0" xfId="0" applyFont="1"/>
    <xf numFmtId="0" fontId="27" fillId="0" borderId="0" xfId="0" applyFont="1"/>
    <xf numFmtId="0" fontId="28" fillId="2" borderId="1" xfId="0" applyFont="1" applyFill="1" applyBorder="1" applyAlignment="1">
      <alignment horizontal="center" vertical="center" wrapText="1"/>
    </xf>
    <xf numFmtId="0" fontId="29" fillId="0" borderId="1" xfId="0" applyFont="1" applyBorder="1"/>
    <xf numFmtId="0" fontId="0" fillId="0" borderId="1" xfId="0" applyBorder="1" applyAlignment="1">
      <alignment horizontal="center" vertical="center" wrapText="1"/>
    </xf>
    <xf numFmtId="176" fontId="0" fillId="0" borderId="1" xfId="0" applyNumberFormat="1" applyBorder="1" applyAlignment="1">
      <alignment horizontal="center" vertical="center" wrapText="1"/>
    </xf>
    <xf numFmtId="176" fontId="0" fillId="0" borderId="0" xfId="0" applyNumberFormat="1" applyAlignment="1">
      <alignment horizontal="center" vertical="center" wrapText="1"/>
    </xf>
    <xf numFmtId="0" fontId="29" fillId="0" borderId="0" xfId="0" applyFont="1"/>
    <xf numFmtId="0" fontId="0" fillId="0" borderId="0" xfId="0" applyAlignment="1">
      <alignment horizontal="center" vertical="center" wrapText="1"/>
    </xf>
    <xf numFmtId="0" fontId="0" fillId="0" borderId="0" xfId="0" applyAlignment="1">
      <alignment horizontal="center"/>
    </xf>
    <xf numFmtId="0" fontId="0" fillId="0" borderId="0" xfId="0" applyAlignment="1">
      <alignment horizontal="center" vertical="center"/>
    </xf>
    <xf numFmtId="176" fontId="0" fillId="12" borderId="1" xfId="0" applyNumberFormat="1" applyFill="1" applyBorder="1" applyAlignment="1">
      <alignment horizontal="center" vertical="center" wrapText="1"/>
    </xf>
    <xf numFmtId="177" fontId="7" fillId="4" borderId="1" xfId="0" applyNumberFormat="1" applyFont="1" applyFill="1" applyBorder="1" applyAlignment="1">
      <alignment horizontal="center" vertical="top" wrapText="1"/>
    </xf>
    <xf numFmtId="178" fontId="7" fillId="6" borderId="1" xfId="0" applyNumberFormat="1" applyFont="1" applyFill="1" applyBorder="1" applyAlignment="1">
      <alignment horizontal="center" vertical="top" wrapText="1"/>
    </xf>
    <xf numFmtId="179" fontId="7" fillId="6" borderId="1" xfId="0" applyNumberFormat="1" applyFont="1" applyFill="1" applyBorder="1" applyAlignment="1">
      <alignment horizontal="center" vertical="top" wrapText="1"/>
    </xf>
    <xf numFmtId="180" fontId="7" fillId="4" borderId="1" xfId="0" applyNumberFormat="1" applyFont="1" applyFill="1" applyBorder="1" applyAlignment="1">
      <alignment horizontal="center" vertical="top" wrapText="1"/>
    </xf>
    <xf numFmtId="0" fontId="0" fillId="13" borderId="0" xfId="0" applyFill="1"/>
    <xf numFmtId="0" fontId="7" fillId="14" borderId="1" xfId="0" applyFont="1" applyFill="1" applyBorder="1" applyAlignment="1">
      <alignment horizontal="center" vertical="top" wrapText="1"/>
    </xf>
    <xf numFmtId="181" fontId="7" fillId="15" borderId="1" xfId="0" applyNumberFormat="1" applyFont="1" applyFill="1" applyBorder="1" applyAlignment="1">
      <alignment horizontal="center" vertical="top" wrapText="1"/>
    </xf>
    <xf numFmtId="0" fontId="30" fillId="16" borderId="0" xfId="0" applyFont="1" applyFill="1"/>
    <xf numFmtId="0" fontId="0" fillId="0" borderId="0" xfId="0" applyAlignment="1">
      <alignment vertical="top" wrapText="1"/>
    </xf>
  </cellXfs>
  <cellStyles count="1">
    <cellStyle name="常规"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7DB"/>
      <rgbColor rgb="FFE7EEFC"/>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AF1F4"/>
      <rgbColor rgb="FFE3F0E1"/>
      <rgbColor rgb="FFFFFF99"/>
      <rgbColor rgb="FF99CCFF"/>
      <rgbColor rgb="FFFF99CC"/>
      <rgbColor rgb="FFCC99FF"/>
      <rgbColor rgb="FFFCE4E4"/>
      <rgbColor rgb="FF3366FF"/>
      <rgbColor rgb="FF33CCCC"/>
      <rgbColor rgb="FF99CC00"/>
      <rgbColor rgb="FFFFCC00"/>
      <rgbColor rgb="FFFF9900"/>
      <rgbColor rgb="FFFF6600"/>
      <rgbColor rgb="FF595959"/>
      <rgbColor rgb="FF969696"/>
      <rgbColor rgb="FF1F4E5F"/>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1"/>
  <c:style val="2"/>
  <c:chart>
    <c:title>
      <c:tx>
        <c: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US" altLang="zh-CN"/>
              <a:t>Gap 2 x Gap 4: multimodal studies are LESS adaptive (% of each row)</a:t>
            </a:r>
          </a:p>
        </c:rich>
      </c:tx>
      <c:overlay val="0"/>
      <c:spPr>
        <a:noFill/>
        <a:ln>
          <a:noFill/>
          <a:prstDash val="solid"/>
        </a:ln>
      </c:spPr>
    </c:title>
    <c:autoTitleDeleted val="0"/>
    <c:plotArea>
      <c:layout>
        <c:manualLayout>
          <c:layoutTarget val="inner"/>
          <c:xMode val="edge"/>
          <c:yMode val="edge"/>
          <c:x val="0.22223937526711629"/>
          <c:y val="0.16527917349711441"/>
          <c:w val="0.7425413568378153"/>
          <c:h val="0.62941020019761518"/>
        </c:manualLayout>
      </c:layout>
      <c:barChart>
        <c:barDir val="bar"/>
        <c:grouping val="stacked"/>
        <c:varyColors val="0"/>
        <c:ser>
          <c:idx val="0"/>
          <c:order val="0"/>
          <c:tx>
            <c:strRef>
              <c:f>Step3_Report!$B$76</c:f>
              <c:strCache>
                <c:ptCount val="1"/>
                <c:pt idx="0">
                  <c:v>None</c:v>
                </c:pt>
              </c:strCache>
            </c:strRef>
          </c:tx>
          <c:spPr>
            <a:solidFill>
              <a:schemeClr val="accent1"/>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zh-CN"/>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Step3_Report!$A$77:$A$78</c:f>
              <c:strCache>
                <c:ptCount val="2"/>
                <c:pt idx="0">
                  <c:v>Single (one data type)</c:v>
                </c:pt>
                <c:pt idx="1">
                  <c:v>Multi (two or more data types)</c:v>
                </c:pt>
              </c:strCache>
            </c:strRef>
          </c:cat>
          <c:val>
            <c:numRef>
              <c:f>Step3_Report!$B$77:$B$78</c:f>
              <c:numCache>
                <c:formatCode>0.0%</c:formatCode>
                <c:ptCount val="2"/>
                <c:pt idx="0">
                  <c:v>0.88235294117647056</c:v>
                </c:pt>
                <c:pt idx="1">
                  <c:v>0.87431693989071035</c:v>
                </c:pt>
              </c:numCache>
            </c:numRef>
          </c:val>
          <c:extLst>
            <c:ext xmlns:c16="http://schemas.microsoft.com/office/drawing/2014/chart" uri="{C3380CC4-5D6E-409C-BE32-E72D297353CC}">
              <c16:uniqueId val="{00000000-20B3-4D81-9F28-FC6127D8BF03}"/>
            </c:ext>
          </c:extLst>
        </c:ser>
        <c:ser>
          <c:idx val="1"/>
          <c:order val="1"/>
          <c:tx>
            <c:strRef>
              <c:f>Step3_Report!$C$76</c:f>
              <c:strCache>
                <c:ptCount val="1"/>
                <c:pt idx="0">
                  <c:v>Mentioned only</c:v>
                </c:pt>
              </c:strCache>
            </c:strRef>
          </c:tx>
          <c:spPr>
            <a:solidFill>
              <a:schemeClr val="accent2"/>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zh-CN"/>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Step3_Report!$A$77:$A$78</c:f>
              <c:strCache>
                <c:ptCount val="2"/>
                <c:pt idx="0">
                  <c:v>Single (one data type)</c:v>
                </c:pt>
                <c:pt idx="1">
                  <c:v>Multi (two or more data types)</c:v>
                </c:pt>
              </c:strCache>
            </c:strRef>
          </c:cat>
          <c:val>
            <c:numRef>
              <c:f>Step3_Report!$C$77:$C$78</c:f>
              <c:numCache>
                <c:formatCode>0.0%</c:formatCode>
                <c:ptCount val="2"/>
                <c:pt idx="0">
                  <c:v>0</c:v>
                </c:pt>
                <c:pt idx="1">
                  <c:v>2.7322404371584699E-2</c:v>
                </c:pt>
              </c:numCache>
            </c:numRef>
          </c:val>
          <c:extLst>
            <c:ext xmlns:c16="http://schemas.microsoft.com/office/drawing/2014/chart" uri="{C3380CC4-5D6E-409C-BE32-E72D297353CC}">
              <c16:uniqueId val="{00000001-20B3-4D81-9F28-FC6127D8BF03}"/>
            </c:ext>
          </c:extLst>
        </c:ser>
        <c:ser>
          <c:idx val="2"/>
          <c:order val="2"/>
          <c:tx>
            <c:strRef>
              <c:f>Step3_Report!$D$76</c:f>
              <c:strCache>
                <c:ptCount val="1"/>
                <c:pt idx="0">
                  <c:v>Implemented</c:v>
                </c:pt>
              </c:strCache>
            </c:strRef>
          </c:tx>
          <c:spPr>
            <a:solidFill>
              <a:schemeClr val="accent3"/>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zh-CN"/>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Step3_Report!$A$77:$A$78</c:f>
              <c:strCache>
                <c:ptCount val="2"/>
                <c:pt idx="0">
                  <c:v>Single (one data type)</c:v>
                </c:pt>
                <c:pt idx="1">
                  <c:v>Multi (two or more data types)</c:v>
                </c:pt>
              </c:strCache>
            </c:strRef>
          </c:cat>
          <c:val>
            <c:numRef>
              <c:f>Step3_Report!$D$77:$D$78</c:f>
              <c:numCache>
                <c:formatCode>0.0%</c:formatCode>
                <c:ptCount val="2"/>
                <c:pt idx="0">
                  <c:v>0.11764705882352941</c:v>
                </c:pt>
                <c:pt idx="1">
                  <c:v>9.8360655737704916E-2</c:v>
                </c:pt>
              </c:numCache>
            </c:numRef>
          </c:val>
          <c:extLst>
            <c:ext xmlns:c16="http://schemas.microsoft.com/office/drawing/2014/chart" uri="{C3380CC4-5D6E-409C-BE32-E72D297353CC}">
              <c16:uniqueId val="{00000002-20B3-4D81-9F28-FC6127D8BF03}"/>
            </c:ext>
          </c:extLst>
        </c:ser>
        <c:ser>
          <c:idx val="3"/>
          <c:order val="3"/>
          <c:tx>
            <c:strRef>
              <c:f>Step3_Report!$E$76</c:f>
              <c:strCache>
                <c:ptCount val="1"/>
                <c:pt idx="0">
                  <c:v>Convergence-characterised</c:v>
                </c:pt>
              </c:strCache>
            </c:strRef>
          </c:tx>
          <c:spPr>
            <a:solidFill>
              <a:schemeClr val="accent4"/>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zh-CN"/>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Step3_Report!$A$77:$A$78</c:f>
              <c:strCache>
                <c:ptCount val="2"/>
                <c:pt idx="0">
                  <c:v>Single (one data type)</c:v>
                </c:pt>
                <c:pt idx="1">
                  <c:v>Multi (two or more data types)</c:v>
                </c:pt>
              </c:strCache>
            </c:strRef>
          </c:cat>
          <c:val>
            <c:numRef>
              <c:f>Step3_Report!$E$77:$E$78</c:f>
              <c:numCache>
                <c:formatCode>0.0%</c:formatCode>
                <c:ptCount val="2"/>
                <c:pt idx="0">
                  <c:v>0</c:v>
                </c:pt>
                <c:pt idx="1">
                  <c:v>0</c:v>
                </c:pt>
              </c:numCache>
            </c:numRef>
          </c:val>
          <c:extLst>
            <c:ext xmlns:c16="http://schemas.microsoft.com/office/drawing/2014/chart" uri="{C3380CC4-5D6E-409C-BE32-E72D297353CC}">
              <c16:uniqueId val="{00000003-20B3-4D81-9F28-FC6127D8BF03}"/>
            </c:ext>
          </c:extLst>
        </c:ser>
        <c:dLbls>
          <c:showLegendKey val="0"/>
          <c:showVal val="0"/>
          <c:showCatName val="0"/>
          <c:showSerName val="0"/>
          <c:showPercent val="0"/>
          <c:showBubbleSize val="0"/>
        </c:dLbls>
        <c:gapWidth val="150"/>
        <c:overlap val="100"/>
        <c:axId val="1353638495"/>
        <c:axId val="1353640895"/>
      </c:barChart>
      <c:catAx>
        <c:axId val="13536384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zh-CN"/>
          </a:p>
        </c:txPr>
        <c:crossAx val="1353640895"/>
        <c:crosses val="autoZero"/>
        <c:auto val="1"/>
        <c:lblAlgn val="ctr"/>
        <c:lblOffset val="100"/>
        <c:noMultiLvlLbl val="0"/>
      </c:catAx>
      <c:valAx>
        <c:axId val="1353640895"/>
        <c:scaling>
          <c:orientation val="minMax"/>
        </c:scaling>
        <c:delete val="0"/>
        <c:axPos val="b"/>
        <c:majorGridlines>
          <c:spPr>
            <a:ln w="9525" cap="flat" cmpd="sng" algn="ctr">
              <a:solidFill>
                <a:schemeClr val="tx1">
                  <a:lumMod val="15000"/>
                  <a:lumOff val="85000"/>
                </a:schemeClr>
              </a:solidFill>
              <a:prstDash val="solid"/>
              <a:round/>
            </a:ln>
          </c:spPr>
        </c:majorGridlines>
        <c:numFmt formatCode="0.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zh-CN"/>
          </a:p>
        </c:txPr>
        <c:crossAx val="1353638495"/>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1"/>
  <c:style val="2"/>
  <c:chart>
    <c:title>
      <c:tx>
        <c: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US" altLang="zh-CN"/>
              <a:t>Gap 2 x Gap 4 counts: 122 of 137 multimodal studies do nothing adaptive</a:t>
            </a:r>
          </a:p>
        </c:rich>
      </c:tx>
      <c:overlay val="0"/>
      <c:spPr>
        <a:noFill/>
        <a:ln>
          <a:noFill/>
          <a:prstDash val="solid"/>
        </a:ln>
      </c:spPr>
    </c:title>
    <c:autoTitleDeleted val="0"/>
    <c:plotArea>
      <c:layout/>
      <c:barChart>
        <c:barDir val="col"/>
        <c:grouping val="clustered"/>
        <c:varyColors val="0"/>
        <c:ser>
          <c:idx val="0"/>
          <c:order val="0"/>
          <c:tx>
            <c:strRef>
              <c:f>Step3_Report!$B$70</c:f>
              <c:strCache>
                <c:ptCount val="1"/>
                <c:pt idx="0">
                  <c:v>None</c:v>
                </c:pt>
              </c:strCache>
            </c:strRef>
          </c:tx>
          <c:spPr>
            <a:solidFill>
              <a:schemeClr val="accent1"/>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zh-CN"/>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Step3_Report!$A$71:$A$72</c:f>
              <c:strCache>
                <c:ptCount val="2"/>
                <c:pt idx="0">
                  <c:v>Single (one data type)</c:v>
                </c:pt>
                <c:pt idx="1">
                  <c:v>Multi (two or more data types)</c:v>
                </c:pt>
              </c:strCache>
            </c:strRef>
          </c:cat>
          <c:val>
            <c:numRef>
              <c:f>Step3_Report!$B$71:$B$72</c:f>
              <c:numCache>
                <c:formatCode>General</c:formatCode>
                <c:ptCount val="2"/>
                <c:pt idx="0">
                  <c:v>15</c:v>
                </c:pt>
                <c:pt idx="1">
                  <c:v>160</c:v>
                </c:pt>
              </c:numCache>
            </c:numRef>
          </c:val>
          <c:extLst>
            <c:ext xmlns:c16="http://schemas.microsoft.com/office/drawing/2014/chart" uri="{C3380CC4-5D6E-409C-BE32-E72D297353CC}">
              <c16:uniqueId val="{00000000-256B-4B54-963A-791046293C0E}"/>
            </c:ext>
          </c:extLst>
        </c:ser>
        <c:ser>
          <c:idx val="1"/>
          <c:order val="1"/>
          <c:tx>
            <c:strRef>
              <c:f>Step3_Report!$C$70</c:f>
              <c:strCache>
                <c:ptCount val="1"/>
                <c:pt idx="0">
                  <c:v>Mentioned only</c:v>
                </c:pt>
              </c:strCache>
            </c:strRef>
          </c:tx>
          <c:spPr>
            <a:solidFill>
              <a:schemeClr val="accent2"/>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zh-CN"/>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Step3_Report!$A$71:$A$72</c:f>
              <c:strCache>
                <c:ptCount val="2"/>
                <c:pt idx="0">
                  <c:v>Single (one data type)</c:v>
                </c:pt>
                <c:pt idx="1">
                  <c:v>Multi (two or more data types)</c:v>
                </c:pt>
              </c:strCache>
            </c:strRef>
          </c:cat>
          <c:val>
            <c:numRef>
              <c:f>Step3_Report!$C$71:$C$72</c:f>
              <c:numCache>
                <c:formatCode>General</c:formatCode>
                <c:ptCount val="2"/>
                <c:pt idx="0">
                  <c:v>0</c:v>
                </c:pt>
                <c:pt idx="1">
                  <c:v>5</c:v>
                </c:pt>
              </c:numCache>
            </c:numRef>
          </c:val>
          <c:extLst>
            <c:ext xmlns:c16="http://schemas.microsoft.com/office/drawing/2014/chart" uri="{C3380CC4-5D6E-409C-BE32-E72D297353CC}">
              <c16:uniqueId val="{00000001-256B-4B54-963A-791046293C0E}"/>
            </c:ext>
          </c:extLst>
        </c:ser>
        <c:ser>
          <c:idx val="2"/>
          <c:order val="2"/>
          <c:tx>
            <c:strRef>
              <c:f>Step3_Report!$D$70</c:f>
              <c:strCache>
                <c:ptCount val="1"/>
                <c:pt idx="0">
                  <c:v>Implemented</c:v>
                </c:pt>
              </c:strCache>
            </c:strRef>
          </c:tx>
          <c:spPr>
            <a:solidFill>
              <a:schemeClr val="accent3"/>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zh-CN"/>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Step3_Report!$A$71:$A$72</c:f>
              <c:strCache>
                <c:ptCount val="2"/>
                <c:pt idx="0">
                  <c:v>Single (one data type)</c:v>
                </c:pt>
                <c:pt idx="1">
                  <c:v>Multi (two or more data types)</c:v>
                </c:pt>
              </c:strCache>
            </c:strRef>
          </c:cat>
          <c:val>
            <c:numRef>
              <c:f>Step3_Report!$D$71:$D$72</c:f>
              <c:numCache>
                <c:formatCode>General</c:formatCode>
                <c:ptCount val="2"/>
                <c:pt idx="0">
                  <c:v>2</c:v>
                </c:pt>
                <c:pt idx="1">
                  <c:v>18</c:v>
                </c:pt>
              </c:numCache>
            </c:numRef>
          </c:val>
          <c:extLst>
            <c:ext xmlns:c16="http://schemas.microsoft.com/office/drawing/2014/chart" uri="{C3380CC4-5D6E-409C-BE32-E72D297353CC}">
              <c16:uniqueId val="{00000002-256B-4B54-963A-791046293C0E}"/>
            </c:ext>
          </c:extLst>
        </c:ser>
        <c:ser>
          <c:idx val="3"/>
          <c:order val="3"/>
          <c:tx>
            <c:strRef>
              <c:f>Step3_Report!$E$70</c:f>
              <c:strCache>
                <c:ptCount val="1"/>
                <c:pt idx="0">
                  <c:v>Convergence-characterised</c:v>
                </c:pt>
              </c:strCache>
            </c:strRef>
          </c:tx>
          <c:spPr>
            <a:solidFill>
              <a:schemeClr val="accent4"/>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zh-CN"/>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Step3_Report!$A$71:$A$72</c:f>
              <c:strCache>
                <c:ptCount val="2"/>
                <c:pt idx="0">
                  <c:v>Single (one data type)</c:v>
                </c:pt>
                <c:pt idx="1">
                  <c:v>Multi (two or more data types)</c:v>
                </c:pt>
              </c:strCache>
            </c:strRef>
          </c:cat>
          <c:val>
            <c:numRef>
              <c:f>Step3_Report!$E$71:$E$72</c:f>
              <c:numCache>
                <c:formatCode>General</c:formatCode>
                <c:ptCount val="2"/>
                <c:pt idx="0">
                  <c:v>0</c:v>
                </c:pt>
                <c:pt idx="1">
                  <c:v>0</c:v>
                </c:pt>
              </c:numCache>
            </c:numRef>
          </c:val>
          <c:extLst>
            <c:ext xmlns:c16="http://schemas.microsoft.com/office/drawing/2014/chart" uri="{C3380CC4-5D6E-409C-BE32-E72D297353CC}">
              <c16:uniqueId val="{00000003-256B-4B54-963A-791046293C0E}"/>
            </c:ext>
          </c:extLst>
        </c:ser>
        <c:dLbls>
          <c:showLegendKey val="0"/>
          <c:showVal val="0"/>
          <c:showCatName val="0"/>
          <c:showSerName val="0"/>
          <c:showPercent val="0"/>
          <c:showBubbleSize val="0"/>
        </c:dLbls>
        <c:gapWidth val="219"/>
        <c:overlap val="-27"/>
        <c:axId val="1353644735"/>
        <c:axId val="1353645215"/>
      </c:barChart>
      <c:catAx>
        <c:axId val="1353644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zh-CN"/>
          </a:p>
        </c:txPr>
        <c:crossAx val="1353645215"/>
        <c:crosses val="autoZero"/>
        <c:auto val="1"/>
        <c:lblAlgn val="ctr"/>
        <c:lblOffset val="100"/>
        <c:noMultiLvlLbl val="0"/>
      </c:catAx>
      <c:valAx>
        <c:axId val="1353645215"/>
        <c:scaling>
          <c:orientation val="minMax"/>
        </c:scaling>
        <c:delete val="0"/>
        <c:axPos val="l"/>
        <c:majorGridlines>
          <c:spPr>
            <a:ln w="9525" cap="flat" cmpd="sng" algn="ctr">
              <a:solidFill>
                <a:schemeClr val="tx1">
                  <a:lumMod val="15000"/>
                  <a:lumOff val="85000"/>
                </a:schemeClr>
              </a:solidFill>
              <a:prstDash val="solid"/>
              <a:round/>
            </a:ln>
          </c:spPr>
        </c:majorGridlines>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zh-CN"/>
          </a:p>
        </c:txPr>
        <c:crossAx val="1353644735"/>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1"/>
  <c:style val="2"/>
  <c:chart>
    <c:title>
      <c:tx>
        <c: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US" altLang="zh-CN"/>
              <a:t>Fusion depth of the included studies</a:t>
            </a:r>
          </a:p>
        </c:rich>
      </c:tx>
      <c:overlay val="0"/>
      <c:spPr>
        <a:noFill/>
        <a:ln>
          <a:noFill/>
          <a:prstDash val="solid"/>
        </a:ln>
      </c:spPr>
    </c:title>
    <c:autoTitleDeleted val="0"/>
    <c:plotArea>
      <c:layout/>
      <c:barChart>
        <c:barDir val="col"/>
        <c:grouping val="clustered"/>
        <c:varyColors val="0"/>
        <c:ser>
          <c:idx val="0"/>
          <c:order val="0"/>
          <c:tx>
            <c:strRef>
              <c:f>Step3_Report!$B$89</c:f>
              <c:strCache>
                <c:ptCount val="1"/>
                <c:pt idx="0">
                  <c:v>n</c:v>
                </c:pt>
              </c:strCache>
            </c:strRef>
          </c:tx>
          <c:spPr>
            <a:solidFill>
              <a:schemeClr val="accent1"/>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zh-CN"/>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Step3_Report!$A$90:$A$94</c:f>
              <c:strCache>
                <c:ptCount val="5"/>
                <c:pt idx="0">
                  <c:v>Single</c:v>
                </c:pt>
                <c:pt idx="1">
                  <c:v>Co-present</c:v>
                </c:pt>
                <c:pt idx="2">
                  <c:v>Aligned</c:v>
                </c:pt>
                <c:pt idx="3">
                  <c:v>Fused</c:v>
                </c:pt>
                <c:pt idx="4">
                  <c:v>Unclear</c:v>
                </c:pt>
              </c:strCache>
            </c:strRef>
          </c:cat>
          <c:val>
            <c:numRef>
              <c:f>Step3_Report!$B$90:$B$94</c:f>
              <c:numCache>
                <c:formatCode>General</c:formatCode>
                <c:ptCount val="5"/>
                <c:pt idx="0">
                  <c:v>18</c:v>
                </c:pt>
                <c:pt idx="1">
                  <c:v>2</c:v>
                </c:pt>
                <c:pt idx="2">
                  <c:v>32</c:v>
                </c:pt>
                <c:pt idx="3">
                  <c:v>133</c:v>
                </c:pt>
                <c:pt idx="4">
                  <c:v>15</c:v>
                </c:pt>
              </c:numCache>
            </c:numRef>
          </c:val>
          <c:extLst>
            <c:ext xmlns:c16="http://schemas.microsoft.com/office/drawing/2014/chart" uri="{C3380CC4-5D6E-409C-BE32-E72D297353CC}">
              <c16:uniqueId val="{00000000-6164-438A-B379-6F08977412CC}"/>
            </c:ext>
          </c:extLst>
        </c:ser>
        <c:dLbls>
          <c:showLegendKey val="0"/>
          <c:showVal val="0"/>
          <c:showCatName val="0"/>
          <c:showSerName val="0"/>
          <c:showPercent val="0"/>
          <c:showBubbleSize val="0"/>
        </c:dLbls>
        <c:gapWidth val="219"/>
        <c:overlap val="-27"/>
        <c:axId val="1124043775"/>
        <c:axId val="1124055775"/>
      </c:barChart>
      <c:catAx>
        <c:axId val="1124043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zh-CN"/>
          </a:p>
        </c:txPr>
        <c:crossAx val="1124055775"/>
        <c:crosses val="autoZero"/>
        <c:auto val="1"/>
        <c:lblAlgn val="ctr"/>
        <c:lblOffset val="100"/>
        <c:noMultiLvlLbl val="0"/>
      </c:catAx>
      <c:valAx>
        <c:axId val="1124055775"/>
        <c:scaling>
          <c:orientation val="minMax"/>
        </c:scaling>
        <c:delete val="0"/>
        <c:axPos val="l"/>
        <c:majorGridlines>
          <c:spPr>
            <a:ln w="9525" cap="flat" cmpd="sng" algn="ctr">
              <a:solidFill>
                <a:schemeClr val="tx1">
                  <a:lumMod val="15000"/>
                  <a:lumOff val="85000"/>
                </a:schemeClr>
              </a:solidFill>
              <a:prstDash val="solid"/>
              <a:round/>
            </a:ln>
          </c:spPr>
        </c:majorGridlines>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zh-CN"/>
          </a:p>
        </c:txPr>
        <c:crossAx val="1124043775"/>
        <c:crosses val="autoZero"/>
        <c:crossBetween val="between"/>
      </c:valAx>
    </c:plotArea>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1"/>
  <c:style val="2"/>
  <c:chart>
    <c:title>
      <c:tx>
        <c: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US" altLang="zh-CN"/>
              <a:t>Fusion depth x self-improvement</a:t>
            </a:r>
          </a:p>
        </c:rich>
      </c:tx>
      <c:overlay val="0"/>
      <c:spPr>
        <a:noFill/>
        <a:ln>
          <a:noFill/>
          <a:prstDash val="solid"/>
        </a:ln>
      </c:spPr>
    </c:title>
    <c:autoTitleDeleted val="0"/>
    <c:plotArea>
      <c:layout/>
      <c:barChart>
        <c:barDir val="col"/>
        <c:grouping val="clustered"/>
        <c:varyColors val="0"/>
        <c:ser>
          <c:idx val="0"/>
          <c:order val="0"/>
          <c:tx>
            <c:strRef>
              <c:f>Step3_Report!$B$98</c:f>
              <c:strCache>
                <c:ptCount val="1"/>
                <c:pt idx="0">
                  <c:v>None</c:v>
                </c:pt>
              </c:strCache>
            </c:strRef>
          </c:tx>
          <c:spPr>
            <a:solidFill>
              <a:schemeClr val="accent1"/>
            </a:solidFill>
            <a:ln>
              <a:noFill/>
              <a:prstDash val="solid"/>
            </a:ln>
          </c:spPr>
          <c:invertIfNegative val="0"/>
          <c:cat>
            <c:strRef>
              <c:f>Step3_Report!$A$99:$A$103</c:f>
              <c:strCache>
                <c:ptCount val="5"/>
                <c:pt idx="0">
                  <c:v>Single</c:v>
                </c:pt>
                <c:pt idx="1">
                  <c:v>Co-present</c:v>
                </c:pt>
                <c:pt idx="2">
                  <c:v>Aligned</c:v>
                </c:pt>
                <c:pt idx="3">
                  <c:v>Fused</c:v>
                </c:pt>
                <c:pt idx="4">
                  <c:v>Unclear</c:v>
                </c:pt>
              </c:strCache>
            </c:strRef>
          </c:cat>
          <c:val>
            <c:numRef>
              <c:f>Step3_Report!$B$99:$B$103</c:f>
              <c:numCache>
                <c:formatCode>General</c:formatCode>
                <c:ptCount val="5"/>
                <c:pt idx="0">
                  <c:v>16</c:v>
                </c:pt>
                <c:pt idx="1">
                  <c:v>2</c:v>
                </c:pt>
                <c:pt idx="2">
                  <c:v>30</c:v>
                </c:pt>
                <c:pt idx="3">
                  <c:v>114</c:v>
                </c:pt>
                <c:pt idx="4">
                  <c:v>13</c:v>
                </c:pt>
              </c:numCache>
            </c:numRef>
          </c:val>
          <c:extLst>
            <c:ext xmlns:c16="http://schemas.microsoft.com/office/drawing/2014/chart" uri="{C3380CC4-5D6E-409C-BE32-E72D297353CC}">
              <c16:uniqueId val="{00000000-5DBF-40E3-B819-89C1F23A97F4}"/>
            </c:ext>
          </c:extLst>
        </c:ser>
        <c:ser>
          <c:idx val="1"/>
          <c:order val="1"/>
          <c:tx>
            <c:strRef>
              <c:f>Step3_Report!$C$98</c:f>
              <c:strCache>
                <c:ptCount val="1"/>
                <c:pt idx="0">
                  <c:v>Mentioned only</c:v>
                </c:pt>
              </c:strCache>
            </c:strRef>
          </c:tx>
          <c:spPr>
            <a:solidFill>
              <a:schemeClr val="accent2"/>
            </a:solidFill>
            <a:ln>
              <a:noFill/>
              <a:prstDash val="solid"/>
            </a:ln>
          </c:spPr>
          <c:invertIfNegative val="0"/>
          <c:cat>
            <c:strRef>
              <c:f>Step3_Report!$A$99:$A$103</c:f>
              <c:strCache>
                <c:ptCount val="5"/>
                <c:pt idx="0">
                  <c:v>Single</c:v>
                </c:pt>
                <c:pt idx="1">
                  <c:v>Co-present</c:v>
                </c:pt>
                <c:pt idx="2">
                  <c:v>Aligned</c:v>
                </c:pt>
                <c:pt idx="3">
                  <c:v>Fused</c:v>
                </c:pt>
                <c:pt idx="4">
                  <c:v>Unclear</c:v>
                </c:pt>
              </c:strCache>
            </c:strRef>
          </c:cat>
          <c:val>
            <c:numRef>
              <c:f>Step3_Report!$C$99:$C$103</c:f>
              <c:numCache>
                <c:formatCode>General</c:formatCode>
                <c:ptCount val="5"/>
                <c:pt idx="0">
                  <c:v>0</c:v>
                </c:pt>
                <c:pt idx="1">
                  <c:v>0</c:v>
                </c:pt>
                <c:pt idx="2">
                  <c:v>1</c:v>
                </c:pt>
                <c:pt idx="3">
                  <c:v>2</c:v>
                </c:pt>
                <c:pt idx="4">
                  <c:v>2</c:v>
                </c:pt>
              </c:numCache>
            </c:numRef>
          </c:val>
          <c:extLst>
            <c:ext xmlns:c16="http://schemas.microsoft.com/office/drawing/2014/chart" uri="{C3380CC4-5D6E-409C-BE32-E72D297353CC}">
              <c16:uniqueId val="{00000001-5DBF-40E3-B819-89C1F23A97F4}"/>
            </c:ext>
          </c:extLst>
        </c:ser>
        <c:ser>
          <c:idx val="2"/>
          <c:order val="2"/>
          <c:tx>
            <c:strRef>
              <c:f>Step3_Report!$D$98</c:f>
              <c:strCache>
                <c:ptCount val="1"/>
                <c:pt idx="0">
                  <c:v>Implemented</c:v>
                </c:pt>
              </c:strCache>
            </c:strRef>
          </c:tx>
          <c:spPr>
            <a:solidFill>
              <a:schemeClr val="accent3"/>
            </a:solidFill>
            <a:ln>
              <a:noFill/>
              <a:prstDash val="solid"/>
            </a:ln>
          </c:spPr>
          <c:invertIfNegative val="0"/>
          <c:cat>
            <c:strRef>
              <c:f>Step3_Report!$A$99:$A$103</c:f>
              <c:strCache>
                <c:ptCount val="5"/>
                <c:pt idx="0">
                  <c:v>Single</c:v>
                </c:pt>
                <c:pt idx="1">
                  <c:v>Co-present</c:v>
                </c:pt>
                <c:pt idx="2">
                  <c:v>Aligned</c:v>
                </c:pt>
                <c:pt idx="3">
                  <c:v>Fused</c:v>
                </c:pt>
                <c:pt idx="4">
                  <c:v>Unclear</c:v>
                </c:pt>
              </c:strCache>
            </c:strRef>
          </c:cat>
          <c:val>
            <c:numRef>
              <c:f>Step3_Report!$D$99:$D$103</c:f>
              <c:numCache>
                <c:formatCode>General</c:formatCode>
                <c:ptCount val="5"/>
                <c:pt idx="0">
                  <c:v>2</c:v>
                </c:pt>
                <c:pt idx="1">
                  <c:v>0</c:v>
                </c:pt>
                <c:pt idx="2">
                  <c:v>1</c:v>
                </c:pt>
                <c:pt idx="3">
                  <c:v>17</c:v>
                </c:pt>
                <c:pt idx="4">
                  <c:v>0</c:v>
                </c:pt>
              </c:numCache>
            </c:numRef>
          </c:val>
          <c:extLst>
            <c:ext xmlns:c16="http://schemas.microsoft.com/office/drawing/2014/chart" uri="{C3380CC4-5D6E-409C-BE32-E72D297353CC}">
              <c16:uniqueId val="{00000002-5DBF-40E3-B819-89C1F23A97F4}"/>
            </c:ext>
          </c:extLst>
        </c:ser>
        <c:ser>
          <c:idx val="3"/>
          <c:order val="3"/>
          <c:tx>
            <c:strRef>
              <c:f>Step3_Report!$E$98</c:f>
              <c:strCache>
                <c:ptCount val="1"/>
                <c:pt idx="0">
                  <c:v>Convergence-characterised</c:v>
                </c:pt>
              </c:strCache>
            </c:strRef>
          </c:tx>
          <c:spPr>
            <a:solidFill>
              <a:schemeClr val="accent4"/>
            </a:solidFill>
            <a:ln>
              <a:noFill/>
              <a:prstDash val="solid"/>
            </a:ln>
          </c:spPr>
          <c:invertIfNegative val="0"/>
          <c:cat>
            <c:strRef>
              <c:f>Step3_Report!$A$99:$A$103</c:f>
              <c:strCache>
                <c:ptCount val="5"/>
                <c:pt idx="0">
                  <c:v>Single</c:v>
                </c:pt>
                <c:pt idx="1">
                  <c:v>Co-present</c:v>
                </c:pt>
                <c:pt idx="2">
                  <c:v>Aligned</c:v>
                </c:pt>
                <c:pt idx="3">
                  <c:v>Fused</c:v>
                </c:pt>
                <c:pt idx="4">
                  <c:v>Unclear</c:v>
                </c:pt>
              </c:strCache>
            </c:strRef>
          </c:cat>
          <c:val>
            <c:numRef>
              <c:f>Step3_Report!$E$99:$E$103</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3-5DBF-40E3-B819-89C1F23A97F4}"/>
            </c:ext>
          </c:extLst>
        </c:ser>
        <c:dLbls>
          <c:showLegendKey val="0"/>
          <c:showVal val="0"/>
          <c:showCatName val="0"/>
          <c:showSerName val="0"/>
          <c:showPercent val="0"/>
          <c:showBubbleSize val="0"/>
        </c:dLbls>
        <c:gapWidth val="219"/>
        <c:overlap val="-27"/>
        <c:axId val="1124045215"/>
        <c:axId val="1124050015"/>
      </c:barChart>
      <c:catAx>
        <c:axId val="1124045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zh-CN"/>
          </a:p>
        </c:txPr>
        <c:crossAx val="1124050015"/>
        <c:crosses val="autoZero"/>
        <c:auto val="1"/>
        <c:lblAlgn val="ctr"/>
        <c:lblOffset val="100"/>
        <c:noMultiLvlLbl val="0"/>
      </c:catAx>
      <c:valAx>
        <c:axId val="1124050015"/>
        <c:scaling>
          <c:orientation val="minMax"/>
        </c:scaling>
        <c:delete val="0"/>
        <c:axPos val="l"/>
        <c:majorGridlines>
          <c:spPr>
            <a:ln w="9525" cap="flat" cmpd="sng" algn="ctr">
              <a:solidFill>
                <a:schemeClr val="tx1">
                  <a:lumMod val="15000"/>
                  <a:lumOff val="85000"/>
                </a:schemeClr>
              </a:solidFill>
              <a:prstDash val="solid"/>
              <a:round/>
            </a:ln>
          </c:spPr>
        </c:majorGridlines>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zh-CN"/>
          </a:p>
        </c:txPr>
        <c:crossAx val="1124045215"/>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344020</xdr:colOff>
      <xdr:row>3</xdr:row>
      <xdr:rowOff>112059</xdr:rowOff>
    </xdr:from>
    <xdr:to>
      <xdr:col>15</xdr:col>
      <xdr:colOff>696290</xdr:colOff>
      <xdr:row>18</xdr:row>
      <xdr:rowOff>166669</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344021</xdr:colOff>
      <xdr:row>20</xdr:row>
      <xdr:rowOff>56590</xdr:rowOff>
    </xdr:from>
    <xdr:to>
      <xdr:col>14</xdr:col>
      <xdr:colOff>603735</xdr:colOff>
      <xdr:row>35</xdr:row>
      <xdr:rowOff>101675</xdr:rowOff>
    </xdr:to>
    <xdr:graphicFrame macro="">
      <xdr:nvGraphicFramePr>
        <xdr:cNvPr id="3" name="Chart 2">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1315271</xdr:colOff>
      <xdr:row>3</xdr:row>
      <xdr:rowOff>169208</xdr:rowOff>
    </xdr:from>
    <xdr:to>
      <xdr:col>25</xdr:col>
      <xdr:colOff>274543</xdr:colOff>
      <xdr:row>20</xdr:row>
      <xdr:rowOff>113739</xdr:rowOff>
    </xdr:to>
    <xdr:graphicFrame macro="">
      <xdr:nvGraphicFramePr>
        <xdr:cNvPr id="4" name="Chart 3">
          <a:extLst>
            <a:ext uri="{FF2B5EF4-FFF2-40B4-BE49-F238E27FC236}">
              <a16:creationId xmlns:a16="http://schemas.microsoft.com/office/drawing/2014/main" id="{00000000-0008-0000-04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1315271</xdr:colOff>
      <xdr:row>22</xdr:row>
      <xdr:rowOff>1978</xdr:rowOff>
    </xdr:from>
    <xdr:to>
      <xdr:col>25</xdr:col>
      <xdr:colOff>274543</xdr:colOff>
      <xdr:row>38</xdr:row>
      <xdr:rowOff>124123</xdr:rowOff>
    </xdr:to>
    <xdr:graphicFrame macro="">
      <xdr:nvGraphicFramePr>
        <xdr:cNvPr id="5" name="Chart 4">
          <a:extLst>
            <a:ext uri="{FF2B5EF4-FFF2-40B4-BE49-F238E27FC236}">
              <a16:creationId xmlns:a16="http://schemas.microsoft.com/office/drawing/2014/main" id="{00000000-0008-0000-04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lnDef>
      <a:spPr>
        <a:ln w="15875">
          <a:solidFill>
            <a:schemeClr val="tx1"/>
          </a:solidFill>
          <a:tailEnd type="triangle"/>
        </a:ln>
      </a:spPr>
      <a:bodyPr/>
      <a:lstStyle/>
      <a:style>
        <a:lnRef idx="1">
          <a:schemeClr val="accent1"/>
        </a:lnRef>
        <a:fillRef idx="0">
          <a:schemeClr val="accent1"/>
        </a:fillRef>
        <a:effectRef idx="0">
          <a:schemeClr val="accent1"/>
        </a:effectRef>
        <a:fontRef idx="minor">
          <a:schemeClr val="tx1"/>
        </a:fontRef>
      </a:style>
    </a:lnDef>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C27"/>
  <sheetViews>
    <sheetView showGridLines="0" zoomScaleNormal="100" workbookViewId="0"/>
  </sheetViews>
  <sheetFormatPr defaultColWidth="8.6640625" defaultRowHeight="14.4" x14ac:dyDescent="0.3"/>
  <cols>
    <col min="1" max="1" width="3" customWidth="1"/>
    <col min="2" max="2" width="32" customWidth="1"/>
    <col min="3" max="3" width="98" customWidth="1"/>
  </cols>
  <sheetData>
    <row r="2" spans="2:3" ht="17.399999999999999" customHeight="1" x14ac:dyDescent="0.3">
      <c r="B2" s="1" t="s">
        <v>0</v>
      </c>
    </row>
    <row r="3" spans="2:3" x14ac:dyDescent="0.3">
      <c r="B3" s="2" t="s">
        <v>1</v>
      </c>
    </row>
    <row r="5" spans="2:3" ht="15.6" customHeight="1" x14ac:dyDescent="0.3">
      <c r="B5" s="3" t="s">
        <v>2</v>
      </c>
    </row>
    <row r="6" spans="2:3" ht="26.4" customHeight="1" x14ac:dyDescent="0.3">
      <c r="B6" s="4" t="s">
        <v>3</v>
      </c>
      <c r="C6" s="5" t="s">
        <v>4</v>
      </c>
    </row>
    <row r="7" spans="2:3" ht="39.6" customHeight="1" x14ac:dyDescent="0.3">
      <c r="B7" s="4" t="s">
        <v>5</v>
      </c>
      <c r="C7" s="5" t="s">
        <v>6</v>
      </c>
    </row>
    <row r="8" spans="2:3" ht="39.6" customHeight="1" x14ac:dyDescent="0.3">
      <c r="B8" s="4" t="s">
        <v>7</v>
      </c>
      <c r="C8" s="5" t="s">
        <v>8</v>
      </c>
    </row>
    <row r="9" spans="2:3" ht="26.4" customHeight="1" x14ac:dyDescent="0.3">
      <c r="B9" s="4" t="s">
        <v>9</v>
      </c>
      <c r="C9" s="5" t="s">
        <v>10</v>
      </c>
    </row>
    <row r="10" spans="2:3" x14ac:dyDescent="0.3">
      <c r="B10" s="4" t="s">
        <v>11</v>
      </c>
      <c r="C10" s="5" t="s">
        <v>12</v>
      </c>
    </row>
    <row r="11" spans="2:3" ht="26.4" customHeight="1" x14ac:dyDescent="0.3">
      <c r="B11" s="4" t="s">
        <v>13</v>
      </c>
      <c r="C11" s="5" t="s">
        <v>14</v>
      </c>
    </row>
    <row r="12" spans="2:3" ht="26.4" customHeight="1" x14ac:dyDescent="0.3">
      <c r="B12" s="4" t="s">
        <v>15</v>
      </c>
      <c r="C12" s="5" t="s">
        <v>16</v>
      </c>
    </row>
    <row r="13" spans="2:3" ht="26.4" customHeight="1" x14ac:dyDescent="0.3">
      <c r="B13" s="4" t="s">
        <v>17</v>
      </c>
      <c r="C13" s="5" t="s">
        <v>18</v>
      </c>
    </row>
    <row r="14" spans="2:3" ht="26.4" customHeight="1" x14ac:dyDescent="0.3">
      <c r="B14" s="4" t="s">
        <v>19</v>
      </c>
      <c r="C14" s="5" t="s">
        <v>20</v>
      </c>
    </row>
    <row r="15" spans="2:3" ht="26.4" customHeight="1" x14ac:dyDescent="0.3">
      <c r="B15" s="4" t="s">
        <v>21</v>
      </c>
      <c r="C15" s="5" t="s">
        <v>22</v>
      </c>
    </row>
    <row r="17" spans="1:3" ht="15.6" customHeight="1" x14ac:dyDescent="0.3">
      <c r="B17" s="3" t="s">
        <v>23</v>
      </c>
    </row>
    <row r="18" spans="1:3" ht="26.4" customHeight="1" x14ac:dyDescent="0.3">
      <c r="B18" s="4" t="s">
        <v>24</v>
      </c>
      <c r="C18" s="5" t="s">
        <v>25</v>
      </c>
    </row>
    <row r="19" spans="1:3" x14ac:dyDescent="0.3">
      <c r="B19" s="4" t="s">
        <v>26</v>
      </c>
      <c r="C19" s="5" t="s">
        <v>27</v>
      </c>
    </row>
    <row r="20" spans="1:3" ht="39.6" customHeight="1" x14ac:dyDescent="0.3">
      <c r="B20" s="4" t="s">
        <v>28</v>
      </c>
      <c r="C20" s="5" t="s">
        <v>29</v>
      </c>
    </row>
    <row r="21" spans="1:3" ht="26.4" customHeight="1" x14ac:dyDescent="0.3">
      <c r="B21" s="4" t="s">
        <v>30</v>
      </c>
      <c r="C21" s="5" t="s">
        <v>31</v>
      </c>
    </row>
    <row r="22" spans="1:3" ht="26.4" customHeight="1" x14ac:dyDescent="0.3">
      <c r="B22" s="4" t="s">
        <v>32</v>
      </c>
      <c r="C22" s="5" t="s">
        <v>33</v>
      </c>
    </row>
    <row r="24" spans="1:3" ht="15.6" customHeight="1" x14ac:dyDescent="0.3">
      <c r="B24" s="3" t="s">
        <v>34</v>
      </c>
    </row>
    <row r="25" spans="1:3" ht="26.4" customHeight="1" x14ac:dyDescent="0.3">
      <c r="B25" s="4" t="s">
        <v>35</v>
      </c>
      <c r="C25" s="5" t="s">
        <v>36</v>
      </c>
    </row>
    <row r="26" spans="1:3" ht="26.4" customHeight="1" x14ac:dyDescent="0.3">
      <c r="B26" s="4" t="s">
        <v>37</v>
      </c>
      <c r="C26" s="5" t="s">
        <v>38</v>
      </c>
    </row>
    <row r="27" spans="1:3" x14ac:dyDescent="0.3">
      <c r="A27" t="s">
        <v>39</v>
      </c>
      <c r="B27" t="s">
        <v>40</v>
      </c>
    </row>
  </sheetData>
  <phoneticPr fontId="31" type="noConversion"/>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3"/>
  <sheetViews>
    <sheetView showGridLines="0" zoomScale="130" zoomScaleNormal="130" workbookViewId="0">
      <selection activeCell="C30" sqref="C30"/>
    </sheetView>
  </sheetViews>
  <sheetFormatPr defaultColWidth="8.6640625" defaultRowHeight="14.4" x14ac:dyDescent="0.3"/>
  <cols>
    <col min="1" max="1" width="6" customWidth="1"/>
    <col min="2" max="2" width="20" customWidth="1"/>
    <col min="3" max="3" width="6" customWidth="1"/>
    <col min="4" max="4" width="56" customWidth="1"/>
    <col min="5" max="5" width="27" customWidth="1"/>
    <col min="6" max="6" width="28" customWidth="1"/>
    <col min="7" max="7" width="46" customWidth="1"/>
    <col min="8" max="8" width="33" customWidth="1"/>
    <col min="9" max="9" width="41" customWidth="1"/>
    <col min="10" max="10" width="42" customWidth="1"/>
  </cols>
  <sheetData>
    <row r="1" spans="1:12" x14ac:dyDescent="0.3">
      <c r="A1" s="6" t="s">
        <v>41</v>
      </c>
      <c r="B1" s="6" t="s">
        <v>42</v>
      </c>
      <c r="C1" s="6" t="s">
        <v>43</v>
      </c>
      <c r="D1" s="6" t="s">
        <v>44</v>
      </c>
      <c r="E1" s="6" t="s">
        <v>45</v>
      </c>
      <c r="F1" s="6" t="s">
        <v>46</v>
      </c>
      <c r="G1" s="6" t="s">
        <v>47</v>
      </c>
      <c r="H1" s="6" t="s">
        <v>48</v>
      </c>
      <c r="I1" s="6" t="s">
        <v>49</v>
      </c>
      <c r="J1" s="6" t="s">
        <v>50</v>
      </c>
      <c r="K1" s="30" t="s">
        <v>51</v>
      </c>
      <c r="L1" s="30" t="s">
        <v>52</v>
      </c>
    </row>
    <row r="2" spans="1:12" x14ac:dyDescent="0.3">
      <c r="A2" s="7" t="s">
        <v>53</v>
      </c>
      <c r="B2" s="7" t="s">
        <v>54</v>
      </c>
      <c r="C2" s="7" t="s">
        <v>55</v>
      </c>
      <c r="D2" s="7" t="s">
        <v>56</v>
      </c>
      <c r="E2" s="7" t="s">
        <v>9</v>
      </c>
      <c r="F2" s="7" t="s">
        <v>57</v>
      </c>
      <c r="G2" s="7" t="s">
        <v>58</v>
      </c>
      <c r="H2" s="7" t="s">
        <v>59</v>
      </c>
      <c r="I2" s="7" t="s">
        <v>60</v>
      </c>
      <c r="J2" s="7" t="s">
        <v>61</v>
      </c>
      <c r="K2" t="s">
        <v>62</v>
      </c>
      <c r="L2" t="s">
        <v>63</v>
      </c>
    </row>
    <row r="3" spans="1:12" x14ac:dyDescent="0.3">
      <c r="A3" s="7" t="s">
        <v>64</v>
      </c>
      <c r="B3" s="7" t="s">
        <v>65</v>
      </c>
      <c r="C3" s="7" t="s">
        <v>66</v>
      </c>
      <c r="D3" s="7" t="s">
        <v>67</v>
      </c>
      <c r="E3" s="7" t="s">
        <v>11</v>
      </c>
      <c r="F3" s="7" t="s">
        <v>68</v>
      </c>
      <c r="G3" s="7" t="s">
        <v>69</v>
      </c>
      <c r="H3" s="7" t="s">
        <v>70</v>
      </c>
      <c r="I3" s="7" t="s">
        <v>71</v>
      </c>
      <c r="J3" s="7" t="s">
        <v>72</v>
      </c>
      <c r="K3" t="s">
        <v>73</v>
      </c>
      <c r="L3" t="s">
        <v>74</v>
      </c>
    </row>
    <row r="4" spans="1:12" x14ac:dyDescent="0.3">
      <c r="B4" s="7" t="s">
        <v>75</v>
      </c>
      <c r="D4" s="7" t="s">
        <v>76</v>
      </c>
      <c r="E4" s="7" t="s">
        <v>77</v>
      </c>
      <c r="F4" s="7" t="s">
        <v>78</v>
      </c>
      <c r="G4" s="7" t="s">
        <v>79</v>
      </c>
      <c r="I4" s="7" t="s">
        <v>80</v>
      </c>
      <c r="J4" s="7" t="s">
        <v>81</v>
      </c>
      <c r="K4" t="s">
        <v>82</v>
      </c>
      <c r="L4" t="s">
        <v>83</v>
      </c>
    </row>
    <row r="5" spans="1:12" x14ac:dyDescent="0.3">
      <c r="B5" s="7" t="s">
        <v>84</v>
      </c>
      <c r="D5" s="7" t="s">
        <v>85</v>
      </c>
      <c r="E5" s="7" t="s">
        <v>86</v>
      </c>
      <c r="F5" s="7" t="s">
        <v>87</v>
      </c>
      <c r="G5" s="7" t="s">
        <v>88</v>
      </c>
      <c r="I5" s="7" t="s">
        <v>89</v>
      </c>
      <c r="J5" s="7" t="s">
        <v>90</v>
      </c>
      <c r="K5" t="s">
        <v>91</v>
      </c>
    </row>
    <row r="6" spans="1:12" x14ac:dyDescent="0.3">
      <c r="B6" s="7" t="s">
        <v>92</v>
      </c>
      <c r="D6" s="7" t="s">
        <v>93</v>
      </c>
      <c r="G6" s="7" t="s">
        <v>94</v>
      </c>
      <c r="I6" t="s">
        <v>95</v>
      </c>
      <c r="J6" s="7" t="s">
        <v>96</v>
      </c>
      <c r="K6" t="s">
        <v>93</v>
      </c>
    </row>
    <row r="7" spans="1:12" x14ac:dyDescent="0.3">
      <c r="G7" s="7" t="s">
        <v>97</v>
      </c>
      <c r="J7" s="7" t="s">
        <v>98</v>
      </c>
    </row>
    <row r="8" spans="1:12" x14ac:dyDescent="0.3">
      <c r="G8" s="7" t="s">
        <v>99</v>
      </c>
      <c r="J8" s="7" t="s">
        <v>86</v>
      </c>
    </row>
    <row r="9" spans="1:12" x14ac:dyDescent="0.3">
      <c r="G9" s="7" t="s">
        <v>100</v>
      </c>
    </row>
    <row r="10" spans="1:12" x14ac:dyDescent="0.3">
      <c r="G10" s="7" t="s">
        <v>101</v>
      </c>
    </row>
    <row r="11" spans="1:12" x14ac:dyDescent="0.3">
      <c r="G11" s="7" t="s">
        <v>102</v>
      </c>
    </row>
    <row r="12" spans="1:12" x14ac:dyDescent="0.3">
      <c r="G12" s="7" t="s">
        <v>103</v>
      </c>
    </row>
    <row r="13" spans="1:12" x14ac:dyDescent="0.3">
      <c r="G13" s="7" t="s">
        <v>104</v>
      </c>
    </row>
  </sheetData>
  <phoneticPr fontId="31" type="noConversion"/>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AO960"/>
  <sheetViews>
    <sheetView showGridLines="0" zoomScale="85" zoomScaleNormal="85" workbookViewId="0">
      <pane xSplit="6" ySplit="4" topLeftCell="G329" activePane="bottomRight" state="frozen"/>
      <selection pane="topRight" activeCell="G1" sqref="G1"/>
      <selection pane="bottomLeft" activeCell="A2" sqref="A2"/>
      <selection pane="bottomRight" activeCell="L3" sqref="L3"/>
    </sheetView>
  </sheetViews>
  <sheetFormatPr defaultColWidth="8.6640625" defaultRowHeight="14.4" x14ac:dyDescent="0.3"/>
  <cols>
    <col min="1" max="1" width="5.33203125" bestFit="1" customWidth="1"/>
    <col min="2" max="2" width="10.109375" customWidth="1"/>
    <col min="3" max="3" width="7.44140625" customWidth="1"/>
    <col min="4" max="4" width="7.109375" customWidth="1"/>
    <col min="5" max="5" width="19.44140625" style="52" customWidth="1"/>
    <col min="6" max="6" width="8.33203125" customWidth="1"/>
    <col min="7" max="7" width="13" customWidth="1"/>
    <col min="8" max="8" width="14" customWidth="1"/>
    <col min="9" max="9" width="15" customWidth="1"/>
    <col min="10" max="10" width="13" customWidth="1"/>
    <col min="11" max="12" width="11" customWidth="1"/>
    <col min="13" max="13" width="24" customWidth="1"/>
    <col min="14" max="14" width="13" customWidth="1"/>
    <col min="15" max="15" width="12" customWidth="1"/>
    <col min="16" max="17" width="13" customWidth="1"/>
    <col min="18" max="18" width="12" customWidth="1"/>
    <col min="19" max="19" width="11" customWidth="1"/>
    <col min="20" max="20" width="15.5546875" customWidth="1"/>
    <col min="21" max="21" width="22" customWidth="1"/>
    <col min="22" max="24" width="8" customWidth="1"/>
    <col min="25" max="25" width="11" customWidth="1"/>
    <col min="26" max="27" width="20" customWidth="1"/>
    <col min="28" max="28" width="26" customWidth="1"/>
    <col min="29" max="29" width="18" customWidth="1"/>
    <col min="30" max="30" width="22" customWidth="1"/>
    <col min="31" max="31" width="15.5546875" customWidth="1"/>
    <col min="32" max="32" width="24" customWidth="1"/>
    <col min="33" max="35" width="59.33203125" customWidth="1"/>
    <col min="36" max="36" width="20.33203125" customWidth="1"/>
    <col min="37" max="37" width="55.5546875" style="52" customWidth="1"/>
    <col min="38" max="38" width="13.33203125" bestFit="1" customWidth="1"/>
    <col min="39" max="39" width="33.33203125" style="52" customWidth="1"/>
    <col min="40" max="40" width="48.109375" style="52" customWidth="1"/>
    <col min="41" max="41" width="43.33203125" style="55" bestFit="1" customWidth="1"/>
  </cols>
  <sheetData>
    <row r="1" spans="1:41" x14ac:dyDescent="0.3">
      <c r="P1" s="72" t="s">
        <v>105</v>
      </c>
      <c r="Q1" s="72" t="s">
        <v>106</v>
      </c>
      <c r="R1" s="72" t="s">
        <v>107</v>
      </c>
      <c r="S1" s="72"/>
      <c r="T1" s="72" t="s">
        <v>108</v>
      </c>
    </row>
    <row r="2" spans="1:41" x14ac:dyDescent="0.3">
      <c r="G2" s="21" t="s">
        <v>105</v>
      </c>
      <c r="H2" s="21" t="s">
        <v>106</v>
      </c>
      <c r="I2" s="21" t="s">
        <v>107</v>
      </c>
      <c r="J2" s="21"/>
      <c r="K2" s="21" t="s">
        <v>109</v>
      </c>
      <c r="L2" s="74">
        <f>COUNTIF(L4:L960,"Exclude")</f>
        <v>712</v>
      </c>
      <c r="N2" s="23">
        <f>COUNTIF(N4:N960,"No")</f>
        <v>30</v>
      </c>
      <c r="O2" s="23">
        <f>COUNTIF(O4:O960,"No")</f>
        <v>30</v>
      </c>
      <c r="P2" s="76">
        <f>COUNTIF(P4:P960,"No")</f>
        <v>14</v>
      </c>
      <c r="Q2" s="76">
        <f>COUNTIF(Q4:Q960,"No")</f>
        <v>2</v>
      </c>
      <c r="R2" s="76">
        <f>COUNTIF(R4:R960,"No")</f>
        <v>13</v>
      </c>
      <c r="S2" s="77">
        <f>COUNTIF(S4:S960,"Exclude")</f>
        <v>14</v>
      </c>
      <c r="T2" s="22">
        <v>0</v>
      </c>
    </row>
    <row r="3" spans="1:41" s="72" customFormat="1" x14ac:dyDescent="0.3">
      <c r="A3" s="72">
        <f>COUNTA(A5:A960)</f>
        <v>956</v>
      </c>
      <c r="G3" s="21">
        <f>COUNTIF(G4:G960,"No")</f>
        <v>415</v>
      </c>
      <c r="H3" s="21">
        <f>COUNTIF(H4:H960,"No")</f>
        <v>268</v>
      </c>
      <c r="I3" s="21">
        <f>COUNTIF(I4:I960,"No")</f>
        <v>166</v>
      </c>
      <c r="J3" s="21">
        <f>COUNTIF(J4:J960,"No")</f>
        <v>1</v>
      </c>
      <c r="K3" s="21">
        <f>COUNTIF(K4:K960,"No")</f>
        <v>20</v>
      </c>
      <c r="L3" s="80">
        <f>COUNTIF(L4:L960,"Include")</f>
        <v>244</v>
      </c>
      <c r="M3" s="22"/>
      <c r="N3" s="79">
        <f>COUNTIF(N4:N960,"Yes")</f>
        <v>214</v>
      </c>
      <c r="O3" s="23">
        <f>COUNTIF(O4:O960,"Yes")</f>
        <v>214</v>
      </c>
      <c r="P3" s="75">
        <f>COUNTIF(P4:P960,"Yes")</f>
        <v>200</v>
      </c>
      <c r="Q3" s="75">
        <f>COUNTIF(Q4:Q960,"Yes")</f>
        <v>212</v>
      </c>
      <c r="R3" s="75">
        <f>COUNTIF(R4:R960,"Yes")</f>
        <v>201</v>
      </c>
      <c r="S3" s="80">
        <f>COUNTIF(S4:S960,"Include")-T2</f>
        <v>200</v>
      </c>
      <c r="T3" s="80"/>
      <c r="AK3" s="70"/>
      <c r="AM3" s="70"/>
      <c r="AN3" s="70"/>
    </row>
    <row r="4" spans="1:41" ht="57.75" customHeight="1" x14ac:dyDescent="0.3">
      <c r="A4" s="6" t="s">
        <v>110</v>
      </c>
      <c r="B4" s="6" t="s">
        <v>111</v>
      </c>
      <c r="C4" s="6" t="s">
        <v>112</v>
      </c>
      <c r="D4" s="6" t="s">
        <v>113</v>
      </c>
      <c r="E4" s="6" t="s">
        <v>114</v>
      </c>
      <c r="F4" s="6" t="s">
        <v>115</v>
      </c>
      <c r="G4" s="6" t="s">
        <v>116</v>
      </c>
      <c r="H4" s="6" t="s">
        <v>117</v>
      </c>
      <c r="I4" s="6" t="s">
        <v>118</v>
      </c>
      <c r="J4" s="6" t="s">
        <v>119</v>
      </c>
      <c r="K4" s="6" t="s">
        <v>120</v>
      </c>
      <c r="L4" s="6" t="s">
        <v>121</v>
      </c>
      <c r="M4" s="6" t="s">
        <v>122</v>
      </c>
      <c r="N4" s="6" t="s">
        <v>123</v>
      </c>
      <c r="O4" s="6" t="s">
        <v>124</v>
      </c>
      <c r="P4" s="6" t="s">
        <v>125</v>
      </c>
      <c r="Q4" s="6" t="s">
        <v>126</v>
      </c>
      <c r="R4" s="6" t="s">
        <v>127</v>
      </c>
      <c r="S4" s="6" t="s">
        <v>128</v>
      </c>
      <c r="T4" s="6" t="s">
        <v>129</v>
      </c>
      <c r="U4" s="27" t="s">
        <v>130</v>
      </c>
      <c r="V4" s="6" t="s">
        <v>131</v>
      </c>
      <c r="W4" s="6" t="s">
        <v>132</v>
      </c>
      <c r="X4" s="6" t="s">
        <v>133</v>
      </c>
      <c r="Y4" s="6" t="s">
        <v>134</v>
      </c>
      <c r="Z4" s="6" t="s">
        <v>135</v>
      </c>
      <c r="AA4" s="6" t="s">
        <v>136</v>
      </c>
      <c r="AB4" s="27" t="s">
        <v>137</v>
      </c>
      <c r="AC4" s="6" t="s">
        <v>138</v>
      </c>
      <c r="AD4" s="6" t="s">
        <v>139</v>
      </c>
      <c r="AE4" s="6" t="s">
        <v>140</v>
      </c>
      <c r="AF4" s="6" t="s">
        <v>141</v>
      </c>
      <c r="AG4" s="6" t="s">
        <v>142</v>
      </c>
      <c r="AH4" s="28" t="s">
        <v>143</v>
      </c>
      <c r="AI4" s="28" t="s">
        <v>144</v>
      </c>
      <c r="AJ4" s="48" t="s">
        <v>145</v>
      </c>
      <c r="AK4" s="48" t="s">
        <v>146</v>
      </c>
      <c r="AL4" s="48" t="s">
        <v>147</v>
      </c>
      <c r="AM4" s="48" t="s">
        <v>148</v>
      </c>
      <c r="AN4" s="49" t="s">
        <v>149</v>
      </c>
      <c r="AO4" s="54" t="s">
        <v>150</v>
      </c>
    </row>
    <row r="5" spans="1:41" ht="57" hidden="1" customHeight="1" x14ac:dyDescent="0.3">
      <c r="A5" s="20">
        <v>1</v>
      </c>
      <c r="B5" s="8" t="s">
        <v>151</v>
      </c>
      <c r="C5" s="26">
        <v>2026</v>
      </c>
      <c r="D5" s="8"/>
      <c r="E5" s="8" t="s">
        <v>152</v>
      </c>
      <c r="F5" s="20" t="s">
        <v>54</v>
      </c>
      <c r="G5" s="21" t="s">
        <v>53</v>
      </c>
      <c r="H5" s="21" t="s">
        <v>64</v>
      </c>
      <c r="I5" s="21" t="s">
        <v>64</v>
      </c>
      <c r="J5" s="21" t="s">
        <v>53</v>
      </c>
      <c r="K5" s="21" t="s">
        <v>53</v>
      </c>
      <c r="L5" s="22" t="str">
        <f t="shared" ref="L5:L68" si="0">IF(COUNTBLANK(G5:K5)=5,"",IF(COUNTIF(G5:K5,"No")&gt;0,"EXCLUDE","INCLUDE"))</f>
        <v>EXCLUDE</v>
      </c>
      <c r="M5" s="22" t="str">
        <f t="shared" ref="M5:M68" si="1">IF(L5&lt;&gt;"EXCLUDE","",IF(G5="No","Wrong domain (non-AECO)",IF(H5="No","Digital Twin not core / buzzword",IF(I5="No","No Design for Safety/Quality/PtD",IF(J5="No","Wrong publication type",IF(K5="No","Non-English",""))))))</f>
        <v>Digital Twin not core / buzzword</v>
      </c>
      <c r="N5" s="23"/>
      <c r="O5" s="23"/>
      <c r="P5" s="24"/>
      <c r="Q5" s="24"/>
      <c r="R5" s="24"/>
      <c r="S5" s="22" t="str">
        <f t="shared" ref="S5:S68" si="2">IF(N5&lt;&gt;"Yes","",IF(COUNTBLANK(P5:R5)=3,"",IF(COUNTIF(P5:R5,"No")&gt;0,"EXCLUDE","INCLUDE")))</f>
        <v/>
      </c>
      <c r="T5" s="22" t="str">
        <f t="shared" ref="T5:T68" si="3">IF(S5&lt;&gt;"EXCLUDE","",IF(P5="No","Digital Twin mentioned only, not the subject",IF(Q5="No","No Design for Safety/Quality in full text",IF(R5="No","Methodology not codable",""))))</f>
        <v/>
      </c>
      <c r="U5" s="25"/>
      <c r="V5" s="25"/>
      <c r="W5" s="25"/>
      <c r="X5" s="25"/>
      <c r="Y5" s="22" t="str">
        <f t="shared" ref="Y5:Y68" si="4">IF(SUM(V5:X5)=0,"",IF(SUM(V5:X5)&gt;=2,"Multi","Single"))</f>
        <v/>
      </c>
      <c r="Z5" s="25"/>
      <c r="AA5" s="25"/>
      <c r="AB5" s="25"/>
      <c r="AC5" s="25"/>
      <c r="AD5" s="25"/>
      <c r="AE5" s="25"/>
      <c r="AF5" s="25"/>
      <c r="AG5" s="9"/>
      <c r="AH5" s="29"/>
      <c r="AI5" s="29"/>
      <c r="AM5" s="50"/>
      <c r="AN5" s="51" t="s">
        <v>153</v>
      </c>
      <c r="AO5" s="55" t="s">
        <v>154</v>
      </c>
    </row>
    <row r="6" spans="1:41" ht="57" hidden="1" customHeight="1" x14ac:dyDescent="0.3">
      <c r="A6" s="20">
        <v>2</v>
      </c>
      <c r="B6" s="8" t="s">
        <v>155</v>
      </c>
      <c r="C6" s="26">
        <v>2026</v>
      </c>
      <c r="D6" s="8"/>
      <c r="E6" s="8" t="s">
        <v>156</v>
      </c>
      <c r="F6" s="20" t="s">
        <v>54</v>
      </c>
      <c r="G6" s="21" t="s">
        <v>64</v>
      </c>
      <c r="H6" s="21" t="s">
        <v>53</v>
      </c>
      <c r="I6" s="21" t="s">
        <v>64</v>
      </c>
      <c r="J6" s="21" t="s">
        <v>53</v>
      </c>
      <c r="K6" s="21" t="s">
        <v>53</v>
      </c>
      <c r="L6" s="22" t="str">
        <f t="shared" si="0"/>
        <v>EXCLUDE</v>
      </c>
      <c r="M6" s="22" t="str">
        <f t="shared" si="1"/>
        <v>Wrong domain (non-AECO)</v>
      </c>
      <c r="N6" s="23"/>
      <c r="O6" s="23"/>
      <c r="P6" s="24"/>
      <c r="Q6" s="24"/>
      <c r="R6" s="24"/>
      <c r="S6" s="22" t="str">
        <f t="shared" si="2"/>
        <v/>
      </c>
      <c r="T6" s="22" t="str">
        <f t="shared" si="3"/>
        <v/>
      </c>
      <c r="U6" s="25"/>
      <c r="V6" s="25"/>
      <c r="W6" s="25"/>
      <c r="X6" s="25"/>
      <c r="Y6" s="22" t="str">
        <f t="shared" si="4"/>
        <v/>
      </c>
      <c r="Z6" s="25"/>
      <c r="AA6" s="25"/>
      <c r="AB6" s="25"/>
      <c r="AC6" s="25"/>
      <c r="AD6" s="25"/>
      <c r="AE6" s="25"/>
      <c r="AF6" s="25"/>
      <c r="AG6" s="9"/>
      <c r="AH6" s="29"/>
      <c r="AI6" s="29"/>
      <c r="AM6" s="50"/>
      <c r="AN6" s="51" t="s">
        <v>157</v>
      </c>
      <c r="AO6" s="55" t="s">
        <v>158</v>
      </c>
    </row>
    <row r="7" spans="1:41" ht="57" hidden="1" customHeight="1" x14ac:dyDescent="0.3">
      <c r="A7" s="20">
        <v>3</v>
      </c>
      <c r="B7" s="8" t="s">
        <v>159</v>
      </c>
      <c r="C7" s="26">
        <v>2025</v>
      </c>
      <c r="D7" s="8"/>
      <c r="E7" s="8" t="s">
        <v>160</v>
      </c>
      <c r="F7" s="20" t="s">
        <v>54</v>
      </c>
      <c r="G7" s="21" t="s">
        <v>64</v>
      </c>
      <c r="H7" s="21" t="s">
        <v>53</v>
      </c>
      <c r="I7" s="21" t="s">
        <v>53</v>
      </c>
      <c r="J7" s="21" t="s">
        <v>53</v>
      </c>
      <c r="K7" s="21" t="s">
        <v>53</v>
      </c>
      <c r="L7" s="22" t="str">
        <f t="shared" si="0"/>
        <v>EXCLUDE</v>
      </c>
      <c r="M7" s="22" t="str">
        <f t="shared" si="1"/>
        <v>Wrong domain (non-AECO)</v>
      </c>
      <c r="N7" s="23"/>
      <c r="O7" s="23"/>
      <c r="P7" s="24"/>
      <c r="Q7" s="24"/>
      <c r="R7" s="24"/>
      <c r="S7" s="22" t="str">
        <f t="shared" si="2"/>
        <v/>
      </c>
      <c r="T7" s="22" t="str">
        <f t="shared" si="3"/>
        <v/>
      </c>
      <c r="U7" s="25"/>
      <c r="V7" s="25"/>
      <c r="W7" s="25"/>
      <c r="X7" s="25"/>
      <c r="Y7" s="22" t="str">
        <f t="shared" si="4"/>
        <v/>
      </c>
      <c r="Z7" s="25"/>
      <c r="AA7" s="25"/>
      <c r="AB7" s="25"/>
      <c r="AC7" s="25"/>
      <c r="AD7" s="25"/>
      <c r="AE7" s="25"/>
      <c r="AF7" s="25"/>
      <c r="AG7" s="9"/>
      <c r="AH7" s="29"/>
      <c r="AI7" s="29"/>
      <c r="AM7" s="50"/>
      <c r="AN7" s="51" t="s">
        <v>161</v>
      </c>
      <c r="AO7" s="55" t="s">
        <v>162</v>
      </c>
    </row>
    <row r="8" spans="1:41" ht="34.200000000000003" hidden="1" customHeight="1" x14ac:dyDescent="0.3">
      <c r="A8" s="20">
        <v>4</v>
      </c>
      <c r="B8" s="8" t="s">
        <v>163</v>
      </c>
      <c r="C8" s="26">
        <v>2026</v>
      </c>
      <c r="D8" s="8"/>
      <c r="E8" s="8" t="s">
        <v>164</v>
      </c>
      <c r="F8" s="20" t="s">
        <v>54</v>
      </c>
      <c r="G8" s="21" t="s">
        <v>53</v>
      </c>
      <c r="H8" s="21" t="s">
        <v>53</v>
      </c>
      <c r="I8" s="21" t="s">
        <v>64</v>
      </c>
      <c r="J8" s="21" t="s">
        <v>53</v>
      </c>
      <c r="K8" s="21" t="s">
        <v>53</v>
      </c>
      <c r="L8" s="22" t="str">
        <f t="shared" si="0"/>
        <v>EXCLUDE</v>
      </c>
      <c r="M8" s="22" t="str">
        <f t="shared" si="1"/>
        <v>No Design for Safety/Quality/PtD</v>
      </c>
      <c r="N8" s="23"/>
      <c r="O8" s="23"/>
      <c r="P8" s="24"/>
      <c r="Q8" s="24"/>
      <c r="R8" s="24"/>
      <c r="S8" s="22" t="str">
        <f t="shared" si="2"/>
        <v/>
      </c>
      <c r="T8" s="22" t="str">
        <f t="shared" si="3"/>
        <v/>
      </c>
      <c r="U8" s="25"/>
      <c r="V8" s="25"/>
      <c r="W8" s="25"/>
      <c r="X8" s="25"/>
      <c r="Y8" s="22" t="str">
        <f t="shared" si="4"/>
        <v/>
      </c>
      <c r="Z8" s="25"/>
      <c r="AA8" s="25"/>
      <c r="AB8" s="25"/>
      <c r="AC8" s="25"/>
      <c r="AD8" s="25"/>
      <c r="AE8" s="25"/>
      <c r="AF8" s="25"/>
      <c r="AG8" s="9"/>
      <c r="AH8" s="29"/>
      <c r="AI8" s="29"/>
      <c r="AM8" s="50"/>
      <c r="AN8" s="51" t="s">
        <v>165</v>
      </c>
      <c r="AO8" s="55" t="s">
        <v>166</v>
      </c>
    </row>
    <row r="9" spans="1:41" ht="57" hidden="1" customHeight="1" x14ac:dyDescent="0.3">
      <c r="A9" s="20">
        <v>5</v>
      </c>
      <c r="B9" s="8" t="s">
        <v>167</v>
      </c>
      <c r="C9" s="26">
        <v>2026</v>
      </c>
      <c r="D9" s="8"/>
      <c r="E9" s="8" t="s">
        <v>168</v>
      </c>
      <c r="F9" s="20" t="s">
        <v>54</v>
      </c>
      <c r="G9" s="21" t="s">
        <v>64</v>
      </c>
      <c r="H9" s="21" t="s">
        <v>53</v>
      </c>
      <c r="I9" s="21" t="s">
        <v>64</v>
      </c>
      <c r="J9" s="21" t="s">
        <v>53</v>
      </c>
      <c r="K9" s="21" t="s">
        <v>53</v>
      </c>
      <c r="L9" s="22" t="str">
        <f t="shared" si="0"/>
        <v>EXCLUDE</v>
      </c>
      <c r="M9" s="22" t="str">
        <f t="shared" si="1"/>
        <v>Wrong domain (non-AECO)</v>
      </c>
      <c r="N9" s="23"/>
      <c r="O9" s="23"/>
      <c r="P9" s="24"/>
      <c r="Q9" s="24"/>
      <c r="R9" s="24"/>
      <c r="S9" s="22" t="str">
        <f t="shared" si="2"/>
        <v/>
      </c>
      <c r="T9" s="22" t="str">
        <f t="shared" si="3"/>
        <v/>
      </c>
      <c r="U9" s="25"/>
      <c r="V9" s="25"/>
      <c r="W9" s="25"/>
      <c r="X9" s="25"/>
      <c r="Y9" s="22" t="str">
        <f t="shared" si="4"/>
        <v/>
      </c>
      <c r="Z9" s="25"/>
      <c r="AA9" s="25"/>
      <c r="AB9" s="25"/>
      <c r="AC9" s="25"/>
      <c r="AD9" s="25"/>
      <c r="AE9" s="25"/>
      <c r="AF9" s="25"/>
      <c r="AG9" s="9"/>
      <c r="AH9" s="29"/>
      <c r="AI9" s="29"/>
      <c r="AM9" s="50"/>
      <c r="AN9" s="51" t="s">
        <v>169</v>
      </c>
      <c r="AO9" s="55" t="s">
        <v>170</v>
      </c>
    </row>
    <row r="10" spans="1:41" ht="129.6" hidden="1" customHeight="1" x14ac:dyDescent="0.3">
      <c r="A10" s="20">
        <v>6</v>
      </c>
      <c r="B10" s="8" t="s">
        <v>171</v>
      </c>
      <c r="C10" s="26">
        <v>2026</v>
      </c>
      <c r="D10" s="8"/>
      <c r="E10" s="8" t="s">
        <v>172</v>
      </c>
      <c r="F10" s="20" t="s">
        <v>54</v>
      </c>
      <c r="G10" s="21" t="s">
        <v>64</v>
      </c>
      <c r="H10" s="21" t="s">
        <v>53</v>
      </c>
      <c r="I10" s="21" t="s">
        <v>64</v>
      </c>
      <c r="J10" s="21" t="s">
        <v>53</v>
      </c>
      <c r="K10" s="21" t="s">
        <v>53</v>
      </c>
      <c r="L10" s="22" t="str">
        <f t="shared" si="0"/>
        <v>EXCLUDE</v>
      </c>
      <c r="M10" s="22" t="str">
        <f t="shared" si="1"/>
        <v>Wrong domain (non-AECO)</v>
      </c>
      <c r="N10" s="23"/>
      <c r="O10" s="23"/>
      <c r="P10" s="24"/>
      <c r="Q10" s="24"/>
      <c r="R10" s="24"/>
      <c r="S10" s="22" t="str">
        <f t="shared" si="2"/>
        <v/>
      </c>
      <c r="T10" s="22" t="str">
        <f t="shared" si="3"/>
        <v/>
      </c>
      <c r="U10" s="25"/>
      <c r="V10" s="25"/>
      <c r="W10" s="25"/>
      <c r="X10" s="25"/>
      <c r="Y10" s="22" t="str">
        <f t="shared" si="4"/>
        <v/>
      </c>
      <c r="Z10" s="25"/>
      <c r="AA10" s="25"/>
      <c r="AB10" s="25"/>
      <c r="AC10" s="25"/>
      <c r="AD10" s="25"/>
      <c r="AE10" s="25"/>
      <c r="AF10" s="25"/>
      <c r="AG10" s="9"/>
      <c r="AH10" s="29"/>
      <c r="AI10" s="29"/>
      <c r="AM10" s="50"/>
      <c r="AN10" s="51" t="s">
        <v>173</v>
      </c>
      <c r="AO10" s="55" t="s">
        <v>174</v>
      </c>
    </row>
    <row r="11" spans="1:41" ht="86.4" hidden="1" customHeight="1" x14ac:dyDescent="0.3">
      <c r="A11" s="20">
        <v>7</v>
      </c>
      <c r="B11" s="8" t="s">
        <v>175</v>
      </c>
      <c r="C11" s="26">
        <v>2026</v>
      </c>
      <c r="D11" s="8"/>
      <c r="E11" s="8" t="s">
        <v>176</v>
      </c>
      <c r="F11" s="20" t="s">
        <v>54</v>
      </c>
      <c r="G11" s="21" t="s">
        <v>64</v>
      </c>
      <c r="H11" s="21" t="s">
        <v>53</v>
      </c>
      <c r="I11" s="21" t="s">
        <v>64</v>
      </c>
      <c r="J11" s="21" t="s">
        <v>53</v>
      </c>
      <c r="K11" s="21" t="s">
        <v>53</v>
      </c>
      <c r="L11" s="22" t="str">
        <f t="shared" si="0"/>
        <v>EXCLUDE</v>
      </c>
      <c r="M11" s="22" t="str">
        <f t="shared" si="1"/>
        <v>Wrong domain (non-AECO)</v>
      </c>
      <c r="N11" s="23"/>
      <c r="O11" s="23"/>
      <c r="P11" s="24"/>
      <c r="Q11" s="24"/>
      <c r="R11" s="24"/>
      <c r="S11" s="22" t="str">
        <f t="shared" si="2"/>
        <v/>
      </c>
      <c r="T11" s="22" t="str">
        <f t="shared" si="3"/>
        <v/>
      </c>
      <c r="U11" s="25"/>
      <c r="V11" s="25"/>
      <c r="W11" s="25"/>
      <c r="X11" s="25"/>
      <c r="Y11" s="22" t="str">
        <f t="shared" si="4"/>
        <v/>
      </c>
      <c r="Z11" s="25"/>
      <c r="AA11" s="25"/>
      <c r="AB11" s="25"/>
      <c r="AC11" s="25"/>
      <c r="AD11" s="25"/>
      <c r="AE11" s="25"/>
      <c r="AF11" s="25"/>
      <c r="AG11" s="9"/>
      <c r="AH11" s="29"/>
      <c r="AI11" s="29"/>
      <c r="AM11" s="50"/>
      <c r="AN11" s="51" t="s">
        <v>177</v>
      </c>
      <c r="AO11" s="55" t="s">
        <v>178</v>
      </c>
    </row>
    <row r="12" spans="1:41" ht="57" customHeight="1" x14ac:dyDescent="0.3">
      <c r="A12" s="20">
        <v>8</v>
      </c>
      <c r="B12" s="8" t="s">
        <v>179</v>
      </c>
      <c r="C12" s="26">
        <v>2025</v>
      </c>
      <c r="D12" s="8"/>
      <c r="E12" s="8" t="s">
        <v>180</v>
      </c>
      <c r="F12" s="20" t="s">
        <v>54</v>
      </c>
      <c r="G12" s="21" t="s">
        <v>53</v>
      </c>
      <c r="H12" s="21" t="s">
        <v>53</v>
      </c>
      <c r="I12" s="21" t="s">
        <v>53</v>
      </c>
      <c r="J12" s="21" t="s">
        <v>53</v>
      </c>
      <c r="K12" s="21" t="s">
        <v>53</v>
      </c>
      <c r="L12" s="22" t="str">
        <f t="shared" si="0"/>
        <v>INCLUDE</v>
      </c>
      <c r="M12" s="22" t="str">
        <f t="shared" si="1"/>
        <v/>
      </c>
      <c r="N12" s="23" t="s">
        <v>53</v>
      </c>
      <c r="O12" s="23" t="s">
        <v>53</v>
      </c>
      <c r="P12" s="24" t="s">
        <v>53</v>
      </c>
      <c r="Q12" s="24" t="s">
        <v>53</v>
      </c>
      <c r="R12" s="24" t="s">
        <v>53</v>
      </c>
      <c r="S12" s="22" t="str">
        <f t="shared" si="2"/>
        <v>INCLUDE</v>
      </c>
      <c r="T12" s="22" t="str">
        <f t="shared" si="3"/>
        <v/>
      </c>
      <c r="U12" s="25" t="s">
        <v>67</v>
      </c>
      <c r="V12" s="25">
        <v>0</v>
      </c>
      <c r="W12" s="25">
        <v>1</v>
      </c>
      <c r="X12" s="25">
        <v>0</v>
      </c>
      <c r="Y12" s="22" t="str">
        <f t="shared" si="4"/>
        <v>Single</v>
      </c>
      <c r="Z12" s="25" t="s">
        <v>9</v>
      </c>
      <c r="AA12" s="25" t="s">
        <v>57</v>
      </c>
      <c r="AB12" s="25" t="s">
        <v>103</v>
      </c>
      <c r="AC12" s="25" t="s">
        <v>59</v>
      </c>
      <c r="AD12" s="25" t="s">
        <v>89</v>
      </c>
      <c r="AE12" s="25">
        <v>4</v>
      </c>
      <c r="AF12" s="25" t="s">
        <v>90</v>
      </c>
      <c r="AG12" s="9" t="s">
        <v>181</v>
      </c>
      <c r="AH12" s="29" t="s">
        <v>182</v>
      </c>
      <c r="AI12" s="29" t="s">
        <v>183</v>
      </c>
      <c r="AJ12" t="s">
        <v>62</v>
      </c>
      <c r="AK12" t="s">
        <v>184</v>
      </c>
      <c r="AL12" t="s">
        <v>63</v>
      </c>
      <c r="AM12" s="50"/>
      <c r="AN12" s="51" t="s">
        <v>185</v>
      </c>
      <c r="AO12" s="55" t="s">
        <v>186</v>
      </c>
    </row>
    <row r="13" spans="1:41" ht="57" hidden="1" customHeight="1" x14ac:dyDescent="0.3">
      <c r="A13" s="20">
        <v>9</v>
      </c>
      <c r="B13" s="8" t="s">
        <v>187</v>
      </c>
      <c r="C13" s="26">
        <v>2025</v>
      </c>
      <c r="D13" s="8"/>
      <c r="E13" s="8" t="s">
        <v>188</v>
      </c>
      <c r="F13" s="20" t="s">
        <v>54</v>
      </c>
      <c r="G13" s="21" t="s">
        <v>53</v>
      </c>
      <c r="H13" s="21" t="s">
        <v>64</v>
      </c>
      <c r="I13" s="21" t="s">
        <v>64</v>
      </c>
      <c r="J13" s="21" t="s">
        <v>53</v>
      </c>
      <c r="K13" s="21" t="s">
        <v>53</v>
      </c>
      <c r="L13" s="22" t="str">
        <f t="shared" si="0"/>
        <v>EXCLUDE</v>
      </c>
      <c r="M13" s="22" t="str">
        <f t="shared" si="1"/>
        <v>Digital Twin not core / buzzword</v>
      </c>
      <c r="N13" s="23"/>
      <c r="O13" s="23"/>
      <c r="P13" s="24"/>
      <c r="Q13" s="24"/>
      <c r="R13" s="24"/>
      <c r="S13" s="22" t="str">
        <f t="shared" si="2"/>
        <v/>
      </c>
      <c r="T13" s="22" t="str">
        <f t="shared" si="3"/>
        <v/>
      </c>
      <c r="U13" s="25"/>
      <c r="V13" s="25"/>
      <c r="W13" s="25"/>
      <c r="X13" s="25"/>
      <c r="Y13" s="22" t="str">
        <f t="shared" si="4"/>
        <v/>
      </c>
      <c r="Z13" s="25"/>
      <c r="AA13" s="25"/>
      <c r="AB13" s="25"/>
      <c r="AC13" s="25"/>
      <c r="AD13" s="25"/>
      <c r="AE13" s="25"/>
      <c r="AF13" s="25"/>
      <c r="AG13" s="9"/>
      <c r="AH13" s="29"/>
      <c r="AI13" s="29"/>
      <c r="AM13" s="50"/>
      <c r="AN13" s="51" t="s">
        <v>189</v>
      </c>
      <c r="AO13" s="55" t="s">
        <v>190</v>
      </c>
    </row>
    <row r="14" spans="1:41" ht="57" hidden="1" customHeight="1" x14ac:dyDescent="0.3">
      <c r="A14" s="20">
        <v>10</v>
      </c>
      <c r="B14" s="8" t="s">
        <v>191</v>
      </c>
      <c r="C14" s="26">
        <v>2026</v>
      </c>
      <c r="D14" s="8"/>
      <c r="E14" s="8" t="s">
        <v>192</v>
      </c>
      <c r="F14" s="20" t="s">
        <v>54</v>
      </c>
      <c r="G14" s="21" t="s">
        <v>53</v>
      </c>
      <c r="H14" s="21" t="s">
        <v>64</v>
      </c>
      <c r="I14" s="21" t="s">
        <v>53</v>
      </c>
      <c r="J14" s="21" t="s">
        <v>53</v>
      </c>
      <c r="K14" s="21" t="s">
        <v>53</v>
      </c>
      <c r="L14" s="22" t="str">
        <f t="shared" si="0"/>
        <v>EXCLUDE</v>
      </c>
      <c r="M14" s="22" t="str">
        <f t="shared" si="1"/>
        <v>Digital Twin not core / buzzword</v>
      </c>
      <c r="N14" s="23"/>
      <c r="O14" s="23"/>
      <c r="P14" s="24"/>
      <c r="Q14" s="24"/>
      <c r="R14" s="24"/>
      <c r="S14" s="22" t="str">
        <f t="shared" si="2"/>
        <v/>
      </c>
      <c r="T14" s="22" t="str">
        <f t="shared" si="3"/>
        <v/>
      </c>
      <c r="U14" s="25"/>
      <c r="V14" s="25"/>
      <c r="W14" s="25"/>
      <c r="X14" s="25"/>
      <c r="Y14" s="22" t="str">
        <f t="shared" si="4"/>
        <v/>
      </c>
      <c r="Z14" s="25"/>
      <c r="AA14" s="25"/>
      <c r="AB14" s="25"/>
      <c r="AC14" s="25"/>
      <c r="AD14" s="25"/>
      <c r="AE14" s="25"/>
      <c r="AF14" s="25"/>
      <c r="AG14" s="9"/>
      <c r="AH14" s="29"/>
      <c r="AI14" s="29"/>
      <c r="AM14" s="50"/>
      <c r="AN14" s="51" t="s">
        <v>193</v>
      </c>
      <c r="AO14" s="55" t="s">
        <v>194</v>
      </c>
    </row>
    <row r="15" spans="1:41" ht="45.6" hidden="1" customHeight="1" x14ac:dyDescent="0.3">
      <c r="A15" s="20">
        <v>11</v>
      </c>
      <c r="B15" s="8" t="s">
        <v>195</v>
      </c>
      <c r="C15" s="26">
        <v>2025</v>
      </c>
      <c r="D15" s="8"/>
      <c r="E15" s="8" t="s">
        <v>196</v>
      </c>
      <c r="F15" s="20" t="s">
        <v>54</v>
      </c>
      <c r="G15" s="21" t="s">
        <v>53</v>
      </c>
      <c r="H15" s="21" t="s">
        <v>64</v>
      </c>
      <c r="I15" s="21" t="s">
        <v>64</v>
      </c>
      <c r="J15" s="21" t="s">
        <v>53</v>
      </c>
      <c r="K15" s="21" t="s">
        <v>53</v>
      </c>
      <c r="L15" s="22" t="str">
        <f t="shared" si="0"/>
        <v>EXCLUDE</v>
      </c>
      <c r="M15" s="22" t="str">
        <f t="shared" si="1"/>
        <v>Digital Twin not core / buzzword</v>
      </c>
      <c r="N15" s="23"/>
      <c r="O15" s="23"/>
      <c r="P15" s="24"/>
      <c r="Q15" s="24"/>
      <c r="R15" s="24"/>
      <c r="S15" s="22" t="str">
        <f t="shared" si="2"/>
        <v/>
      </c>
      <c r="T15" s="22" t="str">
        <f t="shared" si="3"/>
        <v/>
      </c>
      <c r="U15" s="25"/>
      <c r="V15" s="25"/>
      <c r="W15" s="25"/>
      <c r="X15" s="25"/>
      <c r="Y15" s="22" t="str">
        <f t="shared" si="4"/>
        <v/>
      </c>
      <c r="Z15" s="25"/>
      <c r="AA15" s="25"/>
      <c r="AB15" s="25"/>
      <c r="AC15" s="25"/>
      <c r="AD15" s="25"/>
      <c r="AE15" s="25"/>
      <c r="AF15" s="25"/>
      <c r="AG15" s="9"/>
      <c r="AH15" s="29"/>
      <c r="AI15" s="29"/>
      <c r="AM15" s="50"/>
      <c r="AN15" s="51" t="s">
        <v>197</v>
      </c>
      <c r="AO15" s="55" t="s">
        <v>198</v>
      </c>
    </row>
    <row r="16" spans="1:41" ht="68.400000000000006" hidden="1" customHeight="1" x14ac:dyDescent="0.3">
      <c r="A16" s="20">
        <v>12</v>
      </c>
      <c r="B16" s="8" t="s">
        <v>199</v>
      </c>
      <c r="C16" s="26">
        <v>2026</v>
      </c>
      <c r="D16" s="8"/>
      <c r="E16" s="8" t="s">
        <v>200</v>
      </c>
      <c r="F16" s="20" t="s">
        <v>54</v>
      </c>
      <c r="G16" s="21" t="s">
        <v>53</v>
      </c>
      <c r="H16" s="21" t="s">
        <v>64</v>
      </c>
      <c r="I16" s="21" t="s">
        <v>64</v>
      </c>
      <c r="J16" s="21" t="s">
        <v>53</v>
      </c>
      <c r="K16" s="21" t="s">
        <v>53</v>
      </c>
      <c r="L16" s="22" t="str">
        <f t="shared" si="0"/>
        <v>EXCLUDE</v>
      </c>
      <c r="M16" s="22" t="str">
        <f t="shared" si="1"/>
        <v>Digital Twin not core / buzzword</v>
      </c>
      <c r="N16" s="23"/>
      <c r="O16" s="23"/>
      <c r="P16" s="24"/>
      <c r="Q16" s="24"/>
      <c r="R16" s="24"/>
      <c r="S16" s="22" t="str">
        <f t="shared" si="2"/>
        <v/>
      </c>
      <c r="T16" s="22" t="str">
        <f t="shared" si="3"/>
        <v/>
      </c>
      <c r="U16" s="25"/>
      <c r="V16" s="25"/>
      <c r="W16" s="25"/>
      <c r="X16" s="25"/>
      <c r="Y16" s="22" t="str">
        <f t="shared" si="4"/>
        <v/>
      </c>
      <c r="Z16" s="25"/>
      <c r="AA16" s="25"/>
      <c r="AB16" s="25"/>
      <c r="AC16" s="25"/>
      <c r="AD16" s="25"/>
      <c r="AE16" s="25"/>
      <c r="AF16" s="25"/>
      <c r="AG16" s="9"/>
      <c r="AH16" s="29"/>
      <c r="AI16" s="29"/>
      <c r="AM16" s="50"/>
      <c r="AN16" s="51" t="s">
        <v>201</v>
      </c>
      <c r="AO16" s="55" t="s">
        <v>202</v>
      </c>
    </row>
    <row r="17" spans="1:41" ht="86.4" hidden="1" customHeight="1" x14ac:dyDescent="0.3">
      <c r="A17" s="20">
        <v>13</v>
      </c>
      <c r="B17" s="8" t="s">
        <v>203</v>
      </c>
      <c r="C17" s="26">
        <v>2025</v>
      </c>
      <c r="D17" s="8"/>
      <c r="E17" s="8" t="s">
        <v>204</v>
      </c>
      <c r="F17" s="20" t="s">
        <v>54</v>
      </c>
      <c r="G17" s="21" t="s">
        <v>64</v>
      </c>
      <c r="H17" s="21" t="s">
        <v>64</v>
      </c>
      <c r="I17" s="21" t="s">
        <v>53</v>
      </c>
      <c r="J17" s="21" t="s">
        <v>53</v>
      </c>
      <c r="K17" s="21" t="s">
        <v>53</v>
      </c>
      <c r="L17" s="22" t="str">
        <f t="shared" si="0"/>
        <v>EXCLUDE</v>
      </c>
      <c r="M17" s="22" t="str">
        <f t="shared" si="1"/>
        <v>Wrong domain (non-AECO)</v>
      </c>
      <c r="N17" s="23"/>
      <c r="O17" s="23"/>
      <c r="P17" s="24"/>
      <c r="Q17" s="24"/>
      <c r="R17" s="24"/>
      <c r="S17" s="22" t="str">
        <f t="shared" si="2"/>
        <v/>
      </c>
      <c r="T17" s="22" t="str">
        <f t="shared" si="3"/>
        <v/>
      </c>
      <c r="U17" s="25"/>
      <c r="V17" s="25"/>
      <c r="W17" s="25"/>
      <c r="X17" s="25"/>
      <c r="Y17" s="22" t="str">
        <f t="shared" si="4"/>
        <v/>
      </c>
      <c r="Z17" s="25"/>
      <c r="AA17" s="25"/>
      <c r="AB17" s="25"/>
      <c r="AC17" s="25"/>
      <c r="AD17" s="25"/>
      <c r="AE17" s="25"/>
      <c r="AF17" s="25"/>
      <c r="AG17" s="9"/>
      <c r="AH17" s="29"/>
      <c r="AI17" s="29"/>
      <c r="AM17" s="50"/>
      <c r="AN17" s="51" t="s">
        <v>205</v>
      </c>
      <c r="AO17" s="55" t="s">
        <v>206</v>
      </c>
    </row>
    <row r="18" spans="1:41" ht="72" customHeight="1" x14ac:dyDescent="0.3">
      <c r="A18" s="20">
        <v>14</v>
      </c>
      <c r="B18" s="8" t="s">
        <v>207</v>
      </c>
      <c r="C18" s="26">
        <v>2026</v>
      </c>
      <c r="D18" s="8"/>
      <c r="E18" s="8" t="s">
        <v>208</v>
      </c>
      <c r="F18" s="20" t="s">
        <v>54</v>
      </c>
      <c r="G18" s="21" t="s">
        <v>53</v>
      </c>
      <c r="H18" s="21" t="s">
        <v>53</v>
      </c>
      <c r="I18" s="21" t="s">
        <v>53</v>
      </c>
      <c r="J18" s="21" t="s">
        <v>53</v>
      </c>
      <c r="K18" s="21" t="s">
        <v>53</v>
      </c>
      <c r="L18" s="22" t="str">
        <f t="shared" si="0"/>
        <v>INCLUDE</v>
      </c>
      <c r="M18" s="22" t="str">
        <f t="shared" si="1"/>
        <v/>
      </c>
      <c r="N18" s="23" t="s">
        <v>53</v>
      </c>
      <c r="O18" s="23" t="s">
        <v>53</v>
      </c>
      <c r="P18" s="24" t="s">
        <v>53</v>
      </c>
      <c r="Q18" s="24" t="s">
        <v>53</v>
      </c>
      <c r="R18" s="24" t="s">
        <v>53</v>
      </c>
      <c r="S18" s="22" t="str">
        <f t="shared" si="2"/>
        <v>INCLUDE</v>
      </c>
      <c r="T18" s="22" t="str">
        <f t="shared" si="3"/>
        <v/>
      </c>
      <c r="U18" s="25" t="s">
        <v>67</v>
      </c>
      <c r="V18" s="25">
        <v>0</v>
      </c>
      <c r="W18" s="25">
        <v>1</v>
      </c>
      <c r="X18" s="25">
        <v>0</v>
      </c>
      <c r="Y18" s="22" t="str">
        <f t="shared" si="4"/>
        <v>Single</v>
      </c>
      <c r="Z18" s="25" t="s">
        <v>77</v>
      </c>
      <c r="AA18" s="25" t="s">
        <v>57</v>
      </c>
      <c r="AB18" s="25" t="s">
        <v>58</v>
      </c>
      <c r="AC18" s="25" t="s">
        <v>70</v>
      </c>
      <c r="AD18" s="25" t="s">
        <v>60</v>
      </c>
      <c r="AE18" s="25">
        <v>2</v>
      </c>
      <c r="AF18" s="25" t="s">
        <v>81</v>
      </c>
      <c r="AG18" s="9" t="s">
        <v>209</v>
      </c>
      <c r="AH18" s="29" t="s">
        <v>210</v>
      </c>
      <c r="AI18" s="29" t="s">
        <v>211</v>
      </c>
      <c r="AJ18" t="s">
        <v>93</v>
      </c>
      <c r="AK18" t="s">
        <v>212</v>
      </c>
      <c r="AL18" t="s">
        <v>83</v>
      </c>
      <c r="AM18" s="50" t="s">
        <v>213</v>
      </c>
      <c r="AN18" s="51" t="s">
        <v>214</v>
      </c>
      <c r="AO18" s="55" t="s">
        <v>215</v>
      </c>
    </row>
    <row r="19" spans="1:41" ht="86.4" hidden="1" customHeight="1" x14ac:dyDescent="0.3">
      <c r="A19" s="20">
        <v>15</v>
      </c>
      <c r="B19" s="8" t="s">
        <v>216</v>
      </c>
      <c r="C19" s="26">
        <v>2026</v>
      </c>
      <c r="D19" s="8"/>
      <c r="E19" s="8" t="s">
        <v>217</v>
      </c>
      <c r="F19" s="20" t="s">
        <v>54</v>
      </c>
      <c r="G19" s="21" t="s">
        <v>64</v>
      </c>
      <c r="H19" s="21" t="s">
        <v>53</v>
      </c>
      <c r="I19" s="21" t="s">
        <v>53</v>
      </c>
      <c r="J19" s="21" t="s">
        <v>53</v>
      </c>
      <c r="K19" s="21" t="s">
        <v>53</v>
      </c>
      <c r="L19" s="22" t="str">
        <f t="shared" si="0"/>
        <v>EXCLUDE</v>
      </c>
      <c r="M19" s="22" t="str">
        <f t="shared" si="1"/>
        <v>Wrong domain (non-AECO)</v>
      </c>
      <c r="N19" s="23"/>
      <c r="O19" s="23"/>
      <c r="P19" s="24"/>
      <c r="Q19" s="24"/>
      <c r="R19" s="24"/>
      <c r="S19" s="22" t="str">
        <f t="shared" si="2"/>
        <v/>
      </c>
      <c r="T19" s="22" t="str">
        <f t="shared" si="3"/>
        <v/>
      </c>
      <c r="U19" s="25"/>
      <c r="V19" s="25"/>
      <c r="W19" s="25"/>
      <c r="X19" s="25"/>
      <c r="Y19" s="22" t="str">
        <f t="shared" si="4"/>
        <v/>
      </c>
      <c r="Z19" s="25"/>
      <c r="AA19" s="25"/>
      <c r="AB19" s="25"/>
      <c r="AC19" s="25"/>
      <c r="AD19" s="25"/>
      <c r="AE19" s="25"/>
      <c r="AF19" s="25"/>
      <c r="AG19" s="9"/>
      <c r="AH19" s="29"/>
      <c r="AI19" s="29"/>
      <c r="AM19" s="50"/>
      <c r="AN19" s="51" t="s">
        <v>218</v>
      </c>
      <c r="AO19" s="55" t="s">
        <v>219</v>
      </c>
    </row>
    <row r="20" spans="1:41" ht="45.6" hidden="1" customHeight="1" x14ac:dyDescent="0.3">
      <c r="A20" s="20">
        <v>16</v>
      </c>
      <c r="B20" s="8" t="s">
        <v>220</v>
      </c>
      <c r="C20" s="26">
        <v>2026</v>
      </c>
      <c r="D20" s="8"/>
      <c r="E20" s="8" t="s">
        <v>221</v>
      </c>
      <c r="F20" s="20" t="s">
        <v>54</v>
      </c>
      <c r="G20" s="21" t="s">
        <v>53</v>
      </c>
      <c r="H20" s="21" t="s">
        <v>64</v>
      </c>
      <c r="I20" s="21" t="s">
        <v>53</v>
      </c>
      <c r="J20" s="21" t="s">
        <v>53</v>
      </c>
      <c r="K20" s="21" t="s">
        <v>53</v>
      </c>
      <c r="L20" s="22" t="str">
        <f t="shared" si="0"/>
        <v>EXCLUDE</v>
      </c>
      <c r="M20" s="22" t="str">
        <f t="shared" si="1"/>
        <v>Digital Twin not core / buzzword</v>
      </c>
      <c r="N20" s="23"/>
      <c r="O20" s="23"/>
      <c r="P20" s="24"/>
      <c r="Q20" s="24"/>
      <c r="R20" s="24"/>
      <c r="S20" s="22" t="str">
        <f t="shared" si="2"/>
        <v/>
      </c>
      <c r="T20" s="22" t="str">
        <f t="shared" si="3"/>
        <v/>
      </c>
      <c r="U20" s="25"/>
      <c r="V20" s="25"/>
      <c r="W20" s="25"/>
      <c r="X20" s="25"/>
      <c r="Y20" s="22" t="str">
        <f t="shared" si="4"/>
        <v/>
      </c>
      <c r="Z20" s="25"/>
      <c r="AA20" s="25"/>
      <c r="AB20" s="25"/>
      <c r="AC20" s="25"/>
      <c r="AD20" s="25"/>
      <c r="AE20" s="25"/>
      <c r="AF20" s="25"/>
      <c r="AG20" s="9"/>
      <c r="AH20" s="29"/>
      <c r="AI20" s="29"/>
      <c r="AM20" s="50"/>
      <c r="AN20" s="51" t="s">
        <v>222</v>
      </c>
      <c r="AO20" s="55" t="s">
        <v>223</v>
      </c>
    </row>
    <row r="21" spans="1:41" ht="68.400000000000006" hidden="1" customHeight="1" x14ac:dyDescent="0.3">
      <c r="A21" s="20">
        <v>17</v>
      </c>
      <c r="B21" s="8" t="s">
        <v>224</v>
      </c>
      <c r="C21" s="26">
        <v>2026</v>
      </c>
      <c r="D21" s="8"/>
      <c r="E21" s="8" t="s">
        <v>225</v>
      </c>
      <c r="F21" s="20" t="s">
        <v>54</v>
      </c>
      <c r="G21" s="21" t="s">
        <v>64</v>
      </c>
      <c r="H21" s="21" t="s">
        <v>53</v>
      </c>
      <c r="I21" s="21" t="s">
        <v>64</v>
      </c>
      <c r="J21" s="21" t="s">
        <v>53</v>
      </c>
      <c r="K21" s="21" t="s">
        <v>53</v>
      </c>
      <c r="L21" s="22" t="str">
        <f t="shared" si="0"/>
        <v>EXCLUDE</v>
      </c>
      <c r="M21" s="22" t="str">
        <f t="shared" si="1"/>
        <v>Wrong domain (non-AECO)</v>
      </c>
      <c r="N21" s="23"/>
      <c r="O21" s="23"/>
      <c r="P21" s="24"/>
      <c r="Q21" s="24"/>
      <c r="R21" s="24"/>
      <c r="S21" s="22" t="str">
        <f t="shared" si="2"/>
        <v/>
      </c>
      <c r="T21" s="22" t="str">
        <f t="shared" si="3"/>
        <v/>
      </c>
      <c r="U21" s="25"/>
      <c r="V21" s="25"/>
      <c r="W21" s="25"/>
      <c r="X21" s="25"/>
      <c r="Y21" s="22" t="str">
        <f t="shared" si="4"/>
        <v/>
      </c>
      <c r="Z21" s="25"/>
      <c r="AA21" s="25"/>
      <c r="AB21" s="25"/>
      <c r="AC21" s="25"/>
      <c r="AD21" s="25"/>
      <c r="AE21" s="25"/>
      <c r="AF21" s="25"/>
      <c r="AG21" s="9"/>
      <c r="AH21" s="29"/>
      <c r="AI21" s="29"/>
      <c r="AM21" s="50"/>
      <c r="AN21" s="51" t="s">
        <v>226</v>
      </c>
      <c r="AO21" s="55" t="s">
        <v>227</v>
      </c>
    </row>
    <row r="22" spans="1:41" ht="45.6" hidden="1" customHeight="1" x14ac:dyDescent="0.3">
      <c r="A22" s="20">
        <v>18</v>
      </c>
      <c r="B22" s="8" t="s">
        <v>228</v>
      </c>
      <c r="C22" s="26">
        <v>2026</v>
      </c>
      <c r="D22" s="8"/>
      <c r="E22" s="8" t="s">
        <v>229</v>
      </c>
      <c r="F22" s="20" t="s">
        <v>54</v>
      </c>
      <c r="G22" s="21" t="s">
        <v>64</v>
      </c>
      <c r="H22" s="21" t="s">
        <v>53</v>
      </c>
      <c r="I22" s="21" t="s">
        <v>53</v>
      </c>
      <c r="J22" s="21" t="s">
        <v>53</v>
      </c>
      <c r="K22" s="21" t="s">
        <v>53</v>
      </c>
      <c r="L22" s="22" t="str">
        <f t="shared" si="0"/>
        <v>EXCLUDE</v>
      </c>
      <c r="M22" s="22" t="str">
        <f t="shared" si="1"/>
        <v>Wrong domain (non-AECO)</v>
      </c>
      <c r="N22" s="23"/>
      <c r="O22" s="23"/>
      <c r="P22" s="24"/>
      <c r="Q22" s="24"/>
      <c r="R22" s="24"/>
      <c r="S22" s="22" t="str">
        <f t="shared" si="2"/>
        <v/>
      </c>
      <c r="T22" s="22" t="str">
        <f t="shared" si="3"/>
        <v/>
      </c>
      <c r="U22" s="25"/>
      <c r="V22" s="25"/>
      <c r="W22" s="25"/>
      <c r="X22" s="25"/>
      <c r="Y22" s="22" t="str">
        <f t="shared" si="4"/>
        <v/>
      </c>
      <c r="Z22" s="25"/>
      <c r="AA22" s="25"/>
      <c r="AB22" s="25"/>
      <c r="AC22" s="25"/>
      <c r="AD22" s="25"/>
      <c r="AE22" s="25"/>
      <c r="AF22" s="25"/>
      <c r="AG22" s="9"/>
      <c r="AH22" s="29"/>
      <c r="AI22" s="29"/>
      <c r="AM22" s="50"/>
      <c r="AN22" s="51" t="s">
        <v>230</v>
      </c>
      <c r="AO22" s="55" t="s">
        <v>231</v>
      </c>
    </row>
    <row r="23" spans="1:41" ht="100.95" hidden="1" customHeight="1" x14ac:dyDescent="0.3">
      <c r="A23" s="20">
        <v>19</v>
      </c>
      <c r="B23" s="8" t="s">
        <v>232</v>
      </c>
      <c r="C23" s="26">
        <v>2025</v>
      </c>
      <c r="D23" s="8"/>
      <c r="E23" s="8" t="s">
        <v>233</v>
      </c>
      <c r="F23" s="20" t="s">
        <v>54</v>
      </c>
      <c r="G23" s="21" t="s">
        <v>64</v>
      </c>
      <c r="H23" s="21" t="s">
        <v>53</v>
      </c>
      <c r="I23" s="21" t="s">
        <v>53</v>
      </c>
      <c r="J23" s="21" t="s">
        <v>53</v>
      </c>
      <c r="K23" s="21" t="s">
        <v>53</v>
      </c>
      <c r="L23" s="22" t="str">
        <f t="shared" si="0"/>
        <v>EXCLUDE</v>
      </c>
      <c r="M23" s="22" t="str">
        <f t="shared" si="1"/>
        <v>Wrong domain (non-AECO)</v>
      </c>
      <c r="N23" s="23"/>
      <c r="O23" s="23"/>
      <c r="P23" s="24"/>
      <c r="Q23" s="24"/>
      <c r="R23" s="24"/>
      <c r="S23" s="22" t="str">
        <f t="shared" si="2"/>
        <v/>
      </c>
      <c r="T23" s="22" t="str">
        <f t="shared" si="3"/>
        <v/>
      </c>
      <c r="U23" s="25"/>
      <c r="V23" s="25"/>
      <c r="W23" s="25"/>
      <c r="X23" s="25"/>
      <c r="Y23" s="22" t="str">
        <f t="shared" si="4"/>
        <v/>
      </c>
      <c r="Z23" s="25"/>
      <c r="AA23" s="25"/>
      <c r="AB23" s="25"/>
      <c r="AC23" s="25"/>
      <c r="AD23" s="25"/>
      <c r="AE23" s="25"/>
      <c r="AF23" s="25"/>
      <c r="AG23" s="9"/>
      <c r="AH23" s="29"/>
      <c r="AI23" s="29"/>
      <c r="AM23" s="50"/>
      <c r="AN23" s="51" t="s">
        <v>234</v>
      </c>
      <c r="AO23" s="55" t="s">
        <v>235</v>
      </c>
    </row>
    <row r="24" spans="1:41" ht="100.95" hidden="1" customHeight="1" x14ac:dyDescent="0.3">
      <c r="A24" s="20">
        <v>20</v>
      </c>
      <c r="B24" s="8" t="s">
        <v>236</v>
      </c>
      <c r="C24" s="26">
        <v>2026</v>
      </c>
      <c r="D24" s="8"/>
      <c r="E24" s="8" t="s">
        <v>237</v>
      </c>
      <c r="F24" s="20" t="s">
        <v>54</v>
      </c>
      <c r="G24" s="21" t="s">
        <v>64</v>
      </c>
      <c r="H24" s="21" t="s">
        <v>64</v>
      </c>
      <c r="I24" s="21" t="s">
        <v>64</v>
      </c>
      <c r="J24" s="21" t="s">
        <v>53</v>
      </c>
      <c r="K24" s="21" t="s">
        <v>53</v>
      </c>
      <c r="L24" s="22" t="str">
        <f t="shared" si="0"/>
        <v>EXCLUDE</v>
      </c>
      <c r="M24" s="22" t="str">
        <f t="shared" si="1"/>
        <v>Wrong domain (non-AECO)</v>
      </c>
      <c r="N24" s="23"/>
      <c r="O24" s="23"/>
      <c r="P24" s="24"/>
      <c r="Q24" s="24"/>
      <c r="R24" s="24"/>
      <c r="S24" s="22" t="str">
        <f t="shared" si="2"/>
        <v/>
      </c>
      <c r="T24" s="22" t="str">
        <f t="shared" si="3"/>
        <v/>
      </c>
      <c r="U24" s="25"/>
      <c r="V24" s="25"/>
      <c r="W24" s="25"/>
      <c r="X24" s="25"/>
      <c r="Y24" s="22" t="str">
        <f t="shared" si="4"/>
        <v/>
      </c>
      <c r="Z24" s="25"/>
      <c r="AA24" s="25"/>
      <c r="AB24" s="25"/>
      <c r="AC24" s="25"/>
      <c r="AD24" s="25"/>
      <c r="AE24" s="25"/>
      <c r="AF24" s="25"/>
      <c r="AG24" s="9"/>
      <c r="AH24" s="29"/>
      <c r="AI24" s="29"/>
      <c r="AM24" s="50"/>
      <c r="AN24" s="51" t="s">
        <v>238</v>
      </c>
      <c r="AO24" s="55" t="s">
        <v>239</v>
      </c>
    </row>
    <row r="25" spans="1:41" ht="144" hidden="1" customHeight="1" x14ac:dyDescent="0.3">
      <c r="A25" s="20">
        <v>21</v>
      </c>
      <c r="B25" s="8" t="s">
        <v>240</v>
      </c>
      <c r="C25" s="26">
        <v>2025</v>
      </c>
      <c r="D25" s="8"/>
      <c r="E25" s="8" t="s">
        <v>241</v>
      </c>
      <c r="F25" s="20" t="s">
        <v>54</v>
      </c>
      <c r="G25" s="21" t="s">
        <v>53</v>
      </c>
      <c r="H25" s="21" t="s">
        <v>64</v>
      </c>
      <c r="I25" s="21" t="s">
        <v>64</v>
      </c>
      <c r="J25" s="21" t="s">
        <v>53</v>
      </c>
      <c r="K25" s="21" t="s">
        <v>53</v>
      </c>
      <c r="L25" s="22" t="str">
        <f t="shared" si="0"/>
        <v>EXCLUDE</v>
      </c>
      <c r="M25" s="22" t="str">
        <f t="shared" si="1"/>
        <v>Digital Twin not core / buzzword</v>
      </c>
      <c r="N25" s="23"/>
      <c r="O25" s="23"/>
      <c r="P25" s="24"/>
      <c r="Q25" s="24"/>
      <c r="R25" s="24"/>
      <c r="S25" s="22" t="str">
        <f t="shared" si="2"/>
        <v/>
      </c>
      <c r="T25" s="22" t="str">
        <f t="shared" si="3"/>
        <v/>
      </c>
      <c r="U25" s="25"/>
      <c r="V25" s="25"/>
      <c r="W25" s="25"/>
      <c r="X25" s="25"/>
      <c r="Y25" s="22" t="str">
        <f t="shared" si="4"/>
        <v/>
      </c>
      <c r="Z25" s="25"/>
      <c r="AA25" s="25"/>
      <c r="AB25" s="25"/>
      <c r="AC25" s="25"/>
      <c r="AD25" s="25"/>
      <c r="AE25" s="25"/>
      <c r="AF25" s="25"/>
      <c r="AG25" s="9"/>
      <c r="AH25" s="29"/>
      <c r="AI25" s="29"/>
      <c r="AM25" s="50"/>
      <c r="AN25" s="51" t="s">
        <v>242</v>
      </c>
      <c r="AO25" s="55" t="s">
        <v>243</v>
      </c>
    </row>
    <row r="26" spans="1:41" ht="216" hidden="1" customHeight="1" x14ac:dyDescent="0.3">
      <c r="A26" s="20">
        <v>22</v>
      </c>
      <c r="B26" s="8" t="s">
        <v>244</v>
      </c>
      <c r="C26" s="26">
        <v>2025</v>
      </c>
      <c r="D26" s="8"/>
      <c r="E26" s="8" t="s">
        <v>245</v>
      </c>
      <c r="F26" s="20" t="s">
        <v>54</v>
      </c>
      <c r="G26" s="21" t="s">
        <v>53</v>
      </c>
      <c r="H26" s="21" t="s">
        <v>64</v>
      </c>
      <c r="I26" s="21" t="s">
        <v>64</v>
      </c>
      <c r="J26" s="21" t="s">
        <v>53</v>
      </c>
      <c r="K26" s="21" t="s">
        <v>53</v>
      </c>
      <c r="L26" s="22" t="str">
        <f t="shared" si="0"/>
        <v>EXCLUDE</v>
      </c>
      <c r="M26" s="22" t="str">
        <f t="shared" si="1"/>
        <v>Digital Twin not core / buzzword</v>
      </c>
      <c r="N26" s="23"/>
      <c r="O26" s="23"/>
      <c r="P26" s="24"/>
      <c r="Q26" s="24"/>
      <c r="R26" s="24"/>
      <c r="S26" s="22" t="str">
        <f t="shared" si="2"/>
        <v/>
      </c>
      <c r="T26" s="22" t="str">
        <f t="shared" si="3"/>
        <v/>
      </c>
      <c r="U26" s="25"/>
      <c r="V26" s="25"/>
      <c r="W26" s="25"/>
      <c r="X26" s="25"/>
      <c r="Y26" s="22" t="str">
        <f t="shared" si="4"/>
        <v/>
      </c>
      <c r="Z26" s="25"/>
      <c r="AA26" s="25"/>
      <c r="AB26" s="25"/>
      <c r="AC26" s="25"/>
      <c r="AD26" s="25"/>
      <c r="AE26" s="25"/>
      <c r="AF26" s="25"/>
      <c r="AG26" s="9"/>
      <c r="AH26" s="29"/>
      <c r="AI26" s="29"/>
      <c r="AM26" s="50"/>
      <c r="AN26" s="51" t="s">
        <v>246</v>
      </c>
      <c r="AO26" s="55" t="s">
        <v>247</v>
      </c>
    </row>
    <row r="27" spans="1:41" ht="115.2" hidden="1" customHeight="1" x14ac:dyDescent="0.3">
      <c r="A27" s="20">
        <v>23</v>
      </c>
      <c r="B27" s="8" t="s">
        <v>248</v>
      </c>
      <c r="C27" s="26">
        <v>2026</v>
      </c>
      <c r="D27" s="8"/>
      <c r="E27" s="8" t="s">
        <v>249</v>
      </c>
      <c r="F27" s="20" t="s">
        <v>54</v>
      </c>
      <c r="G27" s="21" t="s">
        <v>53</v>
      </c>
      <c r="H27" s="21" t="s">
        <v>64</v>
      </c>
      <c r="I27" s="21" t="s">
        <v>53</v>
      </c>
      <c r="J27" s="21" t="s">
        <v>53</v>
      </c>
      <c r="K27" s="21" t="s">
        <v>53</v>
      </c>
      <c r="L27" s="22" t="str">
        <f t="shared" si="0"/>
        <v>EXCLUDE</v>
      </c>
      <c r="M27" s="22" t="str">
        <f t="shared" si="1"/>
        <v>Digital Twin not core / buzzword</v>
      </c>
      <c r="N27" s="23"/>
      <c r="O27" s="23"/>
      <c r="P27" s="24"/>
      <c r="Q27" s="24"/>
      <c r="R27" s="24"/>
      <c r="S27" s="22" t="str">
        <f t="shared" si="2"/>
        <v/>
      </c>
      <c r="T27" s="22" t="str">
        <f t="shared" si="3"/>
        <v/>
      </c>
      <c r="U27" s="25"/>
      <c r="V27" s="25"/>
      <c r="W27" s="25"/>
      <c r="X27" s="25"/>
      <c r="Y27" s="22" t="str">
        <f t="shared" si="4"/>
        <v/>
      </c>
      <c r="Z27" s="25"/>
      <c r="AA27" s="25"/>
      <c r="AB27" s="25"/>
      <c r="AC27" s="25"/>
      <c r="AD27" s="25"/>
      <c r="AE27" s="25"/>
      <c r="AF27" s="25"/>
      <c r="AG27" s="9"/>
      <c r="AH27" s="29"/>
      <c r="AI27" s="29"/>
      <c r="AM27" s="50"/>
      <c r="AN27" s="51" t="s">
        <v>250</v>
      </c>
      <c r="AO27" s="55" t="s">
        <v>251</v>
      </c>
    </row>
    <row r="28" spans="1:41" ht="72" hidden="1" customHeight="1" x14ac:dyDescent="0.3">
      <c r="A28" s="20">
        <v>24</v>
      </c>
      <c r="B28" s="8" t="s">
        <v>252</v>
      </c>
      <c r="C28" s="26">
        <v>2025</v>
      </c>
      <c r="D28" s="8"/>
      <c r="E28" s="8" t="s">
        <v>253</v>
      </c>
      <c r="F28" s="20" t="s">
        <v>54</v>
      </c>
      <c r="G28" s="21" t="s">
        <v>53</v>
      </c>
      <c r="H28" s="21" t="s">
        <v>64</v>
      </c>
      <c r="I28" s="21" t="s">
        <v>53</v>
      </c>
      <c r="J28" s="21" t="s">
        <v>53</v>
      </c>
      <c r="K28" s="21" t="s">
        <v>53</v>
      </c>
      <c r="L28" s="22" t="str">
        <f t="shared" si="0"/>
        <v>EXCLUDE</v>
      </c>
      <c r="M28" s="22" t="str">
        <f t="shared" si="1"/>
        <v>Digital Twin not core / buzzword</v>
      </c>
      <c r="N28" s="23"/>
      <c r="O28" s="23"/>
      <c r="P28" s="24"/>
      <c r="Q28" s="24"/>
      <c r="R28" s="24"/>
      <c r="S28" s="22" t="str">
        <f t="shared" si="2"/>
        <v/>
      </c>
      <c r="T28" s="22" t="str">
        <f t="shared" si="3"/>
        <v/>
      </c>
      <c r="U28" s="25"/>
      <c r="V28" s="25"/>
      <c r="W28" s="25"/>
      <c r="X28" s="25"/>
      <c r="Y28" s="22" t="str">
        <f t="shared" si="4"/>
        <v/>
      </c>
      <c r="Z28" s="25"/>
      <c r="AA28" s="25"/>
      <c r="AB28" s="25"/>
      <c r="AC28" s="25"/>
      <c r="AD28" s="25"/>
      <c r="AE28" s="25"/>
      <c r="AF28" s="25"/>
      <c r="AG28" s="9"/>
      <c r="AH28" s="29"/>
      <c r="AI28" s="29"/>
      <c r="AM28" s="50"/>
      <c r="AN28" s="51" t="s">
        <v>254</v>
      </c>
      <c r="AO28" s="55" t="s">
        <v>255</v>
      </c>
    </row>
    <row r="29" spans="1:41" ht="45.6" hidden="1" customHeight="1" x14ac:dyDescent="0.3">
      <c r="A29" s="20">
        <v>25</v>
      </c>
      <c r="B29" s="8" t="s">
        <v>256</v>
      </c>
      <c r="C29" s="26">
        <v>2025</v>
      </c>
      <c r="D29" s="8"/>
      <c r="E29" s="8" t="s">
        <v>257</v>
      </c>
      <c r="F29" s="20" t="s">
        <v>54</v>
      </c>
      <c r="G29" s="21" t="s">
        <v>64</v>
      </c>
      <c r="H29" s="21" t="s">
        <v>64</v>
      </c>
      <c r="I29" s="21" t="s">
        <v>53</v>
      </c>
      <c r="J29" s="21" t="s">
        <v>53</v>
      </c>
      <c r="K29" s="21" t="s">
        <v>53</v>
      </c>
      <c r="L29" s="22" t="str">
        <f t="shared" si="0"/>
        <v>EXCLUDE</v>
      </c>
      <c r="M29" s="22" t="str">
        <f t="shared" si="1"/>
        <v>Wrong domain (non-AECO)</v>
      </c>
      <c r="N29" s="23"/>
      <c r="O29" s="23"/>
      <c r="P29" s="24"/>
      <c r="Q29" s="24"/>
      <c r="R29" s="24"/>
      <c r="S29" s="22" t="str">
        <f t="shared" si="2"/>
        <v/>
      </c>
      <c r="T29" s="22" t="str">
        <f t="shared" si="3"/>
        <v/>
      </c>
      <c r="U29" s="25"/>
      <c r="V29" s="25"/>
      <c r="W29" s="25"/>
      <c r="X29" s="25"/>
      <c r="Y29" s="22" t="str">
        <f t="shared" si="4"/>
        <v/>
      </c>
      <c r="Z29" s="25"/>
      <c r="AA29" s="25"/>
      <c r="AB29" s="25"/>
      <c r="AC29" s="25"/>
      <c r="AD29" s="25"/>
      <c r="AE29" s="25"/>
      <c r="AF29" s="25"/>
      <c r="AG29" s="9"/>
      <c r="AH29" s="29"/>
      <c r="AI29" s="29"/>
      <c r="AM29" s="50"/>
      <c r="AN29" s="51" t="s">
        <v>258</v>
      </c>
      <c r="AO29" s="55" t="s">
        <v>259</v>
      </c>
    </row>
    <row r="30" spans="1:41" ht="68.400000000000006" customHeight="1" x14ac:dyDescent="0.3">
      <c r="A30" s="20">
        <v>26</v>
      </c>
      <c r="B30" s="8" t="s">
        <v>260</v>
      </c>
      <c r="C30" s="26">
        <v>2026</v>
      </c>
      <c r="D30" s="8"/>
      <c r="E30" s="8" t="s">
        <v>261</v>
      </c>
      <c r="F30" s="20" t="s">
        <v>54</v>
      </c>
      <c r="G30" s="21" t="s">
        <v>53</v>
      </c>
      <c r="H30" s="21" t="s">
        <v>53</v>
      </c>
      <c r="I30" s="21" t="s">
        <v>53</v>
      </c>
      <c r="J30" s="21" t="s">
        <v>53</v>
      </c>
      <c r="K30" s="21" t="s">
        <v>53</v>
      </c>
      <c r="L30" s="22" t="str">
        <f t="shared" si="0"/>
        <v>INCLUDE</v>
      </c>
      <c r="M30" s="22" t="str">
        <f t="shared" si="1"/>
        <v/>
      </c>
      <c r="N30" s="23" t="s">
        <v>53</v>
      </c>
      <c r="O30" s="23" t="s">
        <v>53</v>
      </c>
      <c r="P30" s="24" t="s">
        <v>53</v>
      </c>
      <c r="Q30" s="24" t="s">
        <v>53</v>
      </c>
      <c r="R30" s="24" t="s">
        <v>53</v>
      </c>
      <c r="S30" s="22" t="str">
        <f t="shared" si="2"/>
        <v>INCLUDE</v>
      </c>
      <c r="T30" s="22" t="str">
        <f t="shared" si="3"/>
        <v/>
      </c>
      <c r="U30" s="25" t="s">
        <v>67</v>
      </c>
      <c r="V30" s="25">
        <v>1</v>
      </c>
      <c r="W30" s="25">
        <v>1</v>
      </c>
      <c r="X30" s="25">
        <v>1</v>
      </c>
      <c r="Y30" s="22" t="str">
        <f t="shared" si="4"/>
        <v>Multi</v>
      </c>
      <c r="Z30" s="25" t="s">
        <v>77</v>
      </c>
      <c r="AA30" s="25" t="s">
        <v>57</v>
      </c>
      <c r="AB30" s="25" t="s">
        <v>104</v>
      </c>
      <c r="AC30" s="25" t="s">
        <v>70</v>
      </c>
      <c r="AD30" s="25" t="s">
        <v>89</v>
      </c>
      <c r="AE30" s="25">
        <v>4</v>
      </c>
      <c r="AF30" s="25" t="s">
        <v>98</v>
      </c>
      <c r="AG30" s="9" t="s">
        <v>262</v>
      </c>
      <c r="AH30" s="29" t="s">
        <v>263</v>
      </c>
      <c r="AI30" s="29" t="s">
        <v>264</v>
      </c>
      <c r="AJ30" t="s">
        <v>82</v>
      </c>
      <c r="AK30" t="s">
        <v>265</v>
      </c>
      <c r="AL30" t="s">
        <v>74</v>
      </c>
      <c r="AM30" s="50"/>
      <c r="AN30" s="51" t="s">
        <v>266</v>
      </c>
      <c r="AO30" s="55" t="s">
        <v>267</v>
      </c>
    </row>
    <row r="31" spans="1:41" ht="45.6" hidden="1" customHeight="1" x14ac:dyDescent="0.3">
      <c r="A31" s="20">
        <v>27</v>
      </c>
      <c r="B31" s="8" t="s">
        <v>268</v>
      </c>
      <c r="C31" s="26">
        <v>2025</v>
      </c>
      <c r="D31" s="8"/>
      <c r="E31" s="8" t="s">
        <v>269</v>
      </c>
      <c r="F31" s="20" t="s">
        <v>54</v>
      </c>
      <c r="G31" s="21" t="s">
        <v>53</v>
      </c>
      <c r="H31" s="21" t="s">
        <v>64</v>
      </c>
      <c r="I31" s="21" t="s">
        <v>53</v>
      </c>
      <c r="J31" s="21" t="s">
        <v>53</v>
      </c>
      <c r="K31" s="21" t="s">
        <v>53</v>
      </c>
      <c r="L31" s="22" t="str">
        <f t="shared" si="0"/>
        <v>EXCLUDE</v>
      </c>
      <c r="M31" s="22" t="str">
        <f t="shared" si="1"/>
        <v>Digital Twin not core / buzzword</v>
      </c>
      <c r="N31" s="23"/>
      <c r="O31" s="23"/>
      <c r="P31" s="24"/>
      <c r="Q31" s="24"/>
      <c r="R31" s="24"/>
      <c r="S31" s="22" t="str">
        <f t="shared" si="2"/>
        <v/>
      </c>
      <c r="T31" s="22" t="str">
        <f t="shared" si="3"/>
        <v/>
      </c>
      <c r="U31" s="25"/>
      <c r="V31" s="25"/>
      <c r="W31" s="25"/>
      <c r="X31" s="25"/>
      <c r="Y31" s="22" t="str">
        <f t="shared" si="4"/>
        <v/>
      </c>
      <c r="Z31" s="25"/>
      <c r="AA31" s="25"/>
      <c r="AB31" s="25"/>
      <c r="AC31" s="25"/>
      <c r="AD31" s="25"/>
      <c r="AE31" s="25"/>
      <c r="AF31" s="25"/>
      <c r="AG31" s="9"/>
      <c r="AH31" s="29"/>
      <c r="AI31" s="29"/>
      <c r="AM31" s="50"/>
      <c r="AN31" s="51" t="s">
        <v>270</v>
      </c>
      <c r="AO31" s="55" t="s">
        <v>271</v>
      </c>
    </row>
    <row r="32" spans="1:41" ht="72" hidden="1" customHeight="1" x14ac:dyDescent="0.3">
      <c r="A32" s="20">
        <v>28</v>
      </c>
      <c r="B32" s="8" t="s">
        <v>272</v>
      </c>
      <c r="C32" s="26">
        <v>2026</v>
      </c>
      <c r="D32" s="8"/>
      <c r="E32" s="8" t="s">
        <v>273</v>
      </c>
      <c r="F32" s="20" t="s">
        <v>54</v>
      </c>
      <c r="G32" s="21" t="s">
        <v>53</v>
      </c>
      <c r="H32" s="21" t="s">
        <v>64</v>
      </c>
      <c r="I32" s="21" t="s">
        <v>53</v>
      </c>
      <c r="J32" s="21" t="s">
        <v>53</v>
      </c>
      <c r="K32" s="21" t="s">
        <v>53</v>
      </c>
      <c r="L32" s="22" t="str">
        <f t="shared" si="0"/>
        <v>EXCLUDE</v>
      </c>
      <c r="M32" s="22" t="str">
        <f t="shared" si="1"/>
        <v>Digital Twin not core / buzzword</v>
      </c>
      <c r="N32" s="23"/>
      <c r="O32" s="23"/>
      <c r="P32" s="24"/>
      <c r="Q32" s="24"/>
      <c r="R32" s="24"/>
      <c r="S32" s="22" t="str">
        <f t="shared" si="2"/>
        <v/>
      </c>
      <c r="T32" s="22" t="str">
        <f t="shared" si="3"/>
        <v/>
      </c>
      <c r="U32" s="25"/>
      <c r="V32" s="25"/>
      <c r="W32" s="25"/>
      <c r="X32" s="25"/>
      <c r="Y32" s="22" t="str">
        <f t="shared" si="4"/>
        <v/>
      </c>
      <c r="Z32" s="25"/>
      <c r="AA32" s="25"/>
      <c r="AB32" s="25"/>
      <c r="AC32" s="25"/>
      <c r="AD32" s="25"/>
      <c r="AE32" s="25"/>
      <c r="AF32" s="25"/>
      <c r="AG32" s="9"/>
      <c r="AH32" s="29"/>
      <c r="AI32" s="29"/>
      <c r="AM32" s="50"/>
      <c r="AN32" s="51" t="s">
        <v>274</v>
      </c>
      <c r="AO32" s="55" t="s">
        <v>275</v>
      </c>
    </row>
    <row r="33" spans="1:41" ht="45.6" hidden="1" customHeight="1" x14ac:dyDescent="0.3">
      <c r="A33" s="20">
        <v>29</v>
      </c>
      <c r="B33" s="8" t="s">
        <v>276</v>
      </c>
      <c r="C33" s="26">
        <v>2026</v>
      </c>
      <c r="D33" s="8"/>
      <c r="E33" s="8" t="s">
        <v>277</v>
      </c>
      <c r="F33" s="20" t="s">
        <v>54</v>
      </c>
      <c r="G33" s="21" t="s">
        <v>64</v>
      </c>
      <c r="H33" s="21" t="s">
        <v>53</v>
      </c>
      <c r="I33" s="21" t="s">
        <v>64</v>
      </c>
      <c r="J33" s="21" t="s">
        <v>53</v>
      </c>
      <c r="K33" s="21" t="s">
        <v>53</v>
      </c>
      <c r="L33" s="22" t="str">
        <f t="shared" si="0"/>
        <v>EXCLUDE</v>
      </c>
      <c r="M33" s="22" t="str">
        <f t="shared" si="1"/>
        <v>Wrong domain (non-AECO)</v>
      </c>
      <c r="N33" s="23"/>
      <c r="O33" s="23"/>
      <c r="P33" s="24"/>
      <c r="Q33" s="24"/>
      <c r="R33" s="24"/>
      <c r="S33" s="22" t="str">
        <f t="shared" si="2"/>
        <v/>
      </c>
      <c r="T33" s="22" t="str">
        <f t="shared" si="3"/>
        <v/>
      </c>
      <c r="U33" s="25"/>
      <c r="V33" s="25"/>
      <c r="W33" s="25"/>
      <c r="X33" s="25"/>
      <c r="Y33" s="22" t="str">
        <f t="shared" si="4"/>
        <v/>
      </c>
      <c r="Z33" s="25"/>
      <c r="AA33" s="25"/>
      <c r="AB33" s="25"/>
      <c r="AC33" s="25"/>
      <c r="AD33" s="25"/>
      <c r="AE33" s="25"/>
      <c r="AF33" s="25"/>
      <c r="AG33" s="9"/>
      <c r="AH33" s="29"/>
      <c r="AI33" s="29"/>
      <c r="AM33" s="50"/>
      <c r="AN33" s="51" t="s">
        <v>278</v>
      </c>
      <c r="AO33" s="55" t="s">
        <v>279</v>
      </c>
    </row>
    <row r="34" spans="1:41" ht="79.95" hidden="1" customHeight="1" x14ac:dyDescent="0.3">
      <c r="A34" s="20">
        <v>30</v>
      </c>
      <c r="B34" s="8" t="s">
        <v>280</v>
      </c>
      <c r="C34" s="26">
        <v>2026</v>
      </c>
      <c r="D34" s="8"/>
      <c r="E34" s="8" t="s">
        <v>281</v>
      </c>
      <c r="F34" s="20" t="s">
        <v>54</v>
      </c>
      <c r="G34" s="21" t="s">
        <v>64</v>
      </c>
      <c r="H34" s="21" t="s">
        <v>53</v>
      </c>
      <c r="I34" s="21" t="s">
        <v>53</v>
      </c>
      <c r="J34" s="21" t="s">
        <v>53</v>
      </c>
      <c r="K34" s="21" t="s">
        <v>53</v>
      </c>
      <c r="L34" s="22" t="str">
        <f t="shared" si="0"/>
        <v>EXCLUDE</v>
      </c>
      <c r="M34" s="22" t="str">
        <f t="shared" si="1"/>
        <v>Wrong domain (non-AECO)</v>
      </c>
      <c r="N34" s="23"/>
      <c r="O34" s="23"/>
      <c r="P34" s="24"/>
      <c r="Q34" s="24"/>
      <c r="R34" s="24"/>
      <c r="S34" s="22" t="str">
        <f t="shared" si="2"/>
        <v/>
      </c>
      <c r="T34" s="22" t="str">
        <f t="shared" si="3"/>
        <v/>
      </c>
      <c r="U34" s="25"/>
      <c r="V34" s="25"/>
      <c r="W34" s="25"/>
      <c r="X34" s="25"/>
      <c r="Y34" s="22" t="str">
        <f t="shared" si="4"/>
        <v/>
      </c>
      <c r="Z34" s="25"/>
      <c r="AA34" s="25"/>
      <c r="AB34" s="25"/>
      <c r="AC34" s="25"/>
      <c r="AD34" s="25"/>
      <c r="AE34" s="25"/>
      <c r="AF34" s="25"/>
      <c r="AG34" s="9"/>
      <c r="AH34" s="29"/>
      <c r="AI34" s="29"/>
      <c r="AM34" s="50"/>
      <c r="AN34" s="51" t="s">
        <v>282</v>
      </c>
      <c r="AO34" s="55" t="s">
        <v>283</v>
      </c>
    </row>
    <row r="35" spans="1:41" ht="34.200000000000003" hidden="1" customHeight="1" x14ac:dyDescent="0.3">
      <c r="A35" s="20">
        <v>31</v>
      </c>
      <c r="B35" s="8" t="s">
        <v>284</v>
      </c>
      <c r="C35" s="26">
        <v>2025</v>
      </c>
      <c r="D35" s="8"/>
      <c r="E35" s="8" t="s">
        <v>285</v>
      </c>
      <c r="F35" s="20" t="s">
        <v>54</v>
      </c>
      <c r="G35" s="21" t="s">
        <v>53</v>
      </c>
      <c r="H35" s="21" t="s">
        <v>53</v>
      </c>
      <c r="I35" s="21" t="s">
        <v>53</v>
      </c>
      <c r="J35" s="21" t="s">
        <v>53</v>
      </c>
      <c r="K35" s="21" t="s">
        <v>53</v>
      </c>
      <c r="L35" s="22" t="str">
        <f t="shared" si="0"/>
        <v>INCLUDE</v>
      </c>
      <c r="M35" s="22" t="str">
        <f t="shared" si="1"/>
        <v/>
      </c>
      <c r="N35" s="23" t="s">
        <v>64</v>
      </c>
      <c r="O35" s="23" t="s">
        <v>64</v>
      </c>
      <c r="P35" s="24"/>
      <c r="Q35" s="24"/>
      <c r="R35" s="24"/>
      <c r="S35" s="22" t="str">
        <f t="shared" si="2"/>
        <v/>
      </c>
      <c r="T35" s="22" t="str">
        <f t="shared" si="3"/>
        <v/>
      </c>
      <c r="U35" s="25"/>
      <c r="V35" s="25"/>
      <c r="W35" s="25"/>
      <c r="X35" s="25"/>
      <c r="Y35" s="22" t="str">
        <f t="shared" si="4"/>
        <v/>
      </c>
      <c r="Z35" s="25"/>
      <c r="AA35" s="25"/>
      <c r="AB35" s="25"/>
      <c r="AC35" s="25"/>
      <c r="AD35" s="25"/>
      <c r="AE35" s="25"/>
      <c r="AF35" s="25"/>
      <c r="AG35" s="9"/>
      <c r="AH35" s="29"/>
      <c r="AI35" s="29"/>
      <c r="AM35" s="50"/>
      <c r="AN35" s="51" t="s">
        <v>286</v>
      </c>
      <c r="AO35" s="55" t="s">
        <v>287</v>
      </c>
    </row>
    <row r="36" spans="1:41" ht="79.95" hidden="1" customHeight="1" x14ac:dyDescent="0.3">
      <c r="A36" s="20">
        <v>32</v>
      </c>
      <c r="B36" s="8" t="s">
        <v>288</v>
      </c>
      <c r="C36" s="26">
        <v>2026</v>
      </c>
      <c r="D36" s="8"/>
      <c r="E36" s="8" t="s">
        <v>289</v>
      </c>
      <c r="F36" s="20" t="s">
        <v>54</v>
      </c>
      <c r="G36" s="21" t="s">
        <v>64</v>
      </c>
      <c r="H36" s="21" t="s">
        <v>53</v>
      </c>
      <c r="I36" s="21" t="s">
        <v>53</v>
      </c>
      <c r="J36" s="21" t="s">
        <v>53</v>
      </c>
      <c r="K36" s="21" t="s">
        <v>53</v>
      </c>
      <c r="L36" s="22" t="str">
        <f t="shared" si="0"/>
        <v>EXCLUDE</v>
      </c>
      <c r="M36" s="22" t="str">
        <f t="shared" si="1"/>
        <v>Wrong domain (non-AECO)</v>
      </c>
      <c r="N36" s="23"/>
      <c r="O36" s="23"/>
      <c r="P36" s="24"/>
      <c r="Q36" s="24"/>
      <c r="R36" s="24"/>
      <c r="S36" s="22" t="str">
        <f t="shared" si="2"/>
        <v/>
      </c>
      <c r="T36" s="22" t="str">
        <f t="shared" si="3"/>
        <v/>
      </c>
      <c r="U36" s="25"/>
      <c r="V36" s="25"/>
      <c r="W36" s="25"/>
      <c r="X36" s="25"/>
      <c r="Y36" s="22" t="str">
        <f t="shared" si="4"/>
        <v/>
      </c>
      <c r="Z36" s="25"/>
      <c r="AA36" s="25"/>
      <c r="AB36" s="25"/>
      <c r="AC36" s="25"/>
      <c r="AD36" s="25"/>
      <c r="AE36" s="25"/>
      <c r="AF36" s="25"/>
      <c r="AG36" s="9"/>
      <c r="AH36" s="29"/>
      <c r="AI36" s="29"/>
      <c r="AM36" s="50"/>
      <c r="AN36" s="51" t="s">
        <v>290</v>
      </c>
      <c r="AO36" s="55" t="s">
        <v>291</v>
      </c>
    </row>
    <row r="37" spans="1:41" ht="57" hidden="1" customHeight="1" x14ac:dyDescent="0.3">
      <c r="A37" s="20">
        <v>33</v>
      </c>
      <c r="B37" s="8" t="s">
        <v>292</v>
      </c>
      <c r="C37" s="26">
        <v>2025</v>
      </c>
      <c r="D37" s="8"/>
      <c r="E37" s="8" t="s">
        <v>293</v>
      </c>
      <c r="F37" s="20" t="s">
        <v>54</v>
      </c>
      <c r="G37" s="21" t="s">
        <v>64</v>
      </c>
      <c r="H37" s="21" t="s">
        <v>53</v>
      </c>
      <c r="I37" s="21" t="s">
        <v>53</v>
      </c>
      <c r="J37" s="21" t="s">
        <v>53</v>
      </c>
      <c r="K37" s="21" t="s">
        <v>53</v>
      </c>
      <c r="L37" s="22" t="str">
        <f t="shared" si="0"/>
        <v>EXCLUDE</v>
      </c>
      <c r="M37" s="22" t="str">
        <f t="shared" si="1"/>
        <v>Wrong domain (non-AECO)</v>
      </c>
      <c r="N37" s="23"/>
      <c r="O37" s="23"/>
      <c r="P37" s="24"/>
      <c r="Q37" s="24"/>
      <c r="R37" s="24"/>
      <c r="S37" s="22" t="str">
        <f t="shared" si="2"/>
        <v/>
      </c>
      <c r="T37" s="22" t="str">
        <f t="shared" si="3"/>
        <v/>
      </c>
      <c r="U37" s="25"/>
      <c r="V37" s="25"/>
      <c r="W37" s="25"/>
      <c r="X37" s="25"/>
      <c r="Y37" s="22" t="str">
        <f t="shared" si="4"/>
        <v/>
      </c>
      <c r="Z37" s="25"/>
      <c r="AA37" s="25"/>
      <c r="AB37" s="25"/>
      <c r="AC37" s="25"/>
      <c r="AD37" s="25"/>
      <c r="AE37" s="25"/>
      <c r="AF37" s="25"/>
      <c r="AG37" s="9"/>
      <c r="AH37" s="29"/>
      <c r="AI37" s="29"/>
      <c r="AM37" s="50"/>
      <c r="AN37" s="51" t="s">
        <v>294</v>
      </c>
      <c r="AO37" s="55" t="s">
        <v>295</v>
      </c>
    </row>
    <row r="38" spans="1:41" ht="45.6" hidden="1" customHeight="1" x14ac:dyDescent="0.3">
      <c r="A38" s="20">
        <v>34</v>
      </c>
      <c r="B38" s="8" t="s">
        <v>296</v>
      </c>
      <c r="C38" s="26">
        <v>2025</v>
      </c>
      <c r="D38" s="8"/>
      <c r="E38" s="8" t="s">
        <v>297</v>
      </c>
      <c r="F38" s="20" t="s">
        <v>54</v>
      </c>
      <c r="G38" s="21" t="s">
        <v>53</v>
      </c>
      <c r="H38" s="21" t="s">
        <v>64</v>
      </c>
      <c r="I38" s="21" t="s">
        <v>64</v>
      </c>
      <c r="J38" s="21" t="s">
        <v>53</v>
      </c>
      <c r="K38" s="21" t="s">
        <v>53</v>
      </c>
      <c r="L38" s="22" t="str">
        <f t="shared" si="0"/>
        <v>EXCLUDE</v>
      </c>
      <c r="M38" s="22" t="str">
        <f t="shared" si="1"/>
        <v>Digital Twin not core / buzzword</v>
      </c>
      <c r="N38" s="23"/>
      <c r="O38" s="23"/>
      <c r="P38" s="24"/>
      <c r="Q38" s="24"/>
      <c r="R38" s="24"/>
      <c r="S38" s="22" t="str">
        <f t="shared" si="2"/>
        <v/>
      </c>
      <c r="T38" s="22" t="str">
        <f t="shared" si="3"/>
        <v/>
      </c>
      <c r="U38" s="25"/>
      <c r="V38" s="25"/>
      <c r="W38" s="25"/>
      <c r="X38" s="25"/>
      <c r="Y38" s="22" t="str">
        <f t="shared" si="4"/>
        <v/>
      </c>
      <c r="Z38" s="25"/>
      <c r="AA38" s="25"/>
      <c r="AB38" s="25"/>
      <c r="AC38" s="25"/>
      <c r="AD38" s="25"/>
      <c r="AE38" s="25"/>
      <c r="AF38" s="25"/>
      <c r="AG38" s="9"/>
      <c r="AH38" s="29"/>
      <c r="AI38" s="29"/>
      <c r="AM38" s="50"/>
      <c r="AN38" s="51" t="s">
        <v>298</v>
      </c>
      <c r="AO38" s="55" t="s">
        <v>299</v>
      </c>
    </row>
    <row r="39" spans="1:41" ht="79.95" hidden="1" customHeight="1" x14ac:dyDescent="0.3">
      <c r="A39" s="20">
        <v>35</v>
      </c>
      <c r="B39" s="8" t="s">
        <v>300</v>
      </c>
      <c r="C39" s="26">
        <v>2026</v>
      </c>
      <c r="D39" s="8"/>
      <c r="E39" s="8" t="s">
        <v>301</v>
      </c>
      <c r="F39" s="20" t="s">
        <v>54</v>
      </c>
      <c r="G39" s="21" t="s">
        <v>64</v>
      </c>
      <c r="H39" s="21" t="s">
        <v>64</v>
      </c>
      <c r="I39" s="21" t="s">
        <v>53</v>
      </c>
      <c r="J39" s="21" t="s">
        <v>53</v>
      </c>
      <c r="K39" s="21" t="s">
        <v>53</v>
      </c>
      <c r="L39" s="22" t="str">
        <f t="shared" si="0"/>
        <v>EXCLUDE</v>
      </c>
      <c r="M39" s="22" t="str">
        <f t="shared" si="1"/>
        <v>Wrong domain (non-AECO)</v>
      </c>
      <c r="N39" s="23"/>
      <c r="O39" s="23"/>
      <c r="P39" s="24"/>
      <c r="Q39" s="24"/>
      <c r="R39" s="24"/>
      <c r="S39" s="22" t="str">
        <f t="shared" si="2"/>
        <v/>
      </c>
      <c r="T39" s="22" t="str">
        <f t="shared" si="3"/>
        <v/>
      </c>
      <c r="U39" s="25"/>
      <c r="V39" s="25"/>
      <c r="W39" s="25"/>
      <c r="X39" s="25"/>
      <c r="Y39" s="22" t="str">
        <f t="shared" si="4"/>
        <v/>
      </c>
      <c r="Z39" s="25"/>
      <c r="AA39" s="25"/>
      <c r="AB39" s="25"/>
      <c r="AC39" s="25"/>
      <c r="AD39" s="25"/>
      <c r="AE39" s="25"/>
      <c r="AF39" s="25"/>
      <c r="AG39" s="9"/>
      <c r="AH39" s="29"/>
      <c r="AI39" s="29"/>
      <c r="AM39" s="50"/>
      <c r="AN39" s="51" t="s">
        <v>302</v>
      </c>
      <c r="AO39" s="55" t="s">
        <v>303</v>
      </c>
    </row>
    <row r="40" spans="1:41" ht="79.95" hidden="1" customHeight="1" x14ac:dyDescent="0.3">
      <c r="A40" s="20">
        <v>36</v>
      </c>
      <c r="B40" s="8" t="s">
        <v>304</v>
      </c>
      <c r="C40" s="26">
        <v>2026</v>
      </c>
      <c r="D40" s="8"/>
      <c r="E40" s="8" t="s">
        <v>305</v>
      </c>
      <c r="F40" s="20" t="s">
        <v>54</v>
      </c>
      <c r="G40" s="21" t="s">
        <v>53</v>
      </c>
      <c r="H40" s="21" t="s">
        <v>64</v>
      </c>
      <c r="I40" s="21" t="s">
        <v>53</v>
      </c>
      <c r="J40" s="21" t="s">
        <v>53</v>
      </c>
      <c r="K40" s="21" t="s">
        <v>53</v>
      </c>
      <c r="L40" s="22" t="str">
        <f t="shared" si="0"/>
        <v>EXCLUDE</v>
      </c>
      <c r="M40" s="22" t="str">
        <f t="shared" si="1"/>
        <v>Digital Twin not core / buzzword</v>
      </c>
      <c r="N40" s="23"/>
      <c r="O40" s="23"/>
      <c r="P40" s="24"/>
      <c r="Q40" s="24"/>
      <c r="R40" s="24"/>
      <c r="S40" s="22" t="str">
        <f t="shared" si="2"/>
        <v/>
      </c>
      <c r="T40" s="22" t="str">
        <f t="shared" si="3"/>
        <v/>
      </c>
      <c r="U40" s="25"/>
      <c r="V40" s="25"/>
      <c r="W40" s="25"/>
      <c r="X40" s="25"/>
      <c r="Y40" s="22" t="str">
        <f t="shared" si="4"/>
        <v/>
      </c>
      <c r="Z40" s="25"/>
      <c r="AA40" s="25"/>
      <c r="AB40" s="25"/>
      <c r="AC40" s="25"/>
      <c r="AD40" s="25"/>
      <c r="AE40" s="25"/>
      <c r="AF40" s="25"/>
      <c r="AG40" s="9"/>
      <c r="AH40" s="29"/>
      <c r="AI40" s="29"/>
      <c r="AM40" s="50"/>
      <c r="AN40" s="51" t="s">
        <v>306</v>
      </c>
      <c r="AO40" s="55" t="s">
        <v>307</v>
      </c>
    </row>
    <row r="41" spans="1:41" ht="68.400000000000006" hidden="1" customHeight="1" x14ac:dyDescent="0.3">
      <c r="A41" s="20">
        <v>37</v>
      </c>
      <c r="B41" s="8" t="s">
        <v>308</v>
      </c>
      <c r="C41" s="26">
        <v>2025</v>
      </c>
      <c r="D41" s="8"/>
      <c r="E41" s="8" t="s">
        <v>309</v>
      </c>
      <c r="F41" s="20" t="s">
        <v>54</v>
      </c>
      <c r="G41" s="21" t="s">
        <v>53</v>
      </c>
      <c r="H41" s="21" t="s">
        <v>64</v>
      </c>
      <c r="I41" s="21" t="s">
        <v>53</v>
      </c>
      <c r="J41" s="21" t="s">
        <v>53</v>
      </c>
      <c r="K41" s="21" t="s">
        <v>53</v>
      </c>
      <c r="L41" s="22" t="str">
        <f t="shared" si="0"/>
        <v>EXCLUDE</v>
      </c>
      <c r="M41" s="22" t="str">
        <f t="shared" si="1"/>
        <v>Digital Twin not core / buzzword</v>
      </c>
      <c r="N41" s="23"/>
      <c r="O41" s="23"/>
      <c r="P41" s="24"/>
      <c r="Q41" s="24"/>
      <c r="R41" s="24"/>
      <c r="S41" s="22" t="str">
        <f t="shared" si="2"/>
        <v/>
      </c>
      <c r="T41" s="22" t="str">
        <f t="shared" si="3"/>
        <v/>
      </c>
      <c r="U41" s="25"/>
      <c r="V41" s="25"/>
      <c r="W41" s="25"/>
      <c r="X41" s="25"/>
      <c r="Y41" s="22" t="str">
        <f t="shared" si="4"/>
        <v/>
      </c>
      <c r="Z41" s="25"/>
      <c r="AA41" s="25"/>
      <c r="AB41" s="25"/>
      <c r="AC41" s="25"/>
      <c r="AD41" s="25"/>
      <c r="AE41" s="25"/>
      <c r="AF41" s="25"/>
      <c r="AG41" s="9"/>
      <c r="AH41" s="29"/>
      <c r="AI41" s="29"/>
      <c r="AM41" s="50"/>
      <c r="AN41" s="51" t="s">
        <v>310</v>
      </c>
      <c r="AO41" s="55" t="s">
        <v>311</v>
      </c>
    </row>
    <row r="42" spans="1:41" ht="68.400000000000006" hidden="1" customHeight="1" x14ac:dyDescent="0.3">
      <c r="A42" s="20">
        <v>38</v>
      </c>
      <c r="B42" s="8" t="s">
        <v>312</v>
      </c>
      <c r="C42" s="26">
        <v>2026</v>
      </c>
      <c r="D42" s="8"/>
      <c r="E42" s="8" t="s">
        <v>313</v>
      </c>
      <c r="F42" s="20" t="s">
        <v>54</v>
      </c>
      <c r="G42" s="21" t="s">
        <v>64</v>
      </c>
      <c r="H42" s="21" t="s">
        <v>64</v>
      </c>
      <c r="I42" s="21" t="s">
        <v>53</v>
      </c>
      <c r="J42" s="21" t="s">
        <v>53</v>
      </c>
      <c r="K42" s="21" t="s">
        <v>53</v>
      </c>
      <c r="L42" s="22" t="str">
        <f t="shared" si="0"/>
        <v>EXCLUDE</v>
      </c>
      <c r="M42" s="22" t="str">
        <f t="shared" si="1"/>
        <v>Wrong domain (non-AECO)</v>
      </c>
      <c r="N42" s="23"/>
      <c r="O42" s="23"/>
      <c r="P42" s="24"/>
      <c r="Q42" s="24"/>
      <c r="R42" s="24"/>
      <c r="S42" s="22" t="str">
        <f t="shared" si="2"/>
        <v/>
      </c>
      <c r="T42" s="22" t="str">
        <f t="shared" si="3"/>
        <v/>
      </c>
      <c r="U42" s="25"/>
      <c r="V42" s="25"/>
      <c r="W42" s="25"/>
      <c r="X42" s="25"/>
      <c r="Y42" s="22" t="str">
        <f t="shared" si="4"/>
        <v/>
      </c>
      <c r="Z42" s="25"/>
      <c r="AA42" s="25"/>
      <c r="AB42" s="25"/>
      <c r="AC42" s="25"/>
      <c r="AD42" s="25"/>
      <c r="AE42" s="25"/>
      <c r="AF42" s="25"/>
      <c r="AG42" s="9"/>
      <c r="AH42" s="29"/>
      <c r="AI42" s="29"/>
      <c r="AM42" s="50"/>
      <c r="AN42" s="51" t="s">
        <v>314</v>
      </c>
      <c r="AO42" s="55" t="s">
        <v>315</v>
      </c>
    </row>
    <row r="43" spans="1:41" ht="57" hidden="1" customHeight="1" x14ac:dyDescent="0.3">
      <c r="A43" s="20">
        <v>39</v>
      </c>
      <c r="B43" s="8" t="s">
        <v>316</v>
      </c>
      <c r="C43" s="26">
        <v>2026</v>
      </c>
      <c r="D43" s="8"/>
      <c r="E43" s="8" t="s">
        <v>317</v>
      </c>
      <c r="F43" s="20" t="s">
        <v>54</v>
      </c>
      <c r="G43" s="21" t="s">
        <v>64</v>
      </c>
      <c r="H43" s="21" t="s">
        <v>53</v>
      </c>
      <c r="I43" s="21" t="s">
        <v>53</v>
      </c>
      <c r="J43" s="21" t="s">
        <v>53</v>
      </c>
      <c r="K43" s="21" t="s">
        <v>53</v>
      </c>
      <c r="L43" s="22" t="str">
        <f t="shared" si="0"/>
        <v>EXCLUDE</v>
      </c>
      <c r="M43" s="22" t="str">
        <f t="shared" si="1"/>
        <v>Wrong domain (non-AECO)</v>
      </c>
      <c r="N43" s="23"/>
      <c r="O43" s="23"/>
      <c r="P43" s="24"/>
      <c r="Q43" s="24"/>
      <c r="R43" s="24"/>
      <c r="S43" s="22" t="str">
        <f t="shared" si="2"/>
        <v/>
      </c>
      <c r="T43" s="22" t="str">
        <f t="shared" si="3"/>
        <v/>
      </c>
      <c r="U43" s="25"/>
      <c r="V43" s="25"/>
      <c r="W43" s="25"/>
      <c r="X43" s="25"/>
      <c r="Y43" s="22" t="str">
        <f t="shared" si="4"/>
        <v/>
      </c>
      <c r="Z43" s="25"/>
      <c r="AA43" s="25"/>
      <c r="AB43" s="25"/>
      <c r="AC43" s="25"/>
      <c r="AD43" s="25"/>
      <c r="AE43" s="25"/>
      <c r="AF43" s="25"/>
      <c r="AG43" s="9"/>
      <c r="AH43" s="29"/>
      <c r="AI43" s="29"/>
      <c r="AM43" s="50"/>
      <c r="AN43" s="51" t="s">
        <v>318</v>
      </c>
      <c r="AO43" s="55" t="s">
        <v>319</v>
      </c>
    </row>
    <row r="44" spans="1:41" ht="45.6" hidden="1" customHeight="1" x14ac:dyDescent="0.3">
      <c r="A44" s="20">
        <v>40</v>
      </c>
      <c r="B44" s="8" t="s">
        <v>320</v>
      </c>
      <c r="C44" s="26">
        <v>2026</v>
      </c>
      <c r="D44" s="8"/>
      <c r="E44" s="8" t="s">
        <v>321</v>
      </c>
      <c r="F44" s="20" t="s">
        <v>54</v>
      </c>
      <c r="G44" s="21" t="s">
        <v>64</v>
      </c>
      <c r="H44" s="21" t="s">
        <v>53</v>
      </c>
      <c r="I44" s="21" t="s">
        <v>53</v>
      </c>
      <c r="J44" s="21" t="s">
        <v>53</v>
      </c>
      <c r="K44" s="21" t="s">
        <v>53</v>
      </c>
      <c r="L44" s="22" t="str">
        <f t="shared" si="0"/>
        <v>EXCLUDE</v>
      </c>
      <c r="M44" s="22" t="str">
        <f t="shared" si="1"/>
        <v>Wrong domain (non-AECO)</v>
      </c>
      <c r="N44" s="23"/>
      <c r="O44" s="23"/>
      <c r="P44" s="24"/>
      <c r="Q44" s="24"/>
      <c r="R44" s="24"/>
      <c r="S44" s="22" t="str">
        <f t="shared" si="2"/>
        <v/>
      </c>
      <c r="T44" s="22" t="str">
        <f t="shared" si="3"/>
        <v/>
      </c>
      <c r="U44" s="25"/>
      <c r="V44" s="25"/>
      <c r="W44" s="25"/>
      <c r="X44" s="25"/>
      <c r="Y44" s="22" t="str">
        <f t="shared" si="4"/>
        <v/>
      </c>
      <c r="Z44" s="25"/>
      <c r="AA44" s="25"/>
      <c r="AB44" s="25"/>
      <c r="AC44" s="25"/>
      <c r="AD44" s="25"/>
      <c r="AE44" s="25"/>
      <c r="AF44" s="25"/>
      <c r="AG44" s="9"/>
      <c r="AH44" s="29"/>
      <c r="AI44" s="29"/>
      <c r="AM44" s="50"/>
      <c r="AN44" s="51" t="s">
        <v>322</v>
      </c>
      <c r="AO44" s="55" t="s">
        <v>323</v>
      </c>
    </row>
    <row r="45" spans="1:41" ht="45.6" hidden="1" customHeight="1" x14ac:dyDescent="0.3">
      <c r="A45" s="20">
        <v>41</v>
      </c>
      <c r="B45" s="8" t="s">
        <v>324</v>
      </c>
      <c r="C45" s="26">
        <v>2026</v>
      </c>
      <c r="D45" s="8"/>
      <c r="E45" s="8" t="s">
        <v>325</v>
      </c>
      <c r="F45" s="20" t="s">
        <v>54</v>
      </c>
      <c r="G45" s="21" t="s">
        <v>53</v>
      </c>
      <c r="H45" s="21" t="s">
        <v>64</v>
      </c>
      <c r="I45" s="21" t="s">
        <v>53</v>
      </c>
      <c r="J45" s="21" t="s">
        <v>53</v>
      </c>
      <c r="K45" s="21" t="s">
        <v>53</v>
      </c>
      <c r="L45" s="22" t="str">
        <f t="shared" si="0"/>
        <v>EXCLUDE</v>
      </c>
      <c r="M45" s="22" t="str">
        <f t="shared" si="1"/>
        <v>Digital Twin not core / buzzword</v>
      </c>
      <c r="N45" s="23"/>
      <c r="O45" s="23"/>
      <c r="P45" s="24"/>
      <c r="Q45" s="24"/>
      <c r="R45" s="24"/>
      <c r="S45" s="22" t="str">
        <f t="shared" si="2"/>
        <v/>
      </c>
      <c r="T45" s="22" t="str">
        <f t="shared" si="3"/>
        <v/>
      </c>
      <c r="U45" s="25"/>
      <c r="V45" s="25"/>
      <c r="W45" s="25"/>
      <c r="X45" s="25"/>
      <c r="Y45" s="22" t="str">
        <f t="shared" si="4"/>
        <v/>
      </c>
      <c r="Z45" s="25"/>
      <c r="AA45" s="25"/>
      <c r="AB45" s="25"/>
      <c r="AC45" s="25"/>
      <c r="AD45" s="25"/>
      <c r="AE45" s="25"/>
      <c r="AF45" s="25"/>
      <c r="AG45" s="9"/>
      <c r="AH45" s="29"/>
      <c r="AI45" s="29"/>
      <c r="AM45" s="50"/>
      <c r="AN45" s="51" t="s">
        <v>326</v>
      </c>
      <c r="AO45" s="55" t="s">
        <v>327</v>
      </c>
    </row>
    <row r="46" spans="1:41" ht="102.6" hidden="1" customHeight="1" x14ac:dyDescent="0.3">
      <c r="A46" s="20">
        <v>42</v>
      </c>
      <c r="B46" s="8" t="s">
        <v>328</v>
      </c>
      <c r="C46" s="26">
        <v>2026</v>
      </c>
      <c r="D46" s="8"/>
      <c r="E46" s="8" t="s">
        <v>329</v>
      </c>
      <c r="F46" s="20" t="s">
        <v>54</v>
      </c>
      <c r="G46" s="21" t="s">
        <v>53</v>
      </c>
      <c r="H46" s="21" t="s">
        <v>64</v>
      </c>
      <c r="I46" s="21" t="s">
        <v>64</v>
      </c>
      <c r="J46" s="21" t="s">
        <v>53</v>
      </c>
      <c r="K46" s="21" t="s">
        <v>53</v>
      </c>
      <c r="L46" s="22" t="str">
        <f t="shared" si="0"/>
        <v>EXCLUDE</v>
      </c>
      <c r="M46" s="22" t="str">
        <f t="shared" si="1"/>
        <v>Digital Twin not core / buzzword</v>
      </c>
      <c r="N46" s="23"/>
      <c r="O46" s="23"/>
      <c r="P46" s="24"/>
      <c r="Q46" s="24"/>
      <c r="R46" s="24"/>
      <c r="S46" s="22" t="str">
        <f t="shared" si="2"/>
        <v/>
      </c>
      <c r="T46" s="22" t="str">
        <f t="shared" si="3"/>
        <v/>
      </c>
      <c r="U46" s="25"/>
      <c r="V46" s="25"/>
      <c r="W46" s="25"/>
      <c r="X46" s="25"/>
      <c r="Y46" s="22" t="str">
        <f t="shared" si="4"/>
        <v/>
      </c>
      <c r="Z46" s="25"/>
      <c r="AA46" s="25"/>
      <c r="AB46" s="25"/>
      <c r="AC46" s="25"/>
      <c r="AD46" s="25"/>
      <c r="AE46" s="25"/>
      <c r="AF46" s="25"/>
      <c r="AG46" s="9"/>
      <c r="AH46" s="29"/>
      <c r="AI46" s="29"/>
      <c r="AM46" s="50"/>
      <c r="AN46" s="51" t="s">
        <v>330</v>
      </c>
      <c r="AO46" s="55" t="s">
        <v>331</v>
      </c>
    </row>
    <row r="47" spans="1:41" ht="45.6" hidden="1" customHeight="1" x14ac:dyDescent="0.3">
      <c r="A47" s="20">
        <v>43</v>
      </c>
      <c r="B47" s="8" t="s">
        <v>332</v>
      </c>
      <c r="C47" s="26">
        <v>2026</v>
      </c>
      <c r="D47" s="8"/>
      <c r="E47" s="8" t="s">
        <v>333</v>
      </c>
      <c r="F47" s="20" t="s">
        <v>54</v>
      </c>
      <c r="G47" s="21" t="s">
        <v>64</v>
      </c>
      <c r="H47" s="21" t="s">
        <v>53</v>
      </c>
      <c r="I47" s="21" t="s">
        <v>64</v>
      </c>
      <c r="J47" s="21" t="s">
        <v>53</v>
      </c>
      <c r="K47" s="21" t="s">
        <v>53</v>
      </c>
      <c r="L47" s="22" t="str">
        <f t="shared" si="0"/>
        <v>EXCLUDE</v>
      </c>
      <c r="M47" s="22" t="str">
        <f t="shared" si="1"/>
        <v>Wrong domain (non-AECO)</v>
      </c>
      <c r="N47" s="23"/>
      <c r="O47" s="23"/>
      <c r="P47" s="24"/>
      <c r="Q47" s="24"/>
      <c r="R47" s="24"/>
      <c r="S47" s="22" t="str">
        <f t="shared" si="2"/>
        <v/>
      </c>
      <c r="T47" s="22" t="str">
        <f t="shared" si="3"/>
        <v/>
      </c>
      <c r="U47" s="25"/>
      <c r="V47" s="25"/>
      <c r="W47" s="25"/>
      <c r="X47" s="25"/>
      <c r="Y47" s="22" t="str">
        <f t="shared" si="4"/>
        <v/>
      </c>
      <c r="Z47" s="25"/>
      <c r="AA47" s="25"/>
      <c r="AB47" s="25"/>
      <c r="AC47" s="25"/>
      <c r="AD47" s="25"/>
      <c r="AE47" s="25"/>
      <c r="AF47" s="25"/>
      <c r="AG47" s="9"/>
      <c r="AH47" s="29"/>
      <c r="AI47" s="29"/>
      <c r="AM47" s="50"/>
      <c r="AN47" s="51" t="s">
        <v>334</v>
      </c>
      <c r="AO47" s="55" t="s">
        <v>335</v>
      </c>
    </row>
    <row r="48" spans="1:41" ht="100.95" customHeight="1" x14ac:dyDescent="0.3">
      <c r="A48" s="20">
        <v>44</v>
      </c>
      <c r="B48" s="8" t="s">
        <v>336</v>
      </c>
      <c r="C48" s="26">
        <v>2026</v>
      </c>
      <c r="D48" s="8"/>
      <c r="E48" s="8" t="s">
        <v>337</v>
      </c>
      <c r="F48" s="20" t="s">
        <v>54</v>
      </c>
      <c r="G48" s="21" t="s">
        <v>53</v>
      </c>
      <c r="H48" s="21" t="s">
        <v>53</v>
      </c>
      <c r="I48" s="21" t="s">
        <v>53</v>
      </c>
      <c r="J48" s="21" t="s">
        <v>53</v>
      </c>
      <c r="K48" s="21" t="s">
        <v>53</v>
      </c>
      <c r="L48" s="22" t="str">
        <f t="shared" si="0"/>
        <v>INCLUDE</v>
      </c>
      <c r="M48" s="22" t="str">
        <f t="shared" si="1"/>
        <v/>
      </c>
      <c r="N48" s="23" t="s">
        <v>53</v>
      </c>
      <c r="O48" s="23" t="s">
        <v>53</v>
      </c>
      <c r="P48" s="24" t="s">
        <v>53</v>
      </c>
      <c r="Q48" s="24" t="s">
        <v>53</v>
      </c>
      <c r="R48" s="24" t="s">
        <v>53</v>
      </c>
      <c r="S48" s="22" t="str">
        <f t="shared" si="2"/>
        <v>INCLUDE</v>
      </c>
      <c r="T48" s="22" t="str">
        <f t="shared" si="3"/>
        <v/>
      </c>
      <c r="U48" s="25" t="s">
        <v>56</v>
      </c>
      <c r="V48" s="25">
        <v>1</v>
      </c>
      <c r="W48" s="25">
        <v>0</v>
      </c>
      <c r="X48" s="25">
        <v>1</v>
      </c>
      <c r="Y48" s="22" t="str">
        <f t="shared" si="4"/>
        <v>Multi</v>
      </c>
      <c r="Z48" s="25" t="s">
        <v>9</v>
      </c>
      <c r="AA48" s="25" t="s">
        <v>57</v>
      </c>
      <c r="AB48" s="25" t="s">
        <v>99</v>
      </c>
      <c r="AC48" s="25" t="s">
        <v>70</v>
      </c>
      <c r="AD48" s="25" t="s">
        <v>71</v>
      </c>
      <c r="AE48" s="25">
        <v>4</v>
      </c>
      <c r="AF48" s="25" t="s">
        <v>90</v>
      </c>
      <c r="AG48" s="9" t="s">
        <v>338</v>
      </c>
      <c r="AH48" s="29" t="s">
        <v>339</v>
      </c>
      <c r="AI48" s="29" t="s">
        <v>340</v>
      </c>
      <c r="AJ48" t="s">
        <v>91</v>
      </c>
      <c r="AK48" t="s">
        <v>341</v>
      </c>
      <c r="AL48" t="s">
        <v>74</v>
      </c>
      <c r="AM48" s="50"/>
      <c r="AN48" s="51" t="s">
        <v>342</v>
      </c>
      <c r="AO48" s="55" t="s">
        <v>343</v>
      </c>
    </row>
    <row r="49" spans="1:41" ht="72" hidden="1" customHeight="1" x14ac:dyDescent="0.3">
      <c r="A49" s="20">
        <v>45</v>
      </c>
      <c r="B49" s="8" t="s">
        <v>344</v>
      </c>
      <c r="C49" s="26">
        <v>2025</v>
      </c>
      <c r="D49" s="8"/>
      <c r="E49" s="8" t="s">
        <v>345</v>
      </c>
      <c r="F49" s="20" t="s">
        <v>54</v>
      </c>
      <c r="G49" s="21" t="s">
        <v>64</v>
      </c>
      <c r="H49" s="21" t="s">
        <v>53</v>
      </c>
      <c r="I49" s="21" t="s">
        <v>53</v>
      </c>
      <c r="J49" s="21" t="s">
        <v>53</v>
      </c>
      <c r="K49" s="21" t="s">
        <v>53</v>
      </c>
      <c r="L49" s="22" t="str">
        <f t="shared" si="0"/>
        <v>EXCLUDE</v>
      </c>
      <c r="M49" s="22" t="str">
        <f t="shared" si="1"/>
        <v>Wrong domain (non-AECO)</v>
      </c>
      <c r="N49" s="23"/>
      <c r="O49" s="23"/>
      <c r="P49" s="24"/>
      <c r="Q49" s="24"/>
      <c r="R49" s="24"/>
      <c r="S49" s="22" t="str">
        <f t="shared" si="2"/>
        <v/>
      </c>
      <c r="T49" s="22" t="str">
        <f t="shared" si="3"/>
        <v/>
      </c>
      <c r="U49" s="25"/>
      <c r="V49" s="25"/>
      <c r="W49" s="25"/>
      <c r="X49" s="25"/>
      <c r="Y49" s="22" t="str">
        <f t="shared" si="4"/>
        <v/>
      </c>
      <c r="Z49" s="25"/>
      <c r="AA49" s="25"/>
      <c r="AB49" s="25"/>
      <c r="AC49" s="25"/>
      <c r="AD49" s="25"/>
      <c r="AE49" s="25"/>
      <c r="AF49" s="25"/>
      <c r="AG49" s="9"/>
      <c r="AH49" s="29"/>
      <c r="AI49" s="29"/>
      <c r="AM49" s="50"/>
      <c r="AN49" s="51" t="s">
        <v>346</v>
      </c>
      <c r="AO49" s="55" t="s">
        <v>347</v>
      </c>
    </row>
    <row r="50" spans="1:41" ht="102.6" hidden="1" customHeight="1" x14ac:dyDescent="0.3">
      <c r="A50" s="20">
        <v>46</v>
      </c>
      <c r="B50" s="8" t="s">
        <v>348</v>
      </c>
      <c r="C50" s="26">
        <v>2026</v>
      </c>
      <c r="D50" s="8"/>
      <c r="E50" s="8" t="s">
        <v>349</v>
      </c>
      <c r="F50" s="20" t="s">
        <v>54</v>
      </c>
      <c r="G50" s="21" t="s">
        <v>53</v>
      </c>
      <c r="H50" s="21" t="s">
        <v>64</v>
      </c>
      <c r="I50" s="21" t="s">
        <v>64</v>
      </c>
      <c r="J50" s="21" t="s">
        <v>53</v>
      </c>
      <c r="K50" s="21" t="s">
        <v>53</v>
      </c>
      <c r="L50" s="22" t="str">
        <f t="shared" si="0"/>
        <v>EXCLUDE</v>
      </c>
      <c r="M50" s="22" t="str">
        <f t="shared" si="1"/>
        <v>Digital Twin not core / buzzword</v>
      </c>
      <c r="N50" s="23"/>
      <c r="O50" s="23"/>
      <c r="P50" s="24"/>
      <c r="Q50" s="24"/>
      <c r="R50" s="24"/>
      <c r="S50" s="22" t="str">
        <f t="shared" si="2"/>
        <v/>
      </c>
      <c r="T50" s="22" t="str">
        <f t="shared" si="3"/>
        <v/>
      </c>
      <c r="U50" s="25"/>
      <c r="V50" s="25"/>
      <c r="W50" s="25"/>
      <c r="X50" s="25"/>
      <c r="Y50" s="22" t="str">
        <f t="shared" si="4"/>
        <v/>
      </c>
      <c r="Z50" s="25"/>
      <c r="AA50" s="25"/>
      <c r="AB50" s="25"/>
      <c r="AC50" s="25"/>
      <c r="AD50" s="25"/>
      <c r="AE50" s="25"/>
      <c r="AF50" s="25"/>
      <c r="AG50" s="9"/>
      <c r="AH50" s="29"/>
      <c r="AI50" s="29"/>
      <c r="AM50" s="50"/>
      <c r="AN50" s="51" t="s">
        <v>350</v>
      </c>
      <c r="AO50" s="55" t="s">
        <v>351</v>
      </c>
    </row>
    <row r="51" spans="1:41" ht="388.95" hidden="1" customHeight="1" x14ac:dyDescent="0.3">
      <c r="A51" s="20">
        <v>47</v>
      </c>
      <c r="B51" s="8" t="s">
        <v>352</v>
      </c>
      <c r="C51" s="26">
        <v>2025</v>
      </c>
      <c r="D51" s="8"/>
      <c r="E51" s="8" t="s">
        <v>353</v>
      </c>
      <c r="F51" s="20" t="s">
        <v>54</v>
      </c>
      <c r="G51" s="21" t="s">
        <v>53</v>
      </c>
      <c r="H51" s="21" t="s">
        <v>64</v>
      </c>
      <c r="I51" s="21" t="s">
        <v>53</v>
      </c>
      <c r="J51" s="21" t="s">
        <v>53</v>
      </c>
      <c r="K51" s="21" t="s">
        <v>53</v>
      </c>
      <c r="L51" s="22" t="str">
        <f t="shared" si="0"/>
        <v>EXCLUDE</v>
      </c>
      <c r="M51" s="22" t="str">
        <f t="shared" si="1"/>
        <v>Digital Twin not core / buzzword</v>
      </c>
      <c r="N51" s="23"/>
      <c r="O51" s="23"/>
      <c r="P51" s="24"/>
      <c r="Q51" s="24"/>
      <c r="R51" s="24"/>
      <c r="S51" s="22" t="str">
        <f t="shared" si="2"/>
        <v/>
      </c>
      <c r="T51" s="22" t="str">
        <f t="shared" si="3"/>
        <v/>
      </c>
      <c r="U51" s="25"/>
      <c r="V51" s="25"/>
      <c r="W51" s="25"/>
      <c r="X51" s="25"/>
      <c r="Y51" s="22" t="str">
        <f t="shared" si="4"/>
        <v/>
      </c>
      <c r="Z51" s="25"/>
      <c r="AA51" s="25"/>
      <c r="AB51" s="25"/>
      <c r="AC51" s="25"/>
      <c r="AD51" s="25"/>
      <c r="AE51" s="25"/>
      <c r="AF51" s="25"/>
      <c r="AG51" s="9"/>
      <c r="AH51" s="29"/>
      <c r="AI51" s="29"/>
      <c r="AM51" s="50"/>
      <c r="AN51" s="51" t="s">
        <v>354</v>
      </c>
      <c r="AO51" s="55" t="s">
        <v>355</v>
      </c>
    </row>
    <row r="52" spans="1:41" ht="45.6" hidden="1" customHeight="1" x14ac:dyDescent="0.3">
      <c r="A52" s="20">
        <v>48</v>
      </c>
      <c r="B52" s="8" t="s">
        <v>356</v>
      </c>
      <c r="C52" s="26">
        <v>2025</v>
      </c>
      <c r="D52" s="8"/>
      <c r="E52" s="8" t="s">
        <v>357</v>
      </c>
      <c r="F52" s="20" t="s">
        <v>54</v>
      </c>
      <c r="G52" s="21" t="s">
        <v>64</v>
      </c>
      <c r="H52" s="21" t="s">
        <v>53</v>
      </c>
      <c r="I52" s="21" t="s">
        <v>53</v>
      </c>
      <c r="J52" s="21" t="s">
        <v>53</v>
      </c>
      <c r="K52" s="21" t="s">
        <v>53</v>
      </c>
      <c r="L52" s="22" t="str">
        <f t="shared" si="0"/>
        <v>EXCLUDE</v>
      </c>
      <c r="M52" s="22" t="str">
        <f t="shared" si="1"/>
        <v>Wrong domain (non-AECO)</v>
      </c>
      <c r="N52" s="23"/>
      <c r="O52" s="23"/>
      <c r="P52" s="24"/>
      <c r="Q52" s="24"/>
      <c r="R52" s="24"/>
      <c r="S52" s="22" t="str">
        <f t="shared" si="2"/>
        <v/>
      </c>
      <c r="T52" s="22" t="str">
        <f t="shared" si="3"/>
        <v/>
      </c>
      <c r="U52" s="25"/>
      <c r="V52" s="25"/>
      <c r="W52" s="25"/>
      <c r="X52" s="25"/>
      <c r="Y52" s="22" t="str">
        <f t="shared" si="4"/>
        <v/>
      </c>
      <c r="Z52" s="25"/>
      <c r="AA52" s="25"/>
      <c r="AB52" s="25"/>
      <c r="AC52" s="25"/>
      <c r="AD52" s="25"/>
      <c r="AE52" s="25"/>
      <c r="AF52" s="25"/>
      <c r="AG52" s="9"/>
      <c r="AH52" s="29"/>
      <c r="AI52" s="29"/>
      <c r="AM52" s="50"/>
      <c r="AN52" s="51" t="s">
        <v>358</v>
      </c>
      <c r="AO52" s="55" t="s">
        <v>359</v>
      </c>
    </row>
    <row r="53" spans="1:41" ht="100.95" hidden="1" customHeight="1" x14ac:dyDescent="0.3">
      <c r="A53" s="20">
        <v>49</v>
      </c>
      <c r="B53" s="8" t="s">
        <v>360</v>
      </c>
      <c r="C53" s="26">
        <v>2026</v>
      </c>
      <c r="D53" s="8"/>
      <c r="E53" s="8" t="s">
        <v>361</v>
      </c>
      <c r="F53" s="20" t="s">
        <v>54</v>
      </c>
      <c r="G53" s="21" t="s">
        <v>64</v>
      </c>
      <c r="H53" s="21" t="s">
        <v>53</v>
      </c>
      <c r="I53" s="21" t="s">
        <v>53</v>
      </c>
      <c r="J53" s="21" t="s">
        <v>53</v>
      </c>
      <c r="K53" s="21" t="s">
        <v>53</v>
      </c>
      <c r="L53" s="22" t="str">
        <f t="shared" si="0"/>
        <v>EXCLUDE</v>
      </c>
      <c r="M53" s="22" t="str">
        <f t="shared" si="1"/>
        <v>Wrong domain (non-AECO)</v>
      </c>
      <c r="N53" s="23"/>
      <c r="O53" s="23"/>
      <c r="P53" s="24"/>
      <c r="Q53" s="24"/>
      <c r="R53" s="24"/>
      <c r="S53" s="22" t="str">
        <f t="shared" si="2"/>
        <v/>
      </c>
      <c r="T53" s="22" t="str">
        <f t="shared" si="3"/>
        <v/>
      </c>
      <c r="U53" s="25"/>
      <c r="V53" s="25"/>
      <c r="W53" s="25"/>
      <c r="X53" s="25"/>
      <c r="Y53" s="22" t="str">
        <f t="shared" si="4"/>
        <v/>
      </c>
      <c r="Z53" s="25"/>
      <c r="AA53" s="25"/>
      <c r="AB53" s="25"/>
      <c r="AC53" s="25"/>
      <c r="AD53" s="25"/>
      <c r="AE53" s="25"/>
      <c r="AF53" s="25"/>
      <c r="AG53" s="9"/>
      <c r="AH53" s="29"/>
      <c r="AI53" s="29"/>
      <c r="AM53" s="50"/>
      <c r="AN53" s="51" t="s">
        <v>362</v>
      </c>
      <c r="AO53" s="55" t="s">
        <v>363</v>
      </c>
    </row>
    <row r="54" spans="1:41" ht="144" hidden="1" customHeight="1" x14ac:dyDescent="0.3">
      <c r="A54" s="20">
        <v>50</v>
      </c>
      <c r="B54" s="8" t="s">
        <v>364</v>
      </c>
      <c r="C54" s="26">
        <v>2026</v>
      </c>
      <c r="D54" s="8"/>
      <c r="E54" s="8" t="s">
        <v>365</v>
      </c>
      <c r="F54" s="20" t="s">
        <v>54</v>
      </c>
      <c r="G54" s="21" t="s">
        <v>53</v>
      </c>
      <c r="H54" s="21" t="s">
        <v>64</v>
      </c>
      <c r="I54" s="21" t="s">
        <v>53</v>
      </c>
      <c r="J54" s="21" t="s">
        <v>53</v>
      </c>
      <c r="K54" s="21" t="s">
        <v>53</v>
      </c>
      <c r="L54" s="22" t="str">
        <f t="shared" si="0"/>
        <v>EXCLUDE</v>
      </c>
      <c r="M54" s="22" t="str">
        <f t="shared" si="1"/>
        <v>Digital Twin not core / buzzword</v>
      </c>
      <c r="N54" s="23"/>
      <c r="O54" s="23"/>
      <c r="P54" s="24"/>
      <c r="Q54" s="24"/>
      <c r="R54" s="24"/>
      <c r="S54" s="22" t="str">
        <f t="shared" si="2"/>
        <v/>
      </c>
      <c r="T54" s="22" t="str">
        <f t="shared" si="3"/>
        <v/>
      </c>
      <c r="U54" s="25"/>
      <c r="V54" s="25"/>
      <c r="W54" s="25"/>
      <c r="X54" s="25"/>
      <c r="Y54" s="22" t="str">
        <f t="shared" si="4"/>
        <v/>
      </c>
      <c r="Z54" s="25"/>
      <c r="AA54" s="25"/>
      <c r="AB54" s="25"/>
      <c r="AC54" s="25"/>
      <c r="AD54" s="25"/>
      <c r="AE54" s="25"/>
      <c r="AF54" s="25"/>
      <c r="AG54" s="9"/>
      <c r="AH54" s="29"/>
      <c r="AI54" s="29"/>
      <c r="AM54" s="50"/>
      <c r="AN54" s="51" t="s">
        <v>366</v>
      </c>
      <c r="AO54" s="55" t="s">
        <v>367</v>
      </c>
    </row>
    <row r="55" spans="1:41" ht="34.200000000000003" hidden="1" customHeight="1" x14ac:dyDescent="0.3">
      <c r="A55" s="20">
        <v>51</v>
      </c>
      <c r="B55" s="8" t="s">
        <v>368</v>
      </c>
      <c r="C55" s="26">
        <v>2026</v>
      </c>
      <c r="D55" s="8"/>
      <c r="E55" s="8" t="s">
        <v>369</v>
      </c>
      <c r="F55" s="20" t="s">
        <v>54</v>
      </c>
      <c r="G55" s="21" t="s">
        <v>64</v>
      </c>
      <c r="H55" s="21" t="s">
        <v>53</v>
      </c>
      <c r="I55" s="21" t="s">
        <v>64</v>
      </c>
      <c r="J55" s="21" t="s">
        <v>53</v>
      </c>
      <c r="K55" s="21" t="s">
        <v>53</v>
      </c>
      <c r="L55" s="22" t="str">
        <f t="shared" si="0"/>
        <v>EXCLUDE</v>
      </c>
      <c r="M55" s="22" t="str">
        <f t="shared" si="1"/>
        <v>Wrong domain (non-AECO)</v>
      </c>
      <c r="N55" s="23"/>
      <c r="O55" s="23"/>
      <c r="P55" s="24"/>
      <c r="Q55" s="24"/>
      <c r="R55" s="24"/>
      <c r="S55" s="22" t="str">
        <f t="shared" si="2"/>
        <v/>
      </c>
      <c r="T55" s="22" t="str">
        <f t="shared" si="3"/>
        <v/>
      </c>
      <c r="U55" s="25"/>
      <c r="V55" s="25"/>
      <c r="W55" s="25"/>
      <c r="X55" s="25"/>
      <c r="Y55" s="22" t="str">
        <f t="shared" si="4"/>
        <v/>
      </c>
      <c r="Z55" s="25"/>
      <c r="AA55" s="25"/>
      <c r="AB55" s="25"/>
      <c r="AC55" s="25"/>
      <c r="AD55" s="25"/>
      <c r="AE55" s="25"/>
      <c r="AF55" s="25"/>
      <c r="AG55" s="9"/>
      <c r="AH55" s="29"/>
      <c r="AI55" s="29"/>
      <c r="AM55" s="50"/>
      <c r="AN55" s="51" t="s">
        <v>370</v>
      </c>
      <c r="AO55" s="55" t="s">
        <v>371</v>
      </c>
    </row>
    <row r="56" spans="1:41" ht="57" hidden="1" customHeight="1" x14ac:dyDescent="0.3">
      <c r="A56" s="20">
        <v>52</v>
      </c>
      <c r="B56" s="8" t="s">
        <v>372</v>
      </c>
      <c r="C56" s="26">
        <v>2026</v>
      </c>
      <c r="D56" s="8"/>
      <c r="E56" s="8" t="s">
        <v>373</v>
      </c>
      <c r="F56" s="20" t="s">
        <v>54</v>
      </c>
      <c r="G56" s="21" t="s">
        <v>53</v>
      </c>
      <c r="H56" s="21" t="s">
        <v>53</v>
      </c>
      <c r="I56" s="21" t="s">
        <v>64</v>
      </c>
      <c r="J56" s="21" t="s">
        <v>53</v>
      </c>
      <c r="K56" s="21" t="s">
        <v>53</v>
      </c>
      <c r="L56" s="22" t="str">
        <f t="shared" si="0"/>
        <v>EXCLUDE</v>
      </c>
      <c r="M56" s="22" t="str">
        <f t="shared" si="1"/>
        <v>No Design for Safety/Quality/PtD</v>
      </c>
      <c r="N56" s="23"/>
      <c r="O56" s="23"/>
      <c r="P56" s="24"/>
      <c r="Q56" s="24"/>
      <c r="R56" s="24"/>
      <c r="S56" s="22" t="str">
        <f t="shared" si="2"/>
        <v/>
      </c>
      <c r="T56" s="22" t="str">
        <f t="shared" si="3"/>
        <v/>
      </c>
      <c r="U56" s="25"/>
      <c r="V56" s="25"/>
      <c r="W56" s="25"/>
      <c r="X56" s="25"/>
      <c r="Y56" s="22" t="str">
        <f t="shared" si="4"/>
        <v/>
      </c>
      <c r="Z56" s="25"/>
      <c r="AA56" s="25"/>
      <c r="AB56" s="25"/>
      <c r="AC56" s="25"/>
      <c r="AD56" s="25"/>
      <c r="AE56" s="25"/>
      <c r="AF56" s="25"/>
      <c r="AG56" s="9"/>
      <c r="AH56" s="29"/>
      <c r="AI56" s="29"/>
      <c r="AM56" s="50"/>
      <c r="AN56" s="51" t="s">
        <v>374</v>
      </c>
      <c r="AO56" s="55" t="s">
        <v>375</v>
      </c>
    </row>
    <row r="57" spans="1:41" ht="57" hidden="1" customHeight="1" x14ac:dyDescent="0.3">
      <c r="A57" s="20">
        <v>53</v>
      </c>
      <c r="B57" s="8" t="s">
        <v>376</v>
      </c>
      <c r="C57" s="26">
        <v>2026</v>
      </c>
      <c r="D57" s="8"/>
      <c r="E57" s="8" t="s">
        <v>377</v>
      </c>
      <c r="F57" s="20" t="s">
        <v>54</v>
      </c>
      <c r="G57" s="21" t="s">
        <v>64</v>
      </c>
      <c r="H57" s="21" t="s">
        <v>53</v>
      </c>
      <c r="I57" s="21" t="s">
        <v>53</v>
      </c>
      <c r="J57" s="21" t="s">
        <v>53</v>
      </c>
      <c r="K57" s="21" t="s">
        <v>53</v>
      </c>
      <c r="L57" s="22" t="str">
        <f t="shared" si="0"/>
        <v>EXCLUDE</v>
      </c>
      <c r="M57" s="22" t="str">
        <f t="shared" si="1"/>
        <v>Wrong domain (non-AECO)</v>
      </c>
      <c r="N57" s="23"/>
      <c r="O57" s="23"/>
      <c r="P57" s="24"/>
      <c r="Q57" s="24"/>
      <c r="R57" s="24"/>
      <c r="S57" s="22" t="str">
        <f t="shared" si="2"/>
        <v/>
      </c>
      <c r="T57" s="22" t="str">
        <f t="shared" si="3"/>
        <v/>
      </c>
      <c r="U57" s="25"/>
      <c r="V57" s="25"/>
      <c r="W57" s="25"/>
      <c r="X57" s="25"/>
      <c r="Y57" s="22" t="str">
        <f t="shared" si="4"/>
        <v/>
      </c>
      <c r="Z57" s="25"/>
      <c r="AA57" s="25"/>
      <c r="AB57" s="25"/>
      <c r="AC57" s="25"/>
      <c r="AD57" s="25"/>
      <c r="AE57" s="25"/>
      <c r="AF57" s="25"/>
      <c r="AG57" s="9"/>
      <c r="AH57" s="29"/>
      <c r="AI57" s="29"/>
      <c r="AM57" s="50"/>
      <c r="AN57" s="51" t="s">
        <v>378</v>
      </c>
      <c r="AO57" s="55" t="s">
        <v>379</v>
      </c>
    </row>
    <row r="58" spans="1:41" ht="34.200000000000003" hidden="1" customHeight="1" x14ac:dyDescent="0.3">
      <c r="A58" s="20">
        <v>54</v>
      </c>
      <c r="B58" s="8" t="s">
        <v>380</v>
      </c>
      <c r="C58" s="26">
        <v>2026</v>
      </c>
      <c r="D58" s="8"/>
      <c r="E58" s="8" t="s">
        <v>381</v>
      </c>
      <c r="F58" s="20" t="s">
        <v>54</v>
      </c>
      <c r="G58" s="21" t="s">
        <v>64</v>
      </c>
      <c r="H58" s="21" t="s">
        <v>53</v>
      </c>
      <c r="I58" s="21" t="s">
        <v>53</v>
      </c>
      <c r="J58" s="21" t="s">
        <v>53</v>
      </c>
      <c r="K58" s="21" t="s">
        <v>53</v>
      </c>
      <c r="L58" s="22" t="str">
        <f t="shared" si="0"/>
        <v>EXCLUDE</v>
      </c>
      <c r="M58" s="22" t="str">
        <f t="shared" si="1"/>
        <v>Wrong domain (non-AECO)</v>
      </c>
      <c r="N58" s="23"/>
      <c r="O58" s="23"/>
      <c r="P58" s="24"/>
      <c r="Q58" s="24"/>
      <c r="R58" s="24"/>
      <c r="S58" s="22" t="str">
        <f t="shared" si="2"/>
        <v/>
      </c>
      <c r="T58" s="22" t="str">
        <f t="shared" si="3"/>
        <v/>
      </c>
      <c r="U58" s="25"/>
      <c r="V58" s="25"/>
      <c r="W58" s="25"/>
      <c r="X58" s="25"/>
      <c r="Y58" s="22" t="str">
        <f t="shared" si="4"/>
        <v/>
      </c>
      <c r="Z58" s="25"/>
      <c r="AA58" s="25"/>
      <c r="AB58" s="25"/>
      <c r="AC58" s="25"/>
      <c r="AD58" s="25"/>
      <c r="AE58" s="25"/>
      <c r="AF58" s="25"/>
      <c r="AG58" s="9"/>
      <c r="AH58" s="29"/>
      <c r="AI58" s="29"/>
      <c r="AM58" s="50"/>
      <c r="AN58" s="51" t="s">
        <v>382</v>
      </c>
      <c r="AO58" s="55" t="s">
        <v>383</v>
      </c>
    </row>
    <row r="59" spans="1:41" ht="68.400000000000006" customHeight="1" x14ac:dyDescent="0.3">
      <c r="A59" s="20">
        <v>55</v>
      </c>
      <c r="B59" s="8" t="s">
        <v>384</v>
      </c>
      <c r="C59" s="26">
        <v>2026</v>
      </c>
      <c r="D59" s="8"/>
      <c r="E59" s="8" t="s">
        <v>385</v>
      </c>
      <c r="F59" s="20" t="s">
        <v>54</v>
      </c>
      <c r="G59" s="21" t="s">
        <v>53</v>
      </c>
      <c r="H59" s="21" t="s">
        <v>53</v>
      </c>
      <c r="I59" s="21" t="s">
        <v>53</v>
      </c>
      <c r="J59" s="21" t="s">
        <v>53</v>
      </c>
      <c r="K59" s="21" t="s">
        <v>53</v>
      </c>
      <c r="L59" s="22" t="str">
        <f t="shared" si="0"/>
        <v>INCLUDE</v>
      </c>
      <c r="M59" s="22" t="str">
        <f t="shared" si="1"/>
        <v/>
      </c>
      <c r="N59" s="23" t="s">
        <v>53</v>
      </c>
      <c r="O59" s="23" t="s">
        <v>53</v>
      </c>
      <c r="P59" s="24" t="s">
        <v>53</v>
      </c>
      <c r="Q59" s="24" t="s">
        <v>53</v>
      </c>
      <c r="R59" s="24" t="s">
        <v>53</v>
      </c>
      <c r="S59" s="22" t="str">
        <f t="shared" si="2"/>
        <v>INCLUDE</v>
      </c>
      <c r="T59" s="22" t="str">
        <f t="shared" si="3"/>
        <v/>
      </c>
      <c r="U59" s="25" t="s">
        <v>67</v>
      </c>
      <c r="V59" s="25">
        <v>0</v>
      </c>
      <c r="W59" s="25">
        <v>1</v>
      </c>
      <c r="X59" s="25">
        <v>0</v>
      </c>
      <c r="Y59" s="22" t="str">
        <f t="shared" si="4"/>
        <v>Single</v>
      </c>
      <c r="Z59" s="25" t="s">
        <v>9</v>
      </c>
      <c r="AA59" s="25" t="s">
        <v>78</v>
      </c>
      <c r="AB59" s="25" t="s">
        <v>104</v>
      </c>
      <c r="AC59" s="25" t="s">
        <v>70</v>
      </c>
      <c r="AD59" s="25" t="s">
        <v>89</v>
      </c>
      <c r="AE59" s="25">
        <v>4</v>
      </c>
      <c r="AF59" s="25" t="s">
        <v>96</v>
      </c>
      <c r="AG59" s="9" t="s">
        <v>386</v>
      </c>
      <c r="AH59" s="29" t="s">
        <v>387</v>
      </c>
      <c r="AI59" s="29" t="s">
        <v>388</v>
      </c>
      <c r="AJ59" t="s">
        <v>91</v>
      </c>
      <c r="AK59" t="s">
        <v>389</v>
      </c>
      <c r="AL59" t="s">
        <v>74</v>
      </c>
      <c r="AM59" s="50"/>
      <c r="AN59" s="51" t="s">
        <v>390</v>
      </c>
      <c r="AO59" s="55" t="s">
        <v>391</v>
      </c>
    </row>
    <row r="60" spans="1:41" ht="68.400000000000006" hidden="1" customHeight="1" x14ac:dyDescent="0.3">
      <c r="A60" s="20">
        <v>56</v>
      </c>
      <c r="B60" s="8" t="s">
        <v>392</v>
      </c>
      <c r="C60" s="26">
        <v>2026</v>
      </c>
      <c r="D60" s="8"/>
      <c r="E60" s="8" t="s">
        <v>393</v>
      </c>
      <c r="F60" s="20" t="s">
        <v>54</v>
      </c>
      <c r="G60" s="21" t="s">
        <v>64</v>
      </c>
      <c r="H60" s="21" t="s">
        <v>64</v>
      </c>
      <c r="I60" s="21" t="s">
        <v>53</v>
      </c>
      <c r="J60" s="21" t="s">
        <v>53</v>
      </c>
      <c r="K60" s="21" t="s">
        <v>53</v>
      </c>
      <c r="L60" s="22" t="str">
        <f t="shared" si="0"/>
        <v>EXCLUDE</v>
      </c>
      <c r="M60" s="22" t="str">
        <f t="shared" si="1"/>
        <v>Wrong domain (non-AECO)</v>
      </c>
      <c r="N60" s="23"/>
      <c r="O60" s="23"/>
      <c r="P60" s="24"/>
      <c r="Q60" s="24"/>
      <c r="R60" s="24"/>
      <c r="S60" s="22" t="str">
        <f t="shared" si="2"/>
        <v/>
      </c>
      <c r="T60" s="22" t="str">
        <f t="shared" si="3"/>
        <v/>
      </c>
      <c r="U60" s="25"/>
      <c r="V60" s="25"/>
      <c r="W60" s="25"/>
      <c r="X60" s="25"/>
      <c r="Y60" s="22" t="str">
        <f t="shared" si="4"/>
        <v/>
      </c>
      <c r="Z60" s="25"/>
      <c r="AA60" s="25"/>
      <c r="AB60" s="25"/>
      <c r="AC60" s="25"/>
      <c r="AD60" s="25"/>
      <c r="AE60" s="25"/>
      <c r="AF60" s="25"/>
      <c r="AG60" s="9"/>
      <c r="AH60" s="29"/>
      <c r="AI60" s="29"/>
      <c r="AM60" s="50"/>
      <c r="AN60" s="51" t="s">
        <v>394</v>
      </c>
      <c r="AO60" s="55" t="s">
        <v>395</v>
      </c>
    </row>
    <row r="61" spans="1:41" ht="45.6" customHeight="1" x14ac:dyDescent="0.3">
      <c r="A61" s="20">
        <v>57</v>
      </c>
      <c r="B61" s="8" t="s">
        <v>396</v>
      </c>
      <c r="C61" s="26">
        <v>2026</v>
      </c>
      <c r="D61" s="8"/>
      <c r="E61" s="8" t="s">
        <v>397</v>
      </c>
      <c r="F61" s="20" t="s">
        <v>54</v>
      </c>
      <c r="G61" s="21" t="s">
        <v>53</v>
      </c>
      <c r="H61" s="21" t="s">
        <v>53</v>
      </c>
      <c r="I61" s="21" t="s">
        <v>53</v>
      </c>
      <c r="J61" s="21" t="s">
        <v>53</v>
      </c>
      <c r="K61" s="21" t="s">
        <v>53</v>
      </c>
      <c r="L61" s="22" t="str">
        <f t="shared" si="0"/>
        <v>INCLUDE</v>
      </c>
      <c r="M61" s="22" t="str">
        <f t="shared" si="1"/>
        <v/>
      </c>
      <c r="N61" s="23" t="s">
        <v>53</v>
      </c>
      <c r="O61" s="23" t="s">
        <v>53</v>
      </c>
      <c r="P61" s="24" t="s">
        <v>53</v>
      </c>
      <c r="Q61" s="24" t="s">
        <v>53</v>
      </c>
      <c r="R61" s="24" t="s">
        <v>53</v>
      </c>
      <c r="S61" s="22" t="str">
        <f t="shared" si="2"/>
        <v>INCLUDE</v>
      </c>
      <c r="T61" s="22" t="str">
        <f t="shared" si="3"/>
        <v/>
      </c>
      <c r="U61" s="25" t="s">
        <v>67</v>
      </c>
      <c r="V61" s="25">
        <v>0</v>
      </c>
      <c r="W61" s="25">
        <v>0</v>
      </c>
      <c r="X61" s="25">
        <v>1</v>
      </c>
      <c r="Y61" s="22" t="str">
        <f t="shared" si="4"/>
        <v>Single</v>
      </c>
      <c r="Z61" s="25" t="s">
        <v>9</v>
      </c>
      <c r="AA61" s="25" t="s">
        <v>78</v>
      </c>
      <c r="AB61" s="25" t="s">
        <v>94</v>
      </c>
      <c r="AC61" s="25" t="s">
        <v>70</v>
      </c>
      <c r="AD61" s="25" t="s">
        <v>95</v>
      </c>
      <c r="AE61" s="25">
        <v>4</v>
      </c>
      <c r="AF61" s="25" t="s">
        <v>96</v>
      </c>
      <c r="AG61" s="9" t="s">
        <v>398</v>
      </c>
      <c r="AH61" s="29" t="s">
        <v>399</v>
      </c>
      <c r="AI61" s="29" t="s">
        <v>400</v>
      </c>
      <c r="AJ61" t="s">
        <v>91</v>
      </c>
      <c r="AK61" t="s">
        <v>401</v>
      </c>
      <c r="AL61" t="s">
        <v>63</v>
      </c>
      <c r="AM61" s="50"/>
      <c r="AN61" s="51" t="s">
        <v>402</v>
      </c>
      <c r="AO61" s="55" t="s">
        <v>403</v>
      </c>
    </row>
    <row r="62" spans="1:41" ht="57" hidden="1" customHeight="1" x14ac:dyDescent="0.3">
      <c r="A62" s="20">
        <v>58</v>
      </c>
      <c r="B62" s="8" t="s">
        <v>404</v>
      </c>
      <c r="C62" s="26">
        <v>2025</v>
      </c>
      <c r="D62" s="8"/>
      <c r="E62" s="8" t="s">
        <v>405</v>
      </c>
      <c r="F62" s="20" t="s">
        <v>54</v>
      </c>
      <c r="G62" s="21" t="s">
        <v>53</v>
      </c>
      <c r="H62" s="21" t="s">
        <v>64</v>
      </c>
      <c r="I62" s="21" t="s">
        <v>64</v>
      </c>
      <c r="J62" s="21" t="s">
        <v>53</v>
      </c>
      <c r="K62" s="21" t="s">
        <v>53</v>
      </c>
      <c r="L62" s="22" t="str">
        <f t="shared" si="0"/>
        <v>EXCLUDE</v>
      </c>
      <c r="M62" s="22" t="str">
        <f t="shared" si="1"/>
        <v>Digital Twin not core / buzzword</v>
      </c>
      <c r="N62" s="23"/>
      <c r="O62" s="23"/>
      <c r="P62" s="24"/>
      <c r="Q62" s="24"/>
      <c r="R62" s="24"/>
      <c r="S62" s="22" t="str">
        <f t="shared" si="2"/>
        <v/>
      </c>
      <c r="T62" s="22" t="str">
        <f t="shared" si="3"/>
        <v/>
      </c>
      <c r="U62" s="25"/>
      <c r="V62" s="25"/>
      <c r="W62" s="25"/>
      <c r="X62" s="25"/>
      <c r="Y62" s="22" t="str">
        <f t="shared" si="4"/>
        <v/>
      </c>
      <c r="Z62" s="25"/>
      <c r="AA62" s="25"/>
      <c r="AB62" s="25"/>
      <c r="AC62" s="25"/>
      <c r="AD62" s="25"/>
      <c r="AE62" s="25"/>
      <c r="AF62" s="25"/>
      <c r="AG62" s="9"/>
      <c r="AH62" s="29"/>
      <c r="AI62" s="29"/>
      <c r="AM62" s="50"/>
      <c r="AN62" s="51" t="s">
        <v>406</v>
      </c>
      <c r="AO62" s="55" t="s">
        <v>407</v>
      </c>
    </row>
    <row r="63" spans="1:41" ht="68.400000000000006" hidden="1" customHeight="1" x14ac:dyDescent="0.3">
      <c r="A63" s="20">
        <v>59</v>
      </c>
      <c r="B63" s="8" t="s">
        <v>408</v>
      </c>
      <c r="C63" s="26">
        <v>2026</v>
      </c>
      <c r="D63" s="8"/>
      <c r="E63" s="8" t="s">
        <v>409</v>
      </c>
      <c r="F63" s="20" t="s">
        <v>54</v>
      </c>
      <c r="G63" s="21" t="s">
        <v>64</v>
      </c>
      <c r="H63" s="21" t="s">
        <v>53</v>
      </c>
      <c r="I63" s="21" t="s">
        <v>53</v>
      </c>
      <c r="J63" s="21" t="s">
        <v>53</v>
      </c>
      <c r="K63" s="21" t="s">
        <v>53</v>
      </c>
      <c r="L63" s="22" t="str">
        <f t="shared" si="0"/>
        <v>EXCLUDE</v>
      </c>
      <c r="M63" s="22" t="str">
        <f t="shared" si="1"/>
        <v>Wrong domain (non-AECO)</v>
      </c>
      <c r="N63" s="23"/>
      <c r="O63" s="23"/>
      <c r="P63" s="24"/>
      <c r="Q63" s="24"/>
      <c r="R63" s="24"/>
      <c r="S63" s="22" t="str">
        <f t="shared" si="2"/>
        <v/>
      </c>
      <c r="T63" s="22" t="str">
        <f t="shared" si="3"/>
        <v/>
      </c>
      <c r="U63" s="25"/>
      <c r="V63" s="25"/>
      <c r="W63" s="25"/>
      <c r="X63" s="25"/>
      <c r="Y63" s="22" t="str">
        <f t="shared" si="4"/>
        <v/>
      </c>
      <c r="Z63" s="25"/>
      <c r="AA63" s="25"/>
      <c r="AB63" s="25"/>
      <c r="AC63" s="25"/>
      <c r="AD63" s="25"/>
      <c r="AE63" s="25"/>
      <c r="AF63" s="25"/>
      <c r="AG63" s="9"/>
      <c r="AH63" s="29"/>
      <c r="AI63" s="29"/>
      <c r="AM63" s="50"/>
      <c r="AN63" s="51" t="s">
        <v>410</v>
      </c>
      <c r="AO63" s="55" t="s">
        <v>411</v>
      </c>
    </row>
    <row r="64" spans="1:41" ht="57" hidden="1" customHeight="1" x14ac:dyDescent="0.3">
      <c r="A64" s="20">
        <v>60</v>
      </c>
      <c r="B64" s="8" t="s">
        <v>412</v>
      </c>
      <c r="C64" s="26">
        <v>2025</v>
      </c>
      <c r="D64" s="8"/>
      <c r="E64" s="8" t="s">
        <v>413</v>
      </c>
      <c r="F64" s="20" t="s">
        <v>54</v>
      </c>
      <c r="G64" s="21" t="s">
        <v>64</v>
      </c>
      <c r="H64" s="21" t="s">
        <v>53</v>
      </c>
      <c r="I64" s="21" t="s">
        <v>53</v>
      </c>
      <c r="J64" s="21" t="s">
        <v>53</v>
      </c>
      <c r="K64" s="21" t="s">
        <v>53</v>
      </c>
      <c r="L64" s="22" t="str">
        <f t="shared" si="0"/>
        <v>EXCLUDE</v>
      </c>
      <c r="M64" s="22" t="str">
        <f t="shared" si="1"/>
        <v>Wrong domain (non-AECO)</v>
      </c>
      <c r="N64" s="23"/>
      <c r="O64" s="23"/>
      <c r="P64" s="24"/>
      <c r="Q64" s="24"/>
      <c r="R64" s="24"/>
      <c r="S64" s="22" t="str">
        <f t="shared" si="2"/>
        <v/>
      </c>
      <c r="T64" s="22" t="str">
        <f t="shared" si="3"/>
        <v/>
      </c>
      <c r="U64" s="25"/>
      <c r="V64" s="25"/>
      <c r="W64" s="25"/>
      <c r="X64" s="25"/>
      <c r="Y64" s="22" t="str">
        <f t="shared" si="4"/>
        <v/>
      </c>
      <c r="Z64" s="25"/>
      <c r="AA64" s="25"/>
      <c r="AB64" s="25"/>
      <c r="AC64" s="25"/>
      <c r="AD64" s="25"/>
      <c r="AE64" s="25"/>
      <c r="AF64" s="25"/>
      <c r="AG64" s="9"/>
      <c r="AH64" s="29"/>
      <c r="AI64" s="29"/>
      <c r="AM64" s="50"/>
      <c r="AN64" s="51" t="s">
        <v>414</v>
      </c>
      <c r="AO64" s="55" t="s">
        <v>415</v>
      </c>
    </row>
    <row r="65" spans="1:41" ht="91.2" hidden="1" customHeight="1" x14ac:dyDescent="0.3">
      <c r="A65" s="20">
        <v>61</v>
      </c>
      <c r="B65" s="8" t="s">
        <v>416</v>
      </c>
      <c r="C65" s="26">
        <v>2026</v>
      </c>
      <c r="D65" s="8"/>
      <c r="E65" s="8" t="s">
        <v>417</v>
      </c>
      <c r="F65" s="20" t="s">
        <v>54</v>
      </c>
      <c r="G65" s="21" t="s">
        <v>53</v>
      </c>
      <c r="H65" s="21" t="s">
        <v>64</v>
      </c>
      <c r="I65" s="21" t="s">
        <v>64</v>
      </c>
      <c r="J65" s="21" t="s">
        <v>53</v>
      </c>
      <c r="K65" s="21" t="s">
        <v>53</v>
      </c>
      <c r="L65" s="22" t="str">
        <f t="shared" si="0"/>
        <v>EXCLUDE</v>
      </c>
      <c r="M65" s="22" t="str">
        <f t="shared" si="1"/>
        <v>Digital Twin not core / buzzword</v>
      </c>
      <c r="N65" s="23"/>
      <c r="O65" s="23"/>
      <c r="P65" s="24"/>
      <c r="Q65" s="24"/>
      <c r="R65" s="24"/>
      <c r="S65" s="22" t="str">
        <f t="shared" si="2"/>
        <v/>
      </c>
      <c r="T65" s="22" t="str">
        <f t="shared" si="3"/>
        <v/>
      </c>
      <c r="U65" s="25"/>
      <c r="V65" s="25"/>
      <c r="W65" s="25"/>
      <c r="X65" s="25"/>
      <c r="Y65" s="22" t="str">
        <f t="shared" si="4"/>
        <v/>
      </c>
      <c r="Z65" s="25"/>
      <c r="AA65" s="25"/>
      <c r="AB65" s="25"/>
      <c r="AC65" s="25"/>
      <c r="AD65" s="25"/>
      <c r="AE65" s="25"/>
      <c r="AF65" s="25"/>
      <c r="AG65" s="9"/>
      <c r="AH65" s="29"/>
      <c r="AI65" s="29"/>
      <c r="AM65" s="50"/>
      <c r="AN65" s="51" t="s">
        <v>418</v>
      </c>
      <c r="AO65" s="55" t="s">
        <v>419</v>
      </c>
    </row>
    <row r="66" spans="1:41" ht="68.400000000000006" customHeight="1" x14ac:dyDescent="0.3">
      <c r="A66" s="20">
        <v>62</v>
      </c>
      <c r="B66" s="8" t="s">
        <v>420</v>
      </c>
      <c r="C66" s="26">
        <v>2025</v>
      </c>
      <c r="D66" s="8"/>
      <c r="E66" s="8" t="s">
        <v>421</v>
      </c>
      <c r="F66" s="20" t="s">
        <v>54</v>
      </c>
      <c r="G66" s="21" t="s">
        <v>53</v>
      </c>
      <c r="H66" s="21" t="s">
        <v>53</v>
      </c>
      <c r="I66" s="21" t="s">
        <v>53</v>
      </c>
      <c r="J66" s="21" t="s">
        <v>53</v>
      </c>
      <c r="K66" s="21" t="s">
        <v>53</v>
      </c>
      <c r="L66" s="22" t="str">
        <f t="shared" si="0"/>
        <v>INCLUDE</v>
      </c>
      <c r="M66" s="22" t="str">
        <f t="shared" si="1"/>
        <v/>
      </c>
      <c r="N66" s="23" t="s">
        <v>53</v>
      </c>
      <c r="O66" s="23" t="s">
        <v>53</v>
      </c>
      <c r="P66" s="24" t="s">
        <v>53</v>
      </c>
      <c r="Q66" s="24" t="s">
        <v>53</v>
      </c>
      <c r="R66" s="24" t="s">
        <v>53</v>
      </c>
      <c r="S66" s="22" t="str">
        <f t="shared" si="2"/>
        <v>INCLUDE</v>
      </c>
      <c r="T66" s="22" t="str">
        <f t="shared" si="3"/>
        <v/>
      </c>
      <c r="U66" s="25" t="s">
        <v>56</v>
      </c>
      <c r="V66" s="25">
        <v>0</v>
      </c>
      <c r="W66" s="25">
        <v>0</v>
      </c>
      <c r="X66" s="25">
        <v>1</v>
      </c>
      <c r="Y66" s="22" t="str">
        <f t="shared" si="4"/>
        <v>Single</v>
      </c>
      <c r="Z66" s="25" t="s">
        <v>9</v>
      </c>
      <c r="AA66" s="25" t="s">
        <v>57</v>
      </c>
      <c r="AB66" s="25" t="s">
        <v>104</v>
      </c>
      <c r="AC66" s="25" t="s">
        <v>70</v>
      </c>
      <c r="AD66" s="25" t="s">
        <v>71</v>
      </c>
      <c r="AE66" s="25">
        <v>3</v>
      </c>
      <c r="AF66" s="25" t="s">
        <v>96</v>
      </c>
      <c r="AG66" s="9" t="s">
        <v>422</v>
      </c>
      <c r="AH66" s="29" t="s">
        <v>423</v>
      </c>
      <c r="AI66" s="29" t="s">
        <v>424</v>
      </c>
      <c r="AJ66" t="s">
        <v>91</v>
      </c>
      <c r="AK66" t="s">
        <v>425</v>
      </c>
      <c r="AL66" t="s">
        <v>74</v>
      </c>
      <c r="AM66" s="50"/>
      <c r="AN66" s="51" t="s">
        <v>426</v>
      </c>
      <c r="AO66" s="55" t="s">
        <v>427</v>
      </c>
    </row>
    <row r="67" spans="1:41" ht="68.400000000000006" customHeight="1" x14ac:dyDescent="0.3">
      <c r="A67" s="20">
        <v>63</v>
      </c>
      <c r="B67" s="8" t="s">
        <v>428</v>
      </c>
      <c r="C67" s="26">
        <v>2025</v>
      </c>
      <c r="D67" s="8"/>
      <c r="E67" s="8" t="s">
        <v>429</v>
      </c>
      <c r="F67" s="20" t="s">
        <v>54</v>
      </c>
      <c r="G67" s="21" t="s">
        <v>53</v>
      </c>
      <c r="H67" s="21" t="s">
        <v>53</v>
      </c>
      <c r="I67" s="21" t="s">
        <v>53</v>
      </c>
      <c r="J67" s="21" t="s">
        <v>53</v>
      </c>
      <c r="K67" s="21" t="s">
        <v>53</v>
      </c>
      <c r="L67" s="22" t="str">
        <f t="shared" si="0"/>
        <v>INCLUDE</v>
      </c>
      <c r="M67" s="22" t="str">
        <f t="shared" si="1"/>
        <v/>
      </c>
      <c r="N67" s="23" t="s">
        <v>53</v>
      </c>
      <c r="O67" s="23" t="s">
        <v>53</v>
      </c>
      <c r="P67" s="24" t="s">
        <v>53</v>
      </c>
      <c r="Q67" s="24" t="s">
        <v>53</v>
      </c>
      <c r="R67" s="24" t="s">
        <v>53</v>
      </c>
      <c r="S67" s="22" t="str">
        <f t="shared" si="2"/>
        <v>INCLUDE</v>
      </c>
      <c r="T67" s="22" t="str">
        <f t="shared" si="3"/>
        <v/>
      </c>
      <c r="U67" s="25" t="s">
        <v>67</v>
      </c>
      <c r="V67" s="25">
        <v>0</v>
      </c>
      <c r="W67" s="25">
        <v>0</v>
      </c>
      <c r="X67" s="25">
        <v>1</v>
      </c>
      <c r="Y67" s="22" t="str">
        <f t="shared" si="4"/>
        <v>Single</v>
      </c>
      <c r="Z67" s="25" t="s">
        <v>9</v>
      </c>
      <c r="AA67" s="25" t="s">
        <v>57</v>
      </c>
      <c r="AB67" s="25" t="s">
        <v>103</v>
      </c>
      <c r="AC67" s="25" t="s">
        <v>70</v>
      </c>
      <c r="AD67" s="25" t="s">
        <v>89</v>
      </c>
      <c r="AE67" s="25">
        <v>3</v>
      </c>
      <c r="AF67" s="25" t="s">
        <v>61</v>
      </c>
      <c r="AG67" s="9" t="s">
        <v>430</v>
      </c>
      <c r="AH67" s="29" t="s">
        <v>431</v>
      </c>
      <c r="AI67" s="29" t="s">
        <v>432</v>
      </c>
      <c r="AJ67" t="s">
        <v>91</v>
      </c>
      <c r="AK67" t="s">
        <v>433</v>
      </c>
      <c r="AL67" t="s">
        <v>74</v>
      </c>
      <c r="AM67" s="50"/>
      <c r="AN67" s="51" t="s">
        <v>434</v>
      </c>
      <c r="AO67" s="55" t="s">
        <v>435</v>
      </c>
    </row>
    <row r="68" spans="1:41" ht="57" hidden="1" customHeight="1" x14ac:dyDescent="0.3">
      <c r="A68" s="20">
        <v>64</v>
      </c>
      <c r="B68" s="8" t="s">
        <v>436</v>
      </c>
      <c r="C68" s="26">
        <v>2026</v>
      </c>
      <c r="D68" s="8"/>
      <c r="E68" s="8" t="s">
        <v>437</v>
      </c>
      <c r="F68" s="20" t="s">
        <v>54</v>
      </c>
      <c r="G68" s="21" t="s">
        <v>53</v>
      </c>
      <c r="H68" s="21" t="s">
        <v>64</v>
      </c>
      <c r="I68" s="21" t="s">
        <v>53</v>
      </c>
      <c r="J68" s="21" t="s">
        <v>53</v>
      </c>
      <c r="K68" s="21" t="s">
        <v>53</v>
      </c>
      <c r="L68" s="22" t="str">
        <f t="shared" si="0"/>
        <v>EXCLUDE</v>
      </c>
      <c r="M68" s="22" t="str">
        <f t="shared" si="1"/>
        <v>Digital Twin not core / buzzword</v>
      </c>
      <c r="N68" s="23"/>
      <c r="O68" s="23"/>
      <c r="P68" s="24"/>
      <c r="Q68" s="24"/>
      <c r="R68" s="24"/>
      <c r="S68" s="22" t="str">
        <f t="shared" si="2"/>
        <v/>
      </c>
      <c r="T68" s="22" t="str">
        <f t="shared" si="3"/>
        <v/>
      </c>
      <c r="U68" s="25"/>
      <c r="V68" s="25"/>
      <c r="W68" s="25"/>
      <c r="X68" s="25"/>
      <c r="Y68" s="22" t="str">
        <f t="shared" si="4"/>
        <v/>
      </c>
      <c r="Z68" s="25"/>
      <c r="AA68" s="25"/>
      <c r="AB68" s="25"/>
      <c r="AC68" s="25"/>
      <c r="AD68" s="25"/>
      <c r="AE68" s="25"/>
      <c r="AF68" s="25"/>
      <c r="AG68" s="9"/>
      <c r="AH68" s="29"/>
      <c r="AI68" s="29"/>
      <c r="AM68" s="50"/>
      <c r="AN68" s="51" t="s">
        <v>438</v>
      </c>
      <c r="AO68" s="55" t="s">
        <v>439</v>
      </c>
    </row>
    <row r="69" spans="1:41" ht="91.2" customHeight="1" x14ac:dyDescent="0.3">
      <c r="A69" s="20">
        <v>65</v>
      </c>
      <c r="B69" s="8" t="s">
        <v>440</v>
      </c>
      <c r="C69" s="26">
        <v>2026</v>
      </c>
      <c r="D69" s="8"/>
      <c r="E69" s="8" t="s">
        <v>441</v>
      </c>
      <c r="F69" s="20" t="s">
        <v>54</v>
      </c>
      <c r="G69" s="21" t="s">
        <v>53</v>
      </c>
      <c r="H69" s="21" t="s">
        <v>53</v>
      </c>
      <c r="I69" s="21" t="s">
        <v>53</v>
      </c>
      <c r="J69" s="21" t="s">
        <v>53</v>
      </c>
      <c r="K69" s="21" t="s">
        <v>53</v>
      </c>
      <c r="L69" s="22" t="str">
        <f t="shared" ref="L69:L132" si="5">IF(COUNTBLANK(G69:K69)=5,"",IF(COUNTIF(G69:K69,"No")&gt;0,"EXCLUDE","INCLUDE"))</f>
        <v>INCLUDE</v>
      </c>
      <c r="M69" s="22" t="str">
        <f t="shared" ref="M69:M132" si="6">IF(L69&lt;&gt;"EXCLUDE","",IF(G69="No","Wrong domain (non-AECO)",IF(H69="No","Digital Twin not core / buzzword",IF(I69="No","No Design for Safety/Quality/PtD",IF(J69="No","Wrong publication type",IF(K69="No","Non-English",""))))))</f>
        <v/>
      </c>
      <c r="N69" s="23" t="s">
        <v>53</v>
      </c>
      <c r="O69" s="23" t="s">
        <v>53</v>
      </c>
      <c r="P69" s="24" t="s">
        <v>53</v>
      </c>
      <c r="Q69" s="24" t="s">
        <v>53</v>
      </c>
      <c r="R69" s="24" t="s">
        <v>53</v>
      </c>
      <c r="S69" s="22" t="str">
        <f t="shared" ref="S69:S132" si="7">IF(N69&lt;&gt;"Yes","",IF(COUNTBLANK(P69:R69)=3,"",IF(COUNTIF(P69:R69,"No")&gt;0,"EXCLUDE","INCLUDE")))</f>
        <v>INCLUDE</v>
      </c>
      <c r="T69" s="22" t="str">
        <f t="shared" ref="T69:T132" si="8">IF(S69&lt;&gt;"EXCLUDE","",IF(P69="No","Digital Twin mentioned only, not the subject",IF(Q69="No","No Design for Safety/Quality in full text",IF(R69="No","Methodology not codable",""))))</f>
        <v/>
      </c>
      <c r="U69" s="25" t="s">
        <v>56</v>
      </c>
      <c r="V69" s="25">
        <v>0</v>
      </c>
      <c r="W69" s="25">
        <v>0</v>
      </c>
      <c r="X69" s="25">
        <v>1</v>
      </c>
      <c r="Y69" s="22" t="str">
        <f t="shared" ref="Y69:Y132" si="9">IF(SUM(V69:X69)=0,"",IF(SUM(V69:X69)&gt;=2,"Multi","Single"))</f>
        <v>Single</v>
      </c>
      <c r="Z69" s="25" t="s">
        <v>9</v>
      </c>
      <c r="AA69" s="25" t="s">
        <v>57</v>
      </c>
      <c r="AB69" s="25" t="s">
        <v>100</v>
      </c>
      <c r="AC69" s="25" t="s">
        <v>70</v>
      </c>
      <c r="AD69" s="25" t="s">
        <v>89</v>
      </c>
      <c r="AE69" s="25">
        <v>4</v>
      </c>
      <c r="AF69" s="25" t="s">
        <v>96</v>
      </c>
      <c r="AG69" s="9" t="s">
        <v>442</v>
      </c>
      <c r="AH69" s="29" t="s">
        <v>443</v>
      </c>
      <c r="AI69" s="29" t="s">
        <v>444</v>
      </c>
      <c r="AJ69" t="s">
        <v>91</v>
      </c>
      <c r="AK69" t="s">
        <v>445</v>
      </c>
      <c r="AL69" t="s">
        <v>63</v>
      </c>
      <c r="AM69" s="50"/>
      <c r="AN69" s="51" t="s">
        <v>446</v>
      </c>
      <c r="AO69" s="55" t="s">
        <v>447</v>
      </c>
    </row>
    <row r="70" spans="1:41" ht="91.2" hidden="1" customHeight="1" x14ac:dyDescent="0.3">
      <c r="A70" s="20">
        <v>66</v>
      </c>
      <c r="B70" s="8" t="s">
        <v>448</v>
      </c>
      <c r="C70" s="26">
        <v>2026</v>
      </c>
      <c r="D70" s="8"/>
      <c r="E70" s="8" t="s">
        <v>449</v>
      </c>
      <c r="F70" s="20" t="s">
        <v>54</v>
      </c>
      <c r="G70" s="21" t="s">
        <v>64</v>
      </c>
      <c r="H70" s="21" t="s">
        <v>53</v>
      </c>
      <c r="I70" s="21" t="s">
        <v>64</v>
      </c>
      <c r="J70" s="21" t="s">
        <v>53</v>
      </c>
      <c r="K70" s="21" t="s">
        <v>53</v>
      </c>
      <c r="L70" s="22" t="str">
        <f t="shared" si="5"/>
        <v>EXCLUDE</v>
      </c>
      <c r="M70" s="22" t="str">
        <f t="shared" si="6"/>
        <v>Wrong domain (non-AECO)</v>
      </c>
      <c r="N70" s="23"/>
      <c r="O70" s="23"/>
      <c r="P70" s="24"/>
      <c r="Q70" s="24"/>
      <c r="R70" s="24"/>
      <c r="S70" s="22" t="str">
        <f t="shared" si="7"/>
        <v/>
      </c>
      <c r="T70" s="22" t="str">
        <f t="shared" si="8"/>
        <v/>
      </c>
      <c r="U70" s="25"/>
      <c r="V70" s="25"/>
      <c r="W70" s="25"/>
      <c r="X70" s="25"/>
      <c r="Y70" s="22" t="str">
        <f t="shared" si="9"/>
        <v/>
      </c>
      <c r="Z70" s="25"/>
      <c r="AA70" s="25"/>
      <c r="AB70" s="25"/>
      <c r="AC70" s="25"/>
      <c r="AD70" s="25"/>
      <c r="AE70" s="25"/>
      <c r="AF70" s="25"/>
      <c r="AG70" s="9"/>
      <c r="AH70" s="29"/>
      <c r="AI70" s="29"/>
      <c r="AM70" s="50"/>
      <c r="AN70" s="51" t="s">
        <v>450</v>
      </c>
      <c r="AO70" s="55" t="s">
        <v>451</v>
      </c>
    </row>
    <row r="71" spans="1:41" ht="86.4" customHeight="1" x14ac:dyDescent="0.3">
      <c r="A71" s="20">
        <v>67</v>
      </c>
      <c r="B71" s="8" t="s">
        <v>452</v>
      </c>
      <c r="C71" s="26">
        <v>2026</v>
      </c>
      <c r="D71" s="8"/>
      <c r="E71" s="8" t="s">
        <v>453</v>
      </c>
      <c r="F71" s="20" t="s">
        <v>54</v>
      </c>
      <c r="G71" s="21" t="s">
        <v>53</v>
      </c>
      <c r="H71" s="21" t="s">
        <v>53</v>
      </c>
      <c r="I71" s="21" t="s">
        <v>53</v>
      </c>
      <c r="J71" s="21" t="s">
        <v>53</v>
      </c>
      <c r="K71" s="21" t="s">
        <v>53</v>
      </c>
      <c r="L71" s="22" t="str">
        <f t="shared" si="5"/>
        <v>INCLUDE</v>
      </c>
      <c r="M71" s="22" t="str">
        <f t="shared" si="6"/>
        <v/>
      </c>
      <c r="N71" s="23" t="s">
        <v>53</v>
      </c>
      <c r="O71" s="23" t="s">
        <v>53</v>
      </c>
      <c r="P71" s="24" t="s">
        <v>53</v>
      </c>
      <c r="Q71" s="24" t="s">
        <v>53</v>
      </c>
      <c r="R71" s="24" t="s">
        <v>53</v>
      </c>
      <c r="S71" s="22" t="str">
        <f t="shared" si="7"/>
        <v>INCLUDE</v>
      </c>
      <c r="T71" s="22" t="str">
        <f t="shared" si="8"/>
        <v/>
      </c>
      <c r="U71" s="25" t="s">
        <v>67</v>
      </c>
      <c r="V71" s="25">
        <v>0</v>
      </c>
      <c r="W71" s="25">
        <v>0</v>
      </c>
      <c r="X71" s="25">
        <v>1</v>
      </c>
      <c r="Y71" s="22" t="str">
        <f t="shared" si="9"/>
        <v>Single</v>
      </c>
      <c r="Z71" s="25" t="s">
        <v>9</v>
      </c>
      <c r="AA71" s="25" t="s">
        <v>57</v>
      </c>
      <c r="AB71" s="25" t="s">
        <v>58</v>
      </c>
      <c r="AC71" s="25" t="s">
        <v>70</v>
      </c>
      <c r="AD71" s="25" t="s">
        <v>89</v>
      </c>
      <c r="AE71" s="25">
        <v>4</v>
      </c>
      <c r="AF71" s="25" t="s">
        <v>96</v>
      </c>
      <c r="AG71" s="9" t="s">
        <v>454</v>
      </c>
      <c r="AH71" s="29" t="s">
        <v>455</v>
      </c>
      <c r="AI71" s="29" t="s">
        <v>456</v>
      </c>
      <c r="AJ71" t="s">
        <v>73</v>
      </c>
      <c r="AK71" t="s">
        <v>457</v>
      </c>
      <c r="AL71" t="s">
        <v>74</v>
      </c>
      <c r="AM71" s="50"/>
      <c r="AN71" s="51" t="s">
        <v>458</v>
      </c>
      <c r="AO71" s="55" t="s">
        <v>459</v>
      </c>
    </row>
    <row r="72" spans="1:41" ht="114" customHeight="1" x14ac:dyDescent="0.3">
      <c r="A72" s="20">
        <v>68</v>
      </c>
      <c r="B72" s="8" t="s">
        <v>460</v>
      </c>
      <c r="C72" s="26">
        <v>2025</v>
      </c>
      <c r="D72" s="8"/>
      <c r="E72" s="8" t="s">
        <v>461</v>
      </c>
      <c r="F72" s="20" t="s">
        <v>54</v>
      </c>
      <c r="G72" s="21" t="s">
        <v>53</v>
      </c>
      <c r="H72" s="21" t="s">
        <v>53</v>
      </c>
      <c r="I72" s="21" t="s">
        <v>53</v>
      </c>
      <c r="J72" s="21" t="s">
        <v>53</v>
      </c>
      <c r="K72" s="21" t="s">
        <v>53</v>
      </c>
      <c r="L72" s="22" t="str">
        <f t="shared" si="5"/>
        <v>INCLUDE</v>
      </c>
      <c r="M72" s="22" t="str">
        <f t="shared" si="6"/>
        <v/>
      </c>
      <c r="N72" s="23" t="s">
        <v>53</v>
      </c>
      <c r="O72" s="23" t="s">
        <v>53</v>
      </c>
      <c r="P72" s="24" t="s">
        <v>53</v>
      </c>
      <c r="Q72" s="24" t="s">
        <v>53</v>
      </c>
      <c r="R72" s="24" t="s">
        <v>53</v>
      </c>
      <c r="S72" s="22" t="str">
        <f t="shared" si="7"/>
        <v>INCLUDE</v>
      </c>
      <c r="T72" s="22" t="str">
        <f t="shared" si="8"/>
        <v/>
      </c>
      <c r="U72" s="25" t="s">
        <v>67</v>
      </c>
      <c r="V72" s="25">
        <v>0</v>
      </c>
      <c r="W72" s="25">
        <v>0</v>
      </c>
      <c r="X72" s="25">
        <v>1</v>
      </c>
      <c r="Y72" s="22" t="str">
        <f t="shared" si="9"/>
        <v>Single</v>
      </c>
      <c r="Z72" s="25" t="s">
        <v>9</v>
      </c>
      <c r="AA72" s="25" t="s">
        <v>57</v>
      </c>
      <c r="AB72" s="25" t="s">
        <v>104</v>
      </c>
      <c r="AC72" s="25" t="s">
        <v>70</v>
      </c>
      <c r="AD72" s="25" t="s">
        <v>89</v>
      </c>
      <c r="AE72" s="25">
        <v>3</v>
      </c>
      <c r="AF72" s="25" t="s">
        <v>96</v>
      </c>
      <c r="AG72" s="9" t="s">
        <v>462</v>
      </c>
      <c r="AH72" s="29" t="s">
        <v>463</v>
      </c>
      <c r="AI72" s="29" t="s">
        <v>464</v>
      </c>
      <c r="AJ72" t="s">
        <v>91</v>
      </c>
      <c r="AK72" t="s">
        <v>465</v>
      </c>
      <c r="AL72" t="s">
        <v>74</v>
      </c>
      <c r="AM72" s="50"/>
      <c r="AN72" s="51" t="s">
        <v>466</v>
      </c>
      <c r="AO72" s="55" t="s">
        <v>467</v>
      </c>
    </row>
    <row r="73" spans="1:41" ht="68.400000000000006" hidden="1" customHeight="1" x14ac:dyDescent="0.3">
      <c r="A73" s="20">
        <v>69</v>
      </c>
      <c r="B73" s="8" t="s">
        <v>468</v>
      </c>
      <c r="C73" s="26">
        <v>2025</v>
      </c>
      <c r="D73" s="8"/>
      <c r="E73" s="8" t="s">
        <v>469</v>
      </c>
      <c r="F73" s="20" t="s">
        <v>54</v>
      </c>
      <c r="G73" s="21" t="s">
        <v>53</v>
      </c>
      <c r="H73" s="21" t="s">
        <v>53</v>
      </c>
      <c r="I73" s="21" t="s">
        <v>64</v>
      </c>
      <c r="J73" s="21" t="s">
        <v>53</v>
      </c>
      <c r="K73" s="21" t="s">
        <v>53</v>
      </c>
      <c r="L73" s="22" t="str">
        <f t="shared" si="5"/>
        <v>EXCLUDE</v>
      </c>
      <c r="M73" s="22" t="str">
        <f t="shared" si="6"/>
        <v>No Design for Safety/Quality/PtD</v>
      </c>
      <c r="N73" s="23"/>
      <c r="O73" s="23"/>
      <c r="P73" s="24"/>
      <c r="Q73" s="24"/>
      <c r="R73" s="24"/>
      <c r="S73" s="22" t="str">
        <f t="shared" si="7"/>
        <v/>
      </c>
      <c r="T73" s="22" t="str">
        <f t="shared" si="8"/>
        <v/>
      </c>
      <c r="U73" s="25"/>
      <c r="V73" s="25"/>
      <c r="W73" s="25"/>
      <c r="X73" s="25"/>
      <c r="Y73" s="22" t="str">
        <f t="shared" si="9"/>
        <v/>
      </c>
      <c r="Z73" s="25"/>
      <c r="AA73" s="25"/>
      <c r="AB73" s="25"/>
      <c r="AC73" s="25"/>
      <c r="AD73" s="25"/>
      <c r="AE73" s="25"/>
      <c r="AF73" s="25"/>
      <c r="AG73" s="9"/>
      <c r="AH73" s="29"/>
      <c r="AI73" s="29"/>
      <c r="AM73" s="50"/>
      <c r="AN73" s="51" t="s">
        <v>470</v>
      </c>
      <c r="AO73" s="55" t="s">
        <v>471</v>
      </c>
    </row>
    <row r="74" spans="1:41" ht="45.6" hidden="1" customHeight="1" x14ac:dyDescent="0.3">
      <c r="A74" s="20">
        <v>70</v>
      </c>
      <c r="B74" s="8" t="s">
        <v>472</v>
      </c>
      <c r="C74" s="26">
        <v>2026</v>
      </c>
      <c r="D74" s="8"/>
      <c r="E74" s="8" t="s">
        <v>473</v>
      </c>
      <c r="F74" s="20" t="s">
        <v>54</v>
      </c>
      <c r="G74" s="21" t="s">
        <v>64</v>
      </c>
      <c r="H74" s="21" t="s">
        <v>53</v>
      </c>
      <c r="I74" s="21" t="s">
        <v>64</v>
      </c>
      <c r="J74" s="21" t="s">
        <v>53</v>
      </c>
      <c r="K74" s="21" t="s">
        <v>53</v>
      </c>
      <c r="L74" s="22" t="str">
        <f t="shared" si="5"/>
        <v>EXCLUDE</v>
      </c>
      <c r="M74" s="22" t="str">
        <f t="shared" si="6"/>
        <v>Wrong domain (non-AECO)</v>
      </c>
      <c r="N74" s="23"/>
      <c r="O74" s="23"/>
      <c r="P74" s="24"/>
      <c r="Q74" s="24"/>
      <c r="R74" s="24"/>
      <c r="S74" s="22" t="str">
        <f t="shared" si="7"/>
        <v/>
      </c>
      <c r="T74" s="22" t="str">
        <f t="shared" si="8"/>
        <v/>
      </c>
      <c r="U74" s="25"/>
      <c r="V74" s="25"/>
      <c r="W74" s="25"/>
      <c r="X74" s="25"/>
      <c r="Y74" s="22" t="str">
        <f t="shared" si="9"/>
        <v/>
      </c>
      <c r="Z74" s="25"/>
      <c r="AA74" s="25"/>
      <c r="AB74" s="25"/>
      <c r="AC74" s="25"/>
      <c r="AD74" s="25"/>
      <c r="AE74" s="25"/>
      <c r="AF74" s="25"/>
      <c r="AG74" s="9"/>
      <c r="AH74" s="29"/>
      <c r="AI74" s="29"/>
      <c r="AM74" s="50"/>
      <c r="AN74" s="51" t="s">
        <v>474</v>
      </c>
      <c r="AO74" s="55" t="s">
        <v>475</v>
      </c>
    </row>
    <row r="75" spans="1:41" ht="57" customHeight="1" x14ac:dyDescent="0.3">
      <c r="A75" s="20">
        <v>71</v>
      </c>
      <c r="B75" s="8" t="s">
        <v>476</v>
      </c>
      <c r="C75" s="26">
        <v>2026</v>
      </c>
      <c r="D75" s="8"/>
      <c r="E75" s="8" t="s">
        <v>477</v>
      </c>
      <c r="F75" s="20" t="s">
        <v>54</v>
      </c>
      <c r="G75" s="21" t="s">
        <v>53</v>
      </c>
      <c r="H75" s="21" t="s">
        <v>53</v>
      </c>
      <c r="I75" s="21" t="s">
        <v>53</v>
      </c>
      <c r="J75" s="21" t="s">
        <v>53</v>
      </c>
      <c r="K75" s="21" t="s">
        <v>53</v>
      </c>
      <c r="L75" s="22" t="str">
        <f t="shared" si="5"/>
        <v>INCLUDE</v>
      </c>
      <c r="M75" s="22" t="str">
        <f t="shared" si="6"/>
        <v/>
      </c>
      <c r="N75" s="23" t="s">
        <v>53</v>
      </c>
      <c r="O75" s="23" t="s">
        <v>53</v>
      </c>
      <c r="P75" s="24" t="s">
        <v>53</v>
      </c>
      <c r="Q75" s="24" t="s">
        <v>53</v>
      </c>
      <c r="R75" s="24" t="s">
        <v>53</v>
      </c>
      <c r="S75" s="22" t="str">
        <f t="shared" si="7"/>
        <v>INCLUDE</v>
      </c>
      <c r="T75" s="22" t="str">
        <f t="shared" si="8"/>
        <v/>
      </c>
      <c r="U75" s="25" t="s">
        <v>67</v>
      </c>
      <c r="V75" s="25">
        <v>0</v>
      </c>
      <c r="W75" s="25">
        <v>1</v>
      </c>
      <c r="X75" s="25">
        <v>0</v>
      </c>
      <c r="Y75" s="22" t="str">
        <f t="shared" si="9"/>
        <v>Single</v>
      </c>
      <c r="Z75" s="25" t="s">
        <v>9</v>
      </c>
      <c r="AA75" s="25" t="s">
        <v>57</v>
      </c>
      <c r="AB75" s="25" t="s">
        <v>102</v>
      </c>
      <c r="AC75" s="25" t="s">
        <v>70</v>
      </c>
      <c r="AD75" s="25" t="s">
        <v>71</v>
      </c>
      <c r="AE75" s="25">
        <v>3</v>
      </c>
      <c r="AF75" s="25" t="s">
        <v>96</v>
      </c>
      <c r="AG75" s="9" t="s">
        <v>478</v>
      </c>
      <c r="AH75" s="29" t="s">
        <v>479</v>
      </c>
      <c r="AI75" s="29" t="s">
        <v>480</v>
      </c>
      <c r="AJ75" t="s">
        <v>91</v>
      </c>
      <c r="AK75" t="s">
        <v>481</v>
      </c>
      <c r="AL75" t="s">
        <v>74</v>
      </c>
      <c r="AM75" s="50"/>
      <c r="AN75" s="51" t="s">
        <v>482</v>
      </c>
      <c r="AO75" s="55" t="s">
        <v>483</v>
      </c>
    </row>
    <row r="76" spans="1:41" ht="79.95" hidden="1" customHeight="1" x14ac:dyDescent="0.3">
      <c r="A76" s="20">
        <v>72</v>
      </c>
      <c r="B76" s="8" t="s">
        <v>484</v>
      </c>
      <c r="C76" s="26">
        <v>2025</v>
      </c>
      <c r="D76" s="8"/>
      <c r="E76" s="8" t="s">
        <v>485</v>
      </c>
      <c r="F76" s="20" t="s">
        <v>54</v>
      </c>
      <c r="G76" s="21" t="s">
        <v>53</v>
      </c>
      <c r="H76" s="21" t="s">
        <v>53</v>
      </c>
      <c r="I76" s="21" t="s">
        <v>53</v>
      </c>
      <c r="J76" s="21" t="s">
        <v>53</v>
      </c>
      <c r="K76" s="21" t="s">
        <v>53</v>
      </c>
      <c r="L76" s="22" t="str">
        <f t="shared" si="5"/>
        <v>INCLUDE</v>
      </c>
      <c r="M76" s="22" t="str">
        <f t="shared" si="6"/>
        <v/>
      </c>
      <c r="N76" s="23" t="s">
        <v>64</v>
      </c>
      <c r="O76" s="23" t="s">
        <v>64</v>
      </c>
      <c r="P76" s="24"/>
      <c r="Q76" s="24"/>
      <c r="R76" s="24"/>
      <c r="S76" s="22" t="str">
        <f t="shared" si="7"/>
        <v/>
      </c>
      <c r="T76" s="22" t="str">
        <f t="shared" si="8"/>
        <v/>
      </c>
      <c r="U76" s="25"/>
      <c r="V76" s="25"/>
      <c r="W76" s="25"/>
      <c r="X76" s="25"/>
      <c r="Y76" s="22" t="str">
        <f t="shared" si="9"/>
        <v/>
      </c>
      <c r="Z76" s="25"/>
      <c r="AA76" s="25"/>
      <c r="AB76" s="25"/>
      <c r="AC76" s="25"/>
      <c r="AD76" s="25"/>
      <c r="AE76" s="25"/>
      <c r="AF76" s="25"/>
      <c r="AG76" s="9"/>
      <c r="AH76" s="29"/>
      <c r="AI76" s="29"/>
      <c r="AM76" s="50"/>
      <c r="AN76" s="51" t="s">
        <v>486</v>
      </c>
      <c r="AO76" s="55" t="s">
        <v>487</v>
      </c>
    </row>
    <row r="77" spans="1:41" ht="45.6" hidden="1" customHeight="1" x14ac:dyDescent="0.3">
      <c r="A77" s="20">
        <v>73</v>
      </c>
      <c r="B77" s="8" t="s">
        <v>488</v>
      </c>
      <c r="C77" s="26">
        <v>2026</v>
      </c>
      <c r="D77" s="8"/>
      <c r="E77" s="8" t="s">
        <v>489</v>
      </c>
      <c r="F77" s="20" t="s">
        <v>54</v>
      </c>
      <c r="G77" s="21" t="s">
        <v>53</v>
      </c>
      <c r="H77" s="21" t="s">
        <v>64</v>
      </c>
      <c r="I77" s="21" t="s">
        <v>53</v>
      </c>
      <c r="J77" s="21" t="s">
        <v>53</v>
      </c>
      <c r="K77" s="21" t="s">
        <v>53</v>
      </c>
      <c r="L77" s="22" t="str">
        <f t="shared" si="5"/>
        <v>EXCLUDE</v>
      </c>
      <c r="M77" s="22" t="str">
        <f t="shared" si="6"/>
        <v>Digital Twin not core / buzzword</v>
      </c>
      <c r="N77" s="23"/>
      <c r="O77" s="23"/>
      <c r="P77" s="24"/>
      <c r="Q77" s="24"/>
      <c r="R77" s="24"/>
      <c r="S77" s="22" t="str">
        <f t="shared" si="7"/>
        <v/>
      </c>
      <c r="T77" s="22" t="str">
        <f t="shared" si="8"/>
        <v/>
      </c>
      <c r="U77" s="25"/>
      <c r="V77" s="25"/>
      <c r="W77" s="25"/>
      <c r="X77" s="25"/>
      <c r="Y77" s="22" t="str">
        <f t="shared" si="9"/>
        <v/>
      </c>
      <c r="Z77" s="25"/>
      <c r="AA77" s="25"/>
      <c r="AB77" s="25"/>
      <c r="AC77" s="25"/>
      <c r="AD77" s="25"/>
      <c r="AE77" s="25"/>
      <c r="AF77" s="25"/>
      <c r="AG77" s="9"/>
      <c r="AH77" s="29"/>
      <c r="AI77" s="29"/>
      <c r="AM77" s="50"/>
      <c r="AN77" s="51" t="s">
        <v>490</v>
      </c>
      <c r="AO77" s="55" t="s">
        <v>491</v>
      </c>
    </row>
    <row r="78" spans="1:41" ht="72" hidden="1" customHeight="1" x14ac:dyDescent="0.3">
      <c r="A78" s="20">
        <v>74</v>
      </c>
      <c r="B78" s="8" t="s">
        <v>492</v>
      </c>
      <c r="C78" s="26">
        <v>2026</v>
      </c>
      <c r="D78" s="8"/>
      <c r="E78" s="8" t="s">
        <v>493</v>
      </c>
      <c r="F78" s="20" t="s">
        <v>54</v>
      </c>
      <c r="G78" s="21" t="s">
        <v>53</v>
      </c>
      <c r="H78" s="21" t="s">
        <v>64</v>
      </c>
      <c r="I78" s="21" t="s">
        <v>53</v>
      </c>
      <c r="J78" s="21" t="s">
        <v>53</v>
      </c>
      <c r="K78" s="21" t="s">
        <v>53</v>
      </c>
      <c r="L78" s="22" t="str">
        <f t="shared" si="5"/>
        <v>EXCLUDE</v>
      </c>
      <c r="M78" s="22" t="str">
        <f t="shared" si="6"/>
        <v>Digital Twin not core / buzzword</v>
      </c>
      <c r="N78" s="23"/>
      <c r="O78" s="23"/>
      <c r="P78" s="24"/>
      <c r="Q78" s="24"/>
      <c r="R78" s="24"/>
      <c r="S78" s="22" t="str">
        <f t="shared" si="7"/>
        <v/>
      </c>
      <c r="T78" s="22" t="str">
        <f t="shared" si="8"/>
        <v/>
      </c>
      <c r="U78" s="25"/>
      <c r="V78" s="25"/>
      <c r="W78" s="25"/>
      <c r="X78" s="25"/>
      <c r="Y78" s="22" t="str">
        <f t="shared" si="9"/>
        <v/>
      </c>
      <c r="Z78" s="25"/>
      <c r="AA78" s="25"/>
      <c r="AB78" s="25"/>
      <c r="AC78" s="25"/>
      <c r="AD78" s="25"/>
      <c r="AE78" s="25"/>
      <c r="AF78" s="25"/>
      <c r="AG78" s="9"/>
      <c r="AH78" s="29"/>
      <c r="AI78" s="29"/>
      <c r="AM78" s="50"/>
      <c r="AN78" s="51" t="s">
        <v>494</v>
      </c>
      <c r="AO78" s="55" t="s">
        <v>495</v>
      </c>
    </row>
    <row r="79" spans="1:41" ht="45.6" hidden="1" customHeight="1" x14ac:dyDescent="0.3">
      <c r="A79" s="20">
        <v>75</v>
      </c>
      <c r="B79" s="8" t="s">
        <v>496</v>
      </c>
      <c r="C79" s="26">
        <v>2026</v>
      </c>
      <c r="D79" s="8"/>
      <c r="E79" s="8" t="s">
        <v>497</v>
      </c>
      <c r="F79" s="20" t="s">
        <v>54</v>
      </c>
      <c r="G79" s="21" t="s">
        <v>64</v>
      </c>
      <c r="H79" s="21" t="s">
        <v>53</v>
      </c>
      <c r="I79" s="21" t="s">
        <v>64</v>
      </c>
      <c r="J79" s="21" t="s">
        <v>53</v>
      </c>
      <c r="K79" s="21" t="s">
        <v>53</v>
      </c>
      <c r="L79" s="22" t="str">
        <f t="shared" si="5"/>
        <v>EXCLUDE</v>
      </c>
      <c r="M79" s="22" t="str">
        <f t="shared" si="6"/>
        <v>Wrong domain (non-AECO)</v>
      </c>
      <c r="N79" s="23"/>
      <c r="O79" s="23"/>
      <c r="P79" s="24"/>
      <c r="Q79" s="24"/>
      <c r="R79" s="24"/>
      <c r="S79" s="22" t="str">
        <f t="shared" si="7"/>
        <v/>
      </c>
      <c r="T79" s="22" t="str">
        <f t="shared" si="8"/>
        <v/>
      </c>
      <c r="U79" s="25"/>
      <c r="V79" s="25"/>
      <c r="W79" s="25"/>
      <c r="X79" s="25"/>
      <c r="Y79" s="22" t="str">
        <f t="shared" si="9"/>
        <v/>
      </c>
      <c r="Z79" s="25"/>
      <c r="AA79" s="25"/>
      <c r="AB79" s="25"/>
      <c r="AC79" s="25"/>
      <c r="AD79" s="25"/>
      <c r="AE79" s="25"/>
      <c r="AF79" s="25"/>
      <c r="AG79" s="9"/>
      <c r="AH79" s="29"/>
      <c r="AI79" s="29"/>
      <c r="AM79" s="50"/>
      <c r="AN79" s="51" t="s">
        <v>498</v>
      </c>
      <c r="AO79" s="55" t="s">
        <v>499</v>
      </c>
    </row>
    <row r="80" spans="1:41" ht="144" hidden="1" customHeight="1" x14ac:dyDescent="0.3">
      <c r="A80" s="20">
        <v>76</v>
      </c>
      <c r="B80" s="8" t="s">
        <v>500</v>
      </c>
      <c r="C80" s="26">
        <v>2025</v>
      </c>
      <c r="D80" s="8"/>
      <c r="E80" s="8" t="s">
        <v>501</v>
      </c>
      <c r="F80" s="20" t="s">
        <v>54</v>
      </c>
      <c r="G80" s="21" t="s">
        <v>64</v>
      </c>
      <c r="H80" s="21" t="s">
        <v>64</v>
      </c>
      <c r="I80" s="21" t="s">
        <v>53</v>
      </c>
      <c r="J80" s="21" t="s">
        <v>53</v>
      </c>
      <c r="K80" s="21" t="s">
        <v>53</v>
      </c>
      <c r="L80" s="22" t="str">
        <f t="shared" si="5"/>
        <v>EXCLUDE</v>
      </c>
      <c r="M80" s="22" t="str">
        <f t="shared" si="6"/>
        <v>Wrong domain (non-AECO)</v>
      </c>
      <c r="N80" s="23"/>
      <c r="O80" s="23"/>
      <c r="P80" s="24"/>
      <c r="Q80" s="24"/>
      <c r="R80" s="24"/>
      <c r="S80" s="22" t="str">
        <f t="shared" si="7"/>
        <v/>
      </c>
      <c r="T80" s="22" t="str">
        <f t="shared" si="8"/>
        <v/>
      </c>
      <c r="U80" s="25"/>
      <c r="V80" s="25"/>
      <c r="W80" s="25"/>
      <c r="X80" s="25"/>
      <c r="Y80" s="22" t="str">
        <f t="shared" si="9"/>
        <v/>
      </c>
      <c r="Z80" s="25"/>
      <c r="AA80" s="25"/>
      <c r="AB80" s="25"/>
      <c r="AC80" s="25"/>
      <c r="AD80" s="25"/>
      <c r="AE80" s="25"/>
      <c r="AF80" s="25"/>
      <c r="AG80" s="9"/>
      <c r="AH80" s="29"/>
      <c r="AI80" s="29"/>
      <c r="AM80" s="50"/>
      <c r="AN80" s="51" t="s">
        <v>502</v>
      </c>
      <c r="AO80" s="55" t="s">
        <v>503</v>
      </c>
    </row>
    <row r="81" spans="1:41" ht="68.400000000000006" hidden="1" customHeight="1" x14ac:dyDescent="0.3">
      <c r="A81" s="20">
        <v>77</v>
      </c>
      <c r="B81" s="8" t="s">
        <v>504</v>
      </c>
      <c r="C81" s="26">
        <v>2026</v>
      </c>
      <c r="D81" s="8"/>
      <c r="E81" s="8" t="s">
        <v>505</v>
      </c>
      <c r="F81" s="20" t="s">
        <v>54</v>
      </c>
      <c r="G81" s="21" t="s">
        <v>53</v>
      </c>
      <c r="H81" s="21" t="s">
        <v>64</v>
      </c>
      <c r="I81" s="21" t="s">
        <v>53</v>
      </c>
      <c r="J81" s="21" t="s">
        <v>53</v>
      </c>
      <c r="K81" s="21" t="s">
        <v>53</v>
      </c>
      <c r="L81" s="22" t="str">
        <f t="shared" si="5"/>
        <v>EXCLUDE</v>
      </c>
      <c r="M81" s="22" t="str">
        <f t="shared" si="6"/>
        <v>Digital Twin not core / buzzword</v>
      </c>
      <c r="N81" s="23"/>
      <c r="O81" s="23"/>
      <c r="P81" s="24"/>
      <c r="Q81" s="24"/>
      <c r="R81" s="24"/>
      <c r="S81" s="22" t="str">
        <f t="shared" si="7"/>
        <v/>
      </c>
      <c r="T81" s="22" t="str">
        <f t="shared" si="8"/>
        <v/>
      </c>
      <c r="U81" s="25"/>
      <c r="V81" s="25"/>
      <c r="W81" s="25"/>
      <c r="X81" s="25"/>
      <c r="Y81" s="22" t="str">
        <f t="shared" si="9"/>
        <v/>
      </c>
      <c r="Z81" s="25"/>
      <c r="AA81" s="25"/>
      <c r="AB81" s="25"/>
      <c r="AC81" s="25"/>
      <c r="AD81" s="25"/>
      <c r="AE81" s="25"/>
      <c r="AF81" s="25"/>
      <c r="AG81" s="9"/>
      <c r="AH81" s="29"/>
      <c r="AI81" s="29"/>
      <c r="AM81" s="50"/>
      <c r="AN81" s="51" t="s">
        <v>506</v>
      </c>
      <c r="AO81" s="55" t="s">
        <v>507</v>
      </c>
    </row>
    <row r="82" spans="1:41" ht="100.95" hidden="1" customHeight="1" x14ac:dyDescent="0.3">
      <c r="A82" s="20">
        <v>78</v>
      </c>
      <c r="B82" s="8" t="s">
        <v>508</v>
      </c>
      <c r="C82" s="26">
        <v>2025</v>
      </c>
      <c r="D82" s="8"/>
      <c r="E82" s="8" t="s">
        <v>509</v>
      </c>
      <c r="F82" s="20" t="s">
        <v>54</v>
      </c>
      <c r="G82" s="21" t="s">
        <v>53</v>
      </c>
      <c r="H82" s="21" t="s">
        <v>53</v>
      </c>
      <c r="I82" s="21" t="s">
        <v>53</v>
      </c>
      <c r="J82" s="21" t="s">
        <v>53</v>
      </c>
      <c r="K82" s="21" t="s">
        <v>53</v>
      </c>
      <c r="L82" s="22" t="str">
        <f t="shared" si="5"/>
        <v>INCLUDE</v>
      </c>
      <c r="M82" s="22" t="str">
        <f t="shared" si="6"/>
        <v/>
      </c>
      <c r="N82" s="23" t="s">
        <v>64</v>
      </c>
      <c r="O82" s="23" t="s">
        <v>64</v>
      </c>
      <c r="P82" s="24"/>
      <c r="Q82" s="24"/>
      <c r="R82" s="24"/>
      <c r="S82" s="22" t="str">
        <f t="shared" si="7"/>
        <v/>
      </c>
      <c r="T82" s="22" t="str">
        <f t="shared" si="8"/>
        <v/>
      </c>
      <c r="U82" s="25"/>
      <c r="V82" s="25"/>
      <c r="W82" s="25"/>
      <c r="X82" s="25"/>
      <c r="Y82" s="22" t="str">
        <f t="shared" si="9"/>
        <v/>
      </c>
      <c r="Z82" s="25"/>
      <c r="AA82" s="25"/>
      <c r="AB82" s="25"/>
      <c r="AC82" s="25"/>
      <c r="AD82" s="25"/>
      <c r="AE82" s="25"/>
      <c r="AF82" s="25"/>
      <c r="AG82" s="9"/>
      <c r="AH82" s="29"/>
      <c r="AI82" s="29"/>
      <c r="AM82" s="50"/>
      <c r="AN82" s="51" t="s">
        <v>510</v>
      </c>
      <c r="AO82" s="55" t="s">
        <v>511</v>
      </c>
    </row>
    <row r="83" spans="1:41" ht="45.6" customHeight="1" x14ac:dyDescent="0.3">
      <c r="A83" s="20">
        <v>79</v>
      </c>
      <c r="B83" s="8" t="s">
        <v>512</v>
      </c>
      <c r="C83" s="26">
        <v>2026</v>
      </c>
      <c r="D83" s="8"/>
      <c r="E83" s="8" t="s">
        <v>513</v>
      </c>
      <c r="F83" s="20" t="s">
        <v>54</v>
      </c>
      <c r="G83" s="21" t="s">
        <v>53</v>
      </c>
      <c r="H83" s="21" t="s">
        <v>53</v>
      </c>
      <c r="I83" s="21" t="s">
        <v>53</v>
      </c>
      <c r="J83" s="21" t="s">
        <v>53</v>
      </c>
      <c r="K83" s="21" t="s">
        <v>53</v>
      </c>
      <c r="L83" s="22" t="str">
        <f t="shared" si="5"/>
        <v>INCLUDE</v>
      </c>
      <c r="M83" s="22" t="str">
        <f t="shared" si="6"/>
        <v/>
      </c>
      <c r="N83" s="23" t="s">
        <v>53</v>
      </c>
      <c r="O83" s="23" t="s">
        <v>53</v>
      </c>
      <c r="P83" s="24" t="s">
        <v>53</v>
      </c>
      <c r="Q83" s="24" t="s">
        <v>53</v>
      </c>
      <c r="R83" s="24" t="s">
        <v>53</v>
      </c>
      <c r="S83" s="22" t="str">
        <f t="shared" si="7"/>
        <v>INCLUDE</v>
      </c>
      <c r="T83" s="22" t="str">
        <f t="shared" si="8"/>
        <v/>
      </c>
      <c r="U83" s="25" t="s">
        <v>67</v>
      </c>
      <c r="V83" s="25">
        <v>0</v>
      </c>
      <c r="W83" s="25">
        <v>1</v>
      </c>
      <c r="X83" s="25">
        <v>0</v>
      </c>
      <c r="Y83" s="22" t="str">
        <f t="shared" si="9"/>
        <v>Single</v>
      </c>
      <c r="Z83" s="25" t="s">
        <v>9</v>
      </c>
      <c r="AA83" s="25" t="s">
        <v>57</v>
      </c>
      <c r="AB83" s="25" t="s">
        <v>104</v>
      </c>
      <c r="AC83" s="25" t="s">
        <v>70</v>
      </c>
      <c r="AD83" s="25" t="s">
        <v>71</v>
      </c>
      <c r="AE83" s="25">
        <v>4</v>
      </c>
      <c r="AF83" s="25" t="s">
        <v>81</v>
      </c>
      <c r="AG83" s="9" t="s">
        <v>514</v>
      </c>
      <c r="AH83" s="29" t="s">
        <v>515</v>
      </c>
      <c r="AI83" s="29" t="s">
        <v>516</v>
      </c>
      <c r="AJ83" t="s">
        <v>91</v>
      </c>
      <c r="AK83" t="s">
        <v>517</v>
      </c>
      <c r="AL83" t="s">
        <v>74</v>
      </c>
      <c r="AM83" s="50"/>
      <c r="AN83" s="51" t="s">
        <v>518</v>
      </c>
      <c r="AO83" s="55" t="s">
        <v>519</v>
      </c>
    </row>
    <row r="84" spans="1:41" ht="57" hidden="1" customHeight="1" x14ac:dyDescent="0.3">
      <c r="A84" s="20">
        <v>80</v>
      </c>
      <c r="B84" s="8" t="s">
        <v>520</v>
      </c>
      <c r="C84" s="26">
        <v>2026</v>
      </c>
      <c r="D84" s="8"/>
      <c r="E84" s="8" t="s">
        <v>521</v>
      </c>
      <c r="F84" s="20" t="s">
        <v>54</v>
      </c>
      <c r="G84" s="21" t="s">
        <v>64</v>
      </c>
      <c r="H84" s="21" t="s">
        <v>53</v>
      </c>
      <c r="I84" s="21" t="s">
        <v>64</v>
      </c>
      <c r="J84" s="21" t="s">
        <v>53</v>
      </c>
      <c r="K84" s="21" t="s">
        <v>53</v>
      </c>
      <c r="L84" s="22" t="str">
        <f t="shared" si="5"/>
        <v>EXCLUDE</v>
      </c>
      <c r="M84" s="22" t="str">
        <f t="shared" si="6"/>
        <v>Wrong domain (non-AECO)</v>
      </c>
      <c r="N84" s="23"/>
      <c r="O84" s="23"/>
      <c r="P84" s="24"/>
      <c r="Q84" s="24"/>
      <c r="R84" s="24"/>
      <c r="S84" s="22" t="str">
        <f t="shared" si="7"/>
        <v/>
      </c>
      <c r="T84" s="22" t="str">
        <f t="shared" si="8"/>
        <v/>
      </c>
      <c r="U84" s="25"/>
      <c r="V84" s="25"/>
      <c r="W84" s="25"/>
      <c r="X84" s="25"/>
      <c r="Y84" s="22" t="str">
        <f t="shared" si="9"/>
        <v/>
      </c>
      <c r="Z84" s="25"/>
      <c r="AA84" s="25"/>
      <c r="AB84" s="25"/>
      <c r="AC84" s="25"/>
      <c r="AD84" s="25"/>
      <c r="AE84" s="25"/>
      <c r="AF84" s="25"/>
      <c r="AG84" s="9"/>
      <c r="AH84" s="29"/>
      <c r="AI84" s="29"/>
      <c r="AM84" s="50"/>
      <c r="AN84" s="51" t="s">
        <v>522</v>
      </c>
      <c r="AO84" s="55" t="s">
        <v>523</v>
      </c>
    </row>
    <row r="85" spans="1:41" ht="34.200000000000003" hidden="1" customHeight="1" x14ac:dyDescent="0.3">
      <c r="A85" s="20">
        <v>81</v>
      </c>
      <c r="B85" s="8" t="s">
        <v>524</v>
      </c>
      <c r="C85" s="26">
        <v>2026</v>
      </c>
      <c r="D85" s="8"/>
      <c r="E85" s="8" t="s">
        <v>525</v>
      </c>
      <c r="F85" s="20" t="s">
        <v>54</v>
      </c>
      <c r="G85" s="21" t="s">
        <v>53</v>
      </c>
      <c r="H85" s="21" t="s">
        <v>64</v>
      </c>
      <c r="I85" s="21" t="s">
        <v>53</v>
      </c>
      <c r="J85" s="21" t="s">
        <v>53</v>
      </c>
      <c r="K85" s="21" t="s">
        <v>53</v>
      </c>
      <c r="L85" s="22" t="str">
        <f t="shared" si="5"/>
        <v>EXCLUDE</v>
      </c>
      <c r="M85" s="22" t="str">
        <f t="shared" si="6"/>
        <v>Digital Twin not core / buzzword</v>
      </c>
      <c r="N85" s="23"/>
      <c r="O85" s="23"/>
      <c r="P85" s="24"/>
      <c r="Q85" s="24"/>
      <c r="R85" s="24"/>
      <c r="S85" s="22" t="str">
        <f t="shared" si="7"/>
        <v/>
      </c>
      <c r="T85" s="22" t="str">
        <f t="shared" si="8"/>
        <v/>
      </c>
      <c r="U85" s="25"/>
      <c r="V85" s="25"/>
      <c r="W85" s="25"/>
      <c r="X85" s="25"/>
      <c r="Y85" s="22" t="str">
        <f t="shared" si="9"/>
        <v/>
      </c>
      <c r="Z85" s="25"/>
      <c r="AA85" s="25"/>
      <c r="AB85" s="25"/>
      <c r="AC85" s="25"/>
      <c r="AD85" s="25"/>
      <c r="AE85" s="25"/>
      <c r="AF85" s="25"/>
      <c r="AG85" s="9"/>
      <c r="AH85" s="29"/>
      <c r="AI85" s="29"/>
      <c r="AM85" s="50"/>
      <c r="AN85" s="51" t="s">
        <v>526</v>
      </c>
      <c r="AO85" s="55" t="s">
        <v>527</v>
      </c>
    </row>
    <row r="86" spans="1:41" ht="45.6" hidden="1" customHeight="1" x14ac:dyDescent="0.3">
      <c r="A86" s="20">
        <v>82</v>
      </c>
      <c r="B86" s="8" t="s">
        <v>528</v>
      </c>
      <c r="C86" s="26">
        <v>2025</v>
      </c>
      <c r="D86" s="8"/>
      <c r="E86" s="8" t="s">
        <v>529</v>
      </c>
      <c r="F86" s="20" t="s">
        <v>54</v>
      </c>
      <c r="G86" s="21" t="s">
        <v>64</v>
      </c>
      <c r="H86" s="21" t="s">
        <v>53</v>
      </c>
      <c r="I86" s="21" t="s">
        <v>53</v>
      </c>
      <c r="J86" s="21" t="s">
        <v>53</v>
      </c>
      <c r="K86" s="21" t="s">
        <v>53</v>
      </c>
      <c r="L86" s="22" t="str">
        <f t="shared" si="5"/>
        <v>EXCLUDE</v>
      </c>
      <c r="M86" s="22" t="str">
        <f t="shared" si="6"/>
        <v>Wrong domain (non-AECO)</v>
      </c>
      <c r="N86" s="23"/>
      <c r="O86" s="23"/>
      <c r="P86" s="24"/>
      <c r="Q86" s="24"/>
      <c r="R86" s="24"/>
      <c r="S86" s="22" t="str">
        <f t="shared" si="7"/>
        <v/>
      </c>
      <c r="T86" s="22" t="str">
        <f t="shared" si="8"/>
        <v/>
      </c>
      <c r="U86" s="25"/>
      <c r="V86" s="25"/>
      <c r="W86" s="25"/>
      <c r="X86" s="25"/>
      <c r="Y86" s="22" t="str">
        <f t="shared" si="9"/>
        <v/>
      </c>
      <c r="Z86" s="25"/>
      <c r="AA86" s="25"/>
      <c r="AB86" s="25"/>
      <c r="AC86" s="25"/>
      <c r="AD86" s="25"/>
      <c r="AE86" s="25"/>
      <c r="AF86" s="25"/>
      <c r="AG86" s="9"/>
      <c r="AH86" s="29"/>
      <c r="AI86" s="29"/>
      <c r="AM86" s="50"/>
      <c r="AN86" s="51" t="s">
        <v>530</v>
      </c>
      <c r="AO86" s="55" t="s">
        <v>531</v>
      </c>
    </row>
    <row r="87" spans="1:41" ht="79.95" hidden="1" customHeight="1" x14ac:dyDescent="0.3">
      <c r="A87" s="20">
        <v>83</v>
      </c>
      <c r="B87" s="8" t="s">
        <v>532</v>
      </c>
      <c r="C87" s="26">
        <v>2026</v>
      </c>
      <c r="D87" s="8"/>
      <c r="E87" s="8" t="s">
        <v>533</v>
      </c>
      <c r="F87" s="20" t="s">
        <v>54</v>
      </c>
      <c r="G87" s="21" t="s">
        <v>64</v>
      </c>
      <c r="H87" s="21" t="s">
        <v>53</v>
      </c>
      <c r="I87" s="21" t="s">
        <v>64</v>
      </c>
      <c r="J87" s="21" t="s">
        <v>53</v>
      </c>
      <c r="K87" s="21" t="s">
        <v>53</v>
      </c>
      <c r="L87" s="22" t="str">
        <f t="shared" si="5"/>
        <v>EXCLUDE</v>
      </c>
      <c r="M87" s="22" t="str">
        <f t="shared" si="6"/>
        <v>Wrong domain (non-AECO)</v>
      </c>
      <c r="N87" s="23"/>
      <c r="O87" s="23"/>
      <c r="P87" s="24"/>
      <c r="Q87" s="24"/>
      <c r="R87" s="24"/>
      <c r="S87" s="22" t="str">
        <f t="shared" si="7"/>
        <v/>
      </c>
      <c r="T87" s="22" t="str">
        <f t="shared" si="8"/>
        <v/>
      </c>
      <c r="U87" s="25"/>
      <c r="V87" s="25"/>
      <c r="W87" s="25"/>
      <c r="X87" s="25"/>
      <c r="Y87" s="22" t="str">
        <f t="shared" si="9"/>
        <v/>
      </c>
      <c r="Z87" s="25"/>
      <c r="AA87" s="25"/>
      <c r="AB87" s="25"/>
      <c r="AC87" s="25"/>
      <c r="AD87" s="25"/>
      <c r="AE87" s="25"/>
      <c r="AF87" s="25"/>
      <c r="AG87" s="9"/>
      <c r="AH87" s="29"/>
      <c r="AI87" s="29"/>
      <c r="AM87" s="50"/>
      <c r="AN87" s="51" t="s">
        <v>534</v>
      </c>
      <c r="AO87" s="55" t="s">
        <v>535</v>
      </c>
    </row>
    <row r="88" spans="1:41" ht="91.2" hidden="1" customHeight="1" x14ac:dyDescent="0.3">
      <c r="A88" s="20">
        <v>84</v>
      </c>
      <c r="B88" s="8" t="s">
        <v>536</v>
      </c>
      <c r="C88" s="26">
        <v>2026</v>
      </c>
      <c r="D88" s="8"/>
      <c r="E88" s="8" t="s">
        <v>537</v>
      </c>
      <c r="F88" s="20" t="s">
        <v>54</v>
      </c>
      <c r="G88" s="21" t="s">
        <v>64</v>
      </c>
      <c r="H88" s="21" t="s">
        <v>64</v>
      </c>
      <c r="I88" s="21" t="s">
        <v>64</v>
      </c>
      <c r="J88" s="21" t="s">
        <v>53</v>
      </c>
      <c r="K88" s="21" t="s">
        <v>53</v>
      </c>
      <c r="L88" s="22" t="str">
        <f t="shared" si="5"/>
        <v>EXCLUDE</v>
      </c>
      <c r="M88" s="22" t="str">
        <f t="shared" si="6"/>
        <v>Wrong domain (non-AECO)</v>
      </c>
      <c r="N88" s="23"/>
      <c r="O88" s="23"/>
      <c r="P88" s="24"/>
      <c r="Q88" s="24"/>
      <c r="R88" s="24"/>
      <c r="S88" s="22" t="str">
        <f t="shared" si="7"/>
        <v/>
      </c>
      <c r="T88" s="22" t="str">
        <f t="shared" si="8"/>
        <v/>
      </c>
      <c r="U88" s="25"/>
      <c r="V88" s="25"/>
      <c r="W88" s="25"/>
      <c r="X88" s="25"/>
      <c r="Y88" s="22" t="str">
        <f t="shared" si="9"/>
        <v/>
      </c>
      <c r="Z88" s="25"/>
      <c r="AA88" s="25"/>
      <c r="AB88" s="25"/>
      <c r="AC88" s="25"/>
      <c r="AD88" s="25"/>
      <c r="AE88" s="25"/>
      <c r="AF88" s="25"/>
      <c r="AG88" s="9"/>
      <c r="AH88" s="29"/>
      <c r="AI88" s="29"/>
      <c r="AM88" s="50"/>
      <c r="AN88" s="51" t="s">
        <v>538</v>
      </c>
      <c r="AO88" s="55" t="s">
        <v>539</v>
      </c>
    </row>
    <row r="89" spans="1:41" ht="79.95" hidden="1" customHeight="1" x14ac:dyDescent="0.3">
      <c r="A89" s="20">
        <v>85</v>
      </c>
      <c r="B89" s="8" t="s">
        <v>540</v>
      </c>
      <c r="C89" s="26">
        <v>2026</v>
      </c>
      <c r="D89" s="8"/>
      <c r="E89" s="8" t="s">
        <v>541</v>
      </c>
      <c r="F89" s="20" t="s">
        <v>54</v>
      </c>
      <c r="G89" s="21" t="s">
        <v>64</v>
      </c>
      <c r="H89" s="21" t="s">
        <v>53</v>
      </c>
      <c r="I89" s="21" t="s">
        <v>53</v>
      </c>
      <c r="J89" s="21" t="s">
        <v>53</v>
      </c>
      <c r="K89" s="21" t="s">
        <v>53</v>
      </c>
      <c r="L89" s="22" t="str">
        <f t="shared" si="5"/>
        <v>EXCLUDE</v>
      </c>
      <c r="M89" s="22" t="str">
        <f t="shared" si="6"/>
        <v>Wrong domain (non-AECO)</v>
      </c>
      <c r="N89" s="23"/>
      <c r="O89" s="23"/>
      <c r="P89" s="24"/>
      <c r="Q89" s="24"/>
      <c r="R89" s="24"/>
      <c r="S89" s="22" t="str">
        <f t="shared" si="7"/>
        <v/>
      </c>
      <c r="T89" s="22" t="str">
        <f t="shared" si="8"/>
        <v/>
      </c>
      <c r="U89" s="25"/>
      <c r="V89" s="25"/>
      <c r="W89" s="25"/>
      <c r="X89" s="25"/>
      <c r="Y89" s="22" t="str">
        <f t="shared" si="9"/>
        <v/>
      </c>
      <c r="Z89" s="25"/>
      <c r="AA89" s="25"/>
      <c r="AB89" s="25"/>
      <c r="AC89" s="25"/>
      <c r="AD89" s="25"/>
      <c r="AE89" s="25"/>
      <c r="AF89" s="25"/>
      <c r="AG89" s="9"/>
      <c r="AH89" s="29"/>
      <c r="AI89" s="29"/>
      <c r="AM89" s="50"/>
      <c r="AN89" s="51" t="s">
        <v>542</v>
      </c>
      <c r="AO89" s="55" t="s">
        <v>543</v>
      </c>
    </row>
    <row r="90" spans="1:41" ht="79.95" hidden="1" customHeight="1" x14ac:dyDescent="0.3">
      <c r="A90" s="20">
        <v>86</v>
      </c>
      <c r="B90" s="8" t="s">
        <v>544</v>
      </c>
      <c r="C90" s="26">
        <v>2026</v>
      </c>
      <c r="D90" s="8"/>
      <c r="E90" s="8" t="s">
        <v>545</v>
      </c>
      <c r="F90" s="20" t="s">
        <v>54</v>
      </c>
      <c r="G90" s="21" t="s">
        <v>53</v>
      </c>
      <c r="H90" s="21" t="s">
        <v>64</v>
      </c>
      <c r="I90" s="21" t="s">
        <v>53</v>
      </c>
      <c r="J90" s="21" t="s">
        <v>53</v>
      </c>
      <c r="K90" s="21" t="s">
        <v>53</v>
      </c>
      <c r="L90" s="22" t="str">
        <f t="shared" si="5"/>
        <v>EXCLUDE</v>
      </c>
      <c r="M90" s="22" t="str">
        <f t="shared" si="6"/>
        <v>Digital Twin not core / buzzword</v>
      </c>
      <c r="N90" s="23"/>
      <c r="O90" s="23"/>
      <c r="P90" s="24"/>
      <c r="Q90" s="24"/>
      <c r="R90" s="24"/>
      <c r="S90" s="22" t="str">
        <f t="shared" si="7"/>
        <v/>
      </c>
      <c r="T90" s="22" t="str">
        <f t="shared" si="8"/>
        <v/>
      </c>
      <c r="U90" s="25"/>
      <c r="V90" s="25"/>
      <c r="W90" s="25"/>
      <c r="X90" s="25"/>
      <c r="Y90" s="22" t="str">
        <f t="shared" si="9"/>
        <v/>
      </c>
      <c r="Z90" s="25"/>
      <c r="AA90" s="25"/>
      <c r="AB90" s="25"/>
      <c r="AC90" s="25"/>
      <c r="AD90" s="25"/>
      <c r="AE90" s="25"/>
      <c r="AF90" s="25"/>
      <c r="AG90" s="9"/>
      <c r="AH90" s="29"/>
      <c r="AI90" s="29"/>
      <c r="AM90" s="50"/>
      <c r="AN90" s="51" t="s">
        <v>546</v>
      </c>
      <c r="AO90" s="55" t="s">
        <v>547</v>
      </c>
    </row>
    <row r="91" spans="1:41" ht="22.95" customHeight="1" x14ac:dyDescent="0.3">
      <c r="A91" s="20">
        <v>87</v>
      </c>
      <c r="B91" s="8" t="s">
        <v>548</v>
      </c>
      <c r="C91" s="26">
        <v>2026</v>
      </c>
      <c r="D91" s="8"/>
      <c r="E91" s="8" t="s">
        <v>549</v>
      </c>
      <c r="F91" s="20" t="s">
        <v>54</v>
      </c>
      <c r="G91" s="21" t="s">
        <v>53</v>
      </c>
      <c r="H91" s="21" t="s">
        <v>53</v>
      </c>
      <c r="I91" s="21" t="s">
        <v>53</v>
      </c>
      <c r="J91" s="21" t="s">
        <v>53</v>
      </c>
      <c r="K91" s="21" t="s">
        <v>53</v>
      </c>
      <c r="L91" s="22" t="str">
        <f t="shared" si="5"/>
        <v>INCLUDE</v>
      </c>
      <c r="M91" s="22" t="str">
        <f t="shared" si="6"/>
        <v/>
      </c>
      <c r="N91" s="23" t="s">
        <v>53</v>
      </c>
      <c r="O91" s="23" t="s">
        <v>53</v>
      </c>
      <c r="P91" s="24" t="s">
        <v>53</v>
      </c>
      <c r="Q91" s="24" t="s">
        <v>53</v>
      </c>
      <c r="R91" s="24" t="s">
        <v>53</v>
      </c>
      <c r="S91" s="22" t="str">
        <f t="shared" si="7"/>
        <v>INCLUDE</v>
      </c>
      <c r="T91" s="22" t="str">
        <f t="shared" si="8"/>
        <v/>
      </c>
      <c r="U91" s="25" t="s">
        <v>67</v>
      </c>
      <c r="V91" s="25">
        <v>0</v>
      </c>
      <c r="W91" s="25">
        <v>1</v>
      </c>
      <c r="X91" s="25">
        <v>0</v>
      </c>
      <c r="Y91" s="22" t="str">
        <f t="shared" si="9"/>
        <v>Single</v>
      </c>
      <c r="Z91" s="25" t="s">
        <v>9</v>
      </c>
      <c r="AA91" s="25" t="s">
        <v>57</v>
      </c>
      <c r="AB91" s="25" t="s">
        <v>88</v>
      </c>
      <c r="AC91" s="25" t="s">
        <v>70</v>
      </c>
      <c r="AD91" s="25" t="s">
        <v>89</v>
      </c>
      <c r="AE91" s="25">
        <v>4</v>
      </c>
      <c r="AF91" s="25" t="s">
        <v>96</v>
      </c>
      <c r="AG91" s="9" t="s">
        <v>550</v>
      </c>
      <c r="AH91" s="29" t="s">
        <v>551</v>
      </c>
      <c r="AI91" s="29" t="s">
        <v>552</v>
      </c>
      <c r="AJ91" t="s">
        <v>91</v>
      </c>
      <c r="AK91" t="s">
        <v>553</v>
      </c>
      <c r="AL91" t="s">
        <v>63</v>
      </c>
      <c r="AM91" s="50"/>
      <c r="AN91" s="51" t="s">
        <v>554</v>
      </c>
      <c r="AO91" s="55" t="s">
        <v>555</v>
      </c>
    </row>
    <row r="92" spans="1:41" ht="102.6" customHeight="1" x14ac:dyDescent="0.3">
      <c r="A92" s="20">
        <v>88</v>
      </c>
      <c r="B92" s="8" t="s">
        <v>556</v>
      </c>
      <c r="C92" s="26">
        <v>2025</v>
      </c>
      <c r="D92" s="8"/>
      <c r="E92" s="8" t="s">
        <v>557</v>
      </c>
      <c r="F92" s="20" t="s">
        <v>54</v>
      </c>
      <c r="G92" s="21" t="s">
        <v>53</v>
      </c>
      <c r="H92" s="21" t="s">
        <v>53</v>
      </c>
      <c r="I92" s="21" t="s">
        <v>53</v>
      </c>
      <c r="J92" s="21" t="s">
        <v>53</v>
      </c>
      <c r="K92" s="21" t="s">
        <v>53</v>
      </c>
      <c r="L92" s="22" t="str">
        <f t="shared" si="5"/>
        <v>INCLUDE</v>
      </c>
      <c r="M92" s="22" t="str">
        <f t="shared" si="6"/>
        <v/>
      </c>
      <c r="N92" s="23" t="s">
        <v>53</v>
      </c>
      <c r="O92" s="23" t="s">
        <v>53</v>
      </c>
      <c r="P92" s="24" t="s">
        <v>53</v>
      </c>
      <c r="Q92" s="24" t="s">
        <v>53</v>
      </c>
      <c r="R92" s="24" t="s">
        <v>53</v>
      </c>
      <c r="S92" s="22" t="str">
        <f t="shared" si="7"/>
        <v>INCLUDE</v>
      </c>
      <c r="T92" s="22" t="str">
        <f t="shared" si="8"/>
        <v/>
      </c>
      <c r="U92" s="25" t="s">
        <v>76</v>
      </c>
      <c r="V92" s="25">
        <v>0</v>
      </c>
      <c r="W92" s="25">
        <v>1</v>
      </c>
      <c r="X92" s="25">
        <v>0</v>
      </c>
      <c r="Y92" s="22" t="str">
        <f t="shared" si="9"/>
        <v>Single</v>
      </c>
      <c r="Z92" s="25" t="s">
        <v>9</v>
      </c>
      <c r="AA92" s="25" t="s">
        <v>57</v>
      </c>
      <c r="AB92" s="25" t="s">
        <v>104</v>
      </c>
      <c r="AC92" s="25" t="s">
        <v>70</v>
      </c>
      <c r="AD92" s="25" t="s">
        <v>89</v>
      </c>
      <c r="AE92" s="25">
        <v>4</v>
      </c>
      <c r="AF92" s="25" t="s">
        <v>96</v>
      </c>
      <c r="AG92" s="9" t="s">
        <v>558</v>
      </c>
      <c r="AH92" s="29" t="s">
        <v>559</v>
      </c>
      <c r="AI92" s="29" t="s">
        <v>560</v>
      </c>
      <c r="AJ92" t="s">
        <v>91</v>
      </c>
      <c r="AK92" t="s">
        <v>561</v>
      </c>
      <c r="AL92" t="s">
        <v>63</v>
      </c>
      <c r="AM92" s="50"/>
      <c r="AN92" s="51" t="s">
        <v>562</v>
      </c>
      <c r="AO92" s="55" t="s">
        <v>563</v>
      </c>
    </row>
    <row r="93" spans="1:41" ht="45.6" customHeight="1" x14ac:dyDescent="0.3">
      <c r="A93" s="20">
        <v>89</v>
      </c>
      <c r="B93" s="8" t="s">
        <v>564</v>
      </c>
      <c r="C93" s="26">
        <v>2026</v>
      </c>
      <c r="D93" s="8"/>
      <c r="E93" s="8" t="s">
        <v>565</v>
      </c>
      <c r="F93" s="20" t="s">
        <v>54</v>
      </c>
      <c r="G93" s="21" t="s">
        <v>53</v>
      </c>
      <c r="H93" s="21" t="s">
        <v>53</v>
      </c>
      <c r="I93" s="21" t="s">
        <v>53</v>
      </c>
      <c r="J93" s="21" t="s">
        <v>53</v>
      </c>
      <c r="K93" s="21" t="s">
        <v>53</v>
      </c>
      <c r="L93" s="22" t="str">
        <f t="shared" si="5"/>
        <v>INCLUDE</v>
      </c>
      <c r="M93" s="22" t="str">
        <f t="shared" si="6"/>
        <v/>
      </c>
      <c r="N93" s="23" t="s">
        <v>53</v>
      </c>
      <c r="O93" s="23" t="s">
        <v>53</v>
      </c>
      <c r="P93" s="24" t="s">
        <v>53</v>
      </c>
      <c r="Q93" s="24" t="s">
        <v>53</v>
      </c>
      <c r="R93" s="24" t="s">
        <v>53</v>
      </c>
      <c r="S93" s="22" t="str">
        <f t="shared" si="7"/>
        <v>INCLUDE</v>
      </c>
      <c r="T93" s="22" t="str">
        <f t="shared" si="8"/>
        <v/>
      </c>
      <c r="U93" s="25" t="s">
        <v>67</v>
      </c>
      <c r="V93" s="25">
        <v>0</v>
      </c>
      <c r="W93" s="25">
        <v>0</v>
      </c>
      <c r="X93" s="25">
        <v>1</v>
      </c>
      <c r="Y93" s="22" t="str">
        <f t="shared" si="9"/>
        <v>Single</v>
      </c>
      <c r="Z93" s="25" t="s">
        <v>9</v>
      </c>
      <c r="AA93" s="25" t="s">
        <v>57</v>
      </c>
      <c r="AB93" s="25" t="s">
        <v>103</v>
      </c>
      <c r="AC93" s="25" t="s">
        <v>70</v>
      </c>
      <c r="AD93" s="25" t="s">
        <v>89</v>
      </c>
      <c r="AE93" s="25">
        <v>3</v>
      </c>
      <c r="AF93" s="25" t="s">
        <v>98</v>
      </c>
      <c r="AG93" s="9" t="s">
        <v>566</v>
      </c>
      <c r="AH93" s="29" t="s">
        <v>567</v>
      </c>
      <c r="AI93" s="29" t="s">
        <v>568</v>
      </c>
      <c r="AJ93" t="s">
        <v>93</v>
      </c>
      <c r="AK93" t="s">
        <v>569</v>
      </c>
      <c r="AL93" t="s">
        <v>83</v>
      </c>
      <c r="AM93" s="50" t="s">
        <v>213</v>
      </c>
      <c r="AN93" s="51" t="s">
        <v>570</v>
      </c>
      <c r="AO93" s="55" t="s">
        <v>571</v>
      </c>
    </row>
    <row r="94" spans="1:41" ht="45.6" hidden="1" customHeight="1" x14ac:dyDescent="0.3">
      <c r="A94" s="20">
        <v>90</v>
      </c>
      <c r="B94" s="8" t="s">
        <v>572</v>
      </c>
      <c r="C94" s="26">
        <v>2026</v>
      </c>
      <c r="D94" s="8"/>
      <c r="E94" s="8" t="s">
        <v>573</v>
      </c>
      <c r="F94" s="20" t="s">
        <v>54</v>
      </c>
      <c r="G94" s="21" t="s">
        <v>53</v>
      </c>
      <c r="H94" s="21" t="s">
        <v>64</v>
      </c>
      <c r="I94" s="21" t="s">
        <v>53</v>
      </c>
      <c r="J94" s="21" t="s">
        <v>53</v>
      </c>
      <c r="K94" s="21" t="s">
        <v>53</v>
      </c>
      <c r="L94" s="22" t="str">
        <f t="shared" si="5"/>
        <v>EXCLUDE</v>
      </c>
      <c r="M94" s="22" t="str">
        <f t="shared" si="6"/>
        <v>Digital Twin not core / buzzword</v>
      </c>
      <c r="N94" s="23"/>
      <c r="O94" s="23"/>
      <c r="P94" s="24"/>
      <c r="Q94" s="24"/>
      <c r="R94" s="24"/>
      <c r="S94" s="22" t="str">
        <f t="shared" si="7"/>
        <v/>
      </c>
      <c r="T94" s="22" t="str">
        <f t="shared" si="8"/>
        <v/>
      </c>
      <c r="U94" s="25"/>
      <c r="V94" s="25"/>
      <c r="W94" s="25"/>
      <c r="X94" s="25"/>
      <c r="Y94" s="22" t="str">
        <f t="shared" si="9"/>
        <v/>
      </c>
      <c r="Z94" s="25"/>
      <c r="AA94" s="25"/>
      <c r="AB94" s="25"/>
      <c r="AC94" s="25"/>
      <c r="AD94" s="25"/>
      <c r="AE94" s="25"/>
      <c r="AF94" s="25"/>
      <c r="AG94" s="9"/>
      <c r="AH94" s="29"/>
      <c r="AI94" s="29"/>
      <c r="AM94" s="50"/>
      <c r="AN94" s="51" t="s">
        <v>574</v>
      </c>
      <c r="AO94" s="55" t="s">
        <v>575</v>
      </c>
    </row>
    <row r="95" spans="1:41" ht="79.95" hidden="1" customHeight="1" x14ac:dyDescent="0.3">
      <c r="A95" s="20">
        <v>91</v>
      </c>
      <c r="B95" s="8" t="s">
        <v>576</v>
      </c>
      <c r="C95" s="26">
        <v>2026</v>
      </c>
      <c r="D95" s="8"/>
      <c r="E95" s="8" t="s">
        <v>577</v>
      </c>
      <c r="F95" s="20" t="s">
        <v>54</v>
      </c>
      <c r="G95" s="21" t="s">
        <v>64</v>
      </c>
      <c r="H95" s="21" t="s">
        <v>53</v>
      </c>
      <c r="I95" s="21" t="s">
        <v>53</v>
      </c>
      <c r="J95" s="21" t="s">
        <v>53</v>
      </c>
      <c r="K95" s="21" t="s">
        <v>53</v>
      </c>
      <c r="L95" s="22" t="str">
        <f t="shared" si="5"/>
        <v>EXCLUDE</v>
      </c>
      <c r="M95" s="22" t="str">
        <f t="shared" si="6"/>
        <v>Wrong domain (non-AECO)</v>
      </c>
      <c r="N95" s="23"/>
      <c r="O95" s="23"/>
      <c r="P95" s="24"/>
      <c r="Q95" s="24"/>
      <c r="R95" s="24"/>
      <c r="S95" s="22" t="str">
        <f t="shared" si="7"/>
        <v/>
      </c>
      <c r="T95" s="22" t="str">
        <f t="shared" si="8"/>
        <v/>
      </c>
      <c r="U95" s="25"/>
      <c r="V95" s="25"/>
      <c r="W95" s="25"/>
      <c r="X95" s="25"/>
      <c r="Y95" s="22" t="str">
        <f t="shared" si="9"/>
        <v/>
      </c>
      <c r="Z95" s="25"/>
      <c r="AA95" s="25"/>
      <c r="AB95" s="25"/>
      <c r="AC95" s="25"/>
      <c r="AD95" s="25"/>
      <c r="AE95" s="25"/>
      <c r="AF95" s="25"/>
      <c r="AG95" s="9"/>
      <c r="AH95" s="29"/>
      <c r="AI95" s="29"/>
      <c r="AM95" s="50"/>
      <c r="AN95" s="51" t="s">
        <v>578</v>
      </c>
      <c r="AO95" s="55" t="s">
        <v>579</v>
      </c>
    </row>
    <row r="96" spans="1:41" ht="316.95" hidden="1" customHeight="1" x14ac:dyDescent="0.3">
      <c r="A96" s="20">
        <v>92</v>
      </c>
      <c r="B96" s="8" t="s">
        <v>580</v>
      </c>
      <c r="C96" s="26">
        <v>2026</v>
      </c>
      <c r="D96" s="8"/>
      <c r="E96" s="8" t="s">
        <v>581</v>
      </c>
      <c r="F96" s="20" t="s">
        <v>54</v>
      </c>
      <c r="G96" s="21" t="s">
        <v>64</v>
      </c>
      <c r="H96" s="21" t="s">
        <v>53</v>
      </c>
      <c r="I96" s="21" t="s">
        <v>53</v>
      </c>
      <c r="J96" s="21" t="s">
        <v>53</v>
      </c>
      <c r="K96" s="21" t="s">
        <v>53</v>
      </c>
      <c r="L96" s="22" t="str">
        <f t="shared" si="5"/>
        <v>EXCLUDE</v>
      </c>
      <c r="M96" s="22" t="str">
        <f t="shared" si="6"/>
        <v>Wrong domain (non-AECO)</v>
      </c>
      <c r="N96" s="23"/>
      <c r="O96" s="23"/>
      <c r="P96" s="24"/>
      <c r="Q96" s="24"/>
      <c r="R96" s="24"/>
      <c r="S96" s="22" t="str">
        <f t="shared" si="7"/>
        <v/>
      </c>
      <c r="T96" s="22" t="str">
        <f t="shared" si="8"/>
        <v/>
      </c>
      <c r="U96" s="25"/>
      <c r="V96" s="25"/>
      <c r="W96" s="25"/>
      <c r="X96" s="25"/>
      <c r="Y96" s="22" t="str">
        <f t="shared" si="9"/>
        <v/>
      </c>
      <c r="Z96" s="25"/>
      <c r="AA96" s="25"/>
      <c r="AB96" s="25"/>
      <c r="AC96" s="25"/>
      <c r="AD96" s="25"/>
      <c r="AE96" s="25"/>
      <c r="AF96" s="25"/>
      <c r="AG96" s="9"/>
      <c r="AH96" s="29"/>
      <c r="AI96" s="29"/>
      <c r="AM96" s="50"/>
      <c r="AN96" s="51" t="s">
        <v>582</v>
      </c>
      <c r="AO96" s="55" t="s">
        <v>583</v>
      </c>
    </row>
    <row r="97" spans="1:41" ht="45.6" hidden="1" customHeight="1" x14ac:dyDescent="0.3">
      <c r="A97" s="20">
        <v>93</v>
      </c>
      <c r="B97" s="8" t="s">
        <v>584</v>
      </c>
      <c r="C97" s="26">
        <v>2026</v>
      </c>
      <c r="D97" s="8"/>
      <c r="E97" s="8" t="s">
        <v>585</v>
      </c>
      <c r="F97" s="20" t="s">
        <v>54</v>
      </c>
      <c r="G97" s="21" t="s">
        <v>53</v>
      </c>
      <c r="H97" s="21" t="s">
        <v>53</v>
      </c>
      <c r="I97" s="21" t="s">
        <v>53</v>
      </c>
      <c r="J97" s="21" t="s">
        <v>53</v>
      </c>
      <c r="K97" s="21" t="s">
        <v>53</v>
      </c>
      <c r="L97" s="22" t="str">
        <f t="shared" si="5"/>
        <v>INCLUDE</v>
      </c>
      <c r="M97" s="22" t="str">
        <f t="shared" si="6"/>
        <v/>
      </c>
      <c r="N97" s="23" t="s">
        <v>64</v>
      </c>
      <c r="O97" s="23" t="s">
        <v>64</v>
      </c>
      <c r="P97" s="24"/>
      <c r="Q97" s="24"/>
      <c r="R97" s="24"/>
      <c r="S97" s="22" t="str">
        <f t="shared" si="7"/>
        <v/>
      </c>
      <c r="T97" s="22" t="str">
        <f t="shared" si="8"/>
        <v/>
      </c>
      <c r="U97" s="25"/>
      <c r="V97" s="25"/>
      <c r="W97" s="25"/>
      <c r="X97" s="25"/>
      <c r="Y97" s="22" t="str">
        <f t="shared" si="9"/>
        <v/>
      </c>
      <c r="Z97" s="25"/>
      <c r="AA97" s="25"/>
      <c r="AB97" s="25"/>
      <c r="AC97" s="25"/>
      <c r="AD97" s="25"/>
      <c r="AE97" s="25"/>
      <c r="AF97" s="25"/>
      <c r="AG97" s="9"/>
      <c r="AH97" s="29"/>
      <c r="AI97" s="29"/>
      <c r="AM97" s="50"/>
      <c r="AN97" s="51" t="s">
        <v>586</v>
      </c>
      <c r="AO97" s="55" t="s">
        <v>587</v>
      </c>
    </row>
    <row r="98" spans="1:41" ht="68.400000000000006" hidden="1" customHeight="1" x14ac:dyDescent="0.3">
      <c r="A98" s="20">
        <v>94</v>
      </c>
      <c r="B98" s="8" t="s">
        <v>588</v>
      </c>
      <c r="C98" s="26">
        <v>2025</v>
      </c>
      <c r="D98" s="8"/>
      <c r="E98" s="8" t="s">
        <v>589</v>
      </c>
      <c r="F98" s="20" t="s">
        <v>54</v>
      </c>
      <c r="G98" s="21" t="s">
        <v>64</v>
      </c>
      <c r="H98" s="21" t="s">
        <v>64</v>
      </c>
      <c r="I98" s="21" t="s">
        <v>64</v>
      </c>
      <c r="J98" s="21" t="s">
        <v>53</v>
      </c>
      <c r="K98" s="21" t="s">
        <v>53</v>
      </c>
      <c r="L98" s="22" t="str">
        <f t="shared" si="5"/>
        <v>EXCLUDE</v>
      </c>
      <c r="M98" s="22" t="str">
        <f t="shared" si="6"/>
        <v>Wrong domain (non-AECO)</v>
      </c>
      <c r="N98" s="23"/>
      <c r="O98" s="23"/>
      <c r="P98" s="24"/>
      <c r="Q98" s="24"/>
      <c r="R98" s="24"/>
      <c r="S98" s="22" t="str">
        <f t="shared" si="7"/>
        <v/>
      </c>
      <c r="T98" s="22" t="str">
        <f t="shared" si="8"/>
        <v/>
      </c>
      <c r="U98" s="25"/>
      <c r="V98" s="25"/>
      <c r="W98" s="25"/>
      <c r="X98" s="25"/>
      <c r="Y98" s="22" t="str">
        <f t="shared" si="9"/>
        <v/>
      </c>
      <c r="Z98" s="25"/>
      <c r="AA98" s="25"/>
      <c r="AB98" s="25"/>
      <c r="AC98" s="25"/>
      <c r="AD98" s="25"/>
      <c r="AE98" s="25"/>
      <c r="AF98" s="25"/>
      <c r="AG98" s="9"/>
      <c r="AH98" s="29"/>
      <c r="AI98" s="29"/>
      <c r="AM98" s="50"/>
      <c r="AN98" s="51" t="s">
        <v>590</v>
      </c>
      <c r="AO98" s="55" t="s">
        <v>591</v>
      </c>
    </row>
    <row r="99" spans="1:41" ht="91.2" hidden="1" customHeight="1" x14ac:dyDescent="0.3">
      <c r="A99" s="20">
        <v>95</v>
      </c>
      <c r="B99" s="8" t="s">
        <v>592</v>
      </c>
      <c r="C99" s="26">
        <v>2026</v>
      </c>
      <c r="D99" s="8"/>
      <c r="E99" s="8" t="s">
        <v>593</v>
      </c>
      <c r="F99" s="20" t="s">
        <v>54</v>
      </c>
      <c r="G99" s="21" t="s">
        <v>64</v>
      </c>
      <c r="H99" s="21" t="s">
        <v>53</v>
      </c>
      <c r="I99" s="21" t="s">
        <v>64</v>
      </c>
      <c r="J99" s="21" t="s">
        <v>53</v>
      </c>
      <c r="K99" s="21" t="s">
        <v>53</v>
      </c>
      <c r="L99" s="22" t="str">
        <f t="shared" si="5"/>
        <v>EXCLUDE</v>
      </c>
      <c r="M99" s="22" t="str">
        <f t="shared" si="6"/>
        <v>Wrong domain (non-AECO)</v>
      </c>
      <c r="N99" s="23"/>
      <c r="O99" s="23"/>
      <c r="P99" s="24"/>
      <c r="Q99" s="24"/>
      <c r="R99" s="24"/>
      <c r="S99" s="22" t="str">
        <f t="shared" si="7"/>
        <v/>
      </c>
      <c r="T99" s="22" t="str">
        <f t="shared" si="8"/>
        <v/>
      </c>
      <c r="U99" s="25"/>
      <c r="V99" s="25"/>
      <c r="W99" s="25"/>
      <c r="X99" s="25"/>
      <c r="Y99" s="22" t="str">
        <f t="shared" si="9"/>
        <v/>
      </c>
      <c r="Z99" s="25"/>
      <c r="AA99" s="25"/>
      <c r="AB99" s="25"/>
      <c r="AC99" s="25"/>
      <c r="AD99" s="25"/>
      <c r="AE99" s="25"/>
      <c r="AF99" s="25"/>
      <c r="AG99" s="9"/>
      <c r="AH99" s="29"/>
      <c r="AI99" s="29"/>
      <c r="AM99" s="50"/>
      <c r="AN99" s="51" t="s">
        <v>594</v>
      </c>
      <c r="AO99" s="55" t="s">
        <v>595</v>
      </c>
    </row>
    <row r="100" spans="1:41" ht="45.6" hidden="1" customHeight="1" x14ac:dyDescent="0.3">
      <c r="A100" s="20">
        <v>96</v>
      </c>
      <c r="B100" s="8" t="s">
        <v>596</v>
      </c>
      <c r="C100" s="26">
        <v>2025</v>
      </c>
      <c r="D100" s="8"/>
      <c r="E100" s="8" t="s">
        <v>597</v>
      </c>
      <c r="F100" s="20" t="s">
        <v>54</v>
      </c>
      <c r="G100" s="21" t="s">
        <v>64</v>
      </c>
      <c r="H100" s="21" t="s">
        <v>53</v>
      </c>
      <c r="I100" s="21" t="s">
        <v>64</v>
      </c>
      <c r="J100" s="21" t="s">
        <v>53</v>
      </c>
      <c r="K100" s="21" t="s">
        <v>53</v>
      </c>
      <c r="L100" s="22" t="str">
        <f t="shared" si="5"/>
        <v>EXCLUDE</v>
      </c>
      <c r="M100" s="22" t="str">
        <f t="shared" si="6"/>
        <v>Wrong domain (non-AECO)</v>
      </c>
      <c r="N100" s="23"/>
      <c r="O100" s="23"/>
      <c r="P100" s="24"/>
      <c r="Q100" s="24"/>
      <c r="R100" s="24"/>
      <c r="S100" s="22" t="str">
        <f t="shared" si="7"/>
        <v/>
      </c>
      <c r="T100" s="22" t="str">
        <f t="shared" si="8"/>
        <v/>
      </c>
      <c r="U100" s="25"/>
      <c r="V100" s="25"/>
      <c r="W100" s="25"/>
      <c r="X100" s="25"/>
      <c r="Y100" s="22" t="str">
        <f t="shared" si="9"/>
        <v/>
      </c>
      <c r="Z100" s="25"/>
      <c r="AA100" s="25"/>
      <c r="AB100" s="25"/>
      <c r="AC100" s="25"/>
      <c r="AD100" s="25"/>
      <c r="AE100" s="25"/>
      <c r="AF100" s="25"/>
      <c r="AG100" s="9"/>
      <c r="AH100" s="29"/>
      <c r="AI100" s="29"/>
      <c r="AM100" s="50"/>
      <c r="AN100" s="51" t="s">
        <v>598</v>
      </c>
      <c r="AO100" s="55" t="s">
        <v>599</v>
      </c>
    </row>
    <row r="101" spans="1:41" ht="102.6" hidden="1" customHeight="1" x14ac:dyDescent="0.3">
      <c r="A101" s="20">
        <v>97</v>
      </c>
      <c r="B101" s="8" t="s">
        <v>600</v>
      </c>
      <c r="C101" s="26">
        <v>2026</v>
      </c>
      <c r="D101" s="8"/>
      <c r="E101" s="8" t="s">
        <v>601</v>
      </c>
      <c r="F101" s="20" t="s">
        <v>54</v>
      </c>
      <c r="G101" s="21" t="s">
        <v>53</v>
      </c>
      <c r="H101" s="21" t="s">
        <v>64</v>
      </c>
      <c r="I101" s="21" t="s">
        <v>53</v>
      </c>
      <c r="J101" s="21" t="s">
        <v>53</v>
      </c>
      <c r="K101" s="21" t="s">
        <v>53</v>
      </c>
      <c r="L101" s="22" t="str">
        <f t="shared" si="5"/>
        <v>EXCLUDE</v>
      </c>
      <c r="M101" s="22" t="str">
        <f t="shared" si="6"/>
        <v>Digital Twin not core / buzzword</v>
      </c>
      <c r="N101" s="23"/>
      <c r="O101" s="23"/>
      <c r="P101" s="24"/>
      <c r="Q101" s="24"/>
      <c r="R101" s="24"/>
      <c r="S101" s="22" t="str">
        <f t="shared" si="7"/>
        <v/>
      </c>
      <c r="T101" s="22" t="str">
        <f t="shared" si="8"/>
        <v/>
      </c>
      <c r="U101" s="25"/>
      <c r="V101" s="25"/>
      <c r="W101" s="25"/>
      <c r="X101" s="25"/>
      <c r="Y101" s="22" t="str">
        <f t="shared" si="9"/>
        <v/>
      </c>
      <c r="Z101" s="25"/>
      <c r="AA101" s="25"/>
      <c r="AB101" s="25"/>
      <c r="AC101" s="25"/>
      <c r="AD101" s="25"/>
      <c r="AE101" s="25"/>
      <c r="AF101" s="25"/>
      <c r="AG101" s="9"/>
      <c r="AH101" s="29"/>
      <c r="AI101" s="29"/>
      <c r="AM101" s="50"/>
      <c r="AN101" s="51" t="s">
        <v>602</v>
      </c>
      <c r="AO101" s="55" t="s">
        <v>603</v>
      </c>
    </row>
    <row r="102" spans="1:41" ht="45.6" hidden="1" customHeight="1" x14ac:dyDescent="0.3">
      <c r="A102" s="20">
        <v>98</v>
      </c>
      <c r="B102" s="8" t="s">
        <v>604</v>
      </c>
      <c r="C102" s="26">
        <v>2025</v>
      </c>
      <c r="D102" s="8"/>
      <c r="E102" s="8" t="s">
        <v>605</v>
      </c>
      <c r="F102" s="20" t="s">
        <v>54</v>
      </c>
      <c r="G102" s="21" t="s">
        <v>64</v>
      </c>
      <c r="H102" s="21" t="s">
        <v>53</v>
      </c>
      <c r="I102" s="21" t="s">
        <v>53</v>
      </c>
      <c r="J102" s="21" t="s">
        <v>53</v>
      </c>
      <c r="K102" s="21" t="s">
        <v>53</v>
      </c>
      <c r="L102" s="22" t="str">
        <f t="shared" si="5"/>
        <v>EXCLUDE</v>
      </c>
      <c r="M102" s="22" t="str">
        <f t="shared" si="6"/>
        <v>Wrong domain (non-AECO)</v>
      </c>
      <c r="N102" s="23"/>
      <c r="O102" s="23"/>
      <c r="P102" s="24"/>
      <c r="Q102" s="24"/>
      <c r="R102" s="24"/>
      <c r="S102" s="22" t="str">
        <f t="shared" si="7"/>
        <v/>
      </c>
      <c r="T102" s="22" t="str">
        <f t="shared" si="8"/>
        <v/>
      </c>
      <c r="U102" s="25"/>
      <c r="V102" s="25"/>
      <c r="W102" s="25"/>
      <c r="X102" s="25"/>
      <c r="Y102" s="22" t="str">
        <f t="shared" si="9"/>
        <v/>
      </c>
      <c r="Z102" s="25"/>
      <c r="AA102" s="25"/>
      <c r="AB102" s="25"/>
      <c r="AC102" s="25"/>
      <c r="AD102" s="25"/>
      <c r="AE102" s="25"/>
      <c r="AF102" s="25"/>
      <c r="AG102" s="9"/>
      <c r="AH102" s="29"/>
      <c r="AI102" s="29"/>
      <c r="AM102" s="50"/>
      <c r="AN102" s="51" t="s">
        <v>606</v>
      </c>
      <c r="AO102" s="55" t="s">
        <v>607</v>
      </c>
    </row>
    <row r="103" spans="1:41" ht="34.200000000000003" customHeight="1" x14ac:dyDescent="0.3">
      <c r="A103" s="20">
        <v>99</v>
      </c>
      <c r="B103" s="8" t="s">
        <v>608</v>
      </c>
      <c r="C103" s="26">
        <v>2025</v>
      </c>
      <c r="D103" s="8"/>
      <c r="E103" s="8" t="s">
        <v>609</v>
      </c>
      <c r="F103" s="20" t="s">
        <v>54</v>
      </c>
      <c r="G103" s="21" t="s">
        <v>53</v>
      </c>
      <c r="H103" s="21" t="s">
        <v>53</v>
      </c>
      <c r="I103" s="21" t="s">
        <v>53</v>
      </c>
      <c r="J103" s="21" t="s">
        <v>53</v>
      </c>
      <c r="K103" s="21" t="s">
        <v>53</v>
      </c>
      <c r="L103" s="22" t="str">
        <f t="shared" si="5"/>
        <v>INCLUDE</v>
      </c>
      <c r="M103" s="22" t="str">
        <f t="shared" si="6"/>
        <v/>
      </c>
      <c r="N103" s="23" t="s">
        <v>53</v>
      </c>
      <c r="O103" s="23" t="s">
        <v>53</v>
      </c>
      <c r="P103" s="24" t="s">
        <v>53</v>
      </c>
      <c r="Q103" s="24" t="s">
        <v>53</v>
      </c>
      <c r="R103" s="24" t="s">
        <v>53</v>
      </c>
      <c r="S103" s="22" t="str">
        <f t="shared" si="7"/>
        <v>INCLUDE</v>
      </c>
      <c r="T103" s="22" t="str">
        <f t="shared" si="8"/>
        <v/>
      </c>
      <c r="U103" s="25" t="s">
        <v>56</v>
      </c>
      <c r="V103" s="25">
        <v>0</v>
      </c>
      <c r="W103" s="25">
        <v>0</v>
      </c>
      <c r="X103" s="25">
        <v>1</v>
      </c>
      <c r="Y103" s="22" t="str">
        <f t="shared" si="9"/>
        <v>Single</v>
      </c>
      <c r="Z103" s="25" t="s">
        <v>9</v>
      </c>
      <c r="AA103" s="25" t="s">
        <v>57</v>
      </c>
      <c r="AB103" s="25" t="s">
        <v>104</v>
      </c>
      <c r="AC103" s="25" t="s">
        <v>70</v>
      </c>
      <c r="AD103" s="25" t="s">
        <v>89</v>
      </c>
      <c r="AE103" s="25">
        <v>4</v>
      </c>
      <c r="AF103" s="25" t="s">
        <v>81</v>
      </c>
      <c r="AG103" s="9" t="s">
        <v>610</v>
      </c>
      <c r="AH103" s="29" t="s">
        <v>611</v>
      </c>
      <c r="AI103" s="29" t="s">
        <v>612</v>
      </c>
      <c r="AJ103" t="s">
        <v>62</v>
      </c>
      <c r="AK103" t="s">
        <v>613</v>
      </c>
      <c r="AL103" t="s">
        <v>63</v>
      </c>
      <c r="AM103" s="50" t="s">
        <v>614</v>
      </c>
      <c r="AN103" s="51" t="s">
        <v>615</v>
      </c>
      <c r="AO103" s="55" t="s">
        <v>616</v>
      </c>
    </row>
    <row r="104" spans="1:41" ht="114" hidden="1" customHeight="1" x14ac:dyDescent="0.3">
      <c r="A104" s="20">
        <v>100</v>
      </c>
      <c r="B104" s="8" t="s">
        <v>617</v>
      </c>
      <c r="C104" s="26">
        <v>2025</v>
      </c>
      <c r="D104" s="8"/>
      <c r="E104" s="8" t="s">
        <v>618</v>
      </c>
      <c r="F104" s="20" t="s">
        <v>54</v>
      </c>
      <c r="G104" s="21" t="s">
        <v>64</v>
      </c>
      <c r="H104" s="21" t="s">
        <v>53</v>
      </c>
      <c r="I104" s="21" t="s">
        <v>53</v>
      </c>
      <c r="J104" s="21" t="s">
        <v>53</v>
      </c>
      <c r="K104" s="21" t="s">
        <v>53</v>
      </c>
      <c r="L104" s="22" t="str">
        <f t="shared" si="5"/>
        <v>EXCLUDE</v>
      </c>
      <c r="M104" s="22" t="str">
        <f t="shared" si="6"/>
        <v>Wrong domain (non-AECO)</v>
      </c>
      <c r="N104" s="23"/>
      <c r="O104" s="23"/>
      <c r="P104" s="24"/>
      <c r="Q104" s="24"/>
      <c r="R104" s="24"/>
      <c r="S104" s="22" t="str">
        <f t="shared" si="7"/>
        <v/>
      </c>
      <c r="T104" s="22" t="str">
        <f t="shared" si="8"/>
        <v/>
      </c>
      <c r="U104" s="25"/>
      <c r="V104" s="25"/>
      <c r="W104" s="25"/>
      <c r="X104" s="25"/>
      <c r="Y104" s="22" t="str">
        <f t="shared" si="9"/>
        <v/>
      </c>
      <c r="Z104" s="25"/>
      <c r="AA104" s="25"/>
      <c r="AB104" s="25"/>
      <c r="AC104" s="25"/>
      <c r="AD104" s="25"/>
      <c r="AE104" s="25"/>
      <c r="AF104" s="25"/>
      <c r="AG104" s="9"/>
      <c r="AH104" s="29"/>
      <c r="AI104" s="29"/>
      <c r="AM104" s="50"/>
      <c r="AN104" s="51" t="s">
        <v>619</v>
      </c>
      <c r="AO104" s="55" t="s">
        <v>620</v>
      </c>
    </row>
    <row r="105" spans="1:41" ht="45.6" customHeight="1" x14ac:dyDescent="0.3">
      <c r="A105" s="20">
        <v>101</v>
      </c>
      <c r="B105" s="8" t="s">
        <v>621</v>
      </c>
      <c r="C105" s="26">
        <v>2026</v>
      </c>
      <c r="D105" s="8"/>
      <c r="E105" s="8" t="s">
        <v>622</v>
      </c>
      <c r="F105" s="20" t="s">
        <v>54</v>
      </c>
      <c r="G105" s="21" t="s">
        <v>53</v>
      </c>
      <c r="H105" s="21" t="s">
        <v>53</v>
      </c>
      <c r="I105" s="21" t="s">
        <v>53</v>
      </c>
      <c r="J105" s="21" t="s">
        <v>53</v>
      </c>
      <c r="K105" s="21" t="s">
        <v>53</v>
      </c>
      <c r="L105" s="22" t="str">
        <f t="shared" si="5"/>
        <v>INCLUDE</v>
      </c>
      <c r="M105" s="22" t="str">
        <f t="shared" si="6"/>
        <v/>
      </c>
      <c r="N105" s="23" t="s">
        <v>53</v>
      </c>
      <c r="O105" s="23" t="s">
        <v>53</v>
      </c>
      <c r="P105" s="24" t="s">
        <v>53</v>
      </c>
      <c r="Q105" s="24" t="s">
        <v>53</v>
      </c>
      <c r="R105" s="24" t="s">
        <v>53</v>
      </c>
      <c r="S105" s="22" t="str">
        <f t="shared" si="7"/>
        <v>INCLUDE</v>
      </c>
      <c r="T105" s="22" t="str">
        <f t="shared" si="8"/>
        <v/>
      </c>
      <c r="U105" s="25" t="s">
        <v>67</v>
      </c>
      <c r="V105" s="25">
        <v>0</v>
      </c>
      <c r="W105" s="25">
        <v>0</v>
      </c>
      <c r="X105" s="25">
        <v>1</v>
      </c>
      <c r="Y105" s="22" t="str">
        <f t="shared" si="9"/>
        <v>Single</v>
      </c>
      <c r="Z105" s="25" t="s">
        <v>9</v>
      </c>
      <c r="AA105" s="25" t="s">
        <v>78</v>
      </c>
      <c r="AB105" s="25" t="s">
        <v>104</v>
      </c>
      <c r="AC105" s="25" t="s">
        <v>59</v>
      </c>
      <c r="AD105" s="25" t="s">
        <v>71</v>
      </c>
      <c r="AE105" s="25">
        <v>4</v>
      </c>
      <c r="AF105" s="25" t="s">
        <v>96</v>
      </c>
      <c r="AG105" s="9" t="s">
        <v>623</v>
      </c>
      <c r="AH105" s="29" t="s">
        <v>624</v>
      </c>
      <c r="AI105" s="29" t="s">
        <v>625</v>
      </c>
      <c r="AJ105" t="s">
        <v>62</v>
      </c>
      <c r="AK105" t="s">
        <v>626</v>
      </c>
      <c r="AL105" t="s">
        <v>63</v>
      </c>
      <c r="AM105" s="50"/>
      <c r="AN105" s="51" t="s">
        <v>627</v>
      </c>
      <c r="AO105" s="55" t="s">
        <v>628</v>
      </c>
    </row>
    <row r="106" spans="1:41" ht="91.2" customHeight="1" x14ac:dyDescent="0.3">
      <c r="A106" s="20">
        <v>102</v>
      </c>
      <c r="B106" s="8" t="s">
        <v>629</v>
      </c>
      <c r="C106" s="26">
        <v>2025</v>
      </c>
      <c r="D106" s="8"/>
      <c r="E106" s="8" t="s">
        <v>630</v>
      </c>
      <c r="F106" s="20" t="s">
        <v>54</v>
      </c>
      <c r="G106" s="21" t="s">
        <v>53</v>
      </c>
      <c r="H106" s="21" t="s">
        <v>53</v>
      </c>
      <c r="I106" s="21" t="s">
        <v>53</v>
      </c>
      <c r="J106" s="21" t="s">
        <v>53</v>
      </c>
      <c r="K106" s="21" t="s">
        <v>53</v>
      </c>
      <c r="L106" s="22" t="str">
        <f t="shared" si="5"/>
        <v>INCLUDE</v>
      </c>
      <c r="M106" s="22" t="str">
        <f t="shared" si="6"/>
        <v/>
      </c>
      <c r="N106" s="23" t="s">
        <v>53</v>
      </c>
      <c r="O106" s="23" t="s">
        <v>53</v>
      </c>
      <c r="P106" s="24" t="s">
        <v>53</v>
      </c>
      <c r="Q106" s="24" t="s">
        <v>53</v>
      </c>
      <c r="R106" s="24" t="s">
        <v>53</v>
      </c>
      <c r="S106" s="22" t="str">
        <f t="shared" si="7"/>
        <v>INCLUDE</v>
      </c>
      <c r="T106" s="22" t="str">
        <f t="shared" si="8"/>
        <v/>
      </c>
      <c r="U106" s="25" t="s">
        <v>67</v>
      </c>
      <c r="V106" s="25">
        <v>0</v>
      </c>
      <c r="W106" s="25">
        <v>0</v>
      </c>
      <c r="X106" s="25">
        <v>1</v>
      </c>
      <c r="Y106" s="22" t="str">
        <f t="shared" si="9"/>
        <v>Single</v>
      </c>
      <c r="Z106" s="25" t="s">
        <v>9</v>
      </c>
      <c r="AA106" s="25" t="s">
        <v>57</v>
      </c>
      <c r="AB106" s="25" t="s">
        <v>104</v>
      </c>
      <c r="AC106" s="25" t="s">
        <v>70</v>
      </c>
      <c r="AD106" s="25" t="s">
        <v>89</v>
      </c>
      <c r="AE106" s="25">
        <v>4</v>
      </c>
      <c r="AF106" s="25" t="s">
        <v>90</v>
      </c>
      <c r="AG106" s="9" t="s">
        <v>631</v>
      </c>
      <c r="AH106" s="29" t="s">
        <v>632</v>
      </c>
      <c r="AI106" s="29" t="s">
        <v>633</v>
      </c>
      <c r="AJ106" t="s">
        <v>82</v>
      </c>
      <c r="AK106" t="s">
        <v>634</v>
      </c>
      <c r="AL106" t="s">
        <v>63</v>
      </c>
      <c r="AM106" s="50"/>
      <c r="AN106" s="51" t="s">
        <v>635</v>
      </c>
      <c r="AO106" s="55" t="s">
        <v>636</v>
      </c>
    </row>
    <row r="107" spans="1:41" ht="68.400000000000006" hidden="1" customHeight="1" x14ac:dyDescent="0.3">
      <c r="A107" s="20">
        <v>103</v>
      </c>
      <c r="B107" s="8" t="s">
        <v>637</v>
      </c>
      <c r="C107" s="26">
        <v>2025</v>
      </c>
      <c r="D107" s="8"/>
      <c r="E107" s="8" t="s">
        <v>638</v>
      </c>
      <c r="F107" s="20" t="s">
        <v>54</v>
      </c>
      <c r="G107" s="21" t="s">
        <v>53</v>
      </c>
      <c r="H107" s="21" t="s">
        <v>64</v>
      </c>
      <c r="I107" s="21" t="s">
        <v>64</v>
      </c>
      <c r="J107" s="21" t="s">
        <v>53</v>
      </c>
      <c r="K107" s="21" t="s">
        <v>53</v>
      </c>
      <c r="L107" s="22" t="str">
        <f t="shared" si="5"/>
        <v>EXCLUDE</v>
      </c>
      <c r="M107" s="22" t="str">
        <f t="shared" si="6"/>
        <v>Digital Twin not core / buzzword</v>
      </c>
      <c r="N107" s="23"/>
      <c r="O107" s="23"/>
      <c r="P107" s="24"/>
      <c r="Q107" s="24"/>
      <c r="R107" s="24"/>
      <c r="S107" s="22" t="str">
        <f t="shared" si="7"/>
        <v/>
      </c>
      <c r="T107" s="22" t="str">
        <f t="shared" si="8"/>
        <v/>
      </c>
      <c r="U107" s="25"/>
      <c r="V107" s="25"/>
      <c r="W107" s="25"/>
      <c r="X107" s="25"/>
      <c r="Y107" s="22" t="str">
        <f t="shared" si="9"/>
        <v/>
      </c>
      <c r="Z107" s="25"/>
      <c r="AA107" s="25"/>
      <c r="AB107" s="25"/>
      <c r="AC107" s="25"/>
      <c r="AD107" s="25"/>
      <c r="AE107" s="25"/>
      <c r="AF107" s="25"/>
      <c r="AG107" s="9"/>
      <c r="AH107" s="29"/>
      <c r="AI107" s="29"/>
      <c r="AM107" s="50"/>
      <c r="AN107" s="51" t="s">
        <v>639</v>
      </c>
      <c r="AO107" s="55" t="s">
        <v>640</v>
      </c>
    </row>
    <row r="108" spans="1:41" ht="115.2" hidden="1" customHeight="1" x14ac:dyDescent="0.3">
      <c r="A108" s="20">
        <v>104</v>
      </c>
      <c r="B108" s="8" t="s">
        <v>641</v>
      </c>
      <c r="C108" s="26">
        <v>2026</v>
      </c>
      <c r="D108" s="8"/>
      <c r="E108" s="8" t="s">
        <v>642</v>
      </c>
      <c r="F108" s="20" t="s">
        <v>54</v>
      </c>
      <c r="G108" s="21" t="s">
        <v>64</v>
      </c>
      <c r="H108" s="21" t="s">
        <v>53</v>
      </c>
      <c r="I108" s="21" t="s">
        <v>64</v>
      </c>
      <c r="J108" s="21" t="s">
        <v>53</v>
      </c>
      <c r="K108" s="21" t="s">
        <v>53</v>
      </c>
      <c r="L108" s="22" t="str">
        <f t="shared" si="5"/>
        <v>EXCLUDE</v>
      </c>
      <c r="M108" s="22" t="str">
        <f t="shared" si="6"/>
        <v>Wrong domain (non-AECO)</v>
      </c>
      <c r="N108" s="23"/>
      <c r="O108" s="23"/>
      <c r="P108" s="24"/>
      <c r="Q108" s="24"/>
      <c r="R108" s="24"/>
      <c r="S108" s="22" t="str">
        <f t="shared" si="7"/>
        <v/>
      </c>
      <c r="T108" s="22" t="str">
        <f t="shared" si="8"/>
        <v/>
      </c>
      <c r="U108" s="25"/>
      <c r="V108" s="25"/>
      <c r="W108" s="25"/>
      <c r="X108" s="25"/>
      <c r="Y108" s="22" t="str">
        <f t="shared" si="9"/>
        <v/>
      </c>
      <c r="Z108" s="25"/>
      <c r="AA108" s="25"/>
      <c r="AB108" s="25"/>
      <c r="AC108" s="25"/>
      <c r="AD108" s="25"/>
      <c r="AE108" s="25"/>
      <c r="AF108" s="25"/>
      <c r="AG108" s="9"/>
      <c r="AH108" s="29"/>
      <c r="AI108" s="29"/>
      <c r="AM108" s="50"/>
      <c r="AN108" s="51" t="s">
        <v>643</v>
      </c>
      <c r="AO108" s="55" t="s">
        <v>644</v>
      </c>
    </row>
    <row r="109" spans="1:41" ht="57" hidden="1" customHeight="1" x14ac:dyDescent="0.3">
      <c r="A109" s="20">
        <v>105</v>
      </c>
      <c r="B109" s="8" t="s">
        <v>645</v>
      </c>
      <c r="C109" s="26">
        <v>2026</v>
      </c>
      <c r="D109" s="8"/>
      <c r="E109" s="8" t="s">
        <v>646</v>
      </c>
      <c r="F109" s="20" t="s">
        <v>54</v>
      </c>
      <c r="G109" s="21" t="s">
        <v>53</v>
      </c>
      <c r="H109" s="21" t="s">
        <v>64</v>
      </c>
      <c r="I109" s="21" t="s">
        <v>53</v>
      </c>
      <c r="J109" s="21" t="s">
        <v>53</v>
      </c>
      <c r="K109" s="21" t="s">
        <v>53</v>
      </c>
      <c r="L109" s="22" t="str">
        <f t="shared" si="5"/>
        <v>EXCLUDE</v>
      </c>
      <c r="M109" s="22" t="str">
        <f t="shared" si="6"/>
        <v>Digital Twin not core / buzzword</v>
      </c>
      <c r="N109" s="23"/>
      <c r="O109" s="23"/>
      <c r="P109" s="24"/>
      <c r="Q109" s="24"/>
      <c r="R109" s="24"/>
      <c r="S109" s="22" t="str">
        <f t="shared" si="7"/>
        <v/>
      </c>
      <c r="T109" s="22" t="str">
        <f t="shared" si="8"/>
        <v/>
      </c>
      <c r="U109" s="25"/>
      <c r="V109" s="25"/>
      <c r="W109" s="25"/>
      <c r="X109" s="25"/>
      <c r="Y109" s="22" t="str">
        <f t="shared" si="9"/>
        <v/>
      </c>
      <c r="Z109" s="25"/>
      <c r="AA109" s="25"/>
      <c r="AB109" s="25"/>
      <c r="AC109" s="25"/>
      <c r="AD109" s="25"/>
      <c r="AE109" s="25"/>
      <c r="AF109" s="25"/>
      <c r="AG109" s="9"/>
      <c r="AH109" s="29"/>
      <c r="AI109" s="29"/>
      <c r="AM109" s="50"/>
      <c r="AN109" s="51" t="s">
        <v>647</v>
      </c>
      <c r="AO109" s="55" t="s">
        <v>648</v>
      </c>
    </row>
    <row r="110" spans="1:41" ht="148.19999999999999" hidden="1" customHeight="1" x14ac:dyDescent="0.3">
      <c r="A110" s="20">
        <v>106</v>
      </c>
      <c r="B110" s="8" t="s">
        <v>649</v>
      </c>
      <c r="C110" s="26">
        <v>2026</v>
      </c>
      <c r="D110" s="8"/>
      <c r="E110" s="8" t="s">
        <v>650</v>
      </c>
      <c r="F110" s="20" t="s">
        <v>54</v>
      </c>
      <c r="G110" s="21" t="s">
        <v>53</v>
      </c>
      <c r="H110" s="21" t="s">
        <v>53</v>
      </c>
      <c r="I110" s="21" t="s">
        <v>53</v>
      </c>
      <c r="J110" s="21" t="s">
        <v>53</v>
      </c>
      <c r="K110" s="21" t="s">
        <v>53</v>
      </c>
      <c r="L110" s="22" t="str">
        <f t="shared" si="5"/>
        <v>INCLUDE</v>
      </c>
      <c r="M110" s="22" t="str">
        <f t="shared" si="6"/>
        <v/>
      </c>
      <c r="N110" s="23" t="s">
        <v>64</v>
      </c>
      <c r="O110" s="23" t="s">
        <v>64</v>
      </c>
      <c r="P110" s="24"/>
      <c r="Q110" s="24"/>
      <c r="R110" s="24"/>
      <c r="S110" s="22" t="str">
        <f t="shared" si="7"/>
        <v/>
      </c>
      <c r="T110" s="22" t="str">
        <f t="shared" si="8"/>
        <v/>
      </c>
      <c r="U110" s="25"/>
      <c r="V110" s="25"/>
      <c r="W110" s="25"/>
      <c r="X110" s="25"/>
      <c r="Y110" s="22" t="str">
        <f t="shared" si="9"/>
        <v/>
      </c>
      <c r="Z110" s="25"/>
      <c r="AA110" s="25"/>
      <c r="AB110" s="25"/>
      <c r="AC110" s="25"/>
      <c r="AD110" s="25"/>
      <c r="AE110" s="25"/>
      <c r="AF110" s="25"/>
      <c r="AG110" s="9"/>
      <c r="AH110" s="29"/>
      <c r="AI110" s="29"/>
      <c r="AM110" s="50"/>
      <c r="AN110" s="51" t="s">
        <v>651</v>
      </c>
      <c r="AO110" s="55" t="s">
        <v>652</v>
      </c>
    </row>
    <row r="111" spans="1:41" ht="79.95" customHeight="1" x14ac:dyDescent="0.3">
      <c r="A111" s="20">
        <v>107</v>
      </c>
      <c r="B111" s="8" t="s">
        <v>653</v>
      </c>
      <c r="C111" s="26">
        <v>2026</v>
      </c>
      <c r="D111" s="8"/>
      <c r="E111" s="8" t="s">
        <v>654</v>
      </c>
      <c r="F111" s="20" t="s">
        <v>54</v>
      </c>
      <c r="G111" s="21" t="s">
        <v>53</v>
      </c>
      <c r="H111" s="21" t="s">
        <v>53</v>
      </c>
      <c r="I111" s="21" t="s">
        <v>53</v>
      </c>
      <c r="J111" s="21" t="s">
        <v>53</v>
      </c>
      <c r="K111" s="21" t="s">
        <v>53</v>
      </c>
      <c r="L111" s="22" t="str">
        <f t="shared" si="5"/>
        <v>INCLUDE</v>
      </c>
      <c r="M111" s="22" t="str">
        <f t="shared" si="6"/>
        <v/>
      </c>
      <c r="N111" s="23" t="s">
        <v>53</v>
      </c>
      <c r="O111" s="23" t="s">
        <v>53</v>
      </c>
      <c r="P111" s="24" t="s">
        <v>53</v>
      </c>
      <c r="Q111" s="24" t="s">
        <v>53</v>
      </c>
      <c r="R111" s="24" t="s">
        <v>53</v>
      </c>
      <c r="S111" s="22" t="str">
        <f t="shared" si="7"/>
        <v>INCLUDE</v>
      </c>
      <c r="T111" s="22" t="str">
        <f t="shared" si="8"/>
        <v/>
      </c>
      <c r="U111" s="25" t="s">
        <v>76</v>
      </c>
      <c r="V111" s="25">
        <v>0</v>
      </c>
      <c r="W111" s="25">
        <v>1</v>
      </c>
      <c r="X111" s="25">
        <v>0</v>
      </c>
      <c r="Y111" s="22" t="str">
        <f t="shared" si="9"/>
        <v>Single</v>
      </c>
      <c r="Z111" s="25" t="s">
        <v>9</v>
      </c>
      <c r="AA111" s="25" t="s">
        <v>57</v>
      </c>
      <c r="AB111" s="25" t="s">
        <v>88</v>
      </c>
      <c r="AC111" s="25" t="s">
        <v>70</v>
      </c>
      <c r="AD111" s="25" t="s">
        <v>89</v>
      </c>
      <c r="AE111" s="25">
        <v>4</v>
      </c>
      <c r="AF111" s="25" t="s">
        <v>90</v>
      </c>
      <c r="AG111" s="9" t="s">
        <v>655</v>
      </c>
      <c r="AH111" s="29" t="s">
        <v>656</v>
      </c>
      <c r="AI111" s="29" t="s">
        <v>657</v>
      </c>
      <c r="AJ111" t="s">
        <v>91</v>
      </c>
      <c r="AK111" t="s">
        <v>658</v>
      </c>
      <c r="AL111" t="s">
        <v>63</v>
      </c>
      <c r="AM111" s="50"/>
      <c r="AN111" s="51" t="s">
        <v>659</v>
      </c>
      <c r="AO111" s="55" t="s">
        <v>660</v>
      </c>
    </row>
    <row r="112" spans="1:41" ht="79.95" customHeight="1" x14ac:dyDescent="0.3">
      <c r="A112" s="20">
        <v>108</v>
      </c>
      <c r="B112" s="8" t="s">
        <v>661</v>
      </c>
      <c r="C112" s="26">
        <v>2026</v>
      </c>
      <c r="D112" s="8"/>
      <c r="E112" s="8" t="s">
        <v>662</v>
      </c>
      <c r="F112" s="20" t="s">
        <v>54</v>
      </c>
      <c r="G112" s="21" t="s">
        <v>53</v>
      </c>
      <c r="H112" s="21" t="s">
        <v>53</v>
      </c>
      <c r="I112" s="21" t="s">
        <v>53</v>
      </c>
      <c r="J112" s="21" t="s">
        <v>53</v>
      </c>
      <c r="K112" s="21" t="s">
        <v>53</v>
      </c>
      <c r="L112" s="22" t="str">
        <f t="shared" si="5"/>
        <v>INCLUDE</v>
      </c>
      <c r="M112" s="22" t="str">
        <f t="shared" si="6"/>
        <v/>
      </c>
      <c r="N112" s="23" t="s">
        <v>53</v>
      </c>
      <c r="O112" s="23" t="s">
        <v>53</v>
      </c>
      <c r="P112" s="24" t="s">
        <v>53</v>
      </c>
      <c r="Q112" s="24" t="s">
        <v>53</v>
      </c>
      <c r="R112" s="24" t="s">
        <v>53</v>
      </c>
      <c r="S112" s="22" t="str">
        <f t="shared" si="7"/>
        <v>INCLUDE</v>
      </c>
      <c r="T112" s="22" t="str">
        <f t="shared" si="8"/>
        <v/>
      </c>
      <c r="U112" s="25" t="s">
        <v>67</v>
      </c>
      <c r="V112" s="25">
        <v>0</v>
      </c>
      <c r="W112" s="25">
        <v>0</v>
      </c>
      <c r="X112" s="25">
        <v>1</v>
      </c>
      <c r="Y112" s="22" t="str">
        <f t="shared" si="9"/>
        <v>Single</v>
      </c>
      <c r="Z112" s="25" t="s">
        <v>9</v>
      </c>
      <c r="AA112" s="25" t="s">
        <v>57</v>
      </c>
      <c r="AB112" s="25" t="s">
        <v>88</v>
      </c>
      <c r="AC112" s="25" t="s">
        <v>70</v>
      </c>
      <c r="AD112" s="25" t="s">
        <v>71</v>
      </c>
      <c r="AE112" s="25">
        <v>3</v>
      </c>
      <c r="AF112" s="25" t="s">
        <v>96</v>
      </c>
      <c r="AG112" s="9" t="s">
        <v>663</v>
      </c>
      <c r="AH112" s="29" t="s">
        <v>664</v>
      </c>
      <c r="AI112" s="29" t="s">
        <v>665</v>
      </c>
      <c r="AJ112" t="s">
        <v>91</v>
      </c>
      <c r="AK112" t="s">
        <v>666</v>
      </c>
      <c r="AL112" t="s">
        <v>74</v>
      </c>
      <c r="AM112" s="50"/>
      <c r="AN112" s="51" t="s">
        <v>667</v>
      </c>
      <c r="AO112" s="55" t="s">
        <v>668</v>
      </c>
    </row>
    <row r="113" spans="1:41" ht="79.95" hidden="1" customHeight="1" x14ac:dyDescent="0.3">
      <c r="A113" s="20">
        <v>109</v>
      </c>
      <c r="B113" s="8" t="s">
        <v>669</v>
      </c>
      <c r="C113" s="26">
        <v>2025</v>
      </c>
      <c r="D113" s="8"/>
      <c r="E113" s="8" t="s">
        <v>670</v>
      </c>
      <c r="F113" s="20" t="s">
        <v>54</v>
      </c>
      <c r="G113" s="21" t="s">
        <v>64</v>
      </c>
      <c r="H113" s="21" t="s">
        <v>53</v>
      </c>
      <c r="I113" s="21" t="s">
        <v>53</v>
      </c>
      <c r="J113" s="21" t="s">
        <v>53</v>
      </c>
      <c r="K113" s="21" t="s">
        <v>53</v>
      </c>
      <c r="L113" s="22" t="str">
        <f t="shared" si="5"/>
        <v>EXCLUDE</v>
      </c>
      <c r="M113" s="22" t="str">
        <f t="shared" si="6"/>
        <v>Wrong domain (non-AECO)</v>
      </c>
      <c r="N113" s="23"/>
      <c r="O113" s="23"/>
      <c r="P113" s="24"/>
      <c r="Q113" s="24"/>
      <c r="R113" s="24"/>
      <c r="S113" s="22" t="str">
        <f t="shared" si="7"/>
        <v/>
      </c>
      <c r="T113" s="22" t="str">
        <f t="shared" si="8"/>
        <v/>
      </c>
      <c r="U113" s="25"/>
      <c r="V113" s="25"/>
      <c r="W113" s="25"/>
      <c r="X113" s="25"/>
      <c r="Y113" s="22" t="str">
        <f t="shared" si="9"/>
        <v/>
      </c>
      <c r="Z113" s="25"/>
      <c r="AA113" s="25"/>
      <c r="AB113" s="25"/>
      <c r="AC113" s="25"/>
      <c r="AD113" s="25"/>
      <c r="AE113" s="25"/>
      <c r="AF113" s="25"/>
      <c r="AG113" s="9"/>
      <c r="AH113" s="29"/>
      <c r="AI113" s="29"/>
      <c r="AM113" s="50"/>
      <c r="AN113" s="51" t="s">
        <v>671</v>
      </c>
      <c r="AO113" s="55" t="s">
        <v>672</v>
      </c>
    </row>
    <row r="114" spans="1:41" ht="100.95" hidden="1" customHeight="1" x14ac:dyDescent="0.3">
      <c r="A114" s="20">
        <v>110</v>
      </c>
      <c r="B114" s="8" t="s">
        <v>673</v>
      </c>
      <c r="C114" s="26">
        <v>2026</v>
      </c>
      <c r="D114" s="8"/>
      <c r="E114" s="8" t="s">
        <v>674</v>
      </c>
      <c r="F114" s="20" t="s">
        <v>54</v>
      </c>
      <c r="G114" s="21" t="s">
        <v>64</v>
      </c>
      <c r="H114" s="21" t="s">
        <v>53</v>
      </c>
      <c r="I114" s="21" t="s">
        <v>53</v>
      </c>
      <c r="J114" s="21" t="s">
        <v>53</v>
      </c>
      <c r="K114" s="21" t="s">
        <v>53</v>
      </c>
      <c r="L114" s="22" t="str">
        <f t="shared" si="5"/>
        <v>EXCLUDE</v>
      </c>
      <c r="M114" s="22" t="str">
        <f t="shared" si="6"/>
        <v>Wrong domain (non-AECO)</v>
      </c>
      <c r="N114" s="23"/>
      <c r="O114" s="23"/>
      <c r="P114" s="24"/>
      <c r="Q114" s="24"/>
      <c r="R114" s="24"/>
      <c r="S114" s="22" t="str">
        <f t="shared" si="7"/>
        <v/>
      </c>
      <c r="T114" s="22" t="str">
        <f t="shared" si="8"/>
        <v/>
      </c>
      <c r="U114" s="25"/>
      <c r="V114" s="25"/>
      <c r="W114" s="25"/>
      <c r="X114" s="25"/>
      <c r="Y114" s="22" t="str">
        <f t="shared" si="9"/>
        <v/>
      </c>
      <c r="Z114" s="25"/>
      <c r="AA114" s="25"/>
      <c r="AB114" s="25"/>
      <c r="AC114" s="25"/>
      <c r="AD114" s="25"/>
      <c r="AE114" s="25"/>
      <c r="AF114" s="25"/>
      <c r="AG114" s="9"/>
      <c r="AH114" s="29"/>
      <c r="AI114" s="29"/>
      <c r="AM114" s="50"/>
      <c r="AN114" s="51" t="s">
        <v>675</v>
      </c>
      <c r="AO114" s="55" t="s">
        <v>676</v>
      </c>
    </row>
    <row r="115" spans="1:41" ht="345.6" customHeight="1" x14ac:dyDescent="0.3">
      <c r="A115" s="20">
        <v>111</v>
      </c>
      <c r="B115" s="8" t="s">
        <v>677</v>
      </c>
      <c r="C115" s="26">
        <v>2026</v>
      </c>
      <c r="D115" s="8"/>
      <c r="E115" s="8" t="s">
        <v>678</v>
      </c>
      <c r="F115" s="20" t="s">
        <v>54</v>
      </c>
      <c r="G115" s="21" t="s">
        <v>53</v>
      </c>
      <c r="H115" s="21" t="s">
        <v>53</v>
      </c>
      <c r="I115" s="21" t="s">
        <v>53</v>
      </c>
      <c r="J115" s="21" t="s">
        <v>53</v>
      </c>
      <c r="K115" s="21" t="s">
        <v>53</v>
      </c>
      <c r="L115" s="22" t="str">
        <f t="shared" si="5"/>
        <v>INCLUDE</v>
      </c>
      <c r="M115" s="22" t="str">
        <f t="shared" si="6"/>
        <v/>
      </c>
      <c r="N115" s="23" t="s">
        <v>53</v>
      </c>
      <c r="O115" s="23" t="s">
        <v>53</v>
      </c>
      <c r="P115" s="24" t="s">
        <v>53</v>
      </c>
      <c r="Q115" s="24" t="s">
        <v>53</v>
      </c>
      <c r="R115" s="24" t="s">
        <v>53</v>
      </c>
      <c r="S115" s="22" t="str">
        <f t="shared" si="7"/>
        <v>INCLUDE</v>
      </c>
      <c r="T115" s="22" t="str">
        <f t="shared" si="8"/>
        <v/>
      </c>
      <c r="U115" s="25" t="s">
        <v>56</v>
      </c>
      <c r="V115" s="25">
        <v>0</v>
      </c>
      <c r="W115" s="25">
        <v>0</v>
      </c>
      <c r="X115" s="25">
        <v>1</v>
      </c>
      <c r="Y115" s="22" t="str">
        <f t="shared" si="9"/>
        <v>Single</v>
      </c>
      <c r="Z115" s="25" t="s">
        <v>9</v>
      </c>
      <c r="AA115" s="25" t="s">
        <v>57</v>
      </c>
      <c r="AB115" s="25" t="s">
        <v>58</v>
      </c>
      <c r="AC115" s="25" t="s">
        <v>70</v>
      </c>
      <c r="AD115" s="25" t="s">
        <v>89</v>
      </c>
      <c r="AE115" s="25">
        <v>4</v>
      </c>
      <c r="AF115" s="25" t="s">
        <v>81</v>
      </c>
      <c r="AG115" s="9" t="s">
        <v>679</v>
      </c>
      <c r="AH115" s="29" t="s">
        <v>680</v>
      </c>
      <c r="AI115" s="29" t="s">
        <v>681</v>
      </c>
      <c r="AJ115" t="s">
        <v>91</v>
      </c>
      <c r="AK115" t="s">
        <v>682</v>
      </c>
      <c r="AL115" t="s">
        <v>63</v>
      </c>
      <c r="AM115" s="50"/>
      <c r="AN115" s="51" t="s">
        <v>683</v>
      </c>
      <c r="AO115" s="55" t="s">
        <v>684</v>
      </c>
    </row>
    <row r="116" spans="1:41" ht="114" hidden="1" customHeight="1" x14ac:dyDescent="0.3">
      <c r="A116" s="20">
        <v>112</v>
      </c>
      <c r="B116" s="8" t="s">
        <v>685</v>
      </c>
      <c r="C116" s="26">
        <v>2026</v>
      </c>
      <c r="D116" s="8"/>
      <c r="E116" s="8" t="s">
        <v>686</v>
      </c>
      <c r="F116" s="20" t="s">
        <v>54</v>
      </c>
      <c r="G116" s="21" t="s">
        <v>53</v>
      </c>
      <c r="H116" s="21" t="s">
        <v>64</v>
      </c>
      <c r="I116" s="21" t="s">
        <v>53</v>
      </c>
      <c r="J116" s="21" t="s">
        <v>53</v>
      </c>
      <c r="K116" s="21" t="s">
        <v>53</v>
      </c>
      <c r="L116" s="22" t="str">
        <f t="shared" si="5"/>
        <v>EXCLUDE</v>
      </c>
      <c r="M116" s="22" t="str">
        <f t="shared" si="6"/>
        <v>Digital Twin not core / buzzword</v>
      </c>
      <c r="N116" s="23"/>
      <c r="O116" s="23"/>
      <c r="P116" s="24"/>
      <c r="Q116" s="24"/>
      <c r="R116" s="24"/>
      <c r="S116" s="22" t="str">
        <f t="shared" si="7"/>
        <v/>
      </c>
      <c r="T116" s="22" t="str">
        <f t="shared" si="8"/>
        <v/>
      </c>
      <c r="U116" s="25"/>
      <c r="V116" s="25"/>
      <c r="W116" s="25"/>
      <c r="X116" s="25"/>
      <c r="Y116" s="22" t="str">
        <f t="shared" si="9"/>
        <v/>
      </c>
      <c r="Z116" s="25"/>
      <c r="AA116" s="25"/>
      <c r="AB116" s="25"/>
      <c r="AC116" s="25"/>
      <c r="AD116" s="25"/>
      <c r="AE116" s="25"/>
      <c r="AF116" s="25"/>
      <c r="AG116" s="9"/>
      <c r="AH116" s="29"/>
      <c r="AI116" s="29"/>
      <c r="AM116" s="50"/>
      <c r="AN116" s="51" t="s">
        <v>687</v>
      </c>
      <c r="AO116" s="55" t="s">
        <v>688</v>
      </c>
    </row>
    <row r="117" spans="1:41" ht="45.6" hidden="1" customHeight="1" x14ac:dyDescent="0.3">
      <c r="A117" s="20">
        <v>113</v>
      </c>
      <c r="B117" s="8" t="s">
        <v>689</v>
      </c>
      <c r="C117" s="26">
        <v>2026</v>
      </c>
      <c r="D117" s="8"/>
      <c r="E117" s="8" t="s">
        <v>690</v>
      </c>
      <c r="F117" s="20" t="s">
        <v>54</v>
      </c>
      <c r="G117" s="21" t="s">
        <v>53</v>
      </c>
      <c r="H117" s="21" t="s">
        <v>64</v>
      </c>
      <c r="I117" s="21" t="s">
        <v>53</v>
      </c>
      <c r="J117" s="21" t="s">
        <v>53</v>
      </c>
      <c r="K117" s="21" t="s">
        <v>53</v>
      </c>
      <c r="L117" s="22" t="str">
        <f t="shared" si="5"/>
        <v>EXCLUDE</v>
      </c>
      <c r="M117" s="22" t="str">
        <f t="shared" si="6"/>
        <v>Digital Twin not core / buzzword</v>
      </c>
      <c r="N117" s="23"/>
      <c r="O117" s="23"/>
      <c r="P117" s="24"/>
      <c r="Q117" s="24"/>
      <c r="R117" s="24"/>
      <c r="S117" s="22" t="str">
        <f t="shared" si="7"/>
        <v/>
      </c>
      <c r="T117" s="22" t="str">
        <f t="shared" si="8"/>
        <v/>
      </c>
      <c r="U117" s="25"/>
      <c r="V117" s="25"/>
      <c r="W117" s="25"/>
      <c r="X117" s="25"/>
      <c r="Y117" s="22" t="str">
        <f t="shared" si="9"/>
        <v/>
      </c>
      <c r="Z117" s="25"/>
      <c r="AA117" s="25"/>
      <c r="AB117" s="25"/>
      <c r="AC117" s="25"/>
      <c r="AD117" s="25"/>
      <c r="AE117" s="25"/>
      <c r="AF117" s="25"/>
      <c r="AG117" s="9"/>
      <c r="AH117" s="29"/>
      <c r="AI117" s="29"/>
      <c r="AM117" s="50"/>
      <c r="AN117" s="51" t="s">
        <v>691</v>
      </c>
      <c r="AO117" s="55" t="s">
        <v>692</v>
      </c>
    </row>
    <row r="118" spans="1:41" ht="68.400000000000006" hidden="1" customHeight="1" x14ac:dyDescent="0.3">
      <c r="A118" s="20">
        <v>114</v>
      </c>
      <c r="B118" s="8" t="s">
        <v>693</v>
      </c>
      <c r="C118" s="26">
        <v>2025</v>
      </c>
      <c r="D118" s="8"/>
      <c r="E118" s="8" t="s">
        <v>694</v>
      </c>
      <c r="F118" s="20" t="s">
        <v>54</v>
      </c>
      <c r="G118" s="21" t="s">
        <v>53</v>
      </c>
      <c r="H118" s="21" t="s">
        <v>53</v>
      </c>
      <c r="I118" s="21" t="s">
        <v>64</v>
      </c>
      <c r="J118" s="21" t="s">
        <v>53</v>
      </c>
      <c r="K118" s="21" t="s">
        <v>53</v>
      </c>
      <c r="L118" s="22" t="str">
        <f t="shared" si="5"/>
        <v>EXCLUDE</v>
      </c>
      <c r="M118" s="22" t="str">
        <f t="shared" si="6"/>
        <v>No Design for Safety/Quality/PtD</v>
      </c>
      <c r="N118" s="23"/>
      <c r="O118" s="23"/>
      <c r="P118" s="24"/>
      <c r="Q118" s="24"/>
      <c r="R118" s="24"/>
      <c r="S118" s="22" t="str">
        <f t="shared" si="7"/>
        <v/>
      </c>
      <c r="T118" s="22" t="str">
        <f t="shared" si="8"/>
        <v/>
      </c>
      <c r="U118" s="25"/>
      <c r="V118" s="25"/>
      <c r="W118" s="25"/>
      <c r="X118" s="25"/>
      <c r="Y118" s="22" t="str">
        <f t="shared" si="9"/>
        <v/>
      </c>
      <c r="Z118" s="25"/>
      <c r="AA118" s="25"/>
      <c r="AB118" s="25"/>
      <c r="AC118" s="25"/>
      <c r="AD118" s="25"/>
      <c r="AE118" s="25"/>
      <c r="AF118" s="25"/>
      <c r="AG118" s="9"/>
      <c r="AH118" s="29"/>
      <c r="AI118" s="29"/>
      <c r="AM118" s="50"/>
      <c r="AN118" s="51" t="s">
        <v>695</v>
      </c>
      <c r="AO118" s="55" t="s">
        <v>696</v>
      </c>
    </row>
    <row r="119" spans="1:41" ht="86.4" hidden="1" customHeight="1" x14ac:dyDescent="0.3">
      <c r="A119" s="20">
        <v>115</v>
      </c>
      <c r="B119" s="8" t="s">
        <v>697</v>
      </c>
      <c r="C119" s="26">
        <v>2026</v>
      </c>
      <c r="D119" s="8"/>
      <c r="E119" s="8" t="s">
        <v>698</v>
      </c>
      <c r="F119" s="20" t="s">
        <v>54</v>
      </c>
      <c r="G119" s="21" t="s">
        <v>64</v>
      </c>
      <c r="H119" s="21" t="s">
        <v>53</v>
      </c>
      <c r="I119" s="21" t="s">
        <v>64</v>
      </c>
      <c r="J119" s="21" t="s">
        <v>53</v>
      </c>
      <c r="K119" s="21" t="s">
        <v>53</v>
      </c>
      <c r="L119" s="22" t="str">
        <f t="shared" si="5"/>
        <v>EXCLUDE</v>
      </c>
      <c r="M119" s="22" t="str">
        <f t="shared" si="6"/>
        <v>Wrong domain (non-AECO)</v>
      </c>
      <c r="N119" s="23"/>
      <c r="O119" s="23"/>
      <c r="P119" s="24"/>
      <c r="Q119" s="24"/>
      <c r="R119" s="24"/>
      <c r="S119" s="22" t="str">
        <f t="shared" si="7"/>
        <v/>
      </c>
      <c r="T119" s="22" t="str">
        <f t="shared" si="8"/>
        <v/>
      </c>
      <c r="U119" s="25"/>
      <c r="V119" s="25"/>
      <c r="W119" s="25"/>
      <c r="X119" s="25"/>
      <c r="Y119" s="22" t="str">
        <f t="shared" si="9"/>
        <v/>
      </c>
      <c r="Z119" s="25"/>
      <c r="AA119" s="25"/>
      <c r="AB119" s="25"/>
      <c r="AC119" s="25"/>
      <c r="AD119" s="25"/>
      <c r="AE119" s="25"/>
      <c r="AF119" s="25"/>
      <c r="AG119" s="9"/>
      <c r="AH119" s="29"/>
      <c r="AI119" s="29"/>
      <c r="AM119" s="50"/>
      <c r="AN119" s="51" t="s">
        <v>699</v>
      </c>
      <c r="AO119" s="55" t="s">
        <v>700</v>
      </c>
    </row>
    <row r="120" spans="1:41" ht="45.6" hidden="1" customHeight="1" x14ac:dyDescent="0.3">
      <c r="A120" s="20">
        <v>116</v>
      </c>
      <c r="B120" s="8" t="s">
        <v>701</v>
      </c>
      <c r="C120" s="26">
        <v>2026</v>
      </c>
      <c r="D120" s="8"/>
      <c r="E120" s="8" t="s">
        <v>702</v>
      </c>
      <c r="F120" s="20" t="s">
        <v>54</v>
      </c>
      <c r="G120" s="21" t="s">
        <v>53</v>
      </c>
      <c r="H120" s="21" t="s">
        <v>64</v>
      </c>
      <c r="I120" s="21" t="s">
        <v>53</v>
      </c>
      <c r="J120" s="21" t="s">
        <v>53</v>
      </c>
      <c r="K120" s="21" t="s">
        <v>53</v>
      </c>
      <c r="L120" s="22" t="str">
        <f t="shared" si="5"/>
        <v>EXCLUDE</v>
      </c>
      <c r="M120" s="22" t="str">
        <f t="shared" si="6"/>
        <v>Digital Twin not core / buzzword</v>
      </c>
      <c r="N120" s="23"/>
      <c r="O120" s="23"/>
      <c r="P120" s="24"/>
      <c r="Q120" s="24"/>
      <c r="R120" s="24"/>
      <c r="S120" s="22" t="str">
        <f t="shared" si="7"/>
        <v/>
      </c>
      <c r="T120" s="22" t="str">
        <f t="shared" si="8"/>
        <v/>
      </c>
      <c r="U120" s="25"/>
      <c r="V120" s="25"/>
      <c r="W120" s="25"/>
      <c r="X120" s="25"/>
      <c r="Y120" s="22" t="str">
        <f t="shared" si="9"/>
        <v/>
      </c>
      <c r="Z120" s="25"/>
      <c r="AA120" s="25"/>
      <c r="AB120" s="25"/>
      <c r="AC120" s="25"/>
      <c r="AD120" s="25"/>
      <c r="AE120" s="25"/>
      <c r="AF120" s="25"/>
      <c r="AG120" s="9"/>
      <c r="AH120" s="29"/>
      <c r="AI120" s="29"/>
      <c r="AM120" s="50"/>
      <c r="AN120" s="51" t="s">
        <v>703</v>
      </c>
      <c r="AO120" s="55" t="s">
        <v>704</v>
      </c>
    </row>
    <row r="121" spans="1:41" ht="57" hidden="1" customHeight="1" x14ac:dyDescent="0.3">
      <c r="A121" s="20">
        <v>117</v>
      </c>
      <c r="B121" s="8" t="s">
        <v>705</v>
      </c>
      <c r="C121" s="26">
        <v>2026</v>
      </c>
      <c r="D121" s="8"/>
      <c r="E121" s="8" t="s">
        <v>706</v>
      </c>
      <c r="F121" s="20" t="s">
        <v>54</v>
      </c>
      <c r="G121" s="21" t="s">
        <v>64</v>
      </c>
      <c r="H121" s="21" t="s">
        <v>53</v>
      </c>
      <c r="I121" s="21" t="s">
        <v>53</v>
      </c>
      <c r="J121" s="21" t="s">
        <v>53</v>
      </c>
      <c r="K121" s="21" t="s">
        <v>53</v>
      </c>
      <c r="L121" s="22" t="str">
        <f t="shared" si="5"/>
        <v>EXCLUDE</v>
      </c>
      <c r="M121" s="22" t="str">
        <f t="shared" si="6"/>
        <v>Wrong domain (non-AECO)</v>
      </c>
      <c r="N121" s="23"/>
      <c r="O121" s="23"/>
      <c r="P121" s="24"/>
      <c r="Q121" s="24"/>
      <c r="R121" s="24"/>
      <c r="S121" s="22" t="str">
        <f t="shared" si="7"/>
        <v/>
      </c>
      <c r="T121" s="22" t="str">
        <f t="shared" si="8"/>
        <v/>
      </c>
      <c r="U121" s="25"/>
      <c r="V121" s="25"/>
      <c r="W121" s="25"/>
      <c r="X121" s="25"/>
      <c r="Y121" s="22" t="str">
        <f t="shared" si="9"/>
        <v/>
      </c>
      <c r="Z121" s="25"/>
      <c r="AA121" s="25"/>
      <c r="AB121" s="25"/>
      <c r="AC121" s="25"/>
      <c r="AD121" s="25"/>
      <c r="AE121" s="25"/>
      <c r="AF121" s="25"/>
      <c r="AG121" s="9"/>
      <c r="AH121" s="29"/>
      <c r="AI121" s="29"/>
      <c r="AM121" s="50"/>
      <c r="AN121" s="51" t="s">
        <v>707</v>
      </c>
      <c r="AO121" s="55" t="s">
        <v>708</v>
      </c>
    </row>
    <row r="122" spans="1:41" ht="158.4" hidden="1" customHeight="1" x14ac:dyDescent="0.3">
      <c r="A122" s="20">
        <v>118</v>
      </c>
      <c r="B122" s="8" t="s">
        <v>709</v>
      </c>
      <c r="C122" s="26">
        <v>2026</v>
      </c>
      <c r="D122" s="8"/>
      <c r="E122" s="8" t="s">
        <v>710</v>
      </c>
      <c r="F122" s="20" t="s">
        <v>54</v>
      </c>
      <c r="G122" s="21" t="s">
        <v>64</v>
      </c>
      <c r="H122" s="21" t="s">
        <v>64</v>
      </c>
      <c r="I122" s="21" t="s">
        <v>64</v>
      </c>
      <c r="J122" s="21" t="s">
        <v>53</v>
      </c>
      <c r="K122" s="21" t="s">
        <v>53</v>
      </c>
      <c r="L122" s="22" t="str">
        <f t="shared" si="5"/>
        <v>EXCLUDE</v>
      </c>
      <c r="M122" s="22" t="str">
        <f t="shared" si="6"/>
        <v>Wrong domain (non-AECO)</v>
      </c>
      <c r="N122" s="23"/>
      <c r="O122" s="23"/>
      <c r="P122" s="24"/>
      <c r="Q122" s="24"/>
      <c r="R122" s="24"/>
      <c r="S122" s="22" t="str">
        <f t="shared" si="7"/>
        <v/>
      </c>
      <c r="T122" s="22" t="str">
        <f t="shared" si="8"/>
        <v/>
      </c>
      <c r="U122" s="25"/>
      <c r="V122" s="25"/>
      <c r="W122" s="25"/>
      <c r="X122" s="25"/>
      <c r="Y122" s="22" t="str">
        <f t="shared" si="9"/>
        <v/>
      </c>
      <c r="Z122" s="25"/>
      <c r="AA122" s="25"/>
      <c r="AB122" s="25"/>
      <c r="AC122" s="25"/>
      <c r="AD122" s="25"/>
      <c r="AE122" s="25"/>
      <c r="AF122" s="25"/>
      <c r="AG122" s="9"/>
      <c r="AH122" s="29"/>
      <c r="AI122" s="29"/>
      <c r="AM122" s="50"/>
      <c r="AN122" s="51" t="s">
        <v>711</v>
      </c>
      <c r="AO122" s="55" t="s">
        <v>712</v>
      </c>
    </row>
    <row r="123" spans="1:41" s="78" customFormat="1" ht="114" hidden="1" customHeight="1" x14ac:dyDescent="0.3">
      <c r="A123" s="20">
        <v>119</v>
      </c>
      <c r="B123" s="8" t="s">
        <v>713</v>
      </c>
      <c r="C123" s="26">
        <v>2026</v>
      </c>
      <c r="D123" s="8"/>
      <c r="E123" s="8" t="s">
        <v>714</v>
      </c>
      <c r="F123" s="20" t="s">
        <v>54</v>
      </c>
      <c r="G123" s="21" t="s">
        <v>53</v>
      </c>
      <c r="H123" s="21" t="s">
        <v>64</v>
      </c>
      <c r="I123" s="21" t="s">
        <v>53</v>
      </c>
      <c r="J123" s="21" t="s">
        <v>53</v>
      </c>
      <c r="K123" s="21" t="s">
        <v>53</v>
      </c>
      <c r="L123" s="22" t="str">
        <f t="shared" si="5"/>
        <v>EXCLUDE</v>
      </c>
      <c r="M123" s="22" t="str">
        <f t="shared" si="6"/>
        <v>Digital Twin not core / buzzword</v>
      </c>
      <c r="N123" s="23"/>
      <c r="O123" s="23"/>
      <c r="P123" s="24"/>
      <c r="Q123" s="24"/>
      <c r="R123" s="24"/>
      <c r="S123" s="22" t="str">
        <f t="shared" si="7"/>
        <v/>
      </c>
      <c r="T123" s="22" t="str">
        <f t="shared" si="8"/>
        <v/>
      </c>
      <c r="U123" s="25"/>
      <c r="V123" s="25"/>
      <c r="W123" s="25"/>
      <c r="X123" s="25"/>
      <c r="Y123" s="22" t="str">
        <f t="shared" si="9"/>
        <v/>
      </c>
      <c r="Z123" s="25"/>
      <c r="AA123" s="25"/>
      <c r="AB123" s="25"/>
      <c r="AC123" s="25"/>
      <c r="AD123" s="25"/>
      <c r="AE123" s="25"/>
      <c r="AF123" s="25"/>
      <c r="AG123" s="9"/>
      <c r="AH123" s="29"/>
      <c r="AI123" s="29"/>
      <c r="AM123" s="50"/>
      <c r="AN123" s="51" t="s">
        <v>715</v>
      </c>
      <c r="AO123" s="55" t="s">
        <v>716</v>
      </c>
    </row>
    <row r="124" spans="1:41" ht="79.95" hidden="1" customHeight="1" x14ac:dyDescent="0.3">
      <c r="A124" s="20">
        <v>120</v>
      </c>
      <c r="B124" s="8" t="s">
        <v>717</v>
      </c>
      <c r="C124" s="26">
        <v>2025</v>
      </c>
      <c r="D124" s="8"/>
      <c r="E124" s="8" t="s">
        <v>718</v>
      </c>
      <c r="F124" s="20" t="s">
        <v>54</v>
      </c>
      <c r="G124" s="21" t="s">
        <v>64</v>
      </c>
      <c r="H124" s="21" t="s">
        <v>53</v>
      </c>
      <c r="I124" s="21" t="s">
        <v>53</v>
      </c>
      <c r="J124" s="21" t="s">
        <v>53</v>
      </c>
      <c r="K124" s="21" t="s">
        <v>53</v>
      </c>
      <c r="L124" s="22" t="str">
        <f t="shared" si="5"/>
        <v>EXCLUDE</v>
      </c>
      <c r="M124" s="22" t="str">
        <f t="shared" si="6"/>
        <v>Wrong domain (non-AECO)</v>
      </c>
      <c r="N124" s="23"/>
      <c r="O124" s="23"/>
      <c r="P124" s="24"/>
      <c r="Q124" s="24"/>
      <c r="R124" s="24"/>
      <c r="S124" s="22" t="str">
        <f t="shared" si="7"/>
        <v/>
      </c>
      <c r="T124" s="22" t="str">
        <f t="shared" si="8"/>
        <v/>
      </c>
      <c r="U124" s="25"/>
      <c r="V124" s="25"/>
      <c r="W124" s="25"/>
      <c r="X124" s="25"/>
      <c r="Y124" s="22" t="str">
        <f t="shared" si="9"/>
        <v/>
      </c>
      <c r="Z124" s="25"/>
      <c r="AA124" s="25"/>
      <c r="AB124" s="25"/>
      <c r="AC124" s="25"/>
      <c r="AD124" s="25"/>
      <c r="AE124" s="25"/>
      <c r="AF124" s="25"/>
      <c r="AG124" s="9"/>
      <c r="AH124" s="29"/>
      <c r="AI124" s="29"/>
      <c r="AM124" s="50"/>
      <c r="AN124" s="51" t="s">
        <v>719</v>
      </c>
      <c r="AO124" s="55" t="s">
        <v>720</v>
      </c>
    </row>
    <row r="125" spans="1:41" ht="125.4" hidden="1" customHeight="1" x14ac:dyDescent="0.3">
      <c r="A125" s="20">
        <v>121</v>
      </c>
      <c r="B125" s="8" t="s">
        <v>721</v>
      </c>
      <c r="C125" s="26">
        <v>2026</v>
      </c>
      <c r="D125" s="8"/>
      <c r="E125" s="8" t="s">
        <v>722</v>
      </c>
      <c r="F125" s="20" t="s">
        <v>54</v>
      </c>
      <c r="G125" s="21" t="s">
        <v>53</v>
      </c>
      <c r="H125" s="21" t="s">
        <v>53</v>
      </c>
      <c r="I125" s="21" t="s">
        <v>53</v>
      </c>
      <c r="J125" s="21" t="s">
        <v>53</v>
      </c>
      <c r="K125" s="21" t="s">
        <v>53</v>
      </c>
      <c r="L125" s="22" t="str">
        <f t="shared" si="5"/>
        <v>INCLUDE</v>
      </c>
      <c r="M125" s="22" t="str">
        <f t="shared" si="6"/>
        <v/>
      </c>
      <c r="N125" s="23" t="s">
        <v>64</v>
      </c>
      <c r="O125" s="23" t="s">
        <v>64</v>
      </c>
      <c r="P125" s="24"/>
      <c r="Q125" s="24"/>
      <c r="R125" s="24"/>
      <c r="S125" s="22" t="str">
        <f t="shared" si="7"/>
        <v/>
      </c>
      <c r="T125" s="22" t="str">
        <f t="shared" si="8"/>
        <v/>
      </c>
      <c r="U125" s="25"/>
      <c r="V125" s="25"/>
      <c r="W125" s="25"/>
      <c r="X125" s="25"/>
      <c r="Y125" s="22" t="str">
        <f t="shared" si="9"/>
        <v/>
      </c>
      <c r="Z125" s="25"/>
      <c r="AA125" s="25"/>
      <c r="AB125" s="25"/>
      <c r="AC125" s="25"/>
      <c r="AD125" s="25"/>
      <c r="AE125" s="25"/>
      <c r="AF125" s="25"/>
      <c r="AG125" s="9"/>
      <c r="AH125" s="29"/>
      <c r="AI125" s="29"/>
      <c r="AM125" s="50"/>
      <c r="AN125" s="51" t="s">
        <v>723</v>
      </c>
      <c r="AO125" s="55" t="s">
        <v>724</v>
      </c>
    </row>
    <row r="126" spans="1:41" ht="159.6" hidden="1" customHeight="1" x14ac:dyDescent="0.3">
      <c r="A126" s="20">
        <v>122</v>
      </c>
      <c r="B126" s="8" t="s">
        <v>725</v>
      </c>
      <c r="C126" s="26">
        <v>2026</v>
      </c>
      <c r="D126" s="8"/>
      <c r="E126" s="8" t="s">
        <v>726</v>
      </c>
      <c r="F126" s="20" t="s">
        <v>54</v>
      </c>
      <c r="G126" s="21" t="s">
        <v>64</v>
      </c>
      <c r="H126" s="21" t="s">
        <v>53</v>
      </c>
      <c r="I126" s="21" t="s">
        <v>64</v>
      </c>
      <c r="J126" s="21" t="s">
        <v>53</v>
      </c>
      <c r="K126" s="21" t="s">
        <v>53</v>
      </c>
      <c r="L126" s="22" t="str">
        <f t="shared" si="5"/>
        <v>EXCLUDE</v>
      </c>
      <c r="M126" s="22" t="str">
        <f t="shared" si="6"/>
        <v>Wrong domain (non-AECO)</v>
      </c>
      <c r="N126" s="23"/>
      <c r="O126" s="23"/>
      <c r="P126" s="24"/>
      <c r="Q126" s="24"/>
      <c r="R126" s="24"/>
      <c r="S126" s="22" t="str">
        <f t="shared" si="7"/>
        <v/>
      </c>
      <c r="T126" s="22" t="str">
        <f t="shared" si="8"/>
        <v/>
      </c>
      <c r="U126" s="25"/>
      <c r="V126" s="25"/>
      <c r="W126" s="25"/>
      <c r="X126" s="25"/>
      <c r="Y126" s="22" t="str">
        <f t="shared" si="9"/>
        <v/>
      </c>
      <c r="Z126" s="25"/>
      <c r="AA126" s="25"/>
      <c r="AB126" s="25"/>
      <c r="AC126" s="25"/>
      <c r="AD126" s="25"/>
      <c r="AE126" s="25"/>
      <c r="AF126" s="25"/>
      <c r="AG126" s="9"/>
      <c r="AH126" s="29"/>
      <c r="AI126" s="29"/>
      <c r="AM126" s="50"/>
      <c r="AN126" s="51" t="s">
        <v>727</v>
      </c>
      <c r="AO126" s="55" t="s">
        <v>728</v>
      </c>
    </row>
    <row r="127" spans="1:41" ht="79.95" customHeight="1" x14ac:dyDescent="0.3">
      <c r="A127" s="20">
        <v>123</v>
      </c>
      <c r="B127" s="8" t="s">
        <v>729</v>
      </c>
      <c r="C127" s="26">
        <v>2026</v>
      </c>
      <c r="D127" s="8"/>
      <c r="E127" s="8" t="s">
        <v>730</v>
      </c>
      <c r="F127" s="20" t="s">
        <v>54</v>
      </c>
      <c r="G127" s="21" t="s">
        <v>53</v>
      </c>
      <c r="H127" s="21" t="s">
        <v>53</v>
      </c>
      <c r="I127" s="21" t="s">
        <v>53</v>
      </c>
      <c r="J127" s="21" t="s">
        <v>53</v>
      </c>
      <c r="K127" s="21" t="s">
        <v>53</v>
      </c>
      <c r="L127" s="22" t="str">
        <f t="shared" si="5"/>
        <v>INCLUDE</v>
      </c>
      <c r="M127" s="22" t="str">
        <f t="shared" si="6"/>
        <v/>
      </c>
      <c r="N127" s="23" t="s">
        <v>53</v>
      </c>
      <c r="O127" s="23" t="s">
        <v>53</v>
      </c>
      <c r="P127" s="24" t="s">
        <v>53</v>
      </c>
      <c r="Q127" s="24" t="s">
        <v>53</v>
      </c>
      <c r="R127" s="24" t="s">
        <v>53</v>
      </c>
      <c r="S127" s="22" t="str">
        <f t="shared" si="7"/>
        <v>INCLUDE</v>
      </c>
      <c r="T127" s="22" t="str">
        <f t="shared" si="8"/>
        <v/>
      </c>
      <c r="U127" s="25" t="s">
        <v>67</v>
      </c>
      <c r="V127" s="25">
        <v>0</v>
      </c>
      <c r="W127" s="25">
        <v>0</v>
      </c>
      <c r="X127" s="25">
        <v>1</v>
      </c>
      <c r="Y127" s="22" t="str">
        <f t="shared" si="9"/>
        <v>Single</v>
      </c>
      <c r="Z127" s="25" t="s">
        <v>9</v>
      </c>
      <c r="AA127" s="25" t="s">
        <v>78</v>
      </c>
      <c r="AB127" s="25" t="s">
        <v>104</v>
      </c>
      <c r="AC127" s="25" t="s">
        <v>70</v>
      </c>
      <c r="AD127" s="25" t="s">
        <v>89</v>
      </c>
      <c r="AE127" s="25">
        <v>4</v>
      </c>
      <c r="AF127" s="25" t="s">
        <v>96</v>
      </c>
      <c r="AG127" s="9" t="s">
        <v>731</v>
      </c>
      <c r="AH127" s="29" t="s">
        <v>732</v>
      </c>
      <c r="AI127" s="29" t="s">
        <v>733</v>
      </c>
      <c r="AJ127" t="s">
        <v>91</v>
      </c>
      <c r="AK127" t="s">
        <v>734</v>
      </c>
      <c r="AL127" t="s">
        <v>63</v>
      </c>
      <c r="AM127" s="50"/>
      <c r="AN127" s="51" t="s">
        <v>735</v>
      </c>
      <c r="AO127" s="55" t="s">
        <v>736</v>
      </c>
    </row>
    <row r="128" spans="1:41" ht="45.6" hidden="1" customHeight="1" x14ac:dyDescent="0.3">
      <c r="A128" s="20">
        <v>124</v>
      </c>
      <c r="B128" s="8" t="s">
        <v>737</v>
      </c>
      <c r="C128" s="26">
        <v>2026</v>
      </c>
      <c r="D128" s="8"/>
      <c r="E128" s="8" t="s">
        <v>738</v>
      </c>
      <c r="F128" s="20" t="s">
        <v>54</v>
      </c>
      <c r="G128" s="21" t="s">
        <v>64</v>
      </c>
      <c r="H128" s="21" t="s">
        <v>53</v>
      </c>
      <c r="I128" s="21" t="s">
        <v>64</v>
      </c>
      <c r="J128" s="21" t="s">
        <v>53</v>
      </c>
      <c r="K128" s="21" t="s">
        <v>53</v>
      </c>
      <c r="L128" s="22" t="str">
        <f t="shared" si="5"/>
        <v>EXCLUDE</v>
      </c>
      <c r="M128" s="22" t="str">
        <f t="shared" si="6"/>
        <v>Wrong domain (non-AECO)</v>
      </c>
      <c r="N128" s="23"/>
      <c r="O128" s="23"/>
      <c r="P128" s="24"/>
      <c r="Q128" s="24"/>
      <c r="R128" s="24"/>
      <c r="S128" s="22" t="str">
        <f t="shared" si="7"/>
        <v/>
      </c>
      <c r="T128" s="22" t="str">
        <f t="shared" si="8"/>
        <v/>
      </c>
      <c r="U128" s="25"/>
      <c r="V128" s="25"/>
      <c r="W128" s="25"/>
      <c r="X128" s="25"/>
      <c r="Y128" s="22" t="str">
        <f t="shared" si="9"/>
        <v/>
      </c>
      <c r="Z128" s="25"/>
      <c r="AA128" s="25"/>
      <c r="AB128" s="25"/>
      <c r="AC128" s="25"/>
      <c r="AD128" s="25"/>
      <c r="AE128" s="25"/>
      <c r="AF128" s="25"/>
      <c r="AG128" s="9"/>
      <c r="AH128" s="29"/>
      <c r="AI128" s="29"/>
      <c r="AM128" s="50"/>
      <c r="AN128" s="51" t="s">
        <v>739</v>
      </c>
      <c r="AO128" s="55" t="s">
        <v>740</v>
      </c>
    </row>
    <row r="129" spans="1:41" ht="136.94999999999999" hidden="1" customHeight="1" x14ac:dyDescent="0.3">
      <c r="A129" s="20">
        <v>125</v>
      </c>
      <c r="B129" s="8" t="s">
        <v>741</v>
      </c>
      <c r="C129" s="26">
        <v>2026</v>
      </c>
      <c r="D129" s="8"/>
      <c r="E129" s="8" t="s">
        <v>742</v>
      </c>
      <c r="F129" s="20" t="s">
        <v>54</v>
      </c>
      <c r="G129" s="21" t="s">
        <v>64</v>
      </c>
      <c r="H129" s="21" t="s">
        <v>53</v>
      </c>
      <c r="I129" s="21" t="s">
        <v>64</v>
      </c>
      <c r="J129" s="21" t="s">
        <v>53</v>
      </c>
      <c r="K129" s="21" t="s">
        <v>53</v>
      </c>
      <c r="L129" s="22" t="str">
        <f t="shared" si="5"/>
        <v>EXCLUDE</v>
      </c>
      <c r="M129" s="22" t="str">
        <f t="shared" si="6"/>
        <v>Wrong domain (non-AECO)</v>
      </c>
      <c r="N129" s="23"/>
      <c r="O129" s="23"/>
      <c r="P129" s="24"/>
      <c r="Q129" s="24"/>
      <c r="R129" s="24"/>
      <c r="S129" s="22" t="str">
        <f t="shared" si="7"/>
        <v/>
      </c>
      <c r="T129" s="22" t="str">
        <f t="shared" si="8"/>
        <v/>
      </c>
      <c r="U129" s="25"/>
      <c r="V129" s="25"/>
      <c r="W129" s="25"/>
      <c r="X129" s="25"/>
      <c r="Y129" s="22" t="str">
        <f t="shared" si="9"/>
        <v/>
      </c>
      <c r="Z129" s="25"/>
      <c r="AA129" s="25"/>
      <c r="AB129" s="25"/>
      <c r="AC129" s="25"/>
      <c r="AD129" s="25"/>
      <c r="AE129" s="25"/>
      <c r="AF129" s="25"/>
      <c r="AG129" s="9"/>
      <c r="AH129" s="29"/>
      <c r="AI129" s="29"/>
      <c r="AM129" s="50"/>
      <c r="AN129" s="51" t="s">
        <v>743</v>
      </c>
      <c r="AO129" s="55" t="s">
        <v>744</v>
      </c>
    </row>
    <row r="130" spans="1:41" ht="45.6" hidden="1" customHeight="1" x14ac:dyDescent="0.3">
      <c r="A130" s="20">
        <v>126</v>
      </c>
      <c r="B130" s="8" t="s">
        <v>745</v>
      </c>
      <c r="C130" s="26">
        <v>2026</v>
      </c>
      <c r="D130" s="8"/>
      <c r="E130" s="8" t="s">
        <v>746</v>
      </c>
      <c r="F130" s="20" t="s">
        <v>54</v>
      </c>
      <c r="G130" s="21" t="s">
        <v>53</v>
      </c>
      <c r="H130" s="21" t="s">
        <v>64</v>
      </c>
      <c r="I130" s="21" t="s">
        <v>53</v>
      </c>
      <c r="J130" s="21" t="s">
        <v>53</v>
      </c>
      <c r="K130" s="21" t="s">
        <v>53</v>
      </c>
      <c r="L130" s="22" t="str">
        <f t="shared" si="5"/>
        <v>EXCLUDE</v>
      </c>
      <c r="M130" s="22" t="str">
        <f t="shared" si="6"/>
        <v>Digital Twin not core / buzzword</v>
      </c>
      <c r="N130" s="23"/>
      <c r="O130" s="23"/>
      <c r="P130" s="24"/>
      <c r="Q130" s="24"/>
      <c r="R130" s="24"/>
      <c r="S130" s="22" t="str">
        <f t="shared" si="7"/>
        <v/>
      </c>
      <c r="T130" s="22" t="str">
        <f t="shared" si="8"/>
        <v/>
      </c>
      <c r="U130" s="25"/>
      <c r="V130" s="25"/>
      <c r="W130" s="25"/>
      <c r="X130" s="25"/>
      <c r="Y130" s="22" t="str">
        <f t="shared" si="9"/>
        <v/>
      </c>
      <c r="Z130" s="25"/>
      <c r="AA130" s="25"/>
      <c r="AB130" s="25"/>
      <c r="AC130" s="25"/>
      <c r="AD130" s="25"/>
      <c r="AE130" s="25"/>
      <c r="AF130" s="25"/>
      <c r="AG130" s="9"/>
      <c r="AH130" s="29"/>
      <c r="AI130" s="29"/>
      <c r="AM130" s="50"/>
      <c r="AN130" s="51" t="s">
        <v>747</v>
      </c>
      <c r="AO130" s="55" t="s">
        <v>748</v>
      </c>
    </row>
    <row r="131" spans="1:41" ht="68.400000000000006" hidden="1" customHeight="1" x14ac:dyDescent="0.3">
      <c r="A131" s="20">
        <v>127</v>
      </c>
      <c r="B131" s="8" t="s">
        <v>749</v>
      </c>
      <c r="C131" s="26">
        <v>2026</v>
      </c>
      <c r="D131" s="8"/>
      <c r="E131" s="8" t="s">
        <v>750</v>
      </c>
      <c r="F131" s="20" t="s">
        <v>54</v>
      </c>
      <c r="G131" s="21" t="s">
        <v>64</v>
      </c>
      <c r="H131" s="21" t="s">
        <v>64</v>
      </c>
      <c r="I131" s="21" t="s">
        <v>53</v>
      </c>
      <c r="J131" s="21" t="s">
        <v>53</v>
      </c>
      <c r="K131" s="21" t="s">
        <v>53</v>
      </c>
      <c r="L131" s="22" t="str">
        <f t="shared" si="5"/>
        <v>EXCLUDE</v>
      </c>
      <c r="M131" s="22" t="str">
        <f t="shared" si="6"/>
        <v>Wrong domain (non-AECO)</v>
      </c>
      <c r="N131" s="23"/>
      <c r="O131" s="23"/>
      <c r="P131" s="24"/>
      <c r="Q131" s="24"/>
      <c r="R131" s="24"/>
      <c r="S131" s="22" t="str">
        <f t="shared" si="7"/>
        <v/>
      </c>
      <c r="T131" s="22" t="str">
        <f t="shared" si="8"/>
        <v/>
      </c>
      <c r="U131" s="25"/>
      <c r="V131" s="25"/>
      <c r="W131" s="25"/>
      <c r="X131" s="25"/>
      <c r="Y131" s="22" t="str">
        <f t="shared" si="9"/>
        <v/>
      </c>
      <c r="Z131" s="25"/>
      <c r="AA131" s="25"/>
      <c r="AB131" s="25"/>
      <c r="AC131" s="25"/>
      <c r="AD131" s="25"/>
      <c r="AE131" s="25"/>
      <c r="AF131" s="25"/>
      <c r="AG131" s="9"/>
      <c r="AH131" s="29"/>
      <c r="AI131" s="29"/>
      <c r="AM131" s="50"/>
      <c r="AN131" s="51" t="s">
        <v>751</v>
      </c>
      <c r="AO131" s="55" t="s">
        <v>752</v>
      </c>
    </row>
    <row r="132" spans="1:41" ht="91.2" hidden="1" customHeight="1" x14ac:dyDescent="0.3">
      <c r="A132" s="20">
        <v>128</v>
      </c>
      <c r="B132" s="8" t="s">
        <v>753</v>
      </c>
      <c r="C132" s="26">
        <v>2026</v>
      </c>
      <c r="D132" s="8"/>
      <c r="E132" s="8" t="s">
        <v>754</v>
      </c>
      <c r="F132" s="20" t="s">
        <v>54</v>
      </c>
      <c r="G132" s="21" t="s">
        <v>53</v>
      </c>
      <c r="H132" s="21" t="s">
        <v>53</v>
      </c>
      <c r="I132" s="21" t="s">
        <v>53</v>
      </c>
      <c r="J132" s="21" t="s">
        <v>53</v>
      </c>
      <c r="K132" s="21" t="s">
        <v>53</v>
      </c>
      <c r="L132" s="22" t="str">
        <f t="shared" si="5"/>
        <v>INCLUDE</v>
      </c>
      <c r="M132" s="22" t="str">
        <f t="shared" si="6"/>
        <v/>
      </c>
      <c r="N132" s="23" t="s">
        <v>64</v>
      </c>
      <c r="O132" s="23" t="s">
        <v>64</v>
      </c>
      <c r="P132" s="24"/>
      <c r="Q132" s="24"/>
      <c r="R132" s="24"/>
      <c r="S132" s="22" t="str">
        <f t="shared" si="7"/>
        <v/>
      </c>
      <c r="T132" s="22" t="str">
        <f t="shared" si="8"/>
        <v/>
      </c>
      <c r="U132" s="25"/>
      <c r="V132" s="25"/>
      <c r="W132" s="25"/>
      <c r="X132" s="25"/>
      <c r="Y132" s="22" t="str">
        <f t="shared" si="9"/>
        <v/>
      </c>
      <c r="Z132" s="25"/>
      <c r="AA132" s="25"/>
      <c r="AB132" s="25"/>
      <c r="AC132" s="25"/>
      <c r="AD132" s="25"/>
      <c r="AE132" s="25"/>
      <c r="AF132" s="25"/>
      <c r="AG132" s="9"/>
      <c r="AH132" s="29"/>
      <c r="AI132" s="29"/>
      <c r="AM132" s="50"/>
      <c r="AN132" s="51" t="s">
        <v>755</v>
      </c>
      <c r="AO132" s="55" t="s">
        <v>756</v>
      </c>
    </row>
    <row r="133" spans="1:41" ht="102.6" customHeight="1" x14ac:dyDescent="0.3">
      <c r="A133" s="20">
        <v>129</v>
      </c>
      <c r="B133" s="8" t="s">
        <v>757</v>
      </c>
      <c r="C133" s="26">
        <v>2026</v>
      </c>
      <c r="D133" s="8"/>
      <c r="E133" s="8" t="s">
        <v>758</v>
      </c>
      <c r="F133" s="20" t="s">
        <v>54</v>
      </c>
      <c r="G133" s="21" t="s">
        <v>53</v>
      </c>
      <c r="H133" s="21" t="s">
        <v>53</v>
      </c>
      <c r="I133" s="21" t="s">
        <v>53</v>
      </c>
      <c r="J133" s="21" t="s">
        <v>53</v>
      </c>
      <c r="K133" s="21" t="s">
        <v>53</v>
      </c>
      <c r="L133" s="22" t="str">
        <f t="shared" ref="L133:L196" si="10">IF(COUNTBLANK(G133:K133)=5,"",IF(COUNTIF(G133:K133,"No")&gt;0,"EXCLUDE","INCLUDE"))</f>
        <v>INCLUDE</v>
      </c>
      <c r="M133" s="22" t="str">
        <f t="shared" ref="M133:M196" si="11">IF(L133&lt;&gt;"EXCLUDE","",IF(G133="No","Wrong domain (non-AECO)",IF(H133="No","Digital Twin not core / buzzword",IF(I133="No","No Design for Safety/Quality/PtD",IF(J133="No","Wrong publication type",IF(K133="No","Non-English",""))))))</f>
        <v/>
      </c>
      <c r="N133" s="23" t="s">
        <v>53</v>
      </c>
      <c r="O133" s="23" t="s">
        <v>53</v>
      </c>
      <c r="P133" s="24" t="s">
        <v>53</v>
      </c>
      <c r="Q133" s="24" t="s">
        <v>53</v>
      </c>
      <c r="R133" s="24" t="s">
        <v>53</v>
      </c>
      <c r="S133" s="22" t="str">
        <f t="shared" ref="S133:S196" si="12">IF(N133&lt;&gt;"Yes","",IF(COUNTBLANK(P133:R133)=3,"",IF(COUNTIF(P133:R133,"No")&gt;0,"EXCLUDE","INCLUDE")))</f>
        <v>INCLUDE</v>
      </c>
      <c r="T133" s="22" t="str">
        <f t="shared" ref="T133:T196" si="13">IF(S133&lt;&gt;"EXCLUDE","",IF(P133="No","Digital Twin mentioned only, not the subject",IF(Q133="No","No Design for Safety/Quality in full text",IF(R133="No","Methodology not codable",""))))</f>
        <v/>
      </c>
      <c r="U133" s="25" t="s">
        <v>67</v>
      </c>
      <c r="V133" s="25">
        <v>0</v>
      </c>
      <c r="W133" s="25">
        <v>0</v>
      </c>
      <c r="X133" s="25">
        <v>1</v>
      </c>
      <c r="Y133" s="22" t="str">
        <f t="shared" ref="Y133:Y196" si="14">IF(SUM(V133:X133)=0,"",IF(SUM(V133:X133)&gt;=2,"Multi","Single"))</f>
        <v>Single</v>
      </c>
      <c r="Z133" s="25" t="s">
        <v>9</v>
      </c>
      <c r="AA133" s="25" t="s">
        <v>57</v>
      </c>
      <c r="AB133" s="25" t="s">
        <v>58</v>
      </c>
      <c r="AC133" s="25" t="s">
        <v>70</v>
      </c>
      <c r="AD133" s="25" t="s">
        <v>89</v>
      </c>
      <c r="AE133" s="25">
        <v>4</v>
      </c>
      <c r="AF133" s="25" t="s">
        <v>90</v>
      </c>
      <c r="AG133" s="9" t="s">
        <v>759</v>
      </c>
      <c r="AH133" s="29" t="s">
        <v>760</v>
      </c>
      <c r="AI133" s="29" t="s">
        <v>761</v>
      </c>
      <c r="AJ133" t="s">
        <v>82</v>
      </c>
      <c r="AK133" t="s">
        <v>762</v>
      </c>
      <c r="AL133" t="s">
        <v>74</v>
      </c>
      <c r="AM133" s="50"/>
      <c r="AN133" s="51" t="s">
        <v>763</v>
      </c>
      <c r="AO133" s="55" t="s">
        <v>764</v>
      </c>
    </row>
    <row r="134" spans="1:41" ht="57" hidden="1" customHeight="1" x14ac:dyDescent="0.3">
      <c r="A134" s="20">
        <v>130</v>
      </c>
      <c r="B134" s="8" t="s">
        <v>765</v>
      </c>
      <c r="C134" s="26">
        <v>2026</v>
      </c>
      <c r="D134" s="8"/>
      <c r="E134" s="8" t="s">
        <v>766</v>
      </c>
      <c r="F134" s="20" t="s">
        <v>54</v>
      </c>
      <c r="G134" s="21" t="s">
        <v>53</v>
      </c>
      <c r="H134" s="21" t="s">
        <v>53</v>
      </c>
      <c r="I134" s="21" t="s">
        <v>64</v>
      </c>
      <c r="J134" s="21" t="s">
        <v>53</v>
      </c>
      <c r="K134" s="21" t="s">
        <v>53</v>
      </c>
      <c r="L134" s="22" t="str">
        <f t="shared" si="10"/>
        <v>EXCLUDE</v>
      </c>
      <c r="M134" s="22" t="str">
        <f t="shared" si="11"/>
        <v>No Design for Safety/Quality/PtD</v>
      </c>
      <c r="N134" s="23"/>
      <c r="O134" s="23"/>
      <c r="P134" s="24"/>
      <c r="Q134" s="24"/>
      <c r="R134" s="24"/>
      <c r="S134" s="22" t="str">
        <f t="shared" si="12"/>
        <v/>
      </c>
      <c r="T134" s="22" t="str">
        <f t="shared" si="13"/>
        <v/>
      </c>
      <c r="U134" s="25"/>
      <c r="V134" s="25"/>
      <c r="W134" s="25"/>
      <c r="X134" s="25"/>
      <c r="Y134" s="22" t="str">
        <f t="shared" si="14"/>
        <v/>
      </c>
      <c r="Z134" s="25"/>
      <c r="AA134" s="25"/>
      <c r="AB134" s="25"/>
      <c r="AC134" s="25"/>
      <c r="AD134" s="25"/>
      <c r="AE134" s="25"/>
      <c r="AF134" s="25"/>
      <c r="AG134" s="9"/>
      <c r="AH134" s="29"/>
      <c r="AI134" s="29"/>
      <c r="AM134" s="50"/>
      <c r="AN134" s="51" t="s">
        <v>767</v>
      </c>
      <c r="AO134" s="55" t="s">
        <v>768</v>
      </c>
    </row>
    <row r="135" spans="1:41" ht="34.200000000000003" hidden="1" customHeight="1" x14ac:dyDescent="0.3">
      <c r="A135" s="20">
        <v>131</v>
      </c>
      <c r="B135" s="8" t="s">
        <v>769</v>
      </c>
      <c r="C135" s="26">
        <v>2026</v>
      </c>
      <c r="D135" s="8"/>
      <c r="E135" s="8" t="s">
        <v>770</v>
      </c>
      <c r="F135" s="20" t="s">
        <v>54</v>
      </c>
      <c r="G135" s="21" t="s">
        <v>64</v>
      </c>
      <c r="H135" s="21" t="s">
        <v>53</v>
      </c>
      <c r="I135" s="21" t="s">
        <v>53</v>
      </c>
      <c r="J135" s="21" t="s">
        <v>53</v>
      </c>
      <c r="K135" s="21" t="s">
        <v>53</v>
      </c>
      <c r="L135" s="22" t="str">
        <f t="shared" si="10"/>
        <v>EXCLUDE</v>
      </c>
      <c r="M135" s="22" t="str">
        <f t="shared" si="11"/>
        <v>Wrong domain (non-AECO)</v>
      </c>
      <c r="N135" s="23"/>
      <c r="O135" s="23"/>
      <c r="P135" s="24"/>
      <c r="Q135" s="24"/>
      <c r="R135" s="24"/>
      <c r="S135" s="22" t="str">
        <f t="shared" si="12"/>
        <v/>
      </c>
      <c r="T135" s="22" t="str">
        <f t="shared" si="13"/>
        <v/>
      </c>
      <c r="U135" s="25"/>
      <c r="V135" s="25"/>
      <c r="W135" s="25"/>
      <c r="X135" s="25"/>
      <c r="Y135" s="22" t="str">
        <f t="shared" si="14"/>
        <v/>
      </c>
      <c r="Z135" s="25"/>
      <c r="AA135" s="25"/>
      <c r="AB135" s="25"/>
      <c r="AC135" s="25"/>
      <c r="AD135" s="25"/>
      <c r="AE135" s="25"/>
      <c r="AF135" s="25"/>
      <c r="AG135" s="9"/>
      <c r="AH135" s="29"/>
      <c r="AI135" s="29"/>
      <c r="AM135" s="50"/>
      <c r="AN135" s="51" t="s">
        <v>771</v>
      </c>
      <c r="AO135" s="55" t="s">
        <v>772</v>
      </c>
    </row>
    <row r="136" spans="1:41" ht="45.6" hidden="1" customHeight="1" x14ac:dyDescent="0.3">
      <c r="A136" s="20">
        <v>132</v>
      </c>
      <c r="B136" s="8" t="s">
        <v>773</v>
      </c>
      <c r="C136" s="26">
        <v>2026</v>
      </c>
      <c r="D136" s="8"/>
      <c r="E136" s="8" t="s">
        <v>774</v>
      </c>
      <c r="F136" s="20" t="s">
        <v>54</v>
      </c>
      <c r="G136" s="21" t="s">
        <v>64</v>
      </c>
      <c r="H136" s="21" t="s">
        <v>53</v>
      </c>
      <c r="I136" s="21" t="s">
        <v>53</v>
      </c>
      <c r="J136" s="21" t="s">
        <v>53</v>
      </c>
      <c r="K136" s="21" t="s">
        <v>53</v>
      </c>
      <c r="L136" s="22" t="str">
        <f t="shared" si="10"/>
        <v>EXCLUDE</v>
      </c>
      <c r="M136" s="22" t="str">
        <f t="shared" si="11"/>
        <v>Wrong domain (non-AECO)</v>
      </c>
      <c r="N136" s="23"/>
      <c r="O136" s="23"/>
      <c r="P136" s="24"/>
      <c r="Q136" s="24"/>
      <c r="R136" s="24"/>
      <c r="S136" s="22" t="str">
        <f t="shared" si="12"/>
        <v/>
      </c>
      <c r="T136" s="22" t="str">
        <f t="shared" si="13"/>
        <v/>
      </c>
      <c r="U136" s="25"/>
      <c r="V136" s="25"/>
      <c r="W136" s="25"/>
      <c r="X136" s="25"/>
      <c r="Y136" s="22" t="str">
        <f t="shared" si="14"/>
        <v/>
      </c>
      <c r="Z136" s="25"/>
      <c r="AA136" s="25"/>
      <c r="AB136" s="25"/>
      <c r="AC136" s="25"/>
      <c r="AD136" s="25"/>
      <c r="AE136" s="25"/>
      <c r="AF136" s="25"/>
      <c r="AG136" s="9"/>
      <c r="AH136" s="29"/>
      <c r="AI136" s="29"/>
      <c r="AM136" s="50"/>
      <c r="AN136" s="51" t="s">
        <v>775</v>
      </c>
      <c r="AO136" s="55" t="s">
        <v>776</v>
      </c>
    </row>
    <row r="137" spans="1:41" ht="79.95" hidden="1" customHeight="1" x14ac:dyDescent="0.3">
      <c r="A137" s="20">
        <v>133</v>
      </c>
      <c r="B137" s="8" t="s">
        <v>777</v>
      </c>
      <c r="C137" s="26">
        <v>2026</v>
      </c>
      <c r="D137" s="8"/>
      <c r="E137" s="8" t="s">
        <v>778</v>
      </c>
      <c r="F137" s="20" t="s">
        <v>54</v>
      </c>
      <c r="G137" s="21" t="s">
        <v>53</v>
      </c>
      <c r="H137" s="21" t="s">
        <v>53</v>
      </c>
      <c r="I137" s="21" t="s">
        <v>53</v>
      </c>
      <c r="J137" s="21" t="s">
        <v>53</v>
      </c>
      <c r="K137" s="21" t="s">
        <v>53</v>
      </c>
      <c r="L137" s="22" t="str">
        <f t="shared" si="10"/>
        <v>INCLUDE</v>
      </c>
      <c r="M137" s="22" t="str">
        <f t="shared" si="11"/>
        <v/>
      </c>
      <c r="N137" s="23" t="s">
        <v>64</v>
      </c>
      <c r="O137" s="23" t="s">
        <v>64</v>
      </c>
      <c r="P137" s="24"/>
      <c r="Q137" s="24"/>
      <c r="R137" s="24"/>
      <c r="S137" s="22" t="str">
        <f t="shared" si="12"/>
        <v/>
      </c>
      <c r="T137" s="22" t="str">
        <f t="shared" si="13"/>
        <v/>
      </c>
      <c r="U137" s="25"/>
      <c r="V137" s="25"/>
      <c r="W137" s="25"/>
      <c r="X137" s="25"/>
      <c r="Y137" s="22" t="str">
        <f t="shared" si="14"/>
        <v/>
      </c>
      <c r="Z137" s="25"/>
      <c r="AA137" s="25"/>
      <c r="AB137" s="25"/>
      <c r="AC137" s="25"/>
      <c r="AD137" s="25"/>
      <c r="AE137" s="25"/>
      <c r="AF137" s="25"/>
      <c r="AG137" s="9"/>
      <c r="AH137" s="29"/>
      <c r="AI137" s="29"/>
      <c r="AM137" s="50"/>
      <c r="AN137" s="51" t="s">
        <v>779</v>
      </c>
      <c r="AO137" s="55" t="s">
        <v>780</v>
      </c>
    </row>
    <row r="138" spans="1:41" ht="91.2" hidden="1" customHeight="1" x14ac:dyDescent="0.3">
      <c r="A138" s="20">
        <v>134</v>
      </c>
      <c r="B138" s="8" t="s">
        <v>781</v>
      </c>
      <c r="C138" s="26">
        <v>2026</v>
      </c>
      <c r="D138" s="8"/>
      <c r="E138" s="8" t="s">
        <v>782</v>
      </c>
      <c r="F138" s="20" t="s">
        <v>54</v>
      </c>
      <c r="G138" s="21" t="s">
        <v>53</v>
      </c>
      <c r="H138" s="21" t="s">
        <v>64</v>
      </c>
      <c r="I138" s="21" t="s">
        <v>53</v>
      </c>
      <c r="J138" s="21" t="s">
        <v>53</v>
      </c>
      <c r="K138" s="21" t="s">
        <v>53</v>
      </c>
      <c r="L138" s="22" t="str">
        <f t="shared" si="10"/>
        <v>EXCLUDE</v>
      </c>
      <c r="M138" s="22" t="str">
        <f t="shared" si="11"/>
        <v>Digital Twin not core / buzzword</v>
      </c>
      <c r="N138" s="23"/>
      <c r="O138" s="23"/>
      <c r="P138" s="24"/>
      <c r="Q138" s="24"/>
      <c r="R138" s="24"/>
      <c r="S138" s="22" t="str">
        <f t="shared" si="12"/>
        <v/>
      </c>
      <c r="T138" s="22" t="str">
        <f t="shared" si="13"/>
        <v/>
      </c>
      <c r="U138" s="25"/>
      <c r="V138" s="25"/>
      <c r="W138" s="25"/>
      <c r="X138" s="25"/>
      <c r="Y138" s="22" t="str">
        <f t="shared" si="14"/>
        <v/>
      </c>
      <c r="Z138" s="25"/>
      <c r="AA138" s="25"/>
      <c r="AB138" s="25"/>
      <c r="AC138" s="25"/>
      <c r="AD138" s="25"/>
      <c r="AE138" s="25"/>
      <c r="AF138" s="25"/>
      <c r="AG138" s="9"/>
      <c r="AH138" s="29"/>
      <c r="AI138" s="29"/>
      <c r="AM138" s="50"/>
      <c r="AN138" s="51" t="s">
        <v>783</v>
      </c>
      <c r="AO138" s="55" t="s">
        <v>784</v>
      </c>
    </row>
    <row r="139" spans="1:41" ht="79.95" hidden="1" customHeight="1" x14ac:dyDescent="0.3">
      <c r="A139" s="20">
        <v>135</v>
      </c>
      <c r="B139" s="8" t="s">
        <v>785</v>
      </c>
      <c r="C139" s="26">
        <v>2026</v>
      </c>
      <c r="D139" s="8"/>
      <c r="E139" s="8" t="s">
        <v>786</v>
      </c>
      <c r="F139" s="20" t="s">
        <v>54</v>
      </c>
      <c r="G139" s="21" t="s">
        <v>53</v>
      </c>
      <c r="H139" s="21" t="s">
        <v>64</v>
      </c>
      <c r="I139" s="21" t="s">
        <v>53</v>
      </c>
      <c r="J139" s="21" t="s">
        <v>53</v>
      </c>
      <c r="K139" s="21" t="s">
        <v>53</v>
      </c>
      <c r="L139" s="22" t="str">
        <f t="shared" si="10"/>
        <v>EXCLUDE</v>
      </c>
      <c r="M139" s="22" t="str">
        <f t="shared" si="11"/>
        <v>Digital Twin not core / buzzword</v>
      </c>
      <c r="N139" s="23"/>
      <c r="O139" s="23"/>
      <c r="P139" s="24"/>
      <c r="Q139" s="24"/>
      <c r="R139" s="24"/>
      <c r="S139" s="22" t="str">
        <f t="shared" si="12"/>
        <v/>
      </c>
      <c r="T139" s="22" t="str">
        <f t="shared" si="13"/>
        <v/>
      </c>
      <c r="U139" s="25"/>
      <c r="V139" s="25"/>
      <c r="W139" s="25"/>
      <c r="X139" s="25"/>
      <c r="Y139" s="22" t="str">
        <f t="shared" si="14"/>
        <v/>
      </c>
      <c r="Z139" s="25"/>
      <c r="AA139" s="25"/>
      <c r="AB139" s="25"/>
      <c r="AC139" s="25"/>
      <c r="AD139" s="25"/>
      <c r="AE139" s="25"/>
      <c r="AF139" s="25"/>
      <c r="AG139" s="9"/>
      <c r="AH139" s="29"/>
      <c r="AI139" s="29"/>
      <c r="AM139" s="50"/>
      <c r="AN139" s="51" t="s">
        <v>787</v>
      </c>
      <c r="AO139" s="55" t="s">
        <v>788</v>
      </c>
    </row>
    <row r="140" spans="1:41" ht="45.6" hidden="1" customHeight="1" x14ac:dyDescent="0.3">
      <c r="A140" s="20">
        <v>136</v>
      </c>
      <c r="B140" s="8" t="s">
        <v>789</v>
      </c>
      <c r="C140" s="26">
        <v>2026</v>
      </c>
      <c r="D140" s="8"/>
      <c r="E140" s="8" t="s">
        <v>790</v>
      </c>
      <c r="F140" s="20" t="s">
        <v>54</v>
      </c>
      <c r="G140" s="21" t="s">
        <v>64</v>
      </c>
      <c r="H140" s="21" t="s">
        <v>64</v>
      </c>
      <c r="I140" s="21" t="s">
        <v>64</v>
      </c>
      <c r="J140" s="21" t="s">
        <v>53</v>
      </c>
      <c r="K140" s="21" t="s">
        <v>64</v>
      </c>
      <c r="L140" s="22" t="str">
        <f t="shared" si="10"/>
        <v>EXCLUDE</v>
      </c>
      <c r="M140" s="22" t="str">
        <f t="shared" si="11"/>
        <v>Wrong domain (non-AECO)</v>
      </c>
      <c r="N140" s="23"/>
      <c r="O140" s="23"/>
      <c r="P140" s="24"/>
      <c r="Q140" s="24"/>
      <c r="R140" s="24"/>
      <c r="S140" s="22" t="str">
        <f t="shared" si="12"/>
        <v/>
      </c>
      <c r="T140" s="22" t="str">
        <f t="shared" si="13"/>
        <v/>
      </c>
      <c r="U140" s="25"/>
      <c r="V140" s="25"/>
      <c r="W140" s="25"/>
      <c r="X140" s="25"/>
      <c r="Y140" s="22" t="str">
        <f t="shared" si="14"/>
        <v/>
      </c>
      <c r="Z140" s="25"/>
      <c r="AA140" s="25"/>
      <c r="AB140" s="25"/>
      <c r="AC140" s="25"/>
      <c r="AD140" s="25"/>
      <c r="AE140" s="25"/>
      <c r="AF140" s="25"/>
      <c r="AG140" s="9"/>
      <c r="AH140" s="29"/>
      <c r="AI140" s="29"/>
      <c r="AM140" s="50"/>
      <c r="AN140" s="51" t="s">
        <v>791</v>
      </c>
      <c r="AO140" s="55" t="s">
        <v>792</v>
      </c>
    </row>
    <row r="141" spans="1:41" ht="86.4" hidden="1" customHeight="1" x14ac:dyDescent="0.3">
      <c r="A141" s="20">
        <v>137</v>
      </c>
      <c r="B141" s="8" t="s">
        <v>793</v>
      </c>
      <c r="C141" s="26">
        <v>2025</v>
      </c>
      <c r="D141" s="8"/>
      <c r="E141" s="8" t="s">
        <v>794</v>
      </c>
      <c r="F141" s="20" t="s">
        <v>54</v>
      </c>
      <c r="G141" s="21" t="s">
        <v>64</v>
      </c>
      <c r="H141" s="21" t="s">
        <v>64</v>
      </c>
      <c r="I141" s="21" t="s">
        <v>53</v>
      </c>
      <c r="J141" s="21" t="s">
        <v>53</v>
      </c>
      <c r="K141" s="21" t="s">
        <v>53</v>
      </c>
      <c r="L141" s="22" t="str">
        <f t="shared" si="10"/>
        <v>EXCLUDE</v>
      </c>
      <c r="M141" s="22" t="str">
        <f t="shared" si="11"/>
        <v>Wrong domain (non-AECO)</v>
      </c>
      <c r="N141" s="23"/>
      <c r="O141" s="23"/>
      <c r="P141" s="24"/>
      <c r="Q141" s="24"/>
      <c r="R141" s="24"/>
      <c r="S141" s="22" t="str">
        <f t="shared" si="12"/>
        <v/>
      </c>
      <c r="T141" s="22" t="str">
        <f t="shared" si="13"/>
        <v/>
      </c>
      <c r="U141" s="25"/>
      <c r="V141" s="25"/>
      <c r="W141" s="25"/>
      <c r="X141" s="25"/>
      <c r="Y141" s="22" t="str">
        <f t="shared" si="14"/>
        <v/>
      </c>
      <c r="Z141" s="25"/>
      <c r="AA141" s="25"/>
      <c r="AB141" s="25"/>
      <c r="AC141" s="25"/>
      <c r="AD141" s="25"/>
      <c r="AE141" s="25"/>
      <c r="AF141" s="25"/>
      <c r="AG141" s="9"/>
      <c r="AH141" s="29"/>
      <c r="AI141" s="29"/>
      <c r="AM141" s="50"/>
      <c r="AN141" s="51" t="s">
        <v>795</v>
      </c>
      <c r="AO141" s="55" t="s">
        <v>796</v>
      </c>
    </row>
    <row r="142" spans="1:41" ht="91.2" customHeight="1" x14ac:dyDescent="0.3">
      <c r="A142" s="20">
        <v>138</v>
      </c>
      <c r="B142" s="8" t="s">
        <v>797</v>
      </c>
      <c r="C142" s="26">
        <v>2026</v>
      </c>
      <c r="D142" s="8"/>
      <c r="E142" s="8" t="s">
        <v>798</v>
      </c>
      <c r="F142" s="20" t="s">
        <v>54</v>
      </c>
      <c r="G142" s="21" t="s">
        <v>53</v>
      </c>
      <c r="H142" s="21" t="s">
        <v>53</v>
      </c>
      <c r="I142" s="21" t="s">
        <v>53</v>
      </c>
      <c r="J142" s="21" t="s">
        <v>53</v>
      </c>
      <c r="K142" s="21" t="s">
        <v>53</v>
      </c>
      <c r="L142" s="22" t="str">
        <f t="shared" si="10"/>
        <v>INCLUDE</v>
      </c>
      <c r="M142" s="22" t="str">
        <f t="shared" si="11"/>
        <v/>
      </c>
      <c r="N142" s="23" t="s">
        <v>53</v>
      </c>
      <c r="O142" s="23" t="s">
        <v>53</v>
      </c>
      <c r="P142" s="24" t="s">
        <v>53</v>
      </c>
      <c r="Q142" s="24" t="s">
        <v>53</v>
      </c>
      <c r="R142" s="24" t="s">
        <v>53</v>
      </c>
      <c r="S142" s="22" t="str">
        <f t="shared" si="12"/>
        <v>INCLUDE</v>
      </c>
      <c r="T142" s="22" t="str">
        <f t="shared" si="13"/>
        <v/>
      </c>
      <c r="U142" s="25" t="s">
        <v>56</v>
      </c>
      <c r="V142" s="25">
        <v>1</v>
      </c>
      <c r="W142" s="25">
        <v>0</v>
      </c>
      <c r="X142" s="25">
        <v>1</v>
      </c>
      <c r="Y142" s="22" t="str">
        <f t="shared" si="14"/>
        <v>Multi</v>
      </c>
      <c r="Z142" s="25" t="s">
        <v>9</v>
      </c>
      <c r="AA142" s="25" t="s">
        <v>57</v>
      </c>
      <c r="AB142" s="25" t="s">
        <v>99</v>
      </c>
      <c r="AC142" s="25" t="s">
        <v>70</v>
      </c>
      <c r="AD142" s="25" t="s">
        <v>71</v>
      </c>
      <c r="AE142" s="25">
        <v>4</v>
      </c>
      <c r="AF142" s="25" t="s">
        <v>90</v>
      </c>
      <c r="AG142" s="9" t="s">
        <v>799</v>
      </c>
      <c r="AH142" s="29" t="s">
        <v>800</v>
      </c>
      <c r="AI142" s="29" t="s">
        <v>801</v>
      </c>
      <c r="AJ142" t="s">
        <v>91</v>
      </c>
      <c r="AK142" t="s">
        <v>802</v>
      </c>
      <c r="AL142" t="s">
        <v>74</v>
      </c>
      <c r="AM142" s="50"/>
      <c r="AN142" s="51" t="s">
        <v>803</v>
      </c>
      <c r="AO142" s="55" t="s">
        <v>804</v>
      </c>
    </row>
    <row r="143" spans="1:41" ht="57" hidden="1" customHeight="1" x14ac:dyDescent="0.3">
      <c r="A143" s="20">
        <v>139</v>
      </c>
      <c r="B143" s="8" t="s">
        <v>805</v>
      </c>
      <c r="C143" s="26">
        <v>2025</v>
      </c>
      <c r="D143" s="8"/>
      <c r="E143" s="8" t="s">
        <v>806</v>
      </c>
      <c r="F143" s="20" t="s">
        <v>54</v>
      </c>
      <c r="G143" s="21" t="s">
        <v>53</v>
      </c>
      <c r="H143" s="21" t="s">
        <v>64</v>
      </c>
      <c r="I143" s="21" t="s">
        <v>53</v>
      </c>
      <c r="J143" s="21" t="s">
        <v>53</v>
      </c>
      <c r="K143" s="21" t="s">
        <v>53</v>
      </c>
      <c r="L143" s="22" t="str">
        <f t="shared" si="10"/>
        <v>EXCLUDE</v>
      </c>
      <c r="M143" s="22" t="str">
        <f t="shared" si="11"/>
        <v>Digital Twin not core / buzzword</v>
      </c>
      <c r="N143" s="23"/>
      <c r="O143" s="23"/>
      <c r="P143" s="24"/>
      <c r="Q143" s="24"/>
      <c r="R143" s="24"/>
      <c r="S143" s="22" t="str">
        <f t="shared" si="12"/>
        <v/>
      </c>
      <c r="T143" s="22" t="str">
        <f t="shared" si="13"/>
        <v/>
      </c>
      <c r="U143" s="25"/>
      <c r="V143" s="25"/>
      <c r="W143" s="25"/>
      <c r="X143" s="25"/>
      <c r="Y143" s="22" t="str">
        <f t="shared" si="14"/>
        <v/>
      </c>
      <c r="Z143" s="25"/>
      <c r="AA143" s="25"/>
      <c r="AB143" s="25"/>
      <c r="AC143" s="25"/>
      <c r="AD143" s="25"/>
      <c r="AE143" s="25"/>
      <c r="AF143" s="25"/>
      <c r="AG143" s="9"/>
      <c r="AH143" s="29"/>
      <c r="AI143" s="29"/>
      <c r="AM143" s="50"/>
      <c r="AN143" s="51" t="s">
        <v>807</v>
      </c>
      <c r="AO143" s="55" t="s">
        <v>808</v>
      </c>
    </row>
    <row r="144" spans="1:41" ht="68.400000000000006" hidden="1" customHeight="1" x14ac:dyDescent="0.3">
      <c r="A144" s="20">
        <v>140</v>
      </c>
      <c r="B144" s="8" t="s">
        <v>765</v>
      </c>
      <c r="C144" s="26">
        <v>2026</v>
      </c>
      <c r="D144" s="8"/>
      <c r="E144" s="8" t="s">
        <v>809</v>
      </c>
      <c r="F144" s="20" t="s">
        <v>54</v>
      </c>
      <c r="G144" s="21" t="s">
        <v>64</v>
      </c>
      <c r="H144" s="21" t="s">
        <v>53</v>
      </c>
      <c r="I144" s="21" t="s">
        <v>64</v>
      </c>
      <c r="J144" s="21" t="s">
        <v>53</v>
      </c>
      <c r="K144" s="21" t="s">
        <v>53</v>
      </c>
      <c r="L144" s="22" t="str">
        <f t="shared" si="10"/>
        <v>EXCLUDE</v>
      </c>
      <c r="M144" s="22" t="str">
        <f t="shared" si="11"/>
        <v>Wrong domain (non-AECO)</v>
      </c>
      <c r="N144" s="23"/>
      <c r="O144" s="23"/>
      <c r="P144" s="24"/>
      <c r="Q144" s="24"/>
      <c r="R144" s="24"/>
      <c r="S144" s="22" t="str">
        <f t="shared" si="12"/>
        <v/>
      </c>
      <c r="T144" s="22" t="str">
        <f t="shared" si="13"/>
        <v/>
      </c>
      <c r="U144" s="25"/>
      <c r="V144" s="25"/>
      <c r="W144" s="25"/>
      <c r="X144" s="25"/>
      <c r="Y144" s="22" t="str">
        <f t="shared" si="14"/>
        <v/>
      </c>
      <c r="Z144" s="25"/>
      <c r="AA144" s="25"/>
      <c r="AB144" s="25"/>
      <c r="AC144" s="25"/>
      <c r="AD144" s="25"/>
      <c r="AE144" s="25"/>
      <c r="AF144" s="25"/>
      <c r="AG144" s="9"/>
      <c r="AH144" s="29"/>
      <c r="AI144" s="29"/>
      <c r="AM144" s="50"/>
      <c r="AN144" s="51" t="s">
        <v>810</v>
      </c>
      <c r="AO144" s="55" t="s">
        <v>811</v>
      </c>
    </row>
    <row r="145" spans="1:41" ht="102.6" hidden="1" customHeight="1" x14ac:dyDescent="0.3">
      <c r="A145" s="20">
        <v>141</v>
      </c>
      <c r="B145" s="8" t="s">
        <v>812</v>
      </c>
      <c r="C145" s="26">
        <v>2026</v>
      </c>
      <c r="D145" s="8"/>
      <c r="E145" s="8" t="s">
        <v>813</v>
      </c>
      <c r="F145" s="20" t="s">
        <v>54</v>
      </c>
      <c r="G145" s="21" t="s">
        <v>64</v>
      </c>
      <c r="H145" s="21" t="s">
        <v>53</v>
      </c>
      <c r="I145" s="21" t="s">
        <v>53</v>
      </c>
      <c r="J145" s="21" t="s">
        <v>53</v>
      </c>
      <c r="K145" s="21" t="s">
        <v>53</v>
      </c>
      <c r="L145" s="22" t="str">
        <f t="shared" si="10"/>
        <v>EXCLUDE</v>
      </c>
      <c r="M145" s="22" t="str">
        <f t="shared" si="11"/>
        <v>Wrong domain (non-AECO)</v>
      </c>
      <c r="N145" s="23"/>
      <c r="O145" s="23"/>
      <c r="P145" s="24"/>
      <c r="Q145" s="24"/>
      <c r="R145" s="24"/>
      <c r="S145" s="22" t="str">
        <f t="shared" si="12"/>
        <v/>
      </c>
      <c r="T145" s="22" t="str">
        <f t="shared" si="13"/>
        <v/>
      </c>
      <c r="U145" s="25"/>
      <c r="V145" s="25"/>
      <c r="W145" s="25"/>
      <c r="X145" s="25"/>
      <c r="Y145" s="22" t="str">
        <f t="shared" si="14"/>
        <v/>
      </c>
      <c r="Z145" s="25"/>
      <c r="AA145" s="25"/>
      <c r="AB145" s="25"/>
      <c r="AC145" s="25"/>
      <c r="AD145" s="25"/>
      <c r="AE145" s="25"/>
      <c r="AF145" s="25"/>
      <c r="AG145" s="9"/>
      <c r="AH145" s="29"/>
      <c r="AI145" s="29"/>
      <c r="AM145" s="50"/>
      <c r="AN145" s="51" t="s">
        <v>814</v>
      </c>
      <c r="AO145" s="55" t="s">
        <v>815</v>
      </c>
    </row>
    <row r="146" spans="1:41" ht="45.6" hidden="1" customHeight="1" x14ac:dyDescent="0.3">
      <c r="A146" s="20">
        <v>142</v>
      </c>
      <c r="B146" s="8" t="s">
        <v>816</v>
      </c>
      <c r="C146" s="26">
        <v>2026</v>
      </c>
      <c r="D146" s="8"/>
      <c r="E146" s="8" t="s">
        <v>817</v>
      </c>
      <c r="F146" s="20" t="s">
        <v>54</v>
      </c>
      <c r="G146" s="21" t="s">
        <v>53</v>
      </c>
      <c r="H146" s="21" t="s">
        <v>53</v>
      </c>
      <c r="I146" s="21" t="s">
        <v>53</v>
      </c>
      <c r="J146" s="21" t="s">
        <v>53</v>
      </c>
      <c r="K146" s="21" t="s">
        <v>53</v>
      </c>
      <c r="L146" s="22" t="str">
        <f t="shared" si="10"/>
        <v>INCLUDE</v>
      </c>
      <c r="M146" s="22" t="str">
        <f t="shared" si="11"/>
        <v/>
      </c>
      <c r="N146" s="23" t="s">
        <v>53</v>
      </c>
      <c r="O146" s="23" t="s">
        <v>53</v>
      </c>
      <c r="P146" s="24" t="s">
        <v>64</v>
      </c>
      <c r="Q146" s="24" t="s">
        <v>53</v>
      </c>
      <c r="R146" s="24" t="s">
        <v>64</v>
      </c>
      <c r="S146" s="22" t="str">
        <f t="shared" si="12"/>
        <v>EXCLUDE</v>
      </c>
      <c r="T146" s="22" t="str">
        <f t="shared" si="13"/>
        <v>Digital Twin mentioned only, not the subject</v>
      </c>
      <c r="U146" s="25"/>
      <c r="V146" s="25"/>
      <c r="W146" s="25"/>
      <c r="X146" s="25"/>
      <c r="Y146" s="22" t="str">
        <f t="shared" si="14"/>
        <v/>
      </c>
      <c r="Z146" s="25"/>
      <c r="AA146" s="25"/>
      <c r="AB146" s="25"/>
      <c r="AC146" s="25"/>
      <c r="AD146" s="25"/>
      <c r="AE146" s="25"/>
      <c r="AF146" s="25"/>
      <c r="AG146" s="9" t="s">
        <v>818</v>
      </c>
      <c r="AH146" s="29"/>
      <c r="AI146" s="29"/>
      <c r="AM146" s="50"/>
      <c r="AN146" s="51" t="s">
        <v>819</v>
      </c>
      <c r="AO146" s="55" t="s">
        <v>820</v>
      </c>
    </row>
    <row r="147" spans="1:41" ht="102.6" customHeight="1" x14ac:dyDescent="0.3">
      <c r="A147" s="20">
        <v>143</v>
      </c>
      <c r="B147" s="8" t="s">
        <v>821</v>
      </c>
      <c r="C147" s="26">
        <v>2026</v>
      </c>
      <c r="D147" s="8"/>
      <c r="E147" s="8" t="s">
        <v>822</v>
      </c>
      <c r="F147" s="20" t="s">
        <v>54</v>
      </c>
      <c r="G147" s="21" t="s">
        <v>53</v>
      </c>
      <c r="H147" s="21" t="s">
        <v>53</v>
      </c>
      <c r="I147" s="21" t="s">
        <v>53</v>
      </c>
      <c r="J147" s="21" t="s">
        <v>53</v>
      </c>
      <c r="K147" s="21" t="s">
        <v>53</v>
      </c>
      <c r="L147" s="22" t="str">
        <f t="shared" si="10"/>
        <v>INCLUDE</v>
      </c>
      <c r="M147" s="22" t="str">
        <f t="shared" si="11"/>
        <v/>
      </c>
      <c r="N147" s="23" t="s">
        <v>53</v>
      </c>
      <c r="O147" s="23" t="s">
        <v>53</v>
      </c>
      <c r="P147" s="24" t="s">
        <v>53</v>
      </c>
      <c r="Q147" s="24" t="s">
        <v>53</v>
      </c>
      <c r="R147" s="24" t="s">
        <v>53</v>
      </c>
      <c r="S147" s="22" t="str">
        <f t="shared" si="12"/>
        <v>INCLUDE</v>
      </c>
      <c r="T147" s="22" t="str">
        <f t="shared" si="13"/>
        <v/>
      </c>
      <c r="U147" s="25" t="s">
        <v>76</v>
      </c>
      <c r="V147" s="25">
        <v>0</v>
      </c>
      <c r="W147" s="25">
        <v>1</v>
      </c>
      <c r="X147" s="25">
        <v>0</v>
      </c>
      <c r="Y147" s="22" t="str">
        <f t="shared" si="14"/>
        <v>Single</v>
      </c>
      <c r="Z147" s="25" t="s">
        <v>9</v>
      </c>
      <c r="AA147" s="25" t="s">
        <v>57</v>
      </c>
      <c r="AB147" s="25" t="s">
        <v>104</v>
      </c>
      <c r="AC147" s="25" t="s">
        <v>70</v>
      </c>
      <c r="AD147" s="25" t="s">
        <v>89</v>
      </c>
      <c r="AE147" s="25">
        <v>4</v>
      </c>
      <c r="AF147" s="25" t="s">
        <v>96</v>
      </c>
      <c r="AG147" s="9" t="s">
        <v>823</v>
      </c>
      <c r="AH147" s="29" t="s">
        <v>824</v>
      </c>
      <c r="AI147" s="29" t="s">
        <v>825</v>
      </c>
      <c r="AJ147" t="s">
        <v>91</v>
      </c>
      <c r="AK147" t="s">
        <v>826</v>
      </c>
      <c r="AL147" t="s">
        <v>74</v>
      </c>
      <c r="AM147" s="50"/>
      <c r="AN147" s="51" t="s">
        <v>827</v>
      </c>
      <c r="AO147" s="55" t="s">
        <v>828</v>
      </c>
    </row>
    <row r="148" spans="1:41" ht="115.2" hidden="1" customHeight="1" x14ac:dyDescent="0.3">
      <c r="A148" s="20">
        <v>144</v>
      </c>
      <c r="B148" s="8" t="s">
        <v>829</v>
      </c>
      <c r="C148" s="26">
        <v>2026</v>
      </c>
      <c r="D148" s="8"/>
      <c r="E148" s="8" t="s">
        <v>830</v>
      </c>
      <c r="F148" s="20" t="s">
        <v>54</v>
      </c>
      <c r="G148" s="21" t="s">
        <v>64</v>
      </c>
      <c r="H148" s="21" t="s">
        <v>53</v>
      </c>
      <c r="I148" s="21" t="s">
        <v>64</v>
      </c>
      <c r="J148" s="21" t="s">
        <v>53</v>
      </c>
      <c r="K148" s="21" t="s">
        <v>53</v>
      </c>
      <c r="L148" s="22" t="str">
        <f t="shared" si="10"/>
        <v>EXCLUDE</v>
      </c>
      <c r="M148" s="22" t="str">
        <f t="shared" si="11"/>
        <v>Wrong domain (non-AECO)</v>
      </c>
      <c r="N148" s="23"/>
      <c r="O148" s="23"/>
      <c r="P148" s="24"/>
      <c r="Q148" s="24"/>
      <c r="R148" s="24"/>
      <c r="S148" s="22" t="str">
        <f t="shared" si="12"/>
        <v/>
      </c>
      <c r="T148" s="22" t="str">
        <f t="shared" si="13"/>
        <v/>
      </c>
      <c r="U148" s="25"/>
      <c r="V148" s="25"/>
      <c r="W148" s="25"/>
      <c r="X148" s="25"/>
      <c r="Y148" s="22" t="str">
        <f t="shared" si="14"/>
        <v/>
      </c>
      <c r="Z148" s="25"/>
      <c r="AA148" s="25"/>
      <c r="AB148" s="25"/>
      <c r="AC148" s="25"/>
      <c r="AD148" s="25"/>
      <c r="AE148" s="25"/>
      <c r="AF148" s="25"/>
      <c r="AG148" s="9"/>
      <c r="AH148" s="29"/>
      <c r="AI148" s="29"/>
      <c r="AM148" s="50"/>
      <c r="AN148" s="51" t="s">
        <v>831</v>
      </c>
      <c r="AO148" s="55" t="s">
        <v>832</v>
      </c>
    </row>
    <row r="149" spans="1:41" ht="57" customHeight="1" x14ac:dyDescent="0.3">
      <c r="A149" s="20">
        <v>145</v>
      </c>
      <c r="B149" s="8" t="s">
        <v>833</v>
      </c>
      <c r="C149" s="26">
        <v>2026</v>
      </c>
      <c r="D149" s="8"/>
      <c r="E149" s="8" t="s">
        <v>834</v>
      </c>
      <c r="F149" s="20" t="s">
        <v>54</v>
      </c>
      <c r="G149" s="21" t="s">
        <v>53</v>
      </c>
      <c r="H149" s="21" t="s">
        <v>53</v>
      </c>
      <c r="I149" s="21" t="s">
        <v>53</v>
      </c>
      <c r="J149" s="21" t="s">
        <v>53</v>
      </c>
      <c r="K149" s="21" t="s">
        <v>53</v>
      </c>
      <c r="L149" s="22" t="str">
        <f t="shared" si="10"/>
        <v>INCLUDE</v>
      </c>
      <c r="M149" s="22" t="str">
        <f t="shared" si="11"/>
        <v/>
      </c>
      <c r="N149" s="23" t="s">
        <v>53</v>
      </c>
      <c r="O149" s="23" t="s">
        <v>53</v>
      </c>
      <c r="P149" s="24" t="s">
        <v>53</v>
      </c>
      <c r="Q149" s="24" t="s">
        <v>53</v>
      </c>
      <c r="R149" s="24" t="s">
        <v>53</v>
      </c>
      <c r="S149" s="22" t="str">
        <f t="shared" si="12"/>
        <v>INCLUDE</v>
      </c>
      <c r="T149" s="22" t="str">
        <f t="shared" si="13"/>
        <v/>
      </c>
      <c r="U149" s="25" t="s">
        <v>76</v>
      </c>
      <c r="V149" s="25">
        <v>0</v>
      </c>
      <c r="W149" s="25">
        <v>1</v>
      </c>
      <c r="X149" s="25">
        <v>0</v>
      </c>
      <c r="Y149" s="22" t="str">
        <f t="shared" si="14"/>
        <v>Single</v>
      </c>
      <c r="Z149" s="25" t="s">
        <v>9</v>
      </c>
      <c r="AA149" s="25" t="s">
        <v>78</v>
      </c>
      <c r="AB149" s="25" t="s">
        <v>94</v>
      </c>
      <c r="AC149" s="25" t="s">
        <v>70</v>
      </c>
      <c r="AD149" s="25" t="s">
        <v>71</v>
      </c>
      <c r="AE149" s="25">
        <v>4</v>
      </c>
      <c r="AF149" s="25" t="s">
        <v>90</v>
      </c>
      <c r="AG149" s="9" t="s">
        <v>835</v>
      </c>
      <c r="AH149" s="29" t="s">
        <v>836</v>
      </c>
      <c r="AI149" s="29" t="s">
        <v>837</v>
      </c>
      <c r="AJ149" t="s">
        <v>91</v>
      </c>
      <c r="AK149" t="s">
        <v>838</v>
      </c>
      <c r="AL149" t="s">
        <v>63</v>
      </c>
      <c r="AM149" s="50"/>
      <c r="AN149" s="51" t="s">
        <v>839</v>
      </c>
      <c r="AO149" s="55" t="s">
        <v>840</v>
      </c>
    </row>
    <row r="150" spans="1:41" ht="57" customHeight="1" x14ac:dyDescent="0.3">
      <c r="A150" s="20">
        <v>146</v>
      </c>
      <c r="B150" s="8" t="s">
        <v>841</v>
      </c>
      <c r="C150" s="26">
        <v>2026</v>
      </c>
      <c r="D150" s="8"/>
      <c r="E150" s="8" t="s">
        <v>842</v>
      </c>
      <c r="F150" s="20" t="s">
        <v>54</v>
      </c>
      <c r="G150" s="21" t="s">
        <v>53</v>
      </c>
      <c r="H150" s="21" t="s">
        <v>53</v>
      </c>
      <c r="I150" s="21" t="s">
        <v>53</v>
      </c>
      <c r="J150" s="21" t="s">
        <v>53</v>
      </c>
      <c r="K150" s="21" t="s">
        <v>53</v>
      </c>
      <c r="L150" s="22" t="str">
        <f t="shared" si="10"/>
        <v>INCLUDE</v>
      </c>
      <c r="M150" s="22" t="str">
        <f t="shared" si="11"/>
        <v/>
      </c>
      <c r="N150" s="23" t="s">
        <v>53</v>
      </c>
      <c r="O150" s="23" t="s">
        <v>53</v>
      </c>
      <c r="P150" s="24" t="s">
        <v>53</v>
      </c>
      <c r="Q150" s="24" t="s">
        <v>53</v>
      </c>
      <c r="R150" s="24" t="s">
        <v>53</v>
      </c>
      <c r="S150" s="22" t="str">
        <f t="shared" si="12"/>
        <v>INCLUDE</v>
      </c>
      <c r="T150" s="22" t="str">
        <f t="shared" si="13"/>
        <v/>
      </c>
      <c r="U150" s="25" t="s">
        <v>67</v>
      </c>
      <c r="V150" s="25">
        <v>0</v>
      </c>
      <c r="W150" s="25">
        <v>0</v>
      </c>
      <c r="X150" s="25">
        <v>1</v>
      </c>
      <c r="Y150" s="22" t="str">
        <f t="shared" si="14"/>
        <v>Single</v>
      </c>
      <c r="Z150" s="25" t="s">
        <v>9</v>
      </c>
      <c r="AA150" s="25" t="s">
        <v>78</v>
      </c>
      <c r="AB150" s="25" t="s">
        <v>102</v>
      </c>
      <c r="AC150" s="25" t="s">
        <v>70</v>
      </c>
      <c r="AD150" s="25" t="s">
        <v>89</v>
      </c>
      <c r="AE150" s="25">
        <v>4</v>
      </c>
      <c r="AF150" s="25" t="s">
        <v>96</v>
      </c>
      <c r="AG150" s="9" t="s">
        <v>843</v>
      </c>
      <c r="AH150" s="29" t="s">
        <v>844</v>
      </c>
      <c r="AI150" s="29" t="s">
        <v>845</v>
      </c>
      <c r="AJ150" t="s">
        <v>82</v>
      </c>
      <c r="AK150" t="s">
        <v>846</v>
      </c>
      <c r="AL150" t="s">
        <v>74</v>
      </c>
      <c r="AM150" s="50"/>
      <c r="AN150" s="51" t="s">
        <v>847</v>
      </c>
      <c r="AO150" s="55" t="s">
        <v>848</v>
      </c>
    </row>
    <row r="151" spans="1:41" ht="45.6" customHeight="1" x14ac:dyDescent="0.3">
      <c r="A151" s="20">
        <v>147</v>
      </c>
      <c r="B151" s="8" t="s">
        <v>849</v>
      </c>
      <c r="C151" s="26">
        <v>2025</v>
      </c>
      <c r="D151" s="8"/>
      <c r="E151" s="8" t="s">
        <v>850</v>
      </c>
      <c r="F151" s="20" t="s">
        <v>54</v>
      </c>
      <c r="G151" s="21" t="s">
        <v>53</v>
      </c>
      <c r="H151" s="21" t="s">
        <v>53</v>
      </c>
      <c r="I151" s="21" t="s">
        <v>53</v>
      </c>
      <c r="J151" s="21" t="s">
        <v>53</v>
      </c>
      <c r="K151" s="21" t="s">
        <v>53</v>
      </c>
      <c r="L151" s="22" t="str">
        <f t="shared" si="10"/>
        <v>INCLUDE</v>
      </c>
      <c r="M151" s="22" t="str">
        <f t="shared" si="11"/>
        <v/>
      </c>
      <c r="N151" s="23" t="s">
        <v>53</v>
      </c>
      <c r="O151" s="23" t="s">
        <v>53</v>
      </c>
      <c r="P151" s="24" t="s">
        <v>53</v>
      </c>
      <c r="Q151" s="24" t="s">
        <v>53</v>
      </c>
      <c r="R151" s="24" t="s">
        <v>53</v>
      </c>
      <c r="S151" s="22" t="str">
        <f t="shared" si="12"/>
        <v>INCLUDE</v>
      </c>
      <c r="T151" s="22" t="str">
        <f t="shared" si="13"/>
        <v/>
      </c>
      <c r="U151" s="25" t="s">
        <v>67</v>
      </c>
      <c r="V151" s="25">
        <v>0</v>
      </c>
      <c r="W151" s="25">
        <v>0</v>
      </c>
      <c r="X151" s="25">
        <v>1</v>
      </c>
      <c r="Y151" s="22" t="str">
        <f t="shared" si="14"/>
        <v>Single</v>
      </c>
      <c r="Z151" s="25" t="s">
        <v>11</v>
      </c>
      <c r="AA151" s="25" t="s">
        <v>57</v>
      </c>
      <c r="AB151" s="25" t="s">
        <v>103</v>
      </c>
      <c r="AC151" s="25" t="s">
        <v>70</v>
      </c>
      <c r="AD151" s="25" t="s">
        <v>89</v>
      </c>
      <c r="AE151" s="25">
        <v>4</v>
      </c>
      <c r="AF151" s="25" t="s">
        <v>61</v>
      </c>
      <c r="AG151" s="9" t="s">
        <v>851</v>
      </c>
      <c r="AH151" s="29" t="s">
        <v>852</v>
      </c>
      <c r="AI151" s="29" t="s">
        <v>853</v>
      </c>
      <c r="AJ151" t="s">
        <v>91</v>
      </c>
      <c r="AK151" t="s">
        <v>854</v>
      </c>
      <c r="AL151" t="s">
        <v>63</v>
      </c>
      <c r="AM151" s="50"/>
      <c r="AN151" s="51" t="s">
        <v>855</v>
      </c>
      <c r="AO151" s="55" t="s">
        <v>856</v>
      </c>
    </row>
    <row r="152" spans="1:41" ht="100.95" hidden="1" customHeight="1" x14ac:dyDescent="0.3">
      <c r="A152" s="20">
        <v>148</v>
      </c>
      <c r="B152" s="8" t="s">
        <v>857</v>
      </c>
      <c r="C152" s="26">
        <v>2025</v>
      </c>
      <c r="D152" s="8"/>
      <c r="E152" s="8" t="s">
        <v>858</v>
      </c>
      <c r="F152" s="20" t="s">
        <v>54</v>
      </c>
      <c r="G152" s="21" t="s">
        <v>64</v>
      </c>
      <c r="H152" s="21" t="s">
        <v>53</v>
      </c>
      <c r="I152" s="21" t="s">
        <v>53</v>
      </c>
      <c r="J152" s="21" t="s">
        <v>53</v>
      </c>
      <c r="K152" s="21" t="s">
        <v>53</v>
      </c>
      <c r="L152" s="22" t="str">
        <f t="shared" si="10"/>
        <v>EXCLUDE</v>
      </c>
      <c r="M152" s="22" t="str">
        <f t="shared" si="11"/>
        <v>Wrong domain (non-AECO)</v>
      </c>
      <c r="N152" s="23"/>
      <c r="O152" s="23"/>
      <c r="P152" s="24"/>
      <c r="Q152" s="24"/>
      <c r="R152" s="24"/>
      <c r="S152" s="22" t="str">
        <f t="shared" si="12"/>
        <v/>
      </c>
      <c r="T152" s="22" t="str">
        <f t="shared" si="13"/>
        <v/>
      </c>
      <c r="U152" s="25"/>
      <c r="V152" s="25"/>
      <c r="W152" s="25"/>
      <c r="X152" s="25"/>
      <c r="Y152" s="22" t="str">
        <f t="shared" si="14"/>
        <v/>
      </c>
      <c r="Z152" s="25"/>
      <c r="AA152" s="25"/>
      <c r="AB152" s="25"/>
      <c r="AC152" s="25"/>
      <c r="AD152" s="25"/>
      <c r="AE152" s="25"/>
      <c r="AF152" s="25"/>
      <c r="AG152" s="9"/>
      <c r="AH152" s="29"/>
      <c r="AI152" s="29"/>
      <c r="AM152" s="50"/>
      <c r="AN152" s="51" t="s">
        <v>859</v>
      </c>
      <c r="AO152" s="55" t="s">
        <v>860</v>
      </c>
    </row>
    <row r="153" spans="1:41" ht="45.6" customHeight="1" x14ac:dyDescent="0.3">
      <c r="A153" s="20">
        <v>149</v>
      </c>
      <c r="B153" s="8" t="s">
        <v>861</v>
      </c>
      <c r="C153" s="26">
        <v>2026</v>
      </c>
      <c r="D153" s="8"/>
      <c r="E153" s="8" t="s">
        <v>862</v>
      </c>
      <c r="F153" s="20" t="s">
        <v>54</v>
      </c>
      <c r="G153" s="21" t="s">
        <v>53</v>
      </c>
      <c r="H153" s="21" t="s">
        <v>53</v>
      </c>
      <c r="I153" s="21" t="s">
        <v>53</v>
      </c>
      <c r="J153" s="21" t="s">
        <v>53</v>
      </c>
      <c r="K153" s="21" t="s">
        <v>53</v>
      </c>
      <c r="L153" s="22" t="str">
        <f t="shared" si="10"/>
        <v>INCLUDE</v>
      </c>
      <c r="M153" s="22" t="str">
        <f t="shared" si="11"/>
        <v/>
      </c>
      <c r="N153" s="23" t="s">
        <v>53</v>
      </c>
      <c r="O153" s="23" t="s">
        <v>53</v>
      </c>
      <c r="P153" s="24" t="s">
        <v>53</v>
      </c>
      <c r="Q153" s="24" t="s">
        <v>53</v>
      </c>
      <c r="R153" s="24" t="s">
        <v>53</v>
      </c>
      <c r="S153" s="22" t="str">
        <f t="shared" si="12"/>
        <v>INCLUDE</v>
      </c>
      <c r="T153" s="22" t="str">
        <f t="shared" si="13"/>
        <v/>
      </c>
      <c r="U153" s="25" t="s">
        <v>67</v>
      </c>
      <c r="V153" s="25">
        <v>0</v>
      </c>
      <c r="W153" s="25">
        <v>0</v>
      </c>
      <c r="X153" s="25">
        <v>1</v>
      </c>
      <c r="Y153" s="22" t="str">
        <f t="shared" si="14"/>
        <v>Single</v>
      </c>
      <c r="Z153" s="25" t="s">
        <v>9</v>
      </c>
      <c r="AA153" s="25" t="s">
        <v>57</v>
      </c>
      <c r="AB153" s="25" t="s">
        <v>104</v>
      </c>
      <c r="AC153" s="25" t="s">
        <v>70</v>
      </c>
      <c r="AD153" s="25" t="s">
        <v>89</v>
      </c>
      <c r="AE153" s="25">
        <v>4</v>
      </c>
      <c r="AF153" s="25" t="s">
        <v>96</v>
      </c>
      <c r="AG153" s="9" t="s">
        <v>863</v>
      </c>
      <c r="AH153" s="29" t="s">
        <v>864</v>
      </c>
      <c r="AI153" s="29" t="s">
        <v>865</v>
      </c>
      <c r="AJ153" t="s">
        <v>91</v>
      </c>
      <c r="AK153" t="s">
        <v>866</v>
      </c>
      <c r="AL153" t="s">
        <v>63</v>
      </c>
      <c r="AM153" s="50"/>
      <c r="AN153" s="51" t="s">
        <v>867</v>
      </c>
      <c r="AO153" s="55" t="s">
        <v>868</v>
      </c>
    </row>
    <row r="154" spans="1:41" ht="45.6" hidden="1" customHeight="1" x14ac:dyDescent="0.3">
      <c r="A154" s="20">
        <v>150</v>
      </c>
      <c r="B154" s="8" t="s">
        <v>869</v>
      </c>
      <c r="C154" s="26">
        <v>2026</v>
      </c>
      <c r="D154" s="8"/>
      <c r="E154" s="8" t="s">
        <v>870</v>
      </c>
      <c r="F154" s="20" t="s">
        <v>54</v>
      </c>
      <c r="G154" s="21" t="s">
        <v>64</v>
      </c>
      <c r="H154" s="21" t="s">
        <v>64</v>
      </c>
      <c r="I154" s="21" t="s">
        <v>53</v>
      </c>
      <c r="J154" s="21" t="s">
        <v>53</v>
      </c>
      <c r="K154" s="21" t="s">
        <v>53</v>
      </c>
      <c r="L154" s="22" t="str">
        <f t="shared" si="10"/>
        <v>EXCLUDE</v>
      </c>
      <c r="M154" s="22" t="str">
        <f t="shared" si="11"/>
        <v>Wrong domain (non-AECO)</v>
      </c>
      <c r="N154" s="23"/>
      <c r="O154" s="23"/>
      <c r="P154" s="24"/>
      <c r="Q154" s="24"/>
      <c r="R154" s="24"/>
      <c r="S154" s="22" t="str">
        <f t="shared" si="12"/>
        <v/>
      </c>
      <c r="T154" s="22" t="str">
        <f t="shared" si="13"/>
        <v/>
      </c>
      <c r="U154" s="25"/>
      <c r="V154" s="25"/>
      <c r="W154" s="25"/>
      <c r="X154" s="25"/>
      <c r="Y154" s="22" t="str">
        <f t="shared" si="14"/>
        <v/>
      </c>
      <c r="Z154" s="25"/>
      <c r="AA154" s="25"/>
      <c r="AB154" s="25"/>
      <c r="AC154" s="25"/>
      <c r="AD154" s="25"/>
      <c r="AE154" s="25"/>
      <c r="AF154" s="25"/>
      <c r="AG154" s="9"/>
      <c r="AH154" s="29"/>
      <c r="AI154" s="29"/>
      <c r="AM154" s="50"/>
      <c r="AN154" s="51" t="s">
        <v>871</v>
      </c>
      <c r="AO154" s="55" t="s">
        <v>872</v>
      </c>
    </row>
    <row r="155" spans="1:41" ht="79.95" hidden="1" customHeight="1" x14ac:dyDescent="0.3">
      <c r="A155" s="20">
        <v>151</v>
      </c>
      <c r="B155" s="8" t="s">
        <v>412</v>
      </c>
      <c r="C155" s="26">
        <v>2025</v>
      </c>
      <c r="D155" s="8"/>
      <c r="E155" s="8" t="s">
        <v>873</v>
      </c>
      <c r="F155" s="20" t="s">
        <v>54</v>
      </c>
      <c r="G155" s="21" t="s">
        <v>64</v>
      </c>
      <c r="H155" s="21" t="s">
        <v>53</v>
      </c>
      <c r="I155" s="21" t="s">
        <v>53</v>
      </c>
      <c r="J155" s="21" t="s">
        <v>53</v>
      </c>
      <c r="K155" s="21" t="s">
        <v>53</v>
      </c>
      <c r="L155" s="22" t="str">
        <f t="shared" si="10"/>
        <v>EXCLUDE</v>
      </c>
      <c r="M155" s="22" t="str">
        <f t="shared" si="11"/>
        <v>Wrong domain (non-AECO)</v>
      </c>
      <c r="N155" s="23"/>
      <c r="O155" s="23"/>
      <c r="P155" s="24"/>
      <c r="Q155" s="24"/>
      <c r="R155" s="24"/>
      <c r="S155" s="22" t="str">
        <f t="shared" si="12"/>
        <v/>
      </c>
      <c r="T155" s="22" t="str">
        <f t="shared" si="13"/>
        <v/>
      </c>
      <c r="U155" s="25"/>
      <c r="V155" s="25"/>
      <c r="W155" s="25"/>
      <c r="X155" s="25"/>
      <c r="Y155" s="22" t="str">
        <f t="shared" si="14"/>
        <v/>
      </c>
      <c r="Z155" s="25"/>
      <c r="AA155" s="25"/>
      <c r="AB155" s="25"/>
      <c r="AC155" s="25"/>
      <c r="AD155" s="25"/>
      <c r="AE155" s="25"/>
      <c r="AF155" s="25"/>
      <c r="AG155" s="9"/>
      <c r="AH155" s="29"/>
      <c r="AI155" s="29"/>
      <c r="AM155" s="50"/>
      <c r="AN155" s="51" t="s">
        <v>874</v>
      </c>
      <c r="AO155" s="55" t="s">
        <v>875</v>
      </c>
    </row>
    <row r="156" spans="1:41" ht="68.400000000000006" hidden="1" customHeight="1" x14ac:dyDescent="0.3">
      <c r="A156" s="20">
        <v>152</v>
      </c>
      <c r="B156" s="8" t="s">
        <v>876</v>
      </c>
      <c r="C156" s="26">
        <v>2026</v>
      </c>
      <c r="D156" s="8"/>
      <c r="E156" s="8" t="s">
        <v>877</v>
      </c>
      <c r="F156" s="20" t="s">
        <v>54</v>
      </c>
      <c r="G156" s="21" t="s">
        <v>64</v>
      </c>
      <c r="H156" s="21" t="s">
        <v>64</v>
      </c>
      <c r="I156" s="21" t="s">
        <v>64</v>
      </c>
      <c r="J156" s="21" t="s">
        <v>53</v>
      </c>
      <c r="K156" s="21" t="s">
        <v>53</v>
      </c>
      <c r="L156" s="22" t="str">
        <f t="shared" si="10"/>
        <v>EXCLUDE</v>
      </c>
      <c r="M156" s="22" t="str">
        <f t="shared" si="11"/>
        <v>Wrong domain (non-AECO)</v>
      </c>
      <c r="N156" s="23"/>
      <c r="O156" s="23"/>
      <c r="P156" s="24"/>
      <c r="Q156" s="24"/>
      <c r="R156" s="24"/>
      <c r="S156" s="22" t="str">
        <f t="shared" si="12"/>
        <v/>
      </c>
      <c r="T156" s="22" t="str">
        <f t="shared" si="13"/>
        <v/>
      </c>
      <c r="U156" s="25"/>
      <c r="V156" s="25"/>
      <c r="W156" s="25"/>
      <c r="X156" s="25"/>
      <c r="Y156" s="22" t="str">
        <f t="shared" si="14"/>
        <v/>
      </c>
      <c r="Z156" s="25"/>
      <c r="AA156" s="25"/>
      <c r="AB156" s="25"/>
      <c r="AC156" s="25"/>
      <c r="AD156" s="25"/>
      <c r="AE156" s="25"/>
      <c r="AF156" s="25"/>
      <c r="AG156" s="9"/>
      <c r="AH156" s="29"/>
      <c r="AI156" s="29"/>
      <c r="AM156" s="50"/>
      <c r="AN156" s="51" t="s">
        <v>878</v>
      </c>
      <c r="AO156" s="55" t="s">
        <v>879</v>
      </c>
    </row>
    <row r="157" spans="1:41" ht="57" hidden="1" customHeight="1" x14ac:dyDescent="0.3">
      <c r="A157" s="20">
        <v>153</v>
      </c>
      <c r="B157" s="8" t="s">
        <v>880</v>
      </c>
      <c r="C157" s="26">
        <v>2026</v>
      </c>
      <c r="D157" s="8"/>
      <c r="E157" s="8" t="s">
        <v>881</v>
      </c>
      <c r="F157" s="20" t="s">
        <v>54</v>
      </c>
      <c r="G157" s="21" t="s">
        <v>64</v>
      </c>
      <c r="H157" s="21" t="s">
        <v>53</v>
      </c>
      <c r="I157" s="21" t="s">
        <v>64</v>
      </c>
      <c r="J157" s="21" t="s">
        <v>53</v>
      </c>
      <c r="K157" s="21" t="s">
        <v>53</v>
      </c>
      <c r="L157" s="22" t="str">
        <f t="shared" si="10"/>
        <v>EXCLUDE</v>
      </c>
      <c r="M157" s="22" t="str">
        <f t="shared" si="11"/>
        <v>Wrong domain (non-AECO)</v>
      </c>
      <c r="N157" s="23"/>
      <c r="O157" s="23"/>
      <c r="P157" s="24"/>
      <c r="Q157" s="24"/>
      <c r="R157" s="24"/>
      <c r="S157" s="22" t="str">
        <f t="shared" si="12"/>
        <v/>
      </c>
      <c r="T157" s="22" t="str">
        <f t="shared" si="13"/>
        <v/>
      </c>
      <c r="U157" s="25"/>
      <c r="V157" s="25"/>
      <c r="W157" s="25"/>
      <c r="X157" s="25"/>
      <c r="Y157" s="22" t="str">
        <f t="shared" si="14"/>
        <v/>
      </c>
      <c r="Z157" s="25"/>
      <c r="AA157" s="25"/>
      <c r="AB157" s="25"/>
      <c r="AC157" s="25"/>
      <c r="AD157" s="25"/>
      <c r="AE157" s="25"/>
      <c r="AF157" s="25"/>
      <c r="AG157" s="9"/>
      <c r="AH157" s="29"/>
      <c r="AI157" s="29"/>
      <c r="AM157" s="50"/>
      <c r="AN157" s="51" t="s">
        <v>882</v>
      </c>
      <c r="AO157" s="55" t="s">
        <v>883</v>
      </c>
    </row>
    <row r="158" spans="1:41" ht="86.4" customHeight="1" x14ac:dyDescent="0.3">
      <c r="A158" s="20">
        <v>154</v>
      </c>
      <c r="B158" s="8" t="s">
        <v>884</v>
      </c>
      <c r="C158" s="26">
        <v>2026</v>
      </c>
      <c r="D158" s="8"/>
      <c r="E158" s="8" t="s">
        <v>885</v>
      </c>
      <c r="F158" s="20" t="s">
        <v>54</v>
      </c>
      <c r="G158" s="21" t="s">
        <v>53</v>
      </c>
      <c r="H158" s="21" t="s">
        <v>53</v>
      </c>
      <c r="I158" s="21" t="s">
        <v>53</v>
      </c>
      <c r="J158" s="21" t="s">
        <v>53</v>
      </c>
      <c r="K158" s="21" t="s">
        <v>53</v>
      </c>
      <c r="L158" s="22" t="str">
        <f t="shared" si="10"/>
        <v>INCLUDE</v>
      </c>
      <c r="M158" s="22" t="str">
        <f t="shared" si="11"/>
        <v/>
      </c>
      <c r="N158" s="23" t="s">
        <v>53</v>
      </c>
      <c r="O158" s="23" t="s">
        <v>53</v>
      </c>
      <c r="P158" s="24" t="s">
        <v>53</v>
      </c>
      <c r="Q158" s="24" t="s">
        <v>53</v>
      </c>
      <c r="R158" s="24" t="s">
        <v>53</v>
      </c>
      <c r="S158" s="22" t="str">
        <f t="shared" si="12"/>
        <v>INCLUDE</v>
      </c>
      <c r="T158" s="22" t="str">
        <f t="shared" si="13"/>
        <v/>
      </c>
      <c r="U158" s="25" t="s">
        <v>67</v>
      </c>
      <c r="V158" s="25">
        <v>0</v>
      </c>
      <c r="W158" s="25">
        <v>1</v>
      </c>
      <c r="X158" s="25">
        <v>0</v>
      </c>
      <c r="Y158" s="22" t="str">
        <f t="shared" si="14"/>
        <v>Single</v>
      </c>
      <c r="Z158" s="25" t="s">
        <v>9</v>
      </c>
      <c r="AA158" s="25" t="s">
        <v>57</v>
      </c>
      <c r="AB158" s="25" t="s">
        <v>104</v>
      </c>
      <c r="AC158" s="25" t="s">
        <v>70</v>
      </c>
      <c r="AD158" s="25" t="s">
        <v>89</v>
      </c>
      <c r="AE158" s="25">
        <v>4</v>
      </c>
      <c r="AF158" s="25" t="s">
        <v>96</v>
      </c>
      <c r="AG158" s="9" t="s">
        <v>886</v>
      </c>
      <c r="AH158" s="29" t="s">
        <v>887</v>
      </c>
      <c r="AI158" s="29" t="s">
        <v>888</v>
      </c>
      <c r="AJ158" t="s">
        <v>91</v>
      </c>
      <c r="AK158" t="s">
        <v>889</v>
      </c>
      <c r="AL158" t="s">
        <v>74</v>
      </c>
      <c r="AM158" s="50"/>
      <c r="AN158" s="51" t="s">
        <v>890</v>
      </c>
      <c r="AO158" s="55" t="s">
        <v>891</v>
      </c>
    </row>
    <row r="159" spans="1:41" ht="91.2" hidden="1" customHeight="1" x14ac:dyDescent="0.3">
      <c r="A159" s="20">
        <v>155</v>
      </c>
      <c r="B159" s="8" t="s">
        <v>892</v>
      </c>
      <c r="C159" s="26">
        <v>2026</v>
      </c>
      <c r="D159" s="8"/>
      <c r="E159" s="8" t="s">
        <v>893</v>
      </c>
      <c r="F159" s="20" t="s">
        <v>54</v>
      </c>
      <c r="G159" s="21" t="s">
        <v>64</v>
      </c>
      <c r="H159" s="21" t="s">
        <v>53</v>
      </c>
      <c r="I159" s="21" t="s">
        <v>53</v>
      </c>
      <c r="J159" s="21" t="s">
        <v>53</v>
      </c>
      <c r="K159" s="21" t="s">
        <v>53</v>
      </c>
      <c r="L159" s="22" t="str">
        <f t="shared" si="10"/>
        <v>EXCLUDE</v>
      </c>
      <c r="M159" s="22" t="str">
        <f t="shared" si="11"/>
        <v>Wrong domain (non-AECO)</v>
      </c>
      <c r="N159" s="23"/>
      <c r="O159" s="23"/>
      <c r="P159" s="24"/>
      <c r="Q159" s="24"/>
      <c r="R159" s="24"/>
      <c r="S159" s="22" t="str">
        <f t="shared" si="12"/>
        <v/>
      </c>
      <c r="T159" s="22" t="str">
        <f t="shared" si="13"/>
        <v/>
      </c>
      <c r="U159" s="25"/>
      <c r="V159" s="25"/>
      <c r="W159" s="25"/>
      <c r="X159" s="25"/>
      <c r="Y159" s="22" t="str">
        <f t="shared" si="14"/>
        <v/>
      </c>
      <c r="Z159" s="25"/>
      <c r="AA159" s="25"/>
      <c r="AB159" s="25"/>
      <c r="AC159" s="25"/>
      <c r="AD159" s="25"/>
      <c r="AE159" s="25"/>
      <c r="AF159" s="25"/>
      <c r="AG159" s="9"/>
      <c r="AH159" s="29"/>
      <c r="AI159" s="29"/>
      <c r="AM159" s="50"/>
      <c r="AN159" s="51" t="s">
        <v>894</v>
      </c>
      <c r="AO159" s="55" t="s">
        <v>895</v>
      </c>
    </row>
    <row r="160" spans="1:41" ht="68.400000000000006" hidden="1" customHeight="1" x14ac:dyDescent="0.3">
      <c r="A160" s="20">
        <v>156</v>
      </c>
      <c r="B160" s="8" t="s">
        <v>896</v>
      </c>
      <c r="C160" s="26">
        <v>2026</v>
      </c>
      <c r="D160" s="8"/>
      <c r="E160" s="8" t="s">
        <v>897</v>
      </c>
      <c r="F160" s="20" t="s">
        <v>54</v>
      </c>
      <c r="G160" s="21" t="s">
        <v>64</v>
      </c>
      <c r="H160" s="21" t="s">
        <v>64</v>
      </c>
      <c r="I160" s="21" t="s">
        <v>64</v>
      </c>
      <c r="J160" s="21" t="s">
        <v>53</v>
      </c>
      <c r="K160" s="21" t="s">
        <v>53</v>
      </c>
      <c r="L160" s="22" t="str">
        <f t="shared" si="10"/>
        <v>EXCLUDE</v>
      </c>
      <c r="M160" s="22" t="str">
        <f t="shared" si="11"/>
        <v>Wrong domain (non-AECO)</v>
      </c>
      <c r="N160" s="23"/>
      <c r="O160" s="23"/>
      <c r="P160" s="24"/>
      <c r="Q160" s="24"/>
      <c r="R160" s="24"/>
      <c r="S160" s="22" t="str">
        <f t="shared" si="12"/>
        <v/>
      </c>
      <c r="T160" s="22" t="str">
        <f t="shared" si="13"/>
        <v/>
      </c>
      <c r="U160" s="25"/>
      <c r="V160" s="25"/>
      <c r="W160" s="25"/>
      <c r="X160" s="25"/>
      <c r="Y160" s="22" t="str">
        <f t="shared" si="14"/>
        <v/>
      </c>
      <c r="Z160" s="25"/>
      <c r="AA160" s="25"/>
      <c r="AB160" s="25"/>
      <c r="AC160" s="25"/>
      <c r="AD160" s="25"/>
      <c r="AE160" s="25"/>
      <c r="AF160" s="25"/>
      <c r="AG160" s="9"/>
      <c r="AH160" s="29"/>
      <c r="AI160" s="29"/>
      <c r="AM160" s="50"/>
      <c r="AN160" s="51" t="s">
        <v>898</v>
      </c>
      <c r="AO160" s="55" t="s">
        <v>899</v>
      </c>
    </row>
    <row r="161" spans="1:41" ht="45.6" hidden="1" customHeight="1" x14ac:dyDescent="0.3">
      <c r="A161" s="20">
        <v>157</v>
      </c>
      <c r="B161" s="8" t="s">
        <v>900</v>
      </c>
      <c r="C161" s="26">
        <v>2025</v>
      </c>
      <c r="D161" s="8"/>
      <c r="E161" s="8" t="s">
        <v>901</v>
      </c>
      <c r="F161" s="20" t="s">
        <v>54</v>
      </c>
      <c r="G161" s="21" t="s">
        <v>64</v>
      </c>
      <c r="H161" s="21" t="s">
        <v>53</v>
      </c>
      <c r="I161" s="21" t="s">
        <v>64</v>
      </c>
      <c r="J161" s="21" t="s">
        <v>53</v>
      </c>
      <c r="K161" s="21" t="s">
        <v>53</v>
      </c>
      <c r="L161" s="22" t="str">
        <f t="shared" si="10"/>
        <v>EXCLUDE</v>
      </c>
      <c r="M161" s="22" t="str">
        <f t="shared" si="11"/>
        <v>Wrong domain (non-AECO)</v>
      </c>
      <c r="N161" s="23"/>
      <c r="O161" s="23"/>
      <c r="P161" s="24"/>
      <c r="Q161" s="24"/>
      <c r="R161" s="24"/>
      <c r="S161" s="22" t="str">
        <f t="shared" si="12"/>
        <v/>
      </c>
      <c r="T161" s="22" t="str">
        <f t="shared" si="13"/>
        <v/>
      </c>
      <c r="U161" s="25"/>
      <c r="V161" s="25"/>
      <c r="W161" s="25"/>
      <c r="X161" s="25"/>
      <c r="Y161" s="22" t="str">
        <f t="shared" si="14"/>
        <v/>
      </c>
      <c r="Z161" s="25"/>
      <c r="AA161" s="25"/>
      <c r="AB161" s="25"/>
      <c r="AC161" s="25"/>
      <c r="AD161" s="25"/>
      <c r="AE161" s="25"/>
      <c r="AF161" s="25"/>
      <c r="AG161" s="9"/>
      <c r="AH161" s="29"/>
      <c r="AI161" s="29"/>
      <c r="AM161" s="50"/>
      <c r="AN161" s="51" t="s">
        <v>902</v>
      </c>
      <c r="AO161" s="55" t="s">
        <v>903</v>
      </c>
    </row>
    <row r="162" spans="1:41" ht="91.2" hidden="1" customHeight="1" x14ac:dyDescent="0.3">
      <c r="A162" s="20">
        <v>158</v>
      </c>
      <c r="B162" s="8" t="s">
        <v>904</v>
      </c>
      <c r="C162" s="26">
        <v>2026</v>
      </c>
      <c r="D162" s="8"/>
      <c r="E162" s="8" t="s">
        <v>905</v>
      </c>
      <c r="F162" s="20" t="s">
        <v>54</v>
      </c>
      <c r="G162" s="21" t="s">
        <v>64</v>
      </c>
      <c r="H162" s="21" t="s">
        <v>53</v>
      </c>
      <c r="I162" s="21" t="s">
        <v>53</v>
      </c>
      <c r="J162" s="21" t="s">
        <v>53</v>
      </c>
      <c r="K162" s="21" t="s">
        <v>64</v>
      </c>
      <c r="L162" s="22" t="str">
        <f t="shared" si="10"/>
        <v>EXCLUDE</v>
      </c>
      <c r="M162" s="22" t="str">
        <f t="shared" si="11"/>
        <v>Wrong domain (non-AECO)</v>
      </c>
      <c r="N162" s="23"/>
      <c r="O162" s="23"/>
      <c r="P162" s="24"/>
      <c r="Q162" s="24"/>
      <c r="R162" s="24"/>
      <c r="S162" s="22" t="str">
        <f t="shared" si="12"/>
        <v/>
      </c>
      <c r="T162" s="22" t="str">
        <f t="shared" si="13"/>
        <v/>
      </c>
      <c r="U162" s="25"/>
      <c r="V162" s="25"/>
      <c r="W162" s="25"/>
      <c r="X162" s="25"/>
      <c r="Y162" s="22" t="str">
        <f t="shared" si="14"/>
        <v/>
      </c>
      <c r="Z162" s="25"/>
      <c r="AA162" s="25"/>
      <c r="AB162" s="25"/>
      <c r="AC162" s="25"/>
      <c r="AD162" s="25"/>
      <c r="AE162" s="25"/>
      <c r="AF162" s="25"/>
      <c r="AG162" s="9"/>
      <c r="AH162" s="29"/>
      <c r="AI162" s="29"/>
      <c r="AM162" s="50"/>
      <c r="AN162" s="51" t="s">
        <v>906</v>
      </c>
      <c r="AO162" s="55" t="s">
        <v>907</v>
      </c>
    </row>
    <row r="163" spans="1:41" ht="79.95" hidden="1" customHeight="1" x14ac:dyDescent="0.3">
      <c r="A163" s="20">
        <v>159</v>
      </c>
      <c r="B163" s="8" t="s">
        <v>908</v>
      </c>
      <c r="C163" s="26">
        <v>2026</v>
      </c>
      <c r="D163" s="8"/>
      <c r="E163" s="8" t="s">
        <v>909</v>
      </c>
      <c r="F163" s="20" t="s">
        <v>54</v>
      </c>
      <c r="G163" s="21" t="s">
        <v>53</v>
      </c>
      <c r="H163" s="21" t="s">
        <v>53</v>
      </c>
      <c r="I163" s="21" t="s">
        <v>64</v>
      </c>
      <c r="J163" s="21" t="s">
        <v>53</v>
      </c>
      <c r="K163" s="21" t="s">
        <v>53</v>
      </c>
      <c r="L163" s="22" t="str">
        <f t="shared" si="10"/>
        <v>EXCLUDE</v>
      </c>
      <c r="M163" s="22" t="str">
        <f t="shared" si="11"/>
        <v>No Design for Safety/Quality/PtD</v>
      </c>
      <c r="N163" s="23"/>
      <c r="O163" s="23"/>
      <c r="P163" s="24"/>
      <c r="Q163" s="24"/>
      <c r="R163" s="24"/>
      <c r="S163" s="22" t="str">
        <f t="shared" si="12"/>
        <v/>
      </c>
      <c r="T163" s="22" t="str">
        <f t="shared" si="13"/>
        <v/>
      </c>
      <c r="U163" s="25"/>
      <c r="V163" s="25"/>
      <c r="W163" s="25"/>
      <c r="X163" s="25"/>
      <c r="Y163" s="22" t="str">
        <f t="shared" si="14"/>
        <v/>
      </c>
      <c r="Z163" s="25"/>
      <c r="AA163" s="25"/>
      <c r="AB163" s="25"/>
      <c r="AC163" s="25"/>
      <c r="AD163" s="25"/>
      <c r="AE163" s="25"/>
      <c r="AF163" s="25"/>
      <c r="AG163" s="9"/>
      <c r="AH163" s="29"/>
      <c r="AI163" s="29"/>
      <c r="AM163" s="50"/>
      <c r="AN163" s="51" t="s">
        <v>910</v>
      </c>
      <c r="AO163" s="55" t="s">
        <v>911</v>
      </c>
    </row>
    <row r="164" spans="1:41" ht="68.400000000000006" hidden="1" customHeight="1" x14ac:dyDescent="0.3">
      <c r="A164" s="20">
        <v>160</v>
      </c>
      <c r="B164" s="8" t="s">
        <v>912</v>
      </c>
      <c r="C164" s="26">
        <v>2026</v>
      </c>
      <c r="D164" s="8"/>
      <c r="E164" s="8" t="s">
        <v>913</v>
      </c>
      <c r="F164" s="20" t="s">
        <v>54</v>
      </c>
      <c r="G164" s="21" t="s">
        <v>64</v>
      </c>
      <c r="H164" s="21" t="s">
        <v>64</v>
      </c>
      <c r="I164" s="21" t="s">
        <v>64</v>
      </c>
      <c r="J164" s="21" t="s">
        <v>53</v>
      </c>
      <c r="K164" s="21" t="s">
        <v>53</v>
      </c>
      <c r="L164" s="22" t="str">
        <f t="shared" si="10"/>
        <v>EXCLUDE</v>
      </c>
      <c r="M164" s="22" t="str">
        <f t="shared" si="11"/>
        <v>Wrong domain (non-AECO)</v>
      </c>
      <c r="N164" s="23"/>
      <c r="O164" s="23"/>
      <c r="P164" s="24"/>
      <c r="Q164" s="24"/>
      <c r="R164" s="24"/>
      <c r="S164" s="22" t="str">
        <f t="shared" si="12"/>
        <v/>
      </c>
      <c r="T164" s="22" t="str">
        <f t="shared" si="13"/>
        <v/>
      </c>
      <c r="U164" s="25"/>
      <c r="V164" s="25"/>
      <c r="W164" s="25"/>
      <c r="X164" s="25"/>
      <c r="Y164" s="22" t="str">
        <f t="shared" si="14"/>
        <v/>
      </c>
      <c r="Z164" s="25"/>
      <c r="AA164" s="25"/>
      <c r="AB164" s="25"/>
      <c r="AC164" s="25"/>
      <c r="AD164" s="25"/>
      <c r="AE164" s="25"/>
      <c r="AF164" s="25"/>
      <c r="AG164" s="9"/>
      <c r="AH164" s="29"/>
      <c r="AI164" s="29"/>
      <c r="AM164" s="50"/>
      <c r="AN164" s="51" t="s">
        <v>914</v>
      </c>
      <c r="AO164" s="55" t="s">
        <v>915</v>
      </c>
    </row>
    <row r="165" spans="1:41" ht="57" hidden="1" customHeight="1" x14ac:dyDescent="0.3">
      <c r="A165" s="20">
        <v>161</v>
      </c>
      <c r="B165" s="8" t="s">
        <v>916</v>
      </c>
      <c r="C165" s="26">
        <v>2026</v>
      </c>
      <c r="D165" s="8"/>
      <c r="E165" s="8" t="s">
        <v>917</v>
      </c>
      <c r="F165" s="20" t="s">
        <v>54</v>
      </c>
      <c r="G165" s="21" t="s">
        <v>64</v>
      </c>
      <c r="H165" s="21" t="s">
        <v>64</v>
      </c>
      <c r="I165" s="21" t="s">
        <v>53</v>
      </c>
      <c r="J165" s="21" t="s">
        <v>53</v>
      </c>
      <c r="K165" s="21" t="s">
        <v>53</v>
      </c>
      <c r="L165" s="22" t="str">
        <f t="shared" si="10"/>
        <v>EXCLUDE</v>
      </c>
      <c r="M165" s="22" t="str">
        <f t="shared" si="11"/>
        <v>Wrong domain (non-AECO)</v>
      </c>
      <c r="N165" s="23"/>
      <c r="O165" s="23"/>
      <c r="P165" s="24"/>
      <c r="Q165" s="24"/>
      <c r="R165" s="24"/>
      <c r="S165" s="22" t="str">
        <f t="shared" si="12"/>
        <v/>
      </c>
      <c r="T165" s="22" t="str">
        <f t="shared" si="13"/>
        <v/>
      </c>
      <c r="U165" s="25"/>
      <c r="V165" s="25"/>
      <c r="W165" s="25"/>
      <c r="X165" s="25"/>
      <c r="Y165" s="22" t="str">
        <f t="shared" si="14"/>
        <v/>
      </c>
      <c r="Z165" s="25"/>
      <c r="AA165" s="25"/>
      <c r="AB165" s="25"/>
      <c r="AC165" s="25"/>
      <c r="AD165" s="25"/>
      <c r="AE165" s="25"/>
      <c r="AF165" s="25"/>
      <c r="AG165" s="9"/>
      <c r="AH165" s="29"/>
      <c r="AI165" s="29"/>
      <c r="AM165" s="50"/>
      <c r="AN165" s="51" t="s">
        <v>918</v>
      </c>
      <c r="AO165" s="55" t="s">
        <v>919</v>
      </c>
    </row>
    <row r="166" spans="1:41" ht="72" hidden="1" customHeight="1" x14ac:dyDescent="0.3">
      <c r="A166" s="20">
        <v>162</v>
      </c>
      <c r="B166" s="8" t="s">
        <v>920</v>
      </c>
      <c r="C166" s="26">
        <v>2025</v>
      </c>
      <c r="D166" s="8"/>
      <c r="E166" s="8" t="s">
        <v>921</v>
      </c>
      <c r="F166" s="20" t="s">
        <v>54</v>
      </c>
      <c r="G166" s="21" t="s">
        <v>53</v>
      </c>
      <c r="H166" s="21" t="s">
        <v>64</v>
      </c>
      <c r="I166" s="21" t="s">
        <v>53</v>
      </c>
      <c r="J166" s="21" t="s">
        <v>53</v>
      </c>
      <c r="K166" s="21" t="s">
        <v>53</v>
      </c>
      <c r="L166" s="22" t="str">
        <f t="shared" si="10"/>
        <v>EXCLUDE</v>
      </c>
      <c r="M166" s="22" t="str">
        <f t="shared" si="11"/>
        <v>Digital Twin not core / buzzword</v>
      </c>
      <c r="N166" s="23"/>
      <c r="O166" s="23"/>
      <c r="P166" s="24"/>
      <c r="Q166" s="24"/>
      <c r="R166" s="24"/>
      <c r="S166" s="22" t="str">
        <f t="shared" si="12"/>
        <v/>
      </c>
      <c r="T166" s="22" t="str">
        <f t="shared" si="13"/>
        <v/>
      </c>
      <c r="U166" s="25"/>
      <c r="V166" s="25"/>
      <c r="W166" s="25"/>
      <c r="X166" s="25"/>
      <c r="Y166" s="22" t="str">
        <f t="shared" si="14"/>
        <v/>
      </c>
      <c r="Z166" s="25"/>
      <c r="AA166" s="25"/>
      <c r="AB166" s="25"/>
      <c r="AC166" s="25"/>
      <c r="AD166" s="25"/>
      <c r="AE166" s="25"/>
      <c r="AF166" s="25"/>
      <c r="AG166" s="9"/>
      <c r="AH166" s="29"/>
      <c r="AI166" s="29"/>
      <c r="AM166" s="50"/>
      <c r="AN166" s="51" t="s">
        <v>922</v>
      </c>
      <c r="AO166" s="55" t="s">
        <v>923</v>
      </c>
    </row>
    <row r="167" spans="1:41" ht="91.2" customHeight="1" x14ac:dyDescent="0.3">
      <c r="A167" s="20">
        <v>163</v>
      </c>
      <c r="B167" s="8" t="s">
        <v>924</v>
      </c>
      <c r="C167" s="26">
        <v>2025</v>
      </c>
      <c r="D167" s="8"/>
      <c r="E167" s="8" t="s">
        <v>925</v>
      </c>
      <c r="F167" s="20" t="s">
        <v>54</v>
      </c>
      <c r="G167" s="21" t="s">
        <v>53</v>
      </c>
      <c r="H167" s="21" t="s">
        <v>53</v>
      </c>
      <c r="I167" s="21" t="s">
        <v>53</v>
      </c>
      <c r="J167" s="21" t="s">
        <v>53</v>
      </c>
      <c r="K167" s="21" t="s">
        <v>53</v>
      </c>
      <c r="L167" s="22" t="str">
        <f t="shared" si="10"/>
        <v>INCLUDE</v>
      </c>
      <c r="M167" s="22" t="str">
        <f t="shared" si="11"/>
        <v/>
      </c>
      <c r="N167" s="23" t="s">
        <v>53</v>
      </c>
      <c r="O167" s="23" t="s">
        <v>53</v>
      </c>
      <c r="P167" s="24" t="s">
        <v>53</v>
      </c>
      <c r="Q167" s="24" t="s">
        <v>53</v>
      </c>
      <c r="R167" s="24" t="s">
        <v>53</v>
      </c>
      <c r="S167" s="22" t="str">
        <f t="shared" si="12"/>
        <v>INCLUDE</v>
      </c>
      <c r="T167" s="22" t="str">
        <f t="shared" si="13"/>
        <v/>
      </c>
      <c r="U167" s="25" t="s">
        <v>67</v>
      </c>
      <c r="V167" s="25">
        <v>0</v>
      </c>
      <c r="W167" s="25">
        <v>0</v>
      </c>
      <c r="X167" s="25">
        <v>1</v>
      </c>
      <c r="Y167" s="22" t="str">
        <f t="shared" si="14"/>
        <v>Single</v>
      </c>
      <c r="Z167" s="25" t="s">
        <v>9</v>
      </c>
      <c r="AA167" s="25" t="s">
        <v>57</v>
      </c>
      <c r="AB167" s="25" t="s">
        <v>103</v>
      </c>
      <c r="AC167" s="25" t="s">
        <v>70</v>
      </c>
      <c r="AD167" s="25" t="s">
        <v>89</v>
      </c>
      <c r="AE167" s="25">
        <v>4</v>
      </c>
      <c r="AF167" s="25" t="s">
        <v>61</v>
      </c>
      <c r="AG167" s="9" t="s">
        <v>926</v>
      </c>
      <c r="AH167" s="29" t="s">
        <v>927</v>
      </c>
      <c r="AI167" s="29" t="s">
        <v>928</v>
      </c>
      <c r="AJ167" t="s">
        <v>82</v>
      </c>
      <c r="AK167" t="s">
        <v>929</v>
      </c>
      <c r="AL167" t="s">
        <v>63</v>
      </c>
      <c r="AM167" s="50"/>
      <c r="AN167" s="51" t="s">
        <v>930</v>
      </c>
      <c r="AO167" s="55" t="s">
        <v>931</v>
      </c>
    </row>
    <row r="168" spans="1:41" ht="68.400000000000006" hidden="1" customHeight="1" x14ac:dyDescent="0.3">
      <c r="A168" s="20">
        <v>164</v>
      </c>
      <c r="B168" s="8" t="s">
        <v>932</v>
      </c>
      <c r="C168" s="26">
        <v>2025</v>
      </c>
      <c r="D168" s="8"/>
      <c r="E168" s="8" t="s">
        <v>933</v>
      </c>
      <c r="F168" s="20" t="s">
        <v>54</v>
      </c>
      <c r="G168" s="21" t="s">
        <v>64</v>
      </c>
      <c r="H168" s="21" t="s">
        <v>53</v>
      </c>
      <c r="I168" s="21" t="s">
        <v>53</v>
      </c>
      <c r="J168" s="21" t="s">
        <v>53</v>
      </c>
      <c r="K168" s="21" t="s">
        <v>53</v>
      </c>
      <c r="L168" s="22" t="str">
        <f t="shared" si="10"/>
        <v>EXCLUDE</v>
      </c>
      <c r="M168" s="22" t="str">
        <f t="shared" si="11"/>
        <v>Wrong domain (non-AECO)</v>
      </c>
      <c r="N168" s="23"/>
      <c r="O168" s="23"/>
      <c r="P168" s="24"/>
      <c r="Q168" s="24"/>
      <c r="R168" s="24"/>
      <c r="S168" s="22" t="str">
        <f t="shared" si="12"/>
        <v/>
      </c>
      <c r="T168" s="22" t="str">
        <f t="shared" si="13"/>
        <v/>
      </c>
      <c r="U168" s="25"/>
      <c r="V168" s="25"/>
      <c r="W168" s="25"/>
      <c r="X168" s="25"/>
      <c r="Y168" s="22" t="str">
        <f t="shared" si="14"/>
        <v/>
      </c>
      <c r="Z168" s="25"/>
      <c r="AA168" s="25"/>
      <c r="AB168" s="25"/>
      <c r="AC168" s="25"/>
      <c r="AD168" s="25"/>
      <c r="AE168" s="25"/>
      <c r="AF168" s="25"/>
      <c r="AG168" s="9"/>
      <c r="AH168" s="29"/>
      <c r="AI168" s="29"/>
      <c r="AM168" s="50"/>
      <c r="AN168" s="51" t="s">
        <v>934</v>
      </c>
      <c r="AO168" s="55" t="s">
        <v>935</v>
      </c>
    </row>
    <row r="169" spans="1:41" ht="91.2" hidden="1" customHeight="1" x14ac:dyDescent="0.3">
      <c r="A169" s="20">
        <v>165</v>
      </c>
      <c r="B169" s="8" t="s">
        <v>936</v>
      </c>
      <c r="C169" s="26">
        <v>2026</v>
      </c>
      <c r="D169" s="8"/>
      <c r="E169" s="8" t="s">
        <v>937</v>
      </c>
      <c r="F169" s="20" t="s">
        <v>54</v>
      </c>
      <c r="G169" s="21" t="s">
        <v>64</v>
      </c>
      <c r="H169" s="21" t="s">
        <v>64</v>
      </c>
      <c r="I169" s="21" t="s">
        <v>53</v>
      </c>
      <c r="J169" s="21" t="s">
        <v>53</v>
      </c>
      <c r="K169" s="21" t="s">
        <v>53</v>
      </c>
      <c r="L169" s="22" t="str">
        <f t="shared" si="10"/>
        <v>EXCLUDE</v>
      </c>
      <c r="M169" s="22" t="str">
        <f t="shared" si="11"/>
        <v>Wrong domain (non-AECO)</v>
      </c>
      <c r="N169" s="23"/>
      <c r="O169" s="23"/>
      <c r="P169" s="24"/>
      <c r="Q169" s="24"/>
      <c r="R169" s="24"/>
      <c r="S169" s="22" t="str">
        <f t="shared" si="12"/>
        <v/>
      </c>
      <c r="T169" s="22" t="str">
        <f t="shared" si="13"/>
        <v/>
      </c>
      <c r="U169" s="25"/>
      <c r="V169" s="25"/>
      <c r="W169" s="25"/>
      <c r="X169" s="25"/>
      <c r="Y169" s="22" t="str">
        <f t="shared" si="14"/>
        <v/>
      </c>
      <c r="Z169" s="25"/>
      <c r="AA169" s="25"/>
      <c r="AB169" s="25"/>
      <c r="AC169" s="25"/>
      <c r="AD169" s="25"/>
      <c r="AE169" s="25"/>
      <c r="AF169" s="25"/>
      <c r="AG169" s="9"/>
      <c r="AH169" s="29"/>
      <c r="AI169" s="29"/>
      <c r="AM169" s="50"/>
      <c r="AN169" s="51" t="s">
        <v>938</v>
      </c>
      <c r="AO169" s="55" t="s">
        <v>939</v>
      </c>
    </row>
    <row r="170" spans="1:41" ht="57" hidden="1" customHeight="1" x14ac:dyDescent="0.3">
      <c r="A170" s="20">
        <v>166</v>
      </c>
      <c r="B170" s="8" t="s">
        <v>940</v>
      </c>
      <c r="C170" s="26">
        <v>2025</v>
      </c>
      <c r="D170" s="8"/>
      <c r="E170" s="8" t="s">
        <v>941</v>
      </c>
      <c r="F170" s="20" t="s">
        <v>54</v>
      </c>
      <c r="G170" s="21" t="s">
        <v>53</v>
      </c>
      <c r="H170" s="21" t="s">
        <v>64</v>
      </c>
      <c r="I170" s="21" t="s">
        <v>53</v>
      </c>
      <c r="J170" s="21" t="s">
        <v>53</v>
      </c>
      <c r="K170" s="21" t="s">
        <v>53</v>
      </c>
      <c r="L170" s="22" t="str">
        <f t="shared" si="10"/>
        <v>EXCLUDE</v>
      </c>
      <c r="M170" s="22" t="str">
        <f t="shared" si="11"/>
        <v>Digital Twin not core / buzzword</v>
      </c>
      <c r="N170" s="23"/>
      <c r="O170" s="23"/>
      <c r="P170" s="24"/>
      <c r="Q170" s="24"/>
      <c r="R170" s="24"/>
      <c r="S170" s="22" t="str">
        <f t="shared" si="12"/>
        <v/>
      </c>
      <c r="T170" s="22" t="str">
        <f t="shared" si="13"/>
        <v/>
      </c>
      <c r="U170" s="25"/>
      <c r="V170" s="25"/>
      <c r="W170" s="25"/>
      <c r="X170" s="25"/>
      <c r="Y170" s="22" t="str">
        <f t="shared" si="14"/>
        <v/>
      </c>
      <c r="Z170" s="25"/>
      <c r="AA170" s="25"/>
      <c r="AB170" s="25"/>
      <c r="AC170" s="25"/>
      <c r="AD170" s="25"/>
      <c r="AE170" s="25"/>
      <c r="AF170" s="25"/>
      <c r="AG170" s="9"/>
      <c r="AH170" s="29"/>
      <c r="AI170" s="29"/>
      <c r="AM170" s="50"/>
      <c r="AN170" s="51" t="s">
        <v>942</v>
      </c>
      <c r="AO170" s="55" t="s">
        <v>943</v>
      </c>
    </row>
    <row r="171" spans="1:41" ht="86.4" hidden="1" customHeight="1" x14ac:dyDescent="0.3">
      <c r="A171" s="20">
        <v>167</v>
      </c>
      <c r="B171" s="8" t="s">
        <v>944</v>
      </c>
      <c r="C171" s="26">
        <v>2025</v>
      </c>
      <c r="D171" s="8"/>
      <c r="E171" s="8" t="s">
        <v>945</v>
      </c>
      <c r="F171" s="20" t="s">
        <v>54</v>
      </c>
      <c r="G171" s="21" t="s">
        <v>64</v>
      </c>
      <c r="H171" s="21" t="s">
        <v>53</v>
      </c>
      <c r="I171" s="21" t="s">
        <v>53</v>
      </c>
      <c r="J171" s="21" t="s">
        <v>53</v>
      </c>
      <c r="K171" s="21" t="s">
        <v>53</v>
      </c>
      <c r="L171" s="22" t="str">
        <f t="shared" si="10"/>
        <v>EXCLUDE</v>
      </c>
      <c r="M171" s="22" t="str">
        <f t="shared" si="11"/>
        <v>Wrong domain (non-AECO)</v>
      </c>
      <c r="N171" s="23"/>
      <c r="O171" s="23"/>
      <c r="P171" s="24"/>
      <c r="Q171" s="24"/>
      <c r="R171" s="24"/>
      <c r="S171" s="22" t="str">
        <f t="shared" si="12"/>
        <v/>
      </c>
      <c r="T171" s="22" t="str">
        <f t="shared" si="13"/>
        <v/>
      </c>
      <c r="U171" s="25"/>
      <c r="V171" s="25"/>
      <c r="W171" s="25"/>
      <c r="X171" s="25"/>
      <c r="Y171" s="22" t="str">
        <f t="shared" si="14"/>
        <v/>
      </c>
      <c r="Z171" s="25"/>
      <c r="AA171" s="25"/>
      <c r="AB171" s="25"/>
      <c r="AC171" s="25"/>
      <c r="AD171" s="25"/>
      <c r="AE171" s="25"/>
      <c r="AF171" s="25"/>
      <c r="AG171" s="9"/>
      <c r="AH171" s="29"/>
      <c r="AI171" s="29"/>
      <c r="AM171" s="50"/>
      <c r="AN171" s="51" t="s">
        <v>946</v>
      </c>
      <c r="AO171" s="55" t="s">
        <v>947</v>
      </c>
    </row>
    <row r="172" spans="1:41" ht="91.2" hidden="1" customHeight="1" x14ac:dyDescent="0.3">
      <c r="A172" s="20">
        <v>168</v>
      </c>
      <c r="B172" s="8" t="s">
        <v>948</v>
      </c>
      <c r="C172" s="26">
        <v>2026</v>
      </c>
      <c r="D172" s="8"/>
      <c r="E172" s="8" t="s">
        <v>949</v>
      </c>
      <c r="F172" s="20" t="s">
        <v>54</v>
      </c>
      <c r="G172" s="21" t="s">
        <v>53</v>
      </c>
      <c r="H172" s="21" t="s">
        <v>53</v>
      </c>
      <c r="I172" s="21" t="s">
        <v>64</v>
      </c>
      <c r="J172" s="21" t="s">
        <v>53</v>
      </c>
      <c r="K172" s="21" t="s">
        <v>53</v>
      </c>
      <c r="L172" s="22" t="str">
        <f t="shared" si="10"/>
        <v>EXCLUDE</v>
      </c>
      <c r="M172" s="22" t="str">
        <f t="shared" si="11"/>
        <v>No Design for Safety/Quality/PtD</v>
      </c>
      <c r="N172" s="23"/>
      <c r="O172" s="23"/>
      <c r="P172" s="24"/>
      <c r="Q172" s="24"/>
      <c r="R172" s="24"/>
      <c r="S172" s="22" t="str">
        <f t="shared" si="12"/>
        <v/>
      </c>
      <c r="T172" s="22" t="str">
        <f t="shared" si="13"/>
        <v/>
      </c>
      <c r="U172" s="25"/>
      <c r="V172" s="25"/>
      <c r="W172" s="25"/>
      <c r="X172" s="25"/>
      <c r="Y172" s="22" t="str">
        <f t="shared" si="14"/>
        <v/>
      </c>
      <c r="Z172" s="25"/>
      <c r="AA172" s="25"/>
      <c r="AB172" s="25"/>
      <c r="AC172" s="25"/>
      <c r="AD172" s="25"/>
      <c r="AE172" s="25"/>
      <c r="AF172" s="25"/>
      <c r="AG172" s="9"/>
      <c r="AH172" s="29"/>
      <c r="AI172" s="29"/>
      <c r="AM172" s="50"/>
      <c r="AN172" s="51" t="s">
        <v>950</v>
      </c>
      <c r="AO172" s="55" t="s">
        <v>951</v>
      </c>
    </row>
    <row r="173" spans="1:41" ht="68.400000000000006" hidden="1" customHeight="1" x14ac:dyDescent="0.3">
      <c r="A173" s="20">
        <v>169</v>
      </c>
      <c r="B173" s="8" t="s">
        <v>952</v>
      </c>
      <c r="C173" s="26">
        <v>2026</v>
      </c>
      <c r="D173" s="8"/>
      <c r="E173" s="8" t="s">
        <v>953</v>
      </c>
      <c r="F173" s="20" t="s">
        <v>54</v>
      </c>
      <c r="G173" s="21" t="s">
        <v>53</v>
      </c>
      <c r="H173" s="21" t="s">
        <v>53</v>
      </c>
      <c r="I173" s="21" t="s">
        <v>53</v>
      </c>
      <c r="J173" s="21" t="s">
        <v>53</v>
      </c>
      <c r="K173" s="21" t="s">
        <v>53</v>
      </c>
      <c r="L173" s="22" t="str">
        <f t="shared" si="10"/>
        <v>INCLUDE</v>
      </c>
      <c r="M173" s="22" t="str">
        <f t="shared" si="11"/>
        <v/>
      </c>
      <c r="N173" s="23" t="s">
        <v>53</v>
      </c>
      <c r="O173" s="23" t="s">
        <v>53</v>
      </c>
      <c r="P173" s="24" t="s">
        <v>64</v>
      </c>
      <c r="Q173" s="24" t="s">
        <v>64</v>
      </c>
      <c r="R173" s="24" t="s">
        <v>64</v>
      </c>
      <c r="S173" s="22" t="str">
        <f t="shared" si="12"/>
        <v>EXCLUDE</v>
      </c>
      <c r="T173" s="22" t="str">
        <f t="shared" si="13"/>
        <v>Digital Twin mentioned only, not the subject</v>
      </c>
      <c r="U173" s="25"/>
      <c r="V173" s="25"/>
      <c r="W173" s="25"/>
      <c r="X173" s="25"/>
      <c r="Y173" s="22" t="str">
        <f t="shared" si="14"/>
        <v/>
      </c>
      <c r="Z173" s="25"/>
      <c r="AA173" s="25"/>
      <c r="AB173" s="25"/>
      <c r="AC173" s="25"/>
      <c r="AD173" s="25"/>
      <c r="AE173" s="25"/>
      <c r="AF173" s="25"/>
      <c r="AG173" s="9" t="s">
        <v>954</v>
      </c>
      <c r="AH173" s="29"/>
      <c r="AI173" s="29"/>
      <c r="AM173" s="50"/>
      <c r="AN173" s="51" t="s">
        <v>955</v>
      </c>
      <c r="AO173" s="55" t="s">
        <v>956</v>
      </c>
    </row>
    <row r="174" spans="1:41" ht="57" hidden="1" customHeight="1" x14ac:dyDescent="0.3">
      <c r="A174" s="20">
        <v>170</v>
      </c>
      <c r="B174" s="8" t="s">
        <v>957</v>
      </c>
      <c r="C174" s="26">
        <v>2026</v>
      </c>
      <c r="D174" s="8"/>
      <c r="E174" s="8" t="s">
        <v>958</v>
      </c>
      <c r="F174" s="20" t="s">
        <v>54</v>
      </c>
      <c r="G174" s="21" t="s">
        <v>53</v>
      </c>
      <c r="H174" s="21" t="s">
        <v>64</v>
      </c>
      <c r="I174" s="21" t="s">
        <v>53</v>
      </c>
      <c r="J174" s="21" t="s">
        <v>53</v>
      </c>
      <c r="K174" s="21" t="s">
        <v>53</v>
      </c>
      <c r="L174" s="22" t="str">
        <f t="shared" si="10"/>
        <v>EXCLUDE</v>
      </c>
      <c r="M174" s="22" t="str">
        <f t="shared" si="11"/>
        <v>Digital Twin not core / buzzword</v>
      </c>
      <c r="N174" s="23"/>
      <c r="O174" s="23"/>
      <c r="P174" s="24"/>
      <c r="Q174" s="24"/>
      <c r="R174" s="24"/>
      <c r="S174" s="22" t="str">
        <f t="shared" si="12"/>
        <v/>
      </c>
      <c r="T174" s="22" t="str">
        <f t="shared" si="13"/>
        <v/>
      </c>
      <c r="U174" s="25"/>
      <c r="V174" s="25"/>
      <c r="W174" s="25"/>
      <c r="X174" s="25"/>
      <c r="Y174" s="22" t="str">
        <f t="shared" si="14"/>
        <v/>
      </c>
      <c r="Z174" s="25"/>
      <c r="AA174" s="25"/>
      <c r="AB174" s="25"/>
      <c r="AC174" s="25"/>
      <c r="AD174" s="25"/>
      <c r="AE174" s="25"/>
      <c r="AF174" s="25"/>
      <c r="AG174" s="9"/>
      <c r="AH174" s="29"/>
      <c r="AI174" s="29"/>
      <c r="AM174" s="50"/>
      <c r="AN174" s="51" t="s">
        <v>959</v>
      </c>
      <c r="AO174" s="55" t="s">
        <v>960</v>
      </c>
    </row>
    <row r="175" spans="1:41" ht="79.95" hidden="1" customHeight="1" x14ac:dyDescent="0.3">
      <c r="A175" s="20">
        <v>171</v>
      </c>
      <c r="B175" s="8" t="s">
        <v>961</v>
      </c>
      <c r="C175" s="26">
        <v>2026</v>
      </c>
      <c r="D175" s="8"/>
      <c r="E175" s="8" t="s">
        <v>962</v>
      </c>
      <c r="F175" s="20" t="s">
        <v>54</v>
      </c>
      <c r="G175" s="21" t="s">
        <v>53</v>
      </c>
      <c r="H175" s="21" t="s">
        <v>64</v>
      </c>
      <c r="I175" s="21" t="s">
        <v>53</v>
      </c>
      <c r="J175" s="21" t="s">
        <v>53</v>
      </c>
      <c r="K175" s="21" t="s">
        <v>53</v>
      </c>
      <c r="L175" s="22" t="str">
        <f t="shared" si="10"/>
        <v>EXCLUDE</v>
      </c>
      <c r="M175" s="22" t="str">
        <f t="shared" si="11"/>
        <v>Digital Twin not core / buzzword</v>
      </c>
      <c r="N175" s="23"/>
      <c r="O175" s="23"/>
      <c r="P175" s="24"/>
      <c r="Q175" s="24"/>
      <c r="R175" s="24"/>
      <c r="S175" s="22" t="str">
        <f t="shared" si="12"/>
        <v/>
      </c>
      <c r="T175" s="22" t="str">
        <f t="shared" si="13"/>
        <v/>
      </c>
      <c r="U175" s="25"/>
      <c r="V175" s="25"/>
      <c r="W175" s="25"/>
      <c r="X175" s="25"/>
      <c r="Y175" s="22" t="str">
        <f t="shared" si="14"/>
        <v/>
      </c>
      <c r="Z175" s="25"/>
      <c r="AA175" s="25"/>
      <c r="AB175" s="25"/>
      <c r="AC175" s="25"/>
      <c r="AD175" s="25"/>
      <c r="AE175" s="25"/>
      <c r="AF175" s="25"/>
      <c r="AG175" s="9"/>
      <c r="AH175" s="29"/>
      <c r="AI175" s="29"/>
      <c r="AM175" s="50"/>
      <c r="AN175" s="51" t="s">
        <v>963</v>
      </c>
      <c r="AO175" s="55" t="s">
        <v>964</v>
      </c>
    </row>
    <row r="176" spans="1:41" ht="68.400000000000006" customHeight="1" x14ac:dyDescent="0.3">
      <c r="A176" s="20">
        <v>172</v>
      </c>
      <c r="B176" s="8" t="s">
        <v>965</v>
      </c>
      <c r="C176" s="26">
        <v>2026</v>
      </c>
      <c r="D176" s="8"/>
      <c r="E176" s="8" t="s">
        <v>966</v>
      </c>
      <c r="F176" s="20" t="s">
        <v>54</v>
      </c>
      <c r="G176" s="21" t="s">
        <v>53</v>
      </c>
      <c r="H176" s="21" t="s">
        <v>53</v>
      </c>
      <c r="I176" s="21" t="s">
        <v>53</v>
      </c>
      <c r="J176" s="21" t="s">
        <v>53</v>
      </c>
      <c r="K176" s="21" t="s">
        <v>53</v>
      </c>
      <c r="L176" s="22" t="str">
        <f t="shared" si="10"/>
        <v>INCLUDE</v>
      </c>
      <c r="M176" s="22" t="str">
        <f t="shared" si="11"/>
        <v/>
      </c>
      <c r="N176" s="23" t="s">
        <v>53</v>
      </c>
      <c r="O176" s="23" t="s">
        <v>53</v>
      </c>
      <c r="P176" s="24" t="s">
        <v>53</v>
      </c>
      <c r="Q176" s="24" t="s">
        <v>53</v>
      </c>
      <c r="R176" s="24" t="s">
        <v>53</v>
      </c>
      <c r="S176" s="22" t="str">
        <f t="shared" si="12"/>
        <v>INCLUDE</v>
      </c>
      <c r="T176" s="22" t="str">
        <f t="shared" si="13"/>
        <v/>
      </c>
      <c r="U176" s="25" t="s">
        <v>56</v>
      </c>
      <c r="V176" s="25">
        <v>0</v>
      </c>
      <c r="W176" s="25">
        <v>0</v>
      </c>
      <c r="X176" s="25">
        <v>1</v>
      </c>
      <c r="Y176" s="22" t="str">
        <f t="shared" si="14"/>
        <v>Single</v>
      </c>
      <c r="Z176" s="25" t="s">
        <v>9</v>
      </c>
      <c r="AA176" s="25" t="s">
        <v>57</v>
      </c>
      <c r="AB176" s="25" t="s">
        <v>97</v>
      </c>
      <c r="AC176" s="25" t="s">
        <v>70</v>
      </c>
      <c r="AD176" s="25" t="s">
        <v>89</v>
      </c>
      <c r="AE176" s="25">
        <v>3</v>
      </c>
      <c r="AF176" s="25" t="s">
        <v>96</v>
      </c>
      <c r="AG176" s="9" t="s">
        <v>967</v>
      </c>
      <c r="AH176" s="29" t="s">
        <v>968</v>
      </c>
      <c r="AI176" s="29" t="s">
        <v>969</v>
      </c>
      <c r="AJ176" t="s">
        <v>82</v>
      </c>
      <c r="AK176" t="s">
        <v>970</v>
      </c>
      <c r="AL176" t="s">
        <v>83</v>
      </c>
      <c r="AM176" s="50" t="s">
        <v>213</v>
      </c>
      <c r="AN176" s="51" t="s">
        <v>971</v>
      </c>
      <c r="AO176" s="55" t="s">
        <v>972</v>
      </c>
    </row>
    <row r="177" spans="1:41" ht="91.2" hidden="1" customHeight="1" x14ac:dyDescent="0.3">
      <c r="A177" s="20">
        <v>173</v>
      </c>
      <c r="B177" s="8" t="s">
        <v>973</v>
      </c>
      <c r="C177" s="26">
        <v>2026</v>
      </c>
      <c r="D177" s="8"/>
      <c r="E177" s="8" t="s">
        <v>974</v>
      </c>
      <c r="F177" s="20" t="s">
        <v>54</v>
      </c>
      <c r="G177" s="21" t="s">
        <v>64</v>
      </c>
      <c r="H177" s="21" t="s">
        <v>53</v>
      </c>
      <c r="I177" s="21" t="s">
        <v>64</v>
      </c>
      <c r="J177" s="21" t="s">
        <v>53</v>
      </c>
      <c r="K177" s="21" t="s">
        <v>53</v>
      </c>
      <c r="L177" s="22" t="str">
        <f t="shared" si="10"/>
        <v>EXCLUDE</v>
      </c>
      <c r="M177" s="22" t="str">
        <f t="shared" si="11"/>
        <v>Wrong domain (non-AECO)</v>
      </c>
      <c r="N177" s="23"/>
      <c r="O177" s="23"/>
      <c r="P177" s="24"/>
      <c r="Q177" s="24"/>
      <c r="R177" s="24"/>
      <c r="S177" s="22" t="str">
        <f t="shared" si="12"/>
        <v/>
      </c>
      <c r="T177" s="22" t="str">
        <f t="shared" si="13"/>
        <v/>
      </c>
      <c r="U177" s="25"/>
      <c r="V177" s="25"/>
      <c r="W177" s="25"/>
      <c r="X177" s="25"/>
      <c r="Y177" s="22" t="str">
        <f t="shared" si="14"/>
        <v/>
      </c>
      <c r="Z177" s="25"/>
      <c r="AA177" s="25"/>
      <c r="AB177" s="25"/>
      <c r="AC177" s="25"/>
      <c r="AD177" s="25"/>
      <c r="AE177" s="25"/>
      <c r="AF177" s="25"/>
      <c r="AG177" s="9"/>
      <c r="AH177" s="29"/>
      <c r="AI177" s="29"/>
      <c r="AM177" s="50"/>
      <c r="AN177" s="51" t="s">
        <v>975</v>
      </c>
      <c r="AO177" s="55" t="s">
        <v>976</v>
      </c>
    </row>
    <row r="178" spans="1:41" ht="34.200000000000003" hidden="1" customHeight="1" x14ac:dyDescent="0.3">
      <c r="A178" s="20">
        <v>174</v>
      </c>
      <c r="B178" s="8" t="s">
        <v>977</v>
      </c>
      <c r="C178" s="26">
        <v>2026</v>
      </c>
      <c r="D178" s="8"/>
      <c r="E178" s="8" t="s">
        <v>978</v>
      </c>
      <c r="F178" s="20" t="s">
        <v>54</v>
      </c>
      <c r="G178" s="21" t="s">
        <v>64</v>
      </c>
      <c r="H178" s="21" t="s">
        <v>64</v>
      </c>
      <c r="I178" s="21" t="s">
        <v>53</v>
      </c>
      <c r="J178" s="21" t="s">
        <v>53</v>
      </c>
      <c r="K178" s="21" t="s">
        <v>53</v>
      </c>
      <c r="L178" s="22" t="str">
        <f t="shared" si="10"/>
        <v>EXCLUDE</v>
      </c>
      <c r="M178" s="22" t="str">
        <f t="shared" si="11"/>
        <v>Wrong domain (non-AECO)</v>
      </c>
      <c r="N178" s="23"/>
      <c r="O178" s="23"/>
      <c r="P178" s="24"/>
      <c r="Q178" s="24"/>
      <c r="R178" s="24"/>
      <c r="S178" s="22" t="str">
        <f t="shared" si="12"/>
        <v/>
      </c>
      <c r="T178" s="22" t="str">
        <f t="shared" si="13"/>
        <v/>
      </c>
      <c r="U178" s="25"/>
      <c r="V178" s="25"/>
      <c r="W178" s="25"/>
      <c r="X178" s="25"/>
      <c r="Y178" s="22" t="str">
        <f t="shared" si="14"/>
        <v/>
      </c>
      <c r="Z178" s="25"/>
      <c r="AA178" s="25"/>
      <c r="AB178" s="25"/>
      <c r="AC178" s="25"/>
      <c r="AD178" s="25"/>
      <c r="AE178" s="25"/>
      <c r="AF178" s="25"/>
      <c r="AG178" s="9"/>
      <c r="AH178" s="29"/>
      <c r="AI178" s="29"/>
      <c r="AM178" s="50"/>
      <c r="AN178" s="51" t="s">
        <v>979</v>
      </c>
      <c r="AO178" s="55" t="s">
        <v>980</v>
      </c>
    </row>
    <row r="179" spans="1:41" ht="79.95" hidden="1" customHeight="1" x14ac:dyDescent="0.3">
      <c r="A179" s="20">
        <v>175</v>
      </c>
      <c r="B179" s="8" t="s">
        <v>981</v>
      </c>
      <c r="C179" s="26">
        <v>2025</v>
      </c>
      <c r="D179" s="8"/>
      <c r="E179" s="8" t="s">
        <v>982</v>
      </c>
      <c r="F179" s="20" t="s">
        <v>54</v>
      </c>
      <c r="G179" s="21" t="s">
        <v>53</v>
      </c>
      <c r="H179" s="21" t="s">
        <v>64</v>
      </c>
      <c r="I179" s="21" t="s">
        <v>53</v>
      </c>
      <c r="J179" s="21" t="s">
        <v>53</v>
      </c>
      <c r="K179" s="21" t="s">
        <v>53</v>
      </c>
      <c r="L179" s="22" t="str">
        <f t="shared" si="10"/>
        <v>EXCLUDE</v>
      </c>
      <c r="M179" s="22" t="str">
        <f t="shared" si="11"/>
        <v>Digital Twin not core / buzzword</v>
      </c>
      <c r="N179" s="23"/>
      <c r="O179" s="23"/>
      <c r="P179" s="24"/>
      <c r="Q179" s="24"/>
      <c r="R179" s="24"/>
      <c r="S179" s="22" t="str">
        <f t="shared" si="12"/>
        <v/>
      </c>
      <c r="T179" s="22" t="str">
        <f t="shared" si="13"/>
        <v/>
      </c>
      <c r="U179" s="25"/>
      <c r="V179" s="25"/>
      <c r="W179" s="25"/>
      <c r="X179" s="25"/>
      <c r="Y179" s="22" t="str">
        <f t="shared" si="14"/>
        <v/>
      </c>
      <c r="Z179" s="25"/>
      <c r="AA179" s="25"/>
      <c r="AB179" s="25"/>
      <c r="AC179" s="25"/>
      <c r="AD179" s="25"/>
      <c r="AE179" s="25"/>
      <c r="AF179" s="25"/>
      <c r="AG179" s="9"/>
      <c r="AH179" s="29"/>
      <c r="AI179" s="29"/>
      <c r="AM179" s="50"/>
      <c r="AN179" s="51" t="s">
        <v>983</v>
      </c>
      <c r="AO179" s="55" t="s">
        <v>984</v>
      </c>
    </row>
    <row r="180" spans="1:41" ht="102.6" hidden="1" customHeight="1" x14ac:dyDescent="0.3">
      <c r="A180" s="20">
        <v>176</v>
      </c>
      <c r="B180" s="8" t="s">
        <v>985</v>
      </c>
      <c r="C180" s="26">
        <v>2025</v>
      </c>
      <c r="D180" s="8"/>
      <c r="E180" s="8" t="s">
        <v>986</v>
      </c>
      <c r="F180" s="20" t="s">
        <v>54</v>
      </c>
      <c r="G180" s="21" t="s">
        <v>64</v>
      </c>
      <c r="H180" s="21" t="s">
        <v>53</v>
      </c>
      <c r="I180" s="21" t="s">
        <v>53</v>
      </c>
      <c r="J180" s="21" t="s">
        <v>53</v>
      </c>
      <c r="K180" s="21" t="s">
        <v>53</v>
      </c>
      <c r="L180" s="22" t="str">
        <f t="shared" si="10"/>
        <v>EXCLUDE</v>
      </c>
      <c r="M180" s="22" t="str">
        <f t="shared" si="11"/>
        <v>Wrong domain (non-AECO)</v>
      </c>
      <c r="N180" s="23"/>
      <c r="O180" s="23"/>
      <c r="P180" s="24"/>
      <c r="Q180" s="24"/>
      <c r="R180" s="24"/>
      <c r="S180" s="22" t="str">
        <f t="shared" si="12"/>
        <v/>
      </c>
      <c r="T180" s="22" t="str">
        <f t="shared" si="13"/>
        <v/>
      </c>
      <c r="U180" s="25"/>
      <c r="V180" s="25"/>
      <c r="W180" s="25"/>
      <c r="X180" s="25"/>
      <c r="Y180" s="22" t="str">
        <f t="shared" si="14"/>
        <v/>
      </c>
      <c r="Z180" s="25"/>
      <c r="AA180" s="25"/>
      <c r="AB180" s="25"/>
      <c r="AC180" s="25"/>
      <c r="AD180" s="25"/>
      <c r="AE180" s="25"/>
      <c r="AF180" s="25"/>
      <c r="AG180" s="9"/>
      <c r="AH180" s="29"/>
      <c r="AI180" s="29"/>
      <c r="AM180" s="50"/>
      <c r="AN180" s="51" t="s">
        <v>987</v>
      </c>
      <c r="AO180" s="55" t="s">
        <v>988</v>
      </c>
    </row>
    <row r="181" spans="1:41" ht="45.6" hidden="1" customHeight="1" x14ac:dyDescent="0.3">
      <c r="A181" s="20">
        <v>177</v>
      </c>
      <c r="B181" s="8" t="s">
        <v>989</v>
      </c>
      <c r="C181" s="26">
        <v>2026</v>
      </c>
      <c r="D181" s="8"/>
      <c r="E181" s="8" t="s">
        <v>990</v>
      </c>
      <c r="F181" s="20" t="s">
        <v>54</v>
      </c>
      <c r="G181" s="21" t="s">
        <v>64</v>
      </c>
      <c r="H181" s="21" t="s">
        <v>53</v>
      </c>
      <c r="I181" s="21" t="s">
        <v>64</v>
      </c>
      <c r="J181" s="21" t="s">
        <v>53</v>
      </c>
      <c r="K181" s="21" t="s">
        <v>53</v>
      </c>
      <c r="L181" s="22" t="str">
        <f t="shared" si="10"/>
        <v>EXCLUDE</v>
      </c>
      <c r="M181" s="22" t="str">
        <f t="shared" si="11"/>
        <v>Wrong domain (non-AECO)</v>
      </c>
      <c r="N181" s="23"/>
      <c r="O181" s="23"/>
      <c r="P181" s="24"/>
      <c r="Q181" s="24"/>
      <c r="R181" s="24"/>
      <c r="S181" s="22" t="str">
        <f t="shared" si="12"/>
        <v/>
      </c>
      <c r="T181" s="22" t="str">
        <f t="shared" si="13"/>
        <v/>
      </c>
      <c r="U181" s="25"/>
      <c r="V181" s="25"/>
      <c r="W181" s="25"/>
      <c r="X181" s="25"/>
      <c r="Y181" s="22" t="str">
        <f t="shared" si="14"/>
        <v/>
      </c>
      <c r="Z181" s="25"/>
      <c r="AA181" s="25"/>
      <c r="AB181" s="25"/>
      <c r="AC181" s="25"/>
      <c r="AD181" s="25"/>
      <c r="AE181" s="25"/>
      <c r="AF181" s="25"/>
      <c r="AG181" s="9"/>
      <c r="AH181" s="29"/>
      <c r="AI181" s="29"/>
      <c r="AM181" s="50"/>
      <c r="AN181" s="51" t="s">
        <v>991</v>
      </c>
      <c r="AO181" s="55" t="s">
        <v>992</v>
      </c>
    </row>
    <row r="182" spans="1:41" ht="114" hidden="1" customHeight="1" x14ac:dyDescent="0.3">
      <c r="A182" s="20">
        <v>178</v>
      </c>
      <c r="B182" s="8" t="s">
        <v>993</v>
      </c>
      <c r="C182" s="26">
        <v>2026</v>
      </c>
      <c r="D182" s="8"/>
      <c r="E182" s="8" t="s">
        <v>994</v>
      </c>
      <c r="F182" s="20" t="s">
        <v>54</v>
      </c>
      <c r="G182" s="21" t="s">
        <v>53</v>
      </c>
      <c r="H182" s="21" t="s">
        <v>64</v>
      </c>
      <c r="I182" s="21" t="s">
        <v>53</v>
      </c>
      <c r="J182" s="21" t="s">
        <v>53</v>
      </c>
      <c r="K182" s="21" t="s">
        <v>53</v>
      </c>
      <c r="L182" s="22" t="str">
        <f t="shared" si="10"/>
        <v>EXCLUDE</v>
      </c>
      <c r="M182" s="22" t="str">
        <f t="shared" si="11"/>
        <v>Digital Twin not core / buzzword</v>
      </c>
      <c r="N182" s="23"/>
      <c r="O182" s="23"/>
      <c r="P182" s="24"/>
      <c r="Q182" s="24"/>
      <c r="R182" s="24"/>
      <c r="S182" s="22" t="str">
        <f t="shared" si="12"/>
        <v/>
      </c>
      <c r="T182" s="22" t="str">
        <f t="shared" si="13"/>
        <v/>
      </c>
      <c r="U182" s="25"/>
      <c r="V182" s="25"/>
      <c r="W182" s="25"/>
      <c r="X182" s="25"/>
      <c r="Y182" s="22" t="str">
        <f t="shared" si="14"/>
        <v/>
      </c>
      <c r="Z182" s="25"/>
      <c r="AA182" s="25"/>
      <c r="AB182" s="25"/>
      <c r="AC182" s="25"/>
      <c r="AD182" s="25"/>
      <c r="AE182" s="25"/>
      <c r="AF182" s="25"/>
      <c r="AG182" s="9"/>
      <c r="AH182" s="29"/>
      <c r="AI182" s="29"/>
      <c r="AM182" s="50"/>
      <c r="AN182" s="51" t="s">
        <v>995</v>
      </c>
      <c r="AO182" s="55" t="s">
        <v>996</v>
      </c>
    </row>
    <row r="183" spans="1:41" ht="57" hidden="1" customHeight="1" x14ac:dyDescent="0.3">
      <c r="A183" s="20">
        <v>179</v>
      </c>
      <c r="B183" s="8" t="s">
        <v>997</v>
      </c>
      <c r="C183" s="26">
        <v>2026</v>
      </c>
      <c r="D183" s="8"/>
      <c r="E183" s="8" t="s">
        <v>998</v>
      </c>
      <c r="F183" s="20" t="s">
        <v>54</v>
      </c>
      <c r="G183" s="21" t="s">
        <v>64</v>
      </c>
      <c r="H183" s="21" t="s">
        <v>53</v>
      </c>
      <c r="I183" s="21" t="s">
        <v>53</v>
      </c>
      <c r="J183" s="21" t="s">
        <v>53</v>
      </c>
      <c r="K183" s="21" t="s">
        <v>53</v>
      </c>
      <c r="L183" s="22" t="str">
        <f t="shared" si="10"/>
        <v>EXCLUDE</v>
      </c>
      <c r="M183" s="22" t="str">
        <f t="shared" si="11"/>
        <v>Wrong domain (non-AECO)</v>
      </c>
      <c r="N183" s="23"/>
      <c r="O183" s="23"/>
      <c r="P183" s="24"/>
      <c r="Q183" s="24"/>
      <c r="R183" s="24"/>
      <c r="S183" s="22" t="str">
        <f t="shared" si="12"/>
        <v/>
      </c>
      <c r="T183" s="22" t="str">
        <f t="shared" si="13"/>
        <v/>
      </c>
      <c r="U183" s="25"/>
      <c r="V183" s="25"/>
      <c r="W183" s="25"/>
      <c r="X183" s="25"/>
      <c r="Y183" s="22" t="str">
        <f t="shared" si="14"/>
        <v/>
      </c>
      <c r="Z183" s="25"/>
      <c r="AA183" s="25"/>
      <c r="AB183" s="25"/>
      <c r="AC183" s="25"/>
      <c r="AD183" s="25"/>
      <c r="AE183" s="25"/>
      <c r="AF183" s="25"/>
      <c r="AG183" s="9"/>
      <c r="AH183" s="29"/>
      <c r="AI183" s="29"/>
      <c r="AM183" s="50"/>
      <c r="AN183" s="51" t="s">
        <v>999</v>
      </c>
      <c r="AO183" s="55" t="s">
        <v>1000</v>
      </c>
    </row>
    <row r="184" spans="1:41" ht="45.6" customHeight="1" x14ac:dyDescent="0.3">
      <c r="A184" s="20">
        <v>180</v>
      </c>
      <c r="B184" s="8" t="s">
        <v>1001</v>
      </c>
      <c r="C184" s="26">
        <v>2026</v>
      </c>
      <c r="D184" s="8"/>
      <c r="E184" s="8" t="s">
        <v>1002</v>
      </c>
      <c r="F184" s="20" t="s">
        <v>54</v>
      </c>
      <c r="G184" s="21" t="s">
        <v>53</v>
      </c>
      <c r="H184" s="21" t="s">
        <v>53</v>
      </c>
      <c r="I184" s="21" t="s">
        <v>53</v>
      </c>
      <c r="J184" s="21" t="s">
        <v>53</v>
      </c>
      <c r="K184" s="21" t="s">
        <v>53</v>
      </c>
      <c r="L184" s="22" t="str">
        <f t="shared" si="10"/>
        <v>INCLUDE</v>
      </c>
      <c r="M184" s="22" t="str">
        <f t="shared" si="11"/>
        <v/>
      </c>
      <c r="N184" s="23" t="s">
        <v>53</v>
      </c>
      <c r="O184" s="23" t="s">
        <v>53</v>
      </c>
      <c r="P184" s="24" t="s">
        <v>53</v>
      </c>
      <c r="Q184" s="24" t="s">
        <v>53</v>
      </c>
      <c r="R184" s="24" t="s">
        <v>53</v>
      </c>
      <c r="S184" s="22" t="str">
        <f t="shared" si="12"/>
        <v>INCLUDE</v>
      </c>
      <c r="T184" s="22" t="str">
        <f t="shared" si="13"/>
        <v/>
      </c>
      <c r="U184" s="25" t="s">
        <v>67</v>
      </c>
      <c r="V184" s="25">
        <v>0</v>
      </c>
      <c r="W184" s="25">
        <v>0</v>
      </c>
      <c r="X184" s="25">
        <v>1</v>
      </c>
      <c r="Y184" s="22" t="str">
        <f t="shared" si="14"/>
        <v>Single</v>
      </c>
      <c r="Z184" s="25" t="s">
        <v>9</v>
      </c>
      <c r="AA184" s="25" t="s">
        <v>57</v>
      </c>
      <c r="AB184" s="25" t="s">
        <v>104</v>
      </c>
      <c r="AC184" s="25" t="s">
        <v>70</v>
      </c>
      <c r="AD184" s="25" t="s">
        <v>89</v>
      </c>
      <c r="AE184" s="25">
        <v>4</v>
      </c>
      <c r="AF184" s="25" t="s">
        <v>96</v>
      </c>
      <c r="AG184" s="9" t="s">
        <v>1003</v>
      </c>
      <c r="AH184" s="29" t="s">
        <v>1004</v>
      </c>
      <c r="AI184" s="29" t="s">
        <v>1005</v>
      </c>
      <c r="AJ184" t="s">
        <v>91</v>
      </c>
      <c r="AK184" t="s">
        <v>1006</v>
      </c>
      <c r="AL184" t="s">
        <v>63</v>
      </c>
      <c r="AM184" s="50"/>
      <c r="AN184" s="51" t="s">
        <v>1007</v>
      </c>
      <c r="AO184" s="55" t="s">
        <v>1008</v>
      </c>
    </row>
    <row r="185" spans="1:41" ht="102.6" hidden="1" customHeight="1" x14ac:dyDescent="0.3">
      <c r="A185" s="20">
        <v>181</v>
      </c>
      <c r="B185" s="8" t="s">
        <v>1009</v>
      </c>
      <c r="C185" s="26">
        <v>2026</v>
      </c>
      <c r="D185" s="8"/>
      <c r="E185" s="8" t="s">
        <v>1010</v>
      </c>
      <c r="F185" s="20" t="s">
        <v>54</v>
      </c>
      <c r="G185" s="21" t="s">
        <v>53</v>
      </c>
      <c r="H185" s="21" t="s">
        <v>64</v>
      </c>
      <c r="I185" s="21" t="s">
        <v>53</v>
      </c>
      <c r="J185" s="21" t="s">
        <v>53</v>
      </c>
      <c r="K185" s="21" t="s">
        <v>53</v>
      </c>
      <c r="L185" s="22" t="str">
        <f t="shared" si="10"/>
        <v>EXCLUDE</v>
      </c>
      <c r="M185" s="22" t="str">
        <f t="shared" si="11"/>
        <v>Digital Twin not core / buzzword</v>
      </c>
      <c r="N185" s="23"/>
      <c r="O185" s="23"/>
      <c r="P185" s="24"/>
      <c r="Q185" s="24"/>
      <c r="R185" s="24"/>
      <c r="S185" s="22" t="str">
        <f t="shared" si="12"/>
        <v/>
      </c>
      <c r="T185" s="22" t="str">
        <f t="shared" si="13"/>
        <v/>
      </c>
      <c r="U185" s="25"/>
      <c r="V185" s="25"/>
      <c r="W185" s="25"/>
      <c r="X185" s="25"/>
      <c r="Y185" s="22" t="str">
        <f t="shared" si="14"/>
        <v/>
      </c>
      <c r="Z185" s="25"/>
      <c r="AA185" s="25"/>
      <c r="AB185" s="25"/>
      <c r="AC185" s="25"/>
      <c r="AD185" s="25"/>
      <c r="AE185" s="25"/>
      <c r="AF185" s="25"/>
      <c r="AG185" s="9"/>
      <c r="AH185" s="29"/>
      <c r="AI185" s="29"/>
      <c r="AM185" s="50"/>
      <c r="AN185" s="51" t="s">
        <v>1011</v>
      </c>
      <c r="AO185" s="55" t="s">
        <v>1012</v>
      </c>
    </row>
    <row r="186" spans="1:41" ht="57" hidden="1" customHeight="1" x14ac:dyDescent="0.3">
      <c r="A186" s="20">
        <v>182</v>
      </c>
      <c r="B186" s="8" t="s">
        <v>1013</v>
      </c>
      <c r="C186" s="26">
        <v>2026</v>
      </c>
      <c r="D186" s="8"/>
      <c r="E186" s="8" t="s">
        <v>1014</v>
      </c>
      <c r="F186" s="20" t="s">
        <v>54</v>
      </c>
      <c r="G186" s="21" t="s">
        <v>53</v>
      </c>
      <c r="H186" s="21" t="s">
        <v>64</v>
      </c>
      <c r="I186" s="21" t="s">
        <v>53</v>
      </c>
      <c r="J186" s="21" t="s">
        <v>53</v>
      </c>
      <c r="K186" s="21" t="s">
        <v>53</v>
      </c>
      <c r="L186" s="22" t="str">
        <f t="shared" si="10"/>
        <v>EXCLUDE</v>
      </c>
      <c r="M186" s="22" t="str">
        <f t="shared" si="11"/>
        <v>Digital Twin not core / buzzword</v>
      </c>
      <c r="N186" s="23"/>
      <c r="O186" s="23"/>
      <c r="P186" s="24"/>
      <c r="Q186" s="24"/>
      <c r="R186" s="24"/>
      <c r="S186" s="22" t="str">
        <f t="shared" si="12"/>
        <v/>
      </c>
      <c r="T186" s="22" t="str">
        <f t="shared" si="13"/>
        <v/>
      </c>
      <c r="U186" s="25"/>
      <c r="V186" s="25"/>
      <c r="W186" s="25"/>
      <c r="X186" s="25"/>
      <c r="Y186" s="22" t="str">
        <f t="shared" si="14"/>
        <v/>
      </c>
      <c r="Z186" s="25"/>
      <c r="AA186" s="25"/>
      <c r="AB186" s="25"/>
      <c r="AC186" s="25"/>
      <c r="AD186" s="25"/>
      <c r="AE186" s="25"/>
      <c r="AF186" s="25"/>
      <c r="AG186" s="9"/>
      <c r="AH186" s="29"/>
      <c r="AI186" s="29"/>
      <c r="AM186" s="50"/>
      <c r="AN186" s="51" t="s">
        <v>1015</v>
      </c>
      <c r="AO186" s="55" t="s">
        <v>1016</v>
      </c>
    </row>
    <row r="187" spans="1:41" ht="86.4" hidden="1" customHeight="1" x14ac:dyDescent="0.3">
      <c r="A187" s="20">
        <v>183</v>
      </c>
      <c r="B187" s="8" t="s">
        <v>1017</v>
      </c>
      <c r="C187" s="26">
        <v>2026</v>
      </c>
      <c r="D187" s="8"/>
      <c r="E187" s="8" t="s">
        <v>1018</v>
      </c>
      <c r="F187" s="20" t="s">
        <v>54</v>
      </c>
      <c r="G187" s="21" t="s">
        <v>53</v>
      </c>
      <c r="H187" s="21" t="s">
        <v>53</v>
      </c>
      <c r="I187" s="21" t="s">
        <v>64</v>
      </c>
      <c r="J187" s="21" t="s">
        <v>53</v>
      </c>
      <c r="K187" s="21" t="s">
        <v>53</v>
      </c>
      <c r="L187" s="22" t="str">
        <f t="shared" si="10"/>
        <v>EXCLUDE</v>
      </c>
      <c r="M187" s="22" t="str">
        <f t="shared" si="11"/>
        <v>No Design for Safety/Quality/PtD</v>
      </c>
      <c r="N187" s="23"/>
      <c r="O187" s="23"/>
      <c r="P187" s="24"/>
      <c r="Q187" s="24"/>
      <c r="R187" s="24"/>
      <c r="S187" s="22" t="str">
        <f t="shared" si="12"/>
        <v/>
      </c>
      <c r="T187" s="22" t="str">
        <f t="shared" si="13"/>
        <v/>
      </c>
      <c r="U187" s="25"/>
      <c r="V187" s="25"/>
      <c r="W187" s="25"/>
      <c r="X187" s="25"/>
      <c r="Y187" s="22" t="str">
        <f t="shared" si="14"/>
        <v/>
      </c>
      <c r="Z187" s="25"/>
      <c r="AA187" s="25"/>
      <c r="AB187" s="25"/>
      <c r="AC187" s="25"/>
      <c r="AD187" s="25"/>
      <c r="AE187" s="25"/>
      <c r="AF187" s="25"/>
      <c r="AG187" s="9"/>
      <c r="AH187" s="29"/>
      <c r="AI187" s="29"/>
      <c r="AM187" s="50"/>
      <c r="AN187" s="51" t="s">
        <v>1019</v>
      </c>
      <c r="AO187" s="55" t="s">
        <v>1020</v>
      </c>
    </row>
    <row r="188" spans="1:41" ht="57" customHeight="1" x14ac:dyDescent="0.3">
      <c r="A188" s="20">
        <v>184</v>
      </c>
      <c r="B188" s="8" t="s">
        <v>1021</v>
      </c>
      <c r="C188" s="26">
        <v>2025</v>
      </c>
      <c r="D188" s="8"/>
      <c r="E188" s="8" t="s">
        <v>1022</v>
      </c>
      <c r="F188" s="20" t="s">
        <v>54</v>
      </c>
      <c r="G188" s="21" t="s">
        <v>53</v>
      </c>
      <c r="H188" s="21" t="s">
        <v>53</v>
      </c>
      <c r="I188" s="21" t="s">
        <v>53</v>
      </c>
      <c r="J188" s="21" t="s">
        <v>53</v>
      </c>
      <c r="K188" s="21" t="s">
        <v>53</v>
      </c>
      <c r="L188" s="22" t="str">
        <f t="shared" si="10"/>
        <v>INCLUDE</v>
      </c>
      <c r="M188" s="22" t="str">
        <f t="shared" si="11"/>
        <v/>
      </c>
      <c r="N188" s="23" t="s">
        <v>53</v>
      </c>
      <c r="O188" s="23" t="s">
        <v>53</v>
      </c>
      <c r="P188" s="24" t="s">
        <v>53</v>
      </c>
      <c r="Q188" s="24" t="s">
        <v>53</v>
      </c>
      <c r="R188" s="24" t="s">
        <v>53</v>
      </c>
      <c r="S188" s="22" t="str">
        <f t="shared" si="12"/>
        <v>INCLUDE</v>
      </c>
      <c r="T188" s="22" t="str">
        <f t="shared" si="13"/>
        <v/>
      </c>
      <c r="U188" s="25" t="s">
        <v>67</v>
      </c>
      <c r="V188" s="25">
        <v>0</v>
      </c>
      <c r="W188" s="25">
        <v>0</v>
      </c>
      <c r="X188" s="25">
        <v>1</v>
      </c>
      <c r="Y188" s="22" t="str">
        <f t="shared" si="14"/>
        <v>Single</v>
      </c>
      <c r="Z188" s="25" t="s">
        <v>9</v>
      </c>
      <c r="AA188" s="25" t="s">
        <v>57</v>
      </c>
      <c r="AB188" s="25" t="s">
        <v>100</v>
      </c>
      <c r="AC188" s="25" t="s">
        <v>70</v>
      </c>
      <c r="AD188" s="25" t="s">
        <v>89</v>
      </c>
      <c r="AE188" s="25">
        <v>4</v>
      </c>
      <c r="AF188" s="25" t="s">
        <v>90</v>
      </c>
      <c r="AG188" s="9" t="s">
        <v>1023</v>
      </c>
      <c r="AH188" s="29" t="s">
        <v>1024</v>
      </c>
      <c r="AI188" s="29" t="s">
        <v>1025</v>
      </c>
      <c r="AJ188" t="s">
        <v>82</v>
      </c>
      <c r="AK188" t="s">
        <v>1026</v>
      </c>
      <c r="AL188" t="s">
        <v>63</v>
      </c>
      <c r="AM188" s="50"/>
      <c r="AN188" s="51" t="s">
        <v>1027</v>
      </c>
      <c r="AO188" s="55" t="s">
        <v>1028</v>
      </c>
    </row>
    <row r="189" spans="1:41" ht="114" customHeight="1" x14ac:dyDescent="0.3">
      <c r="A189" s="20">
        <v>185</v>
      </c>
      <c r="B189" s="8" t="s">
        <v>1029</v>
      </c>
      <c r="C189" s="26">
        <v>2025</v>
      </c>
      <c r="D189" s="8"/>
      <c r="E189" s="8" t="s">
        <v>1030</v>
      </c>
      <c r="F189" s="20" t="s">
        <v>54</v>
      </c>
      <c r="G189" s="21" t="s">
        <v>53</v>
      </c>
      <c r="H189" s="21" t="s">
        <v>53</v>
      </c>
      <c r="I189" s="21" t="s">
        <v>53</v>
      </c>
      <c r="J189" s="21" t="s">
        <v>53</v>
      </c>
      <c r="K189" s="21" t="s">
        <v>53</v>
      </c>
      <c r="L189" s="22" t="str">
        <f t="shared" si="10"/>
        <v>INCLUDE</v>
      </c>
      <c r="M189" s="22" t="str">
        <f t="shared" si="11"/>
        <v/>
      </c>
      <c r="N189" s="23" t="s">
        <v>53</v>
      </c>
      <c r="O189" s="23" t="s">
        <v>53</v>
      </c>
      <c r="P189" s="24" t="s">
        <v>53</v>
      </c>
      <c r="Q189" s="24" t="s">
        <v>53</v>
      </c>
      <c r="R189" s="24" t="s">
        <v>53</v>
      </c>
      <c r="S189" s="22" t="str">
        <f t="shared" si="12"/>
        <v>INCLUDE</v>
      </c>
      <c r="T189" s="22" t="str">
        <f t="shared" si="13"/>
        <v/>
      </c>
      <c r="U189" s="25" t="s">
        <v>56</v>
      </c>
      <c r="V189" s="25">
        <v>0</v>
      </c>
      <c r="W189" s="25">
        <v>0</v>
      </c>
      <c r="X189" s="25">
        <v>1</v>
      </c>
      <c r="Y189" s="22" t="str">
        <f t="shared" si="14"/>
        <v>Single</v>
      </c>
      <c r="Z189" s="25" t="s">
        <v>9</v>
      </c>
      <c r="AA189" s="25" t="s">
        <v>57</v>
      </c>
      <c r="AB189" s="25" t="s">
        <v>103</v>
      </c>
      <c r="AC189" s="25" t="s">
        <v>70</v>
      </c>
      <c r="AD189" s="25" t="s">
        <v>60</v>
      </c>
      <c r="AE189" s="25">
        <v>3</v>
      </c>
      <c r="AF189" s="25" t="s">
        <v>98</v>
      </c>
      <c r="AG189" s="9" t="s">
        <v>1031</v>
      </c>
      <c r="AH189" s="29" t="s">
        <v>1032</v>
      </c>
      <c r="AI189" s="29" t="s">
        <v>1033</v>
      </c>
      <c r="AJ189" t="s">
        <v>82</v>
      </c>
      <c r="AK189" t="s">
        <v>1034</v>
      </c>
      <c r="AL189" t="s">
        <v>74</v>
      </c>
      <c r="AM189" s="50"/>
      <c r="AN189" s="51" t="s">
        <v>1035</v>
      </c>
      <c r="AO189" s="55" t="s">
        <v>1036</v>
      </c>
    </row>
    <row r="190" spans="1:41" ht="68.400000000000006" hidden="1" customHeight="1" x14ac:dyDescent="0.3">
      <c r="A190" s="20">
        <v>186</v>
      </c>
      <c r="B190" s="8" t="s">
        <v>1037</v>
      </c>
      <c r="C190" s="26">
        <v>2026</v>
      </c>
      <c r="D190" s="8"/>
      <c r="E190" s="8" t="s">
        <v>1038</v>
      </c>
      <c r="F190" s="20" t="s">
        <v>54</v>
      </c>
      <c r="G190" s="21" t="s">
        <v>53</v>
      </c>
      <c r="H190" s="21" t="s">
        <v>53</v>
      </c>
      <c r="I190" s="21" t="s">
        <v>53</v>
      </c>
      <c r="J190" s="21" t="s">
        <v>53</v>
      </c>
      <c r="K190" s="21" t="s">
        <v>53</v>
      </c>
      <c r="L190" s="22" t="str">
        <f t="shared" si="10"/>
        <v>INCLUDE</v>
      </c>
      <c r="M190" s="22" t="str">
        <f t="shared" si="11"/>
        <v/>
      </c>
      <c r="N190" s="23" t="s">
        <v>64</v>
      </c>
      <c r="O190" s="23" t="s">
        <v>64</v>
      </c>
      <c r="P190" s="24"/>
      <c r="Q190" s="24"/>
      <c r="R190" s="24"/>
      <c r="S190" s="22" t="str">
        <f t="shared" si="12"/>
        <v/>
      </c>
      <c r="T190" s="22" t="str">
        <f t="shared" si="13"/>
        <v/>
      </c>
      <c r="U190" s="25"/>
      <c r="V190" s="25"/>
      <c r="W190" s="25"/>
      <c r="X190" s="25"/>
      <c r="Y190" s="22" t="str">
        <f t="shared" si="14"/>
        <v/>
      </c>
      <c r="Z190" s="25"/>
      <c r="AA190" s="25"/>
      <c r="AB190" s="25"/>
      <c r="AC190" s="25"/>
      <c r="AD190" s="25"/>
      <c r="AE190" s="25"/>
      <c r="AF190" s="25"/>
      <c r="AG190" s="9"/>
      <c r="AH190" s="29"/>
      <c r="AI190" s="29"/>
      <c r="AM190" s="50"/>
      <c r="AN190" s="51" t="s">
        <v>1039</v>
      </c>
      <c r="AO190" s="55" t="s">
        <v>1040</v>
      </c>
    </row>
    <row r="191" spans="1:41" ht="57" hidden="1" customHeight="1" x14ac:dyDescent="0.3">
      <c r="A191" s="20">
        <v>187</v>
      </c>
      <c r="B191" s="8" t="s">
        <v>1041</v>
      </c>
      <c r="C191" s="26">
        <v>2026</v>
      </c>
      <c r="D191" s="8"/>
      <c r="E191" s="8" t="s">
        <v>1042</v>
      </c>
      <c r="F191" s="20" t="s">
        <v>54</v>
      </c>
      <c r="G191" s="21" t="s">
        <v>53</v>
      </c>
      <c r="H191" s="21" t="s">
        <v>64</v>
      </c>
      <c r="I191" s="21" t="s">
        <v>53</v>
      </c>
      <c r="J191" s="21" t="s">
        <v>53</v>
      </c>
      <c r="K191" s="21" t="s">
        <v>53</v>
      </c>
      <c r="L191" s="22" t="str">
        <f t="shared" si="10"/>
        <v>EXCLUDE</v>
      </c>
      <c r="M191" s="22" t="str">
        <f t="shared" si="11"/>
        <v>Digital Twin not core / buzzword</v>
      </c>
      <c r="N191" s="23"/>
      <c r="O191" s="23"/>
      <c r="P191" s="24"/>
      <c r="Q191" s="24"/>
      <c r="R191" s="24"/>
      <c r="S191" s="22" t="str">
        <f t="shared" si="12"/>
        <v/>
      </c>
      <c r="T191" s="22" t="str">
        <f t="shared" si="13"/>
        <v/>
      </c>
      <c r="U191" s="25"/>
      <c r="V191" s="25"/>
      <c r="W191" s="25"/>
      <c r="X191" s="25"/>
      <c r="Y191" s="22" t="str">
        <f t="shared" si="14"/>
        <v/>
      </c>
      <c r="Z191" s="25"/>
      <c r="AA191" s="25"/>
      <c r="AB191" s="25"/>
      <c r="AC191" s="25"/>
      <c r="AD191" s="25"/>
      <c r="AE191" s="25"/>
      <c r="AF191" s="25"/>
      <c r="AG191" s="9"/>
      <c r="AH191" s="29"/>
      <c r="AI191" s="29"/>
      <c r="AM191" s="50"/>
      <c r="AN191" s="51" t="s">
        <v>1043</v>
      </c>
      <c r="AO191" s="55" t="s">
        <v>1044</v>
      </c>
    </row>
    <row r="192" spans="1:41" ht="68.400000000000006" hidden="1" customHeight="1" x14ac:dyDescent="0.3">
      <c r="A192" s="20">
        <v>188</v>
      </c>
      <c r="B192" s="8" t="s">
        <v>1045</v>
      </c>
      <c r="C192" s="26">
        <v>2025</v>
      </c>
      <c r="D192" s="8"/>
      <c r="E192" s="8" t="s">
        <v>1046</v>
      </c>
      <c r="F192" s="20" t="s">
        <v>54</v>
      </c>
      <c r="G192" s="21" t="s">
        <v>53</v>
      </c>
      <c r="H192" s="21" t="s">
        <v>64</v>
      </c>
      <c r="I192" s="21" t="s">
        <v>53</v>
      </c>
      <c r="J192" s="21" t="s">
        <v>53</v>
      </c>
      <c r="K192" s="21" t="s">
        <v>53</v>
      </c>
      <c r="L192" s="22" t="str">
        <f t="shared" si="10"/>
        <v>EXCLUDE</v>
      </c>
      <c r="M192" s="22" t="str">
        <f t="shared" si="11"/>
        <v>Digital Twin not core / buzzword</v>
      </c>
      <c r="N192" s="23"/>
      <c r="O192" s="23"/>
      <c r="P192" s="24"/>
      <c r="Q192" s="24"/>
      <c r="R192" s="24"/>
      <c r="S192" s="22" t="str">
        <f t="shared" si="12"/>
        <v/>
      </c>
      <c r="T192" s="22" t="str">
        <f t="shared" si="13"/>
        <v/>
      </c>
      <c r="U192" s="25"/>
      <c r="V192" s="25"/>
      <c r="W192" s="25"/>
      <c r="X192" s="25"/>
      <c r="Y192" s="22" t="str">
        <f t="shared" si="14"/>
        <v/>
      </c>
      <c r="Z192" s="25"/>
      <c r="AA192" s="25"/>
      <c r="AB192" s="25"/>
      <c r="AC192" s="25"/>
      <c r="AD192" s="25"/>
      <c r="AE192" s="25"/>
      <c r="AF192" s="25"/>
      <c r="AG192" s="9"/>
      <c r="AH192" s="29"/>
      <c r="AI192" s="29"/>
      <c r="AM192" s="50"/>
      <c r="AN192" s="51" t="s">
        <v>1047</v>
      </c>
      <c r="AO192" s="55" t="s">
        <v>1048</v>
      </c>
    </row>
    <row r="193" spans="1:41" ht="57" hidden="1" customHeight="1" x14ac:dyDescent="0.3">
      <c r="A193" s="20">
        <v>189</v>
      </c>
      <c r="B193" s="8" t="s">
        <v>1049</v>
      </c>
      <c r="C193" s="26">
        <v>2025</v>
      </c>
      <c r="D193" s="8"/>
      <c r="E193" s="8" t="s">
        <v>1050</v>
      </c>
      <c r="F193" s="20" t="s">
        <v>54</v>
      </c>
      <c r="G193" s="21" t="s">
        <v>64</v>
      </c>
      <c r="H193" s="21" t="s">
        <v>53</v>
      </c>
      <c r="I193" s="21" t="s">
        <v>53</v>
      </c>
      <c r="J193" s="21" t="s">
        <v>53</v>
      </c>
      <c r="K193" s="21" t="s">
        <v>53</v>
      </c>
      <c r="L193" s="22" t="str">
        <f t="shared" si="10"/>
        <v>EXCLUDE</v>
      </c>
      <c r="M193" s="22" t="str">
        <f t="shared" si="11"/>
        <v>Wrong domain (non-AECO)</v>
      </c>
      <c r="N193" s="23"/>
      <c r="O193" s="23"/>
      <c r="P193" s="24"/>
      <c r="Q193" s="24"/>
      <c r="R193" s="24"/>
      <c r="S193" s="22" t="str">
        <f t="shared" si="12"/>
        <v/>
      </c>
      <c r="T193" s="22" t="str">
        <f t="shared" si="13"/>
        <v/>
      </c>
      <c r="U193" s="25"/>
      <c r="V193" s="25"/>
      <c r="W193" s="25"/>
      <c r="X193" s="25"/>
      <c r="Y193" s="22" t="str">
        <f t="shared" si="14"/>
        <v/>
      </c>
      <c r="Z193" s="25"/>
      <c r="AA193" s="25"/>
      <c r="AB193" s="25"/>
      <c r="AC193" s="25"/>
      <c r="AD193" s="25"/>
      <c r="AE193" s="25"/>
      <c r="AF193" s="25"/>
      <c r="AG193" s="9"/>
      <c r="AH193" s="29"/>
      <c r="AI193" s="29"/>
      <c r="AM193" s="50"/>
      <c r="AN193" s="51" t="s">
        <v>1051</v>
      </c>
      <c r="AO193" s="55" t="s">
        <v>1052</v>
      </c>
    </row>
    <row r="194" spans="1:41" ht="57" hidden="1" customHeight="1" x14ac:dyDescent="0.3">
      <c r="A194" s="20">
        <v>190</v>
      </c>
      <c r="B194" s="8" t="s">
        <v>1053</v>
      </c>
      <c r="C194" s="26">
        <v>2025</v>
      </c>
      <c r="D194" s="8"/>
      <c r="E194" s="8" t="s">
        <v>1054</v>
      </c>
      <c r="F194" s="20" t="s">
        <v>54</v>
      </c>
      <c r="G194" s="21" t="s">
        <v>53</v>
      </c>
      <c r="H194" s="21" t="s">
        <v>53</v>
      </c>
      <c r="I194" s="21" t="s">
        <v>64</v>
      </c>
      <c r="J194" s="21" t="s">
        <v>53</v>
      </c>
      <c r="K194" s="21" t="s">
        <v>53</v>
      </c>
      <c r="L194" s="22" t="str">
        <f t="shared" si="10"/>
        <v>EXCLUDE</v>
      </c>
      <c r="M194" s="22" t="str">
        <f t="shared" si="11"/>
        <v>No Design for Safety/Quality/PtD</v>
      </c>
      <c r="N194" s="23"/>
      <c r="O194" s="23"/>
      <c r="P194" s="24"/>
      <c r="Q194" s="24"/>
      <c r="R194" s="24"/>
      <c r="S194" s="22" t="str">
        <f t="shared" si="12"/>
        <v/>
      </c>
      <c r="T194" s="22" t="str">
        <f t="shared" si="13"/>
        <v/>
      </c>
      <c r="U194" s="25"/>
      <c r="V194" s="25"/>
      <c r="W194" s="25"/>
      <c r="X194" s="25"/>
      <c r="Y194" s="22" t="str">
        <f t="shared" si="14"/>
        <v/>
      </c>
      <c r="Z194" s="25"/>
      <c r="AA194" s="25"/>
      <c r="AB194" s="25"/>
      <c r="AC194" s="25"/>
      <c r="AD194" s="25"/>
      <c r="AE194" s="25"/>
      <c r="AF194" s="25"/>
      <c r="AG194" s="9"/>
      <c r="AH194" s="29"/>
      <c r="AI194" s="29"/>
      <c r="AM194" s="50"/>
      <c r="AN194" s="51" t="s">
        <v>1055</v>
      </c>
      <c r="AO194" s="55" t="s">
        <v>1056</v>
      </c>
    </row>
    <row r="195" spans="1:41" ht="57" hidden="1" customHeight="1" x14ac:dyDescent="0.3">
      <c r="A195" s="20">
        <v>191</v>
      </c>
      <c r="B195" s="8" t="s">
        <v>1057</v>
      </c>
      <c r="C195" s="26">
        <v>2026</v>
      </c>
      <c r="D195" s="8"/>
      <c r="E195" s="8" t="s">
        <v>1058</v>
      </c>
      <c r="F195" s="20" t="s">
        <v>54</v>
      </c>
      <c r="G195" s="21" t="s">
        <v>64</v>
      </c>
      <c r="H195" s="21" t="s">
        <v>53</v>
      </c>
      <c r="I195" s="21" t="s">
        <v>64</v>
      </c>
      <c r="J195" s="21" t="s">
        <v>53</v>
      </c>
      <c r="K195" s="21" t="s">
        <v>53</v>
      </c>
      <c r="L195" s="22" t="str">
        <f t="shared" si="10"/>
        <v>EXCLUDE</v>
      </c>
      <c r="M195" s="22" t="str">
        <f t="shared" si="11"/>
        <v>Wrong domain (non-AECO)</v>
      </c>
      <c r="N195" s="23"/>
      <c r="O195" s="23"/>
      <c r="P195" s="24"/>
      <c r="Q195" s="24"/>
      <c r="R195" s="24"/>
      <c r="S195" s="22" t="str">
        <f t="shared" si="12"/>
        <v/>
      </c>
      <c r="T195" s="22" t="str">
        <f t="shared" si="13"/>
        <v/>
      </c>
      <c r="U195" s="25"/>
      <c r="V195" s="25"/>
      <c r="W195" s="25"/>
      <c r="X195" s="25"/>
      <c r="Y195" s="22" t="str">
        <f t="shared" si="14"/>
        <v/>
      </c>
      <c r="Z195" s="25"/>
      <c r="AA195" s="25"/>
      <c r="AB195" s="25"/>
      <c r="AC195" s="25"/>
      <c r="AD195" s="25"/>
      <c r="AE195" s="25"/>
      <c r="AF195" s="25"/>
      <c r="AG195" s="9"/>
      <c r="AH195" s="29"/>
      <c r="AI195" s="29"/>
      <c r="AM195" s="50"/>
      <c r="AN195" s="51" t="s">
        <v>1059</v>
      </c>
      <c r="AO195" s="55" t="s">
        <v>1060</v>
      </c>
    </row>
    <row r="196" spans="1:41" ht="45.6" hidden="1" customHeight="1" x14ac:dyDescent="0.3">
      <c r="A196" s="20">
        <v>192</v>
      </c>
      <c r="B196" s="8" t="s">
        <v>1061</v>
      </c>
      <c r="C196" s="26">
        <v>2026</v>
      </c>
      <c r="D196" s="8"/>
      <c r="E196" s="8" t="s">
        <v>1062</v>
      </c>
      <c r="F196" s="20" t="s">
        <v>54</v>
      </c>
      <c r="G196" s="21" t="s">
        <v>64</v>
      </c>
      <c r="H196" s="21" t="s">
        <v>53</v>
      </c>
      <c r="I196" s="21" t="s">
        <v>53</v>
      </c>
      <c r="J196" s="21" t="s">
        <v>53</v>
      </c>
      <c r="K196" s="21" t="s">
        <v>53</v>
      </c>
      <c r="L196" s="22" t="str">
        <f t="shared" si="10"/>
        <v>EXCLUDE</v>
      </c>
      <c r="M196" s="22" t="str">
        <f t="shared" si="11"/>
        <v>Wrong domain (non-AECO)</v>
      </c>
      <c r="N196" s="23"/>
      <c r="O196" s="23"/>
      <c r="P196" s="24"/>
      <c r="Q196" s="24"/>
      <c r="R196" s="24"/>
      <c r="S196" s="22" t="str">
        <f t="shared" si="12"/>
        <v/>
      </c>
      <c r="T196" s="22" t="str">
        <f t="shared" si="13"/>
        <v/>
      </c>
      <c r="U196" s="25"/>
      <c r="V196" s="25"/>
      <c r="W196" s="25"/>
      <c r="X196" s="25"/>
      <c r="Y196" s="22" t="str">
        <f t="shared" si="14"/>
        <v/>
      </c>
      <c r="Z196" s="25"/>
      <c r="AA196" s="25"/>
      <c r="AB196" s="25"/>
      <c r="AC196" s="25"/>
      <c r="AD196" s="25"/>
      <c r="AE196" s="25"/>
      <c r="AF196" s="25"/>
      <c r="AG196" s="9"/>
      <c r="AH196" s="29"/>
      <c r="AI196" s="29"/>
      <c r="AM196" s="50"/>
      <c r="AN196" s="51" t="s">
        <v>1063</v>
      </c>
      <c r="AO196" s="55" t="s">
        <v>1064</v>
      </c>
    </row>
    <row r="197" spans="1:41" ht="57" hidden="1" customHeight="1" x14ac:dyDescent="0.3">
      <c r="A197" s="20">
        <v>193</v>
      </c>
      <c r="B197" s="8" t="s">
        <v>1065</v>
      </c>
      <c r="C197" s="26">
        <v>2025</v>
      </c>
      <c r="D197" s="8"/>
      <c r="E197" s="8" t="s">
        <v>1066</v>
      </c>
      <c r="F197" s="20" t="s">
        <v>54</v>
      </c>
      <c r="G197" s="21" t="s">
        <v>64</v>
      </c>
      <c r="H197" s="21" t="s">
        <v>64</v>
      </c>
      <c r="I197" s="21" t="s">
        <v>53</v>
      </c>
      <c r="J197" s="21" t="s">
        <v>53</v>
      </c>
      <c r="K197" s="21" t="s">
        <v>53</v>
      </c>
      <c r="L197" s="22" t="str">
        <f t="shared" ref="L197:L260" si="15">IF(COUNTBLANK(G197:K197)=5,"",IF(COUNTIF(G197:K197,"No")&gt;0,"EXCLUDE","INCLUDE"))</f>
        <v>EXCLUDE</v>
      </c>
      <c r="M197" s="22" t="str">
        <f t="shared" ref="M197:M260" si="16">IF(L197&lt;&gt;"EXCLUDE","",IF(G197="No","Wrong domain (non-AECO)",IF(H197="No","Digital Twin not core / buzzword",IF(I197="No","No Design for Safety/Quality/PtD",IF(J197="No","Wrong publication type",IF(K197="No","Non-English",""))))))</f>
        <v>Wrong domain (non-AECO)</v>
      </c>
      <c r="N197" s="23"/>
      <c r="O197" s="23"/>
      <c r="P197" s="24"/>
      <c r="Q197" s="24"/>
      <c r="R197" s="24"/>
      <c r="S197" s="22" t="str">
        <f t="shared" ref="S197:S260" si="17">IF(N197&lt;&gt;"Yes","",IF(COUNTBLANK(P197:R197)=3,"",IF(COUNTIF(P197:R197,"No")&gt;0,"EXCLUDE","INCLUDE")))</f>
        <v/>
      </c>
      <c r="T197" s="22" t="str">
        <f t="shared" ref="T197:T260" si="18">IF(S197&lt;&gt;"EXCLUDE","",IF(P197="No","Digital Twin mentioned only, not the subject",IF(Q197="No","No Design for Safety/Quality in full text",IF(R197="No","Methodology not codable",""))))</f>
        <v/>
      </c>
      <c r="U197" s="25"/>
      <c r="V197" s="25"/>
      <c r="W197" s="25"/>
      <c r="X197" s="25"/>
      <c r="Y197" s="22" t="str">
        <f t="shared" ref="Y197:Y260" si="19">IF(SUM(V197:X197)=0,"",IF(SUM(V197:X197)&gt;=2,"Multi","Single"))</f>
        <v/>
      </c>
      <c r="Z197" s="25"/>
      <c r="AA197" s="25"/>
      <c r="AB197" s="25"/>
      <c r="AC197" s="25"/>
      <c r="AD197" s="25"/>
      <c r="AE197" s="25"/>
      <c r="AF197" s="25"/>
      <c r="AG197" s="9"/>
      <c r="AH197" s="29"/>
      <c r="AI197" s="29"/>
      <c r="AM197" s="50"/>
      <c r="AN197" s="51" t="s">
        <v>1067</v>
      </c>
      <c r="AO197" s="55" t="s">
        <v>1068</v>
      </c>
    </row>
    <row r="198" spans="1:41" ht="102.6" hidden="1" customHeight="1" x14ac:dyDescent="0.3">
      <c r="A198" s="20">
        <v>194</v>
      </c>
      <c r="B198" s="8" t="s">
        <v>1069</v>
      </c>
      <c r="C198" s="26">
        <v>2026</v>
      </c>
      <c r="D198" s="8"/>
      <c r="E198" s="8" t="s">
        <v>1070</v>
      </c>
      <c r="F198" s="20" t="s">
        <v>54</v>
      </c>
      <c r="G198" s="21" t="s">
        <v>53</v>
      </c>
      <c r="H198" s="21" t="s">
        <v>64</v>
      </c>
      <c r="I198" s="21" t="s">
        <v>64</v>
      </c>
      <c r="J198" s="21" t="s">
        <v>53</v>
      </c>
      <c r="K198" s="21" t="s">
        <v>53</v>
      </c>
      <c r="L198" s="22" t="str">
        <f t="shared" si="15"/>
        <v>EXCLUDE</v>
      </c>
      <c r="M198" s="22" t="str">
        <f t="shared" si="16"/>
        <v>Digital Twin not core / buzzword</v>
      </c>
      <c r="N198" s="23"/>
      <c r="O198" s="23"/>
      <c r="P198" s="24"/>
      <c r="Q198" s="24"/>
      <c r="R198" s="24"/>
      <c r="S198" s="22" t="str">
        <f t="shared" si="17"/>
        <v/>
      </c>
      <c r="T198" s="22" t="str">
        <f t="shared" si="18"/>
        <v/>
      </c>
      <c r="U198" s="25"/>
      <c r="V198" s="25"/>
      <c r="W198" s="25"/>
      <c r="X198" s="25"/>
      <c r="Y198" s="22" t="str">
        <f t="shared" si="19"/>
        <v/>
      </c>
      <c r="Z198" s="25"/>
      <c r="AA198" s="25"/>
      <c r="AB198" s="25"/>
      <c r="AC198" s="25"/>
      <c r="AD198" s="25"/>
      <c r="AE198" s="25"/>
      <c r="AF198" s="25"/>
      <c r="AG198" s="9"/>
      <c r="AH198" s="29"/>
      <c r="AI198" s="29"/>
      <c r="AM198" s="50"/>
      <c r="AN198" s="51" t="s">
        <v>1071</v>
      </c>
      <c r="AO198" s="55" t="s">
        <v>1072</v>
      </c>
    </row>
    <row r="199" spans="1:41" ht="115.2" customHeight="1" x14ac:dyDescent="0.3">
      <c r="A199" s="20">
        <v>195</v>
      </c>
      <c r="B199" s="8" t="s">
        <v>1073</v>
      </c>
      <c r="C199" s="26">
        <v>2025</v>
      </c>
      <c r="D199" s="8"/>
      <c r="E199" s="8" t="s">
        <v>1074</v>
      </c>
      <c r="F199" s="20" t="s">
        <v>54</v>
      </c>
      <c r="G199" s="21" t="s">
        <v>53</v>
      </c>
      <c r="H199" s="21" t="s">
        <v>53</v>
      </c>
      <c r="I199" s="21" t="s">
        <v>53</v>
      </c>
      <c r="J199" s="21" t="s">
        <v>53</v>
      </c>
      <c r="K199" s="21" t="s">
        <v>53</v>
      </c>
      <c r="L199" s="22" t="str">
        <f t="shared" si="15"/>
        <v>INCLUDE</v>
      </c>
      <c r="M199" s="22" t="str">
        <f t="shared" si="16"/>
        <v/>
      </c>
      <c r="N199" s="23" t="s">
        <v>53</v>
      </c>
      <c r="O199" s="23" t="s">
        <v>53</v>
      </c>
      <c r="P199" s="24" t="s">
        <v>53</v>
      </c>
      <c r="Q199" s="24" t="s">
        <v>53</v>
      </c>
      <c r="R199" s="24" t="s">
        <v>53</v>
      </c>
      <c r="S199" s="22" t="str">
        <f t="shared" si="17"/>
        <v>INCLUDE</v>
      </c>
      <c r="T199" s="22" t="str">
        <f t="shared" si="18"/>
        <v/>
      </c>
      <c r="U199" s="25" t="s">
        <v>56</v>
      </c>
      <c r="V199" s="25">
        <v>0</v>
      </c>
      <c r="W199" s="25">
        <v>0</v>
      </c>
      <c r="X199" s="25">
        <v>1</v>
      </c>
      <c r="Y199" s="22" t="str">
        <f t="shared" si="19"/>
        <v>Single</v>
      </c>
      <c r="Z199" s="25" t="s">
        <v>9</v>
      </c>
      <c r="AA199" s="25" t="s">
        <v>57</v>
      </c>
      <c r="AB199" s="25" t="s">
        <v>100</v>
      </c>
      <c r="AC199" s="25" t="s">
        <v>70</v>
      </c>
      <c r="AD199" s="25" t="s">
        <v>89</v>
      </c>
      <c r="AE199" s="25">
        <v>4</v>
      </c>
      <c r="AF199" s="25" t="s">
        <v>96</v>
      </c>
      <c r="AG199" s="9" t="s">
        <v>1075</v>
      </c>
      <c r="AH199" s="29" t="s">
        <v>1076</v>
      </c>
      <c r="AI199" s="29" t="s">
        <v>1077</v>
      </c>
      <c r="AJ199" t="s">
        <v>91</v>
      </c>
      <c r="AK199" t="s">
        <v>1078</v>
      </c>
      <c r="AL199" t="s">
        <v>63</v>
      </c>
      <c r="AM199" s="50"/>
      <c r="AN199" s="51" t="s">
        <v>1079</v>
      </c>
      <c r="AO199" s="55" t="s">
        <v>1080</v>
      </c>
    </row>
    <row r="200" spans="1:41" ht="115.2" hidden="1" customHeight="1" x14ac:dyDescent="0.3">
      <c r="A200" s="20">
        <v>196</v>
      </c>
      <c r="B200" s="8" t="s">
        <v>1081</v>
      </c>
      <c r="C200" s="26">
        <v>2026</v>
      </c>
      <c r="D200" s="8"/>
      <c r="E200" s="8" t="s">
        <v>1082</v>
      </c>
      <c r="F200" s="20" t="s">
        <v>54</v>
      </c>
      <c r="G200" s="21" t="s">
        <v>64</v>
      </c>
      <c r="H200" s="21" t="s">
        <v>53</v>
      </c>
      <c r="I200" s="21" t="s">
        <v>53</v>
      </c>
      <c r="J200" s="21" t="s">
        <v>53</v>
      </c>
      <c r="K200" s="21" t="s">
        <v>53</v>
      </c>
      <c r="L200" s="22" t="str">
        <f t="shared" si="15"/>
        <v>EXCLUDE</v>
      </c>
      <c r="M200" s="22" t="str">
        <f t="shared" si="16"/>
        <v>Wrong domain (non-AECO)</v>
      </c>
      <c r="N200" s="23"/>
      <c r="O200" s="23"/>
      <c r="P200" s="24"/>
      <c r="Q200" s="24"/>
      <c r="R200" s="24"/>
      <c r="S200" s="22" t="str">
        <f t="shared" si="17"/>
        <v/>
      </c>
      <c r="T200" s="22" t="str">
        <f t="shared" si="18"/>
        <v/>
      </c>
      <c r="U200" s="25"/>
      <c r="V200" s="25"/>
      <c r="W200" s="25"/>
      <c r="X200" s="25"/>
      <c r="Y200" s="22" t="str">
        <f t="shared" si="19"/>
        <v/>
      </c>
      <c r="Z200" s="25"/>
      <c r="AA200" s="25"/>
      <c r="AB200" s="25"/>
      <c r="AC200" s="25"/>
      <c r="AD200" s="25"/>
      <c r="AE200" s="25"/>
      <c r="AF200" s="25"/>
      <c r="AG200" s="9"/>
      <c r="AH200" s="29"/>
      <c r="AI200" s="29"/>
      <c r="AM200" s="50"/>
      <c r="AN200" s="51" t="s">
        <v>1083</v>
      </c>
      <c r="AO200" s="55" t="s">
        <v>1084</v>
      </c>
    </row>
    <row r="201" spans="1:41" ht="68.400000000000006" hidden="1" customHeight="1" x14ac:dyDescent="0.3">
      <c r="A201" s="20">
        <v>197</v>
      </c>
      <c r="B201" s="8" t="s">
        <v>1085</v>
      </c>
      <c r="C201" s="26">
        <v>2026</v>
      </c>
      <c r="D201" s="8"/>
      <c r="E201" s="8" t="s">
        <v>1086</v>
      </c>
      <c r="F201" s="20" t="s">
        <v>54</v>
      </c>
      <c r="G201" s="21" t="s">
        <v>53</v>
      </c>
      <c r="H201" s="21" t="s">
        <v>64</v>
      </c>
      <c r="I201" s="21" t="s">
        <v>64</v>
      </c>
      <c r="J201" s="21" t="s">
        <v>53</v>
      </c>
      <c r="K201" s="21" t="s">
        <v>53</v>
      </c>
      <c r="L201" s="22" t="str">
        <f t="shared" si="15"/>
        <v>EXCLUDE</v>
      </c>
      <c r="M201" s="22" t="str">
        <f t="shared" si="16"/>
        <v>Digital Twin not core / buzzword</v>
      </c>
      <c r="N201" s="23"/>
      <c r="O201" s="23"/>
      <c r="P201" s="24"/>
      <c r="Q201" s="24"/>
      <c r="R201" s="24"/>
      <c r="S201" s="22" t="str">
        <f t="shared" si="17"/>
        <v/>
      </c>
      <c r="T201" s="22" t="str">
        <f t="shared" si="18"/>
        <v/>
      </c>
      <c r="U201" s="25"/>
      <c r="V201" s="25"/>
      <c r="W201" s="25"/>
      <c r="X201" s="25"/>
      <c r="Y201" s="22" t="str">
        <f t="shared" si="19"/>
        <v/>
      </c>
      <c r="Z201" s="25"/>
      <c r="AA201" s="25"/>
      <c r="AB201" s="25"/>
      <c r="AC201" s="25"/>
      <c r="AD201" s="25"/>
      <c r="AE201" s="25"/>
      <c r="AF201" s="25"/>
      <c r="AG201" s="9"/>
      <c r="AH201" s="29"/>
      <c r="AI201" s="29"/>
      <c r="AM201" s="50"/>
      <c r="AN201" s="51" t="s">
        <v>1087</v>
      </c>
      <c r="AO201" s="55" t="s">
        <v>1088</v>
      </c>
    </row>
    <row r="202" spans="1:41" ht="45.6" customHeight="1" x14ac:dyDescent="0.3">
      <c r="A202" s="20">
        <v>198</v>
      </c>
      <c r="B202" s="8" t="s">
        <v>1089</v>
      </c>
      <c r="C202" s="26">
        <v>2025</v>
      </c>
      <c r="D202" s="8"/>
      <c r="E202" s="8" t="s">
        <v>1090</v>
      </c>
      <c r="F202" s="20" t="s">
        <v>54</v>
      </c>
      <c r="G202" s="21" t="s">
        <v>53</v>
      </c>
      <c r="H202" s="21" t="s">
        <v>53</v>
      </c>
      <c r="I202" s="21" t="s">
        <v>53</v>
      </c>
      <c r="J202" s="21" t="s">
        <v>53</v>
      </c>
      <c r="K202" s="21" t="s">
        <v>53</v>
      </c>
      <c r="L202" s="22" t="str">
        <f t="shared" si="15"/>
        <v>INCLUDE</v>
      </c>
      <c r="M202" s="22" t="str">
        <f t="shared" si="16"/>
        <v/>
      </c>
      <c r="N202" s="23" t="s">
        <v>53</v>
      </c>
      <c r="O202" s="23" t="s">
        <v>53</v>
      </c>
      <c r="P202" s="24" t="s">
        <v>53</v>
      </c>
      <c r="Q202" s="24" t="s">
        <v>53</v>
      </c>
      <c r="R202" s="24" t="s">
        <v>53</v>
      </c>
      <c r="S202" s="22" t="str">
        <f t="shared" si="17"/>
        <v>INCLUDE</v>
      </c>
      <c r="T202" s="22" t="str">
        <f t="shared" si="18"/>
        <v/>
      </c>
      <c r="U202" s="25" t="s">
        <v>67</v>
      </c>
      <c r="V202" s="25">
        <v>0</v>
      </c>
      <c r="W202" s="25">
        <v>0</v>
      </c>
      <c r="X202" s="25">
        <v>1</v>
      </c>
      <c r="Y202" s="22" t="str">
        <f t="shared" si="19"/>
        <v>Single</v>
      </c>
      <c r="Z202" s="25" t="s">
        <v>9</v>
      </c>
      <c r="AA202" s="25" t="s">
        <v>57</v>
      </c>
      <c r="AB202" s="25" t="s">
        <v>100</v>
      </c>
      <c r="AC202" s="25" t="s">
        <v>70</v>
      </c>
      <c r="AD202" s="25" t="s">
        <v>89</v>
      </c>
      <c r="AE202" s="25">
        <v>4</v>
      </c>
      <c r="AF202" s="25" t="s">
        <v>90</v>
      </c>
      <c r="AG202" s="9" t="s">
        <v>1091</v>
      </c>
      <c r="AH202" s="29" t="s">
        <v>1092</v>
      </c>
      <c r="AI202" s="29" t="s">
        <v>1093</v>
      </c>
      <c r="AJ202" t="s">
        <v>82</v>
      </c>
      <c r="AK202" t="s">
        <v>1094</v>
      </c>
      <c r="AL202" t="s">
        <v>74</v>
      </c>
      <c r="AM202" s="50"/>
      <c r="AN202" s="51" t="s">
        <v>1095</v>
      </c>
      <c r="AO202" s="55" t="s">
        <v>1096</v>
      </c>
    </row>
    <row r="203" spans="1:41" ht="57" hidden="1" customHeight="1" x14ac:dyDescent="0.3">
      <c r="A203" s="20">
        <v>199</v>
      </c>
      <c r="B203" s="8" t="s">
        <v>1097</v>
      </c>
      <c r="C203" s="26">
        <v>2026</v>
      </c>
      <c r="D203" s="8"/>
      <c r="E203" s="8" t="s">
        <v>1098</v>
      </c>
      <c r="F203" s="20" t="s">
        <v>54</v>
      </c>
      <c r="G203" s="21" t="s">
        <v>53</v>
      </c>
      <c r="H203" s="21" t="s">
        <v>64</v>
      </c>
      <c r="I203" s="21" t="s">
        <v>53</v>
      </c>
      <c r="J203" s="21" t="s">
        <v>53</v>
      </c>
      <c r="K203" s="21" t="s">
        <v>53</v>
      </c>
      <c r="L203" s="22" t="str">
        <f t="shared" si="15"/>
        <v>EXCLUDE</v>
      </c>
      <c r="M203" s="22" t="str">
        <f t="shared" si="16"/>
        <v>Digital Twin not core / buzzword</v>
      </c>
      <c r="N203" s="23"/>
      <c r="O203" s="23"/>
      <c r="P203" s="24"/>
      <c r="Q203" s="24"/>
      <c r="R203" s="24"/>
      <c r="S203" s="22" t="str">
        <f t="shared" si="17"/>
        <v/>
      </c>
      <c r="T203" s="22" t="str">
        <f t="shared" si="18"/>
        <v/>
      </c>
      <c r="U203" s="25"/>
      <c r="V203" s="25"/>
      <c r="W203" s="25"/>
      <c r="X203" s="25"/>
      <c r="Y203" s="22" t="str">
        <f t="shared" si="19"/>
        <v/>
      </c>
      <c r="Z203" s="25"/>
      <c r="AA203" s="25"/>
      <c r="AB203" s="25"/>
      <c r="AC203" s="25"/>
      <c r="AD203" s="25"/>
      <c r="AE203" s="25"/>
      <c r="AF203" s="25"/>
      <c r="AG203" s="9"/>
      <c r="AH203" s="29"/>
      <c r="AI203" s="29"/>
      <c r="AM203" s="50"/>
      <c r="AN203" s="51" t="s">
        <v>1099</v>
      </c>
      <c r="AO203" s="55" t="s">
        <v>1100</v>
      </c>
    </row>
    <row r="204" spans="1:41" ht="79.95" hidden="1" customHeight="1" x14ac:dyDescent="0.3">
      <c r="A204" s="20">
        <v>200</v>
      </c>
      <c r="B204" s="8" t="s">
        <v>1101</v>
      </c>
      <c r="C204" s="26">
        <v>2026</v>
      </c>
      <c r="D204" s="8"/>
      <c r="E204" s="8" t="s">
        <v>1102</v>
      </c>
      <c r="F204" s="20" t="s">
        <v>54</v>
      </c>
      <c r="G204" s="21" t="s">
        <v>64</v>
      </c>
      <c r="H204" s="21" t="s">
        <v>53</v>
      </c>
      <c r="I204" s="21" t="s">
        <v>64</v>
      </c>
      <c r="J204" s="21" t="s">
        <v>53</v>
      </c>
      <c r="K204" s="21" t="s">
        <v>53</v>
      </c>
      <c r="L204" s="22" t="str">
        <f t="shared" si="15"/>
        <v>EXCLUDE</v>
      </c>
      <c r="M204" s="22" t="str">
        <f t="shared" si="16"/>
        <v>Wrong domain (non-AECO)</v>
      </c>
      <c r="N204" s="23"/>
      <c r="O204" s="23"/>
      <c r="P204" s="24"/>
      <c r="Q204" s="24"/>
      <c r="R204" s="24"/>
      <c r="S204" s="22" t="str">
        <f t="shared" si="17"/>
        <v/>
      </c>
      <c r="T204" s="22" t="str">
        <f t="shared" si="18"/>
        <v/>
      </c>
      <c r="U204" s="25"/>
      <c r="V204" s="25"/>
      <c r="W204" s="25"/>
      <c r="X204" s="25"/>
      <c r="Y204" s="22" t="str">
        <f t="shared" si="19"/>
        <v/>
      </c>
      <c r="Z204" s="25"/>
      <c r="AA204" s="25"/>
      <c r="AB204" s="25"/>
      <c r="AC204" s="25"/>
      <c r="AD204" s="25"/>
      <c r="AE204" s="25"/>
      <c r="AF204" s="25"/>
      <c r="AG204" s="9"/>
      <c r="AH204" s="29"/>
      <c r="AI204" s="29"/>
      <c r="AM204" s="50"/>
      <c r="AN204" s="51" t="s">
        <v>1103</v>
      </c>
      <c r="AO204" s="55" t="s">
        <v>1104</v>
      </c>
    </row>
    <row r="205" spans="1:41" ht="57" hidden="1" customHeight="1" x14ac:dyDescent="0.3">
      <c r="A205" s="20">
        <v>201</v>
      </c>
      <c r="B205" s="8" t="s">
        <v>1105</v>
      </c>
      <c r="C205" s="26">
        <v>2025</v>
      </c>
      <c r="D205" s="8"/>
      <c r="E205" s="8" t="s">
        <v>1106</v>
      </c>
      <c r="F205" s="20" t="s">
        <v>54</v>
      </c>
      <c r="G205" s="21" t="s">
        <v>64</v>
      </c>
      <c r="H205" s="21" t="s">
        <v>53</v>
      </c>
      <c r="I205" s="21" t="s">
        <v>53</v>
      </c>
      <c r="J205" s="21" t="s">
        <v>53</v>
      </c>
      <c r="K205" s="21" t="s">
        <v>53</v>
      </c>
      <c r="L205" s="22" t="str">
        <f t="shared" si="15"/>
        <v>EXCLUDE</v>
      </c>
      <c r="M205" s="22" t="str">
        <f t="shared" si="16"/>
        <v>Wrong domain (non-AECO)</v>
      </c>
      <c r="N205" s="23"/>
      <c r="O205" s="23"/>
      <c r="P205" s="24"/>
      <c r="Q205" s="24"/>
      <c r="R205" s="24"/>
      <c r="S205" s="22" t="str">
        <f t="shared" si="17"/>
        <v/>
      </c>
      <c r="T205" s="22" t="str">
        <f t="shared" si="18"/>
        <v/>
      </c>
      <c r="U205" s="25"/>
      <c r="V205" s="25"/>
      <c r="W205" s="25"/>
      <c r="X205" s="25"/>
      <c r="Y205" s="22" t="str">
        <f t="shared" si="19"/>
        <v/>
      </c>
      <c r="Z205" s="25"/>
      <c r="AA205" s="25"/>
      <c r="AB205" s="25"/>
      <c r="AC205" s="25"/>
      <c r="AD205" s="25"/>
      <c r="AE205" s="25"/>
      <c r="AF205" s="25"/>
      <c r="AG205" s="9"/>
      <c r="AH205" s="29"/>
      <c r="AI205" s="29"/>
      <c r="AM205" s="50"/>
      <c r="AN205" s="51" t="s">
        <v>1107</v>
      </c>
      <c r="AO205" s="55" t="s">
        <v>1108</v>
      </c>
    </row>
    <row r="206" spans="1:41" ht="57" hidden="1" customHeight="1" x14ac:dyDescent="0.3">
      <c r="A206" s="20">
        <v>202</v>
      </c>
      <c r="B206" s="8" t="s">
        <v>1109</v>
      </c>
      <c r="C206" s="26">
        <v>2026</v>
      </c>
      <c r="D206" s="8"/>
      <c r="E206" s="8" t="s">
        <v>1110</v>
      </c>
      <c r="F206" s="20" t="s">
        <v>54</v>
      </c>
      <c r="G206" s="21" t="s">
        <v>53</v>
      </c>
      <c r="H206" s="21" t="s">
        <v>64</v>
      </c>
      <c r="I206" s="21" t="s">
        <v>53</v>
      </c>
      <c r="J206" s="21" t="s">
        <v>53</v>
      </c>
      <c r="K206" s="21" t="s">
        <v>53</v>
      </c>
      <c r="L206" s="22" t="str">
        <f t="shared" si="15"/>
        <v>EXCLUDE</v>
      </c>
      <c r="M206" s="22" t="str">
        <f t="shared" si="16"/>
        <v>Digital Twin not core / buzzword</v>
      </c>
      <c r="N206" s="23"/>
      <c r="O206" s="23"/>
      <c r="P206" s="24"/>
      <c r="Q206" s="24"/>
      <c r="R206" s="24"/>
      <c r="S206" s="22" t="str">
        <f t="shared" si="17"/>
        <v/>
      </c>
      <c r="T206" s="22" t="str">
        <f t="shared" si="18"/>
        <v/>
      </c>
      <c r="U206" s="25"/>
      <c r="V206" s="25"/>
      <c r="W206" s="25"/>
      <c r="X206" s="25"/>
      <c r="Y206" s="22" t="str">
        <f t="shared" si="19"/>
        <v/>
      </c>
      <c r="Z206" s="25"/>
      <c r="AA206" s="25"/>
      <c r="AB206" s="25"/>
      <c r="AC206" s="25"/>
      <c r="AD206" s="25"/>
      <c r="AE206" s="25"/>
      <c r="AF206" s="25"/>
      <c r="AG206" s="9"/>
      <c r="AH206" s="29"/>
      <c r="AI206" s="29"/>
      <c r="AM206" s="50"/>
      <c r="AN206" s="51" t="s">
        <v>1111</v>
      </c>
      <c r="AO206" s="55" t="s">
        <v>1112</v>
      </c>
    </row>
    <row r="207" spans="1:41" ht="91.2" hidden="1" customHeight="1" x14ac:dyDescent="0.3">
      <c r="A207" s="20">
        <v>203</v>
      </c>
      <c r="B207" s="8" t="s">
        <v>1113</v>
      </c>
      <c r="C207" s="26">
        <v>2026</v>
      </c>
      <c r="D207" s="8"/>
      <c r="E207" s="8" t="s">
        <v>1114</v>
      </c>
      <c r="F207" s="20" t="s">
        <v>54</v>
      </c>
      <c r="G207" s="21" t="s">
        <v>53</v>
      </c>
      <c r="H207" s="21" t="s">
        <v>64</v>
      </c>
      <c r="I207" s="21" t="s">
        <v>53</v>
      </c>
      <c r="J207" s="21" t="s">
        <v>53</v>
      </c>
      <c r="K207" s="21" t="s">
        <v>53</v>
      </c>
      <c r="L207" s="22" t="str">
        <f t="shared" si="15"/>
        <v>EXCLUDE</v>
      </c>
      <c r="M207" s="22" t="str">
        <f t="shared" si="16"/>
        <v>Digital Twin not core / buzzword</v>
      </c>
      <c r="N207" s="23"/>
      <c r="O207" s="23"/>
      <c r="P207" s="24"/>
      <c r="Q207" s="24"/>
      <c r="R207" s="24"/>
      <c r="S207" s="22" t="str">
        <f t="shared" si="17"/>
        <v/>
      </c>
      <c r="T207" s="22" t="str">
        <f t="shared" si="18"/>
        <v/>
      </c>
      <c r="U207" s="25"/>
      <c r="V207" s="25"/>
      <c r="W207" s="25"/>
      <c r="X207" s="25"/>
      <c r="Y207" s="22" t="str">
        <f t="shared" si="19"/>
        <v/>
      </c>
      <c r="Z207" s="25"/>
      <c r="AA207" s="25"/>
      <c r="AB207" s="25"/>
      <c r="AC207" s="25"/>
      <c r="AD207" s="25"/>
      <c r="AE207" s="25"/>
      <c r="AF207" s="25"/>
      <c r="AG207" s="9"/>
      <c r="AH207" s="29"/>
      <c r="AI207" s="29"/>
      <c r="AM207" s="50"/>
      <c r="AN207" s="51" t="s">
        <v>1115</v>
      </c>
      <c r="AO207" s="55" t="s">
        <v>1116</v>
      </c>
    </row>
    <row r="208" spans="1:41" ht="102.6" hidden="1" customHeight="1" x14ac:dyDescent="0.3">
      <c r="A208" s="20">
        <v>204</v>
      </c>
      <c r="B208" s="8" t="s">
        <v>1117</v>
      </c>
      <c r="C208" s="26">
        <v>2026</v>
      </c>
      <c r="D208" s="8"/>
      <c r="E208" s="8" t="s">
        <v>1118</v>
      </c>
      <c r="F208" s="20" t="s">
        <v>54</v>
      </c>
      <c r="G208" s="21" t="s">
        <v>53</v>
      </c>
      <c r="H208" s="21" t="s">
        <v>64</v>
      </c>
      <c r="I208" s="21" t="s">
        <v>53</v>
      </c>
      <c r="J208" s="21" t="s">
        <v>53</v>
      </c>
      <c r="K208" s="21" t="s">
        <v>53</v>
      </c>
      <c r="L208" s="22" t="str">
        <f t="shared" si="15"/>
        <v>EXCLUDE</v>
      </c>
      <c r="M208" s="22" t="str">
        <f t="shared" si="16"/>
        <v>Digital Twin not core / buzzword</v>
      </c>
      <c r="N208" s="23"/>
      <c r="O208" s="23"/>
      <c r="P208" s="24"/>
      <c r="Q208" s="24"/>
      <c r="R208" s="24"/>
      <c r="S208" s="22" t="str">
        <f t="shared" si="17"/>
        <v/>
      </c>
      <c r="T208" s="22" t="str">
        <f t="shared" si="18"/>
        <v/>
      </c>
      <c r="U208" s="25"/>
      <c r="V208" s="25"/>
      <c r="W208" s="25"/>
      <c r="X208" s="25"/>
      <c r="Y208" s="22" t="str">
        <f t="shared" si="19"/>
        <v/>
      </c>
      <c r="Z208" s="25"/>
      <c r="AA208" s="25"/>
      <c r="AB208" s="25"/>
      <c r="AC208" s="25"/>
      <c r="AD208" s="25"/>
      <c r="AE208" s="25"/>
      <c r="AF208" s="25"/>
      <c r="AG208" s="9"/>
      <c r="AH208" s="29"/>
      <c r="AI208" s="29"/>
      <c r="AM208" s="50"/>
      <c r="AN208" s="51" t="s">
        <v>1119</v>
      </c>
      <c r="AO208" s="55" t="s">
        <v>1120</v>
      </c>
    </row>
    <row r="209" spans="1:41" ht="115.2" hidden="1" customHeight="1" x14ac:dyDescent="0.3">
      <c r="A209" s="20">
        <v>205</v>
      </c>
      <c r="B209" s="8" t="s">
        <v>1121</v>
      </c>
      <c r="C209" s="26">
        <v>2026</v>
      </c>
      <c r="D209" s="8"/>
      <c r="E209" s="8" t="s">
        <v>1122</v>
      </c>
      <c r="F209" s="20" t="s">
        <v>54</v>
      </c>
      <c r="G209" s="21" t="s">
        <v>64</v>
      </c>
      <c r="H209" s="21" t="s">
        <v>64</v>
      </c>
      <c r="I209" s="21" t="s">
        <v>64</v>
      </c>
      <c r="J209" s="21" t="s">
        <v>53</v>
      </c>
      <c r="K209" s="21" t="s">
        <v>53</v>
      </c>
      <c r="L209" s="22" t="str">
        <f t="shared" si="15"/>
        <v>EXCLUDE</v>
      </c>
      <c r="M209" s="22" t="str">
        <f t="shared" si="16"/>
        <v>Wrong domain (non-AECO)</v>
      </c>
      <c r="N209" s="23"/>
      <c r="O209" s="23"/>
      <c r="P209" s="24"/>
      <c r="Q209" s="24"/>
      <c r="R209" s="24"/>
      <c r="S209" s="22" t="str">
        <f t="shared" si="17"/>
        <v/>
      </c>
      <c r="T209" s="22" t="str">
        <f t="shared" si="18"/>
        <v/>
      </c>
      <c r="U209" s="25"/>
      <c r="V209" s="25"/>
      <c r="W209" s="25"/>
      <c r="X209" s="25"/>
      <c r="Y209" s="22" t="str">
        <f t="shared" si="19"/>
        <v/>
      </c>
      <c r="Z209" s="25"/>
      <c r="AA209" s="25"/>
      <c r="AB209" s="25"/>
      <c r="AC209" s="25"/>
      <c r="AD209" s="25"/>
      <c r="AE209" s="25"/>
      <c r="AF209" s="25"/>
      <c r="AG209" s="9"/>
      <c r="AH209" s="29"/>
      <c r="AI209" s="29"/>
      <c r="AM209" s="50"/>
      <c r="AN209" s="51" t="s">
        <v>1123</v>
      </c>
      <c r="AO209" s="55" t="s">
        <v>1124</v>
      </c>
    </row>
    <row r="210" spans="1:41" ht="45.6" hidden="1" customHeight="1" x14ac:dyDescent="0.3">
      <c r="A210" s="20">
        <v>206</v>
      </c>
      <c r="B210" s="8" t="s">
        <v>1125</v>
      </c>
      <c r="C210" s="26">
        <v>2025</v>
      </c>
      <c r="D210" s="8"/>
      <c r="E210" s="8" t="s">
        <v>1126</v>
      </c>
      <c r="F210" s="20" t="s">
        <v>54</v>
      </c>
      <c r="G210" s="21" t="s">
        <v>64</v>
      </c>
      <c r="H210" s="21" t="s">
        <v>53</v>
      </c>
      <c r="I210" s="21" t="s">
        <v>64</v>
      </c>
      <c r="J210" s="21" t="s">
        <v>53</v>
      </c>
      <c r="K210" s="21" t="s">
        <v>53</v>
      </c>
      <c r="L210" s="22" t="str">
        <f t="shared" si="15"/>
        <v>EXCLUDE</v>
      </c>
      <c r="M210" s="22" t="str">
        <f t="shared" si="16"/>
        <v>Wrong domain (non-AECO)</v>
      </c>
      <c r="N210" s="23"/>
      <c r="O210" s="23"/>
      <c r="P210" s="24"/>
      <c r="Q210" s="24"/>
      <c r="R210" s="24"/>
      <c r="S210" s="22" t="str">
        <f t="shared" si="17"/>
        <v/>
      </c>
      <c r="T210" s="22" t="str">
        <f t="shared" si="18"/>
        <v/>
      </c>
      <c r="U210" s="25"/>
      <c r="V210" s="25"/>
      <c r="W210" s="25"/>
      <c r="X210" s="25"/>
      <c r="Y210" s="22" t="str">
        <f t="shared" si="19"/>
        <v/>
      </c>
      <c r="Z210" s="25"/>
      <c r="AA210" s="25"/>
      <c r="AB210" s="25"/>
      <c r="AC210" s="25"/>
      <c r="AD210" s="25"/>
      <c r="AE210" s="25"/>
      <c r="AF210" s="25"/>
      <c r="AG210" s="9"/>
      <c r="AH210" s="29"/>
      <c r="AI210" s="29"/>
      <c r="AM210" s="50"/>
      <c r="AN210" s="51" t="s">
        <v>1127</v>
      </c>
      <c r="AO210" s="55" t="s">
        <v>1128</v>
      </c>
    </row>
    <row r="211" spans="1:41" ht="68.400000000000006" hidden="1" customHeight="1" x14ac:dyDescent="0.3">
      <c r="A211" s="20">
        <v>207</v>
      </c>
      <c r="B211" s="8" t="s">
        <v>1129</v>
      </c>
      <c r="C211" s="26">
        <v>2026</v>
      </c>
      <c r="D211" s="8"/>
      <c r="E211" s="8" t="s">
        <v>1130</v>
      </c>
      <c r="F211" s="20" t="s">
        <v>54</v>
      </c>
      <c r="G211" s="21" t="s">
        <v>53</v>
      </c>
      <c r="H211" s="21" t="s">
        <v>64</v>
      </c>
      <c r="I211" s="21" t="s">
        <v>64</v>
      </c>
      <c r="J211" s="21" t="s">
        <v>53</v>
      </c>
      <c r="K211" s="21" t="s">
        <v>53</v>
      </c>
      <c r="L211" s="22" t="str">
        <f t="shared" si="15"/>
        <v>EXCLUDE</v>
      </c>
      <c r="M211" s="22" t="str">
        <f t="shared" si="16"/>
        <v>Digital Twin not core / buzzword</v>
      </c>
      <c r="N211" s="23"/>
      <c r="O211" s="23"/>
      <c r="P211" s="24"/>
      <c r="Q211" s="24"/>
      <c r="R211" s="24"/>
      <c r="S211" s="22" t="str">
        <f t="shared" si="17"/>
        <v/>
      </c>
      <c r="T211" s="22" t="str">
        <f t="shared" si="18"/>
        <v/>
      </c>
      <c r="U211" s="25"/>
      <c r="V211" s="25"/>
      <c r="W211" s="25"/>
      <c r="X211" s="25"/>
      <c r="Y211" s="22" t="str">
        <f t="shared" si="19"/>
        <v/>
      </c>
      <c r="Z211" s="25"/>
      <c r="AA211" s="25"/>
      <c r="AB211" s="25"/>
      <c r="AC211" s="25"/>
      <c r="AD211" s="25"/>
      <c r="AE211" s="25"/>
      <c r="AF211" s="25"/>
      <c r="AG211" s="9"/>
      <c r="AH211" s="29"/>
      <c r="AI211" s="29"/>
      <c r="AM211" s="50"/>
      <c r="AN211" s="51" t="s">
        <v>1131</v>
      </c>
      <c r="AO211" s="55" t="s">
        <v>1132</v>
      </c>
    </row>
    <row r="212" spans="1:41" ht="102.6" hidden="1" customHeight="1" x14ac:dyDescent="0.3">
      <c r="A212" s="20">
        <v>208</v>
      </c>
      <c r="B212" s="8" t="s">
        <v>1133</v>
      </c>
      <c r="C212" s="26">
        <v>2026</v>
      </c>
      <c r="D212" s="8"/>
      <c r="E212" s="8" t="s">
        <v>1134</v>
      </c>
      <c r="F212" s="20" t="s">
        <v>54</v>
      </c>
      <c r="G212" s="21" t="s">
        <v>64</v>
      </c>
      <c r="H212" s="21" t="s">
        <v>53</v>
      </c>
      <c r="I212" s="21" t="s">
        <v>53</v>
      </c>
      <c r="J212" s="21" t="s">
        <v>53</v>
      </c>
      <c r="K212" s="21" t="s">
        <v>53</v>
      </c>
      <c r="L212" s="22" t="str">
        <f t="shared" si="15"/>
        <v>EXCLUDE</v>
      </c>
      <c r="M212" s="22" t="str">
        <f t="shared" si="16"/>
        <v>Wrong domain (non-AECO)</v>
      </c>
      <c r="N212" s="23"/>
      <c r="O212" s="23"/>
      <c r="P212" s="24"/>
      <c r="Q212" s="24"/>
      <c r="R212" s="24"/>
      <c r="S212" s="22" t="str">
        <f t="shared" si="17"/>
        <v/>
      </c>
      <c r="T212" s="22" t="str">
        <f t="shared" si="18"/>
        <v/>
      </c>
      <c r="U212" s="25"/>
      <c r="V212" s="25"/>
      <c r="W212" s="25"/>
      <c r="X212" s="25"/>
      <c r="Y212" s="22" t="str">
        <f t="shared" si="19"/>
        <v/>
      </c>
      <c r="Z212" s="25"/>
      <c r="AA212" s="25"/>
      <c r="AB212" s="25"/>
      <c r="AC212" s="25"/>
      <c r="AD212" s="25"/>
      <c r="AE212" s="25"/>
      <c r="AF212" s="25"/>
      <c r="AG212" s="9"/>
      <c r="AH212" s="29"/>
      <c r="AI212" s="29"/>
      <c r="AM212" s="50"/>
      <c r="AN212" s="51" t="s">
        <v>1135</v>
      </c>
      <c r="AO212" s="55" t="s">
        <v>1136</v>
      </c>
    </row>
    <row r="213" spans="1:41" ht="57" hidden="1" customHeight="1" x14ac:dyDescent="0.3">
      <c r="A213" s="20">
        <v>209</v>
      </c>
      <c r="B213" s="8" t="s">
        <v>1137</v>
      </c>
      <c r="C213" s="26">
        <v>2025</v>
      </c>
      <c r="D213" s="8"/>
      <c r="E213" s="8" t="s">
        <v>1138</v>
      </c>
      <c r="F213" s="20" t="s">
        <v>54</v>
      </c>
      <c r="G213" s="21" t="s">
        <v>64</v>
      </c>
      <c r="H213" s="21" t="s">
        <v>64</v>
      </c>
      <c r="I213" s="21" t="s">
        <v>53</v>
      </c>
      <c r="J213" s="21" t="s">
        <v>53</v>
      </c>
      <c r="K213" s="21" t="s">
        <v>53</v>
      </c>
      <c r="L213" s="22" t="str">
        <f t="shared" si="15"/>
        <v>EXCLUDE</v>
      </c>
      <c r="M213" s="22" t="str">
        <f t="shared" si="16"/>
        <v>Wrong domain (non-AECO)</v>
      </c>
      <c r="N213" s="23"/>
      <c r="O213" s="23"/>
      <c r="P213" s="24"/>
      <c r="Q213" s="24"/>
      <c r="R213" s="24"/>
      <c r="S213" s="22" t="str">
        <f t="shared" si="17"/>
        <v/>
      </c>
      <c r="T213" s="22" t="str">
        <f t="shared" si="18"/>
        <v/>
      </c>
      <c r="U213" s="25"/>
      <c r="V213" s="25"/>
      <c r="W213" s="25"/>
      <c r="X213" s="25"/>
      <c r="Y213" s="22" t="str">
        <f t="shared" si="19"/>
        <v/>
      </c>
      <c r="Z213" s="25"/>
      <c r="AA213" s="25"/>
      <c r="AB213" s="25"/>
      <c r="AC213" s="25"/>
      <c r="AD213" s="25"/>
      <c r="AE213" s="25"/>
      <c r="AF213" s="25"/>
      <c r="AG213" s="9"/>
      <c r="AH213" s="29"/>
      <c r="AI213" s="29"/>
      <c r="AM213" s="50"/>
      <c r="AN213" s="51" t="s">
        <v>1139</v>
      </c>
      <c r="AO213" s="55" t="s">
        <v>1140</v>
      </c>
    </row>
    <row r="214" spans="1:41" ht="79.95" hidden="1" customHeight="1" x14ac:dyDescent="0.3">
      <c r="A214" s="20">
        <v>210</v>
      </c>
      <c r="B214" s="8" t="s">
        <v>1141</v>
      </c>
      <c r="C214" s="26">
        <v>2025</v>
      </c>
      <c r="D214" s="8"/>
      <c r="E214" s="8" t="s">
        <v>1142</v>
      </c>
      <c r="F214" s="20" t="s">
        <v>54</v>
      </c>
      <c r="G214" s="21" t="s">
        <v>53</v>
      </c>
      <c r="H214" s="21" t="s">
        <v>64</v>
      </c>
      <c r="I214" s="21" t="s">
        <v>53</v>
      </c>
      <c r="J214" s="21" t="s">
        <v>53</v>
      </c>
      <c r="K214" s="21" t="s">
        <v>53</v>
      </c>
      <c r="L214" s="22" t="str">
        <f t="shared" si="15"/>
        <v>EXCLUDE</v>
      </c>
      <c r="M214" s="22" t="str">
        <f t="shared" si="16"/>
        <v>Digital Twin not core / buzzword</v>
      </c>
      <c r="N214" s="23"/>
      <c r="O214" s="23"/>
      <c r="P214" s="24"/>
      <c r="Q214" s="24"/>
      <c r="R214" s="24"/>
      <c r="S214" s="22" t="str">
        <f t="shared" si="17"/>
        <v/>
      </c>
      <c r="T214" s="22" t="str">
        <f t="shared" si="18"/>
        <v/>
      </c>
      <c r="U214" s="25"/>
      <c r="V214" s="25"/>
      <c r="W214" s="25"/>
      <c r="X214" s="25"/>
      <c r="Y214" s="22" t="str">
        <f t="shared" si="19"/>
        <v/>
      </c>
      <c r="Z214" s="25"/>
      <c r="AA214" s="25"/>
      <c r="AB214" s="25"/>
      <c r="AC214" s="25"/>
      <c r="AD214" s="25"/>
      <c r="AE214" s="25"/>
      <c r="AF214" s="25"/>
      <c r="AG214" s="9"/>
      <c r="AH214" s="29"/>
      <c r="AI214" s="29"/>
      <c r="AM214" s="50"/>
      <c r="AN214" s="51" t="s">
        <v>1143</v>
      </c>
      <c r="AO214" s="55" t="s">
        <v>1144</v>
      </c>
    </row>
    <row r="215" spans="1:41" ht="91.2" hidden="1" customHeight="1" x14ac:dyDescent="0.3">
      <c r="A215" s="20">
        <v>211</v>
      </c>
      <c r="B215" s="8" t="s">
        <v>1145</v>
      </c>
      <c r="C215" s="26">
        <v>2026</v>
      </c>
      <c r="D215" s="8"/>
      <c r="E215" s="8" t="s">
        <v>1146</v>
      </c>
      <c r="F215" s="20" t="s">
        <v>54</v>
      </c>
      <c r="G215" s="21" t="s">
        <v>53</v>
      </c>
      <c r="H215" s="21" t="s">
        <v>64</v>
      </c>
      <c r="I215" s="21" t="s">
        <v>53</v>
      </c>
      <c r="J215" s="21" t="s">
        <v>53</v>
      </c>
      <c r="K215" s="21" t="s">
        <v>53</v>
      </c>
      <c r="L215" s="22" t="str">
        <f t="shared" si="15"/>
        <v>EXCLUDE</v>
      </c>
      <c r="M215" s="22" t="str">
        <f t="shared" si="16"/>
        <v>Digital Twin not core / buzzword</v>
      </c>
      <c r="N215" s="23"/>
      <c r="O215" s="23"/>
      <c r="P215" s="24"/>
      <c r="Q215" s="24"/>
      <c r="R215" s="24"/>
      <c r="S215" s="22" t="str">
        <f t="shared" si="17"/>
        <v/>
      </c>
      <c r="T215" s="22" t="str">
        <f t="shared" si="18"/>
        <v/>
      </c>
      <c r="U215" s="25"/>
      <c r="V215" s="25"/>
      <c r="W215" s="25"/>
      <c r="X215" s="25"/>
      <c r="Y215" s="22" t="str">
        <f t="shared" si="19"/>
        <v/>
      </c>
      <c r="Z215" s="25"/>
      <c r="AA215" s="25"/>
      <c r="AB215" s="25"/>
      <c r="AC215" s="25"/>
      <c r="AD215" s="25"/>
      <c r="AE215" s="25"/>
      <c r="AF215" s="25"/>
      <c r="AG215" s="9"/>
      <c r="AH215" s="29"/>
      <c r="AI215" s="29"/>
      <c r="AM215" s="50"/>
      <c r="AN215" s="51" t="s">
        <v>1147</v>
      </c>
      <c r="AO215" s="55" t="s">
        <v>1148</v>
      </c>
    </row>
    <row r="216" spans="1:41" ht="68.400000000000006" hidden="1" customHeight="1" x14ac:dyDescent="0.3">
      <c r="A216" s="20">
        <v>212</v>
      </c>
      <c r="B216" s="8" t="s">
        <v>412</v>
      </c>
      <c r="C216" s="26">
        <v>2025</v>
      </c>
      <c r="D216" s="8"/>
      <c r="E216" s="8" t="s">
        <v>1149</v>
      </c>
      <c r="F216" s="20" t="s">
        <v>54</v>
      </c>
      <c r="G216" s="21" t="s">
        <v>53</v>
      </c>
      <c r="H216" s="21" t="s">
        <v>53</v>
      </c>
      <c r="I216" s="21" t="s">
        <v>53</v>
      </c>
      <c r="J216" s="21" t="s">
        <v>53</v>
      </c>
      <c r="K216" s="21" t="s">
        <v>53</v>
      </c>
      <c r="L216" s="22" t="str">
        <f t="shared" si="15"/>
        <v>INCLUDE</v>
      </c>
      <c r="M216" s="22" t="str">
        <f t="shared" si="16"/>
        <v/>
      </c>
      <c r="N216" s="23" t="s">
        <v>64</v>
      </c>
      <c r="O216" s="23" t="s">
        <v>64</v>
      </c>
      <c r="P216" s="24"/>
      <c r="Q216" s="24"/>
      <c r="R216" s="24"/>
      <c r="S216" s="22" t="str">
        <f t="shared" si="17"/>
        <v/>
      </c>
      <c r="T216" s="22" t="str">
        <f t="shared" si="18"/>
        <v/>
      </c>
      <c r="U216" s="25"/>
      <c r="V216" s="25"/>
      <c r="W216" s="25"/>
      <c r="X216" s="25"/>
      <c r="Y216" s="22" t="str">
        <f t="shared" si="19"/>
        <v/>
      </c>
      <c r="Z216" s="25"/>
      <c r="AA216" s="25"/>
      <c r="AB216" s="25"/>
      <c r="AC216" s="25"/>
      <c r="AD216" s="25"/>
      <c r="AE216" s="25"/>
      <c r="AF216" s="25"/>
      <c r="AG216" s="9"/>
      <c r="AH216" s="29"/>
      <c r="AI216" s="29"/>
      <c r="AM216" s="50"/>
      <c r="AN216" s="51" t="s">
        <v>1150</v>
      </c>
      <c r="AO216" s="55" t="s">
        <v>1151</v>
      </c>
    </row>
    <row r="217" spans="1:41" ht="57" hidden="1" customHeight="1" x14ac:dyDescent="0.3">
      <c r="A217" s="20">
        <v>213</v>
      </c>
      <c r="B217" s="8" t="s">
        <v>1152</v>
      </c>
      <c r="C217" s="26">
        <v>2026</v>
      </c>
      <c r="D217" s="8"/>
      <c r="E217" s="8" t="s">
        <v>1153</v>
      </c>
      <c r="F217" s="20" t="s">
        <v>54</v>
      </c>
      <c r="G217" s="21" t="s">
        <v>64</v>
      </c>
      <c r="H217" s="21" t="s">
        <v>53</v>
      </c>
      <c r="I217" s="21" t="s">
        <v>64</v>
      </c>
      <c r="J217" s="21" t="s">
        <v>53</v>
      </c>
      <c r="K217" s="21" t="s">
        <v>53</v>
      </c>
      <c r="L217" s="22" t="str">
        <f t="shared" si="15"/>
        <v>EXCLUDE</v>
      </c>
      <c r="M217" s="22" t="str">
        <f t="shared" si="16"/>
        <v>Wrong domain (non-AECO)</v>
      </c>
      <c r="N217" s="23"/>
      <c r="O217" s="23"/>
      <c r="P217" s="24"/>
      <c r="Q217" s="24"/>
      <c r="R217" s="24"/>
      <c r="S217" s="22" t="str">
        <f t="shared" si="17"/>
        <v/>
      </c>
      <c r="T217" s="22" t="str">
        <f t="shared" si="18"/>
        <v/>
      </c>
      <c r="U217" s="25"/>
      <c r="V217" s="25"/>
      <c r="W217" s="25"/>
      <c r="X217" s="25"/>
      <c r="Y217" s="22" t="str">
        <f t="shared" si="19"/>
        <v/>
      </c>
      <c r="Z217" s="25"/>
      <c r="AA217" s="25"/>
      <c r="AB217" s="25"/>
      <c r="AC217" s="25"/>
      <c r="AD217" s="25"/>
      <c r="AE217" s="25"/>
      <c r="AF217" s="25"/>
      <c r="AG217" s="9"/>
      <c r="AH217" s="29"/>
      <c r="AI217" s="29"/>
      <c r="AM217" s="50"/>
      <c r="AN217" s="51" t="s">
        <v>1154</v>
      </c>
      <c r="AO217" s="55" t="s">
        <v>1155</v>
      </c>
    </row>
    <row r="218" spans="1:41" ht="57" hidden="1" customHeight="1" x14ac:dyDescent="0.3">
      <c r="A218" s="20">
        <v>214</v>
      </c>
      <c r="B218" s="8" t="s">
        <v>1156</v>
      </c>
      <c r="C218" s="26">
        <v>2025</v>
      </c>
      <c r="D218" s="8"/>
      <c r="E218" s="8" t="s">
        <v>1157</v>
      </c>
      <c r="F218" s="20" t="s">
        <v>54</v>
      </c>
      <c r="G218" s="21" t="s">
        <v>53</v>
      </c>
      <c r="H218" s="21" t="s">
        <v>53</v>
      </c>
      <c r="I218" s="21" t="s">
        <v>64</v>
      </c>
      <c r="J218" s="21" t="s">
        <v>53</v>
      </c>
      <c r="K218" s="21" t="s">
        <v>53</v>
      </c>
      <c r="L218" s="22" t="str">
        <f t="shared" si="15"/>
        <v>EXCLUDE</v>
      </c>
      <c r="M218" s="22" t="str">
        <f t="shared" si="16"/>
        <v>No Design for Safety/Quality/PtD</v>
      </c>
      <c r="N218" s="23"/>
      <c r="O218" s="23"/>
      <c r="P218" s="24"/>
      <c r="Q218" s="24"/>
      <c r="R218" s="24"/>
      <c r="S218" s="22" t="str">
        <f t="shared" si="17"/>
        <v/>
      </c>
      <c r="T218" s="22" t="str">
        <f t="shared" si="18"/>
        <v/>
      </c>
      <c r="U218" s="25"/>
      <c r="V218" s="25"/>
      <c r="W218" s="25"/>
      <c r="X218" s="25"/>
      <c r="Y218" s="22" t="str">
        <f t="shared" si="19"/>
        <v/>
      </c>
      <c r="Z218" s="25"/>
      <c r="AA218" s="25"/>
      <c r="AB218" s="25"/>
      <c r="AC218" s="25"/>
      <c r="AD218" s="25"/>
      <c r="AE218" s="25"/>
      <c r="AF218" s="25"/>
      <c r="AG218" s="9"/>
      <c r="AH218" s="29"/>
      <c r="AI218" s="29"/>
      <c r="AM218" s="50"/>
      <c r="AN218" s="51" t="s">
        <v>1158</v>
      </c>
      <c r="AO218" s="55" t="s">
        <v>1159</v>
      </c>
    </row>
    <row r="219" spans="1:41" ht="68.400000000000006" customHeight="1" x14ac:dyDescent="0.3">
      <c r="A219" s="20">
        <v>215</v>
      </c>
      <c r="B219" s="8" t="s">
        <v>1160</v>
      </c>
      <c r="C219" s="26">
        <v>2025</v>
      </c>
      <c r="D219" s="8"/>
      <c r="E219" s="8" t="s">
        <v>1161</v>
      </c>
      <c r="F219" s="20" t="s">
        <v>54</v>
      </c>
      <c r="G219" s="21" t="s">
        <v>53</v>
      </c>
      <c r="H219" s="21" t="s">
        <v>53</v>
      </c>
      <c r="I219" s="21" t="s">
        <v>53</v>
      </c>
      <c r="J219" s="21" t="s">
        <v>53</v>
      </c>
      <c r="K219" s="21" t="s">
        <v>53</v>
      </c>
      <c r="L219" s="22" t="str">
        <f t="shared" si="15"/>
        <v>INCLUDE</v>
      </c>
      <c r="M219" s="22" t="str">
        <f t="shared" si="16"/>
        <v/>
      </c>
      <c r="N219" s="23" t="s">
        <v>53</v>
      </c>
      <c r="O219" s="23" t="s">
        <v>53</v>
      </c>
      <c r="P219" s="24" t="s">
        <v>53</v>
      </c>
      <c r="Q219" s="24" t="s">
        <v>53</v>
      </c>
      <c r="R219" s="24" t="s">
        <v>53</v>
      </c>
      <c r="S219" s="22" t="str">
        <f t="shared" si="17"/>
        <v>INCLUDE</v>
      </c>
      <c r="T219" s="22" t="str">
        <f t="shared" si="18"/>
        <v/>
      </c>
      <c r="U219" s="25" t="s">
        <v>56</v>
      </c>
      <c r="V219" s="25">
        <v>1</v>
      </c>
      <c r="W219" s="25">
        <v>0</v>
      </c>
      <c r="X219" s="25">
        <v>0</v>
      </c>
      <c r="Y219" s="22" t="str">
        <f t="shared" si="19"/>
        <v>Single</v>
      </c>
      <c r="Z219" s="25" t="s">
        <v>9</v>
      </c>
      <c r="AA219" s="25" t="s">
        <v>57</v>
      </c>
      <c r="AB219" s="25" t="s">
        <v>101</v>
      </c>
      <c r="AC219" s="25" t="s">
        <v>70</v>
      </c>
      <c r="AD219" s="25" t="s">
        <v>60</v>
      </c>
      <c r="AE219" s="25">
        <v>3</v>
      </c>
      <c r="AF219" s="25" t="s">
        <v>72</v>
      </c>
      <c r="AG219" s="9" t="s">
        <v>1162</v>
      </c>
      <c r="AH219" s="29" t="s">
        <v>1163</v>
      </c>
      <c r="AI219" s="29" t="s">
        <v>1164</v>
      </c>
      <c r="AJ219" t="s">
        <v>91</v>
      </c>
      <c r="AK219" t="s">
        <v>1165</v>
      </c>
      <c r="AL219" t="s">
        <v>74</v>
      </c>
      <c r="AM219" s="50"/>
      <c r="AN219" s="51" t="s">
        <v>1166</v>
      </c>
      <c r="AO219" s="55" t="s">
        <v>1167</v>
      </c>
    </row>
    <row r="220" spans="1:41" ht="68.400000000000006" hidden="1" customHeight="1" x14ac:dyDescent="0.3">
      <c r="A220" s="20">
        <v>216</v>
      </c>
      <c r="B220" s="8" t="s">
        <v>1168</v>
      </c>
      <c r="C220" s="26">
        <v>2025</v>
      </c>
      <c r="D220" s="8"/>
      <c r="E220" s="8" t="s">
        <v>1169</v>
      </c>
      <c r="F220" s="20" t="s">
        <v>54</v>
      </c>
      <c r="G220" s="21" t="s">
        <v>53</v>
      </c>
      <c r="H220" s="21" t="s">
        <v>64</v>
      </c>
      <c r="I220" s="21" t="s">
        <v>53</v>
      </c>
      <c r="J220" s="21" t="s">
        <v>53</v>
      </c>
      <c r="K220" s="21" t="s">
        <v>53</v>
      </c>
      <c r="L220" s="22" t="str">
        <f t="shared" si="15"/>
        <v>EXCLUDE</v>
      </c>
      <c r="M220" s="22" t="str">
        <f t="shared" si="16"/>
        <v>Digital Twin not core / buzzword</v>
      </c>
      <c r="N220" s="23"/>
      <c r="O220" s="23"/>
      <c r="P220" s="24"/>
      <c r="Q220" s="24"/>
      <c r="R220" s="24"/>
      <c r="S220" s="22" t="str">
        <f t="shared" si="17"/>
        <v/>
      </c>
      <c r="T220" s="22" t="str">
        <f t="shared" si="18"/>
        <v/>
      </c>
      <c r="U220" s="25"/>
      <c r="V220" s="25"/>
      <c r="W220" s="25"/>
      <c r="X220" s="25"/>
      <c r="Y220" s="22" t="str">
        <f t="shared" si="19"/>
        <v/>
      </c>
      <c r="Z220" s="25"/>
      <c r="AA220" s="25"/>
      <c r="AB220" s="25"/>
      <c r="AC220" s="25"/>
      <c r="AD220" s="25"/>
      <c r="AE220" s="25"/>
      <c r="AF220" s="25"/>
      <c r="AG220" s="9"/>
      <c r="AH220" s="29"/>
      <c r="AI220" s="29"/>
      <c r="AM220" s="50"/>
      <c r="AN220" s="51" t="s">
        <v>1170</v>
      </c>
      <c r="AO220" s="55" t="s">
        <v>1171</v>
      </c>
    </row>
    <row r="221" spans="1:41" ht="91.2" customHeight="1" x14ac:dyDescent="0.3">
      <c r="A221" s="20">
        <v>217</v>
      </c>
      <c r="B221" s="8" t="s">
        <v>1172</v>
      </c>
      <c r="C221" s="26">
        <v>2026</v>
      </c>
      <c r="D221" s="8"/>
      <c r="E221" s="8" t="s">
        <v>1173</v>
      </c>
      <c r="F221" s="20" t="s">
        <v>54</v>
      </c>
      <c r="G221" s="21" t="s">
        <v>53</v>
      </c>
      <c r="H221" s="21" t="s">
        <v>53</v>
      </c>
      <c r="I221" s="21" t="s">
        <v>53</v>
      </c>
      <c r="J221" s="21" t="s">
        <v>53</v>
      </c>
      <c r="K221" s="21" t="s">
        <v>53</v>
      </c>
      <c r="L221" s="22" t="str">
        <f t="shared" si="15"/>
        <v>INCLUDE</v>
      </c>
      <c r="M221" s="22" t="str">
        <f t="shared" si="16"/>
        <v/>
      </c>
      <c r="N221" s="23" t="s">
        <v>53</v>
      </c>
      <c r="O221" s="23" t="s">
        <v>53</v>
      </c>
      <c r="P221" s="24" t="s">
        <v>53</v>
      </c>
      <c r="Q221" s="24" t="s">
        <v>53</v>
      </c>
      <c r="R221" s="24" t="s">
        <v>53</v>
      </c>
      <c r="S221" s="22" t="str">
        <f t="shared" si="17"/>
        <v>INCLUDE</v>
      </c>
      <c r="T221" s="22" t="str">
        <f t="shared" si="18"/>
        <v/>
      </c>
      <c r="U221" s="25" t="s">
        <v>67</v>
      </c>
      <c r="V221" s="25">
        <v>0</v>
      </c>
      <c r="W221" s="25">
        <v>0</v>
      </c>
      <c r="X221" s="25">
        <v>1</v>
      </c>
      <c r="Y221" s="22" t="str">
        <f t="shared" si="19"/>
        <v>Single</v>
      </c>
      <c r="Z221" s="25" t="s">
        <v>9</v>
      </c>
      <c r="AA221" s="25" t="s">
        <v>57</v>
      </c>
      <c r="AB221" s="25" t="s">
        <v>69</v>
      </c>
      <c r="AC221" s="25" t="s">
        <v>70</v>
      </c>
      <c r="AD221" s="25" t="s">
        <v>89</v>
      </c>
      <c r="AE221" s="25">
        <v>4</v>
      </c>
      <c r="AF221" s="25" t="s">
        <v>96</v>
      </c>
      <c r="AG221" s="9" t="s">
        <v>1174</v>
      </c>
      <c r="AH221" s="29" t="s">
        <v>1175</v>
      </c>
      <c r="AI221" s="29" t="s">
        <v>1176</v>
      </c>
      <c r="AJ221" t="s">
        <v>91</v>
      </c>
      <c r="AK221" t="s">
        <v>1177</v>
      </c>
      <c r="AL221" t="s">
        <v>63</v>
      </c>
      <c r="AM221" s="50"/>
      <c r="AN221" s="51" t="s">
        <v>1178</v>
      </c>
      <c r="AO221" s="55" t="s">
        <v>1179</v>
      </c>
    </row>
    <row r="222" spans="1:41" ht="57" hidden="1" customHeight="1" x14ac:dyDescent="0.3">
      <c r="A222" s="20">
        <v>218</v>
      </c>
      <c r="B222" s="8" t="s">
        <v>1180</v>
      </c>
      <c r="C222" s="26">
        <v>2026</v>
      </c>
      <c r="D222" s="8"/>
      <c r="E222" s="8" t="s">
        <v>1181</v>
      </c>
      <c r="F222" s="20" t="s">
        <v>54</v>
      </c>
      <c r="G222" s="21" t="s">
        <v>64</v>
      </c>
      <c r="H222" s="21" t="s">
        <v>53</v>
      </c>
      <c r="I222" s="21" t="s">
        <v>53</v>
      </c>
      <c r="J222" s="21" t="s">
        <v>53</v>
      </c>
      <c r="K222" s="21" t="s">
        <v>53</v>
      </c>
      <c r="L222" s="22" t="str">
        <f t="shared" si="15"/>
        <v>EXCLUDE</v>
      </c>
      <c r="M222" s="22" t="str">
        <f t="shared" si="16"/>
        <v>Wrong domain (non-AECO)</v>
      </c>
      <c r="N222" s="23"/>
      <c r="O222" s="23"/>
      <c r="P222" s="24"/>
      <c r="Q222" s="24"/>
      <c r="R222" s="24"/>
      <c r="S222" s="22" t="str">
        <f t="shared" si="17"/>
        <v/>
      </c>
      <c r="T222" s="22" t="str">
        <f t="shared" si="18"/>
        <v/>
      </c>
      <c r="U222" s="25"/>
      <c r="V222" s="25"/>
      <c r="W222" s="25"/>
      <c r="X222" s="25"/>
      <c r="Y222" s="22" t="str">
        <f t="shared" si="19"/>
        <v/>
      </c>
      <c r="Z222" s="25"/>
      <c r="AA222" s="25"/>
      <c r="AB222" s="25"/>
      <c r="AC222" s="25"/>
      <c r="AD222" s="25"/>
      <c r="AE222" s="25"/>
      <c r="AF222" s="25"/>
      <c r="AG222" s="9"/>
      <c r="AH222" s="29"/>
      <c r="AI222" s="29"/>
      <c r="AM222" s="50"/>
      <c r="AN222" s="51" t="s">
        <v>1182</v>
      </c>
      <c r="AO222" s="55" t="s">
        <v>1183</v>
      </c>
    </row>
    <row r="223" spans="1:41" ht="102.6" customHeight="1" x14ac:dyDescent="0.3">
      <c r="A223" s="20">
        <v>219</v>
      </c>
      <c r="B223" s="8" t="s">
        <v>524</v>
      </c>
      <c r="C223" s="26">
        <v>2026</v>
      </c>
      <c r="D223" s="8"/>
      <c r="E223" s="8" t="s">
        <v>1184</v>
      </c>
      <c r="F223" s="20" t="s">
        <v>54</v>
      </c>
      <c r="G223" s="21" t="s">
        <v>53</v>
      </c>
      <c r="H223" s="21" t="s">
        <v>53</v>
      </c>
      <c r="I223" s="21" t="s">
        <v>53</v>
      </c>
      <c r="J223" s="21" t="s">
        <v>53</v>
      </c>
      <c r="K223" s="21" t="s">
        <v>53</v>
      </c>
      <c r="L223" s="22" t="str">
        <f t="shared" si="15"/>
        <v>INCLUDE</v>
      </c>
      <c r="M223" s="22" t="str">
        <f t="shared" si="16"/>
        <v/>
      </c>
      <c r="N223" s="23" t="s">
        <v>53</v>
      </c>
      <c r="O223" s="23" t="s">
        <v>53</v>
      </c>
      <c r="P223" s="24" t="s">
        <v>53</v>
      </c>
      <c r="Q223" s="24" t="s">
        <v>53</v>
      </c>
      <c r="R223" s="24" t="s">
        <v>53</v>
      </c>
      <c r="S223" s="22" t="str">
        <f t="shared" si="17"/>
        <v>INCLUDE</v>
      </c>
      <c r="T223" s="22" t="str">
        <f t="shared" si="18"/>
        <v/>
      </c>
      <c r="U223" s="25" t="s">
        <v>67</v>
      </c>
      <c r="V223" s="25">
        <v>0</v>
      </c>
      <c r="W223" s="25">
        <v>1</v>
      </c>
      <c r="X223" s="25">
        <v>0</v>
      </c>
      <c r="Y223" s="22" t="str">
        <f t="shared" si="19"/>
        <v>Single</v>
      </c>
      <c r="Z223" s="25" t="s">
        <v>9</v>
      </c>
      <c r="AA223" s="25" t="s">
        <v>78</v>
      </c>
      <c r="AB223" s="25" t="s">
        <v>88</v>
      </c>
      <c r="AC223" s="25" t="s">
        <v>70</v>
      </c>
      <c r="AD223" s="25" t="s">
        <v>89</v>
      </c>
      <c r="AE223" s="25">
        <v>4</v>
      </c>
      <c r="AF223" s="25" t="s">
        <v>96</v>
      </c>
      <c r="AG223" s="9" t="s">
        <v>1185</v>
      </c>
      <c r="AH223" s="29" t="s">
        <v>1186</v>
      </c>
      <c r="AI223" s="29" t="s">
        <v>1187</v>
      </c>
      <c r="AJ223" t="s">
        <v>91</v>
      </c>
      <c r="AK223" t="s">
        <v>1188</v>
      </c>
      <c r="AL223" t="s">
        <v>63</v>
      </c>
      <c r="AM223" s="50"/>
      <c r="AN223" s="51" t="s">
        <v>1189</v>
      </c>
      <c r="AO223" s="55" t="s">
        <v>1190</v>
      </c>
    </row>
    <row r="224" spans="1:41" ht="57" hidden="1" customHeight="1" x14ac:dyDescent="0.3">
      <c r="A224" s="20">
        <v>220</v>
      </c>
      <c r="B224" s="8" t="s">
        <v>1191</v>
      </c>
      <c r="C224" s="26">
        <v>2025</v>
      </c>
      <c r="D224" s="8"/>
      <c r="E224" s="8" t="s">
        <v>1192</v>
      </c>
      <c r="F224" s="20" t="s">
        <v>54</v>
      </c>
      <c r="G224" s="21" t="s">
        <v>64</v>
      </c>
      <c r="H224" s="21" t="s">
        <v>64</v>
      </c>
      <c r="I224" s="21" t="s">
        <v>64</v>
      </c>
      <c r="J224" s="21" t="s">
        <v>53</v>
      </c>
      <c r="K224" s="21" t="s">
        <v>64</v>
      </c>
      <c r="L224" s="22" t="str">
        <f t="shared" si="15"/>
        <v>EXCLUDE</v>
      </c>
      <c r="M224" s="22" t="str">
        <f t="shared" si="16"/>
        <v>Wrong domain (non-AECO)</v>
      </c>
      <c r="N224" s="23"/>
      <c r="O224" s="23"/>
      <c r="P224" s="24"/>
      <c r="Q224" s="24"/>
      <c r="R224" s="24"/>
      <c r="S224" s="22" t="str">
        <f t="shared" si="17"/>
        <v/>
      </c>
      <c r="T224" s="22" t="str">
        <f t="shared" si="18"/>
        <v/>
      </c>
      <c r="U224" s="25"/>
      <c r="V224" s="25"/>
      <c r="W224" s="25"/>
      <c r="X224" s="25"/>
      <c r="Y224" s="22" t="str">
        <f t="shared" si="19"/>
        <v/>
      </c>
      <c r="Z224" s="25"/>
      <c r="AA224" s="25"/>
      <c r="AB224" s="25"/>
      <c r="AC224" s="25"/>
      <c r="AD224" s="25"/>
      <c r="AE224" s="25"/>
      <c r="AF224" s="25"/>
      <c r="AG224" s="9"/>
      <c r="AH224" s="29"/>
      <c r="AI224" s="29"/>
      <c r="AM224" s="50"/>
      <c r="AN224" s="51" t="s">
        <v>1193</v>
      </c>
      <c r="AO224" s="55" t="s">
        <v>1194</v>
      </c>
    </row>
    <row r="225" spans="1:41" ht="115.2" hidden="1" customHeight="1" x14ac:dyDescent="0.3">
      <c r="A225" s="20">
        <v>221</v>
      </c>
      <c r="B225" s="8" t="s">
        <v>1195</v>
      </c>
      <c r="C225" s="26">
        <v>2025</v>
      </c>
      <c r="D225" s="8"/>
      <c r="E225" s="8" t="s">
        <v>1196</v>
      </c>
      <c r="F225" s="20" t="s">
        <v>54</v>
      </c>
      <c r="G225" s="21" t="s">
        <v>64</v>
      </c>
      <c r="H225" s="21" t="s">
        <v>53</v>
      </c>
      <c r="I225" s="21" t="s">
        <v>64</v>
      </c>
      <c r="J225" s="21" t="s">
        <v>53</v>
      </c>
      <c r="K225" s="21" t="s">
        <v>53</v>
      </c>
      <c r="L225" s="22" t="str">
        <f t="shared" si="15"/>
        <v>EXCLUDE</v>
      </c>
      <c r="M225" s="22" t="str">
        <f t="shared" si="16"/>
        <v>Wrong domain (non-AECO)</v>
      </c>
      <c r="N225" s="23"/>
      <c r="O225" s="23"/>
      <c r="P225" s="24"/>
      <c r="Q225" s="24"/>
      <c r="R225" s="24"/>
      <c r="S225" s="22" t="str">
        <f t="shared" si="17"/>
        <v/>
      </c>
      <c r="T225" s="22" t="str">
        <f t="shared" si="18"/>
        <v/>
      </c>
      <c r="U225" s="25"/>
      <c r="V225" s="25"/>
      <c r="W225" s="25"/>
      <c r="X225" s="25"/>
      <c r="Y225" s="22" t="str">
        <f t="shared" si="19"/>
        <v/>
      </c>
      <c r="Z225" s="25"/>
      <c r="AA225" s="25"/>
      <c r="AB225" s="25"/>
      <c r="AC225" s="25"/>
      <c r="AD225" s="25"/>
      <c r="AE225" s="25"/>
      <c r="AF225" s="25"/>
      <c r="AG225" s="9"/>
      <c r="AH225" s="29"/>
      <c r="AI225" s="29"/>
      <c r="AM225" s="50"/>
      <c r="AN225" s="51" t="s">
        <v>1197</v>
      </c>
      <c r="AO225" s="55" t="s">
        <v>1198</v>
      </c>
    </row>
    <row r="226" spans="1:41" ht="34.200000000000003" hidden="1" customHeight="1" x14ac:dyDescent="0.3">
      <c r="A226" s="20">
        <v>222</v>
      </c>
      <c r="B226" s="8" t="s">
        <v>1199</v>
      </c>
      <c r="C226" s="26">
        <v>2026</v>
      </c>
      <c r="D226" s="8"/>
      <c r="E226" s="8" t="s">
        <v>1200</v>
      </c>
      <c r="F226" s="20" t="s">
        <v>54</v>
      </c>
      <c r="G226" s="21" t="s">
        <v>64</v>
      </c>
      <c r="H226" s="21" t="s">
        <v>53</v>
      </c>
      <c r="I226" s="21" t="s">
        <v>64</v>
      </c>
      <c r="J226" s="21" t="s">
        <v>53</v>
      </c>
      <c r="K226" s="21" t="s">
        <v>53</v>
      </c>
      <c r="L226" s="22" t="str">
        <f t="shared" si="15"/>
        <v>EXCLUDE</v>
      </c>
      <c r="M226" s="22" t="str">
        <f t="shared" si="16"/>
        <v>Wrong domain (non-AECO)</v>
      </c>
      <c r="N226" s="23"/>
      <c r="O226" s="23"/>
      <c r="P226" s="24"/>
      <c r="Q226" s="24"/>
      <c r="R226" s="24"/>
      <c r="S226" s="22" t="str">
        <f t="shared" si="17"/>
        <v/>
      </c>
      <c r="T226" s="22" t="str">
        <f t="shared" si="18"/>
        <v/>
      </c>
      <c r="U226" s="25"/>
      <c r="V226" s="25"/>
      <c r="W226" s="25"/>
      <c r="X226" s="25"/>
      <c r="Y226" s="22" t="str">
        <f t="shared" si="19"/>
        <v/>
      </c>
      <c r="Z226" s="25"/>
      <c r="AA226" s="25"/>
      <c r="AB226" s="25"/>
      <c r="AC226" s="25"/>
      <c r="AD226" s="25"/>
      <c r="AE226" s="25"/>
      <c r="AF226" s="25"/>
      <c r="AG226" s="9"/>
      <c r="AH226" s="29"/>
      <c r="AI226" s="29"/>
      <c r="AM226" s="50"/>
      <c r="AN226" s="51" t="s">
        <v>1201</v>
      </c>
      <c r="AO226" s="55" t="s">
        <v>1202</v>
      </c>
    </row>
    <row r="227" spans="1:41" ht="79.95" hidden="1" customHeight="1" x14ac:dyDescent="0.3">
      <c r="A227" s="20">
        <v>223</v>
      </c>
      <c r="B227" s="8" t="s">
        <v>1203</v>
      </c>
      <c r="C227" s="26">
        <v>2026</v>
      </c>
      <c r="D227" s="8"/>
      <c r="E227" s="8" t="s">
        <v>1204</v>
      </c>
      <c r="F227" s="20" t="s">
        <v>54</v>
      </c>
      <c r="G227" s="21" t="s">
        <v>64</v>
      </c>
      <c r="H227" s="21" t="s">
        <v>53</v>
      </c>
      <c r="I227" s="21" t="s">
        <v>53</v>
      </c>
      <c r="J227" s="21" t="s">
        <v>53</v>
      </c>
      <c r="K227" s="21" t="s">
        <v>53</v>
      </c>
      <c r="L227" s="22" t="str">
        <f t="shared" si="15"/>
        <v>EXCLUDE</v>
      </c>
      <c r="M227" s="22" t="str">
        <f t="shared" si="16"/>
        <v>Wrong domain (non-AECO)</v>
      </c>
      <c r="N227" s="23"/>
      <c r="O227" s="23"/>
      <c r="P227" s="24"/>
      <c r="Q227" s="24"/>
      <c r="R227" s="24"/>
      <c r="S227" s="22" t="str">
        <f t="shared" si="17"/>
        <v/>
      </c>
      <c r="T227" s="22" t="str">
        <f t="shared" si="18"/>
        <v/>
      </c>
      <c r="U227" s="25"/>
      <c r="V227" s="25"/>
      <c r="W227" s="25"/>
      <c r="X227" s="25"/>
      <c r="Y227" s="22" t="str">
        <f t="shared" si="19"/>
        <v/>
      </c>
      <c r="Z227" s="25"/>
      <c r="AA227" s="25"/>
      <c r="AB227" s="25"/>
      <c r="AC227" s="25"/>
      <c r="AD227" s="25"/>
      <c r="AE227" s="25"/>
      <c r="AF227" s="25"/>
      <c r="AG227" s="9"/>
      <c r="AH227" s="29"/>
      <c r="AI227" s="29"/>
      <c r="AM227" s="50"/>
      <c r="AN227" s="51" t="s">
        <v>1205</v>
      </c>
      <c r="AO227" s="55" t="s">
        <v>1206</v>
      </c>
    </row>
    <row r="228" spans="1:41" ht="79.95" hidden="1" customHeight="1" x14ac:dyDescent="0.3">
      <c r="A228" s="20">
        <v>224</v>
      </c>
      <c r="B228" s="8" t="s">
        <v>1207</v>
      </c>
      <c r="C228" s="26">
        <v>2025</v>
      </c>
      <c r="D228" s="8"/>
      <c r="E228" s="8" t="s">
        <v>1208</v>
      </c>
      <c r="F228" s="20" t="s">
        <v>54</v>
      </c>
      <c r="G228" s="21" t="s">
        <v>64</v>
      </c>
      <c r="H228" s="21" t="s">
        <v>64</v>
      </c>
      <c r="I228" s="21" t="s">
        <v>64</v>
      </c>
      <c r="J228" s="21" t="s">
        <v>53</v>
      </c>
      <c r="K228" s="21" t="s">
        <v>64</v>
      </c>
      <c r="L228" s="22" t="str">
        <f t="shared" si="15"/>
        <v>EXCLUDE</v>
      </c>
      <c r="M228" s="22" t="str">
        <f t="shared" si="16"/>
        <v>Wrong domain (non-AECO)</v>
      </c>
      <c r="N228" s="23"/>
      <c r="O228" s="23"/>
      <c r="P228" s="24"/>
      <c r="Q228" s="24"/>
      <c r="R228" s="24"/>
      <c r="S228" s="22" t="str">
        <f t="shared" si="17"/>
        <v/>
      </c>
      <c r="T228" s="22" t="str">
        <f t="shared" si="18"/>
        <v/>
      </c>
      <c r="U228" s="25"/>
      <c r="V228" s="25"/>
      <c r="W228" s="25"/>
      <c r="X228" s="25"/>
      <c r="Y228" s="22" t="str">
        <f t="shared" si="19"/>
        <v/>
      </c>
      <c r="Z228" s="25"/>
      <c r="AA228" s="25"/>
      <c r="AB228" s="25"/>
      <c r="AC228" s="25"/>
      <c r="AD228" s="25"/>
      <c r="AE228" s="25"/>
      <c r="AF228" s="25"/>
      <c r="AG228" s="9"/>
      <c r="AH228" s="29"/>
      <c r="AI228" s="29"/>
      <c r="AM228" s="50"/>
      <c r="AN228" s="51" t="s">
        <v>1209</v>
      </c>
      <c r="AO228" s="55" t="s">
        <v>1210</v>
      </c>
    </row>
    <row r="229" spans="1:41" ht="102.6" hidden="1" customHeight="1" x14ac:dyDescent="0.3">
      <c r="A229" s="20">
        <v>225</v>
      </c>
      <c r="B229" s="8" t="s">
        <v>1211</v>
      </c>
      <c r="C229" s="26">
        <v>2026</v>
      </c>
      <c r="D229" s="8"/>
      <c r="E229" s="8" t="s">
        <v>1212</v>
      </c>
      <c r="F229" s="20" t="s">
        <v>54</v>
      </c>
      <c r="G229" s="21" t="s">
        <v>53</v>
      </c>
      <c r="H229" s="21" t="s">
        <v>64</v>
      </c>
      <c r="I229" s="21" t="s">
        <v>64</v>
      </c>
      <c r="J229" s="21" t="s">
        <v>53</v>
      </c>
      <c r="K229" s="21" t="s">
        <v>53</v>
      </c>
      <c r="L229" s="22" t="str">
        <f t="shared" si="15"/>
        <v>EXCLUDE</v>
      </c>
      <c r="M229" s="22" t="str">
        <f t="shared" si="16"/>
        <v>Digital Twin not core / buzzword</v>
      </c>
      <c r="N229" s="23"/>
      <c r="O229" s="23"/>
      <c r="P229" s="24"/>
      <c r="Q229" s="24"/>
      <c r="R229" s="24"/>
      <c r="S229" s="22" t="str">
        <f t="shared" si="17"/>
        <v/>
      </c>
      <c r="T229" s="22" t="str">
        <f t="shared" si="18"/>
        <v/>
      </c>
      <c r="U229" s="25"/>
      <c r="V229" s="25"/>
      <c r="W229" s="25"/>
      <c r="X229" s="25"/>
      <c r="Y229" s="22" t="str">
        <f t="shared" si="19"/>
        <v/>
      </c>
      <c r="Z229" s="25"/>
      <c r="AA229" s="25"/>
      <c r="AB229" s="25"/>
      <c r="AC229" s="25"/>
      <c r="AD229" s="25"/>
      <c r="AE229" s="25"/>
      <c r="AF229" s="25"/>
      <c r="AG229" s="9"/>
      <c r="AH229" s="29"/>
      <c r="AI229" s="29"/>
      <c r="AM229" s="50"/>
      <c r="AN229" s="51" t="s">
        <v>1213</v>
      </c>
      <c r="AO229" s="55" t="s">
        <v>1214</v>
      </c>
    </row>
    <row r="230" spans="1:41" ht="79.95" hidden="1" customHeight="1" x14ac:dyDescent="0.3">
      <c r="A230" s="20">
        <v>226</v>
      </c>
      <c r="B230" s="8" t="s">
        <v>1215</v>
      </c>
      <c r="C230" s="26">
        <v>2026</v>
      </c>
      <c r="D230" s="8"/>
      <c r="E230" s="8" t="s">
        <v>1216</v>
      </c>
      <c r="F230" s="20" t="s">
        <v>54</v>
      </c>
      <c r="G230" s="21" t="s">
        <v>64</v>
      </c>
      <c r="H230" s="21" t="s">
        <v>53</v>
      </c>
      <c r="I230" s="21" t="s">
        <v>53</v>
      </c>
      <c r="J230" s="21" t="s">
        <v>53</v>
      </c>
      <c r="K230" s="21" t="s">
        <v>53</v>
      </c>
      <c r="L230" s="22" t="str">
        <f t="shared" si="15"/>
        <v>EXCLUDE</v>
      </c>
      <c r="M230" s="22" t="str">
        <f t="shared" si="16"/>
        <v>Wrong domain (non-AECO)</v>
      </c>
      <c r="N230" s="23"/>
      <c r="O230" s="23"/>
      <c r="P230" s="24"/>
      <c r="Q230" s="24"/>
      <c r="R230" s="24"/>
      <c r="S230" s="22" t="str">
        <f t="shared" si="17"/>
        <v/>
      </c>
      <c r="T230" s="22" t="str">
        <f t="shared" si="18"/>
        <v/>
      </c>
      <c r="U230" s="25"/>
      <c r="V230" s="25"/>
      <c r="W230" s="25"/>
      <c r="X230" s="25"/>
      <c r="Y230" s="22" t="str">
        <f t="shared" si="19"/>
        <v/>
      </c>
      <c r="Z230" s="25"/>
      <c r="AA230" s="25"/>
      <c r="AB230" s="25"/>
      <c r="AC230" s="25"/>
      <c r="AD230" s="25"/>
      <c r="AE230" s="25"/>
      <c r="AF230" s="25"/>
      <c r="AG230" s="9"/>
      <c r="AH230" s="29"/>
      <c r="AI230" s="29"/>
      <c r="AM230" s="50"/>
      <c r="AN230" s="51" t="s">
        <v>1217</v>
      </c>
      <c r="AO230" s="55" t="s">
        <v>1218</v>
      </c>
    </row>
    <row r="231" spans="1:41" ht="57" hidden="1" customHeight="1" x14ac:dyDescent="0.3">
      <c r="A231" s="20">
        <v>227</v>
      </c>
      <c r="B231" s="8" t="s">
        <v>1219</v>
      </c>
      <c r="C231" s="26">
        <v>2026</v>
      </c>
      <c r="D231" s="8"/>
      <c r="E231" s="8" t="s">
        <v>1220</v>
      </c>
      <c r="F231" s="20" t="s">
        <v>54</v>
      </c>
      <c r="G231" s="21" t="s">
        <v>64</v>
      </c>
      <c r="H231" s="21" t="s">
        <v>53</v>
      </c>
      <c r="I231" s="21" t="s">
        <v>53</v>
      </c>
      <c r="J231" s="21" t="s">
        <v>53</v>
      </c>
      <c r="K231" s="21" t="s">
        <v>64</v>
      </c>
      <c r="L231" s="22" t="str">
        <f t="shared" si="15"/>
        <v>EXCLUDE</v>
      </c>
      <c r="M231" s="22" t="str">
        <f t="shared" si="16"/>
        <v>Wrong domain (non-AECO)</v>
      </c>
      <c r="N231" s="23"/>
      <c r="O231" s="23"/>
      <c r="P231" s="24"/>
      <c r="Q231" s="24"/>
      <c r="R231" s="24"/>
      <c r="S231" s="22" t="str">
        <f t="shared" si="17"/>
        <v/>
      </c>
      <c r="T231" s="22" t="str">
        <f t="shared" si="18"/>
        <v/>
      </c>
      <c r="U231" s="25"/>
      <c r="V231" s="25"/>
      <c r="W231" s="25"/>
      <c r="X231" s="25"/>
      <c r="Y231" s="22" t="str">
        <f t="shared" si="19"/>
        <v/>
      </c>
      <c r="Z231" s="25"/>
      <c r="AA231" s="25"/>
      <c r="AB231" s="25"/>
      <c r="AC231" s="25"/>
      <c r="AD231" s="25"/>
      <c r="AE231" s="25"/>
      <c r="AF231" s="25"/>
      <c r="AG231" s="9"/>
      <c r="AH231" s="29"/>
      <c r="AI231" s="29"/>
      <c r="AM231" s="50"/>
      <c r="AN231" s="51" t="s">
        <v>1221</v>
      </c>
      <c r="AO231" s="55" t="s">
        <v>1222</v>
      </c>
    </row>
    <row r="232" spans="1:41" ht="57" hidden="1" customHeight="1" x14ac:dyDescent="0.3">
      <c r="A232" s="20">
        <v>228</v>
      </c>
      <c r="B232" s="8" t="s">
        <v>1223</v>
      </c>
      <c r="C232" s="26">
        <v>2026</v>
      </c>
      <c r="D232" s="8"/>
      <c r="E232" s="8" t="s">
        <v>1224</v>
      </c>
      <c r="F232" s="20" t="s">
        <v>54</v>
      </c>
      <c r="G232" s="21" t="s">
        <v>64</v>
      </c>
      <c r="H232" s="21" t="s">
        <v>53</v>
      </c>
      <c r="I232" s="21" t="s">
        <v>64</v>
      </c>
      <c r="J232" s="21" t="s">
        <v>53</v>
      </c>
      <c r="K232" s="21" t="s">
        <v>53</v>
      </c>
      <c r="L232" s="22" t="str">
        <f t="shared" si="15"/>
        <v>EXCLUDE</v>
      </c>
      <c r="M232" s="22" t="str">
        <f t="shared" si="16"/>
        <v>Wrong domain (non-AECO)</v>
      </c>
      <c r="N232" s="23"/>
      <c r="O232" s="23"/>
      <c r="P232" s="24"/>
      <c r="Q232" s="24"/>
      <c r="R232" s="24"/>
      <c r="S232" s="22" t="str">
        <f t="shared" si="17"/>
        <v/>
      </c>
      <c r="T232" s="22" t="str">
        <f t="shared" si="18"/>
        <v/>
      </c>
      <c r="U232" s="25"/>
      <c r="V232" s="25"/>
      <c r="W232" s="25"/>
      <c r="X232" s="25"/>
      <c r="Y232" s="22" t="str">
        <f t="shared" si="19"/>
        <v/>
      </c>
      <c r="Z232" s="25"/>
      <c r="AA232" s="25"/>
      <c r="AB232" s="25"/>
      <c r="AC232" s="25"/>
      <c r="AD232" s="25"/>
      <c r="AE232" s="25"/>
      <c r="AF232" s="25"/>
      <c r="AG232" s="9"/>
      <c r="AH232" s="29"/>
      <c r="AI232" s="29"/>
      <c r="AM232" s="50"/>
      <c r="AN232" s="51" t="s">
        <v>1225</v>
      </c>
      <c r="AO232" s="55" t="s">
        <v>1226</v>
      </c>
    </row>
    <row r="233" spans="1:41" ht="68.400000000000006" hidden="1" customHeight="1" x14ac:dyDescent="0.3">
      <c r="A233" s="20">
        <v>229</v>
      </c>
      <c r="B233" s="8" t="s">
        <v>1227</v>
      </c>
      <c r="C233" s="26">
        <v>2025</v>
      </c>
      <c r="D233" s="8"/>
      <c r="E233" s="8" t="s">
        <v>1228</v>
      </c>
      <c r="F233" s="20" t="s">
        <v>54</v>
      </c>
      <c r="G233" s="21" t="s">
        <v>53</v>
      </c>
      <c r="H233" s="21" t="s">
        <v>64</v>
      </c>
      <c r="I233" s="21" t="s">
        <v>53</v>
      </c>
      <c r="J233" s="21" t="s">
        <v>53</v>
      </c>
      <c r="K233" s="21" t="s">
        <v>53</v>
      </c>
      <c r="L233" s="22" t="str">
        <f t="shared" si="15"/>
        <v>EXCLUDE</v>
      </c>
      <c r="M233" s="22" t="str">
        <f t="shared" si="16"/>
        <v>Digital Twin not core / buzzword</v>
      </c>
      <c r="N233" s="23"/>
      <c r="O233" s="23"/>
      <c r="P233" s="24"/>
      <c r="Q233" s="24"/>
      <c r="R233" s="24"/>
      <c r="S233" s="22" t="str">
        <f t="shared" si="17"/>
        <v/>
      </c>
      <c r="T233" s="22" t="str">
        <f t="shared" si="18"/>
        <v/>
      </c>
      <c r="U233" s="25"/>
      <c r="V233" s="25"/>
      <c r="W233" s="25"/>
      <c r="X233" s="25"/>
      <c r="Y233" s="22" t="str">
        <f t="shared" si="19"/>
        <v/>
      </c>
      <c r="Z233" s="25"/>
      <c r="AA233" s="25"/>
      <c r="AB233" s="25"/>
      <c r="AC233" s="25"/>
      <c r="AD233" s="25"/>
      <c r="AE233" s="25"/>
      <c r="AF233" s="25"/>
      <c r="AG233" s="9"/>
      <c r="AH233" s="29"/>
      <c r="AI233" s="29"/>
      <c r="AM233" s="50"/>
      <c r="AN233" s="51" t="s">
        <v>1229</v>
      </c>
      <c r="AO233" s="55" t="s">
        <v>1230</v>
      </c>
    </row>
    <row r="234" spans="1:41" ht="57" customHeight="1" x14ac:dyDescent="0.3">
      <c r="A234" s="20">
        <v>230</v>
      </c>
      <c r="B234" s="8" t="s">
        <v>1231</v>
      </c>
      <c r="C234" s="26">
        <v>2026</v>
      </c>
      <c r="D234" s="8"/>
      <c r="E234" s="8" t="s">
        <v>1232</v>
      </c>
      <c r="F234" s="20" t="s">
        <v>54</v>
      </c>
      <c r="G234" s="21" t="s">
        <v>53</v>
      </c>
      <c r="H234" s="21" t="s">
        <v>53</v>
      </c>
      <c r="I234" s="21" t="s">
        <v>53</v>
      </c>
      <c r="J234" s="21" t="s">
        <v>53</v>
      </c>
      <c r="K234" s="21" t="s">
        <v>53</v>
      </c>
      <c r="L234" s="22" t="str">
        <f t="shared" si="15"/>
        <v>INCLUDE</v>
      </c>
      <c r="M234" s="22" t="str">
        <f t="shared" si="16"/>
        <v/>
      </c>
      <c r="N234" s="23" t="s">
        <v>53</v>
      </c>
      <c r="O234" s="23" t="s">
        <v>53</v>
      </c>
      <c r="P234" s="24" t="s">
        <v>53</v>
      </c>
      <c r="Q234" s="24" t="s">
        <v>53</v>
      </c>
      <c r="R234" s="24" t="s">
        <v>53</v>
      </c>
      <c r="S234" s="22" t="str">
        <f t="shared" si="17"/>
        <v>INCLUDE</v>
      </c>
      <c r="T234" s="22" t="str">
        <f t="shared" si="18"/>
        <v/>
      </c>
      <c r="U234" s="25" t="s">
        <v>67</v>
      </c>
      <c r="V234" s="25">
        <v>0</v>
      </c>
      <c r="W234" s="25">
        <v>1</v>
      </c>
      <c r="X234" s="25">
        <v>0</v>
      </c>
      <c r="Y234" s="22" t="str">
        <f t="shared" si="19"/>
        <v>Single</v>
      </c>
      <c r="Z234" s="25" t="s">
        <v>9</v>
      </c>
      <c r="AA234" s="25" t="s">
        <v>57</v>
      </c>
      <c r="AB234" s="25" t="s">
        <v>103</v>
      </c>
      <c r="AC234" s="25" t="s">
        <v>70</v>
      </c>
      <c r="AD234" s="25" t="s">
        <v>89</v>
      </c>
      <c r="AE234" s="25">
        <v>4</v>
      </c>
      <c r="AF234" s="25" t="s">
        <v>61</v>
      </c>
      <c r="AG234" s="9" t="s">
        <v>1233</v>
      </c>
      <c r="AH234" s="29" t="s">
        <v>1234</v>
      </c>
      <c r="AI234" s="29" t="s">
        <v>1235</v>
      </c>
      <c r="AJ234" t="s">
        <v>82</v>
      </c>
      <c r="AK234" t="s">
        <v>1236</v>
      </c>
      <c r="AL234" t="s">
        <v>63</v>
      </c>
      <c r="AM234" s="50"/>
      <c r="AN234" s="51" t="s">
        <v>1237</v>
      </c>
      <c r="AO234" s="55" t="s">
        <v>1238</v>
      </c>
    </row>
    <row r="235" spans="1:41" ht="79.95" customHeight="1" x14ac:dyDescent="0.3">
      <c r="A235" s="20">
        <v>231</v>
      </c>
      <c r="B235" s="8" t="s">
        <v>396</v>
      </c>
      <c r="C235" s="26">
        <v>2026</v>
      </c>
      <c r="D235" s="8"/>
      <c r="E235" s="8" t="s">
        <v>1239</v>
      </c>
      <c r="F235" s="20" t="s">
        <v>54</v>
      </c>
      <c r="G235" s="21" t="s">
        <v>53</v>
      </c>
      <c r="H235" s="21" t="s">
        <v>53</v>
      </c>
      <c r="I235" s="21" t="s">
        <v>53</v>
      </c>
      <c r="J235" s="21" t="s">
        <v>53</v>
      </c>
      <c r="K235" s="21" t="s">
        <v>53</v>
      </c>
      <c r="L235" s="22" t="str">
        <f t="shared" si="15"/>
        <v>INCLUDE</v>
      </c>
      <c r="M235" s="22" t="str">
        <f t="shared" si="16"/>
        <v/>
      </c>
      <c r="N235" s="23" t="s">
        <v>53</v>
      </c>
      <c r="O235" s="23" t="s">
        <v>53</v>
      </c>
      <c r="P235" s="24" t="s">
        <v>53</v>
      </c>
      <c r="Q235" s="24" t="s">
        <v>53</v>
      </c>
      <c r="R235" s="24" t="s">
        <v>53</v>
      </c>
      <c r="S235" s="22" t="str">
        <f t="shared" si="17"/>
        <v>INCLUDE</v>
      </c>
      <c r="T235" s="22" t="str">
        <f t="shared" si="18"/>
        <v/>
      </c>
      <c r="U235" s="25" t="s">
        <v>67</v>
      </c>
      <c r="V235" s="25">
        <v>0</v>
      </c>
      <c r="W235" s="25">
        <v>0</v>
      </c>
      <c r="X235" s="25">
        <v>1</v>
      </c>
      <c r="Y235" s="22" t="str">
        <f t="shared" si="19"/>
        <v>Single</v>
      </c>
      <c r="Z235" s="25" t="s">
        <v>9</v>
      </c>
      <c r="AA235" s="25" t="s">
        <v>57</v>
      </c>
      <c r="AB235" s="25" t="s">
        <v>104</v>
      </c>
      <c r="AC235" s="25" t="s">
        <v>59</v>
      </c>
      <c r="AD235" s="25" t="s">
        <v>95</v>
      </c>
      <c r="AE235" s="25">
        <v>4</v>
      </c>
      <c r="AF235" s="25" t="s">
        <v>96</v>
      </c>
      <c r="AG235" s="9" t="s">
        <v>1240</v>
      </c>
      <c r="AH235" s="29" t="s">
        <v>1241</v>
      </c>
      <c r="AI235" s="29" t="s">
        <v>1242</v>
      </c>
      <c r="AJ235" t="s">
        <v>91</v>
      </c>
      <c r="AK235" t="s">
        <v>1243</v>
      </c>
      <c r="AL235" t="s">
        <v>63</v>
      </c>
      <c r="AM235" s="50"/>
      <c r="AN235" s="51" t="s">
        <v>1244</v>
      </c>
      <c r="AO235" s="55" t="s">
        <v>1245</v>
      </c>
    </row>
    <row r="236" spans="1:41" ht="79.95" hidden="1" customHeight="1" x14ac:dyDescent="0.3">
      <c r="A236" s="20">
        <v>232</v>
      </c>
      <c r="B236" s="8" t="s">
        <v>1246</v>
      </c>
      <c r="C236" s="26">
        <v>2026</v>
      </c>
      <c r="D236" s="8"/>
      <c r="E236" s="8" t="s">
        <v>1247</v>
      </c>
      <c r="F236" s="20" t="s">
        <v>54</v>
      </c>
      <c r="G236" s="21" t="s">
        <v>64</v>
      </c>
      <c r="H236" s="21" t="s">
        <v>53</v>
      </c>
      <c r="I236" s="21" t="s">
        <v>64</v>
      </c>
      <c r="J236" s="21" t="s">
        <v>53</v>
      </c>
      <c r="K236" s="21" t="s">
        <v>53</v>
      </c>
      <c r="L236" s="22" t="str">
        <f t="shared" si="15"/>
        <v>EXCLUDE</v>
      </c>
      <c r="M236" s="22" t="str">
        <f t="shared" si="16"/>
        <v>Wrong domain (non-AECO)</v>
      </c>
      <c r="N236" s="23"/>
      <c r="O236" s="23"/>
      <c r="P236" s="24"/>
      <c r="Q236" s="24"/>
      <c r="R236" s="24"/>
      <c r="S236" s="22" t="str">
        <f t="shared" si="17"/>
        <v/>
      </c>
      <c r="T236" s="22" t="str">
        <f t="shared" si="18"/>
        <v/>
      </c>
      <c r="U236" s="25"/>
      <c r="V236" s="25"/>
      <c r="W236" s="25"/>
      <c r="X236" s="25"/>
      <c r="Y236" s="22" t="str">
        <f t="shared" si="19"/>
        <v/>
      </c>
      <c r="Z236" s="25"/>
      <c r="AA236" s="25"/>
      <c r="AB236" s="25"/>
      <c r="AC236" s="25"/>
      <c r="AD236" s="25"/>
      <c r="AE236" s="25"/>
      <c r="AF236" s="25"/>
      <c r="AG236" s="9"/>
      <c r="AH236" s="29"/>
      <c r="AI236" s="29"/>
      <c r="AM236" s="50"/>
      <c r="AN236" s="51" t="s">
        <v>1248</v>
      </c>
      <c r="AO236" s="55" t="s">
        <v>1249</v>
      </c>
    </row>
    <row r="237" spans="1:41" ht="57" hidden="1" customHeight="1" x14ac:dyDescent="0.3">
      <c r="A237" s="20">
        <v>233</v>
      </c>
      <c r="B237" s="8" t="s">
        <v>1199</v>
      </c>
      <c r="C237" s="26">
        <v>2026</v>
      </c>
      <c r="D237" s="8"/>
      <c r="E237" s="8" t="s">
        <v>1250</v>
      </c>
      <c r="F237" s="20" t="s">
        <v>54</v>
      </c>
      <c r="G237" s="21" t="s">
        <v>64</v>
      </c>
      <c r="H237" s="21" t="s">
        <v>53</v>
      </c>
      <c r="I237" s="21" t="s">
        <v>64</v>
      </c>
      <c r="J237" s="21" t="s">
        <v>53</v>
      </c>
      <c r="K237" s="21" t="s">
        <v>53</v>
      </c>
      <c r="L237" s="22" t="str">
        <f t="shared" si="15"/>
        <v>EXCLUDE</v>
      </c>
      <c r="M237" s="22" t="str">
        <f t="shared" si="16"/>
        <v>Wrong domain (non-AECO)</v>
      </c>
      <c r="N237" s="23"/>
      <c r="O237" s="23"/>
      <c r="P237" s="24"/>
      <c r="Q237" s="24"/>
      <c r="R237" s="24"/>
      <c r="S237" s="22" t="str">
        <f t="shared" si="17"/>
        <v/>
      </c>
      <c r="T237" s="22" t="str">
        <f t="shared" si="18"/>
        <v/>
      </c>
      <c r="U237" s="25"/>
      <c r="V237" s="25"/>
      <c r="W237" s="25"/>
      <c r="X237" s="25"/>
      <c r="Y237" s="22" t="str">
        <f t="shared" si="19"/>
        <v/>
      </c>
      <c r="Z237" s="25"/>
      <c r="AA237" s="25"/>
      <c r="AB237" s="25"/>
      <c r="AC237" s="25"/>
      <c r="AD237" s="25"/>
      <c r="AE237" s="25"/>
      <c r="AF237" s="25"/>
      <c r="AG237" s="9"/>
      <c r="AH237" s="29"/>
      <c r="AI237" s="29"/>
      <c r="AM237" s="50"/>
      <c r="AN237" s="51" t="s">
        <v>1251</v>
      </c>
      <c r="AO237" s="55" t="s">
        <v>1252</v>
      </c>
    </row>
    <row r="238" spans="1:41" ht="57" hidden="1" customHeight="1" x14ac:dyDescent="0.3">
      <c r="A238" s="20">
        <v>234</v>
      </c>
      <c r="B238" s="8" t="s">
        <v>1253</v>
      </c>
      <c r="C238" s="26">
        <v>2025</v>
      </c>
      <c r="D238" s="8"/>
      <c r="E238" s="8" t="s">
        <v>1254</v>
      </c>
      <c r="F238" s="20" t="s">
        <v>54</v>
      </c>
      <c r="G238" s="21" t="s">
        <v>64</v>
      </c>
      <c r="H238" s="21" t="s">
        <v>64</v>
      </c>
      <c r="I238" s="21" t="s">
        <v>64</v>
      </c>
      <c r="J238" s="21" t="s">
        <v>53</v>
      </c>
      <c r="K238" s="21" t="s">
        <v>53</v>
      </c>
      <c r="L238" s="22" t="str">
        <f t="shared" si="15"/>
        <v>EXCLUDE</v>
      </c>
      <c r="M238" s="22" t="str">
        <f t="shared" si="16"/>
        <v>Wrong domain (non-AECO)</v>
      </c>
      <c r="N238" s="23"/>
      <c r="O238" s="23"/>
      <c r="P238" s="24"/>
      <c r="Q238" s="24"/>
      <c r="R238" s="24"/>
      <c r="S238" s="22" t="str">
        <f t="shared" si="17"/>
        <v/>
      </c>
      <c r="T238" s="22" t="str">
        <f t="shared" si="18"/>
        <v/>
      </c>
      <c r="U238" s="25"/>
      <c r="V238" s="25"/>
      <c r="W238" s="25"/>
      <c r="X238" s="25"/>
      <c r="Y238" s="22" t="str">
        <f t="shared" si="19"/>
        <v/>
      </c>
      <c r="Z238" s="25"/>
      <c r="AA238" s="25"/>
      <c r="AB238" s="25"/>
      <c r="AC238" s="25"/>
      <c r="AD238" s="25"/>
      <c r="AE238" s="25"/>
      <c r="AF238" s="25"/>
      <c r="AG238" s="9"/>
      <c r="AH238" s="29"/>
      <c r="AI238" s="29"/>
      <c r="AM238" s="50"/>
      <c r="AN238" s="51" t="s">
        <v>1255</v>
      </c>
      <c r="AO238" s="55" t="s">
        <v>1256</v>
      </c>
    </row>
    <row r="239" spans="1:41" ht="102.6" hidden="1" customHeight="1" x14ac:dyDescent="0.3">
      <c r="A239" s="20">
        <v>235</v>
      </c>
      <c r="B239" s="8" t="s">
        <v>1257</v>
      </c>
      <c r="C239" s="26">
        <v>2026</v>
      </c>
      <c r="D239" s="8"/>
      <c r="E239" s="8" t="s">
        <v>1258</v>
      </c>
      <c r="F239" s="20" t="s">
        <v>54</v>
      </c>
      <c r="G239" s="21" t="s">
        <v>53</v>
      </c>
      <c r="H239" s="21" t="s">
        <v>64</v>
      </c>
      <c r="I239" s="21" t="s">
        <v>64</v>
      </c>
      <c r="J239" s="21" t="s">
        <v>53</v>
      </c>
      <c r="K239" s="21" t="s">
        <v>53</v>
      </c>
      <c r="L239" s="22" t="str">
        <f t="shared" si="15"/>
        <v>EXCLUDE</v>
      </c>
      <c r="M239" s="22" t="str">
        <f t="shared" si="16"/>
        <v>Digital Twin not core / buzzword</v>
      </c>
      <c r="N239" s="23"/>
      <c r="O239" s="23"/>
      <c r="P239" s="24"/>
      <c r="Q239" s="24"/>
      <c r="R239" s="24"/>
      <c r="S239" s="22" t="str">
        <f t="shared" si="17"/>
        <v/>
      </c>
      <c r="T239" s="22" t="str">
        <f t="shared" si="18"/>
        <v/>
      </c>
      <c r="U239" s="25"/>
      <c r="V239" s="25"/>
      <c r="W239" s="25"/>
      <c r="X239" s="25"/>
      <c r="Y239" s="22" t="str">
        <f t="shared" si="19"/>
        <v/>
      </c>
      <c r="Z239" s="25"/>
      <c r="AA239" s="25"/>
      <c r="AB239" s="25"/>
      <c r="AC239" s="25"/>
      <c r="AD239" s="25"/>
      <c r="AE239" s="25"/>
      <c r="AF239" s="25"/>
      <c r="AG239" s="9"/>
      <c r="AH239" s="29"/>
      <c r="AI239" s="29"/>
      <c r="AM239" s="50"/>
      <c r="AN239" s="51" t="s">
        <v>1259</v>
      </c>
      <c r="AO239" s="55" t="s">
        <v>1260</v>
      </c>
    </row>
    <row r="240" spans="1:41" ht="114" hidden="1" customHeight="1" x14ac:dyDescent="0.3">
      <c r="A240" s="20">
        <v>236</v>
      </c>
      <c r="B240" s="8" t="s">
        <v>1261</v>
      </c>
      <c r="C240" s="26">
        <v>2026</v>
      </c>
      <c r="D240" s="8"/>
      <c r="E240" s="8" t="s">
        <v>1262</v>
      </c>
      <c r="F240" s="20" t="s">
        <v>54</v>
      </c>
      <c r="G240" s="21" t="s">
        <v>64</v>
      </c>
      <c r="H240" s="21" t="s">
        <v>53</v>
      </c>
      <c r="I240" s="21" t="s">
        <v>64</v>
      </c>
      <c r="J240" s="21" t="s">
        <v>53</v>
      </c>
      <c r="K240" s="21" t="s">
        <v>53</v>
      </c>
      <c r="L240" s="22" t="str">
        <f t="shared" si="15"/>
        <v>EXCLUDE</v>
      </c>
      <c r="M240" s="22" t="str">
        <f t="shared" si="16"/>
        <v>Wrong domain (non-AECO)</v>
      </c>
      <c r="N240" s="23"/>
      <c r="O240" s="23"/>
      <c r="P240" s="24"/>
      <c r="Q240" s="24"/>
      <c r="R240" s="24"/>
      <c r="S240" s="22" t="str">
        <f t="shared" si="17"/>
        <v/>
      </c>
      <c r="T240" s="22" t="str">
        <f t="shared" si="18"/>
        <v/>
      </c>
      <c r="U240" s="25"/>
      <c r="V240" s="25"/>
      <c r="W240" s="25"/>
      <c r="X240" s="25"/>
      <c r="Y240" s="22" t="str">
        <f t="shared" si="19"/>
        <v/>
      </c>
      <c r="Z240" s="25"/>
      <c r="AA240" s="25"/>
      <c r="AB240" s="25"/>
      <c r="AC240" s="25"/>
      <c r="AD240" s="25"/>
      <c r="AE240" s="25"/>
      <c r="AF240" s="25"/>
      <c r="AG240" s="9"/>
      <c r="AH240" s="29"/>
      <c r="AI240" s="29"/>
      <c r="AM240" s="50"/>
      <c r="AN240" s="51" t="s">
        <v>1263</v>
      </c>
      <c r="AO240" s="55" t="s">
        <v>1264</v>
      </c>
    </row>
    <row r="241" spans="1:41" ht="57" hidden="1" customHeight="1" x14ac:dyDescent="0.3">
      <c r="A241" s="20">
        <v>237</v>
      </c>
      <c r="B241" s="8" t="s">
        <v>1265</v>
      </c>
      <c r="C241" s="26">
        <v>2026</v>
      </c>
      <c r="D241" s="8"/>
      <c r="E241" s="8" t="s">
        <v>1266</v>
      </c>
      <c r="F241" s="20" t="s">
        <v>54</v>
      </c>
      <c r="G241" s="21" t="s">
        <v>53</v>
      </c>
      <c r="H241" s="21" t="s">
        <v>53</v>
      </c>
      <c r="I241" s="21" t="s">
        <v>64</v>
      </c>
      <c r="J241" s="21" t="s">
        <v>53</v>
      </c>
      <c r="K241" s="21" t="s">
        <v>53</v>
      </c>
      <c r="L241" s="22" t="str">
        <f t="shared" si="15"/>
        <v>EXCLUDE</v>
      </c>
      <c r="M241" s="22" t="str">
        <f t="shared" si="16"/>
        <v>No Design for Safety/Quality/PtD</v>
      </c>
      <c r="N241" s="23"/>
      <c r="O241" s="23"/>
      <c r="P241" s="24"/>
      <c r="Q241" s="24"/>
      <c r="R241" s="24"/>
      <c r="S241" s="22" t="str">
        <f t="shared" si="17"/>
        <v/>
      </c>
      <c r="T241" s="22" t="str">
        <f t="shared" si="18"/>
        <v/>
      </c>
      <c r="U241" s="25"/>
      <c r="V241" s="25"/>
      <c r="W241" s="25"/>
      <c r="X241" s="25"/>
      <c r="Y241" s="22" t="str">
        <f t="shared" si="19"/>
        <v/>
      </c>
      <c r="Z241" s="25"/>
      <c r="AA241" s="25"/>
      <c r="AB241" s="25"/>
      <c r="AC241" s="25"/>
      <c r="AD241" s="25"/>
      <c r="AE241" s="25"/>
      <c r="AF241" s="25"/>
      <c r="AG241" s="9"/>
      <c r="AH241" s="29"/>
      <c r="AI241" s="29"/>
      <c r="AM241" s="50"/>
      <c r="AN241" s="51" t="s">
        <v>1267</v>
      </c>
      <c r="AO241" s="55" t="s">
        <v>1268</v>
      </c>
    </row>
    <row r="242" spans="1:41" ht="230.4" customHeight="1" x14ac:dyDescent="0.3">
      <c r="A242" s="20">
        <v>238</v>
      </c>
      <c r="B242" s="8" t="s">
        <v>1269</v>
      </c>
      <c r="C242" s="26">
        <v>2026</v>
      </c>
      <c r="D242" s="8"/>
      <c r="E242" s="8" t="s">
        <v>1270</v>
      </c>
      <c r="F242" s="20" t="s">
        <v>54</v>
      </c>
      <c r="G242" s="21" t="s">
        <v>53</v>
      </c>
      <c r="H242" s="21" t="s">
        <v>53</v>
      </c>
      <c r="I242" s="21" t="s">
        <v>53</v>
      </c>
      <c r="J242" s="21" t="s">
        <v>53</v>
      </c>
      <c r="K242" s="21" t="s">
        <v>53</v>
      </c>
      <c r="L242" s="22" t="str">
        <f t="shared" si="15"/>
        <v>INCLUDE</v>
      </c>
      <c r="M242" s="22" t="str">
        <f t="shared" si="16"/>
        <v/>
      </c>
      <c r="N242" s="23" t="s">
        <v>53</v>
      </c>
      <c r="O242" s="23" t="s">
        <v>53</v>
      </c>
      <c r="P242" s="24" t="s">
        <v>53</v>
      </c>
      <c r="Q242" s="24" t="s">
        <v>53</v>
      </c>
      <c r="R242" s="24" t="s">
        <v>53</v>
      </c>
      <c r="S242" s="22" t="str">
        <f t="shared" si="17"/>
        <v>INCLUDE</v>
      </c>
      <c r="T242" s="22" t="str">
        <f t="shared" si="18"/>
        <v/>
      </c>
      <c r="U242" s="25" t="s">
        <v>67</v>
      </c>
      <c r="V242" s="25">
        <v>0</v>
      </c>
      <c r="W242" s="25">
        <v>1</v>
      </c>
      <c r="X242" s="25">
        <v>0</v>
      </c>
      <c r="Y242" s="22" t="str">
        <f t="shared" si="19"/>
        <v>Single</v>
      </c>
      <c r="Z242" s="25" t="s">
        <v>9</v>
      </c>
      <c r="AA242" s="25" t="s">
        <v>57</v>
      </c>
      <c r="AB242" s="25" t="s">
        <v>58</v>
      </c>
      <c r="AC242" s="25" t="s">
        <v>70</v>
      </c>
      <c r="AD242" s="25" t="s">
        <v>89</v>
      </c>
      <c r="AE242" s="25">
        <v>4</v>
      </c>
      <c r="AF242" s="25" t="s">
        <v>81</v>
      </c>
      <c r="AG242" s="9" t="s">
        <v>1271</v>
      </c>
      <c r="AH242" s="29" t="s">
        <v>1272</v>
      </c>
      <c r="AI242" s="29" t="s">
        <v>1273</v>
      </c>
      <c r="AJ242" t="s">
        <v>91</v>
      </c>
      <c r="AK242" t="s">
        <v>1274</v>
      </c>
      <c r="AL242" t="s">
        <v>74</v>
      </c>
      <c r="AM242" s="50"/>
      <c r="AN242" s="51" t="s">
        <v>1275</v>
      </c>
      <c r="AO242" s="55" t="s">
        <v>1276</v>
      </c>
    </row>
    <row r="243" spans="1:41" ht="316.95" hidden="1" customHeight="1" x14ac:dyDescent="0.3">
      <c r="A243" s="20">
        <v>239</v>
      </c>
      <c r="B243" s="8" t="s">
        <v>1277</v>
      </c>
      <c r="C243" s="26">
        <v>2026</v>
      </c>
      <c r="D243" s="8"/>
      <c r="E243" s="8" t="s">
        <v>1278</v>
      </c>
      <c r="F243" s="20" t="s">
        <v>54</v>
      </c>
      <c r="G243" s="21" t="s">
        <v>53</v>
      </c>
      <c r="H243" s="21" t="s">
        <v>53</v>
      </c>
      <c r="I243" s="21" t="s">
        <v>53</v>
      </c>
      <c r="J243" s="21" t="s">
        <v>53</v>
      </c>
      <c r="K243" s="21" t="s">
        <v>53</v>
      </c>
      <c r="L243" s="22" t="str">
        <f t="shared" si="15"/>
        <v>INCLUDE</v>
      </c>
      <c r="M243" s="22" t="str">
        <f t="shared" si="16"/>
        <v/>
      </c>
      <c r="N243" s="23" t="s">
        <v>64</v>
      </c>
      <c r="O243" s="23" t="s">
        <v>64</v>
      </c>
      <c r="P243" s="24"/>
      <c r="Q243" s="24"/>
      <c r="R243" s="24"/>
      <c r="S243" s="22" t="str">
        <f t="shared" si="17"/>
        <v/>
      </c>
      <c r="T243" s="22" t="str">
        <f t="shared" si="18"/>
        <v/>
      </c>
      <c r="U243" s="25"/>
      <c r="V243" s="25"/>
      <c r="W243" s="25"/>
      <c r="X243" s="25"/>
      <c r="Y243" s="22" t="str">
        <f t="shared" si="19"/>
        <v/>
      </c>
      <c r="Z243" s="25"/>
      <c r="AA243" s="25"/>
      <c r="AB243" s="25"/>
      <c r="AC243" s="25"/>
      <c r="AD243" s="25"/>
      <c r="AE243" s="25"/>
      <c r="AF243" s="25"/>
      <c r="AG243" s="9"/>
      <c r="AH243" s="29"/>
      <c r="AI243" s="29"/>
      <c r="AM243" s="50"/>
      <c r="AN243" s="51" t="s">
        <v>1279</v>
      </c>
      <c r="AO243" s="55" t="s">
        <v>1280</v>
      </c>
    </row>
    <row r="244" spans="1:41" ht="57" hidden="1" customHeight="1" x14ac:dyDescent="0.3">
      <c r="A244" s="20">
        <v>240</v>
      </c>
      <c r="B244" s="8" t="s">
        <v>1281</v>
      </c>
      <c r="C244" s="26">
        <v>2025</v>
      </c>
      <c r="D244" s="8"/>
      <c r="E244" s="8" t="s">
        <v>1282</v>
      </c>
      <c r="F244" s="20" t="s">
        <v>54</v>
      </c>
      <c r="G244" s="21" t="s">
        <v>53</v>
      </c>
      <c r="H244" s="21" t="s">
        <v>64</v>
      </c>
      <c r="I244" s="21" t="s">
        <v>64</v>
      </c>
      <c r="J244" s="21" t="s">
        <v>53</v>
      </c>
      <c r="K244" s="21" t="s">
        <v>53</v>
      </c>
      <c r="L244" s="22" t="str">
        <f t="shared" si="15"/>
        <v>EXCLUDE</v>
      </c>
      <c r="M244" s="22" t="str">
        <f t="shared" si="16"/>
        <v>Digital Twin not core / buzzword</v>
      </c>
      <c r="N244" s="23"/>
      <c r="O244" s="23"/>
      <c r="P244" s="24"/>
      <c r="Q244" s="24"/>
      <c r="R244" s="24"/>
      <c r="S244" s="22" t="str">
        <f t="shared" si="17"/>
        <v/>
      </c>
      <c r="T244" s="22" t="str">
        <f t="shared" si="18"/>
        <v/>
      </c>
      <c r="U244" s="25"/>
      <c r="V244" s="25"/>
      <c r="W244" s="25"/>
      <c r="X244" s="25"/>
      <c r="Y244" s="22" t="str">
        <f t="shared" si="19"/>
        <v/>
      </c>
      <c r="Z244" s="25"/>
      <c r="AA244" s="25"/>
      <c r="AB244" s="25"/>
      <c r="AC244" s="25"/>
      <c r="AD244" s="25"/>
      <c r="AE244" s="25"/>
      <c r="AF244" s="25"/>
      <c r="AG244" s="9"/>
      <c r="AH244" s="29"/>
      <c r="AI244" s="29"/>
      <c r="AM244" s="50"/>
      <c r="AN244" s="51" t="s">
        <v>1283</v>
      </c>
      <c r="AO244" s="55" t="s">
        <v>1284</v>
      </c>
    </row>
    <row r="245" spans="1:41" ht="45.6" hidden="1" customHeight="1" x14ac:dyDescent="0.3">
      <c r="A245" s="20">
        <v>241</v>
      </c>
      <c r="B245" s="8" t="s">
        <v>1285</v>
      </c>
      <c r="C245" s="26">
        <v>2026</v>
      </c>
      <c r="D245" s="8"/>
      <c r="E245" s="8" t="s">
        <v>1286</v>
      </c>
      <c r="F245" s="20" t="s">
        <v>54</v>
      </c>
      <c r="G245" s="21" t="s">
        <v>64</v>
      </c>
      <c r="H245" s="21" t="s">
        <v>64</v>
      </c>
      <c r="I245" s="21" t="s">
        <v>53</v>
      </c>
      <c r="J245" s="21" t="s">
        <v>53</v>
      </c>
      <c r="K245" s="21" t="s">
        <v>53</v>
      </c>
      <c r="L245" s="22" t="str">
        <f t="shared" si="15"/>
        <v>EXCLUDE</v>
      </c>
      <c r="M245" s="22" t="str">
        <f t="shared" si="16"/>
        <v>Wrong domain (non-AECO)</v>
      </c>
      <c r="N245" s="23"/>
      <c r="O245" s="23"/>
      <c r="P245" s="24"/>
      <c r="Q245" s="24"/>
      <c r="R245" s="24"/>
      <c r="S245" s="22" t="str">
        <f t="shared" si="17"/>
        <v/>
      </c>
      <c r="T245" s="22" t="str">
        <f t="shared" si="18"/>
        <v/>
      </c>
      <c r="U245" s="25"/>
      <c r="V245" s="25"/>
      <c r="W245" s="25"/>
      <c r="X245" s="25"/>
      <c r="Y245" s="22" t="str">
        <f t="shared" si="19"/>
        <v/>
      </c>
      <c r="Z245" s="25"/>
      <c r="AA245" s="25"/>
      <c r="AB245" s="25"/>
      <c r="AC245" s="25"/>
      <c r="AD245" s="25"/>
      <c r="AE245" s="25"/>
      <c r="AF245" s="25"/>
      <c r="AG245" s="9"/>
      <c r="AH245" s="29"/>
      <c r="AI245" s="29"/>
      <c r="AM245" s="50"/>
      <c r="AN245" s="51" t="s">
        <v>1287</v>
      </c>
      <c r="AO245" s="55" t="s">
        <v>1288</v>
      </c>
    </row>
    <row r="246" spans="1:41" ht="68.400000000000006" hidden="1" customHeight="1" x14ac:dyDescent="0.3">
      <c r="A246" s="20">
        <v>242</v>
      </c>
      <c r="B246" s="8" t="s">
        <v>1289</v>
      </c>
      <c r="C246" s="26">
        <v>2026</v>
      </c>
      <c r="D246" s="8"/>
      <c r="E246" s="8" t="s">
        <v>1290</v>
      </c>
      <c r="F246" s="20" t="s">
        <v>54</v>
      </c>
      <c r="G246" s="21" t="s">
        <v>53</v>
      </c>
      <c r="H246" s="21" t="s">
        <v>64</v>
      </c>
      <c r="I246" s="21" t="s">
        <v>53</v>
      </c>
      <c r="J246" s="21" t="s">
        <v>53</v>
      </c>
      <c r="K246" s="21" t="s">
        <v>53</v>
      </c>
      <c r="L246" s="22" t="str">
        <f t="shared" si="15"/>
        <v>EXCLUDE</v>
      </c>
      <c r="M246" s="22" t="str">
        <f t="shared" si="16"/>
        <v>Digital Twin not core / buzzword</v>
      </c>
      <c r="N246" s="23"/>
      <c r="O246" s="23"/>
      <c r="P246" s="24"/>
      <c r="Q246" s="24"/>
      <c r="R246" s="24"/>
      <c r="S246" s="22" t="str">
        <f t="shared" si="17"/>
        <v/>
      </c>
      <c r="T246" s="22" t="str">
        <f t="shared" si="18"/>
        <v/>
      </c>
      <c r="U246" s="25"/>
      <c r="V246" s="25"/>
      <c r="W246" s="25"/>
      <c r="X246" s="25"/>
      <c r="Y246" s="22" t="str">
        <f t="shared" si="19"/>
        <v/>
      </c>
      <c r="Z246" s="25"/>
      <c r="AA246" s="25"/>
      <c r="AB246" s="25"/>
      <c r="AC246" s="25"/>
      <c r="AD246" s="25"/>
      <c r="AE246" s="25"/>
      <c r="AF246" s="25"/>
      <c r="AG246" s="9"/>
      <c r="AH246" s="29"/>
      <c r="AI246" s="29"/>
      <c r="AM246" s="50"/>
      <c r="AN246" s="51" t="s">
        <v>1291</v>
      </c>
      <c r="AO246" s="55" t="s">
        <v>1292</v>
      </c>
    </row>
    <row r="247" spans="1:41" ht="45.6" hidden="1" customHeight="1" x14ac:dyDescent="0.3">
      <c r="A247" s="20">
        <v>243</v>
      </c>
      <c r="B247" s="8" t="s">
        <v>1293</v>
      </c>
      <c r="C247" s="26">
        <v>2026</v>
      </c>
      <c r="D247" s="8"/>
      <c r="E247" s="8" t="s">
        <v>1294</v>
      </c>
      <c r="F247" s="20" t="s">
        <v>54</v>
      </c>
      <c r="G247" s="21" t="s">
        <v>64</v>
      </c>
      <c r="H247" s="21" t="s">
        <v>64</v>
      </c>
      <c r="I247" s="21" t="s">
        <v>64</v>
      </c>
      <c r="J247" s="21" t="s">
        <v>53</v>
      </c>
      <c r="K247" s="21" t="s">
        <v>53</v>
      </c>
      <c r="L247" s="22" t="str">
        <f t="shared" si="15"/>
        <v>EXCLUDE</v>
      </c>
      <c r="M247" s="22" t="str">
        <f t="shared" si="16"/>
        <v>Wrong domain (non-AECO)</v>
      </c>
      <c r="N247" s="23"/>
      <c r="O247" s="23"/>
      <c r="P247" s="24"/>
      <c r="Q247" s="24"/>
      <c r="R247" s="24"/>
      <c r="S247" s="22" t="str">
        <f t="shared" si="17"/>
        <v/>
      </c>
      <c r="T247" s="22" t="str">
        <f t="shared" si="18"/>
        <v/>
      </c>
      <c r="U247" s="25"/>
      <c r="V247" s="25"/>
      <c r="W247" s="25"/>
      <c r="X247" s="25"/>
      <c r="Y247" s="22" t="str">
        <f t="shared" si="19"/>
        <v/>
      </c>
      <c r="Z247" s="25"/>
      <c r="AA247" s="25"/>
      <c r="AB247" s="25"/>
      <c r="AC247" s="25"/>
      <c r="AD247" s="25"/>
      <c r="AE247" s="25"/>
      <c r="AF247" s="25"/>
      <c r="AG247" s="9"/>
      <c r="AH247" s="29"/>
      <c r="AI247" s="29"/>
      <c r="AM247" s="50"/>
      <c r="AN247" s="51" t="s">
        <v>1295</v>
      </c>
      <c r="AO247" s="55" t="s">
        <v>1296</v>
      </c>
    </row>
    <row r="248" spans="1:41" ht="45.6" hidden="1" customHeight="1" x14ac:dyDescent="0.3">
      <c r="A248" s="20">
        <v>244</v>
      </c>
      <c r="B248" s="8" t="s">
        <v>1297</v>
      </c>
      <c r="C248" s="26">
        <v>2026</v>
      </c>
      <c r="D248" s="8"/>
      <c r="E248" s="8" t="s">
        <v>1298</v>
      </c>
      <c r="F248" s="20" t="s">
        <v>54</v>
      </c>
      <c r="G248" s="21" t="s">
        <v>64</v>
      </c>
      <c r="H248" s="21" t="s">
        <v>64</v>
      </c>
      <c r="I248" s="21" t="s">
        <v>64</v>
      </c>
      <c r="J248" s="21" t="s">
        <v>53</v>
      </c>
      <c r="K248" s="21" t="s">
        <v>64</v>
      </c>
      <c r="L248" s="22" t="str">
        <f t="shared" si="15"/>
        <v>EXCLUDE</v>
      </c>
      <c r="M248" s="22" t="str">
        <f t="shared" si="16"/>
        <v>Wrong domain (non-AECO)</v>
      </c>
      <c r="N248" s="23"/>
      <c r="O248" s="23"/>
      <c r="P248" s="24"/>
      <c r="Q248" s="24"/>
      <c r="R248" s="24"/>
      <c r="S248" s="22" t="str">
        <f t="shared" si="17"/>
        <v/>
      </c>
      <c r="T248" s="22" t="str">
        <f t="shared" si="18"/>
        <v/>
      </c>
      <c r="U248" s="25"/>
      <c r="V248" s="25"/>
      <c r="W248" s="25"/>
      <c r="X248" s="25"/>
      <c r="Y248" s="22" t="str">
        <f t="shared" si="19"/>
        <v/>
      </c>
      <c r="Z248" s="25"/>
      <c r="AA248" s="25"/>
      <c r="AB248" s="25"/>
      <c r="AC248" s="25"/>
      <c r="AD248" s="25"/>
      <c r="AE248" s="25"/>
      <c r="AF248" s="25"/>
      <c r="AG248" s="9"/>
      <c r="AH248" s="29"/>
      <c r="AI248" s="29"/>
      <c r="AM248" s="50"/>
      <c r="AN248" s="51" t="s">
        <v>1299</v>
      </c>
      <c r="AO248" s="55" t="s">
        <v>1300</v>
      </c>
    </row>
    <row r="249" spans="1:41" ht="45.6" hidden="1" customHeight="1" x14ac:dyDescent="0.3">
      <c r="A249" s="20">
        <v>245</v>
      </c>
      <c r="B249" s="8" t="s">
        <v>1301</v>
      </c>
      <c r="C249" s="26">
        <v>2026</v>
      </c>
      <c r="D249" s="8"/>
      <c r="E249" s="8" t="s">
        <v>1302</v>
      </c>
      <c r="F249" s="20" t="s">
        <v>54</v>
      </c>
      <c r="G249" s="21" t="s">
        <v>53</v>
      </c>
      <c r="H249" s="21" t="s">
        <v>53</v>
      </c>
      <c r="I249" s="21" t="s">
        <v>53</v>
      </c>
      <c r="J249" s="21" t="s">
        <v>53</v>
      </c>
      <c r="K249" s="21" t="s">
        <v>53</v>
      </c>
      <c r="L249" s="22" t="str">
        <f t="shared" si="15"/>
        <v>INCLUDE</v>
      </c>
      <c r="M249" s="22" t="str">
        <f t="shared" si="16"/>
        <v/>
      </c>
      <c r="N249" s="23" t="s">
        <v>64</v>
      </c>
      <c r="O249" s="23" t="s">
        <v>64</v>
      </c>
      <c r="P249" s="24"/>
      <c r="Q249" s="24"/>
      <c r="R249" s="24"/>
      <c r="S249" s="22" t="str">
        <f t="shared" si="17"/>
        <v/>
      </c>
      <c r="T249" s="22" t="str">
        <f t="shared" si="18"/>
        <v/>
      </c>
      <c r="U249" s="25"/>
      <c r="V249" s="25"/>
      <c r="W249" s="25"/>
      <c r="X249" s="25"/>
      <c r="Y249" s="22" t="str">
        <f t="shared" si="19"/>
        <v/>
      </c>
      <c r="Z249" s="25"/>
      <c r="AA249" s="25"/>
      <c r="AB249" s="25"/>
      <c r="AC249" s="25"/>
      <c r="AD249" s="25"/>
      <c r="AE249" s="25"/>
      <c r="AF249" s="25"/>
      <c r="AG249" s="9"/>
      <c r="AH249" s="29"/>
      <c r="AI249" s="29"/>
      <c r="AM249" s="50"/>
      <c r="AN249" s="51" t="s">
        <v>1303</v>
      </c>
      <c r="AO249" s="55" t="s">
        <v>1304</v>
      </c>
    </row>
    <row r="250" spans="1:41" ht="57" customHeight="1" x14ac:dyDescent="0.3">
      <c r="A250" s="20">
        <v>246</v>
      </c>
      <c r="B250" s="8" t="s">
        <v>1305</v>
      </c>
      <c r="C250" s="26">
        <v>2026</v>
      </c>
      <c r="D250" s="8"/>
      <c r="E250" s="8" t="s">
        <v>1306</v>
      </c>
      <c r="F250" s="20" t="s">
        <v>54</v>
      </c>
      <c r="G250" s="21" t="s">
        <v>53</v>
      </c>
      <c r="H250" s="21" t="s">
        <v>53</v>
      </c>
      <c r="I250" s="21" t="s">
        <v>53</v>
      </c>
      <c r="J250" s="21" t="s">
        <v>53</v>
      </c>
      <c r="K250" s="21" t="s">
        <v>53</v>
      </c>
      <c r="L250" s="22" t="str">
        <f t="shared" si="15"/>
        <v>INCLUDE</v>
      </c>
      <c r="M250" s="22" t="str">
        <f t="shared" si="16"/>
        <v/>
      </c>
      <c r="N250" s="23" t="s">
        <v>53</v>
      </c>
      <c r="O250" s="23" t="s">
        <v>53</v>
      </c>
      <c r="P250" s="24" t="s">
        <v>53</v>
      </c>
      <c r="Q250" s="24" t="s">
        <v>53</v>
      </c>
      <c r="R250" s="24" t="s">
        <v>53</v>
      </c>
      <c r="S250" s="22" t="str">
        <f t="shared" si="17"/>
        <v>INCLUDE</v>
      </c>
      <c r="T250" s="22" t="str">
        <f t="shared" si="18"/>
        <v/>
      </c>
      <c r="U250" s="25" t="s">
        <v>56</v>
      </c>
      <c r="V250" s="25">
        <v>0</v>
      </c>
      <c r="W250" s="25">
        <v>0</v>
      </c>
      <c r="X250" s="25">
        <v>1</v>
      </c>
      <c r="Y250" s="22" t="str">
        <f t="shared" si="19"/>
        <v>Single</v>
      </c>
      <c r="Z250" s="25" t="s">
        <v>9</v>
      </c>
      <c r="AA250" s="25" t="s">
        <v>57</v>
      </c>
      <c r="AB250" s="25" t="s">
        <v>101</v>
      </c>
      <c r="AC250" s="25" t="s">
        <v>70</v>
      </c>
      <c r="AD250" s="25" t="s">
        <v>89</v>
      </c>
      <c r="AE250" s="25">
        <v>3</v>
      </c>
      <c r="AF250" s="25" t="s">
        <v>90</v>
      </c>
      <c r="AG250" s="9" t="s">
        <v>1307</v>
      </c>
      <c r="AH250" s="29" t="s">
        <v>1308</v>
      </c>
      <c r="AI250" s="29" t="s">
        <v>1309</v>
      </c>
      <c r="AJ250" t="s">
        <v>91</v>
      </c>
      <c r="AK250" t="s">
        <v>1310</v>
      </c>
      <c r="AL250" t="s">
        <v>74</v>
      </c>
      <c r="AM250" s="50"/>
      <c r="AN250" s="51" t="s">
        <v>1311</v>
      </c>
      <c r="AO250" s="55" t="s">
        <v>1312</v>
      </c>
    </row>
    <row r="251" spans="1:41" ht="129.6" hidden="1" customHeight="1" x14ac:dyDescent="0.3">
      <c r="A251" s="20">
        <v>247</v>
      </c>
      <c r="B251" s="8" t="s">
        <v>1313</v>
      </c>
      <c r="C251" s="26">
        <v>2025</v>
      </c>
      <c r="D251" s="8"/>
      <c r="E251" s="8" t="s">
        <v>1314</v>
      </c>
      <c r="F251" s="20" t="s">
        <v>54</v>
      </c>
      <c r="G251" s="21" t="s">
        <v>53</v>
      </c>
      <c r="H251" s="21" t="s">
        <v>64</v>
      </c>
      <c r="I251" s="21" t="s">
        <v>53</v>
      </c>
      <c r="J251" s="21" t="s">
        <v>53</v>
      </c>
      <c r="K251" s="21" t="s">
        <v>53</v>
      </c>
      <c r="L251" s="22" t="str">
        <f t="shared" si="15"/>
        <v>EXCLUDE</v>
      </c>
      <c r="M251" s="22" t="str">
        <f t="shared" si="16"/>
        <v>Digital Twin not core / buzzword</v>
      </c>
      <c r="N251" s="23"/>
      <c r="O251" s="23"/>
      <c r="P251" s="24"/>
      <c r="Q251" s="24"/>
      <c r="R251" s="24"/>
      <c r="S251" s="22" t="str">
        <f t="shared" si="17"/>
        <v/>
      </c>
      <c r="T251" s="22" t="str">
        <f t="shared" si="18"/>
        <v/>
      </c>
      <c r="U251" s="25"/>
      <c r="V251" s="25"/>
      <c r="W251" s="25"/>
      <c r="X251" s="25"/>
      <c r="Y251" s="22" t="str">
        <f t="shared" si="19"/>
        <v/>
      </c>
      <c r="Z251" s="25"/>
      <c r="AA251" s="25"/>
      <c r="AB251" s="25"/>
      <c r="AC251" s="25"/>
      <c r="AD251" s="25"/>
      <c r="AE251" s="25"/>
      <c r="AF251" s="25"/>
      <c r="AG251" s="9"/>
      <c r="AH251" s="29"/>
      <c r="AI251" s="29"/>
      <c r="AM251" s="50"/>
      <c r="AN251" s="51" t="s">
        <v>1315</v>
      </c>
      <c r="AO251" s="55" t="s">
        <v>1316</v>
      </c>
    </row>
    <row r="252" spans="1:41" ht="68.400000000000006" hidden="1" customHeight="1" x14ac:dyDescent="0.3">
      <c r="A252" s="20">
        <v>248</v>
      </c>
      <c r="B252" s="8" t="s">
        <v>1317</v>
      </c>
      <c r="C252" s="26">
        <v>2025</v>
      </c>
      <c r="D252" s="8"/>
      <c r="E252" s="8" t="s">
        <v>1318</v>
      </c>
      <c r="F252" s="20" t="s">
        <v>54</v>
      </c>
      <c r="G252" s="21" t="s">
        <v>64</v>
      </c>
      <c r="H252" s="21" t="s">
        <v>64</v>
      </c>
      <c r="I252" s="21" t="s">
        <v>53</v>
      </c>
      <c r="J252" s="21" t="s">
        <v>53</v>
      </c>
      <c r="K252" s="21" t="s">
        <v>53</v>
      </c>
      <c r="L252" s="22" t="str">
        <f t="shared" si="15"/>
        <v>EXCLUDE</v>
      </c>
      <c r="M252" s="22" t="str">
        <f t="shared" si="16"/>
        <v>Wrong domain (non-AECO)</v>
      </c>
      <c r="N252" s="23"/>
      <c r="O252" s="23"/>
      <c r="P252" s="24"/>
      <c r="Q252" s="24"/>
      <c r="R252" s="24"/>
      <c r="S252" s="22" t="str">
        <f t="shared" si="17"/>
        <v/>
      </c>
      <c r="T252" s="22" t="str">
        <f t="shared" si="18"/>
        <v/>
      </c>
      <c r="U252" s="25"/>
      <c r="V252" s="25"/>
      <c r="W252" s="25"/>
      <c r="X252" s="25"/>
      <c r="Y252" s="22" t="str">
        <f t="shared" si="19"/>
        <v/>
      </c>
      <c r="Z252" s="25"/>
      <c r="AA252" s="25"/>
      <c r="AB252" s="25"/>
      <c r="AC252" s="25"/>
      <c r="AD252" s="25"/>
      <c r="AE252" s="25"/>
      <c r="AF252" s="25"/>
      <c r="AG252" s="9"/>
      <c r="AH252" s="29"/>
      <c r="AI252" s="29"/>
      <c r="AM252" s="50"/>
      <c r="AN252" s="51" t="s">
        <v>1319</v>
      </c>
      <c r="AO252" s="55" t="s">
        <v>1320</v>
      </c>
    </row>
    <row r="253" spans="1:41" ht="34.200000000000003" hidden="1" customHeight="1" x14ac:dyDescent="0.3">
      <c r="A253" s="20">
        <v>249</v>
      </c>
      <c r="B253" s="8" t="s">
        <v>1321</v>
      </c>
      <c r="C253" s="26">
        <v>2025</v>
      </c>
      <c r="D253" s="8"/>
      <c r="E253" s="8" t="s">
        <v>1322</v>
      </c>
      <c r="F253" s="20" t="s">
        <v>54</v>
      </c>
      <c r="G253" s="21" t="s">
        <v>53</v>
      </c>
      <c r="H253" s="21" t="s">
        <v>64</v>
      </c>
      <c r="I253" s="21" t="s">
        <v>53</v>
      </c>
      <c r="J253" s="21" t="s">
        <v>53</v>
      </c>
      <c r="K253" s="21" t="s">
        <v>53</v>
      </c>
      <c r="L253" s="22" t="str">
        <f t="shared" si="15"/>
        <v>EXCLUDE</v>
      </c>
      <c r="M253" s="22" t="str">
        <f t="shared" si="16"/>
        <v>Digital Twin not core / buzzword</v>
      </c>
      <c r="N253" s="23"/>
      <c r="O253" s="23"/>
      <c r="P253" s="24"/>
      <c r="Q253" s="24"/>
      <c r="R253" s="24"/>
      <c r="S253" s="22" t="str">
        <f t="shared" si="17"/>
        <v/>
      </c>
      <c r="T253" s="22" t="str">
        <f t="shared" si="18"/>
        <v/>
      </c>
      <c r="U253" s="25"/>
      <c r="V253" s="25"/>
      <c r="W253" s="25"/>
      <c r="X253" s="25"/>
      <c r="Y253" s="22" t="str">
        <f t="shared" si="19"/>
        <v/>
      </c>
      <c r="Z253" s="25"/>
      <c r="AA253" s="25"/>
      <c r="AB253" s="25"/>
      <c r="AC253" s="25"/>
      <c r="AD253" s="25"/>
      <c r="AE253" s="25"/>
      <c r="AF253" s="25"/>
      <c r="AG253" s="9"/>
      <c r="AH253" s="29"/>
      <c r="AI253" s="29"/>
      <c r="AM253" s="50"/>
      <c r="AN253" s="51" t="s">
        <v>1323</v>
      </c>
      <c r="AO253" s="55" t="s">
        <v>1324</v>
      </c>
    </row>
    <row r="254" spans="1:41" ht="57" hidden="1" customHeight="1" x14ac:dyDescent="0.3">
      <c r="A254" s="20">
        <v>250</v>
      </c>
      <c r="B254" s="8" t="s">
        <v>1325</v>
      </c>
      <c r="C254" s="26">
        <v>2025</v>
      </c>
      <c r="D254" s="8"/>
      <c r="E254" s="8" t="s">
        <v>1326</v>
      </c>
      <c r="F254" s="20" t="s">
        <v>54</v>
      </c>
      <c r="G254" s="21" t="s">
        <v>64</v>
      </c>
      <c r="H254" s="21" t="s">
        <v>53</v>
      </c>
      <c r="I254" s="21" t="s">
        <v>53</v>
      </c>
      <c r="J254" s="21" t="s">
        <v>53</v>
      </c>
      <c r="K254" s="21" t="s">
        <v>53</v>
      </c>
      <c r="L254" s="22" t="str">
        <f t="shared" si="15"/>
        <v>EXCLUDE</v>
      </c>
      <c r="M254" s="22" t="str">
        <f t="shared" si="16"/>
        <v>Wrong domain (non-AECO)</v>
      </c>
      <c r="N254" s="23"/>
      <c r="O254" s="23"/>
      <c r="P254" s="24"/>
      <c r="Q254" s="24"/>
      <c r="R254" s="24"/>
      <c r="S254" s="22" t="str">
        <f t="shared" si="17"/>
        <v/>
      </c>
      <c r="T254" s="22" t="str">
        <f t="shared" si="18"/>
        <v/>
      </c>
      <c r="U254" s="25"/>
      <c r="V254" s="25"/>
      <c r="W254" s="25"/>
      <c r="X254" s="25"/>
      <c r="Y254" s="22" t="str">
        <f t="shared" si="19"/>
        <v/>
      </c>
      <c r="Z254" s="25"/>
      <c r="AA254" s="25"/>
      <c r="AB254" s="25"/>
      <c r="AC254" s="25"/>
      <c r="AD254" s="25"/>
      <c r="AE254" s="25"/>
      <c r="AF254" s="25"/>
      <c r="AG254" s="9"/>
      <c r="AH254" s="29"/>
      <c r="AI254" s="29"/>
      <c r="AM254" s="50"/>
      <c r="AN254" s="51" t="s">
        <v>1327</v>
      </c>
      <c r="AO254" s="55" t="s">
        <v>1328</v>
      </c>
    </row>
    <row r="255" spans="1:41" ht="22.95" hidden="1" customHeight="1" x14ac:dyDescent="0.3">
      <c r="A255" s="20">
        <v>251</v>
      </c>
      <c r="B255" s="8" t="s">
        <v>1329</v>
      </c>
      <c r="C255" s="26">
        <v>2026</v>
      </c>
      <c r="D255" s="8"/>
      <c r="E255" s="8" t="s">
        <v>1330</v>
      </c>
      <c r="F255" s="20" t="s">
        <v>54</v>
      </c>
      <c r="G255" s="21" t="s">
        <v>53</v>
      </c>
      <c r="H255" s="21" t="s">
        <v>53</v>
      </c>
      <c r="I255" s="21" t="s">
        <v>64</v>
      </c>
      <c r="J255" s="21" t="s">
        <v>53</v>
      </c>
      <c r="K255" s="21" t="s">
        <v>53</v>
      </c>
      <c r="L255" s="22" t="str">
        <f t="shared" si="15"/>
        <v>EXCLUDE</v>
      </c>
      <c r="M255" s="22" t="str">
        <f t="shared" si="16"/>
        <v>No Design for Safety/Quality/PtD</v>
      </c>
      <c r="N255" s="23"/>
      <c r="O255" s="23"/>
      <c r="P255" s="24"/>
      <c r="Q255" s="24"/>
      <c r="R255" s="24"/>
      <c r="S255" s="22" t="str">
        <f t="shared" si="17"/>
        <v/>
      </c>
      <c r="T255" s="22" t="str">
        <f t="shared" si="18"/>
        <v/>
      </c>
      <c r="U255" s="25"/>
      <c r="V255" s="25"/>
      <c r="W255" s="25"/>
      <c r="X255" s="25"/>
      <c r="Y255" s="22" t="str">
        <f t="shared" si="19"/>
        <v/>
      </c>
      <c r="Z255" s="25"/>
      <c r="AA255" s="25"/>
      <c r="AB255" s="25"/>
      <c r="AC255" s="25"/>
      <c r="AD255" s="25"/>
      <c r="AE255" s="25"/>
      <c r="AF255" s="25"/>
      <c r="AG255" s="9"/>
      <c r="AH255" s="29"/>
      <c r="AI255" s="29"/>
      <c r="AM255" s="50"/>
      <c r="AN255" s="51" t="s">
        <v>1331</v>
      </c>
      <c r="AO255" s="55" t="s">
        <v>1332</v>
      </c>
    </row>
    <row r="256" spans="1:41" ht="79.95" hidden="1" customHeight="1" x14ac:dyDescent="0.3">
      <c r="A256" s="20">
        <v>252</v>
      </c>
      <c r="B256" s="8" t="s">
        <v>520</v>
      </c>
      <c r="C256" s="26">
        <v>2026</v>
      </c>
      <c r="D256" s="8"/>
      <c r="E256" s="8" t="s">
        <v>1333</v>
      </c>
      <c r="F256" s="20" t="s">
        <v>54</v>
      </c>
      <c r="G256" s="21" t="s">
        <v>64</v>
      </c>
      <c r="H256" s="21" t="s">
        <v>53</v>
      </c>
      <c r="I256" s="21" t="s">
        <v>64</v>
      </c>
      <c r="J256" s="21" t="s">
        <v>53</v>
      </c>
      <c r="K256" s="21" t="s">
        <v>53</v>
      </c>
      <c r="L256" s="22" t="str">
        <f t="shared" si="15"/>
        <v>EXCLUDE</v>
      </c>
      <c r="M256" s="22" t="str">
        <f t="shared" si="16"/>
        <v>Wrong domain (non-AECO)</v>
      </c>
      <c r="N256" s="23"/>
      <c r="O256" s="23"/>
      <c r="P256" s="24"/>
      <c r="Q256" s="24"/>
      <c r="R256" s="24"/>
      <c r="S256" s="22" t="str">
        <f t="shared" si="17"/>
        <v/>
      </c>
      <c r="T256" s="22" t="str">
        <f t="shared" si="18"/>
        <v/>
      </c>
      <c r="U256" s="25"/>
      <c r="V256" s="25"/>
      <c r="W256" s="25"/>
      <c r="X256" s="25"/>
      <c r="Y256" s="22" t="str">
        <f t="shared" si="19"/>
        <v/>
      </c>
      <c r="Z256" s="25"/>
      <c r="AA256" s="25"/>
      <c r="AB256" s="25"/>
      <c r="AC256" s="25"/>
      <c r="AD256" s="25"/>
      <c r="AE256" s="25"/>
      <c r="AF256" s="25"/>
      <c r="AG256" s="9"/>
      <c r="AH256" s="29"/>
      <c r="AI256" s="29"/>
      <c r="AM256" s="50"/>
      <c r="AN256" s="51" t="s">
        <v>1334</v>
      </c>
      <c r="AO256" s="55" t="s">
        <v>1335</v>
      </c>
    </row>
    <row r="257" spans="1:41" ht="102.6" customHeight="1" x14ac:dyDescent="0.3">
      <c r="A257" s="20">
        <v>253</v>
      </c>
      <c r="B257" s="8" t="s">
        <v>693</v>
      </c>
      <c r="C257" s="26">
        <v>2025</v>
      </c>
      <c r="D257" s="8"/>
      <c r="E257" s="8" t="s">
        <v>1336</v>
      </c>
      <c r="F257" s="20" t="s">
        <v>54</v>
      </c>
      <c r="G257" s="21" t="s">
        <v>53</v>
      </c>
      <c r="H257" s="21" t="s">
        <v>53</v>
      </c>
      <c r="I257" s="21" t="s">
        <v>53</v>
      </c>
      <c r="J257" s="21" t="s">
        <v>53</v>
      </c>
      <c r="K257" s="21" t="s">
        <v>53</v>
      </c>
      <c r="L257" s="22" t="str">
        <f t="shared" si="15"/>
        <v>INCLUDE</v>
      </c>
      <c r="M257" s="22" t="str">
        <f t="shared" si="16"/>
        <v/>
      </c>
      <c r="N257" s="23" t="s">
        <v>53</v>
      </c>
      <c r="O257" s="23" t="s">
        <v>53</v>
      </c>
      <c r="P257" s="24" t="s">
        <v>53</v>
      </c>
      <c r="Q257" s="24" t="s">
        <v>53</v>
      </c>
      <c r="R257" s="24" t="s">
        <v>53</v>
      </c>
      <c r="S257" s="22" t="str">
        <f t="shared" si="17"/>
        <v>INCLUDE</v>
      </c>
      <c r="T257" s="22" t="str">
        <f t="shared" si="18"/>
        <v/>
      </c>
      <c r="U257" s="25" t="s">
        <v>67</v>
      </c>
      <c r="V257" s="25">
        <v>0</v>
      </c>
      <c r="W257" s="25">
        <v>1</v>
      </c>
      <c r="X257" s="25">
        <v>0</v>
      </c>
      <c r="Y257" s="22" t="str">
        <f t="shared" si="19"/>
        <v>Single</v>
      </c>
      <c r="Z257" s="25" t="s">
        <v>9</v>
      </c>
      <c r="AA257" s="25" t="s">
        <v>78</v>
      </c>
      <c r="AB257" s="25" t="s">
        <v>58</v>
      </c>
      <c r="AC257" s="25" t="s">
        <v>70</v>
      </c>
      <c r="AD257" s="25" t="s">
        <v>95</v>
      </c>
      <c r="AE257" s="25">
        <v>4</v>
      </c>
      <c r="AF257" s="25" t="s">
        <v>81</v>
      </c>
      <c r="AG257" s="9" t="s">
        <v>1337</v>
      </c>
      <c r="AH257" s="29" t="s">
        <v>1338</v>
      </c>
      <c r="AI257" s="29" t="s">
        <v>1339</v>
      </c>
      <c r="AJ257" t="s">
        <v>91</v>
      </c>
      <c r="AK257" t="s">
        <v>1340</v>
      </c>
      <c r="AL257" t="s">
        <v>63</v>
      </c>
      <c r="AM257" s="50"/>
      <c r="AN257" s="51" t="s">
        <v>1341</v>
      </c>
      <c r="AO257" s="55" t="s">
        <v>1342</v>
      </c>
    </row>
    <row r="258" spans="1:41" ht="114" customHeight="1" x14ac:dyDescent="0.3">
      <c r="A258" s="20">
        <v>254</v>
      </c>
      <c r="B258" s="8" t="s">
        <v>1343</v>
      </c>
      <c r="C258" s="26">
        <v>2026</v>
      </c>
      <c r="D258" s="8"/>
      <c r="E258" s="8" t="s">
        <v>1344</v>
      </c>
      <c r="F258" s="20" t="s">
        <v>54</v>
      </c>
      <c r="G258" s="21" t="s">
        <v>53</v>
      </c>
      <c r="H258" s="21" t="s">
        <v>53</v>
      </c>
      <c r="I258" s="21" t="s">
        <v>53</v>
      </c>
      <c r="J258" s="21" t="s">
        <v>53</v>
      </c>
      <c r="K258" s="21" t="s">
        <v>53</v>
      </c>
      <c r="L258" s="22" t="str">
        <f t="shared" si="15"/>
        <v>INCLUDE</v>
      </c>
      <c r="M258" s="22" t="str">
        <f t="shared" si="16"/>
        <v/>
      </c>
      <c r="N258" s="23" t="s">
        <v>53</v>
      </c>
      <c r="O258" s="23" t="s">
        <v>53</v>
      </c>
      <c r="P258" s="24" t="s">
        <v>53</v>
      </c>
      <c r="Q258" s="24" t="s">
        <v>53</v>
      </c>
      <c r="R258" s="24" t="s">
        <v>53</v>
      </c>
      <c r="S258" s="22" t="str">
        <f t="shared" si="17"/>
        <v>INCLUDE</v>
      </c>
      <c r="T258" s="22" t="str">
        <f t="shared" si="18"/>
        <v/>
      </c>
      <c r="U258" s="25" t="s">
        <v>67</v>
      </c>
      <c r="V258" s="25">
        <v>0</v>
      </c>
      <c r="W258" s="25">
        <v>0</v>
      </c>
      <c r="X258" s="25">
        <v>1</v>
      </c>
      <c r="Y258" s="22" t="str">
        <f t="shared" si="19"/>
        <v>Single</v>
      </c>
      <c r="Z258" s="25" t="s">
        <v>9</v>
      </c>
      <c r="AA258" s="25" t="s">
        <v>57</v>
      </c>
      <c r="AB258" s="25" t="s">
        <v>101</v>
      </c>
      <c r="AC258" s="25" t="s">
        <v>70</v>
      </c>
      <c r="AD258" s="25" t="s">
        <v>89</v>
      </c>
      <c r="AE258" s="25">
        <v>4</v>
      </c>
      <c r="AF258" s="25" t="s">
        <v>96</v>
      </c>
      <c r="AG258" s="9" t="s">
        <v>1345</v>
      </c>
      <c r="AH258" s="29" t="s">
        <v>1346</v>
      </c>
      <c r="AI258" s="29" t="s">
        <v>1347</v>
      </c>
      <c r="AJ258" t="s">
        <v>91</v>
      </c>
      <c r="AK258" t="s">
        <v>1348</v>
      </c>
      <c r="AL258" t="s">
        <v>63</v>
      </c>
      <c r="AM258" s="50"/>
      <c r="AN258" s="51" t="s">
        <v>1349</v>
      </c>
      <c r="AO258" s="55" t="s">
        <v>1350</v>
      </c>
    </row>
    <row r="259" spans="1:41" ht="86.4" hidden="1" customHeight="1" x14ac:dyDescent="0.3">
      <c r="A259" s="20">
        <v>255</v>
      </c>
      <c r="B259" s="8" t="s">
        <v>1351</v>
      </c>
      <c r="C259" s="26">
        <v>2025</v>
      </c>
      <c r="D259" s="8"/>
      <c r="E259" s="8" t="s">
        <v>1352</v>
      </c>
      <c r="F259" s="20" t="s">
        <v>54</v>
      </c>
      <c r="G259" s="21" t="s">
        <v>53</v>
      </c>
      <c r="H259" s="21" t="s">
        <v>64</v>
      </c>
      <c r="I259" s="21" t="s">
        <v>53</v>
      </c>
      <c r="J259" s="21" t="s">
        <v>53</v>
      </c>
      <c r="K259" s="21" t="s">
        <v>53</v>
      </c>
      <c r="L259" s="22" t="str">
        <f t="shared" si="15"/>
        <v>EXCLUDE</v>
      </c>
      <c r="M259" s="22" t="str">
        <f t="shared" si="16"/>
        <v>Digital Twin not core / buzzword</v>
      </c>
      <c r="N259" s="23"/>
      <c r="O259" s="23"/>
      <c r="P259" s="24"/>
      <c r="Q259" s="24"/>
      <c r="R259" s="24"/>
      <c r="S259" s="22" t="str">
        <f t="shared" si="17"/>
        <v/>
      </c>
      <c r="T259" s="22" t="str">
        <f t="shared" si="18"/>
        <v/>
      </c>
      <c r="U259" s="25"/>
      <c r="V259" s="25"/>
      <c r="W259" s="25"/>
      <c r="X259" s="25"/>
      <c r="Y259" s="22" t="str">
        <f t="shared" si="19"/>
        <v/>
      </c>
      <c r="Z259" s="25"/>
      <c r="AA259" s="25"/>
      <c r="AB259" s="25"/>
      <c r="AC259" s="25"/>
      <c r="AD259" s="25"/>
      <c r="AE259" s="25"/>
      <c r="AF259" s="25"/>
      <c r="AG259" s="9"/>
      <c r="AH259" s="29"/>
      <c r="AI259" s="29"/>
      <c r="AM259" s="50"/>
      <c r="AN259" s="51" t="s">
        <v>1353</v>
      </c>
      <c r="AO259" s="55" t="s">
        <v>1354</v>
      </c>
    </row>
    <row r="260" spans="1:41" ht="68.400000000000006" hidden="1" customHeight="1" x14ac:dyDescent="0.3">
      <c r="A260" s="20">
        <v>256</v>
      </c>
      <c r="B260" s="8" t="s">
        <v>721</v>
      </c>
      <c r="C260" s="26">
        <v>2026</v>
      </c>
      <c r="D260" s="8"/>
      <c r="E260" s="8" t="s">
        <v>1355</v>
      </c>
      <c r="F260" s="20" t="s">
        <v>54</v>
      </c>
      <c r="G260" s="21" t="s">
        <v>53</v>
      </c>
      <c r="H260" s="21" t="s">
        <v>53</v>
      </c>
      <c r="I260" s="21" t="s">
        <v>53</v>
      </c>
      <c r="J260" s="21" t="s">
        <v>53</v>
      </c>
      <c r="K260" s="21" t="s">
        <v>53</v>
      </c>
      <c r="L260" s="22" t="str">
        <f t="shared" si="15"/>
        <v>INCLUDE</v>
      </c>
      <c r="M260" s="22" t="str">
        <f t="shared" si="16"/>
        <v/>
      </c>
      <c r="N260" s="23" t="s">
        <v>64</v>
      </c>
      <c r="O260" s="23" t="s">
        <v>64</v>
      </c>
      <c r="P260" s="24"/>
      <c r="Q260" s="24"/>
      <c r="R260" s="24"/>
      <c r="S260" s="22" t="str">
        <f t="shared" si="17"/>
        <v/>
      </c>
      <c r="T260" s="22" t="str">
        <f t="shared" si="18"/>
        <v/>
      </c>
      <c r="U260" s="25"/>
      <c r="V260" s="25"/>
      <c r="W260" s="25"/>
      <c r="X260" s="25"/>
      <c r="Y260" s="22" t="str">
        <f t="shared" si="19"/>
        <v/>
      </c>
      <c r="Z260" s="25"/>
      <c r="AA260" s="25"/>
      <c r="AB260" s="25"/>
      <c r="AC260" s="25"/>
      <c r="AD260" s="25"/>
      <c r="AE260" s="25"/>
      <c r="AF260" s="25"/>
      <c r="AG260" s="9"/>
      <c r="AH260" s="29"/>
      <c r="AI260" s="29"/>
      <c r="AM260" s="50"/>
      <c r="AN260" s="51" t="s">
        <v>1356</v>
      </c>
      <c r="AO260" s="55" t="s">
        <v>1357</v>
      </c>
    </row>
    <row r="261" spans="1:41" ht="68.400000000000006" hidden="1" customHeight="1" x14ac:dyDescent="0.3">
      <c r="A261" s="20">
        <v>257</v>
      </c>
      <c r="B261" s="8" t="s">
        <v>1358</v>
      </c>
      <c r="C261" s="26">
        <v>2026</v>
      </c>
      <c r="D261" s="8"/>
      <c r="E261" s="8" t="s">
        <v>1359</v>
      </c>
      <c r="F261" s="20" t="s">
        <v>54</v>
      </c>
      <c r="G261" s="21" t="s">
        <v>53</v>
      </c>
      <c r="H261" s="21" t="s">
        <v>64</v>
      </c>
      <c r="I261" s="21" t="s">
        <v>53</v>
      </c>
      <c r="J261" s="21" t="s">
        <v>53</v>
      </c>
      <c r="K261" s="21" t="s">
        <v>53</v>
      </c>
      <c r="L261" s="22" t="str">
        <f t="shared" ref="L261:L324" si="20">IF(COUNTBLANK(G261:K261)=5,"",IF(COUNTIF(G261:K261,"No")&gt;0,"EXCLUDE","INCLUDE"))</f>
        <v>EXCLUDE</v>
      </c>
      <c r="M261" s="22" t="str">
        <f t="shared" ref="M261:M324" si="21">IF(L261&lt;&gt;"EXCLUDE","",IF(G261="No","Wrong domain (non-AECO)",IF(H261="No","Digital Twin not core / buzzword",IF(I261="No","No Design for Safety/Quality/PtD",IF(J261="No","Wrong publication type",IF(K261="No","Non-English",""))))))</f>
        <v>Digital Twin not core / buzzword</v>
      </c>
      <c r="N261" s="23"/>
      <c r="O261" s="23"/>
      <c r="P261" s="24"/>
      <c r="Q261" s="24"/>
      <c r="R261" s="24"/>
      <c r="S261" s="22" t="str">
        <f t="shared" ref="S261:S324" si="22">IF(N261&lt;&gt;"Yes","",IF(COUNTBLANK(P261:R261)=3,"",IF(COUNTIF(P261:R261,"No")&gt;0,"EXCLUDE","INCLUDE")))</f>
        <v/>
      </c>
      <c r="T261" s="22" t="str">
        <f t="shared" ref="T261:T324" si="23">IF(S261&lt;&gt;"EXCLUDE","",IF(P261="No","Digital Twin mentioned only, not the subject",IF(Q261="No","No Design for Safety/Quality in full text",IF(R261="No","Methodology not codable",""))))</f>
        <v/>
      </c>
      <c r="U261" s="25"/>
      <c r="V261" s="25"/>
      <c r="W261" s="25"/>
      <c r="X261" s="25"/>
      <c r="Y261" s="22" t="str">
        <f t="shared" ref="Y261:Y324" si="24">IF(SUM(V261:X261)=0,"",IF(SUM(V261:X261)&gt;=2,"Multi","Single"))</f>
        <v/>
      </c>
      <c r="Z261" s="25"/>
      <c r="AA261" s="25"/>
      <c r="AB261" s="25"/>
      <c r="AC261" s="25"/>
      <c r="AD261" s="25"/>
      <c r="AE261" s="25"/>
      <c r="AF261" s="25"/>
      <c r="AG261" s="9"/>
      <c r="AH261" s="29"/>
      <c r="AI261" s="29"/>
      <c r="AM261" s="50"/>
      <c r="AN261" s="51" t="s">
        <v>1360</v>
      </c>
      <c r="AO261" s="55" t="s">
        <v>1361</v>
      </c>
    </row>
    <row r="262" spans="1:41" ht="68.400000000000006" hidden="1" customHeight="1" x14ac:dyDescent="0.3">
      <c r="A262" s="20">
        <v>258</v>
      </c>
      <c r="B262" s="8" t="s">
        <v>1362</v>
      </c>
      <c r="C262" s="26">
        <v>2025</v>
      </c>
      <c r="D262" s="8"/>
      <c r="E262" s="8" t="s">
        <v>1363</v>
      </c>
      <c r="F262" s="20" t="s">
        <v>54</v>
      </c>
      <c r="G262" s="21" t="s">
        <v>53</v>
      </c>
      <c r="H262" s="21" t="s">
        <v>53</v>
      </c>
      <c r="I262" s="21" t="s">
        <v>53</v>
      </c>
      <c r="J262" s="21" t="s">
        <v>53</v>
      </c>
      <c r="K262" s="21" t="s">
        <v>53</v>
      </c>
      <c r="L262" s="22" t="str">
        <f t="shared" si="20"/>
        <v>INCLUDE</v>
      </c>
      <c r="M262" s="22" t="str">
        <f t="shared" si="21"/>
        <v/>
      </c>
      <c r="N262" s="23" t="s">
        <v>53</v>
      </c>
      <c r="O262" s="23" t="s">
        <v>53</v>
      </c>
      <c r="P262" s="24" t="s">
        <v>64</v>
      </c>
      <c r="Q262" s="24" t="s">
        <v>53</v>
      </c>
      <c r="R262" s="24" t="s">
        <v>64</v>
      </c>
      <c r="S262" s="22" t="str">
        <f t="shared" si="22"/>
        <v>EXCLUDE</v>
      </c>
      <c r="T262" s="22" t="str">
        <f t="shared" si="23"/>
        <v>Digital Twin mentioned only, not the subject</v>
      </c>
      <c r="U262" s="25"/>
      <c r="V262" s="25"/>
      <c r="W262" s="25"/>
      <c r="X262" s="25"/>
      <c r="Y262" s="22" t="str">
        <f t="shared" si="24"/>
        <v/>
      </c>
      <c r="Z262" s="25"/>
      <c r="AA262" s="25"/>
      <c r="AB262" s="25"/>
      <c r="AC262" s="25"/>
      <c r="AD262" s="25"/>
      <c r="AE262" s="25"/>
      <c r="AF262" s="25"/>
      <c r="AG262" s="9" t="s">
        <v>1364</v>
      </c>
      <c r="AH262" s="29"/>
      <c r="AI262" s="29"/>
      <c r="AM262" s="50"/>
      <c r="AN262" s="51" t="s">
        <v>1365</v>
      </c>
      <c r="AO262" s="55" t="s">
        <v>1366</v>
      </c>
    </row>
    <row r="263" spans="1:41" ht="45.6" hidden="1" customHeight="1" x14ac:dyDescent="0.3">
      <c r="A263" s="20">
        <v>259</v>
      </c>
      <c r="B263" s="8" t="s">
        <v>1367</v>
      </c>
      <c r="C263" s="26">
        <v>2026</v>
      </c>
      <c r="D263" s="8"/>
      <c r="E263" s="8" t="s">
        <v>1368</v>
      </c>
      <c r="F263" s="20" t="s">
        <v>54</v>
      </c>
      <c r="G263" s="21" t="s">
        <v>53</v>
      </c>
      <c r="H263" s="21" t="s">
        <v>64</v>
      </c>
      <c r="I263" s="21" t="s">
        <v>53</v>
      </c>
      <c r="J263" s="21" t="s">
        <v>53</v>
      </c>
      <c r="K263" s="21" t="s">
        <v>53</v>
      </c>
      <c r="L263" s="22" t="str">
        <f t="shared" si="20"/>
        <v>EXCLUDE</v>
      </c>
      <c r="M263" s="22" t="str">
        <f t="shared" si="21"/>
        <v>Digital Twin not core / buzzword</v>
      </c>
      <c r="N263" s="23"/>
      <c r="O263" s="23"/>
      <c r="P263" s="24"/>
      <c r="Q263" s="24"/>
      <c r="R263" s="24"/>
      <c r="S263" s="22" t="str">
        <f t="shared" si="22"/>
        <v/>
      </c>
      <c r="T263" s="22" t="str">
        <f t="shared" si="23"/>
        <v/>
      </c>
      <c r="U263" s="25"/>
      <c r="V263" s="25"/>
      <c r="W263" s="25"/>
      <c r="X263" s="25"/>
      <c r="Y263" s="22" t="str">
        <f t="shared" si="24"/>
        <v/>
      </c>
      <c r="Z263" s="25"/>
      <c r="AA263" s="25"/>
      <c r="AB263" s="25"/>
      <c r="AC263" s="25"/>
      <c r="AD263" s="25"/>
      <c r="AE263" s="25"/>
      <c r="AF263" s="25"/>
      <c r="AG263" s="9"/>
      <c r="AH263" s="29"/>
      <c r="AI263" s="29"/>
      <c r="AM263" s="50"/>
      <c r="AN263" s="51" t="s">
        <v>1369</v>
      </c>
      <c r="AO263" s="55" t="s">
        <v>1370</v>
      </c>
    </row>
    <row r="264" spans="1:41" ht="91.2" customHeight="1" x14ac:dyDescent="0.3">
      <c r="A264" s="20">
        <v>260</v>
      </c>
      <c r="B264" s="8" t="s">
        <v>1371</v>
      </c>
      <c r="C264" s="26">
        <v>2025</v>
      </c>
      <c r="D264" s="8"/>
      <c r="E264" s="8" t="s">
        <v>1372</v>
      </c>
      <c r="F264" s="20" t="s">
        <v>54</v>
      </c>
      <c r="G264" s="21" t="s">
        <v>53</v>
      </c>
      <c r="H264" s="21" t="s">
        <v>53</v>
      </c>
      <c r="I264" s="21" t="s">
        <v>53</v>
      </c>
      <c r="J264" s="21" t="s">
        <v>53</v>
      </c>
      <c r="K264" s="21" t="s">
        <v>53</v>
      </c>
      <c r="L264" s="22" t="str">
        <f t="shared" si="20"/>
        <v>INCLUDE</v>
      </c>
      <c r="M264" s="22" t="str">
        <f t="shared" si="21"/>
        <v/>
      </c>
      <c r="N264" s="23" t="s">
        <v>53</v>
      </c>
      <c r="O264" s="23" t="s">
        <v>53</v>
      </c>
      <c r="P264" s="24" t="s">
        <v>53</v>
      </c>
      <c r="Q264" s="24" t="s">
        <v>53</v>
      </c>
      <c r="R264" s="24" t="s">
        <v>53</v>
      </c>
      <c r="S264" s="22" t="str">
        <f t="shared" si="22"/>
        <v>INCLUDE</v>
      </c>
      <c r="T264" s="22" t="str">
        <f t="shared" si="23"/>
        <v/>
      </c>
      <c r="U264" s="25" t="s">
        <v>67</v>
      </c>
      <c r="V264" s="25">
        <v>0</v>
      </c>
      <c r="W264" s="25">
        <v>1</v>
      </c>
      <c r="X264" s="25">
        <v>0</v>
      </c>
      <c r="Y264" s="22" t="str">
        <f t="shared" si="24"/>
        <v>Single</v>
      </c>
      <c r="Z264" s="25" t="s">
        <v>9</v>
      </c>
      <c r="AA264" s="25" t="s">
        <v>57</v>
      </c>
      <c r="AB264" s="25" t="s">
        <v>100</v>
      </c>
      <c r="AC264" s="25" t="s">
        <v>70</v>
      </c>
      <c r="AD264" s="25" t="s">
        <v>89</v>
      </c>
      <c r="AE264" s="25">
        <v>4</v>
      </c>
      <c r="AF264" s="25" t="s">
        <v>90</v>
      </c>
      <c r="AG264" s="9" t="s">
        <v>1373</v>
      </c>
      <c r="AH264" s="29" t="s">
        <v>1374</v>
      </c>
      <c r="AI264" s="29" t="s">
        <v>1375</v>
      </c>
      <c r="AJ264" t="s">
        <v>82</v>
      </c>
      <c r="AK264" t="s">
        <v>1376</v>
      </c>
      <c r="AL264" t="s">
        <v>63</v>
      </c>
      <c r="AM264" s="50"/>
      <c r="AN264" s="51" t="s">
        <v>1377</v>
      </c>
      <c r="AO264" s="55" t="s">
        <v>1378</v>
      </c>
    </row>
    <row r="265" spans="1:41" ht="79.95" hidden="1" customHeight="1" x14ac:dyDescent="0.3">
      <c r="A265" s="20">
        <v>261</v>
      </c>
      <c r="B265" s="8" t="s">
        <v>1379</v>
      </c>
      <c r="C265" s="26">
        <v>2026</v>
      </c>
      <c r="D265" s="8"/>
      <c r="E265" s="8" t="s">
        <v>1380</v>
      </c>
      <c r="F265" s="20" t="s">
        <v>54</v>
      </c>
      <c r="G265" s="21" t="s">
        <v>64</v>
      </c>
      <c r="H265" s="21" t="s">
        <v>53</v>
      </c>
      <c r="I265" s="21" t="s">
        <v>64</v>
      </c>
      <c r="J265" s="21" t="s">
        <v>53</v>
      </c>
      <c r="K265" s="21" t="s">
        <v>53</v>
      </c>
      <c r="L265" s="22" t="str">
        <f t="shared" si="20"/>
        <v>EXCLUDE</v>
      </c>
      <c r="M265" s="22" t="str">
        <f t="shared" si="21"/>
        <v>Wrong domain (non-AECO)</v>
      </c>
      <c r="N265" s="23"/>
      <c r="O265" s="23"/>
      <c r="P265" s="24"/>
      <c r="Q265" s="24"/>
      <c r="R265" s="24"/>
      <c r="S265" s="22" t="str">
        <f t="shared" si="22"/>
        <v/>
      </c>
      <c r="T265" s="22" t="str">
        <f t="shared" si="23"/>
        <v/>
      </c>
      <c r="U265" s="25"/>
      <c r="V265" s="25"/>
      <c r="W265" s="25"/>
      <c r="X265" s="25"/>
      <c r="Y265" s="22" t="str">
        <f t="shared" si="24"/>
        <v/>
      </c>
      <c r="Z265" s="25"/>
      <c r="AA265" s="25"/>
      <c r="AB265" s="25"/>
      <c r="AC265" s="25"/>
      <c r="AD265" s="25"/>
      <c r="AE265" s="25"/>
      <c r="AF265" s="25"/>
      <c r="AG265" s="9"/>
      <c r="AH265" s="29"/>
      <c r="AI265" s="29"/>
      <c r="AM265" s="50"/>
      <c r="AN265" s="51" t="s">
        <v>1381</v>
      </c>
      <c r="AO265" s="55" t="s">
        <v>1328</v>
      </c>
    </row>
    <row r="266" spans="1:41" ht="102.6" hidden="1" customHeight="1" x14ac:dyDescent="0.3">
      <c r="A266" s="20">
        <v>262</v>
      </c>
      <c r="B266" s="8" t="s">
        <v>916</v>
      </c>
      <c r="C266" s="26">
        <v>2026</v>
      </c>
      <c r="D266" s="8"/>
      <c r="E266" s="8" t="s">
        <v>1382</v>
      </c>
      <c r="F266" s="20" t="s">
        <v>54</v>
      </c>
      <c r="G266" s="21" t="s">
        <v>53</v>
      </c>
      <c r="H266" s="21" t="s">
        <v>53</v>
      </c>
      <c r="I266" s="21" t="s">
        <v>64</v>
      </c>
      <c r="J266" s="21" t="s">
        <v>53</v>
      </c>
      <c r="K266" s="21" t="s">
        <v>53</v>
      </c>
      <c r="L266" s="22" t="str">
        <f t="shared" si="20"/>
        <v>EXCLUDE</v>
      </c>
      <c r="M266" s="22" t="str">
        <f t="shared" si="21"/>
        <v>No Design for Safety/Quality/PtD</v>
      </c>
      <c r="N266" s="23"/>
      <c r="O266" s="23"/>
      <c r="P266" s="24"/>
      <c r="Q266" s="24"/>
      <c r="R266" s="24"/>
      <c r="S266" s="22" t="str">
        <f t="shared" si="22"/>
        <v/>
      </c>
      <c r="T266" s="22" t="str">
        <f t="shared" si="23"/>
        <v/>
      </c>
      <c r="U266" s="25"/>
      <c r="V266" s="25"/>
      <c r="W266" s="25"/>
      <c r="X266" s="25"/>
      <c r="Y266" s="22" t="str">
        <f t="shared" si="24"/>
        <v/>
      </c>
      <c r="Z266" s="25"/>
      <c r="AA266" s="25"/>
      <c r="AB266" s="25"/>
      <c r="AC266" s="25"/>
      <c r="AD266" s="25"/>
      <c r="AE266" s="25"/>
      <c r="AF266" s="25"/>
      <c r="AG266" s="9"/>
      <c r="AH266" s="29"/>
      <c r="AI266" s="29"/>
      <c r="AM266" s="50"/>
      <c r="AN266" s="51" t="s">
        <v>1383</v>
      </c>
      <c r="AO266" s="55" t="s">
        <v>1384</v>
      </c>
    </row>
    <row r="267" spans="1:41" ht="57" customHeight="1" x14ac:dyDescent="0.3">
      <c r="A267" s="20">
        <v>263</v>
      </c>
      <c r="B267" s="8" t="s">
        <v>1385</v>
      </c>
      <c r="C267" s="26">
        <v>2026</v>
      </c>
      <c r="D267" s="8"/>
      <c r="E267" s="8" t="s">
        <v>1386</v>
      </c>
      <c r="F267" s="20" t="s">
        <v>54</v>
      </c>
      <c r="G267" s="21" t="s">
        <v>53</v>
      </c>
      <c r="H267" s="21" t="s">
        <v>53</v>
      </c>
      <c r="I267" s="21" t="s">
        <v>53</v>
      </c>
      <c r="J267" s="21" t="s">
        <v>53</v>
      </c>
      <c r="K267" s="21" t="s">
        <v>53</v>
      </c>
      <c r="L267" s="22" t="str">
        <f t="shared" si="20"/>
        <v>INCLUDE</v>
      </c>
      <c r="M267" s="22" t="str">
        <f t="shared" si="21"/>
        <v/>
      </c>
      <c r="N267" s="23" t="s">
        <v>53</v>
      </c>
      <c r="O267" s="23" t="s">
        <v>53</v>
      </c>
      <c r="P267" s="24" t="s">
        <v>53</v>
      </c>
      <c r="Q267" s="24" t="s">
        <v>53</v>
      </c>
      <c r="R267" s="24" t="s">
        <v>53</v>
      </c>
      <c r="S267" s="22" t="str">
        <f t="shared" si="22"/>
        <v>INCLUDE</v>
      </c>
      <c r="T267" s="22" t="str">
        <f t="shared" si="23"/>
        <v/>
      </c>
      <c r="U267" s="25" t="s">
        <v>76</v>
      </c>
      <c r="V267" s="25">
        <v>0</v>
      </c>
      <c r="W267" s="25">
        <v>0</v>
      </c>
      <c r="X267" s="25">
        <v>1</v>
      </c>
      <c r="Y267" s="22" t="str">
        <f t="shared" si="24"/>
        <v>Single</v>
      </c>
      <c r="Z267" s="25" t="s">
        <v>9</v>
      </c>
      <c r="AA267" s="25" t="s">
        <v>57</v>
      </c>
      <c r="AB267" s="25" t="s">
        <v>104</v>
      </c>
      <c r="AC267" s="25" t="s">
        <v>70</v>
      </c>
      <c r="AD267" s="25" t="s">
        <v>71</v>
      </c>
      <c r="AE267" s="25">
        <v>4</v>
      </c>
      <c r="AF267" s="25" t="s">
        <v>90</v>
      </c>
      <c r="AG267" s="9" t="s">
        <v>1387</v>
      </c>
      <c r="AH267" s="29" t="s">
        <v>1388</v>
      </c>
      <c r="AI267" s="29" t="s">
        <v>1389</v>
      </c>
      <c r="AJ267" t="s">
        <v>91</v>
      </c>
      <c r="AK267" t="s">
        <v>1390</v>
      </c>
      <c r="AL267" t="s">
        <v>74</v>
      </c>
      <c r="AM267" s="50"/>
      <c r="AN267" s="51" t="s">
        <v>1391</v>
      </c>
      <c r="AO267" s="55" t="s">
        <v>1392</v>
      </c>
    </row>
    <row r="268" spans="1:41" ht="22.95" hidden="1" customHeight="1" x14ac:dyDescent="0.3">
      <c r="A268" s="20">
        <v>264</v>
      </c>
      <c r="B268" s="8" t="s">
        <v>1393</v>
      </c>
      <c r="C268" s="26">
        <v>2025</v>
      </c>
      <c r="D268" s="8"/>
      <c r="E268" s="8" t="s">
        <v>1394</v>
      </c>
      <c r="F268" s="20" t="s">
        <v>54</v>
      </c>
      <c r="G268" s="21" t="s">
        <v>53</v>
      </c>
      <c r="H268" s="21" t="s">
        <v>64</v>
      </c>
      <c r="I268" s="21" t="s">
        <v>64</v>
      </c>
      <c r="J268" s="21" t="s">
        <v>53</v>
      </c>
      <c r="K268" s="21" t="s">
        <v>53</v>
      </c>
      <c r="L268" s="22" t="str">
        <f t="shared" si="20"/>
        <v>EXCLUDE</v>
      </c>
      <c r="M268" s="22" t="str">
        <f t="shared" si="21"/>
        <v>Digital Twin not core / buzzword</v>
      </c>
      <c r="N268" s="23"/>
      <c r="O268" s="23"/>
      <c r="P268" s="24"/>
      <c r="Q268" s="24"/>
      <c r="R268" s="24"/>
      <c r="S268" s="22" t="str">
        <f t="shared" si="22"/>
        <v/>
      </c>
      <c r="T268" s="22" t="str">
        <f t="shared" si="23"/>
        <v/>
      </c>
      <c r="U268" s="25"/>
      <c r="V268" s="25"/>
      <c r="W268" s="25"/>
      <c r="X268" s="25"/>
      <c r="Y268" s="22" t="str">
        <f t="shared" si="24"/>
        <v/>
      </c>
      <c r="Z268" s="25"/>
      <c r="AA268" s="25"/>
      <c r="AB268" s="25"/>
      <c r="AC268" s="25"/>
      <c r="AD268" s="25"/>
      <c r="AE268" s="25"/>
      <c r="AF268" s="25"/>
      <c r="AG268" s="9"/>
      <c r="AH268" s="29"/>
      <c r="AI268" s="29"/>
      <c r="AM268" s="50"/>
      <c r="AN268" s="51" t="s">
        <v>1229</v>
      </c>
      <c r="AO268" s="55" t="s">
        <v>1395</v>
      </c>
    </row>
    <row r="269" spans="1:41" ht="91.2" hidden="1" customHeight="1" x14ac:dyDescent="0.3">
      <c r="A269" s="20">
        <v>265</v>
      </c>
      <c r="B269" s="8" t="s">
        <v>1396</v>
      </c>
      <c r="C269" s="26">
        <v>2025</v>
      </c>
      <c r="D269" s="8"/>
      <c r="E269" s="8" t="s">
        <v>1397</v>
      </c>
      <c r="F269" s="20" t="s">
        <v>54</v>
      </c>
      <c r="G269" s="21" t="s">
        <v>64</v>
      </c>
      <c r="H269" s="21" t="s">
        <v>53</v>
      </c>
      <c r="I269" s="21" t="s">
        <v>64</v>
      </c>
      <c r="J269" s="21" t="s">
        <v>53</v>
      </c>
      <c r="K269" s="21" t="s">
        <v>53</v>
      </c>
      <c r="L269" s="22" t="str">
        <f t="shared" si="20"/>
        <v>EXCLUDE</v>
      </c>
      <c r="M269" s="22" t="str">
        <f t="shared" si="21"/>
        <v>Wrong domain (non-AECO)</v>
      </c>
      <c r="N269" s="23"/>
      <c r="O269" s="23"/>
      <c r="P269" s="24"/>
      <c r="Q269" s="24"/>
      <c r="R269" s="24"/>
      <c r="S269" s="22" t="str">
        <f t="shared" si="22"/>
        <v/>
      </c>
      <c r="T269" s="22" t="str">
        <f t="shared" si="23"/>
        <v/>
      </c>
      <c r="U269" s="25"/>
      <c r="V269" s="25"/>
      <c r="W269" s="25"/>
      <c r="X269" s="25"/>
      <c r="Y269" s="22" t="str">
        <f t="shared" si="24"/>
        <v/>
      </c>
      <c r="Z269" s="25"/>
      <c r="AA269" s="25"/>
      <c r="AB269" s="25"/>
      <c r="AC269" s="25"/>
      <c r="AD269" s="25"/>
      <c r="AE269" s="25"/>
      <c r="AF269" s="25"/>
      <c r="AG269" s="9"/>
      <c r="AH269" s="29"/>
      <c r="AI269" s="29"/>
      <c r="AM269" s="50"/>
      <c r="AN269" s="51" t="s">
        <v>1398</v>
      </c>
      <c r="AO269" s="55" t="s">
        <v>1399</v>
      </c>
    </row>
    <row r="270" spans="1:41" s="78" customFormat="1" ht="115.2" hidden="1" customHeight="1" x14ac:dyDescent="0.3">
      <c r="A270" s="20">
        <v>266</v>
      </c>
      <c r="B270" s="8" t="s">
        <v>1400</v>
      </c>
      <c r="C270" s="26">
        <v>2025</v>
      </c>
      <c r="D270" s="8"/>
      <c r="E270" s="8" t="s">
        <v>1401</v>
      </c>
      <c r="F270" s="20" t="s">
        <v>54</v>
      </c>
      <c r="G270" s="21" t="s">
        <v>64</v>
      </c>
      <c r="H270" s="21" t="s">
        <v>64</v>
      </c>
      <c r="I270" s="21" t="s">
        <v>64</v>
      </c>
      <c r="J270" s="21" t="s">
        <v>53</v>
      </c>
      <c r="K270" s="21" t="s">
        <v>53</v>
      </c>
      <c r="L270" s="22" t="str">
        <f t="shared" si="20"/>
        <v>EXCLUDE</v>
      </c>
      <c r="M270" s="22" t="str">
        <f t="shared" si="21"/>
        <v>Wrong domain (non-AECO)</v>
      </c>
      <c r="N270" s="23"/>
      <c r="O270" s="23"/>
      <c r="P270" s="24"/>
      <c r="Q270" s="24"/>
      <c r="R270" s="24"/>
      <c r="S270" s="22" t="str">
        <f t="shared" si="22"/>
        <v/>
      </c>
      <c r="T270" s="22" t="str">
        <f t="shared" si="23"/>
        <v/>
      </c>
      <c r="U270" s="25"/>
      <c r="V270" s="25"/>
      <c r="W270" s="25"/>
      <c r="X270" s="25"/>
      <c r="Y270" s="22" t="str">
        <f t="shared" si="24"/>
        <v/>
      </c>
      <c r="Z270" s="25"/>
      <c r="AA270" s="25"/>
      <c r="AB270" s="25"/>
      <c r="AC270" s="25"/>
      <c r="AD270" s="25"/>
      <c r="AE270" s="25"/>
      <c r="AF270" s="25"/>
      <c r="AG270" s="9"/>
      <c r="AH270" s="29"/>
      <c r="AI270" s="29"/>
      <c r="AM270" s="50"/>
      <c r="AN270" s="51" t="s">
        <v>1402</v>
      </c>
      <c r="AO270" s="55" t="s">
        <v>1328</v>
      </c>
    </row>
    <row r="271" spans="1:41" ht="91.2" hidden="1" customHeight="1" x14ac:dyDescent="0.3">
      <c r="A271" s="20">
        <v>267</v>
      </c>
      <c r="B271" s="8" t="s">
        <v>1403</v>
      </c>
      <c r="C271" s="26">
        <v>2026</v>
      </c>
      <c r="D271" s="8"/>
      <c r="E271" s="8" t="s">
        <v>1404</v>
      </c>
      <c r="F271" s="20" t="s">
        <v>54</v>
      </c>
      <c r="G271" s="21" t="s">
        <v>64</v>
      </c>
      <c r="H271" s="21" t="s">
        <v>53</v>
      </c>
      <c r="I271" s="21" t="s">
        <v>53</v>
      </c>
      <c r="J271" s="21" t="s">
        <v>53</v>
      </c>
      <c r="K271" s="21" t="s">
        <v>53</v>
      </c>
      <c r="L271" s="22" t="str">
        <f t="shared" si="20"/>
        <v>EXCLUDE</v>
      </c>
      <c r="M271" s="22" t="str">
        <f t="shared" si="21"/>
        <v>Wrong domain (non-AECO)</v>
      </c>
      <c r="N271" s="23"/>
      <c r="O271" s="23"/>
      <c r="P271" s="24"/>
      <c r="Q271" s="24"/>
      <c r="R271" s="24"/>
      <c r="S271" s="22" t="str">
        <f t="shared" si="22"/>
        <v/>
      </c>
      <c r="T271" s="22" t="str">
        <f t="shared" si="23"/>
        <v/>
      </c>
      <c r="U271" s="25"/>
      <c r="V271" s="25"/>
      <c r="W271" s="25"/>
      <c r="X271" s="25"/>
      <c r="Y271" s="22" t="str">
        <f t="shared" si="24"/>
        <v/>
      </c>
      <c r="Z271" s="25"/>
      <c r="AA271" s="25"/>
      <c r="AB271" s="25"/>
      <c r="AC271" s="25"/>
      <c r="AD271" s="25"/>
      <c r="AE271" s="25"/>
      <c r="AF271" s="25"/>
      <c r="AG271" s="9"/>
      <c r="AH271" s="29"/>
      <c r="AI271" s="29"/>
      <c r="AM271" s="50"/>
      <c r="AN271" s="51" t="s">
        <v>1405</v>
      </c>
      <c r="AO271" s="55" t="s">
        <v>1406</v>
      </c>
    </row>
    <row r="272" spans="1:41" ht="79.95" hidden="1" customHeight="1" x14ac:dyDescent="0.3">
      <c r="A272" s="20">
        <v>268</v>
      </c>
      <c r="B272" s="8" t="s">
        <v>1407</v>
      </c>
      <c r="C272" s="26">
        <v>2026</v>
      </c>
      <c r="D272" s="8"/>
      <c r="E272" s="8" t="s">
        <v>1408</v>
      </c>
      <c r="F272" s="20" t="s">
        <v>54</v>
      </c>
      <c r="G272" s="21" t="s">
        <v>64</v>
      </c>
      <c r="H272" s="21" t="s">
        <v>53</v>
      </c>
      <c r="I272" s="21" t="s">
        <v>53</v>
      </c>
      <c r="J272" s="21" t="s">
        <v>53</v>
      </c>
      <c r="K272" s="21" t="s">
        <v>53</v>
      </c>
      <c r="L272" s="22" t="str">
        <f t="shared" si="20"/>
        <v>EXCLUDE</v>
      </c>
      <c r="M272" s="22" t="str">
        <f t="shared" si="21"/>
        <v>Wrong domain (non-AECO)</v>
      </c>
      <c r="N272" s="23"/>
      <c r="O272" s="23"/>
      <c r="P272" s="24"/>
      <c r="Q272" s="24"/>
      <c r="R272" s="24"/>
      <c r="S272" s="22" t="str">
        <f t="shared" si="22"/>
        <v/>
      </c>
      <c r="T272" s="22" t="str">
        <f t="shared" si="23"/>
        <v/>
      </c>
      <c r="U272" s="25"/>
      <c r="V272" s="25"/>
      <c r="W272" s="25"/>
      <c r="X272" s="25"/>
      <c r="Y272" s="22" t="str">
        <f t="shared" si="24"/>
        <v/>
      </c>
      <c r="Z272" s="25"/>
      <c r="AA272" s="25"/>
      <c r="AB272" s="25"/>
      <c r="AC272" s="25"/>
      <c r="AD272" s="25"/>
      <c r="AE272" s="25"/>
      <c r="AF272" s="25"/>
      <c r="AG272" s="9"/>
      <c r="AH272" s="29"/>
      <c r="AI272" s="29"/>
      <c r="AM272" s="50"/>
      <c r="AN272" s="51" t="s">
        <v>1409</v>
      </c>
      <c r="AO272" s="55" t="s">
        <v>1410</v>
      </c>
    </row>
    <row r="273" spans="1:41" ht="79.95" customHeight="1" x14ac:dyDescent="0.3">
      <c r="A273" s="20">
        <v>269</v>
      </c>
      <c r="B273" s="8" t="s">
        <v>1411</v>
      </c>
      <c r="C273" s="26">
        <v>2026</v>
      </c>
      <c r="D273" s="8"/>
      <c r="E273" s="8" t="s">
        <v>1412</v>
      </c>
      <c r="F273" s="20" t="s">
        <v>54</v>
      </c>
      <c r="G273" s="21" t="s">
        <v>53</v>
      </c>
      <c r="H273" s="21" t="s">
        <v>53</v>
      </c>
      <c r="I273" s="21" t="s">
        <v>53</v>
      </c>
      <c r="J273" s="21" t="s">
        <v>53</v>
      </c>
      <c r="K273" s="21" t="s">
        <v>53</v>
      </c>
      <c r="L273" s="22" t="str">
        <f t="shared" si="20"/>
        <v>INCLUDE</v>
      </c>
      <c r="M273" s="22" t="str">
        <f t="shared" si="21"/>
        <v/>
      </c>
      <c r="N273" s="23" t="s">
        <v>53</v>
      </c>
      <c r="O273" s="23" t="s">
        <v>53</v>
      </c>
      <c r="P273" s="24" t="s">
        <v>53</v>
      </c>
      <c r="Q273" s="24" t="s">
        <v>53</v>
      </c>
      <c r="R273" s="24" t="s">
        <v>53</v>
      </c>
      <c r="S273" s="22" t="str">
        <f t="shared" si="22"/>
        <v>INCLUDE</v>
      </c>
      <c r="T273" s="22" t="str">
        <f t="shared" si="23"/>
        <v/>
      </c>
      <c r="U273" s="25" t="s">
        <v>76</v>
      </c>
      <c r="V273" s="25">
        <v>0</v>
      </c>
      <c r="W273" s="25">
        <v>1</v>
      </c>
      <c r="X273" s="25">
        <v>0</v>
      </c>
      <c r="Y273" s="22" t="str">
        <f t="shared" si="24"/>
        <v>Single</v>
      </c>
      <c r="Z273" s="25" t="s">
        <v>9</v>
      </c>
      <c r="AA273" s="25" t="s">
        <v>57</v>
      </c>
      <c r="AB273" s="25" t="s">
        <v>79</v>
      </c>
      <c r="AC273" s="25" t="s">
        <v>70</v>
      </c>
      <c r="AD273" s="25" t="s">
        <v>89</v>
      </c>
      <c r="AE273" s="25">
        <v>4</v>
      </c>
      <c r="AF273" s="25" t="s">
        <v>96</v>
      </c>
      <c r="AG273" s="9" t="s">
        <v>1413</v>
      </c>
      <c r="AH273" s="29" t="s">
        <v>1414</v>
      </c>
      <c r="AI273" s="29" t="s">
        <v>1415</v>
      </c>
      <c r="AJ273" t="s">
        <v>91</v>
      </c>
      <c r="AK273" t="s">
        <v>1416</v>
      </c>
      <c r="AL273" t="s">
        <v>63</v>
      </c>
      <c r="AM273" s="50"/>
      <c r="AN273" s="51" t="s">
        <v>1417</v>
      </c>
      <c r="AO273" s="55" t="s">
        <v>1418</v>
      </c>
    </row>
    <row r="274" spans="1:41" ht="79.95" hidden="1" customHeight="1" x14ac:dyDescent="0.3">
      <c r="A274" s="20">
        <v>270</v>
      </c>
      <c r="B274" s="8" t="s">
        <v>1419</v>
      </c>
      <c r="C274" s="26">
        <v>2026</v>
      </c>
      <c r="D274" s="8"/>
      <c r="E274" s="8" t="s">
        <v>1420</v>
      </c>
      <c r="F274" s="20" t="s">
        <v>54</v>
      </c>
      <c r="G274" s="21" t="s">
        <v>64</v>
      </c>
      <c r="H274" s="21" t="s">
        <v>53</v>
      </c>
      <c r="I274" s="21" t="s">
        <v>53</v>
      </c>
      <c r="J274" s="21" t="s">
        <v>53</v>
      </c>
      <c r="K274" s="21" t="s">
        <v>53</v>
      </c>
      <c r="L274" s="22" t="str">
        <f t="shared" si="20"/>
        <v>EXCLUDE</v>
      </c>
      <c r="M274" s="22" t="str">
        <f t="shared" si="21"/>
        <v>Wrong domain (non-AECO)</v>
      </c>
      <c r="N274" s="23"/>
      <c r="O274" s="23"/>
      <c r="P274" s="24"/>
      <c r="Q274" s="24"/>
      <c r="R274" s="24"/>
      <c r="S274" s="22" t="str">
        <f t="shared" si="22"/>
        <v/>
      </c>
      <c r="T274" s="22" t="str">
        <f t="shared" si="23"/>
        <v/>
      </c>
      <c r="U274" s="25"/>
      <c r="V274" s="25"/>
      <c r="W274" s="25"/>
      <c r="X274" s="25"/>
      <c r="Y274" s="22" t="str">
        <f t="shared" si="24"/>
        <v/>
      </c>
      <c r="Z274" s="25"/>
      <c r="AA274" s="25"/>
      <c r="AB274" s="25"/>
      <c r="AC274" s="25"/>
      <c r="AD274" s="25"/>
      <c r="AE274" s="25"/>
      <c r="AF274" s="25"/>
      <c r="AG274" s="9"/>
      <c r="AH274" s="29"/>
      <c r="AI274" s="29"/>
      <c r="AM274" s="50"/>
      <c r="AN274" s="51" t="s">
        <v>1421</v>
      </c>
      <c r="AO274" s="55" t="s">
        <v>1422</v>
      </c>
    </row>
    <row r="275" spans="1:41" ht="102.6" hidden="1" customHeight="1" x14ac:dyDescent="0.3">
      <c r="A275" s="20">
        <v>271</v>
      </c>
      <c r="B275" s="8" t="s">
        <v>1423</v>
      </c>
      <c r="C275" s="26">
        <v>2026</v>
      </c>
      <c r="D275" s="8"/>
      <c r="E275" s="8" t="s">
        <v>1424</v>
      </c>
      <c r="F275" s="20" t="s">
        <v>54</v>
      </c>
      <c r="G275" s="21" t="s">
        <v>64</v>
      </c>
      <c r="H275" s="21" t="s">
        <v>53</v>
      </c>
      <c r="I275" s="21" t="s">
        <v>53</v>
      </c>
      <c r="J275" s="21" t="s">
        <v>53</v>
      </c>
      <c r="K275" s="21" t="s">
        <v>53</v>
      </c>
      <c r="L275" s="22" t="str">
        <f t="shared" si="20"/>
        <v>EXCLUDE</v>
      </c>
      <c r="M275" s="22" t="str">
        <f t="shared" si="21"/>
        <v>Wrong domain (non-AECO)</v>
      </c>
      <c r="N275" s="23"/>
      <c r="O275" s="23"/>
      <c r="P275" s="24"/>
      <c r="Q275" s="24"/>
      <c r="R275" s="24"/>
      <c r="S275" s="22" t="str">
        <f t="shared" si="22"/>
        <v/>
      </c>
      <c r="T275" s="22" t="str">
        <f t="shared" si="23"/>
        <v/>
      </c>
      <c r="U275" s="25"/>
      <c r="V275" s="25"/>
      <c r="W275" s="25"/>
      <c r="X275" s="25"/>
      <c r="Y275" s="22" t="str">
        <f t="shared" si="24"/>
        <v/>
      </c>
      <c r="Z275" s="25"/>
      <c r="AA275" s="25"/>
      <c r="AB275" s="25"/>
      <c r="AC275" s="25"/>
      <c r="AD275" s="25"/>
      <c r="AE275" s="25"/>
      <c r="AF275" s="25"/>
      <c r="AG275" s="9"/>
      <c r="AH275" s="29"/>
      <c r="AI275" s="29"/>
      <c r="AM275" s="50"/>
      <c r="AN275" s="51" t="s">
        <v>1425</v>
      </c>
      <c r="AO275" s="55" t="s">
        <v>1426</v>
      </c>
    </row>
    <row r="276" spans="1:41" ht="57" hidden="1" customHeight="1" x14ac:dyDescent="0.3">
      <c r="A276" s="20">
        <v>272</v>
      </c>
      <c r="B276" s="8" t="s">
        <v>1427</v>
      </c>
      <c r="C276" s="26">
        <v>2025</v>
      </c>
      <c r="D276" s="8"/>
      <c r="E276" s="8" t="s">
        <v>1428</v>
      </c>
      <c r="F276" s="20" t="s">
        <v>54</v>
      </c>
      <c r="G276" s="21" t="s">
        <v>64</v>
      </c>
      <c r="H276" s="21" t="s">
        <v>53</v>
      </c>
      <c r="I276" s="21" t="s">
        <v>53</v>
      </c>
      <c r="J276" s="21" t="s">
        <v>53</v>
      </c>
      <c r="K276" s="21" t="s">
        <v>53</v>
      </c>
      <c r="L276" s="22" t="str">
        <f t="shared" si="20"/>
        <v>EXCLUDE</v>
      </c>
      <c r="M276" s="22" t="str">
        <f t="shared" si="21"/>
        <v>Wrong domain (non-AECO)</v>
      </c>
      <c r="N276" s="23"/>
      <c r="O276" s="23"/>
      <c r="P276" s="24"/>
      <c r="Q276" s="24"/>
      <c r="R276" s="24"/>
      <c r="S276" s="22" t="str">
        <f t="shared" si="22"/>
        <v/>
      </c>
      <c r="T276" s="22" t="str">
        <f t="shared" si="23"/>
        <v/>
      </c>
      <c r="U276" s="25"/>
      <c r="V276" s="25"/>
      <c r="W276" s="25"/>
      <c r="X276" s="25"/>
      <c r="Y276" s="22" t="str">
        <f t="shared" si="24"/>
        <v/>
      </c>
      <c r="Z276" s="25"/>
      <c r="AA276" s="25"/>
      <c r="AB276" s="25"/>
      <c r="AC276" s="25"/>
      <c r="AD276" s="25"/>
      <c r="AE276" s="25"/>
      <c r="AF276" s="25"/>
      <c r="AG276" s="9"/>
      <c r="AH276" s="29"/>
      <c r="AI276" s="29"/>
      <c r="AM276" s="50"/>
      <c r="AN276" s="51" t="s">
        <v>1429</v>
      </c>
      <c r="AO276" s="55" t="s">
        <v>1430</v>
      </c>
    </row>
    <row r="277" spans="1:41" ht="102.6" hidden="1" customHeight="1" x14ac:dyDescent="0.3">
      <c r="A277" s="20">
        <v>273</v>
      </c>
      <c r="B277" s="8" t="s">
        <v>1431</v>
      </c>
      <c r="C277" s="26">
        <v>2026</v>
      </c>
      <c r="D277" s="8"/>
      <c r="E277" s="8" t="s">
        <v>1432</v>
      </c>
      <c r="F277" s="20" t="s">
        <v>54</v>
      </c>
      <c r="G277" s="21" t="s">
        <v>64</v>
      </c>
      <c r="H277" s="21" t="s">
        <v>64</v>
      </c>
      <c r="I277" s="21" t="s">
        <v>64</v>
      </c>
      <c r="J277" s="21" t="s">
        <v>53</v>
      </c>
      <c r="K277" s="21" t="s">
        <v>53</v>
      </c>
      <c r="L277" s="22" t="str">
        <f t="shared" si="20"/>
        <v>EXCLUDE</v>
      </c>
      <c r="M277" s="22" t="str">
        <f t="shared" si="21"/>
        <v>Wrong domain (non-AECO)</v>
      </c>
      <c r="N277" s="23"/>
      <c r="O277" s="23"/>
      <c r="P277" s="24"/>
      <c r="Q277" s="24"/>
      <c r="R277" s="24"/>
      <c r="S277" s="22" t="str">
        <f t="shared" si="22"/>
        <v/>
      </c>
      <c r="T277" s="22" t="str">
        <f t="shared" si="23"/>
        <v/>
      </c>
      <c r="U277" s="25"/>
      <c r="V277" s="25"/>
      <c r="W277" s="25"/>
      <c r="X277" s="25"/>
      <c r="Y277" s="22" t="str">
        <f t="shared" si="24"/>
        <v/>
      </c>
      <c r="Z277" s="25"/>
      <c r="AA277" s="25"/>
      <c r="AB277" s="25"/>
      <c r="AC277" s="25"/>
      <c r="AD277" s="25"/>
      <c r="AE277" s="25"/>
      <c r="AF277" s="25"/>
      <c r="AG277" s="9"/>
      <c r="AH277" s="29"/>
      <c r="AI277" s="29"/>
      <c r="AM277" s="50"/>
      <c r="AN277" s="51" t="s">
        <v>1433</v>
      </c>
      <c r="AO277" s="55" t="s">
        <v>1434</v>
      </c>
    </row>
    <row r="278" spans="1:41" ht="22.95" hidden="1" customHeight="1" x14ac:dyDescent="0.3">
      <c r="A278" s="20">
        <v>274</v>
      </c>
      <c r="B278" s="8" t="s">
        <v>1435</v>
      </c>
      <c r="C278" s="26">
        <v>2025</v>
      </c>
      <c r="D278" s="8"/>
      <c r="E278" s="8" t="s">
        <v>1436</v>
      </c>
      <c r="F278" s="20" t="s">
        <v>54</v>
      </c>
      <c r="G278" s="21" t="s">
        <v>53</v>
      </c>
      <c r="H278" s="21" t="s">
        <v>64</v>
      </c>
      <c r="I278" s="21" t="s">
        <v>53</v>
      </c>
      <c r="J278" s="21" t="s">
        <v>53</v>
      </c>
      <c r="K278" s="21" t="s">
        <v>53</v>
      </c>
      <c r="L278" s="22" t="str">
        <f t="shared" si="20"/>
        <v>EXCLUDE</v>
      </c>
      <c r="M278" s="22" t="str">
        <f t="shared" si="21"/>
        <v>Digital Twin not core / buzzword</v>
      </c>
      <c r="N278" s="23"/>
      <c r="O278" s="23"/>
      <c r="P278" s="24"/>
      <c r="Q278" s="24"/>
      <c r="R278" s="24"/>
      <c r="S278" s="22" t="str">
        <f t="shared" si="22"/>
        <v/>
      </c>
      <c r="T278" s="22" t="str">
        <f t="shared" si="23"/>
        <v/>
      </c>
      <c r="U278" s="25"/>
      <c r="V278" s="25"/>
      <c r="W278" s="25"/>
      <c r="X278" s="25"/>
      <c r="Y278" s="22" t="str">
        <f t="shared" si="24"/>
        <v/>
      </c>
      <c r="Z278" s="25"/>
      <c r="AA278" s="25"/>
      <c r="AB278" s="25"/>
      <c r="AC278" s="25"/>
      <c r="AD278" s="25"/>
      <c r="AE278" s="25"/>
      <c r="AF278" s="25"/>
      <c r="AG278" s="9"/>
      <c r="AH278" s="29"/>
      <c r="AI278" s="29"/>
      <c r="AM278" s="50"/>
      <c r="AN278" s="51" t="s">
        <v>1437</v>
      </c>
      <c r="AO278" s="55" t="s">
        <v>1438</v>
      </c>
    </row>
    <row r="279" spans="1:41" ht="79.95" customHeight="1" x14ac:dyDescent="0.3">
      <c r="A279" s="20">
        <v>275</v>
      </c>
      <c r="B279" s="8" t="s">
        <v>1439</v>
      </c>
      <c r="C279" s="26">
        <v>2025</v>
      </c>
      <c r="D279" s="8"/>
      <c r="E279" s="8" t="s">
        <v>1440</v>
      </c>
      <c r="F279" s="20" t="s">
        <v>54</v>
      </c>
      <c r="G279" s="21" t="s">
        <v>53</v>
      </c>
      <c r="H279" s="21" t="s">
        <v>53</v>
      </c>
      <c r="I279" s="21" t="s">
        <v>53</v>
      </c>
      <c r="J279" s="21" t="s">
        <v>53</v>
      </c>
      <c r="K279" s="21" t="s">
        <v>53</v>
      </c>
      <c r="L279" s="22" t="str">
        <f t="shared" si="20"/>
        <v>INCLUDE</v>
      </c>
      <c r="M279" s="22" t="str">
        <f t="shared" si="21"/>
        <v/>
      </c>
      <c r="N279" s="23" t="s">
        <v>53</v>
      </c>
      <c r="O279" s="23" t="s">
        <v>53</v>
      </c>
      <c r="P279" s="24" t="s">
        <v>53</v>
      </c>
      <c r="Q279" s="24" t="s">
        <v>53</v>
      </c>
      <c r="R279" s="24" t="s">
        <v>53</v>
      </c>
      <c r="S279" s="22" t="str">
        <f t="shared" si="22"/>
        <v>INCLUDE</v>
      </c>
      <c r="T279" s="22" t="str">
        <f t="shared" si="23"/>
        <v/>
      </c>
      <c r="U279" s="25" t="s">
        <v>67</v>
      </c>
      <c r="V279" s="25">
        <v>0</v>
      </c>
      <c r="W279" s="25">
        <v>1</v>
      </c>
      <c r="X279" s="25">
        <v>0</v>
      </c>
      <c r="Y279" s="22" t="str">
        <f t="shared" si="24"/>
        <v>Single</v>
      </c>
      <c r="Z279" s="25" t="s">
        <v>9</v>
      </c>
      <c r="AA279" s="25" t="s">
        <v>78</v>
      </c>
      <c r="AB279" s="25" t="s">
        <v>58</v>
      </c>
      <c r="AC279" s="25" t="s">
        <v>70</v>
      </c>
      <c r="AD279" s="25" t="s">
        <v>89</v>
      </c>
      <c r="AE279" s="25">
        <v>4</v>
      </c>
      <c r="AF279" s="25" t="s">
        <v>90</v>
      </c>
      <c r="AG279" s="9" t="s">
        <v>1441</v>
      </c>
      <c r="AH279" s="29" t="s">
        <v>1442</v>
      </c>
      <c r="AI279" s="29" t="s">
        <v>1443</v>
      </c>
      <c r="AJ279" t="s">
        <v>91</v>
      </c>
      <c r="AK279" t="s">
        <v>1444</v>
      </c>
      <c r="AL279" t="s">
        <v>63</v>
      </c>
      <c r="AM279" s="50"/>
      <c r="AN279" s="51" t="s">
        <v>1445</v>
      </c>
      <c r="AO279" s="55" t="s">
        <v>1446</v>
      </c>
    </row>
    <row r="280" spans="1:41" ht="57" hidden="1" customHeight="1" x14ac:dyDescent="0.3">
      <c r="A280" s="20">
        <v>276</v>
      </c>
      <c r="B280" s="8" t="s">
        <v>1447</v>
      </c>
      <c r="C280" s="26">
        <v>2026</v>
      </c>
      <c r="D280" s="8"/>
      <c r="E280" s="8" t="s">
        <v>1448</v>
      </c>
      <c r="F280" s="20" t="s">
        <v>54</v>
      </c>
      <c r="G280" s="21" t="s">
        <v>64</v>
      </c>
      <c r="H280" s="21" t="s">
        <v>53</v>
      </c>
      <c r="I280" s="21" t="s">
        <v>64</v>
      </c>
      <c r="J280" s="21" t="s">
        <v>53</v>
      </c>
      <c r="K280" s="21" t="s">
        <v>53</v>
      </c>
      <c r="L280" s="22" t="str">
        <f t="shared" si="20"/>
        <v>EXCLUDE</v>
      </c>
      <c r="M280" s="22" t="str">
        <f t="shared" si="21"/>
        <v>Wrong domain (non-AECO)</v>
      </c>
      <c r="N280" s="23"/>
      <c r="O280" s="23"/>
      <c r="P280" s="24"/>
      <c r="Q280" s="24"/>
      <c r="R280" s="24"/>
      <c r="S280" s="22" t="str">
        <f t="shared" si="22"/>
        <v/>
      </c>
      <c r="T280" s="22" t="str">
        <f t="shared" si="23"/>
        <v/>
      </c>
      <c r="U280" s="25"/>
      <c r="V280" s="25"/>
      <c r="W280" s="25"/>
      <c r="X280" s="25"/>
      <c r="Y280" s="22" t="str">
        <f t="shared" si="24"/>
        <v/>
      </c>
      <c r="Z280" s="25"/>
      <c r="AA280" s="25"/>
      <c r="AB280" s="25"/>
      <c r="AC280" s="25"/>
      <c r="AD280" s="25"/>
      <c r="AE280" s="25"/>
      <c r="AF280" s="25"/>
      <c r="AG280" s="9"/>
      <c r="AH280" s="29"/>
      <c r="AI280" s="29"/>
      <c r="AM280" s="50"/>
      <c r="AN280" s="51" t="s">
        <v>1449</v>
      </c>
      <c r="AO280" s="55" t="s">
        <v>1450</v>
      </c>
    </row>
    <row r="281" spans="1:41" ht="100.95" hidden="1" customHeight="1" x14ac:dyDescent="0.3">
      <c r="A281" s="20">
        <v>277</v>
      </c>
      <c r="B281" s="8" t="s">
        <v>1451</v>
      </c>
      <c r="C281" s="26">
        <v>2025</v>
      </c>
      <c r="D281" s="8"/>
      <c r="E281" s="8" t="s">
        <v>1452</v>
      </c>
      <c r="F281" s="20" t="s">
        <v>54</v>
      </c>
      <c r="G281" s="21" t="s">
        <v>64</v>
      </c>
      <c r="H281" s="21" t="s">
        <v>53</v>
      </c>
      <c r="I281" s="21" t="s">
        <v>64</v>
      </c>
      <c r="J281" s="21" t="s">
        <v>53</v>
      </c>
      <c r="K281" s="21" t="s">
        <v>53</v>
      </c>
      <c r="L281" s="22" t="str">
        <f t="shared" si="20"/>
        <v>EXCLUDE</v>
      </c>
      <c r="M281" s="22" t="str">
        <f t="shared" si="21"/>
        <v>Wrong domain (non-AECO)</v>
      </c>
      <c r="N281" s="23"/>
      <c r="O281" s="23"/>
      <c r="P281" s="24"/>
      <c r="Q281" s="24"/>
      <c r="R281" s="24"/>
      <c r="S281" s="22" t="str">
        <f t="shared" si="22"/>
        <v/>
      </c>
      <c r="T281" s="22" t="str">
        <f t="shared" si="23"/>
        <v/>
      </c>
      <c r="U281" s="25"/>
      <c r="V281" s="25"/>
      <c r="W281" s="25"/>
      <c r="X281" s="25"/>
      <c r="Y281" s="22" t="str">
        <f t="shared" si="24"/>
        <v/>
      </c>
      <c r="Z281" s="25"/>
      <c r="AA281" s="25"/>
      <c r="AB281" s="25"/>
      <c r="AC281" s="25"/>
      <c r="AD281" s="25"/>
      <c r="AE281" s="25"/>
      <c r="AF281" s="25"/>
      <c r="AG281" s="9"/>
      <c r="AH281" s="29"/>
      <c r="AI281" s="29"/>
      <c r="AM281" s="50"/>
      <c r="AN281" s="51" t="s">
        <v>1453</v>
      </c>
      <c r="AO281" s="55" t="s">
        <v>1454</v>
      </c>
    </row>
    <row r="282" spans="1:41" ht="100.95" customHeight="1" x14ac:dyDescent="0.3">
      <c r="A282" s="20">
        <v>278</v>
      </c>
      <c r="B282" s="8" t="s">
        <v>1455</v>
      </c>
      <c r="C282" s="26">
        <v>2025</v>
      </c>
      <c r="D282" s="8"/>
      <c r="E282" s="8" t="s">
        <v>1456</v>
      </c>
      <c r="F282" s="20" t="s">
        <v>54</v>
      </c>
      <c r="G282" s="21" t="s">
        <v>53</v>
      </c>
      <c r="H282" s="21" t="s">
        <v>53</v>
      </c>
      <c r="I282" s="21" t="s">
        <v>53</v>
      </c>
      <c r="J282" s="21" t="s">
        <v>53</v>
      </c>
      <c r="K282" s="21" t="s">
        <v>53</v>
      </c>
      <c r="L282" s="22" t="str">
        <f t="shared" si="20"/>
        <v>INCLUDE</v>
      </c>
      <c r="M282" s="22" t="str">
        <f t="shared" si="21"/>
        <v/>
      </c>
      <c r="N282" s="23" t="s">
        <v>53</v>
      </c>
      <c r="O282" s="23" t="s">
        <v>53</v>
      </c>
      <c r="P282" s="24" t="s">
        <v>53</v>
      </c>
      <c r="Q282" s="24" t="s">
        <v>53</v>
      </c>
      <c r="R282" s="24" t="s">
        <v>53</v>
      </c>
      <c r="S282" s="22" t="str">
        <f t="shared" si="22"/>
        <v>INCLUDE</v>
      </c>
      <c r="T282" s="22" t="str">
        <f t="shared" si="23"/>
        <v/>
      </c>
      <c r="U282" s="25" t="s">
        <v>67</v>
      </c>
      <c r="V282" s="25">
        <v>0</v>
      </c>
      <c r="W282" s="25">
        <v>1</v>
      </c>
      <c r="X282" s="25">
        <v>0</v>
      </c>
      <c r="Y282" s="22" t="str">
        <f t="shared" si="24"/>
        <v>Single</v>
      </c>
      <c r="Z282" s="25" t="s">
        <v>9</v>
      </c>
      <c r="AA282" s="25" t="s">
        <v>57</v>
      </c>
      <c r="AB282" s="25" t="s">
        <v>103</v>
      </c>
      <c r="AC282" s="25" t="s">
        <v>70</v>
      </c>
      <c r="AD282" s="25" t="s">
        <v>71</v>
      </c>
      <c r="AE282" s="25">
        <v>4</v>
      </c>
      <c r="AF282" s="25" t="s">
        <v>90</v>
      </c>
      <c r="AG282" s="9" t="s">
        <v>1457</v>
      </c>
      <c r="AH282" s="29" t="s">
        <v>1458</v>
      </c>
      <c r="AI282" s="29" t="s">
        <v>1459</v>
      </c>
      <c r="AJ282" t="s">
        <v>82</v>
      </c>
      <c r="AK282" t="s">
        <v>1460</v>
      </c>
      <c r="AL282" t="s">
        <v>63</v>
      </c>
      <c r="AM282" s="50"/>
      <c r="AN282" s="51" t="s">
        <v>1461</v>
      </c>
      <c r="AO282" s="55" t="s">
        <v>1462</v>
      </c>
    </row>
    <row r="283" spans="1:41" ht="45.6" customHeight="1" x14ac:dyDescent="0.3">
      <c r="A283" s="20">
        <v>279</v>
      </c>
      <c r="B283" s="8" t="s">
        <v>1463</v>
      </c>
      <c r="C283" s="26">
        <v>2025</v>
      </c>
      <c r="D283" s="8"/>
      <c r="E283" s="8" t="s">
        <v>1464</v>
      </c>
      <c r="F283" s="20" t="s">
        <v>54</v>
      </c>
      <c r="G283" s="21" t="s">
        <v>53</v>
      </c>
      <c r="H283" s="21" t="s">
        <v>53</v>
      </c>
      <c r="I283" s="21" t="s">
        <v>53</v>
      </c>
      <c r="J283" s="21" t="s">
        <v>53</v>
      </c>
      <c r="K283" s="21" t="s">
        <v>53</v>
      </c>
      <c r="L283" s="22" t="str">
        <f t="shared" si="20"/>
        <v>INCLUDE</v>
      </c>
      <c r="M283" s="22" t="str">
        <f t="shared" si="21"/>
        <v/>
      </c>
      <c r="N283" s="23" t="s">
        <v>53</v>
      </c>
      <c r="O283" s="23" t="s">
        <v>53</v>
      </c>
      <c r="P283" s="24" t="s">
        <v>53</v>
      </c>
      <c r="Q283" s="24" t="s">
        <v>53</v>
      </c>
      <c r="R283" s="24" t="s">
        <v>53</v>
      </c>
      <c r="S283" s="22" t="str">
        <f t="shared" si="22"/>
        <v>INCLUDE</v>
      </c>
      <c r="T283" s="22" t="str">
        <f t="shared" si="23"/>
        <v/>
      </c>
      <c r="U283" s="25" t="s">
        <v>56</v>
      </c>
      <c r="V283" s="25">
        <v>0</v>
      </c>
      <c r="W283" s="25">
        <v>0</v>
      </c>
      <c r="X283" s="25">
        <v>1</v>
      </c>
      <c r="Y283" s="22" t="str">
        <f t="shared" si="24"/>
        <v>Single</v>
      </c>
      <c r="Z283" s="25" t="s">
        <v>9</v>
      </c>
      <c r="AA283" s="25" t="s">
        <v>57</v>
      </c>
      <c r="AB283" s="25" t="s">
        <v>104</v>
      </c>
      <c r="AC283" s="25" t="s">
        <v>59</v>
      </c>
      <c r="AD283" s="25" t="s">
        <v>95</v>
      </c>
      <c r="AE283" s="25">
        <v>4</v>
      </c>
      <c r="AF283" s="25" t="s">
        <v>90</v>
      </c>
      <c r="AG283" s="9" t="s">
        <v>1465</v>
      </c>
      <c r="AH283" s="29" t="s">
        <v>1466</v>
      </c>
      <c r="AI283" s="29" t="s">
        <v>1467</v>
      </c>
      <c r="AJ283" t="s">
        <v>62</v>
      </c>
      <c r="AK283" t="s">
        <v>1468</v>
      </c>
      <c r="AL283" t="s">
        <v>63</v>
      </c>
      <c r="AM283" s="50"/>
      <c r="AN283" s="51" t="s">
        <v>1469</v>
      </c>
      <c r="AO283" s="55" t="s">
        <v>1470</v>
      </c>
    </row>
    <row r="284" spans="1:41" ht="57" hidden="1" customHeight="1" x14ac:dyDescent="0.3">
      <c r="A284" s="20">
        <v>280</v>
      </c>
      <c r="B284" s="8" t="s">
        <v>1471</v>
      </c>
      <c r="C284" s="26">
        <v>2025</v>
      </c>
      <c r="D284" s="8"/>
      <c r="E284" s="8" t="s">
        <v>1472</v>
      </c>
      <c r="F284" s="20" t="s">
        <v>54</v>
      </c>
      <c r="G284" s="21" t="s">
        <v>64</v>
      </c>
      <c r="H284" s="21" t="s">
        <v>64</v>
      </c>
      <c r="I284" s="21" t="s">
        <v>64</v>
      </c>
      <c r="J284" s="21" t="s">
        <v>53</v>
      </c>
      <c r="K284" s="21" t="s">
        <v>53</v>
      </c>
      <c r="L284" s="22" t="str">
        <f t="shared" si="20"/>
        <v>EXCLUDE</v>
      </c>
      <c r="M284" s="22" t="str">
        <f t="shared" si="21"/>
        <v>Wrong domain (non-AECO)</v>
      </c>
      <c r="N284" s="23"/>
      <c r="O284" s="23"/>
      <c r="P284" s="24"/>
      <c r="Q284" s="24"/>
      <c r="R284" s="24"/>
      <c r="S284" s="22" t="str">
        <f t="shared" si="22"/>
        <v/>
      </c>
      <c r="T284" s="22" t="str">
        <f t="shared" si="23"/>
        <v/>
      </c>
      <c r="U284" s="25"/>
      <c r="V284" s="25"/>
      <c r="W284" s="25"/>
      <c r="X284" s="25"/>
      <c r="Y284" s="22" t="str">
        <f t="shared" si="24"/>
        <v/>
      </c>
      <c r="Z284" s="25"/>
      <c r="AA284" s="25"/>
      <c r="AB284" s="25"/>
      <c r="AC284" s="25"/>
      <c r="AD284" s="25"/>
      <c r="AE284" s="25"/>
      <c r="AF284" s="25"/>
      <c r="AG284" s="9"/>
      <c r="AH284" s="29"/>
      <c r="AI284" s="29"/>
      <c r="AM284" s="50"/>
      <c r="AN284" s="51" t="s">
        <v>1473</v>
      </c>
      <c r="AO284" s="55" t="s">
        <v>1474</v>
      </c>
    </row>
    <row r="285" spans="1:41" ht="45.6" hidden="1" customHeight="1" x14ac:dyDescent="0.3">
      <c r="A285" s="20">
        <v>281</v>
      </c>
      <c r="B285" s="8" t="s">
        <v>1475</v>
      </c>
      <c r="C285" s="26">
        <v>2025</v>
      </c>
      <c r="D285" s="8"/>
      <c r="E285" s="8" t="s">
        <v>1476</v>
      </c>
      <c r="F285" s="20" t="s">
        <v>54</v>
      </c>
      <c r="G285" s="21" t="s">
        <v>64</v>
      </c>
      <c r="H285" s="21" t="s">
        <v>53</v>
      </c>
      <c r="I285" s="21" t="s">
        <v>53</v>
      </c>
      <c r="J285" s="21" t="s">
        <v>53</v>
      </c>
      <c r="K285" s="21" t="s">
        <v>53</v>
      </c>
      <c r="L285" s="22" t="str">
        <f t="shared" si="20"/>
        <v>EXCLUDE</v>
      </c>
      <c r="M285" s="22" t="str">
        <f t="shared" si="21"/>
        <v>Wrong domain (non-AECO)</v>
      </c>
      <c r="N285" s="23"/>
      <c r="O285" s="23"/>
      <c r="P285" s="24"/>
      <c r="Q285" s="24"/>
      <c r="R285" s="24"/>
      <c r="S285" s="22" t="str">
        <f t="shared" si="22"/>
        <v/>
      </c>
      <c r="T285" s="22" t="str">
        <f t="shared" si="23"/>
        <v/>
      </c>
      <c r="U285" s="25"/>
      <c r="V285" s="25"/>
      <c r="W285" s="25"/>
      <c r="X285" s="25"/>
      <c r="Y285" s="22" t="str">
        <f t="shared" si="24"/>
        <v/>
      </c>
      <c r="Z285" s="25"/>
      <c r="AA285" s="25"/>
      <c r="AB285" s="25"/>
      <c r="AC285" s="25"/>
      <c r="AD285" s="25"/>
      <c r="AE285" s="25"/>
      <c r="AF285" s="25"/>
      <c r="AG285" s="9"/>
      <c r="AH285" s="29"/>
      <c r="AI285" s="29"/>
      <c r="AM285" s="50"/>
      <c r="AN285" s="51" t="s">
        <v>1477</v>
      </c>
      <c r="AO285" s="55" t="s">
        <v>1478</v>
      </c>
    </row>
    <row r="286" spans="1:41" ht="68.400000000000006" customHeight="1" x14ac:dyDescent="0.3">
      <c r="A286" s="20">
        <v>282</v>
      </c>
      <c r="B286" s="8" t="s">
        <v>1479</v>
      </c>
      <c r="C286" s="26">
        <v>2026</v>
      </c>
      <c r="D286" s="8"/>
      <c r="E286" s="8" t="s">
        <v>1480</v>
      </c>
      <c r="F286" s="20" t="s">
        <v>54</v>
      </c>
      <c r="G286" s="21" t="s">
        <v>53</v>
      </c>
      <c r="H286" s="21" t="s">
        <v>53</v>
      </c>
      <c r="I286" s="21" t="s">
        <v>53</v>
      </c>
      <c r="J286" s="21" t="s">
        <v>53</v>
      </c>
      <c r="K286" s="21" t="s">
        <v>53</v>
      </c>
      <c r="L286" s="22" t="str">
        <f t="shared" si="20"/>
        <v>INCLUDE</v>
      </c>
      <c r="M286" s="22" t="str">
        <f t="shared" si="21"/>
        <v/>
      </c>
      <c r="N286" s="23" t="s">
        <v>53</v>
      </c>
      <c r="O286" s="23" t="s">
        <v>53</v>
      </c>
      <c r="P286" s="24" t="s">
        <v>53</v>
      </c>
      <c r="Q286" s="24" t="s">
        <v>53</v>
      </c>
      <c r="R286" s="24" t="s">
        <v>53</v>
      </c>
      <c r="S286" s="22" t="str">
        <f t="shared" si="22"/>
        <v>INCLUDE</v>
      </c>
      <c r="T286" s="22" t="str">
        <f t="shared" si="23"/>
        <v/>
      </c>
      <c r="U286" s="25" t="s">
        <v>56</v>
      </c>
      <c r="V286" s="25">
        <v>0</v>
      </c>
      <c r="W286" s="25">
        <v>0</v>
      </c>
      <c r="X286" s="25">
        <v>1</v>
      </c>
      <c r="Y286" s="22" t="str">
        <f t="shared" si="24"/>
        <v>Single</v>
      </c>
      <c r="Z286" s="25" t="s">
        <v>9</v>
      </c>
      <c r="AA286" s="25" t="s">
        <v>57</v>
      </c>
      <c r="AB286" s="25" t="s">
        <v>88</v>
      </c>
      <c r="AC286" s="25" t="s">
        <v>70</v>
      </c>
      <c r="AD286" s="25" t="s">
        <v>95</v>
      </c>
      <c r="AE286" s="25">
        <v>3</v>
      </c>
      <c r="AF286" s="25" t="s">
        <v>81</v>
      </c>
      <c r="AG286" s="9" t="s">
        <v>1481</v>
      </c>
      <c r="AH286" s="29" t="s">
        <v>1482</v>
      </c>
      <c r="AI286" s="29" t="s">
        <v>1483</v>
      </c>
      <c r="AJ286" t="s">
        <v>91</v>
      </c>
      <c r="AK286" t="s">
        <v>1484</v>
      </c>
      <c r="AL286" t="s">
        <v>74</v>
      </c>
      <c r="AM286" s="50"/>
      <c r="AN286" s="51" t="s">
        <v>1485</v>
      </c>
      <c r="AO286" s="55" t="s">
        <v>1486</v>
      </c>
    </row>
    <row r="287" spans="1:41" ht="79.95" hidden="1" customHeight="1" x14ac:dyDescent="0.3">
      <c r="A287" s="20">
        <v>283</v>
      </c>
      <c r="B287" s="8" t="s">
        <v>1487</v>
      </c>
      <c r="C287" s="26">
        <v>2026</v>
      </c>
      <c r="D287" s="8"/>
      <c r="E287" s="8" t="s">
        <v>1488</v>
      </c>
      <c r="F287" s="20" t="s">
        <v>54</v>
      </c>
      <c r="G287" s="21" t="s">
        <v>64</v>
      </c>
      <c r="H287" s="21" t="s">
        <v>53</v>
      </c>
      <c r="I287" s="21" t="s">
        <v>64</v>
      </c>
      <c r="J287" s="21" t="s">
        <v>53</v>
      </c>
      <c r="K287" s="21" t="s">
        <v>53</v>
      </c>
      <c r="L287" s="22" t="str">
        <f t="shared" si="20"/>
        <v>EXCLUDE</v>
      </c>
      <c r="M287" s="22" t="str">
        <f t="shared" si="21"/>
        <v>Wrong domain (non-AECO)</v>
      </c>
      <c r="N287" s="23"/>
      <c r="O287" s="23"/>
      <c r="P287" s="24"/>
      <c r="Q287" s="24"/>
      <c r="R287" s="24"/>
      <c r="S287" s="22" t="str">
        <f t="shared" si="22"/>
        <v/>
      </c>
      <c r="T287" s="22" t="str">
        <f t="shared" si="23"/>
        <v/>
      </c>
      <c r="U287" s="25"/>
      <c r="V287" s="25"/>
      <c r="W287" s="25"/>
      <c r="X287" s="25"/>
      <c r="Y287" s="22" t="str">
        <f t="shared" si="24"/>
        <v/>
      </c>
      <c r="Z287" s="25"/>
      <c r="AA287" s="25"/>
      <c r="AB287" s="25"/>
      <c r="AC287" s="25"/>
      <c r="AD287" s="25"/>
      <c r="AE287" s="25"/>
      <c r="AF287" s="25"/>
      <c r="AG287" s="9"/>
      <c r="AH287" s="29"/>
      <c r="AI287" s="29"/>
      <c r="AM287" s="50"/>
      <c r="AN287" s="51" t="s">
        <v>1489</v>
      </c>
      <c r="AO287" s="55" t="s">
        <v>1490</v>
      </c>
    </row>
    <row r="288" spans="1:41" ht="79.95" hidden="1" customHeight="1" x14ac:dyDescent="0.3">
      <c r="A288" s="20">
        <v>284</v>
      </c>
      <c r="B288" s="8" t="s">
        <v>1491</v>
      </c>
      <c r="C288" s="26">
        <v>2026</v>
      </c>
      <c r="D288" s="8"/>
      <c r="E288" s="8" t="s">
        <v>1492</v>
      </c>
      <c r="F288" s="20" t="s">
        <v>54</v>
      </c>
      <c r="G288" s="21" t="s">
        <v>64</v>
      </c>
      <c r="H288" s="21" t="s">
        <v>64</v>
      </c>
      <c r="I288" s="21" t="s">
        <v>53</v>
      </c>
      <c r="J288" s="21" t="s">
        <v>53</v>
      </c>
      <c r="K288" s="21" t="s">
        <v>53</v>
      </c>
      <c r="L288" s="22" t="str">
        <f t="shared" si="20"/>
        <v>EXCLUDE</v>
      </c>
      <c r="M288" s="22" t="str">
        <f t="shared" si="21"/>
        <v>Wrong domain (non-AECO)</v>
      </c>
      <c r="N288" s="23"/>
      <c r="O288" s="23"/>
      <c r="P288" s="24"/>
      <c r="Q288" s="24"/>
      <c r="R288" s="24"/>
      <c r="S288" s="22" t="str">
        <f t="shared" si="22"/>
        <v/>
      </c>
      <c r="T288" s="22" t="str">
        <f t="shared" si="23"/>
        <v/>
      </c>
      <c r="U288" s="25"/>
      <c r="V288" s="25"/>
      <c r="W288" s="25"/>
      <c r="X288" s="25"/>
      <c r="Y288" s="22" t="str">
        <f t="shared" si="24"/>
        <v/>
      </c>
      <c r="Z288" s="25"/>
      <c r="AA288" s="25"/>
      <c r="AB288" s="25"/>
      <c r="AC288" s="25"/>
      <c r="AD288" s="25"/>
      <c r="AE288" s="25"/>
      <c r="AF288" s="25"/>
      <c r="AG288" s="9"/>
      <c r="AH288" s="29"/>
      <c r="AI288" s="29"/>
      <c r="AM288" s="50"/>
      <c r="AN288" s="51" t="s">
        <v>1493</v>
      </c>
      <c r="AO288" s="55" t="s">
        <v>1494</v>
      </c>
    </row>
    <row r="289" spans="1:41" ht="68.400000000000006" hidden="1" customHeight="1" x14ac:dyDescent="0.3">
      <c r="A289" s="20">
        <v>285</v>
      </c>
      <c r="B289" s="8" t="s">
        <v>1495</v>
      </c>
      <c r="C289" s="26">
        <v>2025</v>
      </c>
      <c r="D289" s="8"/>
      <c r="E289" s="8" t="s">
        <v>1496</v>
      </c>
      <c r="F289" s="20" t="s">
        <v>54</v>
      </c>
      <c r="G289" s="21" t="s">
        <v>53</v>
      </c>
      <c r="H289" s="21" t="s">
        <v>64</v>
      </c>
      <c r="I289" s="21" t="s">
        <v>53</v>
      </c>
      <c r="J289" s="21" t="s">
        <v>53</v>
      </c>
      <c r="K289" s="21" t="s">
        <v>53</v>
      </c>
      <c r="L289" s="22" t="str">
        <f t="shared" si="20"/>
        <v>EXCLUDE</v>
      </c>
      <c r="M289" s="22" t="str">
        <f t="shared" si="21"/>
        <v>Digital Twin not core / buzzword</v>
      </c>
      <c r="N289" s="23"/>
      <c r="O289" s="23"/>
      <c r="P289" s="24"/>
      <c r="Q289" s="24"/>
      <c r="R289" s="24"/>
      <c r="S289" s="22" t="str">
        <f t="shared" si="22"/>
        <v/>
      </c>
      <c r="T289" s="22" t="str">
        <f t="shared" si="23"/>
        <v/>
      </c>
      <c r="U289" s="25"/>
      <c r="V289" s="25"/>
      <c r="W289" s="25"/>
      <c r="X289" s="25"/>
      <c r="Y289" s="22" t="str">
        <f t="shared" si="24"/>
        <v/>
      </c>
      <c r="Z289" s="25"/>
      <c r="AA289" s="25"/>
      <c r="AB289" s="25"/>
      <c r="AC289" s="25"/>
      <c r="AD289" s="25"/>
      <c r="AE289" s="25"/>
      <c r="AF289" s="25"/>
      <c r="AG289" s="9"/>
      <c r="AH289" s="29"/>
      <c r="AI289" s="29"/>
      <c r="AM289" s="50"/>
      <c r="AN289" s="51" t="s">
        <v>1497</v>
      </c>
      <c r="AO289" s="55" t="s">
        <v>1498</v>
      </c>
    </row>
    <row r="290" spans="1:41" ht="79.95" hidden="1" customHeight="1" x14ac:dyDescent="0.3">
      <c r="A290" s="20">
        <v>286</v>
      </c>
      <c r="B290" s="8" t="s">
        <v>1499</v>
      </c>
      <c r="C290" s="26">
        <v>2025</v>
      </c>
      <c r="D290" s="8"/>
      <c r="E290" s="8" t="s">
        <v>1500</v>
      </c>
      <c r="F290" s="20" t="s">
        <v>54</v>
      </c>
      <c r="G290" s="21" t="s">
        <v>64</v>
      </c>
      <c r="H290" s="21" t="s">
        <v>53</v>
      </c>
      <c r="I290" s="21" t="s">
        <v>64</v>
      </c>
      <c r="J290" s="21" t="s">
        <v>53</v>
      </c>
      <c r="K290" s="21" t="s">
        <v>53</v>
      </c>
      <c r="L290" s="22" t="str">
        <f t="shared" si="20"/>
        <v>EXCLUDE</v>
      </c>
      <c r="M290" s="22" t="str">
        <f t="shared" si="21"/>
        <v>Wrong domain (non-AECO)</v>
      </c>
      <c r="N290" s="23"/>
      <c r="O290" s="23"/>
      <c r="P290" s="24"/>
      <c r="Q290" s="24"/>
      <c r="R290" s="24"/>
      <c r="S290" s="22" t="str">
        <f t="shared" si="22"/>
        <v/>
      </c>
      <c r="T290" s="22" t="str">
        <f t="shared" si="23"/>
        <v/>
      </c>
      <c r="U290" s="25"/>
      <c r="V290" s="25"/>
      <c r="W290" s="25"/>
      <c r="X290" s="25"/>
      <c r="Y290" s="22" t="str">
        <f t="shared" si="24"/>
        <v/>
      </c>
      <c r="Z290" s="25"/>
      <c r="AA290" s="25"/>
      <c r="AB290" s="25"/>
      <c r="AC290" s="25"/>
      <c r="AD290" s="25"/>
      <c r="AE290" s="25"/>
      <c r="AF290" s="25"/>
      <c r="AG290" s="9"/>
      <c r="AH290" s="29"/>
      <c r="AI290" s="29"/>
      <c r="AM290" s="50"/>
      <c r="AN290" s="51" t="s">
        <v>1501</v>
      </c>
      <c r="AO290" s="55" t="s">
        <v>1502</v>
      </c>
    </row>
    <row r="291" spans="1:41" ht="68.400000000000006" customHeight="1" x14ac:dyDescent="0.3">
      <c r="A291" s="20">
        <v>287</v>
      </c>
      <c r="B291" s="8" t="s">
        <v>1503</v>
      </c>
      <c r="C291" s="26">
        <v>2025</v>
      </c>
      <c r="D291" s="8"/>
      <c r="E291" s="8" t="s">
        <v>1504</v>
      </c>
      <c r="F291" s="20" t="s">
        <v>54</v>
      </c>
      <c r="G291" s="21" t="s">
        <v>53</v>
      </c>
      <c r="H291" s="21" t="s">
        <v>53</v>
      </c>
      <c r="I291" s="21" t="s">
        <v>53</v>
      </c>
      <c r="J291" s="21" t="s">
        <v>53</v>
      </c>
      <c r="K291" s="21" t="s">
        <v>53</v>
      </c>
      <c r="L291" s="22" t="str">
        <f t="shared" si="20"/>
        <v>INCLUDE</v>
      </c>
      <c r="M291" s="22" t="str">
        <f t="shared" si="21"/>
        <v/>
      </c>
      <c r="N291" s="23" t="s">
        <v>53</v>
      </c>
      <c r="O291" s="23" t="s">
        <v>53</v>
      </c>
      <c r="P291" s="24" t="s">
        <v>53</v>
      </c>
      <c r="Q291" s="24" t="s">
        <v>53</v>
      </c>
      <c r="R291" s="24" t="s">
        <v>53</v>
      </c>
      <c r="S291" s="22" t="str">
        <f t="shared" si="22"/>
        <v>INCLUDE</v>
      </c>
      <c r="T291" s="22" t="str">
        <f t="shared" si="23"/>
        <v/>
      </c>
      <c r="U291" s="25" t="s">
        <v>93</v>
      </c>
      <c r="V291" s="25">
        <v>0</v>
      </c>
      <c r="W291" s="25">
        <v>1</v>
      </c>
      <c r="X291" s="25">
        <v>0</v>
      </c>
      <c r="Y291" s="22" t="str">
        <f t="shared" si="24"/>
        <v>Single</v>
      </c>
      <c r="Z291" s="25" t="s">
        <v>77</v>
      </c>
      <c r="AA291" s="25" t="s">
        <v>57</v>
      </c>
      <c r="AB291" s="25" t="s">
        <v>101</v>
      </c>
      <c r="AC291" s="25" t="s">
        <v>70</v>
      </c>
      <c r="AD291" s="25" t="s">
        <v>60</v>
      </c>
      <c r="AE291" s="25">
        <v>3</v>
      </c>
      <c r="AF291" s="25" t="s">
        <v>72</v>
      </c>
      <c r="AG291" s="9" t="s">
        <v>1505</v>
      </c>
      <c r="AH291" s="29" t="s">
        <v>1506</v>
      </c>
      <c r="AI291" s="29" t="s">
        <v>1507</v>
      </c>
      <c r="AJ291" t="s">
        <v>93</v>
      </c>
      <c r="AK291" t="s">
        <v>1508</v>
      </c>
      <c r="AL291" t="s">
        <v>63</v>
      </c>
      <c r="AM291" s="50" t="s">
        <v>213</v>
      </c>
      <c r="AN291" s="51" t="s">
        <v>1509</v>
      </c>
      <c r="AO291" s="55" t="s">
        <v>1510</v>
      </c>
    </row>
    <row r="292" spans="1:41" ht="57" hidden="1" customHeight="1" x14ac:dyDescent="0.3">
      <c r="A292" s="20">
        <v>288</v>
      </c>
      <c r="B292" s="8" t="s">
        <v>1511</v>
      </c>
      <c r="C292" s="26">
        <v>2026</v>
      </c>
      <c r="D292" s="8"/>
      <c r="E292" s="8" t="s">
        <v>1512</v>
      </c>
      <c r="F292" s="20" t="s">
        <v>54</v>
      </c>
      <c r="G292" s="21" t="s">
        <v>64</v>
      </c>
      <c r="H292" s="21" t="s">
        <v>53</v>
      </c>
      <c r="I292" s="21" t="s">
        <v>64</v>
      </c>
      <c r="J292" s="21" t="s">
        <v>53</v>
      </c>
      <c r="K292" s="21" t="s">
        <v>53</v>
      </c>
      <c r="L292" s="22" t="str">
        <f t="shared" si="20"/>
        <v>EXCLUDE</v>
      </c>
      <c r="M292" s="22" t="str">
        <f t="shared" si="21"/>
        <v>Wrong domain (non-AECO)</v>
      </c>
      <c r="N292" s="23"/>
      <c r="O292" s="23"/>
      <c r="P292" s="24"/>
      <c r="Q292" s="24"/>
      <c r="R292" s="24"/>
      <c r="S292" s="22" t="str">
        <f t="shared" si="22"/>
        <v/>
      </c>
      <c r="T292" s="22" t="str">
        <f t="shared" si="23"/>
        <v/>
      </c>
      <c r="U292" s="25"/>
      <c r="V292" s="25"/>
      <c r="W292" s="25"/>
      <c r="X292" s="25"/>
      <c r="Y292" s="22" t="str">
        <f t="shared" si="24"/>
        <v/>
      </c>
      <c r="Z292" s="25"/>
      <c r="AA292" s="25"/>
      <c r="AB292" s="25"/>
      <c r="AC292" s="25"/>
      <c r="AD292" s="25"/>
      <c r="AE292" s="25"/>
      <c r="AF292" s="25"/>
      <c r="AG292" s="9"/>
      <c r="AH292" s="29"/>
      <c r="AI292" s="29"/>
      <c r="AM292" s="50"/>
      <c r="AN292" s="51" t="s">
        <v>1513</v>
      </c>
      <c r="AO292" s="55" t="s">
        <v>1514</v>
      </c>
    </row>
    <row r="293" spans="1:41" ht="57" hidden="1" customHeight="1" x14ac:dyDescent="0.3">
      <c r="A293" s="20">
        <v>289</v>
      </c>
      <c r="B293" s="8" t="s">
        <v>1515</v>
      </c>
      <c r="C293" s="26">
        <v>2025</v>
      </c>
      <c r="D293" s="8"/>
      <c r="E293" s="8" t="s">
        <v>1516</v>
      </c>
      <c r="F293" s="20" t="s">
        <v>54</v>
      </c>
      <c r="G293" s="21" t="s">
        <v>53</v>
      </c>
      <c r="H293" s="21" t="s">
        <v>53</v>
      </c>
      <c r="I293" s="21" t="s">
        <v>53</v>
      </c>
      <c r="J293" s="21" t="s">
        <v>53</v>
      </c>
      <c r="K293" s="21" t="s">
        <v>53</v>
      </c>
      <c r="L293" s="22" t="str">
        <f t="shared" si="20"/>
        <v>INCLUDE</v>
      </c>
      <c r="M293" s="22" t="str">
        <f t="shared" si="21"/>
        <v/>
      </c>
      <c r="N293" s="23" t="s">
        <v>53</v>
      </c>
      <c r="O293" s="23" t="s">
        <v>53</v>
      </c>
      <c r="P293" s="24" t="s">
        <v>64</v>
      </c>
      <c r="Q293" s="24" t="s">
        <v>53</v>
      </c>
      <c r="R293" s="24" t="s">
        <v>64</v>
      </c>
      <c r="S293" s="22" t="str">
        <f t="shared" si="22"/>
        <v>EXCLUDE</v>
      </c>
      <c r="T293" s="22" t="str">
        <f t="shared" si="23"/>
        <v>Digital Twin mentioned only, not the subject</v>
      </c>
      <c r="U293" s="25"/>
      <c r="V293" s="25"/>
      <c r="W293" s="25"/>
      <c r="X293" s="25"/>
      <c r="Y293" s="22" t="str">
        <f t="shared" si="24"/>
        <v/>
      </c>
      <c r="Z293" s="25"/>
      <c r="AA293" s="25"/>
      <c r="AB293" s="25"/>
      <c r="AC293" s="25"/>
      <c r="AD293" s="25"/>
      <c r="AE293" s="25"/>
      <c r="AF293" s="25"/>
      <c r="AG293" s="9" t="s">
        <v>1517</v>
      </c>
      <c r="AH293" s="29"/>
      <c r="AI293" s="29"/>
      <c r="AM293" s="50"/>
      <c r="AN293" s="51" t="s">
        <v>1518</v>
      </c>
      <c r="AO293" s="55" t="s">
        <v>1519</v>
      </c>
    </row>
    <row r="294" spans="1:41" ht="22.95" hidden="1" customHeight="1" x14ac:dyDescent="0.3">
      <c r="A294" s="20">
        <v>290</v>
      </c>
      <c r="B294" s="8" t="s">
        <v>1520</v>
      </c>
      <c r="C294" s="26">
        <v>2026</v>
      </c>
      <c r="D294" s="8"/>
      <c r="E294" s="8" t="s">
        <v>1521</v>
      </c>
      <c r="F294" s="20" t="s">
        <v>54</v>
      </c>
      <c r="G294" s="21" t="s">
        <v>64</v>
      </c>
      <c r="H294" s="21" t="s">
        <v>53</v>
      </c>
      <c r="I294" s="21" t="s">
        <v>64</v>
      </c>
      <c r="J294" s="21" t="s">
        <v>53</v>
      </c>
      <c r="K294" s="21" t="s">
        <v>53</v>
      </c>
      <c r="L294" s="22" t="str">
        <f t="shared" si="20"/>
        <v>EXCLUDE</v>
      </c>
      <c r="M294" s="22" t="str">
        <f t="shared" si="21"/>
        <v>Wrong domain (non-AECO)</v>
      </c>
      <c r="N294" s="23"/>
      <c r="O294" s="23"/>
      <c r="P294" s="24"/>
      <c r="Q294" s="24"/>
      <c r="R294" s="24"/>
      <c r="S294" s="22" t="str">
        <f t="shared" si="22"/>
        <v/>
      </c>
      <c r="T294" s="22" t="str">
        <f t="shared" si="23"/>
        <v/>
      </c>
      <c r="U294" s="25"/>
      <c r="V294" s="25"/>
      <c r="W294" s="25"/>
      <c r="X294" s="25"/>
      <c r="Y294" s="22" t="str">
        <f t="shared" si="24"/>
        <v/>
      </c>
      <c r="Z294" s="25"/>
      <c r="AA294" s="25"/>
      <c r="AB294" s="25"/>
      <c r="AC294" s="25"/>
      <c r="AD294" s="25"/>
      <c r="AE294" s="25"/>
      <c r="AF294" s="25"/>
      <c r="AG294" s="9"/>
      <c r="AH294" s="29"/>
      <c r="AI294" s="29"/>
      <c r="AM294" s="50"/>
      <c r="AN294" s="51" t="s">
        <v>1522</v>
      </c>
      <c r="AO294" s="55" t="s">
        <v>1523</v>
      </c>
    </row>
    <row r="295" spans="1:41" ht="45.6" hidden="1" customHeight="1" x14ac:dyDescent="0.3">
      <c r="A295" s="20">
        <v>291</v>
      </c>
      <c r="B295" s="8" t="s">
        <v>1524</v>
      </c>
      <c r="C295" s="26">
        <v>2025</v>
      </c>
      <c r="D295" s="8"/>
      <c r="E295" s="8" t="s">
        <v>1525</v>
      </c>
      <c r="F295" s="20" t="s">
        <v>54</v>
      </c>
      <c r="G295" s="21" t="s">
        <v>64</v>
      </c>
      <c r="H295" s="21" t="s">
        <v>53</v>
      </c>
      <c r="I295" s="21" t="s">
        <v>53</v>
      </c>
      <c r="J295" s="21" t="s">
        <v>53</v>
      </c>
      <c r="K295" s="21" t="s">
        <v>53</v>
      </c>
      <c r="L295" s="22" t="str">
        <f t="shared" si="20"/>
        <v>EXCLUDE</v>
      </c>
      <c r="M295" s="22" t="str">
        <f t="shared" si="21"/>
        <v>Wrong domain (non-AECO)</v>
      </c>
      <c r="N295" s="23"/>
      <c r="O295" s="23"/>
      <c r="P295" s="24"/>
      <c r="Q295" s="24"/>
      <c r="R295" s="24"/>
      <c r="S295" s="22" t="str">
        <f t="shared" si="22"/>
        <v/>
      </c>
      <c r="T295" s="22" t="str">
        <f t="shared" si="23"/>
        <v/>
      </c>
      <c r="U295" s="25"/>
      <c r="V295" s="25"/>
      <c r="W295" s="25"/>
      <c r="X295" s="25"/>
      <c r="Y295" s="22" t="str">
        <f t="shared" si="24"/>
        <v/>
      </c>
      <c r="Z295" s="25"/>
      <c r="AA295" s="25"/>
      <c r="AB295" s="25"/>
      <c r="AC295" s="25"/>
      <c r="AD295" s="25"/>
      <c r="AE295" s="25"/>
      <c r="AF295" s="25"/>
      <c r="AG295" s="9"/>
      <c r="AH295" s="29"/>
      <c r="AI295" s="29"/>
      <c r="AM295" s="50"/>
      <c r="AN295" s="51" t="s">
        <v>1526</v>
      </c>
      <c r="AO295" s="55" t="s">
        <v>1527</v>
      </c>
    </row>
    <row r="296" spans="1:41" ht="91.2" customHeight="1" x14ac:dyDescent="0.3">
      <c r="A296" s="20">
        <v>292</v>
      </c>
      <c r="B296" s="8" t="s">
        <v>1528</v>
      </c>
      <c r="C296" s="26">
        <v>2025</v>
      </c>
      <c r="D296" s="8"/>
      <c r="E296" s="8" t="s">
        <v>1529</v>
      </c>
      <c r="F296" s="20" t="s">
        <v>54</v>
      </c>
      <c r="G296" s="21" t="s">
        <v>53</v>
      </c>
      <c r="H296" s="21" t="s">
        <v>53</v>
      </c>
      <c r="I296" s="21" t="s">
        <v>53</v>
      </c>
      <c r="J296" s="21" t="s">
        <v>53</v>
      </c>
      <c r="K296" s="21" t="s">
        <v>53</v>
      </c>
      <c r="L296" s="22" t="str">
        <f t="shared" si="20"/>
        <v>INCLUDE</v>
      </c>
      <c r="M296" s="22" t="str">
        <f t="shared" si="21"/>
        <v/>
      </c>
      <c r="N296" s="23" t="s">
        <v>53</v>
      </c>
      <c r="O296" s="23" t="s">
        <v>53</v>
      </c>
      <c r="P296" s="24" t="s">
        <v>53</v>
      </c>
      <c r="Q296" s="24" t="s">
        <v>53</v>
      </c>
      <c r="R296" s="24" t="s">
        <v>53</v>
      </c>
      <c r="S296" s="22" t="str">
        <f t="shared" si="22"/>
        <v>INCLUDE</v>
      </c>
      <c r="T296" s="22" t="str">
        <f t="shared" si="23"/>
        <v/>
      </c>
      <c r="U296" s="25" t="s">
        <v>67</v>
      </c>
      <c r="V296" s="25">
        <v>0</v>
      </c>
      <c r="W296" s="25">
        <v>0</v>
      </c>
      <c r="X296" s="25">
        <v>1</v>
      </c>
      <c r="Y296" s="22" t="str">
        <f t="shared" si="24"/>
        <v>Single</v>
      </c>
      <c r="Z296" s="25" t="s">
        <v>9</v>
      </c>
      <c r="AA296" s="25" t="s">
        <v>57</v>
      </c>
      <c r="AB296" s="25" t="s">
        <v>88</v>
      </c>
      <c r="AC296" s="25" t="s">
        <v>70</v>
      </c>
      <c r="AD296" s="25" t="s">
        <v>71</v>
      </c>
      <c r="AE296" s="25">
        <v>3</v>
      </c>
      <c r="AF296" s="25" t="s">
        <v>96</v>
      </c>
      <c r="AG296" s="9" t="s">
        <v>1530</v>
      </c>
      <c r="AH296" s="29" t="s">
        <v>1531</v>
      </c>
      <c r="AI296" s="29" t="s">
        <v>1532</v>
      </c>
      <c r="AJ296" t="s">
        <v>91</v>
      </c>
      <c r="AK296" t="s">
        <v>1533</v>
      </c>
      <c r="AL296" t="s">
        <v>74</v>
      </c>
      <c r="AM296" s="50"/>
      <c r="AN296" s="51" t="s">
        <v>1534</v>
      </c>
      <c r="AO296" s="55" t="s">
        <v>1535</v>
      </c>
    </row>
    <row r="297" spans="1:41" ht="57" hidden="1" customHeight="1" x14ac:dyDescent="0.3">
      <c r="A297" s="20">
        <v>293</v>
      </c>
      <c r="B297" s="8" t="s">
        <v>1536</v>
      </c>
      <c r="C297" s="26">
        <v>2026</v>
      </c>
      <c r="D297" s="8"/>
      <c r="E297" s="8" t="s">
        <v>1537</v>
      </c>
      <c r="F297" s="20" t="s">
        <v>54</v>
      </c>
      <c r="G297" s="21" t="s">
        <v>53</v>
      </c>
      <c r="H297" s="21" t="s">
        <v>53</v>
      </c>
      <c r="I297" s="21" t="s">
        <v>64</v>
      </c>
      <c r="J297" s="21" t="s">
        <v>53</v>
      </c>
      <c r="K297" s="21" t="s">
        <v>53</v>
      </c>
      <c r="L297" s="22" t="str">
        <f t="shared" si="20"/>
        <v>EXCLUDE</v>
      </c>
      <c r="M297" s="22" t="str">
        <f t="shared" si="21"/>
        <v>No Design for Safety/Quality/PtD</v>
      </c>
      <c r="N297" s="23"/>
      <c r="O297" s="23"/>
      <c r="P297" s="24"/>
      <c r="Q297" s="24"/>
      <c r="R297" s="24"/>
      <c r="S297" s="22" t="str">
        <f t="shared" si="22"/>
        <v/>
      </c>
      <c r="T297" s="22" t="str">
        <f t="shared" si="23"/>
        <v/>
      </c>
      <c r="U297" s="25"/>
      <c r="V297" s="25"/>
      <c r="W297" s="25"/>
      <c r="X297" s="25"/>
      <c r="Y297" s="22" t="str">
        <f t="shared" si="24"/>
        <v/>
      </c>
      <c r="Z297" s="25"/>
      <c r="AA297" s="25"/>
      <c r="AB297" s="25"/>
      <c r="AC297" s="25"/>
      <c r="AD297" s="25"/>
      <c r="AE297" s="25"/>
      <c r="AF297" s="25"/>
      <c r="AG297" s="9"/>
      <c r="AH297" s="29"/>
      <c r="AI297" s="29"/>
      <c r="AM297" s="50"/>
      <c r="AN297" s="51" t="s">
        <v>1538</v>
      </c>
      <c r="AO297" s="55" t="s">
        <v>1539</v>
      </c>
    </row>
    <row r="298" spans="1:41" ht="68.400000000000006" hidden="1" customHeight="1" x14ac:dyDescent="0.3">
      <c r="A298" s="20">
        <v>294</v>
      </c>
      <c r="B298" s="8" t="s">
        <v>1540</v>
      </c>
      <c r="C298" s="26">
        <v>2025</v>
      </c>
      <c r="D298" s="8"/>
      <c r="E298" s="8" t="s">
        <v>1541</v>
      </c>
      <c r="F298" s="20" t="s">
        <v>54</v>
      </c>
      <c r="G298" s="21" t="s">
        <v>53</v>
      </c>
      <c r="H298" s="21" t="s">
        <v>64</v>
      </c>
      <c r="I298" s="21" t="s">
        <v>64</v>
      </c>
      <c r="J298" s="21" t="s">
        <v>53</v>
      </c>
      <c r="K298" s="21" t="s">
        <v>53</v>
      </c>
      <c r="L298" s="22" t="str">
        <f t="shared" si="20"/>
        <v>EXCLUDE</v>
      </c>
      <c r="M298" s="22" t="str">
        <f t="shared" si="21"/>
        <v>Digital Twin not core / buzzword</v>
      </c>
      <c r="N298" s="23"/>
      <c r="O298" s="23"/>
      <c r="P298" s="24"/>
      <c r="Q298" s="24"/>
      <c r="R298" s="24"/>
      <c r="S298" s="22" t="str">
        <f t="shared" si="22"/>
        <v/>
      </c>
      <c r="T298" s="22" t="str">
        <f t="shared" si="23"/>
        <v/>
      </c>
      <c r="U298" s="25"/>
      <c r="V298" s="25"/>
      <c r="W298" s="25"/>
      <c r="X298" s="25"/>
      <c r="Y298" s="22" t="str">
        <f t="shared" si="24"/>
        <v/>
      </c>
      <c r="Z298" s="25"/>
      <c r="AA298" s="25"/>
      <c r="AB298" s="25"/>
      <c r="AC298" s="25"/>
      <c r="AD298" s="25"/>
      <c r="AE298" s="25"/>
      <c r="AF298" s="25"/>
      <c r="AG298" s="9"/>
      <c r="AH298" s="29"/>
      <c r="AI298" s="29"/>
      <c r="AM298" s="50"/>
      <c r="AN298" s="51" t="s">
        <v>1542</v>
      </c>
      <c r="AO298" s="55" t="s">
        <v>1543</v>
      </c>
    </row>
    <row r="299" spans="1:41" ht="57" hidden="1" customHeight="1" x14ac:dyDescent="0.3">
      <c r="A299" s="20">
        <v>295</v>
      </c>
      <c r="B299" s="8" t="s">
        <v>1544</v>
      </c>
      <c r="C299" s="26">
        <v>2026</v>
      </c>
      <c r="D299" s="8"/>
      <c r="E299" s="8" t="s">
        <v>1545</v>
      </c>
      <c r="F299" s="20" t="s">
        <v>54</v>
      </c>
      <c r="G299" s="21" t="s">
        <v>53</v>
      </c>
      <c r="H299" s="21" t="s">
        <v>64</v>
      </c>
      <c r="I299" s="21" t="s">
        <v>53</v>
      </c>
      <c r="J299" s="21" t="s">
        <v>53</v>
      </c>
      <c r="K299" s="21" t="s">
        <v>53</v>
      </c>
      <c r="L299" s="22" t="str">
        <f t="shared" si="20"/>
        <v>EXCLUDE</v>
      </c>
      <c r="M299" s="22" t="str">
        <f t="shared" si="21"/>
        <v>Digital Twin not core / buzzword</v>
      </c>
      <c r="N299" s="23"/>
      <c r="O299" s="23"/>
      <c r="P299" s="24"/>
      <c r="Q299" s="24"/>
      <c r="R299" s="24"/>
      <c r="S299" s="22" t="str">
        <f t="shared" si="22"/>
        <v/>
      </c>
      <c r="T299" s="22" t="str">
        <f t="shared" si="23"/>
        <v/>
      </c>
      <c r="U299" s="25"/>
      <c r="V299" s="25"/>
      <c r="W299" s="25"/>
      <c r="X299" s="25"/>
      <c r="Y299" s="22" t="str">
        <f t="shared" si="24"/>
        <v/>
      </c>
      <c r="Z299" s="25"/>
      <c r="AA299" s="25"/>
      <c r="AB299" s="25"/>
      <c r="AC299" s="25"/>
      <c r="AD299" s="25"/>
      <c r="AE299" s="25"/>
      <c r="AF299" s="25"/>
      <c r="AG299" s="9"/>
      <c r="AH299" s="29"/>
      <c r="AI299" s="29"/>
      <c r="AM299" s="50"/>
      <c r="AN299" s="51" t="s">
        <v>1546</v>
      </c>
      <c r="AO299" s="55" t="s">
        <v>1547</v>
      </c>
    </row>
    <row r="300" spans="1:41" ht="45.6" hidden="1" customHeight="1" x14ac:dyDescent="0.3">
      <c r="A300" s="20">
        <v>296</v>
      </c>
      <c r="B300" s="8" t="s">
        <v>1548</v>
      </c>
      <c r="C300" s="26">
        <v>2025</v>
      </c>
      <c r="D300" s="8"/>
      <c r="E300" s="8" t="s">
        <v>1549</v>
      </c>
      <c r="F300" s="20" t="s">
        <v>54</v>
      </c>
      <c r="G300" s="21" t="s">
        <v>53</v>
      </c>
      <c r="H300" s="21" t="s">
        <v>64</v>
      </c>
      <c r="I300" s="21" t="s">
        <v>53</v>
      </c>
      <c r="J300" s="21" t="s">
        <v>53</v>
      </c>
      <c r="K300" s="21" t="s">
        <v>53</v>
      </c>
      <c r="L300" s="22" t="str">
        <f t="shared" si="20"/>
        <v>EXCLUDE</v>
      </c>
      <c r="M300" s="22" t="str">
        <f t="shared" si="21"/>
        <v>Digital Twin not core / buzzword</v>
      </c>
      <c r="N300" s="23"/>
      <c r="O300" s="23"/>
      <c r="P300" s="24"/>
      <c r="Q300" s="24"/>
      <c r="R300" s="24"/>
      <c r="S300" s="22" t="str">
        <f t="shared" si="22"/>
        <v/>
      </c>
      <c r="T300" s="22" t="str">
        <f t="shared" si="23"/>
        <v/>
      </c>
      <c r="U300" s="25"/>
      <c r="V300" s="25"/>
      <c r="W300" s="25"/>
      <c r="X300" s="25"/>
      <c r="Y300" s="22" t="str">
        <f t="shared" si="24"/>
        <v/>
      </c>
      <c r="Z300" s="25"/>
      <c r="AA300" s="25"/>
      <c r="AB300" s="25"/>
      <c r="AC300" s="25"/>
      <c r="AD300" s="25"/>
      <c r="AE300" s="25"/>
      <c r="AF300" s="25"/>
      <c r="AG300" s="9"/>
      <c r="AH300" s="29"/>
      <c r="AI300" s="29"/>
      <c r="AM300" s="50"/>
      <c r="AN300" s="51" t="s">
        <v>1550</v>
      </c>
      <c r="AO300" s="55" t="s">
        <v>1551</v>
      </c>
    </row>
    <row r="301" spans="1:41" ht="79.95" hidden="1" customHeight="1" x14ac:dyDescent="0.3">
      <c r="A301" s="20">
        <v>297</v>
      </c>
      <c r="B301" s="8" t="s">
        <v>1552</v>
      </c>
      <c r="C301" s="26">
        <v>2025</v>
      </c>
      <c r="D301" s="8"/>
      <c r="E301" s="8" t="s">
        <v>1553</v>
      </c>
      <c r="F301" s="20" t="s">
        <v>54</v>
      </c>
      <c r="G301" s="21" t="s">
        <v>64</v>
      </c>
      <c r="H301" s="21" t="s">
        <v>53</v>
      </c>
      <c r="I301" s="21" t="s">
        <v>64</v>
      </c>
      <c r="J301" s="21" t="s">
        <v>53</v>
      </c>
      <c r="K301" s="21" t="s">
        <v>53</v>
      </c>
      <c r="L301" s="22" t="str">
        <f t="shared" si="20"/>
        <v>EXCLUDE</v>
      </c>
      <c r="M301" s="22" t="str">
        <f t="shared" si="21"/>
        <v>Wrong domain (non-AECO)</v>
      </c>
      <c r="N301" s="23"/>
      <c r="O301" s="23"/>
      <c r="P301" s="24"/>
      <c r="Q301" s="24"/>
      <c r="R301" s="24"/>
      <c r="S301" s="22" t="str">
        <f t="shared" si="22"/>
        <v/>
      </c>
      <c r="T301" s="22" t="str">
        <f t="shared" si="23"/>
        <v/>
      </c>
      <c r="U301" s="25"/>
      <c r="V301" s="25"/>
      <c r="W301" s="25"/>
      <c r="X301" s="25"/>
      <c r="Y301" s="22" t="str">
        <f t="shared" si="24"/>
        <v/>
      </c>
      <c r="Z301" s="25"/>
      <c r="AA301" s="25"/>
      <c r="AB301" s="25"/>
      <c r="AC301" s="25"/>
      <c r="AD301" s="25"/>
      <c r="AE301" s="25"/>
      <c r="AF301" s="25"/>
      <c r="AG301" s="9"/>
      <c r="AH301" s="29"/>
      <c r="AI301" s="29"/>
      <c r="AM301" s="50"/>
      <c r="AN301" s="51" t="s">
        <v>1554</v>
      </c>
      <c r="AO301" s="55" t="s">
        <v>1555</v>
      </c>
    </row>
    <row r="302" spans="1:41" ht="102.6" hidden="1" customHeight="1" x14ac:dyDescent="0.3">
      <c r="A302" s="20">
        <v>298</v>
      </c>
      <c r="B302" s="8" t="s">
        <v>1556</v>
      </c>
      <c r="C302" s="26">
        <v>2025</v>
      </c>
      <c r="D302" s="8"/>
      <c r="E302" s="8" t="s">
        <v>1557</v>
      </c>
      <c r="F302" s="20" t="s">
        <v>54</v>
      </c>
      <c r="G302" s="21" t="s">
        <v>53</v>
      </c>
      <c r="H302" s="21" t="s">
        <v>64</v>
      </c>
      <c r="I302" s="21" t="s">
        <v>53</v>
      </c>
      <c r="J302" s="21" t="s">
        <v>53</v>
      </c>
      <c r="K302" s="21" t="s">
        <v>53</v>
      </c>
      <c r="L302" s="22" t="str">
        <f t="shared" si="20"/>
        <v>EXCLUDE</v>
      </c>
      <c r="M302" s="22" t="str">
        <f t="shared" si="21"/>
        <v>Digital Twin not core / buzzword</v>
      </c>
      <c r="N302" s="23"/>
      <c r="O302" s="23"/>
      <c r="P302" s="24"/>
      <c r="Q302" s="24"/>
      <c r="R302" s="24"/>
      <c r="S302" s="22" t="str">
        <f t="shared" si="22"/>
        <v/>
      </c>
      <c r="T302" s="22" t="str">
        <f t="shared" si="23"/>
        <v/>
      </c>
      <c r="U302" s="25"/>
      <c r="V302" s="25"/>
      <c r="W302" s="25"/>
      <c r="X302" s="25"/>
      <c r="Y302" s="22" t="str">
        <f t="shared" si="24"/>
        <v/>
      </c>
      <c r="Z302" s="25"/>
      <c r="AA302" s="25"/>
      <c r="AB302" s="25"/>
      <c r="AC302" s="25"/>
      <c r="AD302" s="25"/>
      <c r="AE302" s="25"/>
      <c r="AF302" s="25"/>
      <c r="AG302" s="9"/>
      <c r="AH302" s="29"/>
      <c r="AI302" s="29"/>
      <c r="AM302" s="50"/>
      <c r="AN302" s="51" t="s">
        <v>1558</v>
      </c>
      <c r="AO302" s="55" t="s">
        <v>1559</v>
      </c>
    </row>
    <row r="303" spans="1:41" ht="102.6" hidden="1" customHeight="1" x14ac:dyDescent="0.3">
      <c r="A303" s="20">
        <v>299</v>
      </c>
      <c r="B303" s="8" t="s">
        <v>900</v>
      </c>
      <c r="C303" s="26">
        <v>2025</v>
      </c>
      <c r="D303" s="8"/>
      <c r="E303" s="8" t="s">
        <v>1560</v>
      </c>
      <c r="F303" s="20" t="s">
        <v>54</v>
      </c>
      <c r="G303" s="21" t="s">
        <v>64</v>
      </c>
      <c r="H303" s="21" t="s">
        <v>53</v>
      </c>
      <c r="I303" s="21" t="s">
        <v>64</v>
      </c>
      <c r="J303" s="21" t="s">
        <v>53</v>
      </c>
      <c r="K303" s="21" t="s">
        <v>53</v>
      </c>
      <c r="L303" s="22" t="str">
        <f t="shared" si="20"/>
        <v>EXCLUDE</v>
      </c>
      <c r="M303" s="22" t="str">
        <f t="shared" si="21"/>
        <v>Wrong domain (non-AECO)</v>
      </c>
      <c r="N303" s="23"/>
      <c r="O303" s="23"/>
      <c r="P303" s="24"/>
      <c r="Q303" s="24"/>
      <c r="R303" s="24"/>
      <c r="S303" s="22" t="str">
        <f t="shared" si="22"/>
        <v/>
      </c>
      <c r="T303" s="22" t="str">
        <f t="shared" si="23"/>
        <v/>
      </c>
      <c r="U303" s="25"/>
      <c r="V303" s="25"/>
      <c r="W303" s="25"/>
      <c r="X303" s="25"/>
      <c r="Y303" s="22" t="str">
        <f t="shared" si="24"/>
        <v/>
      </c>
      <c r="Z303" s="25"/>
      <c r="AA303" s="25"/>
      <c r="AB303" s="25"/>
      <c r="AC303" s="25"/>
      <c r="AD303" s="25"/>
      <c r="AE303" s="25"/>
      <c r="AF303" s="25"/>
      <c r="AG303" s="9"/>
      <c r="AH303" s="29"/>
      <c r="AI303" s="29"/>
      <c r="AM303" s="50"/>
      <c r="AN303" s="51" t="s">
        <v>1561</v>
      </c>
      <c r="AO303" s="55" t="s">
        <v>1562</v>
      </c>
    </row>
    <row r="304" spans="1:41" ht="100.95" hidden="1" customHeight="1" x14ac:dyDescent="0.3">
      <c r="A304" s="20">
        <v>300</v>
      </c>
      <c r="B304" s="8" t="s">
        <v>1563</v>
      </c>
      <c r="C304" s="26">
        <v>2026</v>
      </c>
      <c r="D304" s="8"/>
      <c r="E304" s="8" t="s">
        <v>1564</v>
      </c>
      <c r="F304" s="20" t="s">
        <v>54</v>
      </c>
      <c r="G304" s="21" t="s">
        <v>64</v>
      </c>
      <c r="H304" s="21" t="s">
        <v>53</v>
      </c>
      <c r="I304" s="21" t="s">
        <v>53</v>
      </c>
      <c r="J304" s="21" t="s">
        <v>53</v>
      </c>
      <c r="K304" s="21" t="s">
        <v>53</v>
      </c>
      <c r="L304" s="22" t="str">
        <f t="shared" si="20"/>
        <v>EXCLUDE</v>
      </c>
      <c r="M304" s="22" t="str">
        <f t="shared" si="21"/>
        <v>Wrong domain (non-AECO)</v>
      </c>
      <c r="N304" s="23"/>
      <c r="O304" s="23"/>
      <c r="P304" s="24"/>
      <c r="Q304" s="24"/>
      <c r="R304" s="24"/>
      <c r="S304" s="22" t="str">
        <f t="shared" si="22"/>
        <v/>
      </c>
      <c r="T304" s="22" t="str">
        <f t="shared" si="23"/>
        <v/>
      </c>
      <c r="U304" s="25"/>
      <c r="V304" s="25"/>
      <c r="W304" s="25"/>
      <c r="X304" s="25"/>
      <c r="Y304" s="22" t="str">
        <f t="shared" si="24"/>
        <v/>
      </c>
      <c r="Z304" s="25"/>
      <c r="AA304" s="25"/>
      <c r="AB304" s="25"/>
      <c r="AC304" s="25"/>
      <c r="AD304" s="25"/>
      <c r="AE304" s="25"/>
      <c r="AF304" s="25"/>
      <c r="AG304" s="9"/>
      <c r="AH304" s="29"/>
      <c r="AI304" s="29"/>
      <c r="AM304" s="50"/>
      <c r="AN304" s="51" t="s">
        <v>1565</v>
      </c>
      <c r="AO304" s="55" t="s">
        <v>1566</v>
      </c>
    </row>
    <row r="305" spans="1:41" ht="102.6" hidden="1" customHeight="1" x14ac:dyDescent="0.3">
      <c r="A305" s="20">
        <v>301</v>
      </c>
      <c r="B305" s="8" t="s">
        <v>1567</v>
      </c>
      <c r="C305" s="26">
        <v>2026</v>
      </c>
      <c r="D305" s="8"/>
      <c r="E305" s="8" t="s">
        <v>1568</v>
      </c>
      <c r="F305" s="20" t="s">
        <v>54</v>
      </c>
      <c r="G305" s="21" t="s">
        <v>64</v>
      </c>
      <c r="H305" s="21" t="s">
        <v>64</v>
      </c>
      <c r="I305" s="21" t="s">
        <v>64</v>
      </c>
      <c r="J305" s="21" t="s">
        <v>53</v>
      </c>
      <c r="K305" s="21" t="s">
        <v>53</v>
      </c>
      <c r="L305" s="22" t="str">
        <f t="shared" si="20"/>
        <v>EXCLUDE</v>
      </c>
      <c r="M305" s="22" t="str">
        <f t="shared" si="21"/>
        <v>Wrong domain (non-AECO)</v>
      </c>
      <c r="N305" s="23"/>
      <c r="O305" s="23"/>
      <c r="P305" s="24"/>
      <c r="Q305" s="24"/>
      <c r="R305" s="24"/>
      <c r="S305" s="22" t="str">
        <f t="shared" si="22"/>
        <v/>
      </c>
      <c r="T305" s="22" t="str">
        <f t="shared" si="23"/>
        <v/>
      </c>
      <c r="U305" s="25"/>
      <c r="V305" s="25"/>
      <c r="W305" s="25"/>
      <c r="X305" s="25"/>
      <c r="Y305" s="22" t="str">
        <f t="shared" si="24"/>
        <v/>
      </c>
      <c r="Z305" s="25"/>
      <c r="AA305" s="25"/>
      <c r="AB305" s="25"/>
      <c r="AC305" s="25"/>
      <c r="AD305" s="25"/>
      <c r="AE305" s="25"/>
      <c r="AF305" s="25"/>
      <c r="AG305" s="9"/>
      <c r="AH305" s="29"/>
      <c r="AI305" s="29"/>
      <c r="AM305" s="50"/>
      <c r="AN305" s="51" t="s">
        <v>1569</v>
      </c>
      <c r="AO305" s="55" t="s">
        <v>1570</v>
      </c>
    </row>
    <row r="306" spans="1:41" ht="345.6" hidden="1" customHeight="1" x14ac:dyDescent="0.3">
      <c r="A306" s="20">
        <v>302</v>
      </c>
      <c r="B306" s="8" t="s">
        <v>1571</v>
      </c>
      <c r="C306" s="26">
        <v>2026</v>
      </c>
      <c r="D306" s="8"/>
      <c r="E306" s="8" t="s">
        <v>1572</v>
      </c>
      <c r="F306" s="20" t="s">
        <v>54</v>
      </c>
      <c r="G306" s="21" t="s">
        <v>53</v>
      </c>
      <c r="H306" s="21" t="s">
        <v>64</v>
      </c>
      <c r="I306" s="21" t="s">
        <v>53</v>
      </c>
      <c r="J306" s="21" t="s">
        <v>53</v>
      </c>
      <c r="K306" s="21" t="s">
        <v>53</v>
      </c>
      <c r="L306" s="22" t="str">
        <f t="shared" si="20"/>
        <v>EXCLUDE</v>
      </c>
      <c r="M306" s="22" t="str">
        <f t="shared" si="21"/>
        <v>Digital Twin not core / buzzword</v>
      </c>
      <c r="N306" s="23"/>
      <c r="O306" s="23"/>
      <c r="P306" s="24"/>
      <c r="Q306" s="24"/>
      <c r="R306" s="24"/>
      <c r="S306" s="22" t="str">
        <f t="shared" si="22"/>
        <v/>
      </c>
      <c r="T306" s="22" t="str">
        <f t="shared" si="23"/>
        <v/>
      </c>
      <c r="U306" s="25"/>
      <c r="V306" s="25"/>
      <c r="W306" s="25"/>
      <c r="X306" s="25"/>
      <c r="Y306" s="22" t="str">
        <f t="shared" si="24"/>
        <v/>
      </c>
      <c r="Z306" s="25"/>
      <c r="AA306" s="25"/>
      <c r="AB306" s="25"/>
      <c r="AC306" s="25"/>
      <c r="AD306" s="25"/>
      <c r="AE306" s="25"/>
      <c r="AF306" s="25"/>
      <c r="AG306" s="9"/>
      <c r="AH306" s="29"/>
      <c r="AI306" s="29"/>
      <c r="AM306" s="50"/>
      <c r="AN306" s="51" t="s">
        <v>1573</v>
      </c>
      <c r="AO306" s="55" t="s">
        <v>1574</v>
      </c>
    </row>
    <row r="307" spans="1:41" ht="57" customHeight="1" x14ac:dyDescent="0.3">
      <c r="A307" s="20">
        <v>303</v>
      </c>
      <c r="B307" s="8" t="s">
        <v>1575</v>
      </c>
      <c r="C307" s="26">
        <v>2026</v>
      </c>
      <c r="D307" s="8"/>
      <c r="E307" s="8" t="s">
        <v>1576</v>
      </c>
      <c r="F307" s="20" t="s">
        <v>54</v>
      </c>
      <c r="G307" s="21" t="s">
        <v>53</v>
      </c>
      <c r="H307" s="21" t="s">
        <v>53</v>
      </c>
      <c r="I307" s="21" t="s">
        <v>53</v>
      </c>
      <c r="J307" s="21" t="s">
        <v>53</v>
      </c>
      <c r="K307" s="21" t="s">
        <v>53</v>
      </c>
      <c r="L307" s="22" t="str">
        <f t="shared" si="20"/>
        <v>INCLUDE</v>
      </c>
      <c r="M307" s="22" t="str">
        <f t="shared" si="21"/>
        <v/>
      </c>
      <c r="N307" s="23" t="s">
        <v>53</v>
      </c>
      <c r="O307" s="23" t="s">
        <v>53</v>
      </c>
      <c r="P307" s="24" t="s">
        <v>53</v>
      </c>
      <c r="Q307" s="24" t="s">
        <v>53</v>
      </c>
      <c r="R307" s="24" t="s">
        <v>53</v>
      </c>
      <c r="S307" s="22" t="str">
        <f t="shared" si="22"/>
        <v>INCLUDE</v>
      </c>
      <c r="T307" s="22" t="str">
        <f t="shared" si="23"/>
        <v/>
      </c>
      <c r="U307" s="25" t="s">
        <v>76</v>
      </c>
      <c r="V307" s="25">
        <v>0</v>
      </c>
      <c r="W307" s="25">
        <v>1</v>
      </c>
      <c r="X307" s="25">
        <v>0</v>
      </c>
      <c r="Y307" s="22" t="str">
        <f t="shared" si="24"/>
        <v>Single</v>
      </c>
      <c r="Z307" s="25" t="s">
        <v>9</v>
      </c>
      <c r="AA307" s="25" t="s">
        <v>68</v>
      </c>
      <c r="AB307" s="25" t="s">
        <v>104</v>
      </c>
      <c r="AC307" s="25" t="s">
        <v>70</v>
      </c>
      <c r="AD307" s="25" t="s">
        <v>89</v>
      </c>
      <c r="AE307" s="25">
        <v>4</v>
      </c>
      <c r="AF307" s="25" t="s">
        <v>90</v>
      </c>
      <c r="AG307" s="9" t="s">
        <v>1577</v>
      </c>
      <c r="AH307" s="29" t="s">
        <v>1578</v>
      </c>
      <c r="AI307" s="29" t="s">
        <v>1579</v>
      </c>
      <c r="AJ307" t="s">
        <v>82</v>
      </c>
      <c r="AK307" t="s">
        <v>1580</v>
      </c>
      <c r="AL307" t="s">
        <v>74</v>
      </c>
      <c r="AM307" s="50"/>
      <c r="AN307" s="51" t="s">
        <v>1581</v>
      </c>
      <c r="AO307" s="55" t="s">
        <v>1582</v>
      </c>
    </row>
    <row r="308" spans="1:41" ht="45.6" hidden="1" customHeight="1" x14ac:dyDescent="0.3">
      <c r="A308" s="20">
        <v>304</v>
      </c>
      <c r="B308" s="8" t="s">
        <v>1583</v>
      </c>
      <c r="C308" s="26">
        <v>2026</v>
      </c>
      <c r="D308" s="8"/>
      <c r="E308" s="8" t="s">
        <v>1584</v>
      </c>
      <c r="F308" s="20" t="s">
        <v>54</v>
      </c>
      <c r="G308" s="21" t="s">
        <v>53</v>
      </c>
      <c r="H308" s="21" t="s">
        <v>53</v>
      </c>
      <c r="I308" s="21" t="s">
        <v>53</v>
      </c>
      <c r="J308" s="21" t="s">
        <v>53</v>
      </c>
      <c r="K308" s="21" t="s">
        <v>53</v>
      </c>
      <c r="L308" s="22" t="str">
        <f t="shared" si="20"/>
        <v>INCLUDE</v>
      </c>
      <c r="M308" s="22" t="str">
        <f t="shared" si="21"/>
        <v/>
      </c>
      <c r="N308" s="23" t="s">
        <v>64</v>
      </c>
      <c r="O308" s="23" t="s">
        <v>64</v>
      </c>
      <c r="P308" s="24"/>
      <c r="Q308" s="24"/>
      <c r="R308" s="24"/>
      <c r="S308" s="22" t="str">
        <f t="shared" si="22"/>
        <v/>
      </c>
      <c r="T308" s="22" t="str">
        <f t="shared" si="23"/>
        <v/>
      </c>
      <c r="U308" s="25"/>
      <c r="V308" s="25"/>
      <c r="W308" s="25"/>
      <c r="X308" s="25"/>
      <c r="Y308" s="22" t="str">
        <f t="shared" si="24"/>
        <v/>
      </c>
      <c r="Z308" s="25"/>
      <c r="AA308" s="25"/>
      <c r="AB308" s="25"/>
      <c r="AC308" s="25"/>
      <c r="AD308" s="25"/>
      <c r="AE308" s="25"/>
      <c r="AF308" s="25"/>
      <c r="AG308" s="9"/>
      <c r="AH308" s="29"/>
      <c r="AI308" s="29"/>
      <c r="AM308" s="50"/>
      <c r="AN308" s="51" t="s">
        <v>1585</v>
      </c>
      <c r="AO308" s="55" t="s">
        <v>1586</v>
      </c>
    </row>
    <row r="309" spans="1:41" ht="68.400000000000006" hidden="1" customHeight="1" x14ac:dyDescent="0.3">
      <c r="A309" s="20">
        <v>305</v>
      </c>
      <c r="B309" s="8" t="s">
        <v>1587</v>
      </c>
      <c r="C309" s="26">
        <v>2025</v>
      </c>
      <c r="D309" s="8"/>
      <c r="E309" s="8" t="s">
        <v>1588</v>
      </c>
      <c r="F309" s="20" t="s">
        <v>54</v>
      </c>
      <c r="G309" s="21" t="s">
        <v>53</v>
      </c>
      <c r="H309" s="21" t="s">
        <v>53</v>
      </c>
      <c r="I309" s="21" t="s">
        <v>53</v>
      </c>
      <c r="J309" s="21" t="s">
        <v>64</v>
      </c>
      <c r="K309" s="21" t="s">
        <v>53</v>
      </c>
      <c r="L309" s="22" t="str">
        <f t="shared" si="20"/>
        <v>EXCLUDE</v>
      </c>
      <c r="M309" s="22" t="str">
        <f t="shared" si="21"/>
        <v>Wrong publication type</v>
      </c>
      <c r="N309" s="23"/>
      <c r="O309" s="23"/>
      <c r="P309" s="24"/>
      <c r="Q309" s="24"/>
      <c r="R309" s="24"/>
      <c r="S309" s="22" t="str">
        <f t="shared" si="22"/>
        <v/>
      </c>
      <c r="T309" s="22" t="str">
        <f t="shared" si="23"/>
        <v/>
      </c>
      <c r="U309" s="25"/>
      <c r="V309" s="25"/>
      <c r="W309" s="25"/>
      <c r="X309" s="25"/>
      <c r="Y309" s="22" t="str">
        <f t="shared" si="24"/>
        <v/>
      </c>
      <c r="Z309" s="25"/>
      <c r="AA309" s="25"/>
      <c r="AB309" s="25"/>
      <c r="AC309" s="25"/>
      <c r="AD309" s="25"/>
      <c r="AE309" s="25"/>
      <c r="AF309" s="25"/>
      <c r="AG309" s="9"/>
      <c r="AH309" s="29"/>
      <c r="AI309" s="29"/>
      <c r="AM309" s="50"/>
      <c r="AN309" s="51" t="s">
        <v>1589</v>
      </c>
      <c r="AO309" s="55" t="s">
        <v>1328</v>
      </c>
    </row>
    <row r="310" spans="1:41" ht="45.6" hidden="1" customHeight="1" x14ac:dyDescent="0.3">
      <c r="A310" s="20">
        <v>306</v>
      </c>
      <c r="B310" s="8" t="s">
        <v>1590</v>
      </c>
      <c r="C310" s="26">
        <v>2025</v>
      </c>
      <c r="D310" s="8"/>
      <c r="E310" s="8" t="s">
        <v>1591</v>
      </c>
      <c r="F310" s="20" t="s">
        <v>54</v>
      </c>
      <c r="G310" s="21" t="s">
        <v>53</v>
      </c>
      <c r="H310" s="21" t="s">
        <v>64</v>
      </c>
      <c r="I310" s="21" t="s">
        <v>53</v>
      </c>
      <c r="J310" s="21" t="s">
        <v>53</v>
      </c>
      <c r="K310" s="21" t="s">
        <v>53</v>
      </c>
      <c r="L310" s="22" t="str">
        <f t="shared" si="20"/>
        <v>EXCLUDE</v>
      </c>
      <c r="M310" s="22" t="str">
        <f t="shared" si="21"/>
        <v>Digital Twin not core / buzzword</v>
      </c>
      <c r="N310" s="23"/>
      <c r="O310" s="23"/>
      <c r="P310" s="24"/>
      <c r="Q310" s="24"/>
      <c r="R310" s="24"/>
      <c r="S310" s="22" t="str">
        <f t="shared" si="22"/>
        <v/>
      </c>
      <c r="T310" s="22" t="str">
        <f t="shared" si="23"/>
        <v/>
      </c>
      <c r="U310" s="25"/>
      <c r="V310" s="25"/>
      <c r="W310" s="25"/>
      <c r="X310" s="25"/>
      <c r="Y310" s="22" t="str">
        <f t="shared" si="24"/>
        <v/>
      </c>
      <c r="Z310" s="25"/>
      <c r="AA310" s="25"/>
      <c r="AB310" s="25"/>
      <c r="AC310" s="25"/>
      <c r="AD310" s="25"/>
      <c r="AE310" s="25"/>
      <c r="AF310" s="25"/>
      <c r="AG310" s="9"/>
      <c r="AH310" s="29"/>
      <c r="AI310" s="29"/>
      <c r="AM310" s="50"/>
      <c r="AN310" s="51" t="s">
        <v>1592</v>
      </c>
      <c r="AO310" s="55" t="s">
        <v>1593</v>
      </c>
    </row>
    <row r="311" spans="1:41" ht="45.6" hidden="1" customHeight="1" x14ac:dyDescent="0.3">
      <c r="A311" s="20">
        <v>307</v>
      </c>
      <c r="B311" s="8" t="s">
        <v>1594</v>
      </c>
      <c r="C311" s="26">
        <v>2025</v>
      </c>
      <c r="D311" s="8"/>
      <c r="E311" s="8" t="s">
        <v>1595</v>
      </c>
      <c r="F311" s="20" t="s">
        <v>54</v>
      </c>
      <c r="G311" s="21" t="s">
        <v>53</v>
      </c>
      <c r="H311" s="21" t="s">
        <v>53</v>
      </c>
      <c r="I311" s="21" t="s">
        <v>64</v>
      </c>
      <c r="J311" s="21" t="s">
        <v>53</v>
      </c>
      <c r="K311" s="21" t="s">
        <v>53</v>
      </c>
      <c r="L311" s="22" t="str">
        <f t="shared" si="20"/>
        <v>EXCLUDE</v>
      </c>
      <c r="M311" s="22" t="str">
        <f t="shared" si="21"/>
        <v>No Design for Safety/Quality/PtD</v>
      </c>
      <c r="N311" s="23"/>
      <c r="O311" s="23"/>
      <c r="P311" s="24"/>
      <c r="Q311" s="24"/>
      <c r="R311" s="24"/>
      <c r="S311" s="22" t="str">
        <f t="shared" si="22"/>
        <v/>
      </c>
      <c r="T311" s="22" t="str">
        <f t="shared" si="23"/>
        <v/>
      </c>
      <c r="U311" s="25"/>
      <c r="V311" s="25"/>
      <c r="W311" s="25"/>
      <c r="X311" s="25"/>
      <c r="Y311" s="22" t="str">
        <f t="shared" si="24"/>
        <v/>
      </c>
      <c r="Z311" s="25"/>
      <c r="AA311" s="25"/>
      <c r="AB311" s="25"/>
      <c r="AC311" s="25"/>
      <c r="AD311" s="25"/>
      <c r="AE311" s="25"/>
      <c r="AF311" s="25"/>
      <c r="AG311" s="9"/>
      <c r="AH311" s="29"/>
      <c r="AI311" s="29"/>
      <c r="AM311" s="50"/>
      <c r="AN311" s="51" t="s">
        <v>1596</v>
      </c>
      <c r="AO311" s="55" t="s">
        <v>1597</v>
      </c>
    </row>
    <row r="312" spans="1:41" ht="91.2" customHeight="1" x14ac:dyDescent="0.3">
      <c r="A312" s="20">
        <v>308</v>
      </c>
      <c r="B312" s="8" t="s">
        <v>1598</v>
      </c>
      <c r="C312" s="26">
        <v>2026</v>
      </c>
      <c r="D312" s="8"/>
      <c r="E312" s="8" t="s">
        <v>1599</v>
      </c>
      <c r="F312" s="20" t="s">
        <v>54</v>
      </c>
      <c r="G312" s="21" t="s">
        <v>53</v>
      </c>
      <c r="H312" s="21" t="s">
        <v>53</v>
      </c>
      <c r="I312" s="21" t="s">
        <v>53</v>
      </c>
      <c r="J312" s="21" t="s">
        <v>53</v>
      </c>
      <c r="K312" s="21" t="s">
        <v>53</v>
      </c>
      <c r="L312" s="22" t="str">
        <f t="shared" si="20"/>
        <v>INCLUDE</v>
      </c>
      <c r="M312" s="22" t="str">
        <f t="shared" si="21"/>
        <v/>
      </c>
      <c r="N312" s="23" t="s">
        <v>53</v>
      </c>
      <c r="O312" s="23" t="s">
        <v>53</v>
      </c>
      <c r="P312" s="24" t="s">
        <v>53</v>
      </c>
      <c r="Q312" s="24" t="s">
        <v>53</v>
      </c>
      <c r="R312" s="24" t="s">
        <v>53</v>
      </c>
      <c r="S312" s="22" t="str">
        <f t="shared" si="22"/>
        <v>INCLUDE</v>
      </c>
      <c r="T312" s="22" t="str">
        <f t="shared" si="23"/>
        <v/>
      </c>
      <c r="U312" s="25" t="s">
        <v>67</v>
      </c>
      <c r="V312" s="25">
        <v>0</v>
      </c>
      <c r="W312" s="25">
        <v>0</v>
      </c>
      <c r="X312" s="25">
        <v>1</v>
      </c>
      <c r="Y312" s="22" t="str">
        <f t="shared" si="24"/>
        <v>Single</v>
      </c>
      <c r="Z312" s="25" t="s">
        <v>9</v>
      </c>
      <c r="AA312" s="25" t="s">
        <v>57</v>
      </c>
      <c r="AB312" s="25" t="s">
        <v>99</v>
      </c>
      <c r="AC312" s="25" t="s">
        <v>70</v>
      </c>
      <c r="AD312" s="25" t="s">
        <v>89</v>
      </c>
      <c r="AE312" s="25">
        <v>4</v>
      </c>
      <c r="AF312" s="25" t="s">
        <v>96</v>
      </c>
      <c r="AG312" s="9" t="s">
        <v>1600</v>
      </c>
      <c r="AH312" s="29" t="s">
        <v>1601</v>
      </c>
      <c r="AI312" s="29" t="s">
        <v>1602</v>
      </c>
      <c r="AJ312" t="s">
        <v>91</v>
      </c>
      <c r="AK312" t="s">
        <v>1603</v>
      </c>
      <c r="AL312" t="s">
        <v>63</v>
      </c>
      <c r="AM312" s="50"/>
      <c r="AN312" s="51" t="s">
        <v>1604</v>
      </c>
      <c r="AO312" s="55" t="s">
        <v>1605</v>
      </c>
    </row>
    <row r="313" spans="1:41" ht="102.6" hidden="1" customHeight="1" x14ac:dyDescent="0.3">
      <c r="A313" s="20">
        <v>309</v>
      </c>
      <c r="B313" s="8" t="s">
        <v>1606</v>
      </c>
      <c r="C313" s="26">
        <v>2026</v>
      </c>
      <c r="D313" s="8"/>
      <c r="E313" s="8" t="s">
        <v>1607</v>
      </c>
      <c r="F313" s="20" t="s">
        <v>54</v>
      </c>
      <c r="G313" s="21" t="s">
        <v>53</v>
      </c>
      <c r="H313" s="21" t="s">
        <v>64</v>
      </c>
      <c r="I313" s="21" t="s">
        <v>53</v>
      </c>
      <c r="J313" s="21" t="s">
        <v>53</v>
      </c>
      <c r="K313" s="21" t="s">
        <v>53</v>
      </c>
      <c r="L313" s="22" t="str">
        <f t="shared" si="20"/>
        <v>EXCLUDE</v>
      </c>
      <c r="M313" s="22" t="str">
        <f t="shared" si="21"/>
        <v>Digital Twin not core / buzzword</v>
      </c>
      <c r="N313" s="23"/>
      <c r="O313" s="23"/>
      <c r="P313" s="24"/>
      <c r="Q313" s="24"/>
      <c r="R313" s="24"/>
      <c r="S313" s="22" t="str">
        <f t="shared" si="22"/>
        <v/>
      </c>
      <c r="T313" s="22" t="str">
        <f t="shared" si="23"/>
        <v/>
      </c>
      <c r="U313" s="25"/>
      <c r="V313" s="25"/>
      <c r="W313" s="25"/>
      <c r="X313" s="25"/>
      <c r="Y313" s="22" t="str">
        <f t="shared" si="24"/>
        <v/>
      </c>
      <c r="Z313" s="25"/>
      <c r="AA313" s="25"/>
      <c r="AB313" s="25"/>
      <c r="AC313" s="25"/>
      <c r="AD313" s="25"/>
      <c r="AE313" s="25"/>
      <c r="AF313" s="25"/>
      <c r="AG313" s="9"/>
      <c r="AH313" s="29"/>
      <c r="AI313" s="29"/>
      <c r="AM313" s="50"/>
      <c r="AN313" s="51" t="s">
        <v>1608</v>
      </c>
      <c r="AO313" s="55" t="s">
        <v>1609</v>
      </c>
    </row>
    <row r="314" spans="1:41" ht="57" customHeight="1" x14ac:dyDescent="0.3">
      <c r="A314" s="20">
        <v>310</v>
      </c>
      <c r="B314" s="8" t="s">
        <v>1610</v>
      </c>
      <c r="C314" s="26">
        <v>2026</v>
      </c>
      <c r="D314" s="8"/>
      <c r="E314" s="8" t="s">
        <v>1611</v>
      </c>
      <c r="F314" s="20" t="s">
        <v>54</v>
      </c>
      <c r="G314" s="21" t="s">
        <v>53</v>
      </c>
      <c r="H314" s="21" t="s">
        <v>53</v>
      </c>
      <c r="I314" s="21" t="s">
        <v>53</v>
      </c>
      <c r="J314" s="21" t="s">
        <v>53</v>
      </c>
      <c r="K314" s="21" t="s">
        <v>53</v>
      </c>
      <c r="L314" s="22" t="str">
        <f t="shared" si="20"/>
        <v>INCLUDE</v>
      </c>
      <c r="M314" s="22" t="str">
        <f t="shared" si="21"/>
        <v/>
      </c>
      <c r="N314" s="23" t="s">
        <v>53</v>
      </c>
      <c r="O314" s="23" t="s">
        <v>53</v>
      </c>
      <c r="P314" s="24" t="s">
        <v>53</v>
      </c>
      <c r="Q314" s="24" t="s">
        <v>53</v>
      </c>
      <c r="R314" s="24" t="s">
        <v>53</v>
      </c>
      <c r="S314" s="22" t="str">
        <f t="shared" si="22"/>
        <v>INCLUDE</v>
      </c>
      <c r="T314" s="22" t="str">
        <f t="shared" si="23"/>
        <v/>
      </c>
      <c r="U314" s="25" t="s">
        <v>56</v>
      </c>
      <c r="V314" s="25">
        <v>0</v>
      </c>
      <c r="W314" s="25">
        <v>0</v>
      </c>
      <c r="X314" s="25">
        <v>1</v>
      </c>
      <c r="Y314" s="22" t="str">
        <f t="shared" si="24"/>
        <v>Single</v>
      </c>
      <c r="Z314" s="25" t="s">
        <v>9</v>
      </c>
      <c r="AA314" s="25" t="s">
        <v>57</v>
      </c>
      <c r="AB314" s="25" t="s">
        <v>99</v>
      </c>
      <c r="AC314" s="25" t="s">
        <v>70</v>
      </c>
      <c r="AD314" s="25" t="s">
        <v>71</v>
      </c>
      <c r="AE314" s="25">
        <v>4</v>
      </c>
      <c r="AF314" s="25" t="s">
        <v>90</v>
      </c>
      <c r="AG314" s="9" t="s">
        <v>1612</v>
      </c>
      <c r="AH314" s="29" t="s">
        <v>1613</v>
      </c>
      <c r="AI314" s="29" t="s">
        <v>1614</v>
      </c>
      <c r="AJ314" t="s">
        <v>91</v>
      </c>
      <c r="AK314" t="s">
        <v>1615</v>
      </c>
      <c r="AL314" t="s">
        <v>74</v>
      </c>
      <c r="AM314" s="50"/>
      <c r="AN314" s="51" t="s">
        <v>1616</v>
      </c>
      <c r="AO314" s="55" t="s">
        <v>1617</v>
      </c>
    </row>
    <row r="315" spans="1:41" ht="45.6" hidden="1" customHeight="1" x14ac:dyDescent="0.3">
      <c r="A315" s="20">
        <v>311</v>
      </c>
      <c r="B315" s="8" t="s">
        <v>1618</v>
      </c>
      <c r="C315" s="26">
        <v>2026</v>
      </c>
      <c r="D315" s="8"/>
      <c r="E315" s="8" t="s">
        <v>1619</v>
      </c>
      <c r="F315" s="20" t="s">
        <v>54</v>
      </c>
      <c r="G315" s="21" t="s">
        <v>53</v>
      </c>
      <c r="H315" s="21" t="s">
        <v>53</v>
      </c>
      <c r="I315" s="21" t="s">
        <v>53</v>
      </c>
      <c r="J315" s="21" t="s">
        <v>53</v>
      </c>
      <c r="K315" s="21" t="s">
        <v>64</v>
      </c>
      <c r="L315" s="22" t="str">
        <f t="shared" si="20"/>
        <v>EXCLUDE</v>
      </c>
      <c r="M315" s="22" t="str">
        <f t="shared" si="21"/>
        <v>Non-English</v>
      </c>
      <c r="N315" s="23"/>
      <c r="O315" s="23"/>
      <c r="P315" s="24"/>
      <c r="Q315" s="24"/>
      <c r="R315" s="24"/>
      <c r="S315" s="22" t="str">
        <f t="shared" si="22"/>
        <v/>
      </c>
      <c r="T315" s="22" t="str">
        <f t="shared" si="23"/>
        <v/>
      </c>
      <c r="U315" s="25"/>
      <c r="V315" s="25"/>
      <c r="W315" s="25"/>
      <c r="X315" s="25"/>
      <c r="Y315" s="22" t="str">
        <f t="shared" si="24"/>
        <v/>
      </c>
      <c r="Z315" s="25"/>
      <c r="AA315" s="25"/>
      <c r="AB315" s="25"/>
      <c r="AC315" s="25"/>
      <c r="AD315" s="25"/>
      <c r="AE315" s="25"/>
      <c r="AF315" s="25"/>
      <c r="AG315" s="9"/>
      <c r="AH315" s="29"/>
      <c r="AI315" s="29"/>
      <c r="AM315" s="50"/>
      <c r="AN315" s="51" t="s">
        <v>1620</v>
      </c>
      <c r="AO315" s="55" t="s">
        <v>1621</v>
      </c>
    </row>
    <row r="316" spans="1:41" ht="79.95" hidden="1" customHeight="1" x14ac:dyDescent="0.3">
      <c r="A316" s="20">
        <v>312</v>
      </c>
      <c r="B316" s="8" t="s">
        <v>1622</v>
      </c>
      <c r="C316" s="26">
        <v>2025</v>
      </c>
      <c r="D316" s="8"/>
      <c r="E316" s="8" t="s">
        <v>1623</v>
      </c>
      <c r="F316" s="20" t="s">
        <v>54</v>
      </c>
      <c r="G316" s="21" t="s">
        <v>64</v>
      </c>
      <c r="H316" s="21" t="s">
        <v>64</v>
      </c>
      <c r="I316" s="21" t="s">
        <v>53</v>
      </c>
      <c r="J316" s="21" t="s">
        <v>53</v>
      </c>
      <c r="K316" s="21" t="s">
        <v>53</v>
      </c>
      <c r="L316" s="22" t="str">
        <f t="shared" si="20"/>
        <v>EXCLUDE</v>
      </c>
      <c r="M316" s="22" t="str">
        <f t="shared" si="21"/>
        <v>Wrong domain (non-AECO)</v>
      </c>
      <c r="N316" s="23"/>
      <c r="O316" s="23"/>
      <c r="P316" s="24"/>
      <c r="Q316" s="24"/>
      <c r="R316" s="24"/>
      <c r="S316" s="22" t="str">
        <f t="shared" si="22"/>
        <v/>
      </c>
      <c r="T316" s="22" t="str">
        <f t="shared" si="23"/>
        <v/>
      </c>
      <c r="U316" s="25"/>
      <c r="V316" s="25"/>
      <c r="W316" s="25"/>
      <c r="X316" s="25"/>
      <c r="Y316" s="22" t="str">
        <f t="shared" si="24"/>
        <v/>
      </c>
      <c r="Z316" s="25"/>
      <c r="AA316" s="25"/>
      <c r="AB316" s="25"/>
      <c r="AC316" s="25"/>
      <c r="AD316" s="25"/>
      <c r="AE316" s="25"/>
      <c r="AF316" s="25"/>
      <c r="AG316" s="9"/>
      <c r="AH316" s="29"/>
      <c r="AI316" s="29"/>
      <c r="AM316" s="50"/>
      <c r="AN316" s="51" t="s">
        <v>1624</v>
      </c>
      <c r="AO316" s="55" t="s">
        <v>1625</v>
      </c>
    </row>
    <row r="317" spans="1:41" ht="114" hidden="1" customHeight="1" x14ac:dyDescent="0.3">
      <c r="A317" s="20">
        <v>313</v>
      </c>
      <c r="B317" s="8" t="s">
        <v>1626</v>
      </c>
      <c r="C317" s="26">
        <v>2026</v>
      </c>
      <c r="D317" s="8"/>
      <c r="E317" s="8" t="s">
        <v>1627</v>
      </c>
      <c r="F317" s="20" t="s">
        <v>54</v>
      </c>
      <c r="G317" s="21" t="s">
        <v>53</v>
      </c>
      <c r="H317" s="21" t="s">
        <v>64</v>
      </c>
      <c r="I317" s="21" t="s">
        <v>53</v>
      </c>
      <c r="J317" s="21" t="s">
        <v>53</v>
      </c>
      <c r="K317" s="21" t="s">
        <v>53</v>
      </c>
      <c r="L317" s="22" t="str">
        <f t="shared" si="20"/>
        <v>EXCLUDE</v>
      </c>
      <c r="M317" s="22" t="str">
        <f t="shared" si="21"/>
        <v>Digital Twin not core / buzzword</v>
      </c>
      <c r="N317" s="23"/>
      <c r="O317" s="23"/>
      <c r="P317" s="24"/>
      <c r="Q317" s="24"/>
      <c r="R317" s="24"/>
      <c r="S317" s="22" t="str">
        <f t="shared" si="22"/>
        <v/>
      </c>
      <c r="T317" s="22" t="str">
        <f t="shared" si="23"/>
        <v/>
      </c>
      <c r="U317" s="25"/>
      <c r="V317" s="25"/>
      <c r="W317" s="25"/>
      <c r="X317" s="25"/>
      <c r="Y317" s="22" t="str">
        <f t="shared" si="24"/>
        <v/>
      </c>
      <c r="Z317" s="25"/>
      <c r="AA317" s="25"/>
      <c r="AB317" s="25"/>
      <c r="AC317" s="25"/>
      <c r="AD317" s="25"/>
      <c r="AE317" s="25"/>
      <c r="AF317" s="25"/>
      <c r="AG317" s="9"/>
      <c r="AH317" s="29"/>
      <c r="AI317" s="29"/>
      <c r="AM317" s="50"/>
      <c r="AN317" s="51" t="s">
        <v>1628</v>
      </c>
      <c r="AO317" s="55" t="s">
        <v>1629</v>
      </c>
    </row>
    <row r="318" spans="1:41" ht="34.200000000000003" hidden="1" customHeight="1" x14ac:dyDescent="0.3">
      <c r="A318" s="20">
        <v>314</v>
      </c>
      <c r="B318" s="8" t="s">
        <v>1630</v>
      </c>
      <c r="C318" s="26">
        <v>2026</v>
      </c>
      <c r="D318" s="8"/>
      <c r="E318" s="8" t="s">
        <v>1631</v>
      </c>
      <c r="F318" s="20" t="s">
        <v>54</v>
      </c>
      <c r="G318" s="21" t="s">
        <v>53</v>
      </c>
      <c r="H318" s="21" t="s">
        <v>64</v>
      </c>
      <c r="I318" s="21" t="s">
        <v>53</v>
      </c>
      <c r="J318" s="21" t="s">
        <v>53</v>
      </c>
      <c r="K318" s="21" t="s">
        <v>53</v>
      </c>
      <c r="L318" s="22" t="str">
        <f t="shared" si="20"/>
        <v>EXCLUDE</v>
      </c>
      <c r="M318" s="22" t="str">
        <f t="shared" si="21"/>
        <v>Digital Twin not core / buzzword</v>
      </c>
      <c r="N318" s="23"/>
      <c r="O318" s="23"/>
      <c r="P318" s="24"/>
      <c r="Q318" s="24"/>
      <c r="R318" s="24"/>
      <c r="S318" s="22" t="str">
        <f t="shared" si="22"/>
        <v/>
      </c>
      <c r="T318" s="22" t="str">
        <f t="shared" si="23"/>
        <v/>
      </c>
      <c r="U318" s="25"/>
      <c r="V318" s="25"/>
      <c r="W318" s="25"/>
      <c r="X318" s="25"/>
      <c r="Y318" s="22" t="str">
        <f t="shared" si="24"/>
        <v/>
      </c>
      <c r="Z318" s="25"/>
      <c r="AA318" s="25"/>
      <c r="AB318" s="25"/>
      <c r="AC318" s="25"/>
      <c r="AD318" s="25"/>
      <c r="AE318" s="25"/>
      <c r="AF318" s="25"/>
      <c r="AG318" s="9"/>
      <c r="AH318" s="29"/>
      <c r="AI318" s="29"/>
      <c r="AM318" s="50"/>
      <c r="AN318" s="51" t="s">
        <v>1632</v>
      </c>
      <c r="AO318" s="55" t="s">
        <v>1633</v>
      </c>
    </row>
    <row r="319" spans="1:41" ht="129.6" hidden="1" customHeight="1" x14ac:dyDescent="0.3">
      <c r="A319" s="20">
        <v>315</v>
      </c>
      <c r="B319" s="8" t="s">
        <v>1634</v>
      </c>
      <c r="C319" s="26">
        <v>2025</v>
      </c>
      <c r="D319" s="8"/>
      <c r="E319" s="8" t="s">
        <v>1635</v>
      </c>
      <c r="F319" s="20" t="s">
        <v>54</v>
      </c>
      <c r="G319" s="21" t="s">
        <v>64</v>
      </c>
      <c r="H319" s="21" t="s">
        <v>53</v>
      </c>
      <c r="I319" s="21" t="s">
        <v>64</v>
      </c>
      <c r="J319" s="21" t="s">
        <v>53</v>
      </c>
      <c r="K319" s="21" t="s">
        <v>53</v>
      </c>
      <c r="L319" s="22" t="str">
        <f t="shared" si="20"/>
        <v>EXCLUDE</v>
      </c>
      <c r="M319" s="22" t="str">
        <f t="shared" si="21"/>
        <v>Wrong domain (non-AECO)</v>
      </c>
      <c r="N319" s="23"/>
      <c r="O319" s="23"/>
      <c r="P319" s="24"/>
      <c r="Q319" s="24"/>
      <c r="R319" s="24"/>
      <c r="S319" s="22" t="str">
        <f t="shared" si="22"/>
        <v/>
      </c>
      <c r="T319" s="22" t="str">
        <f t="shared" si="23"/>
        <v/>
      </c>
      <c r="U319" s="25"/>
      <c r="V319" s="25"/>
      <c r="W319" s="25"/>
      <c r="X319" s="25"/>
      <c r="Y319" s="22" t="str">
        <f t="shared" si="24"/>
        <v/>
      </c>
      <c r="Z319" s="25"/>
      <c r="AA319" s="25"/>
      <c r="AB319" s="25"/>
      <c r="AC319" s="25"/>
      <c r="AD319" s="25"/>
      <c r="AE319" s="25"/>
      <c r="AF319" s="25"/>
      <c r="AG319" s="9"/>
      <c r="AH319" s="29"/>
      <c r="AI319" s="29"/>
      <c r="AM319" s="50"/>
      <c r="AN319" s="51" t="s">
        <v>1636</v>
      </c>
      <c r="AO319" s="55" t="s">
        <v>1637</v>
      </c>
    </row>
    <row r="320" spans="1:41" ht="45.6" hidden="1" customHeight="1" x14ac:dyDescent="0.3">
      <c r="A320" s="20">
        <v>316</v>
      </c>
      <c r="B320" s="8" t="s">
        <v>1638</v>
      </c>
      <c r="C320" s="26">
        <v>2025</v>
      </c>
      <c r="D320" s="8"/>
      <c r="E320" s="8" t="s">
        <v>1639</v>
      </c>
      <c r="F320" s="20" t="s">
        <v>54</v>
      </c>
      <c r="G320" s="21" t="s">
        <v>53</v>
      </c>
      <c r="H320" s="21" t="s">
        <v>53</v>
      </c>
      <c r="I320" s="21" t="s">
        <v>64</v>
      </c>
      <c r="J320" s="21" t="s">
        <v>53</v>
      </c>
      <c r="K320" s="21" t="s">
        <v>53</v>
      </c>
      <c r="L320" s="22" t="str">
        <f t="shared" si="20"/>
        <v>EXCLUDE</v>
      </c>
      <c r="M320" s="22" t="str">
        <f t="shared" si="21"/>
        <v>No Design for Safety/Quality/PtD</v>
      </c>
      <c r="N320" s="23"/>
      <c r="O320" s="23"/>
      <c r="P320" s="24"/>
      <c r="Q320" s="24"/>
      <c r="R320" s="24"/>
      <c r="S320" s="22" t="str">
        <f t="shared" si="22"/>
        <v/>
      </c>
      <c r="T320" s="22" t="str">
        <f t="shared" si="23"/>
        <v/>
      </c>
      <c r="U320" s="25"/>
      <c r="V320" s="25"/>
      <c r="W320" s="25"/>
      <c r="X320" s="25"/>
      <c r="Y320" s="22" t="str">
        <f t="shared" si="24"/>
        <v/>
      </c>
      <c r="Z320" s="25"/>
      <c r="AA320" s="25"/>
      <c r="AB320" s="25"/>
      <c r="AC320" s="25"/>
      <c r="AD320" s="25"/>
      <c r="AE320" s="25"/>
      <c r="AF320" s="25"/>
      <c r="AG320" s="9"/>
      <c r="AH320" s="29"/>
      <c r="AI320" s="29"/>
      <c r="AM320" s="50"/>
      <c r="AN320" s="51" t="s">
        <v>1640</v>
      </c>
      <c r="AO320" s="55" t="s">
        <v>1641</v>
      </c>
    </row>
    <row r="321" spans="1:41" ht="57" hidden="1" customHeight="1" x14ac:dyDescent="0.3">
      <c r="A321" s="20">
        <v>317</v>
      </c>
      <c r="B321" s="8" t="s">
        <v>532</v>
      </c>
      <c r="C321" s="26">
        <v>2026</v>
      </c>
      <c r="D321" s="8"/>
      <c r="E321" s="8" t="s">
        <v>1642</v>
      </c>
      <c r="F321" s="20" t="s">
        <v>54</v>
      </c>
      <c r="G321" s="21" t="s">
        <v>53</v>
      </c>
      <c r="H321" s="21" t="s">
        <v>53</v>
      </c>
      <c r="I321" s="21" t="s">
        <v>53</v>
      </c>
      <c r="J321" s="21" t="s">
        <v>53</v>
      </c>
      <c r="K321" s="21" t="s">
        <v>53</v>
      </c>
      <c r="L321" s="22" t="str">
        <f t="shared" si="20"/>
        <v>INCLUDE</v>
      </c>
      <c r="M321" s="22" t="str">
        <f t="shared" si="21"/>
        <v/>
      </c>
      <c r="N321" s="23" t="s">
        <v>64</v>
      </c>
      <c r="O321" s="23" t="s">
        <v>64</v>
      </c>
      <c r="P321" s="24"/>
      <c r="Q321" s="24"/>
      <c r="R321" s="24"/>
      <c r="S321" s="22" t="str">
        <f t="shared" si="22"/>
        <v/>
      </c>
      <c r="T321" s="22" t="str">
        <f t="shared" si="23"/>
        <v/>
      </c>
      <c r="U321" s="25"/>
      <c r="V321" s="25"/>
      <c r="W321" s="25"/>
      <c r="X321" s="25"/>
      <c r="Y321" s="22" t="str">
        <f t="shared" si="24"/>
        <v/>
      </c>
      <c r="Z321" s="25"/>
      <c r="AA321" s="25"/>
      <c r="AB321" s="25"/>
      <c r="AC321" s="25"/>
      <c r="AD321" s="25"/>
      <c r="AE321" s="25"/>
      <c r="AF321" s="25"/>
      <c r="AG321" s="9"/>
      <c r="AH321" s="29"/>
      <c r="AI321" s="29"/>
      <c r="AM321" s="50"/>
      <c r="AN321" s="51" t="s">
        <v>1643</v>
      </c>
      <c r="AO321" s="55" t="s">
        <v>1644</v>
      </c>
    </row>
    <row r="322" spans="1:41" ht="144" hidden="1" customHeight="1" x14ac:dyDescent="0.3">
      <c r="A322" s="20">
        <v>318</v>
      </c>
      <c r="B322" s="8" t="s">
        <v>1645</v>
      </c>
      <c r="C322" s="26">
        <v>2025</v>
      </c>
      <c r="D322" s="8"/>
      <c r="E322" s="8" t="s">
        <v>1646</v>
      </c>
      <c r="F322" s="20" t="s">
        <v>54</v>
      </c>
      <c r="G322" s="21" t="s">
        <v>64</v>
      </c>
      <c r="H322" s="21" t="s">
        <v>64</v>
      </c>
      <c r="I322" s="21" t="s">
        <v>64</v>
      </c>
      <c r="J322" s="21" t="s">
        <v>53</v>
      </c>
      <c r="K322" s="21" t="s">
        <v>53</v>
      </c>
      <c r="L322" s="22" t="str">
        <f t="shared" si="20"/>
        <v>EXCLUDE</v>
      </c>
      <c r="M322" s="22" t="str">
        <f t="shared" si="21"/>
        <v>Wrong domain (non-AECO)</v>
      </c>
      <c r="N322" s="23"/>
      <c r="O322" s="23"/>
      <c r="P322" s="24"/>
      <c r="Q322" s="24"/>
      <c r="R322" s="24"/>
      <c r="S322" s="22" t="str">
        <f t="shared" si="22"/>
        <v/>
      </c>
      <c r="T322" s="22" t="str">
        <f t="shared" si="23"/>
        <v/>
      </c>
      <c r="U322" s="25"/>
      <c r="V322" s="25"/>
      <c r="W322" s="25"/>
      <c r="X322" s="25"/>
      <c r="Y322" s="22" t="str">
        <f t="shared" si="24"/>
        <v/>
      </c>
      <c r="Z322" s="25"/>
      <c r="AA322" s="25"/>
      <c r="AB322" s="25"/>
      <c r="AC322" s="25"/>
      <c r="AD322" s="25"/>
      <c r="AE322" s="25"/>
      <c r="AF322" s="25"/>
      <c r="AG322" s="9"/>
      <c r="AH322" s="29"/>
      <c r="AI322" s="29"/>
      <c r="AM322" s="50"/>
      <c r="AN322" s="51" t="s">
        <v>1647</v>
      </c>
      <c r="AO322" s="55" t="s">
        <v>1648</v>
      </c>
    </row>
    <row r="323" spans="1:41" ht="79.95" hidden="1" customHeight="1" x14ac:dyDescent="0.3">
      <c r="A323" s="20">
        <v>319</v>
      </c>
      <c r="B323" s="8" t="s">
        <v>1649</v>
      </c>
      <c r="C323" s="26">
        <v>2026</v>
      </c>
      <c r="D323" s="8"/>
      <c r="E323" s="8" t="s">
        <v>1650</v>
      </c>
      <c r="F323" s="20" t="s">
        <v>54</v>
      </c>
      <c r="G323" s="21" t="s">
        <v>64</v>
      </c>
      <c r="H323" s="21" t="s">
        <v>53</v>
      </c>
      <c r="I323" s="21" t="s">
        <v>53</v>
      </c>
      <c r="J323" s="21" t="s">
        <v>53</v>
      </c>
      <c r="K323" s="21" t="s">
        <v>53</v>
      </c>
      <c r="L323" s="22" t="str">
        <f t="shared" si="20"/>
        <v>EXCLUDE</v>
      </c>
      <c r="M323" s="22" t="str">
        <f t="shared" si="21"/>
        <v>Wrong domain (non-AECO)</v>
      </c>
      <c r="N323" s="23"/>
      <c r="O323" s="23"/>
      <c r="P323" s="24"/>
      <c r="Q323" s="24"/>
      <c r="R323" s="24"/>
      <c r="S323" s="22" t="str">
        <f t="shared" si="22"/>
        <v/>
      </c>
      <c r="T323" s="22" t="str">
        <f t="shared" si="23"/>
        <v/>
      </c>
      <c r="U323" s="25"/>
      <c r="V323" s="25"/>
      <c r="W323" s="25"/>
      <c r="X323" s="25"/>
      <c r="Y323" s="22" t="str">
        <f t="shared" si="24"/>
        <v/>
      </c>
      <c r="Z323" s="25"/>
      <c r="AA323" s="25"/>
      <c r="AB323" s="25"/>
      <c r="AC323" s="25"/>
      <c r="AD323" s="25"/>
      <c r="AE323" s="25"/>
      <c r="AF323" s="25"/>
      <c r="AG323" s="9"/>
      <c r="AH323" s="29"/>
      <c r="AI323" s="29"/>
      <c r="AM323" s="50"/>
      <c r="AN323" s="51" t="s">
        <v>1651</v>
      </c>
      <c r="AO323" s="55" t="s">
        <v>1652</v>
      </c>
    </row>
    <row r="324" spans="1:41" ht="102.6" hidden="1" customHeight="1" x14ac:dyDescent="0.3">
      <c r="A324" s="20">
        <v>320</v>
      </c>
      <c r="B324" s="8" t="s">
        <v>1653</v>
      </c>
      <c r="C324" s="26">
        <v>2026</v>
      </c>
      <c r="D324" s="8"/>
      <c r="E324" s="8" t="s">
        <v>1654</v>
      </c>
      <c r="F324" s="20" t="s">
        <v>54</v>
      </c>
      <c r="G324" s="21" t="s">
        <v>64</v>
      </c>
      <c r="H324" s="21" t="s">
        <v>53</v>
      </c>
      <c r="I324" s="21" t="s">
        <v>53</v>
      </c>
      <c r="J324" s="21" t="s">
        <v>53</v>
      </c>
      <c r="K324" s="21" t="s">
        <v>53</v>
      </c>
      <c r="L324" s="22" t="str">
        <f t="shared" si="20"/>
        <v>EXCLUDE</v>
      </c>
      <c r="M324" s="22" t="str">
        <f t="shared" si="21"/>
        <v>Wrong domain (non-AECO)</v>
      </c>
      <c r="N324" s="23"/>
      <c r="O324" s="23"/>
      <c r="P324" s="24"/>
      <c r="Q324" s="24"/>
      <c r="R324" s="24"/>
      <c r="S324" s="22" t="str">
        <f t="shared" si="22"/>
        <v/>
      </c>
      <c r="T324" s="22" t="str">
        <f t="shared" si="23"/>
        <v/>
      </c>
      <c r="U324" s="25"/>
      <c r="V324" s="25"/>
      <c r="W324" s="25"/>
      <c r="X324" s="25"/>
      <c r="Y324" s="22" t="str">
        <f t="shared" si="24"/>
        <v/>
      </c>
      <c r="Z324" s="25"/>
      <c r="AA324" s="25"/>
      <c r="AB324" s="25"/>
      <c r="AC324" s="25"/>
      <c r="AD324" s="25"/>
      <c r="AE324" s="25"/>
      <c r="AF324" s="25"/>
      <c r="AG324" s="9"/>
      <c r="AH324" s="29"/>
      <c r="AI324" s="29"/>
      <c r="AM324" s="50"/>
      <c r="AN324" s="51" t="s">
        <v>1655</v>
      </c>
      <c r="AO324" s="55" t="s">
        <v>1656</v>
      </c>
    </row>
    <row r="325" spans="1:41" ht="100.95" customHeight="1" x14ac:dyDescent="0.3">
      <c r="A325" s="20">
        <v>321</v>
      </c>
      <c r="B325" s="8" t="s">
        <v>1657</v>
      </c>
      <c r="C325" s="26">
        <v>2025</v>
      </c>
      <c r="D325" s="8"/>
      <c r="E325" s="8" t="s">
        <v>1658</v>
      </c>
      <c r="F325" s="20" t="s">
        <v>54</v>
      </c>
      <c r="G325" s="21" t="s">
        <v>53</v>
      </c>
      <c r="H325" s="21" t="s">
        <v>53</v>
      </c>
      <c r="I325" s="21" t="s">
        <v>53</v>
      </c>
      <c r="J325" s="21" t="s">
        <v>53</v>
      </c>
      <c r="K325" s="21" t="s">
        <v>53</v>
      </c>
      <c r="L325" s="22" t="str">
        <f t="shared" ref="L325:L388" si="25">IF(COUNTBLANK(G325:K325)=5,"",IF(COUNTIF(G325:K325,"No")&gt;0,"EXCLUDE","INCLUDE"))</f>
        <v>INCLUDE</v>
      </c>
      <c r="M325" s="22" t="str">
        <f t="shared" ref="M325:M388" si="26">IF(L325&lt;&gt;"EXCLUDE","",IF(G325="No","Wrong domain (non-AECO)",IF(H325="No","Digital Twin not core / buzzword",IF(I325="No","No Design for Safety/Quality/PtD",IF(J325="No","Wrong publication type",IF(K325="No","Non-English",""))))))</f>
        <v/>
      </c>
      <c r="N325" s="23" t="s">
        <v>53</v>
      </c>
      <c r="O325" s="23" t="s">
        <v>53</v>
      </c>
      <c r="P325" s="24" t="s">
        <v>53</v>
      </c>
      <c r="Q325" s="24" t="s">
        <v>53</v>
      </c>
      <c r="R325" s="24" t="s">
        <v>53</v>
      </c>
      <c r="S325" s="22" t="str">
        <f t="shared" ref="S325:S388" si="27">IF(N325&lt;&gt;"Yes","",IF(COUNTBLANK(P325:R325)=3,"",IF(COUNTIF(P325:R325,"No")&gt;0,"EXCLUDE","INCLUDE")))</f>
        <v>INCLUDE</v>
      </c>
      <c r="T325" s="22" t="str">
        <f t="shared" ref="T325:T388" si="28">IF(S325&lt;&gt;"EXCLUDE","",IF(P325="No","Digital Twin mentioned only, not the subject",IF(Q325="No","No Design for Safety/Quality in full text",IF(R325="No","Methodology not codable",""))))</f>
        <v/>
      </c>
      <c r="U325" s="25" t="s">
        <v>67</v>
      </c>
      <c r="V325" s="25">
        <v>0</v>
      </c>
      <c r="W325" s="25">
        <v>0</v>
      </c>
      <c r="X325" s="25">
        <v>1</v>
      </c>
      <c r="Y325" s="22" t="str">
        <f t="shared" ref="Y325:Y388" si="29">IF(SUM(V325:X325)=0,"",IF(SUM(V325:X325)&gt;=2,"Multi","Single"))</f>
        <v>Single</v>
      </c>
      <c r="Z325" s="25" t="s">
        <v>9</v>
      </c>
      <c r="AA325" s="25" t="s">
        <v>57</v>
      </c>
      <c r="AB325" s="25" t="s">
        <v>100</v>
      </c>
      <c r="AC325" s="25" t="s">
        <v>70</v>
      </c>
      <c r="AD325" s="25" t="s">
        <v>89</v>
      </c>
      <c r="AE325" s="25">
        <v>4</v>
      </c>
      <c r="AF325" s="25" t="s">
        <v>96</v>
      </c>
      <c r="AG325" s="9" t="s">
        <v>1659</v>
      </c>
      <c r="AH325" s="29" t="s">
        <v>1660</v>
      </c>
      <c r="AI325" s="29" t="s">
        <v>1661</v>
      </c>
      <c r="AJ325" t="s">
        <v>91</v>
      </c>
      <c r="AK325" t="s">
        <v>1662</v>
      </c>
      <c r="AL325" t="s">
        <v>63</v>
      </c>
      <c r="AM325" s="50"/>
      <c r="AN325" s="51" t="s">
        <v>1663</v>
      </c>
      <c r="AO325" s="55" t="s">
        <v>1664</v>
      </c>
    </row>
    <row r="326" spans="1:41" ht="102.6" hidden="1" customHeight="1" x14ac:dyDescent="0.3">
      <c r="A326" s="20">
        <v>322</v>
      </c>
      <c r="B326" s="8" t="s">
        <v>1665</v>
      </c>
      <c r="C326" s="26">
        <v>2026</v>
      </c>
      <c r="D326" s="8"/>
      <c r="E326" s="8" t="s">
        <v>1666</v>
      </c>
      <c r="F326" s="20" t="s">
        <v>54</v>
      </c>
      <c r="G326" s="21" t="s">
        <v>64</v>
      </c>
      <c r="H326" s="21" t="s">
        <v>53</v>
      </c>
      <c r="I326" s="21" t="s">
        <v>64</v>
      </c>
      <c r="J326" s="21" t="s">
        <v>53</v>
      </c>
      <c r="K326" s="21" t="s">
        <v>53</v>
      </c>
      <c r="L326" s="22" t="str">
        <f t="shared" si="25"/>
        <v>EXCLUDE</v>
      </c>
      <c r="M326" s="22" t="str">
        <f t="shared" si="26"/>
        <v>Wrong domain (non-AECO)</v>
      </c>
      <c r="N326" s="23"/>
      <c r="O326" s="23"/>
      <c r="P326" s="24"/>
      <c r="Q326" s="24"/>
      <c r="R326" s="24"/>
      <c r="S326" s="22" t="str">
        <f t="shared" si="27"/>
        <v/>
      </c>
      <c r="T326" s="22" t="str">
        <f t="shared" si="28"/>
        <v/>
      </c>
      <c r="U326" s="25"/>
      <c r="V326" s="25"/>
      <c r="W326" s="25"/>
      <c r="X326" s="25"/>
      <c r="Y326" s="22" t="str">
        <f t="shared" si="29"/>
        <v/>
      </c>
      <c r="Z326" s="25"/>
      <c r="AA326" s="25"/>
      <c r="AB326" s="25"/>
      <c r="AC326" s="25"/>
      <c r="AD326" s="25"/>
      <c r="AE326" s="25"/>
      <c r="AF326" s="25"/>
      <c r="AG326" s="9"/>
      <c r="AH326" s="29"/>
      <c r="AI326" s="29"/>
      <c r="AM326" s="50"/>
      <c r="AN326" s="51" t="s">
        <v>1667</v>
      </c>
      <c r="AO326" s="55" t="s">
        <v>1668</v>
      </c>
    </row>
    <row r="327" spans="1:41" ht="45.6" hidden="1" customHeight="1" x14ac:dyDescent="0.3">
      <c r="A327" s="20">
        <v>323</v>
      </c>
      <c r="B327" s="8" t="s">
        <v>1669</v>
      </c>
      <c r="C327" s="26">
        <v>2025</v>
      </c>
      <c r="D327" s="8"/>
      <c r="E327" s="8" t="s">
        <v>1670</v>
      </c>
      <c r="F327" s="20" t="s">
        <v>54</v>
      </c>
      <c r="G327" s="21" t="s">
        <v>64</v>
      </c>
      <c r="H327" s="21" t="s">
        <v>53</v>
      </c>
      <c r="I327" s="21" t="s">
        <v>64</v>
      </c>
      <c r="J327" s="21" t="s">
        <v>53</v>
      </c>
      <c r="K327" s="21" t="s">
        <v>53</v>
      </c>
      <c r="L327" s="22" t="str">
        <f t="shared" si="25"/>
        <v>EXCLUDE</v>
      </c>
      <c r="M327" s="22" t="str">
        <f t="shared" si="26"/>
        <v>Wrong domain (non-AECO)</v>
      </c>
      <c r="N327" s="23"/>
      <c r="O327" s="23"/>
      <c r="P327" s="24"/>
      <c r="Q327" s="24"/>
      <c r="R327" s="24"/>
      <c r="S327" s="22" t="str">
        <f t="shared" si="27"/>
        <v/>
      </c>
      <c r="T327" s="22" t="str">
        <f t="shared" si="28"/>
        <v/>
      </c>
      <c r="U327" s="25"/>
      <c r="V327" s="25"/>
      <c r="W327" s="25"/>
      <c r="X327" s="25"/>
      <c r="Y327" s="22" t="str">
        <f t="shared" si="29"/>
        <v/>
      </c>
      <c r="Z327" s="25"/>
      <c r="AA327" s="25"/>
      <c r="AB327" s="25"/>
      <c r="AC327" s="25"/>
      <c r="AD327" s="25"/>
      <c r="AE327" s="25"/>
      <c r="AF327" s="25"/>
      <c r="AG327" s="9"/>
      <c r="AH327" s="29"/>
      <c r="AI327" s="29"/>
      <c r="AM327" s="50"/>
      <c r="AN327" s="51" t="s">
        <v>1671</v>
      </c>
      <c r="AO327" s="55" t="s">
        <v>1672</v>
      </c>
    </row>
    <row r="328" spans="1:41" ht="91.2" hidden="1" customHeight="1" x14ac:dyDescent="0.3">
      <c r="A328" s="20">
        <v>324</v>
      </c>
      <c r="B328" s="8" t="s">
        <v>1673</v>
      </c>
      <c r="C328" s="26">
        <v>2025</v>
      </c>
      <c r="D328" s="8"/>
      <c r="E328" s="8" t="s">
        <v>1674</v>
      </c>
      <c r="F328" s="20" t="s">
        <v>54</v>
      </c>
      <c r="G328" s="21" t="s">
        <v>64</v>
      </c>
      <c r="H328" s="21" t="s">
        <v>53</v>
      </c>
      <c r="I328" s="21" t="s">
        <v>64</v>
      </c>
      <c r="J328" s="21" t="s">
        <v>53</v>
      </c>
      <c r="K328" s="21" t="s">
        <v>53</v>
      </c>
      <c r="L328" s="22" t="str">
        <f t="shared" si="25"/>
        <v>EXCLUDE</v>
      </c>
      <c r="M328" s="22" t="str">
        <f t="shared" si="26"/>
        <v>Wrong domain (non-AECO)</v>
      </c>
      <c r="N328" s="23"/>
      <c r="O328" s="23"/>
      <c r="P328" s="24"/>
      <c r="Q328" s="24"/>
      <c r="R328" s="24"/>
      <c r="S328" s="22" t="str">
        <f t="shared" si="27"/>
        <v/>
      </c>
      <c r="T328" s="22" t="str">
        <f t="shared" si="28"/>
        <v/>
      </c>
      <c r="U328" s="25"/>
      <c r="V328" s="25"/>
      <c r="W328" s="25"/>
      <c r="X328" s="25"/>
      <c r="Y328" s="22" t="str">
        <f t="shared" si="29"/>
        <v/>
      </c>
      <c r="Z328" s="25"/>
      <c r="AA328" s="25"/>
      <c r="AB328" s="25"/>
      <c r="AC328" s="25"/>
      <c r="AD328" s="25"/>
      <c r="AE328" s="25"/>
      <c r="AF328" s="25"/>
      <c r="AG328" s="9"/>
      <c r="AH328" s="29"/>
      <c r="AI328" s="29"/>
      <c r="AM328" s="50"/>
      <c r="AN328" s="51" t="s">
        <v>1675</v>
      </c>
      <c r="AO328" s="55" t="s">
        <v>1676</v>
      </c>
    </row>
    <row r="329" spans="1:41" ht="45.6" customHeight="1" x14ac:dyDescent="0.3">
      <c r="A329" s="20">
        <v>325</v>
      </c>
      <c r="B329" s="8" t="s">
        <v>1677</v>
      </c>
      <c r="C329" s="26">
        <v>2025</v>
      </c>
      <c r="D329" s="8"/>
      <c r="E329" s="8" t="s">
        <v>1678</v>
      </c>
      <c r="F329" s="20" t="s">
        <v>54</v>
      </c>
      <c r="G329" s="21" t="s">
        <v>53</v>
      </c>
      <c r="H329" s="21" t="s">
        <v>53</v>
      </c>
      <c r="I329" s="21" t="s">
        <v>53</v>
      </c>
      <c r="J329" s="21" t="s">
        <v>53</v>
      </c>
      <c r="K329" s="21" t="s">
        <v>53</v>
      </c>
      <c r="L329" s="22" t="str">
        <f t="shared" si="25"/>
        <v>INCLUDE</v>
      </c>
      <c r="M329" s="22" t="str">
        <f t="shared" si="26"/>
        <v/>
      </c>
      <c r="N329" s="23" t="s">
        <v>53</v>
      </c>
      <c r="O329" s="23" t="s">
        <v>53</v>
      </c>
      <c r="P329" s="24" t="s">
        <v>53</v>
      </c>
      <c r="Q329" s="24" t="s">
        <v>53</v>
      </c>
      <c r="R329" s="24" t="s">
        <v>53</v>
      </c>
      <c r="S329" s="22" t="str">
        <f t="shared" si="27"/>
        <v>INCLUDE</v>
      </c>
      <c r="T329" s="22" t="str">
        <f t="shared" si="28"/>
        <v/>
      </c>
      <c r="U329" s="25" t="s">
        <v>67</v>
      </c>
      <c r="V329" s="25">
        <v>1</v>
      </c>
      <c r="W329" s="25">
        <v>0</v>
      </c>
      <c r="X329" s="25">
        <v>1</v>
      </c>
      <c r="Y329" s="22" t="str">
        <f t="shared" si="29"/>
        <v>Multi</v>
      </c>
      <c r="Z329" s="25" t="s">
        <v>9</v>
      </c>
      <c r="AA329" s="25" t="s">
        <v>57</v>
      </c>
      <c r="AB329" s="25" t="s">
        <v>100</v>
      </c>
      <c r="AC329" s="25" t="s">
        <v>70</v>
      </c>
      <c r="AD329" s="25" t="s">
        <v>89</v>
      </c>
      <c r="AE329" s="25">
        <v>4</v>
      </c>
      <c r="AF329" s="25" t="s">
        <v>90</v>
      </c>
      <c r="AG329" s="9" t="s">
        <v>1679</v>
      </c>
      <c r="AH329" s="29" t="s">
        <v>1680</v>
      </c>
      <c r="AI329" s="29" t="s">
        <v>1681</v>
      </c>
      <c r="AJ329" t="s">
        <v>91</v>
      </c>
      <c r="AK329" t="s">
        <v>1682</v>
      </c>
      <c r="AL329" t="s">
        <v>63</v>
      </c>
      <c r="AM329" s="50"/>
      <c r="AN329" s="51" t="s">
        <v>1683</v>
      </c>
      <c r="AO329" s="55" t="s">
        <v>1684</v>
      </c>
    </row>
    <row r="330" spans="1:41" ht="102.6" hidden="1" customHeight="1" x14ac:dyDescent="0.3">
      <c r="A330" s="20">
        <v>326</v>
      </c>
      <c r="B330" s="8" t="s">
        <v>1685</v>
      </c>
      <c r="C330" s="26">
        <v>2025</v>
      </c>
      <c r="D330" s="8"/>
      <c r="E330" s="8" t="s">
        <v>1686</v>
      </c>
      <c r="F330" s="20" t="s">
        <v>54</v>
      </c>
      <c r="G330" s="21" t="s">
        <v>53</v>
      </c>
      <c r="H330" s="21" t="s">
        <v>64</v>
      </c>
      <c r="I330" s="21" t="s">
        <v>53</v>
      </c>
      <c r="J330" s="21" t="s">
        <v>53</v>
      </c>
      <c r="K330" s="21" t="s">
        <v>53</v>
      </c>
      <c r="L330" s="22" t="str">
        <f t="shared" si="25"/>
        <v>EXCLUDE</v>
      </c>
      <c r="M330" s="22" t="str">
        <f t="shared" si="26"/>
        <v>Digital Twin not core / buzzword</v>
      </c>
      <c r="N330" s="23"/>
      <c r="O330" s="23"/>
      <c r="P330" s="24"/>
      <c r="Q330" s="24"/>
      <c r="R330" s="24"/>
      <c r="S330" s="22" t="str">
        <f t="shared" si="27"/>
        <v/>
      </c>
      <c r="T330" s="22" t="str">
        <f t="shared" si="28"/>
        <v/>
      </c>
      <c r="U330" s="25"/>
      <c r="V330" s="25"/>
      <c r="W330" s="25"/>
      <c r="X330" s="25"/>
      <c r="Y330" s="22" t="str">
        <f t="shared" si="29"/>
        <v/>
      </c>
      <c r="Z330" s="25"/>
      <c r="AA330" s="25"/>
      <c r="AB330" s="25"/>
      <c r="AC330" s="25"/>
      <c r="AD330" s="25"/>
      <c r="AE330" s="25"/>
      <c r="AF330" s="25"/>
      <c r="AG330" s="9"/>
      <c r="AH330" s="29"/>
      <c r="AI330" s="29"/>
      <c r="AM330" s="50"/>
      <c r="AN330" s="51" t="s">
        <v>1687</v>
      </c>
      <c r="AO330" s="55" t="s">
        <v>1688</v>
      </c>
    </row>
    <row r="331" spans="1:41" ht="34.200000000000003" hidden="1" customHeight="1" x14ac:dyDescent="0.3">
      <c r="A331" s="20">
        <v>327</v>
      </c>
      <c r="B331" s="8" t="s">
        <v>1689</v>
      </c>
      <c r="C331" s="26">
        <v>2025</v>
      </c>
      <c r="D331" s="8"/>
      <c r="E331" s="8" t="s">
        <v>1690</v>
      </c>
      <c r="F331" s="20" t="s">
        <v>54</v>
      </c>
      <c r="G331" s="21" t="s">
        <v>64</v>
      </c>
      <c r="H331" s="21" t="s">
        <v>64</v>
      </c>
      <c r="I331" s="21" t="s">
        <v>64</v>
      </c>
      <c r="J331" s="21" t="s">
        <v>53</v>
      </c>
      <c r="K331" s="21" t="s">
        <v>53</v>
      </c>
      <c r="L331" s="22" t="str">
        <f t="shared" si="25"/>
        <v>EXCLUDE</v>
      </c>
      <c r="M331" s="22" t="str">
        <f t="shared" si="26"/>
        <v>Wrong domain (non-AECO)</v>
      </c>
      <c r="N331" s="23"/>
      <c r="O331" s="23"/>
      <c r="P331" s="24"/>
      <c r="Q331" s="24"/>
      <c r="R331" s="24"/>
      <c r="S331" s="22" t="str">
        <f t="shared" si="27"/>
        <v/>
      </c>
      <c r="T331" s="22" t="str">
        <f t="shared" si="28"/>
        <v/>
      </c>
      <c r="U331" s="25"/>
      <c r="V331" s="25"/>
      <c r="W331" s="25"/>
      <c r="X331" s="25"/>
      <c r="Y331" s="22" t="str">
        <f t="shared" si="29"/>
        <v/>
      </c>
      <c r="Z331" s="25"/>
      <c r="AA331" s="25"/>
      <c r="AB331" s="25"/>
      <c r="AC331" s="25"/>
      <c r="AD331" s="25"/>
      <c r="AE331" s="25"/>
      <c r="AF331" s="25"/>
      <c r="AG331" s="9"/>
      <c r="AH331" s="29"/>
      <c r="AI331" s="29"/>
      <c r="AM331" s="50"/>
      <c r="AN331" s="51" t="s">
        <v>1691</v>
      </c>
      <c r="AO331" s="55" t="s">
        <v>1692</v>
      </c>
    </row>
    <row r="332" spans="1:41" ht="57" hidden="1" customHeight="1" x14ac:dyDescent="0.3">
      <c r="A332" s="20">
        <v>328</v>
      </c>
      <c r="B332" s="8" t="s">
        <v>1693</v>
      </c>
      <c r="C332" s="26">
        <v>2025</v>
      </c>
      <c r="D332" s="8"/>
      <c r="E332" s="8" t="s">
        <v>1694</v>
      </c>
      <c r="F332" s="20" t="s">
        <v>54</v>
      </c>
      <c r="G332" s="21" t="s">
        <v>53</v>
      </c>
      <c r="H332" s="21" t="s">
        <v>64</v>
      </c>
      <c r="I332" s="21" t="s">
        <v>53</v>
      </c>
      <c r="J332" s="21" t="s">
        <v>53</v>
      </c>
      <c r="K332" s="21" t="s">
        <v>53</v>
      </c>
      <c r="L332" s="22" t="str">
        <f t="shared" si="25"/>
        <v>EXCLUDE</v>
      </c>
      <c r="M332" s="22" t="str">
        <f t="shared" si="26"/>
        <v>Digital Twin not core / buzzword</v>
      </c>
      <c r="N332" s="23"/>
      <c r="O332" s="23"/>
      <c r="P332" s="24"/>
      <c r="Q332" s="24"/>
      <c r="R332" s="24"/>
      <c r="S332" s="22" t="str">
        <f t="shared" si="27"/>
        <v/>
      </c>
      <c r="T332" s="22" t="str">
        <f t="shared" si="28"/>
        <v/>
      </c>
      <c r="U332" s="25"/>
      <c r="V332" s="25"/>
      <c r="W332" s="25"/>
      <c r="X332" s="25"/>
      <c r="Y332" s="22" t="str">
        <f t="shared" si="29"/>
        <v/>
      </c>
      <c r="Z332" s="25"/>
      <c r="AA332" s="25"/>
      <c r="AB332" s="25"/>
      <c r="AC332" s="25"/>
      <c r="AD332" s="25"/>
      <c r="AE332" s="25"/>
      <c r="AF332" s="25"/>
      <c r="AG332" s="9"/>
      <c r="AH332" s="29"/>
      <c r="AI332" s="29"/>
      <c r="AM332" s="50"/>
      <c r="AN332" s="51" t="s">
        <v>1695</v>
      </c>
      <c r="AO332" s="55" t="s">
        <v>1696</v>
      </c>
    </row>
    <row r="333" spans="1:41" ht="114" hidden="1" customHeight="1" x14ac:dyDescent="0.3">
      <c r="A333" s="20">
        <v>329</v>
      </c>
      <c r="B333" s="8" t="s">
        <v>1697</v>
      </c>
      <c r="C333" s="26">
        <v>2025</v>
      </c>
      <c r="D333" s="8"/>
      <c r="E333" s="8" t="s">
        <v>1698</v>
      </c>
      <c r="F333" s="20" t="s">
        <v>54</v>
      </c>
      <c r="G333" s="21" t="s">
        <v>64</v>
      </c>
      <c r="H333" s="21" t="s">
        <v>53</v>
      </c>
      <c r="I333" s="21" t="s">
        <v>64</v>
      </c>
      <c r="J333" s="21" t="s">
        <v>53</v>
      </c>
      <c r="K333" s="21" t="s">
        <v>53</v>
      </c>
      <c r="L333" s="22" t="str">
        <f t="shared" si="25"/>
        <v>EXCLUDE</v>
      </c>
      <c r="M333" s="22" t="str">
        <f t="shared" si="26"/>
        <v>Wrong domain (non-AECO)</v>
      </c>
      <c r="N333" s="23"/>
      <c r="O333" s="23"/>
      <c r="P333" s="24"/>
      <c r="Q333" s="24"/>
      <c r="R333" s="24"/>
      <c r="S333" s="22" t="str">
        <f t="shared" si="27"/>
        <v/>
      </c>
      <c r="T333" s="22" t="str">
        <f t="shared" si="28"/>
        <v/>
      </c>
      <c r="U333" s="25"/>
      <c r="V333" s="25"/>
      <c r="W333" s="25"/>
      <c r="X333" s="25"/>
      <c r="Y333" s="22" t="str">
        <f t="shared" si="29"/>
        <v/>
      </c>
      <c r="Z333" s="25"/>
      <c r="AA333" s="25"/>
      <c r="AB333" s="25"/>
      <c r="AC333" s="25"/>
      <c r="AD333" s="25"/>
      <c r="AE333" s="25"/>
      <c r="AF333" s="25"/>
      <c r="AG333" s="9"/>
      <c r="AH333" s="29"/>
      <c r="AI333" s="29"/>
      <c r="AM333" s="50"/>
      <c r="AN333" s="51" t="s">
        <v>1699</v>
      </c>
      <c r="AO333" s="55" t="s">
        <v>1700</v>
      </c>
    </row>
    <row r="334" spans="1:41" ht="45.6" customHeight="1" x14ac:dyDescent="0.3">
      <c r="A334" s="20">
        <v>330</v>
      </c>
      <c r="B334" s="8" t="s">
        <v>1701</v>
      </c>
      <c r="C334" s="26">
        <v>2026</v>
      </c>
      <c r="D334" s="8"/>
      <c r="E334" s="8" t="s">
        <v>1702</v>
      </c>
      <c r="F334" s="20" t="s">
        <v>54</v>
      </c>
      <c r="G334" s="21" t="s">
        <v>53</v>
      </c>
      <c r="H334" s="21" t="s">
        <v>53</v>
      </c>
      <c r="I334" s="21" t="s">
        <v>53</v>
      </c>
      <c r="J334" s="21" t="s">
        <v>53</v>
      </c>
      <c r="K334" s="21" t="s">
        <v>53</v>
      </c>
      <c r="L334" s="22" t="str">
        <f t="shared" si="25"/>
        <v>INCLUDE</v>
      </c>
      <c r="M334" s="22" t="str">
        <f t="shared" si="26"/>
        <v/>
      </c>
      <c r="N334" s="23" t="s">
        <v>53</v>
      </c>
      <c r="O334" s="23" t="s">
        <v>53</v>
      </c>
      <c r="P334" s="24" t="s">
        <v>53</v>
      </c>
      <c r="Q334" s="24" t="s">
        <v>53</v>
      </c>
      <c r="R334" s="24" t="s">
        <v>53</v>
      </c>
      <c r="S334" s="22" t="str">
        <f t="shared" si="27"/>
        <v>INCLUDE</v>
      </c>
      <c r="T334" s="22" t="str">
        <f t="shared" si="28"/>
        <v/>
      </c>
      <c r="U334" s="25" t="s">
        <v>67</v>
      </c>
      <c r="V334" s="25">
        <v>0</v>
      </c>
      <c r="W334" s="25">
        <v>0</v>
      </c>
      <c r="X334" s="25">
        <v>1</v>
      </c>
      <c r="Y334" s="22" t="str">
        <f t="shared" si="29"/>
        <v>Single</v>
      </c>
      <c r="Z334" s="25" t="s">
        <v>9</v>
      </c>
      <c r="AA334" s="25" t="s">
        <v>78</v>
      </c>
      <c r="AB334" s="25" t="s">
        <v>100</v>
      </c>
      <c r="AC334" s="25" t="s">
        <v>70</v>
      </c>
      <c r="AD334" s="25" t="s">
        <v>89</v>
      </c>
      <c r="AE334" s="25">
        <v>4</v>
      </c>
      <c r="AF334" s="25" t="s">
        <v>96</v>
      </c>
      <c r="AG334" s="9" t="s">
        <v>1703</v>
      </c>
      <c r="AH334" s="29" t="s">
        <v>1704</v>
      </c>
      <c r="AI334" s="29" t="s">
        <v>1705</v>
      </c>
      <c r="AJ334" t="s">
        <v>91</v>
      </c>
      <c r="AK334" t="s">
        <v>1706</v>
      </c>
      <c r="AL334" t="s">
        <v>63</v>
      </c>
      <c r="AM334" s="50"/>
      <c r="AN334" s="51" t="s">
        <v>1707</v>
      </c>
      <c r="AO334" s="55" t="s">
        <v>1708</v>
      </c>
    </row>
    <row r="335" spans="1:41" ht="91.2" customHeight="1" x14ac:dyDescent="0.3">
      <c r="A335" s="20">
        <v>331</v>
      </c>
      <c r="B335" s="8" t="s">
        <v>1709</v>
      </c>
      <c r="C335" s="26">
        <v>2026</v>
      </c>
      <c r="D335" s="8"/>
      <c r="E335" s="8" t="s">
        <v>1710</v>
      </c>
      <c r="F335" s="20" t="s">
        <v>54</v>
      </c>
      <c r="G335" s="21" t="s">
        <v>53</v>
      </c>
      <c r="H335" s="21" t="s">
        <v>53</v>
      </c>
      <c r="I335" s="21" t="s">
        <v>53</v>
      </c>
      <c r="J335" s="21" t="s">
        <v>53</v>
      </c>
      <c r="K335" s="21" t="s">
        <v>53</v>
      </c>
      <c r="L335" s="22" t="str">
        <f t="shared" si="25"/>
        <v>INCLUDE</v>
      </c>
      <c r="M335" s="22" t="str">
        <f t="shared" si="26"/>
        <v/>
      </c>
      <c r="N335" s="23" t="s">
        <v>53</v>
      </c>
      <c r="O335" s="23" t="s">
        <v>53</v>
      </c>
      <c r="P335" s="24" t="s">
        <v>53</v>
      </c>
      <c r="Q335" s="24" t="s">
        <v>53</v>
      </c>
      <c r="R335" s="24" t="s">
        <v>53</v>
      </c>
      <c r="S335" s="22" t="str">
        <f t="shared" si="27"/>
        <v>INCLUDE</v>
      </c>
      <c r="T335" s="22" t="str">
        <f t="shared" si="28"/>
        <v/>
      </c>
      <c r="U335" s="25" t="s">
        <v>56</v>
      </c>
      <c r="V335" s="25">
        <v>0</v>
      </c>
      <c r="W335" s="25">
        <v>0</v>
      </c>
      <c r="X335" s="25">
        <v>1</v>
      </c>
      <c r="Y335" s="22" t="str">
        <f t="shared" si="29"/>
        <v>Single</v>
      </c>
      <c r="Z335" s="25" t="s">
        <v>9</v>
      </c>
      <c r="AA335" s="25" t="s">
        <v>57</v>
      </c>
      <c r="AB335" s="25" t="s">
        <v>104</v>
      </c>
      <c r="AC335" s="25" t="s">
        <v>59</v>
      </c>
      <c r="AD335" s="25" t="s">
        <v>71</v>
      </c>
      <c r="AE335" s="25">
        <v>3</v>
      </c>
      <c r="AF335" s="25" t="s">
        <v>90</v>
      </c>
      <c r="AG335" s="9" t="s">
        <v>1711</v>
      </c>
      <c r="AH335" s="29" t="s">
        <v>1712</v>
      </c>
      <c r="AI335" s="29" t="s">
        <v>1713</v>
      </c>
      <c r="AJ335" t="s">
        <v>62</v>
      </c>
      <c r="AK335" t="s">
        <v>1714</v>
      </c>
      <c r="AL335" t="s">
        <v>63</v>
      </c>
      <c r="AM335" s="50"/>
      <c r="AN335" s="51" t="s">
        <v>1715</v>
      </c>
      <c r="AO335" s="55" t="s">
        <v>1328</v>
      </c>
    </row>
    <row r="336" spans="1:41" ht="114" hidden="1" customHeight="1" x14ac:dyDescent="0.3">
      <c r="A336" s="20">
        <v>332</v>
      </c>
      <c r="B336" s="8" t="s">
        <v>1716</v>
      </c>
      <c r="C336" s="26">
        <v>2026</v>
      </c>
      <c r="D336" s="8"/>
      <c r="E336" s="8" t="s">
        <v>1717</v>
      </c>
      <c r="F336" s="20" t="s">
        <v>54</v>
      </c>
      <c r="G336" s="21" t="s">
        <v>53</v>
      </c>
      <c r="H336" s="21" t="s">
        <v>64</v>
      </c>
      <c r="I336" s="21" t="s">
        <v>53</v>
      </c>
      <c r="J336" s="21" t="s">
        <v>53</v>
      </c>
      <c r="K336" s="21" t="s">
        <v>53</v>
      </c>
      <c r="L336" s="22" t="str">
        <f t="shared" si="25"/>
        <v>EXCLUDE</v>
      </c>
      <c r="M336" s="22" t="str">
        <f t="shared" si="26"/>
        <v>Digital Twin not core / buzzword</v>
      </c>
      <c r="N336" s="23"/>
      <c r="O336" s="23"/>
      <c r="P336" s="24"/>
      <c r="Q336" s="24"/>
      <c r="R336" s="24"/>
      <c r="S336" s="22" t="str">
        <f t="shared" si="27"/>
        <v/>
      </c>
      <c r="T336" s="22" t="str">
        <f t="shared" si="28"/>
        <v/>
      </c>
      <c r="U336" s="25"/>
      <c r="V336" s="25"/>
      <c r="W336" s="25"/>
      <c r="X336" s="25"/>
      <c r="Y336" s="22" t="str">
        <f t="shared" si="29"/>
        <v/>
      </c>
      <c r="Z336" s="25"/>
      <c r="AA336" s="25"/>
      <c r="AB336" s="25"/>
      <c r="AC336" s="25"/>
      <c r="AD336" s="25"/>
      <c r="AE336" s="25"/>
      <c r="AF336" s="25"/>
      <c r="AG336" s="9"/>
      <c r="AH336" s="29"/>
      <c r="AI336" s="29"/>
      <c r="AM336" s="50"/>
      <c r="AN336" s="51" t="s">
        <v>1718</v>
      </c>
      <c r="AO336" s="55" t="s">
        <v>1719</v>
      </c>
    </row>
    <row r="337" spans="1:41" ht="273.60000000000002" hidden="1" customHeight="1" x14ac:dyDescent="0.3">
      <c r="A337" s="20">
        <v>333</v>
      </c>
      <c r="B337" s="8" t="s">
        <v>1720</v>
      </c>
      <c r="C337" s="26">
        <v>2025</v>
      </c>
      <c r="D337" s="8"/>
      <c r="E337" s="8" t="s">
        <v>1721</v>
      </c>
      <c r="F337" s="20" t="s">
        <v>54</v>
      </c>
      <c r="G337" s="21" t="s">
        <v>53</v>
      </c>
      <c r="H337" s="21" t="s">
        <v>64</v>
      </c>
      <c r="I337" s="21" t="s">
        <v>53</v>
      </c>
      <c r="J337" s="21" t="s">
        <v>53</v>
      </c>
      <c r="K337" s="21" t="s">
        <v>53</v>
      </c>
      <c r="L337" s="22" t="str">
        <f t="shared" si="25"/>
        <v>EXCLUDE</v>
      </c>
      <c r="M337" s="22" t="str">
        <f t="shared" si="26"/>
        <v>Digital Twin not core / buzzword</v>
      </c>
      <c r="N337" s="23"/>
      <c r="O337" s="23"/>
      <c r="P337" s="24"/>
      <c r="Q337" s="24"/>
      <c r="R337" s="24"/>
      <c r="S337" s="22" t="str">
        <f t="shared" si="27"/>
        <v/>
      </c>
      <c r="T337" s="22" t="str">
        <f t="shared" si="28"/>
        <v/>
      </c>
      <c r="U337" s="25"/>
      <c r="V337" s="25"/>
      <c r="W337" s="25"/>
      <c r="X337" s="25"/>
      <c r="Y337" s="22" t="str">
        <f t="shared" si="29"/>
        <v/>
      </c>
      <c r="Z337" s="25"/>
      <c r="AA337" s="25"/>
      <c r="AB337" s="25"/>
      <c r="AC337" s="25"/>
      <c r="AD337" s="25"/>
      <c r="AE337" s="25"/>
      <c r="AF337" s="25"/>
      <c r="AG337" s="9"/>
      <c r="AH337" s="29"/>
      <c r="AI337" s="29"/>
      <c r="AM337" s="50"/>
      <c r="AN337" s="51" t="s">
        <v>1722</v>
      </c>
      <c r="AO337" s="55" t="s">
        <v>1723</v>
      </c>
    </row>
    <row r="338" spans="1:41" ht="102.6" customHeight="1" x14ac:dyDescent="0.3">
      <c r="A338" s="20">
        <v>334</v>
      </c>
      <c r="B338" s="8" t="s">
        <v>1724</v>
      </c>
      <c r="C338" s="26">
        <v>2025</v>
      </c>
      <c r="D338" s="8"/>
      <c r="E338" s="8" t="s">
        <v>1725</v>
      </c>
      <c r="F338" s="20" t="s">
        <v>54</v>
      </c>
      <c r="G338" s="21" t="s">
        <v>53</v>
      </c>
      <c r="H338" s="21" t="s">
        <v>53</v>
      </c>
      <c r="I338" s="21" t="s">
        <v>53</v>
      </c>
      <c r="J338" s="21" t="s">
        <v>53</v>
      </c>
      <c r="K338" s="21" t="s">
        <v>53</v>
      </c>
      <c r="L338" s="22" t="str">
        <f t="shared" si="25"/>
        <v>INCLUDE</v>
      </c>
      <c r="M338" s="22" t="str">
        <f t="shared" si="26"/>
        <v/>
      </c>
      <c r="N338" s="23" t="s">
        <v>53</v>
      </c>
      <c r="O338" s="23" t="s">
        <v>53</v>
      </c>
      <c r="P338" s="24" t="s">
        <v>53</v>
      </c>
      <c r="Q338" s="24" t="s">
        <v>53</v>
      </c>
      <c r="R338" s="24" t="s">
        <v>53</v>
      </c>
      <c r="S338" s="22" t="str">
        <f t="shared" si="27"/>
        <v>INCLUDE</v>
      </c>
      <c r="T338" s="22" t="str">
        <f t="shared" si="28"/>
        <v/>
      </c>
      <c r="U338" s="25" t="s">
        <v>67</v>
      </c>
      <c r="V338" s="25">
        <v>0</v>
      </c>
      <c r="W338" s="25">
        <v>1</v>
      </c>
      <c r="X338" s="25">
        <v>0</v>
      </c>
      <c r="Y338" s="22" t="str">
        <f t="shared" si="29"/>
        <v>Single</v>
      </c>
      <c r="Z338" s="25" t="s">
        <v>9</v>
      </c>
      <c r="AA338" s="25" t="s">
        <v>78</v>
      </c>
      <c r="AB338" s="25" t="s">
        <v>104</v>
      </c>
      <c r="AC338" s="25" t="s">
        <v>70</v>
      </c>
      <c r="AD338" s="25" t="s">
        <v>89</v>
      </c>
      <c r="AE338" s="25">
        <v>4</v>
      </c>
      <c r="AF338" s="25" t="s">
        <v>96</v>
      </c>
      <c r="AG338" s="9" t="s">
        <v>1726</v>
      </c>
      <c r="AH338" s="29" t="s">
        <v>1727</v>
      </c>
      <c r="AI338" s="29" t="s">
        <v>1728</v>
      </c>
      <c r="AJ338" t="s">
        <v>91</v>
      </c>
      <c r="AK338" t="s">
        <v>1729</v>
      </c>
      <c r="AL338" t="s">
        <v>63</v>
      </c>
      <c r="AM338" s="50"/>
      <c r="AN338" s="51" t="s">
        <v>1730</v>
      </c>
      <c r="AO338" s="55" t="s">
        <v>1731</v>
      </c>
    </row>
    <row r="339" spans="1:41" ht="91.2" hidden="1" customHeight="1" x14ac:dyDescent="0.3">
      <c r="A339" s="20">
        <v>335</v>
      </c>
      <c r="B339" s="8" t="s">
        <v>1732</v>
      </c>
      <c r="C339" s="26">
        <v>2026</v>
      </c>
      <c r="D339" s="8"/>
      <c r="E339" s="8" t="s">
        <v>1733</v>
      </c>
      <c r="F339" s="20" t="s">
        <v>54</v>
      </c>
      <c r="G339" s="21" t="s">
        <v>53</v>
      </c>
      <c r="H339" s="21" t="s">
        <v>64</v>
      </c>
      <c r="I339" s="21" t="s">
        <v>53</v>
      </c>
      <c r="J339" s="21" t="s">
        <v>53</v>
      </c>
      <c r="K339" s="21" t="s">
        <v>53</v>
      </c>
      <c r="L339" s="22" t="str">
        <f t="shared" si="25"/>
        <v>EXCLUDE</v>
      </c>
      <c r="M339" s="22" t="str">
        <f t="shared" si="26"/>
        <v>Digital Twin not core / buzzword</v>
      </c>
      <c r="N339" s="23"/>
      <c r="O339" s="23"/>
      <c r="P339" s="24"/>
      <c r="Q339" s="24"/>
      <c r="R339" s="24"/>
      <c r="S339" s="22" t="str">
        <f t="shared" si="27"/>
        <v/>
      </c>
      <c r="T339" s="22" t="str">
        <f t="shared" si="28"/>
        <v/>
      </c>
      <c r="U339" s="25"/>
      <c r="V339" s="25"/>
      <c r="W339" s="25"/>
      <c r="X339" s="25"/>
      <c r="Y339" s="22" t="str">
        <f t="shared" si="29"/>
        <v/>
      </c>
      <c r="Z339" s="25"/>
      <c r="AA339" s="25"/>
      <c r="AB339" s="25"/>
      <c r="AC339" s="25"/>
      <c r="AD339" s="25"/>
      <c r="AE339" s="25"/>
      <c r="AF339" s="25"/>
      <c r="AG339" s="9"/>
      <c r="AH339" s="29"/>
      <c r="AI339" s="29"/>
      <c r="AM339" s="50"/>
      <c r="AN339" s="51" t="s">
        <v>1734</v>
      </c>
      <c r="AO339" s="55" t="s">
        <v>1735</v>
      </c>
    </row>
    <row r="340" spans="1:41" ht="79.95" hidden="1" customHeight="1" x14ac:dyDescent="0.3">
      <c r="A340" s="20">
        <v>336</v>
      </c>
      <c r="B340" s="8" t="s">
        <v>1736</v>
      </c>
      <c r="C340" s="26">
        <v>2025</v>
      </c>
      <c r="D340" s="8"/>
      <c r="E340" s="8" t="s">
        <v>1737</v>
      </c>
      <c r="F340" s="20" t="s">
        <v>54</v>
      </c>
      <c r="G340" s="21" t="s">
        <v>53</v>
      </c>
      <c r="H340" s="21" t="s">
        <v>64</v>
      </c>
      <c r="I340" s="21" t="s">
        <v>53</v>
      </c>
      <c r="J340" s="21" t="s">
        <v>53</v>
      </c>
      <c r="K340" s="21" t="s">
        <v>53</v>
      </c>
      <c r="L340" s="22" t="str">
        <f t="shared" si="25"/>
        <v>EXCLUDE</v>
      </c>
      <c r="M340" s="22" t="str">
        <f t="shared" si="26"/>
        <v>Digital Twin not core / buzzword</v>
      </c>
      <c r="N340" s="23"/>
      <c r="O340" s="23"/>
      <c r="P340" s="24"/>
      <c r="Q340" s="24"/>
      <c r="R340" s="24"/>
      <c r="S340" s="22" t="str">
        <f t="shared" si="27"/>
        <v/>
      </c>
      <c r="T340" s="22" t="str">
        <f t="shared" si="28"/>
        <v/>
      </c>
      <c r="U340" s="25"/>
      <c r="V340" s="25"/>
      <c r="W340" s="25"/>
      <c r="X340" s="25"/>
      <c r="Y340" s="22" t="str">
        <f t="shared" si="29"/>
        <v/>
      </c>
      <c r="Z340" s="25"/>
      <c r="AA340" s="25"/>
      <c r="AB340" s="25"/>
      <c r="AC340" s="25"/>
      <c r="AD340" s="25"/>
      <c r="AE340" s="25"/>
      <c r="AF340" s="25"/>
      <c r="AG340" s="9"/>
      <c r="AH340" s="29"/>
      <c r="AI340" s="29"/>
      <c r="AM340" s="50"/>
      <c r="AN340" s="51" t="s">
        <v>1738</v>
      </c>
      <c r="AO340" s="55" t="s">
        <v>1739</v>
      </c>
    </row>
    <row r="341" spans="1:41" ht="45.6" hidden="1" customHeight="1" x14ac:dyDescent="0.3">
      <c r="A341" s="20">
        <v>337</v>
      </c>
      <c r="B341" s="8" t="s">
        <v>308</v>
      </c>
      <c r="C341" s="26">
        <v>2025</v>
      </c>
      <c r="D341" s="8"/>
      <c r="E341" s="8" t="s">
        <v>1740</v>
      </c>
      <c r="F341" s="20" t="s">
        <v>54</v>
      </c>
      <c r="G341" s="21" t="s">
        <v>53</v>
      </c>
      <c r="H341" s="21" t="s">
        <v>64</v>
      </c>
      <c r="I341" s="21" t="s">
        <v>53</v>
      </c>
      <c r="J341" s="21" t="s">
        <v>53</v>
      </c>
      <c r="K341" s="21" t="s">
        <v>53</v>
      </c>
      <c r="L341" s="22" t="str">
        <f t="shared" si="25"/>
        <v>EXCLUDE</v>
      </c>
      <c r="M341" s="22" t="str">
        <f t="shared" si="26"/>
        <v>Digital Twin not core / buzzword</v>
      </c>
      <c r="N341" s="23"/>
      <c r="O341" s="23"/>
      <c r="P341" s="24"/>
      <c r="Q341" s="24"/>
      <c r="R341" s="24"/>
      <c r="S341" s="22" t="str">
        <f t="shared" si="27"/>
        <v/>
      </c>
      <c r="T341" s="22" t="str">
        <f t="shared" si="28"/>
        <v/>
      </c>
      <c r="U341" s="25"/>
      <c r="V341" s="25"/>
      <c r="W341" s="25"/>
      <c r="X341" s="25"/>
      <c r="Y341" s="22" t="str">
        <f t="shared" si="29"/>
        <v/>
      </c>
      <c r="Z341" s="25"/>
      <c r="AA341" s="25"/>
      <c r="AB341" s="25"/>
      <c r="AC341" s="25"/>
      <c r="AD341" s="25"/>
      <c r="AE341" s="25"/>
      <c r="AF341" s="25"/>
      <c r="AG341" s="9"/>
      <c r="AH341" s="29"/>
      <c r="AI341" s="29"/>
      <c r="AM341" s="50"/>
      <c r="AN341" s="51" t="s">
        <v>1741</v>
      </c>
      <c r="AO341" s="55" t="s">
        <v>1742</v>
      </c>
    </row>
    <row r="342" spans="1:41" ht="45.6" hidden="1" customHeight="1" x14ac:dyDescent="0.3">
      <c r="A342" s="20">
        <v>338</v>
      </c>
      <c r="B342" s="8" t="s">
        <v>1743</v>
      </c>
      <c r="C342" s="26">
        <v>2026</v>
      </c>
      <c r="D342" s="8"/>
      <c r="E342" s="8" t="s">
        <v>1744</v>
      </c>
      <c r="F342" s="20" t="s">
        <v>54</v>
      </c>
      <c r="G342" s="21" t="s">
        <v>64</v>
      </c>
      <c r="H342" s="21" t="s">
        <v>53</v>
      </c>
      <c r="I342" s="21" t="s">
        <v>53</v>
      </c>
      <c r="J342" s="21" t="s">
        <v>53</v>
      </c>
      <c r="K342" s="21" t="s">
        <v>53</v>
      </c>
      <c r="L342" s="22" t="str">
        <f t="shared" si="25"/>
        <v>EXCLUDE</v>
      </c>
      <c r="M342" s="22" t="str">
        <f t="shared" si="26"/>
        <v>Wrong domain (non-AECO)</v>
      </c>
      <c r="N342" s="23"/>
      <c r="O342" s="23"/>
      <c r="P342" s="24"/>
      <c r="Q342" s="24"/>
      <c r="R342" s="24"/>
      <c r="S342" s="22" t="str">
        <f t="shared" si="27"/>
        <v/>
      </c>
      <c r="T342" s="22" t="str">
        <f t="shared" si="28"/>
        <v/>
      </c>
      <c r="U342" s="25"/>
      <c r="V342" s="25"/>
      <c r="W342" s="25"/>
      <c r="X342" s="25"/>
      <c r="Y342" s="22" t="str">
        <f t="shared" si="29"/>
        <v/>
      </c>
      <c r="Z342" s="25"/>
      <c r="AA342" s="25"/>
      <c r="AB342" s="25"/>
      <c r="AC342" s="25"/>
      <c r="AD342" s="25"/>
      <c r="AE342" s="25"/>
      <c r="AF342" s="25"/>
      <c r="AG342" s="9"/>
      <c r="AH342" s="29"/>
      <c r="AI342" s="29"/>
      <c r="AM342" s="50"/>
      <c r="AN342" s="51" t="s">
        <v>1745</v>
      </c>
      <c r="AO342" s="55" t="s">
        <v>1746</v>
      </c>
    </row>
    <row r="343" spans="1:41" ht="91.2" customHeight="1" x14ac:dyDescent="0.3">
      <c r="A343" s="20">
        <v>339</v>
      </c>
      <c r="B343" s="8" t="s">
        <v>1747</v>
      </c>
      <c r="C343" s="26">
        <v>2026</v>
      </c>
      <c r="D343" s="8"/>
      <c r="E343" s="8" t="s">
        <v>1748</v>
      </c>
      <c r="F343" s="20" t="s">
        <v>54</v>
      </c>
      <c r="G343" s="21" t="s">
        <v>53</v>
      </c>
      <c r="H343" s="21" t="s">
        <v>53</v>
      </c>
      <c r="I343" s="21" t="s">
        <v>53</v>
      </c>
      <c r="J343" s="21" t="s">
        <v>53</v>
      </c>
      <c r="K343" s="21" t="s">
        <v>53</v>
      </c>
      <c r="L343" s="22" t="str">
        <f t="shared" si="25"/>
        <v>INCLUDE</v>
      </c>
      <c r="M343" s="22" t="str">
        <f t="shared" si="26"/>
        <v/>
      </c>
      <c r="N343" s="23" t="s">
        <v>53</v>
      </c>
      <c r="O343" s="23" t="s">
        <v>53</v>
      </c>
      <c r="P343" s="24" t="s">
        <v>53</v>
      </c>
      <c r="Q343" s="24" t="s">
        <v>53</v>
      </c>
      <c r="R343" s="24" t="s">
        <v>53</v>
      </c>
      <c r="S343" s="22" t="str">
        <f t="shared" si="27"/>
        <v>INCLUDE</v>
      </c>
      <c r="T343" s="22" t="str">
        <f t="shared" si="28"/>
        <v/>
      </c>
      <c r="U343" s="25" t="s">
        <v>67</v>
      </c>
      <c r="V343" s="25">
        <v>0</v>
      </c>
      <c r="W343" s="25">
        <v>1</v>
      </c>
      <c r="X343" s="25">
        <v>0</v>
      </c>
      <c r="Y343" s="22" t="str">
        <f t="shared" si="29"/>
        <v>Single</v>
      </c>
      <c r="Z343" s="25" t="s">
        <v>9</v>
      </c>
      <c r="AA343" s="25" t="s">
        <v>57</v>
      </c>
      <c r="AB343" s="25" t="s">
        <v>103</v>
      </c>
      <c r="AC343" s="25" t="s">
        <v>70</v>
      </c>
      <c r="AD343" s="25" t="s">
        <v>89</v>
      </c>
      <c r="AE343" s="25">
        <v>4</v>
      </c>
      <c r="AF343" s="25" t="s">
        <v>90</v>
      </c>
      <c r="AG343" s="9" t="s">
        <v>1749</v>
      </c>
      <c r="AH343" s="29" t="s">
        <v>1750</v>
      </c>
      <c r="AI343" s="29" t="s">
        <v>1751</v>
      </c>
      <c r="AJ343" t="s">
        <v>91</v>
      </c>
      <c r="AK343" t="s">
        <v>1752</v>
      </c>
      <c r="AL343" t="s">
        <v>63</v>
      </c>
      <c r="AM343" s="50"/>
      <c r="AN343" s="51" t="s">
        <v>1753</v>
      </c>
      <c r="AO343" s="55" t="s">
        <v>1754</v>
      </c>
    </row>
    <row r="344" spans="1:41" ht="79.95" hidden="1" customHeight="1" x14ac:dyDescent="0.3">
      <c r="A344" s="20">
        <v>340</v>
      </c>
      <c r="B344" s="8" t="s">
        <v>1755</v>
      </c>
      <c r="C344" s="26">
        <v>2026</v>
      </c>
      <c r="D344" s="8"/>
      <c r="E344" s="8" t="s">
        <v>1756</v>
      </c>
      <c r="F344" s="20" t="s">
        <v>54</v>
      </c>
      <c r="G344" s="21" t="s">
        <v>53</v>
      </c>
      <c r="H344" s="21" t="s">
        <v>64</v>
      </c>
      <c r="I344" s="21" t="s">
        <v>53</v>
      </c>
      <c r="J344" s="21" t="s">
        <v>53</v>
      </c>
      <c r="K344" s="21" t="s">
        <v>53</v>
      </c>
      <c r="L344" s="22" t="str">
        <f t="shared" si="25"/>
        <v>EXCLUDE</v>
      </c>
      <c r="M344" s="22" t="str">
        <f t="shared" si="26"/>
        <v>Digital Twin not core / buzzword</v>
      </c>
      <c r="N344" s="23"/>
      <c r="O344" s="23"/>
      <c r="P344" s="24"/>
      <c r="Q344" s="24"/>
      <c r="R344" s="24"/>
      <c r="S344" s="22" t="str">
        <f t="shared" si="27"/>
        <v/>
      </c>
      <c r="T344" s="22" t="str">
        <f t="shared" si="28"/>
        <v/>
      </c>
      <c r="U344" s="25"/>
      <c r="V344" s="25"/>
      <c r="W344" s="25"/>
      <c r="X344" s="25"/>
      <c r="Y344" s="22" t="str">
        <f t="shared" si="29"/>
        <v/>
      </c>
      <c r="Z344" s="25"/>
      <c r="AA344" s="25"/>
      <c r="AB344" s="25"/>
      <c r="AC344" s="25"/>
      <c r="AD344" s="25"/>
      <c r="AE344" s="25"/>
      <c r="AF344" s="25"/>
      <c r="AG344" s="9"/>
      <c r="AH344" s="29"/>
      <c r="AI344" s="29"/>
      <c r="AM344" s="50"/>
      <c r="AN344" s="51" t="s">
        <v>1757</v>
      </c>
      <c r="AO344" s="55" t="s">
        <v>1758</v>
      </c>
    </row>
    <row r="345" spans="1:41" ht="68.400000000000006" hidden="1" customHeight="1" x14ac:dyDescent="0.3">
      <c r="A345" s="20">
        <v>341</v>
      </c>
      <c r="B345" s="8" t="s">
        <v>1759</v>
      </c>
      <c r="C345" s="26">
        <v>2026</v>
      </c>
      <c r="D345" s="8"/>
      <c r="E345" s="8" t="s">
        <v>1760</v>
      </c>
      <c r="F345" s="20" t="s">
        <v>54</v>
      </c>
      <c r="G345" s="21" t="s">
        <v>64</v>
      </c>
      <c r="H345" s="21" t="s">
        <v>53</v>
      </c>
      <c r="I345" s="21" t="s">
        <v>64</v>
      </c>
      <c r="J345" s="21" t="s">
        <v>53</v>
      </c>
      <c r="K345" s="21" t="s">
        <v>53</v>
      </c>
      <c r="L345" s="22" t="str">
        <f t="shared" si="25"/>
        <v>EXCLUDE</v>
      </c>
      <c r="M345" s="22" t="str">
        <f t="shared" si="26"/>
        <v>Wrong domain (non-AECO)</v>
      </c>
      <c r="N345" s="23"/>
      <c r="O345" s="23"/>
      <c r="P345" s="24"/>
      <c r="Q345" s="24"/>
      <c r="R345" s="24"/>
      <c r="S345" s="22" t="str">
        <f t="shared" si="27"/>
        <v/>
      </c>
      <c r="T345" s="22" t="str">
        <f t="shared" si="28"/>
        <v/>
      </c>
      <c r="U345" s="25"/>
      <c r="V345" s="25"/>
      <c r="W345" s="25"/>
      <c r="X345" s="25"/>
      <c r="Y345" s="22" t="str">
        <f t="shared" si="29"/>
        <v/>
      </c>
      <c r="Z345" s="25"/>
      <c r="AA345" s="25"/>
      <c r="AB345" s="25"/>
      <c r="AC345" s="25"/>
      <c r="AD345" s="25"/>
      <c r="AE345" s="25"/>
      <c r="AF345" s="25"/>
      <c r="AG345" s="9"/>
      <c r="AH345" s="29"/>
      <c r="AI345" s="29"/>
      <c r="AM345" s="50"/>
      <c r="AN345" s="51" t="s">
        <v>1761</v>
      </c>
      <c r="AO345" s="55" t="s">
        <v>1762</v>
      </c>
    </row>
    <row r="346" spans="1:41" ht="45.6" hidden="1" customHeight="1" x14ac:dyDescent="0.3">
      <c r="A346" s="20">
        <v>342</v>
      </c>
      <c r="B346" s="8" t="s">
        <v>1763</v>
      </c>
      <c r="C346" s="26">
        <v>2026</v>
      </c>
      <c r="D346" s="8"/>
      <c r="E346" s="8" t="s">
        <v>1764</v>
      </c>
      <c r="F346" s="20" t="s">
        <v>54</v>
      </c>
      <c r="G346" s="21" t="s">
        <v>53</v>
      </c>
      <c r="H346" s="21" t="s">
        <v>64</v>
      </c>
      <c r="I346" s="21" t="s">
        <v>53</v>
      </c>
      <c r="J346" s="21" t="s">
        <v>53</v>
      </c>
      <c r="K346" s="21" t="s">
        <v>53</v>
      </c>
      <c r="L346" s="22" t="str">
        <f t="shared" si="25"/>
        <v>EXCLUDE</v>
      </c>
      <c r="M346" s="22" t="str">
        <f t="shared" si="26"/>
        <v>Digital Twin not core / buzzword</v>
      </c>
      <c r="N346" s="23"/>
      <c r="O346" s="23"/>
      <c r="P346" s="24"/>
      <c r="Q346" s="24"/>
      <c r="R346" s="24"/>
      <c r="S346" s="22" t="str">
        <f t="shared" si="27"/>
        <v/>
      </c>
      <c r="T346" s="22" t="str">
        <f t="shared" si="28"/>
        <v/>
      </c>
      <c r="U346" s="25"/>
      <c r="V346" s="25"/>
      <c r="W346" s="25"/>
      <c r="X346" s="25"/>
      <c r="Y346" s="22" t="str">
        <f t="shared" si="29"/>
        <v/>
      </c>
      <c r="Z346" s="25"/>
      <c r="AA346" s="25"/>
      <c r="AB346" s="25"/>
      <c r="AC346" s="25"/>
      <c r="AD346" s="25"/>
      <c r="AE346" s="25"/>
      <c r="AF346" s="25"/>
      <c r="AG346" s="9"/>
      <c r="AH346" s="29"/>
      <c r="AI346" s="29"/>
      <c r="AM346" s="50"/>
      <c r="AN346" s="51" t="s">
        <v>1765</v>
      </c>
      <c r="AO346" s="55" t="s">
        <v>1766</v>
      </c>
    </row>
    <row r="347" spans="1:41" ht="91.2" hidden="1" customHeight="1" x14ac:dyDescent="0.3">
      <c r="A347" s="20">
        <v>343</v>
      </c>
      <c r="B347" s="8" t="s">
        <v>1767</v>
      </c>
      <c r="C347" s="26">
        <v>2026</v>
      </c>
      <c r="D347" s="8"/>
      <c r="E347" s="8" t="s">
        <v>1768</v>
      </c>
      <c r="F347" s="20" t="s">
        <v>54</v>
      </c>
      <c r="G347" s="21" t="s">
        <v>64</v>
      </c>
      <c r="H347" s="21" t="s">
        <v>53</v>
      </c>
      <c r="I347" s="21" t="s">
        <v>64</v>
      </c>
      <c r="J347" s="21" t="s">
        <v>53</v>
      </c>
      <c r="K347" s="21" t="s">
        <v>53</v>
      </c>
      <c r="L347" s="22" t="str">
        <f t="shared" si="25"/>
        <v>EXCLUDE</v>
      </c>
      <c r="M347" s="22" t="str">
        <f t="shared" si="26"/>
        <v>Wrong domain (non-AECO)</v>
      </c>
      <c r="N347" s="23"/>
      <c r="O347" s="23"/>
      <c r="P347" s="24"/>
      <c r="Q347" s="24"/>
      <c r="R347" s="24"/>
      <c r="S347" s="22" t="str">
        <f t="shared" si="27"/>
        <v/>
      </c>
      <c r="T347" s="22" t="str">
        <f t="shared" si="28"/>
        <v/>
      </c>
      <c r="U347" s="25"/>
      <c r="V347" s="25"/>
      <c r="W347" s="25"/>
      <c r="X347" s="25"/>
      <c r="Y347" s="22" t="str">
        <f t="shared" si="29"/>
        <v/>
      </c>
      <c r="Z347" s="25"/>
      <c r="AA347" s="25"/>
      <c r="AB347" s="25"/>
      <c r="AC347" s="25"/>
      <c r="AD347" s="25"/>
      <c r="AE347" s="25"/>
      <c r="AF347" s="25"/>
      <c r="AG347" s="9"/>
      <c r="AH347" s="29"/>
      <c r="AI347" s="29"/>
      <c r="AM347" s="50"/>
      <c r="AN347" s="51" t="s">
        <v>1769</v>
      </c>
      <c r="AO347" s="55" t="s">
        <v>1770</v>
      </c>
    </row>
    <row r="348" spans="1:41" ht="57" hidden="1" customHeight="1" x14ac:dyDescent="0.3">
      <c r="A348" s="20">
        <v>344</v>
      </c>
      <c r="B348" s="8" t="s">
        <v>1771</v>
      </c>
      <c r="C348" s="26">
        <v>2026</v>
      </c>
      <c r="D348" s="8"/>
      <c r="E348" s="8" t="s">
        <v>1772</v>
      </c>
      <c r="F348" s="20" t="s">
        <v>54</v>
      </c>
      <c r="G348" s="21" t="s">
        <v>53</v>
      </c>
      <c r="H348" s="21" t="s">
        <v>64</v>
      </c>
      <c r="I348" s="21" t="s">
        <v>53</v>
      </c>
      <c r="J348" s="21" t="s">
        <v>53</v>
      </c>
      <c r="K348" s="21" t="s">
        <v>53</v>
      </c>
      <c r="L348" s="22" t="str">
        <f t="shared" si="25"/>
        <v>EXCLUDE</v>
      </c>
      <c r="M348" s="22" t="str">
        <f t="shared" si="26"/>
        <v>Digital Twin not core / buzzword</v>
      </c>
      <c r="N348" s="23"/>
      <c r="O348" s="23"/>
      <c r="P348" s="24"/>
      <c r="Q348" s="24"/>
      <c r="R348" s="24"/>
      <c r="S348" s="22" t="str">
        <f t="shared" si="27"/>
        <v/>
      </c>
      <c r="T348" s="22" t="str">
        <f t="shared" si="28"/>
        <v/>
      </c>
      <c r="U348" s="25"/>
      <c r="V348" s="25"/>
      <c r="W348" s="25"/>
      <c r="X348" s="25"/>
      <c r="Y348" s="22" t="str">
        <f t="shared" si="29"/>
        <v/>
      </c>
      <c r="Z348" s="25"/>
      <c r="AA348" s="25"/>
      <c r="AB348" s="25"/>
      <c r="AC348" s="25"/>
      <c r="AD348" s="25"/>
      <c r="AE348" s="25"/>
      <c r="AF348" s="25"/>
      <c r="AG348" s="9"/>
      <c r="AH348" s="29"/>
      <c r="AI348" s="29"/>
      <c r="AM348" s="50"/>
      <c r="AN348" s="51" t="s">
        <v>1773</v>
      </c>
      <c r="AO348" s="55" t="s">
        <v>1774</v>
      </c>
    </row>
    <row r="349" spans="1:41" ht="68.400000000000006" customHeight="1" x14ac:dyDescent="0.3">
      <c r="A349" s="20">
        <v>345</v>
      </c>
      <c r="B349" s="8" t="s">
        <v>1775</v>
      </c>
      <c r="C349" s="26">
        <v>2025</v>
      </c>
      <c r="D349" s="8"/>
      <c r="E349" s="8" t="s">
        <v>1776</v>
      </c>
      <c r="F349" s="20" t="s">
        <v>54</v>
      </c>
      <c r="G349" s="21" t="s">
        <v>53</v>
      </c>
      <c r="H349" s="21" t="s">
        <v>53</v>
      </c>
      <c r="I349" s="21" t="s">
        <v>53</v>
      </c>
      <c r="J349" s="21" t="s">
        <v>53</v>
      </c>
      <c r="K349" s="21" t="s">
        <v>53</v>
      </c>
      <c r="L349" s="22" t="str">
        <f t="shared" si="25"/>
        <v>INCLUDE</v>
      </c>
      <c r="M349" s="22" t="str">
        <f t="shared" si="26"/>
        <v/>
      </c>
      <c r="N349" s="23" t="s">
        <v>53</v>
      </c>
      <c r="O349" s="23" t="s">
        <v>53</v>
      </c>
      <c r="P349" s="24" t="s">
        <v>53</v>
      </c>
      <c r="Q349" s="24" t="s">
        <v>53</v>
      </c>
      <c r="R349" s="24" t="s">
        <v>53</v>
      </c>
      <c r="S349" s="22" t="str">
        <f t="shared" si="27"/>
        <v>INCLUDE</v>
      </c>
      <c r="T349" s="22" t="str">
        <f t="shared" si="28"/>
        <v/>
      </c>
      <c r="U349" s="25" t="s">
        <v>67</v>
      </c>
      <c r="V349" s="25">
        <v>0</v>
      </c>
      <c r="W349" s="25">
        <v>1</v>
      </c>
      <c r="X349" s="25">
        <v>0</v>
      </c>
      <c r="Y349" s="22" t="str">
        <f t="shared" si="29"/>
        <v>Single</v>
      </c>
      <c r="Z349" s="25" t="s">
        <v>77</v>
      </c>
      <c r="AA349" s="25" t="s">
        <v>57</v>
      </c>
      <c r="AB349" s="25" t="s">
        <v>103</v>
      </c>
      <c r="AC349" s="25" t="s">
        <v>70</v>
      </c>
      <c r="AD349" s="25" t="s">
        <v>89</v>
      </c>
      <c r="AE349" s="25">
        <v>3</v>
      </c>
      <c r="AF349" s="25" t="s">
        <v>61</v>
      </c>
      <c r="AG349" s="9" t="s">
        <v>1777</v>
      </c>
      <c r="AH349" s="29" t="s">
        <v>1778</v>
      </c>
      <c r="AI349" s="29" t="s">
        <v>1779</v>
      </c>
      <c r="AJ349" t="s">
        <v>91</v>
      </c>
      <c r="AK349" t="s">
        <v>1780</v>
      </c>
      <c r="AL349" t="s">
        <v>74</v>
      </c>
      <c r="AM349" s="50"/>
      <c r="AN349" s="51" t="s">
        <v>1781</v>
      </c>
      <c r="AO349" s="55" t="s">
        <v>1782</v>
      </c>
    </row>
    <row r="350" spans="1:41" ht="34.200000000000003" hidden="1" customHeight="1" x14ac:dyDescent="0.3">
      <c r="A350" s="20">
        <v>346</v>
      </c>
      <c r="B350" s="8" t="s">
        <v>1783</v>
      </c>
      <c r="C350" s="26">
        <v>2026</v>
      </c>
      <c r="D350" s="8"/>
      <c r="E350" s="8" t="s">
        <v>1784</v>
      </c>
      <c r="F350" s="20" t="s">
        <v>54</v>
      </c>
      <c r="G350" s="21" t="s">
        <v>53</v>
      </c>
      <c r="H350" s="21" t="s">
        <v>64</v>
      </c>
      <c r="I350" s="21" t="s">
        <v>53</v>
      </c>
      <c r="J350" s="21" t="s">
        <v>53</v>
      </c>
      <c r="K350" s="21" t="s">
        <v>53</v>
      </c>
      <c r="L350" s="22" t="str">
        <f t="shared" si="25"/>
        <v>EXCLUDE</v>
      </c>
      <c r="M350" s="22" t="str">
        <f t="shared" si="26"/>
        <v>Digital Twin not core / buzzword</v>
      </c>
      <c r="N350" s="23"/>
      <c r="O350" s="23"/>
      <c r="P350" s="24"/>
      <c r="Q350" s="24"/>
      <c r="R350" s="24"/>
      <c r="S350" s="22" t="str">
        <f t="shared" si="27"/>
        <v/>
      </c>
      <c r="T350" s="22" t="str">
        <f t="shared" si="28"/>
        <v/>
      </c>
      <c r="U350" s="25"/>
      <c r="V350" s="25"/>
      <c r="W350" s="25"/>
      <c r="X350" s="25"/>
      <c r="Y350" s="22" t="str">
        <f t="shared" si="29"/>
        <v/>
      </c>
      <c r="Z350" s="25"/>
      <c r="AA350" s="25"/>
      <c r="AB350" s="25"/>
      <c r="AC350" s="25"/>
      <c r="AD350" s="25"/>
      <c r="AE350" s="25"/>
      <c r="AF350" s="25"/>
      <c r="AG350" s="9"/>
      <c r="AH350" s="29"/>
      <c r="AI350" s="29"/>
      <c r="AM350" s="50"/>
      <c r="AN350" s="51" t="s">
        <v>1785</v>
      </c>
      <c r="AO350" s="55" t="s">
        <v>1786</v>
      </c>
    </row>
    <row r="351" spans="1:41" ht="114" customHeight="1" x14ac:dyDescent="0.3">
      <c r="A351" s="20">
        <v>347</v>
      </c>
      <c r="B351" s="8" t="s">
        <v>1787</v>
      </c>
      <c r="C351" s="26">
        <v>2026</v>
      </c>
      <c r="D351" s="8"/>
      <c r="E351" s="8" t="s">
        <v>1788</v>
      </c>
      <c r="F351" s="20" t="s">
        <v>54</v>
      </c>
      <c r="G351" s="21" t="s">
        <v>53</v>
      </c>
      <c r="H351" s="21" t="s">
        <v>53</v>
      </c>
      <c r="I351" s="21" t="s">
        <v>53</v>
      </c>
      <c r="J351" s="21" t="s">
        <v>53</v>
      </c>
      <c r="K351" s="21" t="s">
        <v>53</v>
      </c>
      <c r="L351" s="22" t="str">
        <f t="shared" si="25"/>
        <v>INCLUDE</v>
      </c>
      <c r="M351" s="22" t="str">
        <f t="shared" si="26"/>
        <v/>
      </c>
      <c r="N351" s="23" t="s">
        <v>53</v>
      </c>
      <c r="O351" s="23" t="s">
        <v>53</v>
      </c>
      <c r="P351" s="24" t="s">
        <v>53</v>
      </c>
      <c r="Q351" s="24" t="s">
        <v>53</v>
      </c>
      <c r="R351" s="24" t="s">
        <v>53</v>
      </c>
      <c r="S351" s="22" t="str">
        <f t="shared" si="27"/>
        <v>INCLUDE</v>
      </c>
      <c r="T351" s="22" t="str">
        <f t="shared" si="28"/>
        <v/>
      </c>
      <c r="U351" s="25" t="s">
        <v>67</v>
      </c>
      <c r="V351" s="25">
        <v>0</v>
      </c>
      <c r="W351" s="25">
        <v>0</v>
      </c>
      <c r="X351" s="25">
        <v>1</v>
      </c>
      <c r="Y351" s="22" t="str">
        <f t="shared" si="29"/>
        <v>Single</v>
      </c>
      <c r="Z351" s="25" t="s">
        <v>9</v>
      </c>
      <c r="AA351" s="25" t="s">
        <v>78</v>
      </c>
      <c r="AB351" s="25" t="s">
        <v>97</v>
      </c>
      <c r="AC351" s="25" t="s">
        <v>70</v>
      </c>
      <c r="AD351" s="25" t="s">
        <v>89</v>
      </c>
      <c r="AE351" s="25">
        <v>4</v>
      </c>
      <c r="AF351" s="25" t="s">
        <v>96</v>
      </c>
      <c r="AG351" s="9" t="s">
        <v>1789</v>
      </c>
      <c r="AH351" s="29" t="s">
        <v>1790</v>
      </c>
      <c r="AI351" s="29" t="s">
        <v>1791</v>
      </c>
      <c r="AJ351" t="s">
        <v>91</v>
      </c>
      <c r="AK351" t="s">
        <v>1792</v>
      </c>
      <c r="AL351" t="s">
        <v>63</v>
      </c>
      <c r="AM351" s="50"/>
      <c r="AN351" s="51" t="s">
        <v>1793</v>
      </c>
      <c r="AO351" s="55" t="s">
        <v>1794</v>
      </c>
    </row>
    <row r="352" spans="1:41" ht="57" hidden="1" customHeight="1" x14ac:dyDescent="0.3">
      <c r="A352" s="20">
        <v>348</v>
      </c>
      <c r="B352" s="8" t="s">
        <v>1795</v>
      </c>
      <c r="C352" s="26">
        <v>2026</v>
      </c>
      <c r="D352" s="8"/>
      <c r="E352" s="8" t="s">
        <v>1796</v>
      </c>
      <c r="F352" s="20" t="s">
        <v>54</v>
      </c>
      <c r="G352" s="21" t="s">
        <v>53</v>
      </c>
      <c r="H352" s="21" t="s">
        <v>64</v>
      </c>
      <c r="I352" s="21" t="s">
        <v>53</v>
      </c>
      <c r="J352" s="21" t="s">
        <v>53</v>
      </c>
      <c r="K352" s="21" t="s">
        <v>53</v>
      </c>
      <c r="L352" s="22" t="str">
        <f t="shared" si="25"/>
        <v>EXCLUDE</v>
      </c>
      <c r="M352" s="22" t="str">
        <f t="shared" si="26"/>
        <v>Digital Twin not core / buzzword</v>
      </c>
      <c r="N352" s="23"/>
      <c r="O352" s="23"/>
      <c r="P352" s="24"/>
      <c r="Q352" s="24"/>
      <c r="R352" s="24"/>
      <c r="S352" s="22" t="str">
        <f t="shared" si="27"/>
        <v/>
      </c>
      <c r="T352" s="22" t="str">
        <f t="shared" si="28"/>
        <v/>
      </c>
      <c r="U352" s="25"/>
      <c r="V352" s="25"/>
      <c r="W352" s="25"/>
      <c r="X352" s="25"/>
      <c r="Y352" s="22" t="str">
        <f t="shared" si="29"/>
        <v/>
      </c>
      <c r="Z352" s="25"/>
      <c r="AA352" s="25"/>
      <c r="AB352" s="25"/>
      <c r="AC352" s="25"/>
      <c r="AD352" s="25"/>
      <c r="AE352" s="25"/>
      <c r="AF352" s="25"/>
      <c r="AG352" s="9"/>
      <c r="AH352" s="29"/>
      <c r="AI352" s="29"/>
      <c r="AM352" s="50"/>
      <c r="AN352" s="51" t="s">
        <v>1797</v>
      </c>
      <c r="AO352" s="55" t="s">
        <v>1798</v>
      </c>
    </row>
    <row r="353" spans="1:41" ht="100.95" hidden="1" customHeight="1" x14ac:dyDescent="0.3">
      <c r="A353" s="20">
        <v>349</v>
      </c>
      <c r="B353" s="8" t="s">
        <v>1799</v>
      </c>
      <c r="C353" s="26">
        <v>2025</v>
      </c>
      <c r="D353" s="8"/>
      <c r="E353" s="8" t="s">
        <v>1800</v>
      </c>
      <c r="F353" s="20" t="s">
        <v>54</v>
      </c>
      <c r="G353" s="21" t="s">
        <v>53</v>
      </c>
      <c r="H353" s="21" t="s">
        <v>64</v>
      </c>
      <c r="I353" s="21" t="s">
        <v>64</v>
      </c>
      <c r="J353" s="21" t="s">
        <v>53</v>
      </c>
      <c r="K353" s="21" t="s">
        <v>53</v>
      </c>
      <c r="L353" s="22" t="str">
        <f t="shared" si="25"/>
        <v>EXCLUDE</v>
      </c>
      <c r="M353" s="22" t="str">
        <f t="shared" si="26"/>
        <v>Digital Twin not core / buzzword</v>
      </c>
      <c r="N353" s="23"/>
      <c r="O353" s="23"/>
      <c r="P353" s="24"/>
      <c r="Q353" s="24"/>
      <c r="R353" s="24"/>
      <c r="S353" s="22" t="str">
        <f t="shared" si="27"/>
        <v/>
      </c>
      <c r="T353" s="22" t="str">
        <f t="shared" si="28"/>
        <v/>
      </c>
      <c r="U353" s="25"/>
      <c r="V353" s="25"/>
      <c r="W353" s="25"/>
      <c r="X353" s="25"/>
      <c r="Y353" s="22" t="str">
        <f t="shared" si="29"/>
        <v/>
      </c>
      <c r="Z353" s="25"/>
      <c r="AA353" s="25"/>
      <c r="AB353" s="25"/>
      <c r="AC353" s="25"/>
      <c r="AD353" s="25"/>
      <c r="AE353" s="25"/>
      <c r="AF353" s="25"/>
      <c r="AG353" s="9"/>
      <c r="AH353" s="29"/>
      <c r="AI353" s="29"/>
      <c r="AM353" s="50"/>
      <c r="AN353" s="51" t="s">
        <v>1801</v>
      </c>
      <c r="AO353" s="55" t="s">
        <v>1802</v>
      </c>
    </row>
    <row r="354" spans="1:41" ht="68.400000000000006" hidden="1" customHeight="1" x14ac:dyDescent="0.3">
      <c r="A354" s="20">
        <v>350</v>
      </c>
      <c r="B354" s="8" t="s">
        <v>1803</v>
      </c>
      <c r="C354" s="26">
        <v>2026</v>
      </c>
      <c r="D354" s="8"/>
      <c r="E354" s="8" t="s">
        <v>1804</v>
      </c>
      <c r="F354" s="20" t="s">
        <v>54</v>
      </c>
      <c r="G354" s="21" t="s">
        <v>64</v>
      </c>
      <c r="H354" s="21" t="s">
        <v>53</v>
      </c>
      <c r="I354" s="21" t="s">
        <v>64</v>
      </c>
      <c r="J354" s="21" t="s">
        <v>53</v>
      </c>
      <c r="K354" s="21" t="s">
        <v>53</v>
      </c>
      <c r="L354" s="22" t="str">
        <f t="shared" si="25"/>
        <v>EXCLUDE</v>
      </c>
      <c r="M354" s="22" t="str">
        <f t="shared" si="26"/>
        <v>Wrong domain (non-AECO)</v>
      </c>
      <c r="N354" s="23"/>
      <c r="O354" s="23"/>
      <c r="P354" s="24"/>
      <c r="Q354" s="24"/>
      <c r="R354" s="24"/>
      <c r="S354" s="22" t="str">
        <f t="shared" si="27"/>
        <v/>
      </c>
      <c r="T354" s="22" t="str">
        <f t="shared" si="28"/>
        <v/>
      </c>
      <c r="U354" s="25"/>
      <c r="V354" s="25"/>
      <c r="W354" s="25"/>
      <c r="X354" s="25"/>
      <c r="Y354" s="22" t="str">
        <f t="shared" si="29"/>
        <v/>
      </c>
      <c r="Z354" s="25"/>
      <c r="AA354" s="25"/>
      <c r="AB354" s="25"/>
      <c r="AC354" s="25"/>
      <c r="AD354" s="25"/>
      <c r="AE354" s="25"/>
      <c r="AF354" s="25"/>
      <c r="AG354" s="9"/>
      <c r="AH354" s="29"/>
      <c r="AI354" s="29"/>
      <c r="AM354" s="50"/>
      <c r="AN354" s="51" t="s">
        <v>1805</v>
      </c>
      <c r="AO354" s="55" t="s">
        <v>1806</v>
      </c>
    </row>
    <row r="355" spans="1:41" ht="45.6" hidden="1" customHeight="1" x14ac:dyDescent="0.3">
      <c r="A355" s="20">
        <v>351</v>
      </c>
      <c r="B355" s="8" t="s">
        <v>1807</v>
      </c>
      <c r="C355" s="26">
        <v>2026</v>
      </c>
      <c r="D355" s="8"/>
      <c r="E355" s="8" t="s">
        <v>1808</v>
      </c>
      <c r="F355" s="20" t="s">
        <v>54</v>
      </c>
      <c r="G355" s="21" t="s">
        <v>64</v>
      </c>
      <c r="H355" s="21" t="s">
        <v>53</v>
      </c>
      <c r="I355" s="21" t="s">
        <v>64</v>
      </c>
      <c r="J355" s="21" t="s">
        <v>53</v>
      </c>
      <c r="K355" s="21" t="s">
        <v>53</v>
      </c>
      <c r="L355" s="22" t="str">
        <f t="shared" si="25"/>
        <v>EXCLUDE</v>
      </c>
      <c r="M355" s="22" t="str">
        <f t="shared" si="26"/>
        <v>Wrong domain (non-AECO)</v>
      </c>
      <c r="N355" s="23"/>
      <c r="O355" s="23"/>
      <c r="P355" s="24"/>
      <c r="Q355" s="24"/>
      <c r="R355" s="24"/>
      <c r="S355" s="22" t="str">
        <f t="shared" si="27"/>
        <v/>
      </c>
      <c r="T355" s="22" t="str">
        <f t="shared" si="28"/>
        <v/>
      </c>
      <c r="U355" s="25"/>
      <c r="V355" s="25"/>
      <c r="W355" s="25"/>
      <c r="X355" s="25"/>
      <c r="Y355" s="22" t="str">
        <f t="shared" si="29"/>
        <v/>
      </c>
      <c r="Z355" s="25"/>
      <c r="AA355" s="25"/>
      <c r="AB355" s="25"/>
      <c r="AC355" s="25"/>
      <c r="AD355" s="25"/>
      <c r="AE355" s="25"/>
      <c r="AF355" s="25"/>
      <c r="AG355" s="9"/>
      <c r="AH355" s="29"/>
      <c r="AI355" s="29"/>
      <c r="AM355" s="50"/>
      <c r="AN355" s="51" t="s">
        <v>1809</v>
      </c>
      <c r="AO355" s="55" t="s">
        <v>1810</v>
      </c>
    </row>
    <row r="356" spans="1:41" ht="79.95" hidden="1" customHeight="1" x14ac:dyDescent="0.3">
      <c r="A356" s="20">
        <v>352</v>
      </c>
      <c r="B356" s="8" t="s">
        <v>1811</v>
      </c>
      <c r="C356" s="26">
        <v>2026</v>
      </c>
      <c r="D356" s="8"/>
      <c r="E356" s="8" t="s">
        <v>1812</v>
      </c>
      <c r="F356" s="20" t="s">
        <v>54</v>
      </c>
      <c r="G356" s="21" t="s">
        <v>53</v>
      </c>
      <c r="H356" s="21" t="s">
        <v>53</v>
      </c>
      <c r="I356" s="21" t="s">
        <v>64</v>
      </c>
      <c r="J356" s="21" t="s">
        <v>53</v>
      </c>
      <c r="K356" s="21" t="s">
        <v>53</v>
      </c>
      <c r="L356" s="22" t="str">
        <f t="shared" si="25"/>
        <v>EXCLUDE</v>
      </c>
      <c r="M356" s="22" t="str">
        <f t="shared" si="26"/>
        <v>No Design for Safety/Quality/PtD</v>
      </c>
      <c r="N356" s="23"/>
      <c r="O356" s="23"/>
      <c r="P356" s="24"/>
      <c r="Q356" s="24"/>
      <c r="R356" s="24"/>
      <c r="S356" s="22" t="str">
        <f t="shared" si="27"/>
        <v/>
      </c>
      <c r="T356" s="22" t="str">
        <f t="shared" si="28"/>
        <v/>
      </c>
      <c r="U356" s="25"/>
      <c r="V356" s="25"/>
      <c r="W356" s="25"/>
      <c r="X356" s="25"/>
      <c r="Y356" s="22" t="str">
        <f t="shared" si="29"/>
        <v/>
      </c>
      <c r="Z356" s="25"/>
      <c r="AA356" s="25"/>
      <c r="AB356" s="25"/>
      <c r="AC356" s="25"/>
      <c r="AD356" s="25"/>
      <c r="AE356" s="25"/>
      <c r="AF356" s="25"/>
      <c r="AG356" s="9"/>
      <c r="AH356" s="29"/>
      <c r="AI356" s="29"/>
      <c r="AM356" s="50"/>
      <c r="AN356" s="51" t="s">
        <v>1813</v>
      </c>
      <c r="AO356" s="55" t="s">
        <v>1814</v>
      </c>
    </row>
    <row r="357" spans="1:41" ht="79.95" customHeight="1" x14ac:dyDescent="0.3">
      <c r="A357" s="20">
        <v>353</v>
      </c>
      <c r="B357" s="8" t="s">
        <v>1815</v>
      </c>
      <c r="C357" s="26">
        <v>2025</v>
      </c>
      <c r="D357" s="8"/>
      <c r="E357" s="8" t="s">
        <v>1816</v>
      </c>
      <c r="F357" s="20" t="s">
        <v>54</v>
      </c>
      <c r="G357" s="21" t="s">
        <v>53</v>
      </c>
      <c r="H357" s="21" t="s">
        <v>53</v>
      </c>
      <c r="I357" s="21" t="s">
        <v>53</v>
      </c>
      <c r="J357" s="21" t="s">
        <v>53</v>
      </c>
      <c r="K357" s="21" t="s">
        <v>53</v>
      </c>
      <c r="L357" s="22" t="str">
        <f t="shared" si="25"/>
        <v>INCLUDE</v>
      </c>
      <c r="M357" s="22" t="str">
        <f t="shared" si="26"/>
        <v/>
      </c>
      <c r="N357" s="23" t="s">
        <v>53</v>
      </c>
      <c r="O357" s="23" t="s">
        <v>53</v>
      </c>
      <c r="P357" s="24" t="s">
        <v>53</v>
      </c>
      <c r="Q357" s="24" t="s">
        <v>53</v>
      </c>
      <c r="R357" s="24" t="s">
        <v>53</v>
      </c>
      <c r="S357" s="22" t="str">
        <f t="shared" si="27"/>
        <v>INCLUDE</v>
      </c>
      <c r="T357" s="22" t="str">
        <f t="shared" si="28"/>
        <v/>
      </c>
      <c r="U357" s="25" t="s">
        <v>76</v>
      </c>
      <c r="V357" s="25">
        <v>0</v>
      </c>
      <c r="W357" s="25">
        <v>1</v>
      </c>
      <c r="X357" s="25">
        <v>0</v>
      </c>
      <c r="Y357" s="22" t="str">
        <f t="shared" si="29"/>
        <v>Single</v>
      </c>
      <c r="Z357" s="25" t="s">
        <v>9</v>
      </c>
      <c r="AA357" s="25" t="s">
        <v>57</v>
      </c>
      <c r="AB357" s="25" t="s">
        <v>101</v>
      </c>
      <c r="AC357" s="25" t="s">
        <v>70</v>
      </c>
      <c r="AD357" s="25" t="s">
        <v>89</v>
      </c>
      <c r="AE357" s="25">
        <v>4</v>
      </c>
      <c r="AF357" s="25" t="s">
        <v>96</v>
      </c>
      <c r="AG357" s="9" t="s">
        <v>1817</v>
      </c>
      <c r="AH357" s="29" t="s">
        <v>1818</v>
      </c>
      <c r="AI357" s="29" t="s">
        <v>1819</v>
      </c>
      <c r="AJ357" t="s">
        <v>91</v>
      </c>
      <c r="AK357" t="s">
        <v>1820</v>
      </c>
      <c r="AL357" t="s">
        <v>63</v>
      </c>
      <c r="AM357" s="50"/>
      <c r="AN357" s="51" t="s">
        <v>1821</v>
      </c>
      <c r="AO357" s="55" t="s">
        <v>1822</v>
      </c>
    </row>
    <row r="358" spans="1:41" ht="102.6" hidden="1" customHeight="1" x14ac:dyDescent="0.3">
      <c r="A358" s="20">
        <v>354</v>
      </c>
      <c r="B358" s="8" t="s">
        <v>1823</v>
      </c>
      <c r="C358" s="26">
        <v>2025</v>
      </c>
      <c r="D358" s="8"/>
      <c r="E358" s="8" t="s">
        <v>1824</v>
      </c>
      <c r="F358" s="20" t="s">
        <v>54</v>
      </c>
      <c r="G358" s="21" t="s">
        <v>53</v>
      </c>
      <c r="H358" s="21" t="s">
        <v>64</v>
      </c>
      <c r="I358" s="21" t="s">
        <v>53</v>
      </c>
      <c r="J358" s="21" t="s">
        <v>53</v>
      </c>
      <c r="K358" s="21" t="s">
        <v>53</v>
      </c>
      <c r="L358" s="22" t="str">
        <f t="shared" si="25"/>
        <v>EXCLUDE</v>
      </c>
      <c r="M358" s="22" t="str">
        <f t="shared" si="26"/>
        <v>Digital Twin not core / buzzword</v>
      </c>
      <c r="N358" s="23"/>
      <c r="O358" s="23"/>
      <c r="P358" s="24"/>
      <c r="Q358" s="24"/>
      <c r="R358" s="24"/>
      <c r="S358" s="22" t="str">
        <f t="shared" si="27"/>
        <v/>
      </c>
      <c r="T358" s="22" t="str">
        <f t="shared" si="28"/>
        <v/>
      </c>
      <c r="U358" s="25"/>
      <c r="V358" s="25"/>
      <c r="W358" s="25"/>
      <c r="X358" s="25"/>
      <c r="Y358" s="22" t="str">
        <f t="shared" si="29"/>
        <v/>
      </c>
      <c r="Z358" s="25"/>
      <c r="AA358" s="25"/>
      <c r="AB358" s="25"/>
      <c r="AC358" s="25"/>
      <c r="AD358" s="25"/>
      <c r="AE358" s="25"/>
      <c r="AF358" s="25"/>
      <c r="AG358" s="9"/>
      <c r="AH358" s="29"/>
      <c r="AI358" s="29"/>
      <c r="AM358" s="50"/>
      <c r="AN358" s="51" t="s">
        <v>1825</v>
      </c>
      <c r="AO358" s="55" t="s">
        <v>1826</v>
      </c>
    </row>
    <row r="359" spans="1:41" ht="68.400000000000006" hidden="1" customHeight="1" x14ac:dyDescent="0.3">
      <c r="A359" s="20">
        <v>355</v>
      </c>
      <c r="B359" s="8" t="s">
        <v>1827</v>
      </c>
      <c r="C359" s="26">
        <v>2026</v>
      </c>
      <c r="D359" s="8"/>
      <c r="E359" s="8" t="s">
        <v>1828</v>
      </c>
      <c r="F359" s="20" t="s">
        <v>54</v>
      </c>
      <c r="G359" s="21" t="s">
        <v>64</v>
      </c>
      <c r="H359" s="21" t="s">
        <v>53</v>
      </c>
      <c r="I359" s="21" t="s">
        <v>64</v>
      </c>
      <c r="J359" s="21" t="s">
        <v>53</v>
      </c>
      <c r="K359" s="21" t="s">
        <v>53</v>
      </c>
      <c r="L359" s="22" t="str">
        <f t="shared" si="25"/>
        <v>EXCLUDE</v>
      </c>
      <c r="M359" s="22" t="str">
        <f t="shared" si="26"/>
        <v>Wrong domain (non-AECO)</v>
      </c>
      <c r="N359" s="23"/>
      <c r="O359" s="23"/>
      <c r="P359" s="24"/>
      <c r="Q359" s="24"/>
      <c r="R359" s="24"/>
      <c r="S359" s="22" t="str">
        <f t="shared" si="27"/>
        <v/>
      </c>
      <c r="T359" s="22" t="str">
        <f t="shared" si="28"/>
        <v/>
      </c>
      <c r="U359" s="25"/>
      <c r="V359" s="25"/>
      <c r="W359" s="25"/>
      <c r="X359" s="25"/>
      <c r="Y359" s="22" t="str">
        <f t="shared" si="29"/>
        <v/>
      </c>
      <c r="Z359" s="25"/>
      <c r="AA359" s="25"/>
      <c r="AB359" s="25"/>
      <c r="AC359" s="25"/>
      <c r="AD359" s="25"/>
      <c r="AE359" s="25"/>
      <c r="AF359" s="25"/>
      <c r="AG359" s="9"/>
      <c r="AH359" s="29"/>
      <c r="AI359" s="29"/>
      <c r="AM359" s="50"/>
      <c r="AN359" s="51" t="s">
        <v>1829</v>
      </c>
      <c r="AO359" s="55" t="s">
        <v>1830</v>
      </c>
    </row>
    <row r="360" spans="1:41" ht="45.6" customHeight="1" x14ac:dyDescent="0.3">
      <c r="A360" s="20">
        <v>356</v>
      </c>
      <c r="B360" s="8" t="s">
        <v>1831</v>
      </c>
      <c r="C360" s="26">
        <v>2025</v>
      </c>
      <c r="D360" s="8"/>
      <c r="E360" s="8" t="s">
        <v>1832</v>
      </c>
      <c r="F360" s="20" t="s">
        <v>54</v>
      </c>
      <c r="G360" s="21" t="s">
        <v>53</v>
      </c>
      <c r="H360" s="21" t="s">
        <v>53</v>
      </c>
      <c r="I360" s="21" t="s">
        <v>53</v>
      </c>
      <c r="J360" s="21" t="s">
        <v>53</v>
      </c>
      <c r="K360" s="21" t="s">
        <v>53</v>
      </c>
      <c r="L360" s="22" t="str">
        <f t="shared" si="25"/>
        <v>INCLUDE</v>
      </c>
      <c r="M360" s="22" t="str">
        <f t="shared" si="26"/>
        <v/>
      </c>
      <c r="N360" s="23" t="s">
        <v>53</v>
      </c>
      <c r="O360" s="23" t="s">
        <v>53</v>
      </c>
      <c r="P360" s="24" t="s">
        <v>53</v>
      </c>
      <c r="Q360" s="24" t="s">
        <v>53</v>
      </c>
      <c r="R360" s="24" t="s">
        <v>53</v>
      </c>
      <c r="S360" s="22" t="str">
        <f t="shared" si="27"/>
        <v>INCLUDE</v>
      </c>
      <c r="T360" s="22" t="str">
        <f t="shared" si="28"/>
        <v/>
      </c>
      <c r="U360" s="25" t="s">
        <v>56</v>
      </c>
      <c r="V360" s="25">
        <v>0</v>
      </c>
      <c r="W360" s="25">
        <v>0</v>
      </c>
      <c r="X360" s="25">
        <v>1</v>
      </c>
      <c r="Y360" s="22" t="str">
        <f t="shared" si="29"/>
        <v>Single</v>
      </c>
      <c r="Z360" s="25" t="s">
        <v>9</v>
      </c>
      <c r="AA360" s="25" t="s">
        <v>57</v>
      </c>
      <c r="AB360" s="25" t="s">
        <v>101</v>
      </c>
      <c r="AC360" s="25" t="s">
        <v>70</v>
      </c>
      <c r="AD360" s="25" t="s">
        <v>89</v>
      </c>
      <c r="AE360" s="25">
        <v>3</v>
      </c>
      <c r="AF360" s="25" t="s">
        <v>72</v>
      </c>
      <c r="AG360" s="9" t="s">
        <v>1833</v>
      </c>
      <c r="AH360" s="29" t="s">
        <v>1834</v>
      </c>
      <c r="AI360" s="29" t="s">
        <v>1835</v>
      </c>
      <c r="AJ360" t="s">
        <v>91</v>
      </c>
      <c r="AK360" t="s">
        <v>1836</v>
      </c>
      <c r="AL360" t="s">
        <v>74</v>
      </c>
      <c r="AM360" s="50"/>
      <c r="AN360" s="51" t="s">
        <v>1837</v>
      </c>
      <c r="AO360" s="55" t="s">
        <v>1838</v>
      </c>
    </row>
    <row r="361" spans="1:41" ht="86.4" hidden="1" customHeight="1" x14ac:dyDescent="0.3">
      <c r="A361" s="20">
        <v>357</v>
      </c>
      <c r="B361" s="8" t="s">
        <v>1839</v>
      </c>
      <c r="C361" s="26">
        <v>2025</v>
      </c>
      <c r="D361" s="8"/>
      <c r="E361" s="8" t="s">
        <v>1840</v>
      </c>
      <c r="F361" s="20" t="s">
        <v>54</v>
      </c>
      <c r="G361" s="21" t="s">
        <v>64</v>
      </c>
      <c r="H361" s="21" t="s">
        <v>53</v>
      </c>
      <c r="I361" s="21" t="s">
        <v>53</v>
      </c>
      <c r="J361" s="21" t="s">
        <v>53</v>
      </c>
      <c r="K361" s="21" t="s">
        <v>53</v>
      </c>
      <c r="L361" s="22" t="str">
        <f t="shared" si="25"/>
        <v>EXCLUDE</v>
      </c>
      <c r="M361" s="22" t="str">
        <f t="shared" si="26"/>
        <v>Wrong domain (non-AECO)</v>
      </c>
      <c r="N361" s="23"/>
      <c r="O361" s="23"/>
      <c r="P361" s="24"/>
      <c r="Q361" s="24"/>
      <c r="R361" s="24"/>
      <c r="S361" s="22" t="str">
        <f t="shared" si="27"/>
        <v/>
      </c>
      <c r="T361" s="22" t="str">
        <f t="shared" si="28"/>
        <v/>
      </c>
      <c r="U361" s="25"/>
      <c r="V361" s="25"/>
      <c r="W361" s="25"/>
      <c r="X361" s="25"/>
      <c r="Y361" s="22" t="str">
        <f t="shared" si="29"/>
        <v/>
      </c>
      <c r="Z361" s="25"/>
      <c r="AA361" s="25"/>
      <c r="AB361" s="25"/>
      <c r="AC361" s="25"/>
      <c r="AD361" s="25"/>
      <c r="AE361" s="25"/>
      <c r="AF361" s="25"/>
      <c r="AG361" s="9"/>
      <c r="AH361" s="29"/>
      <c r="AI361" s="29"/>
      <c r="AM361" s="50"/>
      <c r="AN361" s="51" t="s">
        <v>1841</v>
      </c>
      <c r="AO361" s="55" t="s">
        <v>1842</v>
      </c>
    </row>
    <row r="362" spans="1:41" ht="302.39999999999998" hidden="1" customHeight="1" x14ac:dyDescent="0.3">
      <c r="A362" s="20">
        <v>358</v>
      </c>
      <c r="B362" s="8" t="s">
        <v>1843</v>
      </c>
      <c r="C362" s="26">
        <v>2026</v>
      </c>
      <c r="D362" s="8"/>
      <c r="E362" s="8" t="s">
        <v>1844</v>
      </c>
      <c r="F362" s="20" t="s">
        <v>54</v>
      </c>
      <c r="G362" s="21" t="s">
        <v>53</v>
      </c>
      <c r="H362" s="21" t="s">
        <v>64</v>
      </c>
      <c r="I362" s="21" t="s">
        <v>64</v>
      </c>
      <c r="J362" s="21" t="s">
        <v>53</v>
      </c>
      <c r="K362" s="21" t="s">
        <v>53</v>
      </c>
      <c r="L362" s="22" t="str">
        <f t="shared" si="25"/>
        <v>EXCLUDE</v>
      </c>
      <c r="M362" s="22" t="str">
        <f t="shared" si="26"/>
        <v>Digital Twin not core / buzzword</v>
      </c>
      <c r="N362" s="23"/>
      <c r="O362" s="23"/>
      <c r="P362" s="24"/>
      <c r="Q362" s="24"/>
      <c r="R362" s="24"/>
      <c r="S362" s="22" t="str">
        <f t="shared" si="27"/>
        <v/>
      </c>
      <c r="T362" s="22" t="str">
        <f t="shared" si="28"/>
        <v/>
      </c>
      <c r="U362" s="25"/>
      <c r="V362" s="25"/>
      <c r="W362" s="25"/>
      <c r="X362" s="25"/>
      <c r="Y362" s="22" t="str">
        <f t="shared" si="29"/>
        <v/>
      </c>
      <c r="Z362" s="25"/>
      <c r="AA362" s="25"/>
      <c r="AB362" s="25"/>
      <c r="AC362" s="25"/>
      <c r="AD362" s="25"/>
      <c r="AE362" s="25"/>
      <c r="AF362" s="25"/>
      <c r="AG362" s="9"/>
      <c r="AH362" s="29"/>
      <c r="AI362" s="29"/>
      <c r="AM362" s="50"/>
      <c r="AN362" s="51" t="s">
        <v>1845</v>
      </c>
      <c r="AO362" s="55" t="s">
        <v>1846</v>
      </c>
    </row>
    <row r="363" spans="1:41" ht="79.95" hidden="1" customHeight="1" x14ac:dyDescent="0.3">
      <c r="A363" s="20">
        <v>359</v>
      </c>
      <c r="B363" s="8" t="s">
        <v>1847</v>
      </c>
      <c r="C363" s="26">
        <v>2026</v>
      </c>
      <c r="D363" s="8"/>
      <c r="E363" s="8" t="s">
        <v>1848</v>
      </c>
      <c r="F363" s="20" t="s">
        <v>54</v>
      </c>
      <c r="G363" s="21" t="s">
        <v>53</v>
      </c>
      <c r="H363" s="21" t="s">
        <v>64</v>
      </c>
      <c r="I363" s="21" t="s">
        <v>53</v>
      </c>
      <c r="J363" s="21" t="s">
        <v>53</v>
      </c>
      <c r="K363" s="21" t="s">
        <v>53</v>
      </c>
      <c r="L363" s="22" t="str">
        <f t="shared" si="25"/>
        <v>EXCLUDE</v>
      </c>
      <c r="M363" s="22" t="str">
        <f t="shared" si="26"/>
        <v>Digital Twin not core / buzzword</v>
      </c>
      <c r="N363" s="23"/>
      <c r="O363" s="23"/>
      <c r="P363" s="24"/>
      <c r="Q363" s="24"/>
      <c r="R363" s="24"/>
      <c r="S363" s="22" t="str">
        <f t="shared" si="27"/>
        <v/>
      </c>
      <c r="T363" s="22" t="str">
        <f t="shared" si="28"/>
        <v/>
      </c>
      <c r="U363" s="25"/>
      <c r="V363" s="25"/>
      <c r="W363" s="25"/>
      <c r="X363" s="25"/>
      <c r="Y363" s="22" t="str">
        <f t="shared" si="29"/>
        <v/>
      </c>
      <c r="Z363" s="25"/>
      <c r="AA363" s="25"/>
      <c r="AB363" s="25"/>
      <c r="AC363" s="25"/>
      <c r="AD363" s="25"/>
      <c r="AE363" s="25"/>
      <c r="AF363" s="25"/>
      <c r="AG363" s="9"/>
      <c r="AH363" s="29"/>
      <c r="AI363" s="29"/>
      <c r="AM363" s="50"/>
      <c r="AN363" s="51" t="s">
        <v>1849</v>
      </c>
      <c r="AO363" s="55" t="s">
        <v>1850</v>
      </c>
    </row>
    <row r="364" spans="1:41" ht="79.95" hidden="1" customHeight="1" x14ac:dyDescent="0.3">
      <c r="A364" s="20">
        <v>360</v>
      </c>
      <c r="B364" s="8" t="s">
        <v>1851</v>
      </c>
      <c r="C364" s="26">
        <v>2025</v>
      </c>
      <c r="D364" s="8"/>
      <c r="E364" s="8" t="s">
        <v>1852</v>
      </c>
      <c r="F364" s="20" t="s">
        <v>54</v>
      </c>
      <c r="G364" s="21" t="s">
        <v>64</v>
      </c>
      <c r="H364" s="21" t="s">
        <v>53</v>
      </c>
      <c r="I364" s="21" t="s">
        <v>64</v>
      </c>
      <c r="J364" s="21" t="s">
        <v>53</v>
      </c>
      <c r="K364" s="21" t="s">
        <v>53</v>
      </c>
      <c r="L364" s="22" t="str">
        <f t="shared" si="25"/>
        <v>EXCLUDE</v>
      </c>
      <c r="M364" s="22" t="str">
        <f t="shared" si="26"/>
        <v>Wrong domain (non-AECO)</v>
      </c>
      <c r="N364" s="23"/>
      <c r="O364" s="23"/>
      <c r="P364" s="24"/>
      <c r="Q364" s="24"/>
      <c r="R364" s="24"/>
      <c r="S364" s="22" t="str">
        <f t="shared" si="27"/>
        <v/>
      </c>
      <c r="T364" s="22" t="str">
        <f t="shared" si="28"/>
        <v/>
      </c>
      <c r="U364" s="25"/>
      <c r="V364" s="25"/>
      <c r="W364" s="25"/>
      <c r="X364" s="25"/>
      <c r="Y364" s="22" t="str">
        <f t="shared" si="29"/>
        <v/>
      </c>
      <c r="Z364" s="25"/>
      <c r="AA364" s="25"/>
      <c r="AB364" s="25"/>
      <c r="AC364" s="25"/>
      <c r="AD364" s="25"/>
      <c r="AE364" s="25"/>
      <c r="AF364" s="25"/>
      <c r="AG364" s="9"/>
      <c r="AH364" s="29"/>
      <c r="AI364" s="29"/>
      <c r="AM364" s="50"/>
      <c r="AN364" s="51" t="s">
        <v>1853</v>
      </c>
      <c r="AO364" s="55" t="s">
        <v>1854</v>
      </c>
    </row>
    <row r="365" spans="1:41" ht="114" hidden="1" customHeight="1" x14ac:dyDescent="0.3">
      <c r="A365" s="20">
        <v>361</v>
      </c>
      <c r="B365" s="8" t="s">
        <v>1855</v>
      </c>
      <c r="C365" s="26">
        <v>2026</v>
      </c>
      <c r="D365" s="8"/>
      <c r="E365" s="8" t="s">
        <v>1856</v>
      </c>
      <c r="F365" s="20" t="s">
        <v>54</v>
      </c>
      <c r="G365" s="21" t="s">
        <v>53</v>
      </c>
      <c r="H365" s="21" t="s">
        <v>64</v>
      </c>
      <c r="I365" s="21" t="s">
        <v>53</v>
      </c>
      <c r="J365" s="21" t="s">
        <v>53</v>
      </c>
      <c r="K365" s="21" t="s">
        <v>53</v>
      </c>
      <c r="L365" s="22" t="str">
        <f t="shared" si="25"/>
        <v>EXCLUDE</v>
      </c>
      <c r="M365" s="22" t="str">
        <f t="shared" si="26"/>
        <v>Digital Twin not core / buzzword</v>
      </c>
      <c r="N365" s="23"/>
      <c r="O365" s="23"/>
      <c r="P365" s="24"/>
      <c r="Q365" s="24"/>
      <c r="R365" s="24"/>
      <c r="S365" s="22" t="str">
        <f t="shared" si="27"/>
        <v/>
      </c>
      <c r="T365" s="22" t="str">
        <f t="shared" si="28"/>
        <v/>
      </c>
      <c r="U365" s="25"/>
      <c r="V365" s="25"/>
      <c r="W365" s="25"/>
      <c r="X365" s="25"/>
      <c r="Y365" s="22" t="str">
        <f t="shared" si="29"/>
        <v/>
      </c>
      <c r="Z365" s="25"/>
      <c r="AA365" s="25"/>
      <c r="AB365" s="25"/>
      <c r="AC365" s="25"/>
      <c r="AD365" s="25"/>
      <c r="AE365" s="25"/>
      <c r="AF365" s="25"/>
      <c r="AG365" s="9"/>
      <c r="AH365" s="29"/>
      <c r="AI365" s="29"/>
      <c r="AM365" s="50"/>
      <c r="AN365" s="51" t="s">
        <v>1857</v>
      </c>
      <c r="AO365" s="55" t="s">
        <v>1858</v>
      </c>
    </row>
    <row r="366" spans="1:41" ht="45.6" hidden="1" customHeight="1" x14ac:dyDescent="0.3">
      <c r="A366" s="20">
        <v>362</v>
      </c>
      <c r="B366" s="8" t="s">
        <v>1859</v>
      </c>
      <c r="C366" s="26">
        <v>2026</v>
      </c>
      <c r="D366" s="8"/>
      <c r="E366" s="8" t="s">
        <v>1860</v>
      </c>
      <c r="F366" s="20" t="s">
        <v>54</v>
      </c>
      <c r="G366" s="21" t="s">
        <v>64</v>
      </c>
      <c r="H366" s="21" t="s">
        <v>53</v>
      </c>
      <c r="I366" s="21" t="s">
        <v>53</v>
      </c>
      <c r="J366" s="21" t="s">
        <v>53</v>
      </c>
      <c r="K366" s="21" t="s">
        <v>53</v>
      </c>
      <c r="L366" s="22" t="str">
        <f t="shared" si="25"/>
        <v>EXCLUDE</v>
      </c>
      <c r="M366" s="22" t="str">
        <f t="shared" si="26"/>
        <v>Wrong domain (non-AECO)</v>
      </c>
      <c r="N366" s="23"/>
      <c r="O366" s="23"/>
      <c r="P366" s="24"/>
      <c r="Q366" s="24"/>
      <c r="R366" s="24"/>
      <c r="S366" s="22" t="str">
        <f t="shared" si="27"/>
        <v/>
      </c>
      <c r="T366" s="22" t="str">
        <f t="shared" si="28"/>
        <v/>
      </c>
      <c r="U366" s="25"/>
      <c r="V366" s="25"/>
      <c r="W366" s="25"/>
      <c r="X366" s="25"/>
      <c r="Y366" s="22" t="str">
        <f t="shared" si="29"/>
        <v/>
      </c>
      <c r="Z366" s="25"/>
      <c r="AA366" s="25"/>
      <c r="AB366" s="25"/>
      <c r="AC366" s="25"/>
      <c r="AD366" s="25"/>
      <c r="AE366" s="25"/>
      <c r="AF366" s="25"/>
      <c r="AG366" s="9"/>
      <c r="AH366" s="29"/>
      <c r="AI366" s="29"/>
      <c r="AM366" s="50"/>
      <c r="AN366" s="51" t="s">
        <v>1861</v>
      </c>
      <c r="AO366" s="55" t="s">
        <v>1862</v>
      </c>
    </row>
    <row r="367" spans="1:41" ht="68.400000000000006" customHeight="1" x14ac:dyDescent="0.3">
      <c r="A367" s="20">
        <v>363</v>
      </c>
      <c r="B367" s="8" t="s">
        <v>1863</v>
      </c>
      <c r="C367" s="26">
        <v>2025</v>
      </c>
      <c r="D367" s="8"/>
      <c r="E367" s="8" t="s">
        <v>1864</v>
      </c>
      <c r="F367" s="20" t="s">
        <v>54</v>
      </c>
      <c r="G367" s="21" t="s">
        <v>53</v>
      </c>
      <c r="H367" s="21" t="s">
        <v>53</v>
      </c>
      <c r="I367" s="21" t="s">
        <v>53</v>
      </c>
      <c r="J367" s="21" t="s">
        <v>53</v>
      </c>
      <c r="K367" s="21" t="s">
        <v>53</v>
      </c>
      <c r="L367" s="22" t="str">
        <f t="shared" si="25"/>
        <v>INCLUDE</v>
      </c>
      <c r="M367" s="22" t="str">
        <f t="shared" si="26"/>
        <v/>
      </c>
      <c r="N367" s="23" t="s">
        <v>53</v>
      </c>
      <c r="O367" s="23" t="s">
        <v>53</v>
      </c>
      <c r="P367" s="24" t="s">
        <v>53</v>
      </c>
      <c r="Q367" s="24" t="s">
        <v>53</v>
      </c>
      <c r="R367" s="24" t="s">
        <v>53</v>
      </c>
      <c r="S367" s="22" t="str">
        <f t="shared" si="27"/>
        <v>INCLUDE</v>
      </c>
      <c r="T367" s="22" t="str">
        <f t="shared" si="28"/>
        <v/>
      </c>
      <c r="U367" s="25" t="s">
        <v>67</v>
      </c>
      <c r="V367" s="25">
        <v>0</v>
      </c>
      <c r="W367" s="25">
        <v>1</v>
      </c>
      <c r="X367" s="25">
        <v>0</v>
      </c>
      <c r="Y367" s="22" t="str">
        <f t="shared" si="29"/>
        <v>Single</v>
      </c>
      <c r="Z367" s="25" t="s">
        <v>9</v>
      </c>
      <c r="AA367" s="25" t="s">
        <v>57</v>
      </c>
      <c r="AB367" s="25" t="s">
        <v>104</v>
      </c>
      <c r="AC367" s="25" t="s">
        <v>70</v>
      </c>
      <c r="AD367" s="25" t="s">
        <v>89</v>
      </c>
      <c r="AE367" s="25">
        <v>4</v>
      </c>
      <c r="AF367" s="25" t="s">
        <v>96</v>
      </c>
      <c r="AG367" s="9" t="s">
        <v>1865</v>
      </c>
      <c r="AH367" s="29" t="s">
        <v>1866</v>
      </c>
      <c r="AI367" s="29" t="s">
        <v>1867</v>
      </c>
      <c r="AJ367" t="s">
        <v>91</v>
      </c>
      <c r="AK367" t="s">
        <v>1868</v>
      </c>
      <c r="AL367" t="s">
        <v>63</v>
      </c>
      <c r="AM367" s="50"/>
      <c r="AN367" s="51" t="s">
        <v>1869</v>
      </c>
      <c r="AO367" s="55" t="s">
        <v>1870</v>
      </c>
    </row>
    <row r="368" spans="1:41" ht="57" hidden="1" customHeight="1" x14ac:dyDescent="0.3">
      <c r="A368" s="20">
        <v>364</v>
      </c>
      <c r="B368" s="8" t="s">
        <v>1871</v>
      </c>
      <c r="C368" s="26">
        <v>2025</v>
      </c>
      <c r="D368" s="8"/>
      <c r="E368" s="8" t="s">
        <v>1872</v>
      </c>
      <c r="F368" s="20" t="s">
        <v>54</v>
      </c>
      <c r="G368" s="21" t="s">
        <v>64</v>
      </c>
      <c r="H368" s="21" t="s">
        <v>53</v>
      </c>
      <c r="I368" s="21" t="s">
        <v>53</v>
      </c>
      <c r="J368" s="21" t="s">
        <v>53</v>
      </c>
      <c r="K368" s="21" t="s">
        <v>53</v>
      </c>
      <c r="L368" s="22" t="str">
        <f t="shared" si="25"/>
        <v>EXCLUDE</v>
      </c>
      <c r="M368" s="22" t="str">
        <f t="shared" si="26"/>
        <v>Wrong domain (non-AECO)</v>
      </c>
      <c r="N368" s="23"/>
      <c r="O368" s="23"/>
      <c r="P368" s="24"/>
      <c r="Q368" s="24"/>
      <c r="R368" s="24"/>
      <c r="S368" s="22" t="str">
        <f t="shared" si="27"/>
        <v/>
      </c>
      <c r="T368" s="22" t="str">
        <f t="shared" si="28"/>
        <v/>
      </c>
      <c r="U368" s="25"/>
      <c r="V368" s="25"/>
      <c r="W368" s="25"/>
      <c r="X368" s="25"/>
      <c r="Y368" s="22" t="str">
        <f t="shared" si="29"/>
        <v/>
      </c>
      <c r="Z368" s="25"/>
      <c r="AA368" s="25"/>
      <c r="AB368" s="25"/>
      <c r="AC368" s="25"/>
      <c r="AD368" s="25"/>
      <c r="AE368" s="25"/>
      <c r="AF368" s="25"/>
      <c r="AG368" s="9"/>
      <c r="AH368" s="29"/>
      <c r="AI368" s="29"/>
      <c r="AM368" s="50"/>
      <c r="AN368" s="51" t="s">
        <v>1873</v>
      </c>
      <c r="AO368" s="55" t="s">
        <v>1874</v>
      </c>
    </row>
    <row r="369" spans="1:41" ht="45.6" hidden="1" customHeight="1" x14ac:dyDescent="0.3">
      <c r="A369" s="20">
        <v>365</v>
      </c>
      <c r="B369" s="8" t="s">
        <v>1875</v>
      </c>
      <c r="C369" s="26">
        <v>2026</v>
      </c>
      <c r="D369" s="8"/>
      <c r="E369" s="8" t="s">
        <v>1876</v>
      </c>
      <c r="F369" s="20" t="s">
        <v>54</v>
      </c>
      <c r="G369" s="21" t="s">
        <v>64</v>
      </c>
      <c r="H369" s="21" t="s">
        <v>53</v>
      </c>
      <c r="I369" s="21" t="s">
        <v>53</v>
      </c>
      <c r="J369" s="21" t="s">
        <v>53</v>
      </c>
      <c r="K369" s="21" t="s">
        <v>53</v>
      </c>
      <c r="L369" s="22" t="str">
        <f t="shared" si="25"/>
        <v>EXCLUDE</v>
      </c>
      <c r="M369" s="22" t="str">
        <f t="shared" si="26"/>
        <v>Wrong domain (non-AECO)</v>
      </c>
      <c r="N369" s="23"/>
      <c r="O369" s="23"/>
      <c r="P369" s="24"/>
      <c r="Q369" s="24"/>
      <c r="R369" s="24"/>
      <c r="S369" s="22" t="str">
        <f t="shared" si="27"/>
        <v/>
      </c>
      <c r="T369" s="22" t="str">
        <f t="shared" si="28"/>
        <v/>
      </c>
      <c r="U369" s="25"/>
      <c r="V369" s="25"/>
      <c r="W369" s="25"/>
      <c r="X369" s="25"/>
      <c r="Y369" s="22" t="str">
        <f t="shared" si="29"/>
        <v/>
      </c>
      <c r="Z369" s="25"/>
      <c r="AA369" s="25"/>
      <c r="AB369" s="25"/>
      <c r="AC369" s="25"/>
      <c r="AD369" s="25"/>
      <c r="AE369" s="25"/>
      <c r="AF369" s="25"/>
      <c r="AG369" s="9"/>
      <c r="AH369" s="29"/>
      <c r="AI369" s="29"/>
      <c r="AM369" s="50"/>
      <c r="AN369" s="51" t="s">
        <v>1877</v>
      </c>
      <c r="AO369" s="55" t="s">
        <v>1878</v>
      </c>
    </row>
    <row r="370" spans="1:41" ht="115.2" hidden="1" customHeight="1" x14ac:dyDescent="0.3">
      <c r="A370" s="20">
        <v>366</v>
      </c>
      <c r="B370" s="8" t="s">
        <v>1879</v>
      </c>
      <c r="C370" s="26">
        <v>2026</v>
      </c>
      <c r="D370" s="8"/>
      <c r="E370" s="8" t="s">
        <v>1880</v>
      </c>
      <c r="F370" s="20" t="s">
        <v>54</v>
      </c>
      <c r="G370" s="21" t="s">
        <v>64</v>
      </c>
      <c r="H370" s="21" t="s">
        <v>53</v>
      </c>
      <c r="I370" s="21" t="s">
        <v>53</v>
      </c>
      <c r="J370" s="21" t="s">
        <v>53</v>
      </c>
      <c r="K370" s="21" t="s">
        <v>53</v>
      </c>
      <c r="L370" s="22" t="str">
        <f t="shared" si="25"/>
        <v>EXCLUDE</v>
      </c>
      <c r="M370" s="22" t="str">
        <f t="shared" si="26"/>
        <v>Wrong domain (non-AECO)</v>
      </c>
      <c r="N370" s="23"/>
      <c r="O370" s="23"/>
      <c r="P370" s="24"/>
      <c r="Q370" s="24"/>
      <c r="R370" s="24"/>
      <c r="S370" s="22" t="str">
        <f t="shared" si="27"/>
        <v/>
      </c>
      <c r="T370" s="22" t="str">
        <f t="shared" si="28"/>
        <v/>
      </c>
      <c r="U370" s="25"/>
      <c r="V370" s="25"/>
      <c r="W370" s="25"/>
      <c r="X370" s="25"/>
      <c r="Y370" s="22" t="str">
        <f t="shared" si="29"/>
        <v/>
      </c>
      <c r="Z370" s="25"/>
      <c r="AA370" s="25"/>
      <c r="AB370" s="25"/>
      <c r="AC370" s="25"/>
      <c r="AD370" s="25"/>
      <c r="AE370" s="25"/>
      <c r="AF370" s="25"/>
      <c r="AG370" s="9"/>
      <c r="AH370" s="29"/>
      <c r="AI370" s="29"/>
      <c r="AM370" s="50"/>
      <c r="AN370" s="51" t="s">
        <v>1881</v>
      </c>
      <c r="AO370" s="55" t="s">
        <v>1882</v>
      </c>
    </row>
    <row r="371" spans="1:41" ht="57" hidden="1" customHeight="1" x14ac:dyDescent="0.3">
      <c r="A371" s="20">
        <v>367</v>
      </c>
      <c r="B371" s="8" t="s">
        <v>1883</v>
      </c>
      <c r="C371" s="26">
        <v>2026</v>
      </c>
      <c r="D371" s="8"/>
      <c r="E371" s="8" t="s">
        <v>1884</v>
      </c>
      <c r="F371" s="20" t="s">
        <v>54</v>
      </c>
      <c r="G371" s="21" t="s">
        <v>53</v>
      </c>
      <c r="H371" s="21" t="s">
        <v>64</v>
      </c>
      <c r="I371" s="21" t="s">
        <v>53</v>
      </c>
      <c r="J371" s="21" t="s">
        <v>53</v>
      </c>
      <c r="K371" s="21" t="s">
        <v>53</v>
      </c>
      <c r="L371" s="22" t="str">
        <f t="shared" si="25"/>
        <v>EXCLUDE</v>
      </c>
      <c r="M371" s="22" t="str">
        <f t="shared" si="26"/>
        <v>Digital Twin not core / buzzword</v>
      </c>
      <c r="N371" s="23"/>
      <c r="O371" s="23"/>
      <c r="P371" s="24"/>
      <c r="Q371" s="24"/>
      <c r="R371" s="24"/>
      <c r="S371" s="22" t="str">
        <f t="shared" si="27"/>
        <v/>
      </c>
      <c r="T371" s="22" t="str">
        <f t="shared" si="28"/>
        <v/>
      </c>
      <c r="U371" s="25"/>
      <c r="V371" s="25"/>
      <c r="W371" s="25"/>
      <c r="X371" s="25"/>
      <c r="Y371" s="22" t="str">
        <f t="shared" si="29"/>
        <v/>
      </c>
      <c r="Z371" s="25"/>
      <c r="AA371" s="25"/>
      <c r="AB371" s="25"/>
      <c r="AC371" s="25"/>
      <c r="AD371" s="25"/>
      <c r="AE371" s="25"/>
      <c r="AF371" s="25"/>
      <c r="AG371" s="9"/>
      <c r="AH371" s="29"/>
      <c r="AI371" s="29"/>
      <c r="AM371" s="50"/>
      <c r="AN371" s="51" t="s">
        <v>1885</v>
      </c>
      <c r="AO371" s="55" t="s">
        <v>1886</v>
      </c>
    </row>
    <row r="372" spans="1:41" ht="86.4" hidden="1" customHeight="1" x14ac:dyDescent="0.3">
      <c r="A372" s="20">
        <v>368</v>
      </c>
      <c r="B372" s="8" t="s">
        <v>1887</v>
      </c>
      <c r="C372" s="26">
        <v>2026</v>
      </c>
      <c r="D372" s="8"/>
      <c r="E372" s="8" t="s">
        <v>1888</v>
      </c>
      <c r="F372" s="20" t="s">
        <v>54</v>
      </c>
      <c r="G372" s="21" t="s">
        <v>64</v>
      </c>
      <c r="H372" s="21" t="s">
        <v>53</v>
      </c>
      <c r="I372" s="21" t="s">
        <v>53</v>
      </c>
      <c r="J372" s="21" t="s">
        <v>53</v>
      </c>
      <c r="K372" s="21" t="s">
        <v>53</v>
      </c>
      <c r="L372" s="22" t="str">
        <f t="shared" si="25"/>
        <v>EXCLUDE</v>
      </c>
      <c r="M372" s="22" t="str">
        <f t="shared" si="26"/>
        <v>Wrong domain (non-AECO)</v>
      </c>
      <c r="N372" s="23"/>
      <c r="O372" s="23"/>
      <c r="P372" s="24"/>
      <c r="Q372" s="24"/>
      <c r="R372" s="24"/>
      <c r="S372" s="22" t="str">
        <f t="shared" si="27"/>
        <v/>
      </c>
      <c r="T372" s="22" t="str">
        <f t="shared" si="28"/>
        <v/>
      </c>
      <c r="U372" s="25"/>
      <c r="V372" s="25"/>
      <c r="W372" s="25"/>
      <c r="X372" s="25"/>
      <c r="Y372" s="22" t="str">
        <f t="shared" si="29"/>
        <v/>
      </c>
      <c r="Z372" s="25"/>
      <c r="AA372" s="25"/>
      <c r="AB372" s="25"/>
      <c r="AC372" s="25"/>
      <c r="AD372" s="25"/>
      <c r="AE372" s="25"/>
      <c r="AF372" s="25"/>
      <c r="AG372" s="9"/>
      <c r="AH372" s="29"/>
      <c r="AI372" s="29"/>
      <c r="AM372" s="50"/>
      <c r="AN372" s="51" t="s">
        <v>1889</v>
      </c>
      <c r="AO372" s="55" t="s">
        <v>1890</v>
      </c>
    </row>
    <row r="373" spans="1:41" ht="57" hidden="1" customHeight="1" x14ac:dyDescent="0.3">
      <c r="A373" s="20">
        <v>369</v>
      </c>
      <c r="B373" s="8" t="s">
        <v>1891</v>
      </c>
      <c r="C373" s="26">
        <v>2026</v>
      </c>
      <c r="D373" s="8"/>
      <c r="E373" s="8" t="s">
        <v>1892</v>
      </c>
      <c r="F373" s="20" t="s">
        <v>54</v>
      </c>
      <c r="G373" s="21" t="s">
        <v>64</v>
      </c>
      <c r="H373" s="21" t="s">
        <v>53</v>
      </c>
      <c r="I373" s="21" t="s">
        <v>53</v>
      </c>
      <c r="J373" s="21" t="s">
        <v>53</v>
      </c>
      <c r="K373" s="21" t="s">
        <v>53</v>
      </c>
      <c r="L373" s="22" t="str">
        <f t="shared" si="25"/>
        <v>EXCLUDE</v>
      </c>
      <c r="M373" s="22" t="str">
        <f t="shared" si="26"/>
        <v>Wrong domain (non-AECO)</v>
      </c>
      <c r="N373" s="23"/>
      <c r="O373" s="23"/>
      <c r="P373" s="24"/>
      <c r="Q373" s="24"/>
      <c r="R373" s="24"/>
      <c r="S373" s="22" t="str">
        <f t="shared" si="27"/>
        <v/>
      </c>
      <c r="T373" s="22" t="str">
        <f t="shared" si="28"/>
        <v/>
      </c>
      <c r="U373" s="25"/>
      <c r="V373" s="25"/>
      <c r="W373" s="25"/>
      <c r="X373" s="25"/>
      <c r="Y373" s="22" t="str">
        <f t="shared" si="29"/>
        <v/>
      </c>
      <c r="Z373" s="25"/>
      <c r="AA373" s="25"/>
      <c r="AB373" s="25"/>
      <c r="AC373" s="25"/>
      <c r="AD373" s="25"/>
      <c r="AE373" s="25"/>
      <c r="AF373" s="25"/>
      <c r="AG373" s="9"/>
      <c r="AH373" s="29"/>
      <c r="AI373" s="29"/>
      <c r="AM373" s="50"/>
      <c r="AN373" s="51" t="s">
        <v>1893</v>
      </c>
      <c r="AO373" s="55" t="s">
        <v>1894</v>
      </c>
    </row>
    <row r="374" spans="1:41" ht="45.6" hidden="1" customHeight="1" x14ac:dyDescent="0.3">
      <c r="A374" s="20">
        <v>370</v>
      </c>
      <c r="B374" s="8" t="s">
        <v>1895</v>
      </c>
      <c r="C374" s="26">
        <v>2026</v>
      </c>
      <c r="D374" s="8"/>
      <c r="E374" s="8" t="s">
        <v>1896</v>
      </c>
      <c r="F374" s="20" t="s">
        <v>54</v>
      </c>
      <c r="G374" s="21" t="s">
        <v>64</v>
      </c>
      <c r="H374" s="21" t="s">
        <v>53</v>
      </c>
      <c r="I374" s="21" t="s">
        <v>53</v>
      </c>
      <c r="J374" s="21" t="s">
        <v>53</v>
      </c>
      <c r="K374" s="21" t="s">
        <v>64</v>
      </c>
      <c r="L374" s="22" t="str">
        <f t="shared" si="25"/>
        <v>EXCLUDE</v>
      </c>
      <c r="M374" s="22" t="str">
        <f t="shared" si="26"/>
        <v>Wrong domain (non-AECO)</v>
      </c>
      <c r="N374" s="23"/>
      <c r="O374" s="23"/>
      <c r="P374" s="24"/>
      <c r="Q374" s="24"/>
      <c r="R374" s="24"/>
      <c r="S374" s="22" t="str">
        <f t="shared" si="27"/>
        <v/>
      </c>
      <c r="T374" s="22" t="str">
        <f t="shared" si="28"/>
        <v/>
      </c>
      <c r="U374" s="25"/>
      <c r="V374" s="25"/>
      <c r="W374" s="25"/>
      <c r="X374" s="25"/>
      <c r="Y374" s="22" t="str">
        <f t="shared" si="29"/>
        <v/>
      </c>
      <c r="Z374" s="25"/>
      <c r="AA374" s="25"/>
      <c r="AB374" s="25"/>
      <c r="AC374" s="25"/>
      <c r="AD374" s="25"/>
      <c r="AE374" s="25"/>
      <c r="AF374" s="25"/>
      <c r="AG374" s="9"/>
      <c r="AH374" s="29"/>
      <c r="AI374" s="29"/>
      <c r="AM374" s="50"/>
      <c r="AN374" s="51" t="s">
        <v>1897</v>
      </c>
      <c r="AO374" s="55" t="s">
        <v>1898</v>
      </c>
    </row>
    <row r="375" spans="1:41" ht="57" hidden="1" customHeight="1" x14ac:dyDescent="0.3">
      <c r="A375" s="20">
        <v>371</v>
      </c>
      <c r="B375" s="8" t="s">
        <v>1899</v>
      </c>
      <c r="C375" s="26">
        <v>2025</v>
      </c>
      <c r="D375" s="8"/>
      <c r="E375" s="8" t="s">
        <v>1900</v>
      </c>
      <c r="F375" s="20" t="s">
        <v>54</v>
      </c>
      <c r="G375" s="21" t="s">
        <v>64</v>
      </c>
      <c r="H375" s="21" t="s">
        <v>53</v>
      </c>
      <c r="I375" s="21" t="s">
        <v>53</v>
      </c>
      <c r="J375" s="21" t="s">
        <v>53</v>
      </c>
      <c r="K375" s="21" t="s">
        <v>53</v>
      </c>
      <c r="L375" s="22" t="str">
        <f t="shared" si="25"/>
        <v>EXCLUDE</v>
      </c>
      <c r="M375" s="22" t="str">
        <f t="shared" si="26"/>
        <v>Wrong domain (non-AECO)</v>
      </c>
      <c r="N375" s="23"/>
      <c r="O375" s="23"/>
      <c r="P375" s="24"/>
      <c r="Q375" s="24"/>
      <c r="R375" s="24"/>
      <c r="S375" s="22" t="str">
        <f t="shared" si="27"/>
        <v/>
      </c>
      <c r="T375" s="22" t="str">
        <f t="shared" si="28"/>
        <v/>
      </c>
      <c r="U375" s="25"/>
      <c r="V375" s="25"/>
      <c r="W375" s="25"/>
      <c r="X375" s="25"/>
      <c r="Y375" s="22" t="str">
        <f t="shared" si="29"/>
        <v/>
      </c>
      <c r="Z375" s="25"/>
      <c r="AA375" s="25"/>
      <c r="AB375" s="25"/>
      <c r="AC375" s="25"/>
      <c r="AD375" s="25"/>
      <c r="AE375" s="25"/>
      <c r="AF375" s="25"/>
      <c r="AG375" s="9"/>
      <c r="AH375" s="29"/>
      <c r="AI375" s="29"/>
      <c r="AM375" s="50"/>
      <c r="AN375" s="51" t="s">
        <v>1901</v>
      </c>
      <c r="AO375" s="55" t="s">
        <v>1902</v>
      </c>
    </row>
    <row r="376" spans="1:41" ht="79.95" hidden="1" customHeight="1" x14ac:dyDescent="0.3">
      <c r="A376" s="20">
        <v>372</v>
      </c>
      <c r="B376" s="8" t="s">
        <v>1634</v>
      </c>
      <c r="C376" s="26">
        <v>2025</v>
      </c>
      <c r="D376" s="8"/>
      <c r="E376" s="8" t="s">
        <v>1903</v>
      </c>
      <c r="F376" s="20" t="s">
        <v>54</v>
      </c>
      <c r="G376" s="21" t="s">
        <v>64</v>
      </c>
      <c r="H376" s="21" t="s">
        <v>53</v>
      </c>
      <c r="I376" s="21" t="s">
        <v>53</v>
      </c>
      <c r="J376" s="21" t="s">
        <v>53</v>
      </c>
      <c r="K376" s="21" t="s">
        <v>53</v>
      </c>
      <c r="L376" s="22" t="str">
        <f t="shared" si="25"/>
        <v>EXCLUDE</v>
      </c>
      <c r="M376" s="22" t="str">
        <f t="shared" si="26"/>
        <v>Wrong domain (non-AECO)</v>
      </c>
      <c r="N376" s="23"/>
      <c r="O376" s="23"/>
      <c r="P376" s="24"/>
      <c r="Q376" s="24"/>
      <c r="R376" s="24"/>
      <c r="S376" s="22" t="str">
        <f t="shared" si="27"/>
        <v/>
      </c>
      <c r="T376" s="22" t="str">
        <f t="shared" si="28"/>
        <v/>
      </c>
      <c r="U376" s="25"/>
      <c r="V376" s="25"/>
      <c r="W376" s="25"/>
      <c r="X376" s="25"/>
      <c r="Y376" s="22" t="str">
        <f t="shared" si="29"/>
        <v/>
      </c>
      <c r="Z376" s="25"/>
      <c r="AA376" s="25"/>
      <c r="AB376" s="25"/>
      <c r="AC376" s="25"/>
      <c r="AD376" s="25"/>
      <c r="AE376" s="25"/>
      <c r="AF376" s="25"/>
      <c r="AG376" s="9"/>
      <c r="AH376" s="29"/>
      <c r="AI376" s="29"/>
      <c r="AM376" s="50"/>
      <c r="AN376" s="51" t="s">
        <v>1904</v>
      </c>
      <c r="AO376" s="55" t="s">
        <v>1905</v>
      </c>
    </row>
    <row r="377" spans="1:41" ht="68.400000000000006" customHeight="1" x14ac:dyDescent="0.3">
      <c r="A377" s="20">
        <v>373</v>
      </c>
      <c r="B377" s="8" t="s">
        <v>476</v>
      </c>
      <c r="C377" s="26">
        <v>2026</v>
      </c>
      <c r="D377" s="8"/>
      <c r="E377" s="8" t="s">
        <v>1906</v>
      </c>
      <c r="F377" s="20" t="s">
        <v>54</v>
      </c>
      <c r="G377" s="21" t="s">
        <v>53</v>
      </c>
      <c r="H377" s="21" t="s">
        <v>53</v>
      </c>
      <c r="I377" s="21" t="s">
        <v>53</v>
      </c>
      <c r="J377" s="21" t="s">
        <v>53</v>
      </c>
      <c r="K377" s="21" t="s">
        <v>53</v>
      </c>
      <c r="L377" s="22" t="str">
        <f t="shared" si="25"/>
        <v>INCLUDE</v>
      </c>
      <c r="M377" s="22" t="str">
        <f t="shared" si="26"/>
        <v/>
      </c>
      <c r="N377" s="23" t="s">
        <v>53</v>
      </c>
      <c r="O377" s="23" t="s">
        <v>53</v>
      </c>
      <c r="P377" s="24" t="s">
        <v>53</v>
      </c>
      <c r="Q377" s="24" t="s">
        <v>53</v>
      </c>
      <c r="R377" s="24" t="s">
        <v>53</v>
      </c>
      <c r="S377" s="22" t="str">
        <f t="shared" si="27"/>
        <v>INCLUDE</v>
      </c>
      <c r="T377" s="22" t="str">
        <f t="shared" si="28"/>
        <v/>
      </c>
      <c r="U377" s="25" t="s">
        <v>67</v>
      </c>
      <c r="V377" s="25">
        <v>0</v>
      </c>
      <c r="W377" s="25">
        <v>0</v>
      </c>
      <c r="X377" s="25">
        <v>1</v>
      </c>
      <c r="Y377" s="22" t="str">
        <f t="shared" si="29"/>
        <v>Single</v>
      </c>
      <c r="Z377" s="25" t="s">
        <v>9</v>
      </c>
      <c r="AA377" s="25" t="s">
        <v>57</v>
      </c>
      <c r="AB377" s="25" t="s">
        <v>88</v>
      </c>
      <c r="AC377" s="25" t="s">
        <v>59</v>
      </c>
      <c r="AD377" s="25" t="s">
        <v>89</v>
      </c>
      <c r="AE377" s="25">
        <v>4</v>
      </c>
      <c r="AF377" s="25" t="s">
        <v>81</v>
      </c>
      <c r="AG377" s="9" t="s">
        <v>1907</v>
      </c>
      <c r="AH377" s="29" t="s">
        <v>1908</v>
      </c>
      <c r="AI377" s="29" t="s">
        <v>1909</v>
      </c>
      <c r="AJ377" t="s">
        <v>91</v>
      </c>
      <c r="AK377" t="s">
        <v>1910</v>
      </c>
      <c r="AL377" t="s">
        <v>63</v>
      </c>
      <c r="AM377" s="50"/>
      <c r="AN377" s="51" t="s">
        <v>1911</v>
      </c>
      <c r="AO377" s="55" t="s">
        <v>1912</v>
      </c>
    </row>
    <row r="378" spans="1:41" ht="79.95" hidden="1" customHeight="1" x14ac:dyDescent="0.3">
      <c r="A378" s="20">
        <v>374</v>
      </c>
      <c r="B378" s="8" t="s">
        <v>1913</v>
      </c>
      <c r="C378" s="26">
        <v>2026</v>
      </c>
      <c r="D378" s="8"/>
      <c r="E378" s="8" t="s">
        <v>1914</v>
      </c>
      <c r="F378" s="20" t="s">
        <v>54</v>
      </c>
      <c r="G378" s="21" t="s">
        <v>53</v>
      </c>
      <c r="H378" s="21" t="s">
        <v>64</v>
      </c>
      <c r="I378" s="21" t="s">
        <v>53</v>
      </c>
      <c r="J378" s="21" t="s">
        <v>53</v>
      </c>
      <c r="K378" s="21" t="s">
        <v>53</v>
      </c>
      <c r="L378" s="22" t="str">
        <f t="shared" si="25"/>
        <v>EXCLUDE</v>
      </c>
      <c r="M378" s="22" t="str">
        <f t="shared" si="26"/>
        <v>Digital Twin not core / buzzword</v>
      </c>
      <c r="N378" s="23"/>
      <c r="O378" s="23"/>
      <c r="P378" s="24"/>
      <c r="Q378" s="24"/>
      <c r="R378" s="24"/>
      <c r="S378" s="22" t="str">
        <f t="shared" si="27"/>
        <v/>
      </c>
      <c r="T378" s="22" t="str">
        <f t="shared" si="28"/>
        <v/>
      </c>
      <c r="U378" s="25"/>
      <c r="V378" s="25"/>
      <c r="W378" s="25"/>
      <c r="X378" s="25"/>
      <c r="Y378" s="22" t="str">
        <f t="shared" si="29"/>
        <v/>
      </c>
      <c r="Z378" s="25"/>
      <c r="AA378" s="25"/>
      <c r="AB378" s="25"/>
      <c r="AC378" s="25"/>
      <c r="AD378" s="25"/>
      <c r="AE378" s="25"/>
      <c r="AF378" s="25"/>
      <c r="AG378" s="9"/>
      <c r="AH378" s="29"/>
      <c r="AI378" s="29"/>
      <c r="AM378" s="50"/>
      <c r="AN378" s="51" t="s">
        <v>1915</v>
      </c>
      <c r="AO378" s="55" t="s">
        <v>1916</v>
      </c>
    </row>
    <row r="379" spans="1:41" ht="57" hidden="1" customHeight="1" x14ac:dyDescent="0.3">
      <c r="A379" s="20">
        <v>375</v>
      </c>
      <c r="B379" s="8" t="s">
        <v>1917</v>
      </c>
      <c r="C379" s="26">
        <v>2025</v>
      </c>
      <c r="D379" s="8"/>
      <c r="E379" s="8" t="s">
        <v>1918</v>
      </c>
      <c r="F379" s="20" t="s">
        <v>54</v>
      </c>
      <c r="G379" s="21" t="s">
        <v>64</v>
      </c>
      <c r="H379" s="21" t="s">
        <v>53</v>
      </c>
      <c r="I379" s="21" t="s">
        <v>53</v>
      </c>
      <c r="J379" s="21" t="s">
        <v>53</v>
      </c>
      <c r="K379" s="21" t="s">
        <v>53</v>
      </c>
      <c r="L379" s="22" t="str">
        <f t="shared" si="25"/>
        <v>EXCLUDE</v>
      </c>
      <c r="M379" s="22" t="str">
        <f t="shared" si="26"/>
        <v>Wrong domain (non-AECO)</v>
      </c>
      <c r="N379" s="23"/>
      <c r="O379" s="23"/>
      <c r="P379" s="24"/>
      <c r="Q379" s="24"/>
      <c r="R379" s="24"/>
      <c r="S379" s="22" t="str">
        <f t="shared" si="27"/>
        <v/>
      </c>
      <c r="T379" s="22" t="str">
        <f t="shared" si="28"/>
        <v/>
      </c>
      <c r="U379" s="25"/>
      <c r="V379" s="25"/>
      <c r="W379" s="25"/>
      <c r="X379" s="25"/>
      <c r="Y379" s="22" t="str">
        <f t="shared" si="29"/>
        <v/>
      </c>
      <c r="Z379" s="25"/>
      <c r="AA379" s="25"/>
      <c r="AB379" s="25"/>
      <c r="AC379" s="25"/>
      <c r="AD379" s="25"/>
      <c r="AE379" s="25"/>
      <c r="AF379" s="25"/>
      <c r="AG379" s="9"/>
      <c r="AH379" s="29"/>
      <c r="AI379" s="29"/>
      <c r="AM379" s="50"/>
      <c r="AN379" s="51" t="s">
        <v>1919</v>
      </c>
      <c r="AO379" s="55" t="s">
        <v>1920</v>
      </c>
    </row>
    <row r="380" spans="1:41" ht="129.6" hidden="1" customHeight="1" x14ac:dyDescent="0.3">
      <c r="A380" s="20">
        <v>376</v>
      </c>
      <c r="B380" s="8" t="s">
        <v>1921</v>
      </c>
      <c r="C380" s="26">
        <v>2026</v>
      </c>
      <c r="D380" s="8"/>
      <c r="E380" s="8" t="s">
        <v>1922</v>
      </c>
      <c r="F380" s="20" t="s">
        <v>54</v>
      </c>
      <c r="G380" s="21" t="s">
        <v>64</v>
      </c>
      <c r="H380" s="21" t="s">
        <v>53</v>
      </c>
      <c r="I380" s="21" t="s">
        <v>53</v>
      </c>
      <c r="J380" s="21" t="s">
        <v>53</v>
      </c>
      <c r="K380" s="21" t="s">
        <v>53</v>
      </c>
      <c r="L380" s="22" t="str">
        <f t="shared" si="25"/>
        <v>EXCLUDE</v>
      </c>
      <c r="M380" s="22" t="str">
        <f t="shared" si="26"/>
        <v>Wrong domain (non-AECO)</v>
      </c>
      <c r="N380" s="23"/>
      <c r="O380" s="23"/>
      <c r="P380" s="24"/>
      <c r="Q380" s="24"/>
      <c r="R380" s="24"/>
      <c r="S380" s="22" t="str">
        <f t="shared" si="27"/>
        <v/>
      </c>
      <c r="T380" s="22" t="str">
        <f t="shared" si="28"/>
        <v/>
      </c>
      <c r="U380" s="25"/>
      <c r="V380" s="25"/>
      <c r="W380" s="25"/>
      <c r="X380" s="25"/>
      <c r="Y380" s="22" t="str">
        <f t="shared" si="29"/>
        <v/>
      </c>
      <c r="Z380" s="25"/>
      <c r="AA380" s="25"/>
      <c r="AB380" s="25"/>
      <c r="AC380" s="25"/>
      <c r="AD380" s="25"/>
      <c r="AE380" s="25"/>
      <c r="AF380" s="25"/>
      <c r="AG380" s="9"/>
      <c r="AH380" s="29"/>
      <c r="AI380" s="29"/>
      <c r="AM380" s="50"/>
      <c r="AN380" s="51" t="s">
        <v>1923</v>
      </c>
      <c r="AO380" s="55" t="s">
        <v>1924</v>
      </c>
    </row>
    <row r="381" spans="1:41" ht="129.6" hidden="1" customHeight="1" x14ac:dyDescent="0.3">
      <c r="A381" s="20">
        <v>377</v>
      </c>
      <c r="B381" s="8" t="s">
        <v>448</v>
      </c>
      <c r="C381" s="26">
        <v>2026</v>
      </c>
      <c r="D381" s="8"/>
      <c r="E381" s="8" t="s">
        <v>1925</v>
      </c>
      <c r="F381" s="20" t="s">
        <v>54</v>
      </c>
      <c r="G381" s="21" t="s">
        <v>64</v>
      </c>
      <c r="H381" s="21" t="s">
        <v>53</v>
      </c>
      <c r="I381" s="21" t="s">
        <v>53</v>
      </c>
      <c r="J381" s="21" t="s">
        <v>53</v>
      </c>
      <c r="K381" s="21" t="s">
        <v>64</v>
      </c>
      <c r="L381" s="22" t="str">
        <f t="shared" si="25"/>
        <v>EXCLUDE</v>
      </c>
      <c r="M381" s="22" t="str">
        <f t="shared" si="26"/>
        <v>Wrong domain (non-AECO)</v>
      </c>
      <c r="N381" s="23"/>
      <c r="O381" s="23"/>
      <c r="P381" s="24"/>
      <c r="Q381" s="24"/>
      <c r="R381" s="24"/>
      <c r="S381" s="22" t="str">
        <f t="shared" si="27"/>
        <v/>
      </c>
      <c r="T381" s="22" t="str">
        <f t="shared" si="28"/>
        <v/>
      </c>
      <c r="U381" s="25"/>
      <c r="V381" s="25"/>
      <c r="W381" s="25"/>
      <c r="X381" s="25"/>
      <c r="Y381" s="22" t="str">
        <f t="shared" si="29"/>
        <v/>
      </c>
      <c r="Z381" s="25"/>
      <c r="AA381" s="25"/>
      <c r="AB381" s="25"/>
      <c r="AC381" s="25"/>
      <c r="AD381" s="25"/>
      <c r="AE381" s="25"/>
      <c r="AF381" s="25"/>
      <c r="AG381" s="9"/>
      <c r="AH381" s="29"/>
      <c r="AI381" s="29"/>
      <c r="AM381" s="50"/>
      <c r="AN381" s="51" t="s">
        <v>1926</v>
      </c>
      <c r="AO381" s="55" t="s">
        <v>1927</v>
      </c>
    </row>
    <row r="382" spans="1:41" ht="34.200000000000003" customHeight="1" x14ac:dyDescent="0.3">
      <c r="A382" s="20">
        <v>378</v>
      </c>
      <c r="B382" s="8" t="s">
        <v>993</v>
      </c>
      <c r="C382" s="26">
        <v>2026</v>
      </c>
      <c r="D382" s="8"/>
      <c r="E382" s="8" t="s">
        <v>1928</v>
      </c>
      <c r="F382" s="20" t="s">
        <v>54</v>
      </c>
      <c r="G382" s="21" t="s">
        <v>53</v>
      </c>
      <c r="H382" s="21" t="s">
        <v>53</v>
      </c>
      <c r="I382" s="21" t="s">
        <v>53</v>
      </c>
      <c r="J382" s="21" t="s">
        <v>53</v>
      </c>
      <c r="K382" s="21" t="s">
        <v>53</v>
      </c>
      <c r="L382" s="22" t="str">
        <f t="shared" si="25"/>
        <v>INCLUDE</v>
      </c>
      <c r="M382" s="22" t="str">
        <f t="shared" si="26"/>
        <v/>
      </c>
      <c r="N382" s="23" t="s">
        <v>53</v>
      </c>
      <c r="O382" s="23" t="s">
        <v>53</v>
      </c>
      <c r="P382" s="24" t="s">
        <v>53</v>
      </c>
      <c r="Q382" s="24" t="s">
        <v>53</v>
      </c>
      <c r="R382" s="24" t="s">
        <v>53</v>
      </c>
      <c r="S382" s="22" t="str">
        <f t="shared" si="27"/>
        <v>INCLUDE</v>
      </c>
      <c r="T382" s="22" t="str">
        <f t="shared" si="28"/>
        <v/>
      </c>
      <c r="U382" s="25" t="s">
        <v>67</v>
      </c>
      <c r="V382" s="25">
        <v>0</v>
      </c>
      <c r="W382" s="25">
        <v>0</v>
      </c>
      <c r="X382" s="25">
        <v>1</v>
      </c>
      <c r="Y382" s="22" t="str">
        <f t="shared" si="29"/>
        <v>Single</v>
      </c>
      <c r="Z382" s="25" t="s">
        <v>9</v>
      </c>
      <c r="AA382" s="25" t="s">
        <v>78</v>
      </c>
      <c r="AB382" s="25" t="s">
        <v>100</v>
      </c>
      <c r="AC382" s="25" t="s">
        <v>70</v>
      </c>
      <c r="AD382" s="25" t="s">
        <v>89</v>
      </c>
      <c r="AE382" s="25">
        <v>4</v>
      </c>
      <c r="AF382" s="25" t="s">
        <v>96</v>
      </c>
      <c r="AG382" s="9" t="s">
        <v>1929</v>
      </c>
      <c r="AH382" s="29" t="s">
        <v>1930</v>
      </c>
      <c r="AI382" s="29" t="s">
        <v>1931</v>
      </c>
      <c r="AJ382" t="s">
        <v>91</v>
      </c>
      <c r="AK382" t="s">
        <v>1932</v>
      </c>
      <c r="AL382" t="s">
        <v>63</v>
      </c>
      <c r="AM382" s="50"/>
      <c r="AN382" s="51" t="s">
        <v>1933</v>
      </c>
      <c r="AO382" s="55" t="s">
        <v>1934</v>
      </c>
    </row>
    <row r="383" spans="1:41" ht="100.95" customHeight="1" x14ac:dyDescent="0.3">
      <c r="A383" s="20">
        <v>379</v>
      </c>
      <c r="B383" s="8" t="s">
        <v>1935</v>
      </c>
      <c r="C383" s="26">
        <v>2025</v>
      </c>
      <c r="D383" s="8"/>
      <c r="E383" s="8" t="s">
        <v>1936</v>
      </c>
      <c r="F383" s="20" t="s">
        <v>54</v>
      </c>
      <c r="G383" s="21" t="s">
        <v>53</v>
      </c>
      <c r="H383" s="21" t="s">
        <v>53</v>
      </c>
      <c r="I383" s="21" t="s">
        <v>53</v>
      </c>
      <c r="J383" s="21" t="s">
        <v>53</v>
      </c>
      <c r="K383" s="21" t="s">
        <v>53</v>
      </c>
      <c r="L383" s="22" t="str">
        <f t="shared" si="25"/>
        <v>INCLUDE</v>
      </c>
      <c r="M383" s="22" t="str">
        <f t="shared" si="26"/>
        <v/>
      </c>
      <c r="N383" s="23" t="s">
        <v>53</v>
      </c>
      <c r="O383" s="23" t="s">
        <v>53</v>
      </c>
      <c r="P383" s="24" t="s">
        <v>53</v>
      </c>
      <c r="Q383" s="24" t="s">
        <v>53</v>
      </c>
      <c r="R383" s="24" t="s">
        <v>53</v>
      </c>
      <c r="S383" s="22" t="str">
        <f t="shared" si="27"/>
        <v>INCLUDE</v>
      </c>
      <c r="T383" s="22" t="str">
        <f t="shared" si="28"/>
        <v/>
      </c>
      <c r="U383" s="25" t="s">
        <v>56</v>
      </c>
      <c r="V383" s="25">
        <v>0</v>
      </c>
      <c r="W383" s="25">
        <v>1</v>
      </c>
      <c r="X383" s="25">
        <v>0</v>
      </c>
      <c r="Y383" s="22" t="str">
        <f t="shared" si="29"/>
        <v>Single</v>
      </c>
      <c r="Z383" s="25" t="s">
        <v>9</v>
      </c>
      <c r="AA383" s="25" t="s">
        <v>57</v>
      </c>
      <c r="AB383" s="25" t="s">
        <v>101</v>
      </c>
      <c r="AC383" s="25" t="s">
        <v>70</v>
      </c>
      <c r="AD383" s="25" t="s">
        <v>60</v>
      </c>
      <c r="AE383" s="25">
        <v>3</v>
      </c>
      <c r="AF383" s="25" t="s">
        <v>61</v>
      </c>
      <c r="AG383" s="9" t="s">
        <v>1937</v>
      </c>
      <c r="AH383" s="29" t="s">
        <v>1938</v>
      </c>
      <c r="AI383" s="29" t="s">
        <v>1939</v>
      </c>
      <c r="AJ383" t="s">
        <v>82</v>
      </c>
      <c r="AK383" t="s">
        <v>1940</v>
      </c>
      <c r="AL383" t="s">
        <v>74</v>
      </c>
      <c r="AM383" s="50"/>
      <c r="AN383" s="51" t="s">
        <v>1941</v>
      </c>
      <c r="AO383" s="55" t="s">
        <v>1942</v>
      </c>
    </row>
    <row r="384" spans="1:41" ht="57" hidden="1" customHeight="1" x14ac:dyDescent="0.3">
      <c r="A384" s="20">
        <v>380</v>
      </c>
      <c r="B384" s="8" t="s">
        <v>1943</v>
      </c>
      <c r="C384" s="26">
        <v>2026</v>
      </c>
      <c r="D384" s="8"/>
      <c r="E384" s="8" t="s">
        <v>1944</v>
      </c>
      <c r="F384" s="20" t="s">
        <v>54</v>
      </c>
      <c r="G384" s="21" t="s">
        <v>53</v>
      </c>
      <c r="H384" s="21" t="s">
        <v>64</v>
      </c>
      <c r="I384" s="21" t="s">
        <v>53</v>
      </c>
      <c r="J384" s="21" t="s">
        <v>53</v>
      </c>
      <c r="K384" s="21" t="s">
        <v>53</v>
      </c>
      <c r="L384" s="22" t="str">
        <f t="shared" si="25"/>
        <v>EXCLUDE</v>
      </c>
      <c r="M384" s="22" t="str">
        <f t="shared" si="26"/>
        <v>Digital Twin not core / buzzword</v>
      </c>
      <c r="N384" s="23"/>
      <c r="O384" s="23"/>
      <c r="P384" s="24"/>
      <c r="Q384" s="24"/>
      <c r="R384" s="24"/>
      <c r="S384" s="22" t="str">
        <f t="shared" si="27"/>
        <v/>
      </c>
      <c r="T384" s="22" t="str">
        <f t="shared" si="28"/>
        <v/>
      </c>
      <c r="U384" s="25"/>
      <c r="V384" s="25"/>
      <c r="W384" s="25"/>
      <c r="X384" s="25"/>
      <c r="Y384" s="22" t="str">
        <f t="shared" si="29"/>
        <v/>
      </c>
      <c r="Z384" s="25"/>
      <c r="AA384" s="25"/>
      <c r="AB384" s="25"/>
      <c r="AC384" s="25"/>
      <c r="AD384" s="25"/>
      <c r="AE384" s="25"/>
      <c r="AF384" s="25"/>
      <c r="AG384" s="9"/>
      <c r="AH384" s="29"/>
      <c r="AI384" s="29"/>
      <c r="AM384" s="50"/>
      <c r="AN384" s="51" t="s">
        <v>1945</v>
      </c>
      <c r="AO384" s="55" t="s">
        <v>1946</v>
      </c>
    </row>
    <row r="385" spans="1:41" ht="45.6" customHeight="1" x14ac:dyDescent="0.3">
      <c r="A385" s="20">
        <v>381</v>
      </c>
      <c r="B385" s="8" t="s">
        <v>1947</v>
      </c>
      <c r="C385" s="26">
        <v>2026</v>
      </c>
      <c r="D385" s="8"/>
      <c r="E385" s="8" t="s">
        <v>1948</v>
      </c>
      <c r="F385" s="20" t="s">
        <v>54</v>
      </c>
      <c r="G385" s="21" t="s">
        <v>53</v>
      </c>
      <c r="H385" s="21" t="s">
        <v>53</v>
      </c>
      <c r="I385" s="21" t="s">
        <v>53</v>
      </c>
      <c r="J385" s="21" t="s">
        <v>53</v>
      </c>
      <c r="K385" s="21" t="s">
        <v>53</v>
      </c>
      <c r="L385" s="22" t="str">
        <f t="shared" si="25"/>
        <v>INCLUDE</v>
      </c>
      <c r="M385" s="22" t="str">
        <f t="shared" si="26"/>
        <v/>
      </c>
      <c r="N385" s="23" t="s">
        <v>53</v>
      </c>
      <c r="O385" s="23" t="s">
        <v>53</v>
      </c>
      <c r="P385" s="24" t="s">
        <v>53</v>
      </c>
      <c r="Q385" s="24" t="s">
        <v>53</v>
      </c>
      <c r="R385" s="24" t="s">
        <v>53</v>
      </c>
      <c r="S385" s="22" t="str">
        <f t="shared" si="27"/>
        <v>INCLUDE</v>
      </c>
      <c r="T385" s="22" t="str">
        <f t="shared" si="28"/>
        <v/>
      </c>
      <c r="U385" s="25" t="s">
        <v>67</v>
      </c>
      <c r="V385" s="25">
        <v>0</v>
      </c>
      <c r="W385" s="25">
        <v>1</v>
      </c>
      <c r="X385" s="25">
        <v>0</v>
      </c>
      <c r="Y385" s="22" t="str">
        <f t="shared" si="29"/>
        <v>Single</v>
      </c>
      <c r="Z385" s="25" t="s">
        <v>9</v>
      </c>
      <c r="AA385" s="25" t="s">
        <v>57</v>
      </c>
      <c r="AB385" s="25" t="s">
        <v>58</v>
      </c>
      <c r="AC385" s="25" t="s">
        <v>70</v>
      </c>
      <c r="AD385" s="25" t="s">
        <v>89</v>
      </c>
      <c r="AE385" s="25">
        <v>4</v>
      </c>
      <c r="AF385" s="25" t="s">
        <v>81</v>
      </c>
      <c r="AG385" s="9" t="s">
        <v>1949</v>
      </c>
      <c r="AH385" s="29" t="s">
        <v>1950</v>
      </c>
      <c r="AI385" s="29" t="s">
        <v>1951</v>
      </c>
      <c r="AJ385" t="s">
        <v>91</v>
      </c>
      <c r="AK385" t="s">
        <v>1952</v>
      </c>
      <c r="AL385" t="s">
        <v>74</v>
      </c>
      <c r="AM385" s="50"/>
      <c r="AN385" s="51" t="s">
        <v>1953</v>
      </c>
      <c r="AO385" s="55" t="s">
        <v>1954</v>
      </c>
    </row>
    <row r="386" spans="1:41" ht="91.2" hidden="1" customHeight="1" x14ac:dyDescent="0.3">
      <c r="A386" s="20">
        <v>382</v>
      </c>
      <c r="B386" s="8" t="s">
        <v>1955</v>
      </c>
      <c r="C386" s="26">
        <v>2026</v>
      </c>
      <c r="D386" s="8"/>
      <c r="E386" s="8" t="s">
        <v>1956</v>
      </c>
      <c r="F386" s="20" t="s">
        <v>54</v>
      </c>
      <c r="G386" s="21" t="s">
        <v>64</v>
      </c>
      <c r="H386" s="21" t="s">
        <v>53</v>
      </c>
      <c r="I386" s="21" t="s">
        <v>53</v>
      </c>
      <c r="J386" s="21" t="s">
        <v>53</v>
      </c>
      <c r="K386" s="21" t="s">
        <v>53</v>
      </c>
      <c r="L386" s="22" t="str">
        <f t="shared" si="25"/>
        <v>EXCLUDE</v>
      </c>
      <c r="M386" s="22" t="str">
        <f t="shared" si="26"/>
        <v>Wrong domain (non-AECO)</v>
      </c>
      <c r="N386" s="23"/>
      <c r="O386" s="23"/>
      <c r="P386" s="24"/>
      <c r="Q386" s="24"/>
      <c r="R386" s="24"/>
      <c r="S386" s="22" t="str">
        <f t="shared" si="27"/>
        <v/>
      </c>
      <c r="T386" s="22" t="str">
        <f t="shared" si="28"/>
        <v/>
      </c>
      <c r="U386" s="25"/>
      <c r="V386" s="25"/>
      <c r="W386" s="25"/>
      <c r="X386" s="25"/>
      <c r="Y386" s="22" t="str">
        <f t="shared" si="29"/>
        <v/>
      </c>
      <c r="Z386" s="25"/>
      <c r="AA386" s="25"/>
      <c r="AB386" s="25"/>
      <c r="AC386" s="25"/>
      <c r="AD386" s="25"/>
      <c r="AE386" s="25"/>
      <c r="AF386" s="25"/>
      <c r="AG386" s="9"/>
      <c r="AH386" s="29"/>
      <c r="AI386" s="29"/>
      <c r="AM386" s="50"/>
      <c r="AN386" s="51" t="s">
        <v>1957</v>
      </c>
      <c r="AO386" s="55" t="s">
        <v>1958</v>
      </c>
    </row>
    <row r="387" spans="1:41" ht="45.6" hidden="1" customHeight="1" x14ac:dyDescent="0.3">
      <c r="A387" s="20">
        <v>383</v>
      </c>
      <c r="B387" s="8" t="s">
        <v>1959</v>
      </c>
      <c r="C387" s="26">
        <v>2025</v>
      </c>
      <c r="D387" s="8"/>
      <c r="E387" s="8" t="s">
        <v>1960</v>
      </c>
      <c r="F387" s="20" t="s">
        <v>54</v>
      </c>
      <c r="G387" s="21" t="s">
        <v>64</v>
      </c>
      <c r="H387" s="21" t="s">
        <v>53</v>
      </c>
      <c r="I387" s="21" t="s">
        <v>53</v>
      </c>
      <c r="J387" s="21" t="s">
        <v>53</v>
      </c>
      <c r="K387" s="21" t="s">
        <v>53</v>
      </c>
      <c r="L387" s="22" t="str">
        <f t="shared" si="25"/>
        <v>EXCLUDE</v>
      </c>
      <c r="M387" s="22" t="str">
        <f t="shared" si="26"/>
        <v>Wrong domain (non-AECO)</v>
      </c>
      <c r="N387" s="23"/>
      <c r="O387" s="23"/>
      <c r="P387" s="24"/>
      <c r="Q387" s="24"/>
      <c r="R387" s="24"/>
      <c r="S387" s="22" t="str">
        <f t="shared" si="27"/>
        <v/>
      </c>
      <c r="T387" s="22" t="str">
        <f t="shared" si="28"/>
        <v/>
      </c>
      <c r="U387" s="25"/>
      <c r="V387" s="25"/>
      <c r="W387" s="25"/>
      <c r="X387" s="25"/>
      <c r="Y387" s="22" t="str">
        <f t="shared" si="29"/>
        <v/>
      </c>
      <c r="Z387" s="25"/>
      <c r="AA387" s="25"/>
      <c r="AB387" s="25"/>
      <c r="AC387" s="25"/>
      <c r="AD387" s="25"/>
      <c r="AE387" s="25"/>
      <c r="AF387" s="25"/>
      <c r="AG387" s="9"/>
      <c r="AH387" s="29"/>
      <c r="AI387" s="29"/>
      <c r="AM387" s="50"/>
      <c r="AN387" s="51" t="s">
        <v>1569</v>
      </c>
      <c r="AO387" s="55" t="s">
        <v>1961</v>
      </c>
    </row>
    <row r="388" spans="1:41" ht="68.400000000000006" hidden="1" customHeight="1" x14ac:dyDescent="0.3">
      <c r="A388" s="20">
        <v>384</v>
      </c>
      <c r="B388" s="8" t="s">
        <v>1962</v>
      </c>
      <c r="C388" s="26">
        <v>2025</v>
      </c>
      <c r="D388" s="8"/>
      <c r="E388" s="8" t="s">
        <v>1963</v>
      </c>
      <c r="F388" s="20" t="s">
        <v>54</v>
      </c>
      <c r="G388" s="21" t="s">
        <v>64</v>
      </c>
      <c r="H388" s="21" t="s">
        <v>53</v>
      </c>
      <c r="I388" s="21" t="s">
        <v>53</v>
      </c>
      <c r="J388" s="21" t="s">
        <v>53</v>
      </c>
      <c r="K388" s="21" t="s">
        <v>53</v>
      </c>
      <c r="L388" s="22" t="str">
        <f t="shared" si="25"/>
        <v>EXCLUDE</v>
      </c>
      <c r="M388" s="22" t="str">
        <f t="shared" si="26"/>
        <v>Wrong domain (non-AECO)</v>
      </c>
      <c r="N388" s="23"/>
      <c r="O388" s="23"/>
      <c r="P388" s="24"/>
      <c r="Q388" s="24"/>
      <c r="R388" s="24"/>
      <c r="S388" s="22" t="str">
        <f t="shared" si="27"/>
        <v/>
      </c>
      <c r="T388" s="22" t="str">
        <f t="shared" si="28"/>
        <v/>
      </c>
      <c r="U388" s="25"/>
      <c r="V388" s="25"/>
      <c r="W388" s="25"/>
      <c r="X388" s="25"/>
      <c r="Y388" s="22" t="str">
        <f t="shared" si="29"/>
        <v/>
      </c>
      <c r="Z388" s="25"/>
      <c r="AA388" s="25"/>
      <c r="AB388" s="25"/>
      <c r="AC388" s="25"/>
      <c r="AD388" s="25"/>
      <c r="AE388" s="25"/>
      <c r="AF388" s="25"/>
      <c r="AG388" s="9"/>
      <c r="AH388" s="29"/>
      <c r="AI388" s="29"/>
      <c r="AM388" s="50"/>
      <c r="AN388" s="51" t="s">
        <v>1964</v>
      </c>
      <c r="AO388" s="55" t="s">
        <v>1965</v>
      </c>
    </row>
    <row r="389" spans="1:41" ht="45.6" hidden="1" customHeight="1" x14ac:dyDescent="0.3">
      <c r="A389" s="20">
        <v>385</v>
      </c>
      <c r="B389" s="8" t="s">
        <v>1966</v>
      </c>
      <c r="C389" s="26">
        <v>2026</v>
      </c>
      <c r="D389" s="8"/>
      <c r="E389" s="8" t="s">
        <v>1967</v>
      </c>
      <c r="F389" s="20" t="s">
        <v>54</v>
      </c>
      <c r="G389" s="21" t="s">
        <v>64</v>
      </c>
      <c r="H389" s="21" t="s">
        <v>53</v>
      </c>
      <c r="I389" s="21" t="s">
        <v>53</v>
      </c>
      <c r="J389" s="21" t="s">
        <v>53</v>
      </c>
      <c r="K389" s="21" t="s">
        <v>53</v>
      </c>
      <c r="L389" s="22" t="str">
        <f t="shared" ref="L389:L452" si="30">IF(COUNTBLANK(G389:K389)=5,"",IF(COUNTIF(G389:K389,"No")&gt;0,"EXCLUDE","INCLUDE"))</f>
        <v>EXCLUDE</v>
      </c>
      <c r="M389" s="22" t="str">
        <f t="shared" ref="M389:M452" si="31">IF(L389&lt;&gt;"EXCLUDE","",IF(G389="No","Wrong domain (non-AECO)",IF(H389="No","Digital Twin not core / buzzword",IF(I389="No","No Design for Safety/Quality/PtD",IF(J389="No","Wrong publication type",IF(K389="No","Non-English",""))))))</f>
        <v>Wrong domain (non-AECO)</v>
      </c>
      <c r="N389" s="23"/>
      <c r="O389" s="23"/>
      <c r="P389" s="24"/>
      <c r="Q389" s="24"/>
      <c r="R389" s="24"/>
      <c r="S389" s="22" t="str">
        <f t="shared" ref="S389:S452" si="32">IF(N389&lt;&gt;"Yes","",IF(COUNTBLANK(P389:R389)=3,"",IF(COUNTIF(P389:R389,"No")&gt;0,"EXCLUDE","INCLUDE")))</f>
        <v/>
      </c>
      <c r="T389" s="22" t="str">
        <f t="shared" ref="T389:T452" si="33">IF(S389&lt;&gt;"EXCLUDE","",IF(P389="No","Digital Twin mentioned only, not the subject",IF(Q389="No","No Design for Safety/Quality in full text",IF(R389="No","Methodology not codable",""))))</f>
        <v/>
      </c>
      <c r="U389" s="25"/>
      <c r="V389" s="25"/>
      <c r="W389" s="25"/>
      <c r="X389" s="25"/>
      <c r="Y389" s="22" t="str">
        <f t="shared" ref="Y389:Y452" si="34">IF(SUM(V389:X389)=0,"",IF(SUM(V389:X389)&gt;=2,"Multi","Single"))</f>
        <v/>
      </c>
      <c r="Z389" s="25"/>
      <c r="AA389" s="25"/>
      <c r="AB389" s="25"/>
      <c r="AC389" s="25"/>
      <c r="AD389" s="25"/>
      <c r="AE389" s="25"/>
      <c r="AF389" s="25"/>
      <c r="AG389" s="9"/>
      <c r="AH389" s="29"/>
      <c r="AI389" s="29"/>
      <c r="AM389" s="50"/>
      <c r="AN389" s="51" t="s">
        <v>1968</v>
      </c>
      <c r="AO389" s="55" t="s">
        <v>1969</v>
      </c>
    </row>
    <row r="390" spans="1:41" ht="91.2" customHeight="1" x14ac:dyDescent="0.3">
      <c r="A390" s="20">
        <v>386</v>
      </c>
      <c r="B390" s="8" t="s">
        <v>1970</v>
      </c>
      <c r="C390" s="26">
        <v>2026</v>
      </c>
      <c r="D390" s="8"/>
      <c r="E390" s="8" t="s">
        <v>1971</v>
      </c>
      <c r="F390" s="20" t="s">
        <v>54</v>
      </c>
      <c r="G390" s="21" t="s">
        <v>53</v>
      </c>
      <c r="H390" s="21" t="s">
        <v>53</v>
      </c>
      <c r="I390" s="21" t="s">
        <v>53</v>
      </c>
      <c r="J390" s="21" t="s">
        <v>53</v>
      </c>
      <c r="K390" s="21" t="s">
        <v>53</v>
      </c>
      <c r="L390" s="22" t="str">
        <f t="shared" si="30"/>
        <v>INCLUDE</v>
      </c>
      <c r="M390" s="22" t="str">
        <f t="shared" si="31"/>
        <v/>
      </c>
      <c r="N390" s="23" t="s">
        <v>53</v>
      </c>
      <c r="O390" s="23" t="s">
        <v>53</v>
      </c>
      <c r="P390" s="24" t="s">
        <v>53</v>
      </c>
      <c r="Q390" s="24" t="s">
        <v>53</v>
      </c>
      <c r="R390" s="24" t="s">
        <v>53</v>
      </c>
      <c r="S390" s="22" t="str">
        <f t="shared" si="32"/>
        <v>INCLUDE</v>
      </c>
      <c r="T390" s="22" t="str">
        <f t="shared" si="33"/>
        <v/>
      </c>
      <c r="U390" s="25" t="s">
        <v>67</v>
      </c>
      <c r="V390" s="25">
        <v>0</v>
      </c>
      <c r="W390" s="25">
        <v>1</v>
      </c>
      <c r="X390" s="25">
        <v>0</v>
      </c>
      <c r="Y390" s="22" t="str">
        <f t="shared" si="34"/>
        <v>Single</v>
      </c>
      <c r="Z390" s="25" t="s">
        <v>77</v>
      </c>
      <c r="AA390" s="25" t="s">
        <v>57</v>
      </c>
      <c r="AB390" s="25" t="s">
        <v>103</v>
      </c>
      <c r="AC390" s="25" t="s">
        <v>70</v>
      </c>
      <c r="AD390" s="25" t="s">
        <v>89</v>
      </c>
      <c r="AE390" s="25">
        <v>4</v>
      </c>
      <c r="AF390" s="25" t="s">
        <v>98</v>
      </c>
      <c r="AG390" s="9" t="s">
        <v>1972</v>
      </c>
      <c r="AH390" s="29" t="s">
        <v>1973</v>
      </c>
      <c r="AI390" s="29" t="s">
        <v>1974</v>
      </c>
      <c r="AJ390" t="s">
        <v>73</v>
      </c>
      <c r="AK390" t="s">
        <v>1975</v>
      </c>
      <c r="AL390" t="s">
        <v>74</v>
      </c>
      <c r="AM390" s="50"/>
      <c r="AN390" s="51" t="s">
        <v>1976</v>
      </c>
      <c r="AO390" s="55" t="s">
        <v>1977</v>
      </c>
    </row>
    <row r="391" spans="1:41" ht="68.400000000000006" customHeight="1" x14ac:dyDescent="0.3">
      <c r="A391" s="20">
        <v>387</v>
      </c>
      <c r="B391" s="8" t="s">
        <v>1978</v>
      </c>
      <c r="C391" s="26">
        <v>2026</v>
      </c>
      <c r="D391" s="8"/>
      <c r="E391" s="8" t="s">
        <v>1979</v>
      </c>
      <c r="F391" s="20" t="s">
        <v>54</v>
      </c>
      <c r="G391" s="21" t="s">
        <v>53</v>
      </c>
      <c r="H391" s="21" t="s">
        <v>53</v>
      </c>
      <c r="I391" s="21" t="s">
        <v>53</v>
      </c>
      <c r="J391" s="21" t="s">
        <v>53</v>
      </c>
      <c r="K391" s="21" t="s">
        <v>53</v>
      </c>
      <c r="L391" s="22" t="str">
        <f t="shared" si="30"/>
        <v>INCLUDE</v>
      </c>
      <c r="M391" s="22" t="str">
        <f t="shared" si="31"/>
        <v/>
      </c>
      <c r="N391" s="23" t="s">
        <v>53</v>
      </c>
      <c r="O391" s="23" t="s">
        <v>53</v>
      </c>
      <c r="P391" s="24" t="s">
        <v>53</v>
      </c>
      <c r="Q391" s="24" t="s">
        <v>53</v>
      </c>
      <c r="R391" s="24" t="s">
        <v>53</v>
      </c>
      <c r="S391" s="22" t="str">
        <f t="shared" si="32"/>
        <v>INCLUDE</v>
      </c>
      <c r="T391" s="22" t="str">
        <f t="shared" si="33"/>
        <v/>
      </c>
      <c r="U391" s="25" t="s">
        <v>67</v>
      </c>
      <c r="V391" s="25">
        <v>0</v>
      </c>
      <c r="W391" s="25">
        <v>0</v>
      </c>
      <c r="X391" s="25">
        <v>1</v>
      </c>
      <c r="Y391" s="22" t="str">
        <f t="shared" si="34"/>
        <v>Single</v>
      </c>
      <c r="Z391" s="25" t="s">
        <v>9</v>
      </c>
      <c r="AA391" s="25" t="s">
        <v>78</v>
      </c>
      <c r="AB391" s="25" t="s">
        <v>79</v>
      </c>
      <c r="AC391" s="25" t="s">
        <v>70</v>
      </c>
      <c r="AD391" s="25" t="s">
        <v>71</v>
      </c>
      <c r="AE391" s="25">
        <v>4</v>
      </c>
      <c r="AF391" s="25" t="s">
        <v>96</v>
      </c>
      <c r="AG391" s="9" t="s">
        <v>1980</v>
      </c>
      <c r="AH391" s="29" t="s">
        <v>1981</v>
      </c>
      <c r="AI391" s="29" t="s">
        <v>1982</v>
      </c>
      <c r="AJ391" t="s">
        <v>91</v>
      </c>
      <c r="AK391" t="s">
        <v>1983</v>
      </c>
      <c r="AL391" t="s">
        <v>74</v>
      </c>
      <c r="AM391" s="50"/>
      <c r="AN391" s="51" t="s">
        <v>1984</v>
      </c>
      <c r="AO391" s="55" t="s">
        <v>1985</v>
      </c>
    </row>
    <row r="392" spans="1:41" ht="201.6" hidden="1" customHeight="1" x14ac:dyDescent="0.3">
      <c r="A392" s="20">
        <v>388</v>
      </c>
      <c r="B392" s="8" t="s">
        <v>1986</v>
      </c>
      <c r="C392" s="26">
        <v>2025</v>
      </c>
      <c r="D392" s="8"/>
      <c r="E392" s="8" t="s">
        <v>1987</v>
      </c>
      <c r="F392" s="20" t="s">
        <v>54</v>
      </c>
      <c r="G392" s="21" t="s">
        <v>64</v>
      </c>
      <c r="H392" s="21" t="s">
        <v>53</v>
      </c>
      <c r="I392" s="21" t="s">
        <v>53</v>
      </c>
      <c r="J392" s="21" t="s">
        <v>53</v>
      </c>
      <c r="K392" s="21" t="s">
        <v>53</v>
      </c>
      <c r="L392" s="22" t="str">
        <f t="shared" si="30"/>
        <v>EXCLUDE</v>
      </c>
      <c r="M392" s="22" t="str">
        <f t="shared" si="31"/>
        <v>Wrong domain (non-AECO)</v>
      </c>
      <c r="N392" s="23"/>
      <c r="O392" s="23"/>
      <c r="P392" s="24"/>
      <c r="Q392" s="24"/>
      <c r="R392" s="24"/>
      <c r="S392" s="22" t="str">
        <f t="shared" si="32"/>
        <v/>
      </c>
      <c r="T392" s="22" t="str">
        <f t="shared" si="33"/>
        <v/>
      </c>
      <c r="U392" s="25"/>
      <c r="V392" s="25"/>
      <c r="W392" s="25"/>
      <c r="X392" s="25"/>
      <c r="Y392" s="22" t="str">
        <f t="shared" si="34"/>
        <v/>
      </c>
      <c r="Z392" s="25"/>
      <c r="AA392" s="25"/>
      <c r="AB392" s="25"/>
      <c r="AC392" s="25"/>
      <c r="AD392" s="25"/>
      <c r="AE392" s="25"/>
      <c r="AF392" s="25"/>
      <c r="AG392" s="9"/>
      <c r="AH392" s="29"/>
      <c r="AI392" s="29"/>
      <c r="AM392" s="50"/>
      <c r="AN392" s="51" t="s">
        <v>1988</v>
      </c>
      <c r="AO392" s="55" t="s">
        <v>1989</v>
      </c>
    </row>
    <row r="393" spans="1:41" ht="102.6" hidden="1" customHeight="1" x14ac:dyDescent="0.3">
      <c r="A393" s="20">
        <v>389</v>
      </c>
      <c r="B393" s="8" t="s">
        <v>1990</v>
      </c>
      <c r="C393" s="26">
        <v>2026</v>
      </c>
      <c r="D393" s="8"/>
      <c r="E393" s="8" t="s">
        <v>1991</v>
      </c>
      <c r="F393" s="20" t="s">
        <v>54</v>
      </c>
      <c r="G393" s="21" t="s">
        <v>53</v>
      </c>
      <c r="H393" s="21" t="s">
        <v>53</v>
      </c>
      <c r="I393" s="21" t="s">
        <v>64</v>
      </c>
      <c r="J393" s="21" t="s">
        <v>53</v>
      </c>
      <c r="K393" s="21" t="s">
        <v>53</v>
      </c>
      <c r="L393" s="22" t="str">
        <f t="shared" si="30"/>
        <v>EXCLUDE</v>
      </c>
      <c r="M393" s="22" t="str">
        <f t="shared" si="31"/>
        <v>No Design for Safety/Quality/PtD</v>
      </c>
      <c r="N393" s="23"/>
      <c r="O393" s="23"/>
      <c r="P393" s="24"/>
      <c r="Q393" s="24"/>
      <c r="R393" s="24"/>
      <c r="S393" s="22" t="str">
        <f t="shared" si="32"/>
        <v/>
      </c>
      <c r="T393" s="22" t="str">
        <f t="shared" si="33"/>
        <v/>
      </c>
      <c r="U393" s="25"/>
      <c r="V393" s="25"/>
      <c r="W393" s="25"/>
      <c r="X393" s="25"/>
      <c r="Y393" s="22" t="str">
        <f t="shared" si="34"/>
        <v/>
      </c>
      <c r="Z393" s="25"/>
      <c r="AA393" s="25"/>
      <c r="AB393" s="25"/>
      <c r="AC393" s="25"/>
      <c r="AD393" s="25"/>
      <c r="AE393" s="25"/>
      <c r="AF393" s="25"/>
      <c r="AG393" s="9"/>
      <c r="AH393" s="29"/>
      <c r="AI393" s="29"/>
      <c r="AM393" s="50"/>
      <c r="AN393" s="51" t="s">
        <v>1992</v>
      </c>
      <c r="AO393" s="55" t="s">
        <v>1993</v>
      </c>
    </row>
    <row r="394" spans="1:41" ht="345.6" customHeight="1" x14ac:dyDescent="0.3">
      <c r="A394" s="20">
        <v>390</v>
      </c>
      <c r="B394" s="8" t="s">
        <v>1994</v>
      </c>
      <c r="C394" s="26">
        <v>2026</v>
      </c>
      <c r="D394" s="8"/>
      <c r="E394" s="8" t="s">
        <v>1995</v>
      </c>
      <c r="F394" s="20" t="s">
        <v>54</v>
      </c>
      <c r="G394" s="21" t="s">
        <v>53</v>
      </c>
      <c r="H394" s="21" t="s">
        <v>53</v>
      </c>
      <c r="I394" s="21" t="s">
        <v>53</v>
      </c>
      <c r="J394" s="21" t="s">
        <v>53</v>
      </c>
      <c r="K394" s="21" t="s">
        <v>53</v>
      </c>
      <c r="L394" s="22" t="str">
        <f t="shared" si="30"/>
        <v>INCLUDE</v>
      </c>
      <c r="M394" s="22" t="str">
        <f t="shared" si="31"/>
        <v/>
      </c>
      <c r="N394" s="23" t="s">
        <v>53</v>
      </c>
      <c r="O394" s="23" t="s">
        <v>53</v>
      </c>
      <c r="P394" s="24" t="s">
        <v>53</v>
      </c>
      <c r="Q394" s="24" t="s">
        <v>53</v>
      </c>
      <c r="R394" s="24" t="s">
        <v>53</v>
      </c>
      <c r="S394" s="22" t="str">
        <f t="shared" si="32"/>
        <v>INCLUDE</v>
      </c>
      <c r="T394" s="22" t="str">
        <f t="shared" si="33"/>
        <v/>
      </c>
      <c r="U394" s="25" t="s">
        <v>67</v>
      </c>
      <c r="V394" s="25">
        <v>0</v>
      </c>
      <c r="W394" s="25">
        <v>0</v>
      </c>
      <c r="X394" s="25">
        <v>1</v>
      </c>
      <c r="Y394" s="22" t="str">
        <f t="shared" si="34"/>
        <v>Single</v>
      </c>
      <c r="Z394" s="25" t="s">
        <v>9</v>
      </c>
      <c r="AA394" s="25" t="s">
        <v>57</v>
      </c>
      <c r="AB394" s="25" t="s">
        <v>104</v>
      </c>
      <c r="AC394" s="25" t="s">
        <v>70</v>
      </c>
      <c r="AD394" s="25" t="s">
        <v>71</v>
      </c>
      <c r="AE394" s="25">
        <v>4</v>
      </c>
      <c r="AF394" s="25" t="s">
        <v>96</v>
      </c>
      <c r="AG394" s="9" t="s">
        <v>1996</v>
      </c>
      <c r="AH394" s="29" t="s">
        <v>1997</v>
      </c>
      <c r="AI394" s="29" t="s">
        <v>1998</v>
      </c>
      <c r="AJ394" t="s">
        <v>91</v>
      </c>
      <c r="AK394" t="s">
        <v>1999</v>
      </c>
      <c r="AL394" t="s">
        <v>74</v>
      </c>
      <c r="AM394" s="50"/>
      <c r="AN394" s="51" t="s">
        <v>2000</v>
      </c>
      <c r="AO394" s="55" t="s">
        <v>2001</v>
      </c>
    </row>
    <row r="395" spans="1:41" ht="45.6" customHeight="1" x14ac:dyDescent="0.3">
      <c r="A395" s="20">
        <v>391</v>
      </c>
      <c r="B395" s="8" t="s">
        <v>2002</v>
      </c>
      <c r="C395" s="26">
        <v>2026</v>
      </c>
      <c r="D395" s="8"/>
      <c r="E395" s="8" t="s">
        <v>2003</v>
      </c>
      <c r="F395" s="20" t="s">
        <v>54</v>
      </c>
      <c r="G395" s="21" t="s">
        <v>53</v>
      </c>
      <c r="H395" s="21" t="s">
        <v>53</v>
      </c>
      <c r="I395" s="21" t="s">
        <v>53</v>
      </c>
      <c r="J395" s="21" t="s">
        <v>53</v>
      </c>
      <c r="K395" s="21" t="s">
        <v>53</v>
      </c>
      <c r="L395" s="22" t="str">
        <f t="shared" si="30"/>
        <v>INCLUDE</v>
      </c>
      <c r="M395" s="22" t="str">
        <f t="shared" si="31"/>
        <v/>
      </c>
      <c r="N395" s="23" t="s">
        <v>53</v>
      </c>
      <c r="O395" s="23" t="s">
        <v>53</v>
      </c>
      <c r="P395" s="24" t="s">
        <v>53</v>
      </c>
      <c r="Q395" s="24" t="s">
        <v>53</v>
      </c>
      <c r="R395" s="24" t="s">
        <v>53</v>
      </c>
      <c r="S395" s="22" t="str">
        <f t="shared" si="32"/>
        <v>INCLUDE</v>
      </c>
      <c r="T395" s="22" t="str">
        <f t="shared" si="33"/>
        <v/>
      </c>
      <c r="U395" s="25" t="s">
        <v>76</v>
      </c>
      <c r="V395" s="25">
        <v>0</v>
      </c>
      <c r="W395" s="25">
        <v>0</v>
      </c>
      <c r="X395" s="25">
        <v>1</v>
      </c>
      <c r="Y395" s="22" t="str">
        <f t="shared" si="34"/>
        <v>Single</v>
      </c>
      <c r="Z395" s="25" t="s">
        <v>9</v>
      </c>
      <c r="AA395" s="25" t="s">
        <v>57</v>
      </c>
      <c r="AB395" s="25" t="s">
        <v>104</v>
      </c>
      <c r="AC395" s="25" t="s">
        <v>70</v>
      </c>
      <c r="AD395" s="25" t="s">
        <v>60</v>
      </c>
      <c r="AE395" s="25">
        <v>3</v>
      </c>
      <c r="AF395" s="25" t="s">
        <v>96</v>
      </c>
      <c r="AG395" s="9" t="s">
        <v>2004</v>
      </c>
      <c r="AH395" s="29" t="s">
        <v>2005</v>
      </c>
      <c r="AI395" s="29" t="s">
        <v>2006</v>
      </c>
      <c r="AJ395" t="s">
        <v>93</v>
      </c>
      <c r="AK395" t="s">
        <v>2007</v>
      </c>
      <c r="AL395" t="s">
        <v>63</v>
      </c>
      <c r="AM395" s="50" t="s">
        <v>213</v>
      </c>
      <c r="AN395" s="51" t="s">
        <v>2008</v>
      </c>
      <c r="AO395" s="55" t="s">
        <v>2009</v>
      </c>
    </row>
    <row r="396" spans="1:41" ht="68.400000000000006" hidden="1" customHeight="1" x14ac:dyDescent="0.3">
      <c r="A396" s="20">
        <v>392</v>
      </c>
      <c r="B396" s="8" t="s">
        <v>2010</v>
      </c>
      <c r="C396" s="26">
        <v>2026</v>
      </c>
      <c r="D396" s="8"/>
      <c r="E396" s="8" t="s">
        <v>2011</v>
      </c>
      <c r="F396" s="20" t="s">
        <v>54</v>
      </c>
      <c r="G396" s="21" t="s">
        <v>53</v>
      </c>
      <c r="H396" s="21" t="s">
        <v>64</v>
      </c>
      <c r="I396" s="21" t="s">
        <v>53</v>
      </c>
      <c r="J396" s="21" t="s">
        <v>53</v>
      </c>
      <c r="K396" s="21" t="s">
        <v>53</v>
      </c>
      <c r="L396" s="22" t="str">
        <f t="shared" si="30"/>
        <v>EXCLUDE</v>
      </c>
      <c r="M396" s="22" t="str">
        <f t="shared" si="31"/>
        <v>Digital Twin not core / buzzword</v>
      </c>
      <c r="N396" s="23"/>
      <c r="O396" s="23"/>
      <c r="P396" s="24"/>
      <c r="Q396" s="24"/>
      <c r="R396" s="24"/>
      <c r="S396" s="22" t="str">
        <f t="shared" si="32"/>
        <v/>
      </c>
      <c r="T396" s="22" t="str">
        <f t="shared" si="33"/>
        <v/>
      </c>
      <c r="U396" s="25"/>
      <c r="V396" s="25"/>
      <c r="W396" s="25"/>
      <c r="X396" s="25"/>
      <c r="Y396" s="22" t="str">
        <f t="shared" si="34"/>
        <v/>
      </c>
      <c r="Z396" s="25"/>
      <c r="AA396" s="25"/>
      <c r="AB396" s="25"/>
      <c r="AC396" s="25"/>
      <c r="AD396" s="25"/>
      <c r="AE396" s="25"/>
      <c r="AF396" s="25"/>
      <c r="AG396" s="9"/>
      <c r="AH396" s="29"/>
      <c r="AI396" s="29"/>
      <c r="AM396" s="50"/>
      <c r="AN396" s="51" t="s">
        <v>2012</v>
      </c>
      <c r="AO396" s="55" t="s">
        <v>2013</v>
      </c>
    </row>
    <row r="397" spans="1:41" ht="68.400000000000006" hidden="1" customHeight="1" x14ac:dyDescent="0.3">
      <c r="A397" s="20">
        <v>393</v>
      </c>
      <c r="B397" s="8" t="s">
        <v>2014</v>
      </c>
      <c r="C397" s="26">
        <v>2026</v>
      </c>
      <c r="D397" s="8"/>
      <c r="E397" s="8" t="s">
        <v>2015</v>
      </c>
      <c r="F397" s="20" t="s">
        <v>54</v>
      </c>
      <c r="G397" s="21" t="s">
        <v>53</v>
      </c>
      <c r="H397" s="21" t="s">
        <v>64</v>
      </c>
      <c r="I397" s="21" t="s">
        <v>53</v>
      </c>
      <c r="J397" s="21" t="s">
        <v>53</v>
      </c>
      <c r="K397" s="21" t="s">
        <v>53</v>
      </c>
      <c r="L397" s="22" t="str">
        <f t="shared" si="30"/>
        <v>EXCLUDE</v>
      </c>
      <c r="M397" s="22" t="str">
        <f t="shared" si="31"/>
        <v>Digital Twin not core / buzzword</v>
      </c>
      <c r="N397" s="23"/>
      <c r="O397" s="23"/>
      <c r="P397" s="24"/>
      <c r="Q397" s="24"/>
      <c r="R397" s="24"/>
      <c r="S397" s="22" t="str">
        <f t="shared" si="32"/>
        <v/>
      </c>
      <c r="T397" s="22" t="str">
        <f t="shared" si="33"/>
        <v/>
      </c>
      <c r="U397" s="25"/>
      <c r="V397" s="25"/>
      <c r="W397" s="25"/>
      <c r="X397" s="25"/>
      <c r="Y397" s="22" t="str">
        <f t="shared" si="34"/>
        <v/>
      </c>
      <c r="Z397" s="25"/>
      <c r="AA397" s="25"/>
      <c r="AB397" s="25"/>
      <c r="AC397" s="25"/>
      <c r="AD397" s="25"/>
      <c r="AE397" s="25"/>
      <c r="AF397" s="25"/>
      <c r="AG397" s="9"/>
      <c r="AH397" s="29"/>
      <c r="AI397" s="29"/>
      <c r="AM397" s="50"/>
      <c r="AN397" s="51" t="s">
        <v>2016</v>
      </c>
      <c r="AO397" s="55" t="s">
        <v>2017</v>
      </c>
    </row>
    <row r="398" spans="1:41" ht="45.6" hidden="1" customHeight="1" x14ac:dyDescent="0.3">
      <c r="A398" s="20">
        <v>394</v>
      </c>
      <c r="B398" s="8" t="s">
        <v>2018</v>
      </c>
      <c r="C398" s="26">
        <v>2026</v>
      </c>
      <c r="D398" s="8"/>
      <c r="E398" s="8" t="s">
        <v>2019</v>
      </c>
      <c r="F398" s="20" t="s">
        <v>54</v>
      </c>
      <c r="G398" s="21" t="s">
        <v>53</v>
      </c>
      <c r="H398" s="21" t="s">
        <v>64</v>
      </c>
      <c r="I398" s="21" t="s">
        <v>53</v>
      </c>
      <c r="J398" s="21" t="s">
        <v>53</v>
      </c>
      <c r="K398" s="21" t="s">
        <v>53</v>
      </c>
      <c r="L398" s="22" t="str">
        <f t="shared" si="30"/>
        <v>EXCLUDE</v>
      </c>
      <c r="M398" s="22" t="str">
        <f t="shared" si="31"/>
        <v>Digital Twin not core / buzzword</v>
      </c>
      <c r="N398" s="23"/>
      <c r="O398" s="23"/>
      <c r="P398" s="24"/>
      <c r="Q398" s="24"/>
      <c r="R398" s="24"/>
      <c r="S398" s="22" t="str">
        <f t="shared" si="32"/>
        <v/>
      </c>
      <c r="T398" s="22" t="str">
        <f t="shared" si="33"/>
        <v/>
      </c>
      <c r="U398" s="25"/>
      <c r="V398" s="25"/>
      <c r="W398" s="25"/>
      <c r="X398" s="25"/>
      <c r="Y398" s="22" t="str">
        <f t="shared" si="34"/>
        <v/>
      </c>
      <c r="Z398" s="25"/>
      <c r="AA398" s="25"/>
      <c r="AB398" s="25"/>
      <c r="AC398" s="25"/>
      <c r="AD398" s="25"/>
      <c r="AE398" s="25"/>
      <c r="AF398" s="25"/>
      <c r="AG398" s="9"/>
      <c r="AH398" s="29"/>
      <c r="AI398" s="29"/>
      <c r="AM398" s="50"/>
      <c r="AN398" s="51" t="s">
        <v>2020</v>
      </c>
      <c r="AO398" s="55" t="s">
        <v>2021</v>
      </c>
    </row>
    <row r="399" spans="1:41" ht="68.400000000000006" hidden="1" customHeight="1" x14ac:dyDescent="0.3">
      <c r="A399" s="20">
        <v>395</v>
      </c>
      <c r="B399" s="8" t="s">
        <v>2022</v>
      </c>
      <c r="C399" s="26">
        <v>2026</v>
      </c>
      <c r="D399" s="8"/>
      <c r="E399" s="8" t="s">
        <v>2023</v>
      </c>
      <c r="F399" s="20" t="s">
        <v>54</v>
      </c>
      <c r="G399" s="21" t="s">
        <v>64</v>
      </c>
      <c r="H399" s="21" t="s">
        <v>53</v>
      </c>
      <c r="I399" s="21" t="s">
        <v>53</v>
      </c>
      <c r="J399" s="21" t="s">
        <v>53</v>
      </c>
      <c r="K399" s="21" t="s">
        <v>53</v>
      </c>
      <c r="L399" s="22" t="str">
        <f t="shared" si="30"/>
        <v>EXCLUDE</v>
      </c>
      <c r="M399" s="22" t="str">
        <f t="shared" si="31"/>
        <v>Wrong domain (non-AECO)</v>
      </c>
      <c r="N399" s="23"/>
      <c r="O399" s="23"/>
      <c r="P399" s="24"/>
      <c r="Q399" s="24"/>
      <c r="R399" s="24"/>
      <c r="S399" s="22" t="str">
        <f t="shared" si="32"/>
        <v/>
      </c>
      <c r="T399" s="22" t="str">
        <f t="shared" si="33"/>
        <v/>
      </c>
      <c r="U399" s="25"/>
      <c r="V399" s="25"/>
      <c r="W399" s="25"/>
      <c r="X399" s="25"/>
      <c r="Y399" s="22" t="str">
        <f t="shared" si="34"/>
        <v/>
      </c>
      <c r="Z399" s="25"/>
      <c r="AA399" s="25"/>
      <c r="AB399" s="25"/>
      <c r="AC399" s="25"/>
      <c r="AD399" s="25"/>
      <c r="AE399" s="25"/>
      <c r="AF399" s="25"/>
      <c r="AG399" s="9"/>
      <c r="AH399" s="29"/>
      <c r="AI399" s="29"/>
      <c r="AM399" s="50"/>
      <c r="AN399" s="51" t="s">
        <v>2024</v>
      </c>
      <c r="AO399" s="55" t="s">
        <v>2025</v>
      </c>
    </row>
    <row r="400" spans="1:41" ht="158.4" hidden="1" customHeight="1" x14ac:dyDescent="0.3">
      <c r="A400" s="20">
        <v>396</v>
      </c>
      <c r="B400" s="8" t="s">
        <v>2026</v>
      </c>
      <c r="C400" s="26">
        <v>2026</v>
      </c>
      <c r="D400" s="8"/>
      <c r="E400" s="8" t="s">
        <v>2027</v>
      </c>
      <c r="F400" s="20" t="s">
        <v>54</v>
      </c>
      <c r="G400" s="21" t="s">
        <v>64</v>
      </c>
      <c r="H400" s="21" t="s">
        <v>53</v>
      </c>
      <c r="I400" s="21" t="s">
        <v>53</v>
      </c>
      <c r="J400" s="21" t="s">
        <v>53</v>
      </c>
      <c r="K400" s="21" t="s">
        <v>53</v>
      </c>
      <c r="L400" s="22" t="str">
        <f t="shared" si="30"/>
        <v>EXCLUDE</v>
      </c>
      <c r="M400" s="22" t="str">
        <f t="shared" si="31"/>
        <v>Wrong domain (non-AECO)</v>
      </c>
      <c r="N400" s="23"/>
      <c r="O400" s="23"/>
      <c r="P400" s="24"/>
      <c r="Q400" s="24"/>
      <c r="R400" s="24"/>
      <c r="S400" s="22" t="str">
        <f t="shared" si="32"/>
        <v/>
      </c>
      <c r="T400" s="22" t="str">
        <f t="shared" si="33"/>
        <v/>
      </c>
      <c r="U400" s="25"/>
      <c r="V400" s="25"/>
      <c r="W400" s="25"/>
      <c r="X400" s="25"/>
      <c r="Y400" s="22" t="str">
        <f t="shared" si="34"/>
        <v/>
      </c>
      <c r="Z400" s="25"/>
      <c r="AA400" s="25"/>
      <c r="AB400" s="25"/>
      <c r="AC400" s="25"/>
      <c r="AD400" s="25"/>
      <c r="AE400" s="25"/>
      <c r="AF400" s="25"/>
      <c r="AG400" s="9"/>
      <c r="AH400" s="29"/>
      <c r="AI400" s="29"/>
      <c r="AM400" s="50"/>
      <c r="AN400" s="51" t="s">
        <v>2028</v>
      </c>
      <c r="AO400" s="55" t="s">
        <v>2029</v>
      </c>
    </row>
    <row r="401" spans="1:41" ht="68.400000000000006" hidden="1" customHeight="1" x14ac:dyDescent="0.3">
      <c r="A401" s="20">
        <v>397</v>
      </c>
      <c r="B401" s="8" t="s">
        <v>2030</v>
      </c>
      <c r="C401" s="26">
        <v>2026</v>
      </c>
      <c r="D401" s="8"/>
      <c r="E401" s="8" t="s">
        <v>2031</v>
      </c>
      <c r="F401" s="20" t="s">
        <v>54</v>
      </c>
      <c r="G401" s="21" t="s">
        <v>64</v>
      </c>
      <c r="H401" s="21" t="s">
        <v>53</v>
      </c>
      <c r="I401" s="21" t="s">
        <v>53</v>
      </c>
      <c r="J401" s="21" t="s">
        <v>53</v>
      </c>
      <c r="K401" s="21" t="s">
        <v>53</v>
      </c>
      <c r="L401" s="22" t="str">
        <f t="shared" si="30"/>
        <v>EXCLUDE</v>
      </c>
      <c r="M401" s="22" t="str">
        <f t="shared" si="31"/>
        <v>Wrong domain (non-AECO)</v>
      </c>
      <c r="N401" s="23"/>
      <c r="O401" s="23"/>
      <c r="P401" s="24"/>
      <c r="Q401" s="24"/>
      <c r="R401" s="24"/>
      <c r="S401" s="22" t="str">
        <f t="shared" si="32"/>
        <v/>
      </c>
      <c r="T401" s="22" t="str">
        <f t="shared" si="33"/>
        <v/>
      </c>
      <c r="U401" s="25"/>
      <c r="V401" s="25"/>
      <c r="W401" s="25"/>
      <c r="X401" s="25"/>
      <c r="Y401" s="22" t="str">
        <f t="shared" si="34"/>
        <v/>
      </c>
      <c r="Z401" s="25"/>
      <c r="AA401" s="25"/>
      <c r="AB401" s="25"/>
      <c r="AC401" s="25"/>
      <c r="AD401" s="25"/>
      <c r="AE401" s="25"/>
      <c r="AF401" s="25"/>
      <c r="AG401" s="9"/>
      <c r="AH401" s="29"/>
      <c r="AI401" s="29"/>
      <c r="AM401" s="50"/>
      <c r="AN401" s="51" t="s">
        <v>2032</v>
      </c>
      <c r="AO401" s="55" t="s">
        <v>2033</v>
      </c>
    </row>
    <row r="402" spans="1:41" ht="125.4" hidden="1" customHeight="1" x14ac:dyDescent="0.3">
      <c r="A402" s="20">
        <v>398</v>
      </c>
      <c r="B402" s="8" t="s">
        <v>2034</v>
      </c>
      <c r="C402" s="26">
        <v>2025</v>
      </c>
      <c r="D402" s="8"/>
      <c r="E402" s="8" t="s">
        <v>2035</v>
      </c>
      <c r="F402" s="20" t="s">
        <v>54</v>
      </c>
      <c r="G402" s="21" t="s">
        <v>64</v>
      </c>
      <c r="H402" s="21" t="s">
        <v>53</v>
      </c>
      <c r="I402" s="21" t="s">
        <v>53</v>
      </c>
      <c r="J402" s="21" t="s">
        <v>53</v>
      </c>
      <c r="K402" s="21" t="s">
        <v>53</v>
      </c>
      <c r="L402" s="22" t="str">
        <f t="shared" si="30"/>
        <v>EXCLUDE</v>
      </c>
      <c r="M402" s="22" t="str">
        <f t="shared" si="31"/>
        <v>Wrong domain (non-AECO)</v>
      </c>
      <c r="N402" s="23"/>
      <c r="O402" s="23"/>
      <c r="P402" s="24"/>
      <c r="Q402" s="24"/>
      <c r="R402" s="24"/>
      <c r="S402" s="22" t="str">
        <f t="shared" si="32"/>
        <v/>
      </c>
      <c r="T402" s="22" t="str">
        <f t="shared" si="33"/>
        <v/>
      </c>
      <c r="U402" s="25"/>
      <c r="V402" s="25"/>
      <c r="W402" s="25"/>
      <c r="X402" s="25"/>
      <c r="Y402" s="22" t="str">
        <f t="shared" si="34"/>
        <v/>
      </c>
      <c r="Z402" s="25"/>
      <c r="AA402" s="25"/>
      <c r="AB402" s="25"/>
      <c r="AC402" s="25"/>
      <c r="AD402" s="25"/>
      <c r="AE402" s="25"/>
      <c r="AF402" s="25"/>
      <c r="AG402" s="9"/>
      <c r="AH402" s="29"/>
      <c r="AI402" s="29"/>
      <c r="AM402" s="50"/>
      <c r="AN402" s="51" t="s">
        <v>2036</v>
      </c>
      <c r="AO402" s="55" t="s">
        <v>2037</v>
      </c>
    </row>
    <row r="403" spans="1:41" ht="68.400000000000006" customHeight="1" x14ac:dyDescent="0.3">
      <c r="A403" s="20">
        <v>399</v>
      </c>
      <c r="B403" s="8" t="s">
        <v>2038</v>
      </c>
      <c r="C403" s="26">
        <v>2025</v>
      </c>
      <c r="D403" s="8"/>
      <c r="E403" s="8" t="s">
        <v>2039</v>
      </c>
      <c r="F403" s="20" t="s">
        <v>54</v>
      </c>
      <c r="G403" s="21" t="s">
        <v>53</v>
      </c>
      <c r="H403" s="21" t="s">
        <v>53</v>
      </c>
      <c r="I403" s="21" t="s">
        <v>53</v>
      </c>
      <c r="J403" s="21" t="s">
        <v>53</v>
      </c>
      <c r="K403" s="21" t="s">
        <v>53</v>
      </c>
      <c r="L403" s="22" t="str">
        <f t="shared" si="30"/>
        <v>INCLUDE</v>
      </c>
      <c r="M403" s="22" t="str">
        <f t="shared" si="31"/>
        <v/>
      </c>
      <c r="N403" s="23" t="s">
        <v>53</v>
      </c>
      <c r="O403" s="23" t="s">
        <v>53</v>
      </c>
      <c r="P403" s="24" t="s">
        <v>53</v>
      </c>
      <c r="Q403" s="24" t="s">
        <v>53</v>
      </c>
      <c r="R403" s="24" t="s">
        <v>53</v>
      </c>
      <c r="S403" s="22" t="str">
        <f t="shared" si="32"/>
        <v>INCLUDE</v>
      </c>
      <c r="T403" s="22" t="str">
        <f t="shared" si="33"/>
        <v/>
      </c>
      <c r="U403" s="25" t="s">
        <v>67</v>
      </c>
      <c r="V403" s="25">
        <v>0</v>
      </c>
      <c r="W403" s="25">
        <v>1</v>
      </c>
      <c r="X403" s="25">
        <v>0</v>
      </c>
      <c r="Y403" s="22" t="str">
        <f t="shared" si="34"/>
        <v>Single</v>
      </c>
      <c r="Z403" s="25" t="s">
        <v>9</v>
      </c>
      <c r="AA403" s="25" t="s">
        <v>57</v>
      </c>
      <c r="AB403" s="25" t="s">
        <v>100</v>
      </c>
      <c r="AC403" s="25" t="s">
        <v>70</v>
      </c>
      <c r="AD403" s="25" t="s">
        <v>89</v>
      </c>
      <c r="AE403" s="25">
        <v>4</v>
      </c>
      <c r="AF403" s="25" t="s">
        <v>90</v>
      </c>
      <c r="AG403" s="9" t="s">
        <v>2040</v>
      </c>
      <c r="AH403" s="29" t="s">
        <v>2041</v>
      </c>
      <c r="AI403" s="29" t="s">
        <v>2042</v>
      </c>
      <c r="AJ403" t="s">
        <v>91</v>
      </c>
      <c r="AK403" t="s">
        <v>2043</v>
      </c>
      <c r="AL403" t="s">
        <v>74</v>
      </c>
      <c r="AM403" s="50"/>
      <c r="AN403" s="51" t="s">
        <v>2044</v>
      </c>
      <c r="AO403" s="55" t="s">
        <v>2045</v>
      </c>
    </row>
    <row r="404" spans="1:41" ht="57" customHeight="1" x14ac:dyDescent="0.3">
      <c r="A404" s="20">
        <v>400</v>
      </c>
      <c r="B404" s="8" t="s">
        <v>2046</v>
      </c>
      <c r="C404" s="26">
        <v>2026</v>
      </c>
      <c r="D404" s="8"/>
      <c r="E404" s="8" t="s">
        <v>2047</v>
      </c>
      <c r="F404" s="20" t="s">
        <v>54</v>
      </c>
      <c r="G404" s="21" t="s">
        <v>53</v>
      </c>
      <c r="H404" s="21" t="s">
        <v>53</v>
      </c>
      <c r="I404" s="21" t="s">
        <v>53</v>
      </c>
      <c r="J404" s="21" t="s">
        <v>53</v>
      </c>
      <c r="K404" s="21" t="s">
        <v>53</v>
      </c>
      <c r="L404" s="22" t="str">
        <f t="shared" si="30"/>
        <v>INCLUDE</v>
      </c>
      <c r="M404" s="22" t="str">
        <f t="shared" si="31"/>
        <v/>
      </c>
      <c r="N404" s="23" t="s">
        <v>53</v>
      </c>
      <c r="O404" s="23" t="s">
        <v>53</v>
      </c>
      <c r="P404" s="24" t="s">
        <v>53</v>
      </c>
      <c r="Q404" s="24" t="s">
        <v>53</v>
      </c>
      <c r="R404" s="24" t="s">
        <v>53</v>
      </c>
      <c r="S404" s="22" t="str">
        <f t="shared" si="32"/>
        <v>INCLUDE</v>
      </c>
      <c r="T404" s="22" t="str">
        <f t="shared" si="33"/>
        <v/>
      </c>
      <c r="U404" s="25" t="s">
        <v>56</v>
      </c>
      <c r="V404" s="25">
        <v>0</v>
      </c>
      <c r="W404" s="25">
        <v>0</v>
      </c>
      <c r="X404" s="25">
        <v>1</v>
      </c>
      <c r="Y404" s="22" t="str">
        <f t="shared" si="34"/>
        <v>Single</v>
      </c>
      <c r="Z404" s="25" t="s">
        <v>9</v>
      </c>
      <c r="AA404" s="25" t="s">
        <v>57</v>
      </c>
      <c r="AB404" s="25" t="s">
        <v>58</v>
      </c>
      <c r="AC404" s="25" t="s">
        <v>70</v>
      </c>
      <c r="AD404" s="25" t="s">
        <v>89</v>
      </c>
      <c r="AE404" s="25">
        <v>4</v>
      </c>
      <c r="AF404" s="25" t="s">
        <v>61</v>
      </c>
      <c r="AG404" s="9" t="s">
        <v>2048</v>
      </c>
      <c r="AH404" s="29" t="s">
        <v>2049</v>
      </c>
      <c r="AI404" s="29" t="s">
        <v>2050</v>
      </c>
      <c r="AJ404" t="s">
        <v>62</v>
      </c>
      <c r="AK404" t="s">
        <v>2051</v>
      </c>
      <c r="AL404" t="s">
        <v>63</v>
      </c>
      <c r="AM404" s="50" t="s">
        <v>614</v>
      </c>
      <c r="AN404" s="51" t="s">
        <v>2052</v>
      </c>
      <c r="AO404" s="55" t="s">
        <v>2053</v>
      </c>
    </row>
    <row r="405" spans="1:41" ht="125.4" hidden="1" customHeight="1" x14ac:dyDescent="0.3">
      <c r="A405" s="20">
        <v>401</v>
      </c>
      <c r="B405" s="8" t="s">
        <v>2054</v>
      </c>
      <c r="C405" s="26">
        <v>2025</v>
      </c>
      <c r="D405" s="8"/>
      <c r="E405" s="8" t="s">
        <v>2055</v>
      </c>
      <c r="F405" s="20" t="s">
        <v>54</v>
      </c>
      <c r="G405" s="21" t="s">
        <v>53</v>
      </c>
      <c r="H405" s="21" t="s">
        <v>53</v>
      </c>
      <c r="I405" s="21" t="s">
        <v>64</v>
      </c>
      <c r="J405" s="21" t="s">
        <v>53</v>
      </c>
      <c r="K405" s="21" t="s">
        <v>53</v>
      </c>
      <c r="L405" s="22" t="str">
        <f t="shared" si="30"/>
        <v>EXCLUDE</v>
      </c>
      <c r="M405" s="22" t="str">
        <f t="shared" si="31"/>
        <v>No Design for Safety/Quality/PtD</v>
      </c>
      <c r="N405" s="23"/>
      <c r="O405" s="23"/>
      <c r="P405" s="24"/>
      <c r="Q405" s="24"/>
      <c r="R405" s="24"/>
      <c r="S405" s="22" t="str">
        <f t="shared" si="32"/>
        <v/>
      </c>
      <c r="T405" s="22" t="str">
        <f t="shared" si="33"/>
        <v/>
      </c>
      <c r="U405" s="25"/>
      <c r="V405" s="25"/>
      <c r="W405" s="25"/>
      <c r="X405" s="25"/>
      <c r="Y405" s="22" t="str">
        <f t="shared" si="34"/>
        <v/>
      </c>
      <c r="Z405" s="25"/>
      <c r="AA405" s="25"/>
      <c r="AB405" s="25"/>
      <c r="AC405" s="25"/>
      <c r="AD405" s="25"/>
      <c r="AE405" s="25"/>
      <c r="AF405" s="25"/>
      <c r="AG405" s="9"/>
      <c r="AH405" s="29"/>
      <c r="AI405" s="29"/>
      <c r="AM405" s="50"/>
      <c r="AN405" s="51" t="s">
        <v>2056</v>
      </c>
      <c r="AO405" s="55" t="s">
        <v>2057</v>
      </c>
    </row>
    <row r="406" spans="1:41" ht="102.6" hidden="1" customHeight="1" x14ac:dyDescent="0.3">
      <c r="A406" s="20">
        <v>402</v>
      </c>
      <c r="B406" s="8" t="s">
        <v>2058</v>
      </c>
      <c r="C406" s="26">
        <v>2026</v>
      </c>
      <c r="D406" s="8"/>
      <c r="E406" s="8" t="s">
        <v>2059</v>
      </c>
      <c r="F406" s="20" t="s">
        <v>54</v>
      </c>
      <c r="G406" s="21" t="s">
        <v>53</v>
      </c>
      <c r="H406" s="21" t="s">
        <v>64</v>
      </c>
      <c r="I406" s="21" t="s">
        <v>53</v>
      </c>
      <c r="J406" s="21" t="s">
        <v>53</v>
      </c>
      <c r="K406" s="21" t="s">
        <v>53</v>
      </c>
      <c r="L406" s="22" t="str">
        <f t="shared" si="30"/>
        <v>EXCLUDE</v>
      </c>
      <c r="M406" s="22" t="str">
        <f t="shared" si="31"/>
        <v>Digital Twin not core / buzzword</v>
      </c>
      <c r="N406" s="23"/>
      <c r="O406" s="23"/>
      <c r="P406" s="24"/>
      <c r="Q406" s="24"/>
      <c r="R406" s="24"/>
      <c r="S406" s="22" t="str">
        <f t="shared" si="32"/>
        <v/>
      </c>
      <c r="T406" s="22" t="str">
        <f t="shared" si="33"/>
        <v/>
      </c>
      <c r="U406" s="25"/>
      <c r="V406" s="25"/>
      <c r="W406" s="25"/>
      <c r="X406" s="25"/>
      <c r="Y406" s="22" t="str">
        <f t="shared" si="34"/>
        <v/>
      </c>
      <c r="Z406" s="25"/>
      <c r="AA406" s="25"/>
      <c r="AB406" s="25"/>
      <c r="AC406" s="25"/>
      <c r="AD406" s="25"/>
      <c r="AE406" s="25"/>
      <c r="AF406" s="25"/>
      <c r="AG406" s="9"/>
      <c r="AH406" s="29"/>
      <c r="AI406" s="29"/>
      <c r="AM406" s="50"/>
      <c r="AN406" s="51" t="s">
        <v>2060</v>
      </c>
      <c r="AO406" s="55" t="s">
        <v>2061</v>
      </c>
    </row>
    <row r="407" spans="1:41" ht="34.200000000000003" hidden="1" customHeight="1" x14ac:dyDescent="0.3">
      <c r="A407" s="20">
        <v>403</v>
      </c>
      <c r="B407" s="8" t="s">
        <v>2062</v>
      </c>
      <c r="C407" s="26">
        <v>2026</v>
      </c>
      <c r="D407" s="8"/>
      <c r="E407" s="8" t="s">
        <v>2063</v>
      </c>
      <c r="F407" s="20" t="s">
        <v>54</v>
      </c>
      <c r="G407" s="21" t="s">
        <v>53</v>
      </c>
      <c r="H407" s="21" t="s">
        <v>64</v>
      </c>
      <c r="I407" s="21" t="s">
        <v>53</v>
      </c>
      <c r="J407" s="21" t="s">
        <v>53</v>
      </c>
      <c r="K407" s="21" t="s">
        <v>53</v>
      </c>
      <c r="L407" s="22" t="str">
        <f t="shared" si="30"/>
        <v>EXCLUDE</v>
      </c>
      <c r="M407" s="22" t="str">
        <f t="shared" si="31"/>
        <v>Digital Twin not core / buzzword</v>
      </c>
      <c r="N407" s="23"/>
      <c r="O407" s="23"/>
      <c r="P407" s="24"/>
      <c r="Q407" s="24"/>
      <c r="R407" s="24"/>
      <c r="S407" s="22" t="str">
        <f t="shared" si="32"/>
        <v/>
      </c>
      <c r="T407" s="22" t="str">
        <f t="shared" si="33"/>
        <v/>
      </c>
      <c r="U407" s="25"/>
      <c r="V407" s="25"/>
      <c r="W407" s="25"/>
      <c r="X407" s="25"/>
      <c r="Y407" s="22" t="str">
        <f t="shared" si="34"/>
        <v/>
      </c>
      <c r="Z407" s="25"/>
      <c r="AA407" s="25"/>
      <c r="AB407" s="25"/>
      <c r="AC407" s="25"/>
      <c r="AD407" s="25"/>
      <c r="AE407" s="25"/>
      <c r="AF407" s="25"/>
      <c r="AG407" s="9"/>
      <c r="AH407" s="29"/>
      <c r="AI407" s="29"/>
      <c r="AM407" s="50"/>
      <c r="AN407" s="51" t="s">
        <v>2064</v>
      </c>
      <c r="AO407" s="55" t="s">
        <v>2065</v>
      </c>
    </row>
    <row r="408" spans="1:41" ht="409.6" hidden="1" customHeight="1" x14ac:dyDescent="0.3">
      <c r="A408" s="20">
        <v>404</v>
      </c>
      <c r="B408" s="8" t="s">
        <v>1037</v>
      </c>
      <c r="C408" s="26">
        <v>2026</v>
      </c>
      <c r="D408" s="8"/>
      <c r="E408" s="8" t="s">
        <v>2066</v>
      </c>
      <c r="F408" s="20" t="s">
        <v>54</v>
      </c>
      <c r="G408" s="21" t="s">
        <v>53</v>
      </c>
      <c r="H408" s="21" t="s">
        <v>64</v>
      </c>
      <c r="I408" s="21" t="s">
        <v>53</v>
      </c>
      <c r="J408" s="21" t="s">
        <v>53</v>
      </c>
      <c r="K408" s="21" t="s">
        <v>53</v>
      </c>
      <c r="L408" s="22" t="str">
        <f t="shared" si="30"/>
        <v>EXCLUDE</v>
      </c>
      <c r="M408" s="22" t="str">
        <f t="shared" si="31"/>
        <v>Digital Twin not core / buzzword</v>
      </c>
      <c r="N408" s="23"/>
      <c r="O408" s="23"/>
      <c r="P408" s="24"/>
      <c r="Q408" s="24"/>
      <c r="R408" s="24"/>
      <c r="S408" s="22" t="str">
        <f t="shared" si="32"/>
        <v/>
      </c>
      <c r="T408" s="22" t="str">
        <f t="shared" si="33"/>
        <v/>
      </c>
      <c r="U408" s="25"/>
      <c r="V408" s="25"/>
      <c r="W408" s="25"/>
      <c r="X408" s="25"/>
      <c r="Y408" s="22" t="str">
        <f t="shared" si="34"/>
        <v/>
      </c>
      <c r="Z408" s="25"/>
      <c r="AA408" s="25"/>
      <c r="AB408" s="25"/>
      <c r="AC408" s="25"/>
      <c r="AD408" s="25"/>
      <c r="AE408" s="25"/>
      <c r="AF408" s="25"/>
      <c r="AG408" s="9"/>
      <c r="AH408" s="29"/>
      <c r="AI408" s="29"/>
      <c r="AM408" s="50"/>
      <c r="AN408" s="51" t="s">
        <v>2067</v>
      </c>
      <c r="AO408" s="55" t="s">
        <v>2068</v>
      </c>
    </row>
    <row r="409" spans="1:41" ht="91.2" customHeight="1" x14ac:dyDescent="0.3">
      <c r="A409" s="20">
        <v>405</v>
      </c>
      <c r="B409" s="8" t="s">
        <v>2069</v>
      </c>
      <c r="C409" s="26">
        <v>2026</v>
      </c>
      <c r="D409" s="8"/>
      <c r="E409" s="8" t="s">
        <v>2070</v>
      </c>
      <c r="F409" s="20" t="s">
        <v>54</v>
      </c>
      <c r="G409" s="21" t="s">
        <v>53</v>
      </c>
      <c r="H409" s="21" t="s">
        <v>53</v>
      </c>
      <c r="I409" s="21" t="s">
        <v>53</v>
      </c>
      <c r="J409" s="21" t="s">
        <v>53</v>
      </c>
      <c r="K409" s="21" t="s">
        <v>53</v>
      </c>
      <c r="L409" s="22" t="str">
        <f t="shared" si="30"/>
        <v>INCLUDE</v>
      </c>
      <c r="M409" s="22" t="str">
        <f t="shared" si="31"/>
        <v/>
      </c>
      <c r="N409" s="23" t="s">
        <v>53</v>
      </c>
      <c r="O409" s="23" t="s">
        <v>53</v>
      </c>
      <c r="P409" s="24" t="s">
        <v>53</v>
      </c>
      <c r="Q409" s="24" t="s">
        <v>53</v>
      </c>
      <c r="R409" s="24" t="s">
        <v>53</v>
      </c>
      <c r="S409" s="22" t="str">
        <f t="shared" si="32"/>
        <v>INCLUDE</v>
      </c>
      <c r="T409" s="22" t="str">
        <f t="shared" si="33"/>
        <v/>
      </c>
      <c r="U409" s="25" t="s">
        <v>67</v>
      </c>
      <c r="V409" s="25">
        <v>0</v>
      </c>
      <c r="W409" s="25">
        <v>0</v>
      </c>
      <c r="X409" s="25">
        <v>1</v>
      </c>
      <c r="Y409" s="22" t="str">
        <f t="shared" si="34"/>
        <v>Single</v>
      </c>
      <c r="Z409" s="25" t="s">
        <v>9</v>
      </c>
      <c r="AA409" s="25" t="s">
        <v>57</v>
      </c>
      <c r="AB409" s="25" t="s">
        <v>103</v>
      </c>
      <c r="AC409" s="25" t="s">
        <v>70</v>
      </c>
      <c r="AD409" s="25" t="s">
        <v>89</v>
      </c>
      <c r="AE409" s="25">
        <v>4</v>
      </c>
      <c r="AF409" s="25" t="s">
        <v>90</v>
      </c>
      <c r="AG409" s="9" t="s">
        <v>2071</v>
      </c>
      <c r="AH409" s="29" t="s">
        <v>2072</v>
      </c>
      <c r="AI409" s="29" t="s">
        <v>2073</v>
      </c>
      <c r="AJ409" t="s">
        <v>82</v>
      </c>
      <c r="AK409" t="s">
        <v>2074</v>
      </c>
      <c r="AL409" t="s">
        <v>74</v>
      </c>
      <c r="AM409" s="50"/>
      <c r="AN409" s="51" t="s">
        <v>2075</v>
      </c>
      <c r="AO409" s="55" t="s">
        <v>2076</v>
      </c>
    </row>
    <row r="410" spans="1:41" ht="45.6" hidden="1" customHeight="1" x14ac:dyDescent="0.3">
      <c r="A410" s="20">
        <v>406</v>
      </c>
      <c r="B410" s="8" t="s">
        <v>2077</v>
      </c>
      <c r="C410" s="26">
        <v>2026</v>
      </c>
      <c r="D410" s="8"/>
      <c r="E410" s="8" t="s">
        <v>2078</v>
      </c>
      <c r="F410" s="20" t="s">
        <v>54</v>
      </c>
      <c r="G410" s="21" t="s">
        <v>64</v>
      </c>
      <c r="H410" s="21" t="s">
        <v>53</v>
      </c>
      <c r="I410" s="21" t="s">
        <v>53</v>
      </c>
      <c r="J410" s="21" t="s">
        <v>53</v>
      </c>
      <c r="K410" s="21" t="s">
        <v>53</v>
      </c>
      <c r="L410" s="22" t="str">
        <f t="shared" si="30"/>
        <v>EXCLUDE</v>
      </c>
      <c r="M410" s="22" t="str">
        <f t="shared" si="31"/>
        <v>Wrong domain (non-AECO)</v>
      </c>
      <c r="N410" s="23"/>
      <c r="O410" s="23"/>
      <c r="P410" s="24"/>
      <c r="Q410" s="24"/>
      <c r="R410" s="24"/>
      <c r="S410" s="22" t="str">
        <f t="shared" si="32"/>
        <v/>
      </c>
      <c r="T410" s="22" t="str">
        <f t="shared" si="33"/>
        <v/>
      </c>
      <c r="U410" s="25"/>
      <c r="V410" s="25"/>
      <c r="W410" s="25"/>
      <c r="X410" s="25"/>
      <c r="Y410" s="22" t="str">
        <f t="shared" si="34"/>
        <v/>
      </c>
      <c r="Z410" s="25"/>
      <c r="AA410" s="25"/>
      <c r="AB410" s="25"/>
      <c r="AC410" s="25"/>
      <c r="AD410" s="25"/>
      <c r="AE410" s="25"/>
      <c r="AF410" s="25"/>
      <c r="AG410" s="9"/>
      <c r="AH410" s="29"/>
      <c r="AI410" s="29"/>
      <c r="AM410" s="50"/>
      <c r="AN410" s="51" t="s">
        <v>2079</v>
      </c>
      <c r="AO410" s="55" t="s">
        <v>2080</v>
      </c>
    </row>
    <row r="411" spans="1:41" ht="45.6" hidden="1" customHeight="1" x14ac:dyDescent="0.3">
      <c r="A411" s="20">
        <v>407</v>
      </c>
      <c r="B411" s="8" t="s">
        <v>2081</v>
      </c>
      <c r="C411" s="26">
        <v>2026</v>
      </c>
      <c r="D411" s="8"/>
      <c r="E411" s="8" t="s">
        <v>2082</v>
      </c>
      <c r="F411" s="20" t="s">
        <v>54</v>
      </c>
      <c r="G411" s="21" t="s">
        <v>64</v>
      </c>
      <c r="H411" s="21" t="s">
        <v>53</v>
      </c>
      <c r="I411" s="21" t="s">
        <v>53</v>
      </c>
      <c r="J411" s="21" t="s">
        <v>53</v>
      </c>
      <c r="K411" s="21" t="s">
        <v>53</v>
      </c>
      <c r="L411" s="22" t="str">
        <f t="shared" si="30"/>
        <v>EXCLUDE</v>
      </c>
      <c r="M411" s="22" t="str">
        <f t="shared" si="31"/>
        <v>Wrong domain (non-AECO)</v>
      </c>
      <c r="N411" s="23"/>
      <c r="O411" s="23"/>
      <c r="P411" s="24"/>
      <c r="Q411" s="24"/>
      <c r="R411" s="24"/>
      <c r="S411" s="22" t="str">
        <f t="shared" si="32"/>
        <v/>
      </c>
      <c r="T411" s="22" t="str">
        <f t="shared" si="33"/>
        <v/>
      </c>
      <c r="U411" s="25"/>
      <c r="V411" s="25"/>
      <c r="W411" s="25"/>
      <c r="X411" s="25"/>
      <c r="Y411" s="22" t="str">
        <f t="shared" si="34"/>
        <v/>
      </c>
      <c r="Z411" s="25"/>
      <c r="AA411" s="25"/>
      <c r="AB411" s="25"/>
      <c r="AC411" s="25"/>
      <c r="AD411" s="25"/>
      <c r="AE411" s="25"/>
      <c r="AF411" s="25"/>
      <c r="AG411" s="9"/>
      <c r="AH411" s="29"/>
      <c r="AI411" s="29"/>
      <c r="AM411" s="50"/>
      <c r="AN411" s="51" t="s">
        <v>2083</v>
      </c>
      <c r="AO411" s="55" t="s">
        <v>2084</v>
      </c>
    </row>
    <row r="412" spans="1:41" ht="114" hidden="1" customHeight="1" x14ac:dyDescent="0.3">
      <c r="A412" s="20">
        <v>408</v>
      </c>
      <c r="B412" s="8" t="s">
        <v>2085</v>
      </c>
      <c r="C412" s="26">
        <v>2026</v>
      </c>
      <c r="D412" s="8"/>
      <c r="E412" s="8" t="s">
        <v>2086</v>
      </c>
      <c r="F412" s="20" t="s">
        <v>54</v>
      </c>
      <c r="G412" s="21" t="s">
        <v>53</v>
      </c>
      <c r="H412" s="21" t="s">
        <v>53</v>
      </c>
      <c r="I412" s="21" t="s">
        <v>64</v>
      </c>
      <c r="J412" s="21" t="s">
        <v>53</v>
      </c>
      <c r="K412" s="21" t="s">
        <v>53</v>
      </c>
      <c r="L412" s="22" t="str">
        <f t="shared" si="30"/>
        <v>EXCLUDE</v>
      </c>
      <c r="M412" s="22" t="str">
        <f t="shared" si="31"/>
        <v>No Design for Safety/Quality/PtD</v>
      </c>
      <c r="N412" s="23"/>
      <c r="O412" s="23"/>
      <c r="P412" s="24"/>
      <c r="Q412" s="24"/>
      <c r="R412" s="24"/>
      <c r="S412" s="22" t="str">
        <f t="shared" si="32"/>
        <v/>
      </c>
      <c r="T412" s="22" t="str">
        <f t="shared" si="33"/>
        <v/>
      </c>
      <c r="U412" s="25"/>
      <c r="V412" s="25"/>
      <c r="W412" s="25"/>
      <c r="X412" s="25"/>
      <c r="Y412" s="22" t="str">
        <f t="shared" si="34"/>
        <v/>
      </c>
      <c r="Z412" s="25"/>
      <c r="AA412" s="25"/>
      <c r="AB412" s="25"/>
      <c r="AC412" s="25"/>
      <c r="AD412" s="25"/>
      <c r="AE412" s="25"/>
      <c r="AF412" s="25"/>
      <c r="AG412" s="9"/>
      <c r="AH412" s="29"/>
      <c r="AI412" s="29"/>
      <c r="AM412" s="50"/>
      <c r="AN412" s="51" t="s">
        <v>2087</v>
      </c>
      <c r="AO412" s="55" t="s">
        <v>2088</v>
      </c>
    </row>
    <row r="413" spans="1:41" ht="79.95" customHeight="1" x14ac:dyDescent="0.3">
      <c r="A413" s="20">
        <v>409</v>
      </c>
      <c r="B413" s="8" t="s">
        <v>2089</v>
      </c>
      <c r="C413" s="26">
        <v>2025</v>
      </c>
      <c r="D413" s="8"/>
      <c r="E413" s="8" t="s">
        <v>2090</v>
      </c>
      <c r="F413" s="20" t="s">
        <v>54</v>
      </c>
      <c r="G413" s="21" t="s">
        <v>53</v>
      </c>
      <c r="H413" s="21" t="s">
        <v>53</v>
      </c>
      <c r="I413" s="21" t="s">
        <v>53</v>
      </c>
      <c r="J413" s="21" t="s">
        <v>53</v>
      </c>
      <c r="K413" s="21" t="s">
        <v>53</v>
      </c>
      <c r="L413" s="22" t="str">
        <f t="shared" si="30"/>
        <v>INCLUDE</v>
      </c>
      <c r="M413" s="22" t="str">
        <f t="shared" si="31"/>
        <v/>
      </c>
      <c r="N413" s="23" t="s">
        <v>53</v>
      </c>
      <c r="O413" s="23" t="s">
        <v>53</v>
      </c>
      <c r="P413" s="24" t="s">
        <v>53</v>
      </c>
      <c r="Q413" s="24" t="s">
        <v>53</v>
      </c>
      <c r="R413" s="24" t="s">
        <v>53</v>
      </c>
      <c r="S413" s="22" t="str">
        <f t="shared" si="32"/>
        <v>INCLUDE</v>
      </c>
      <c r="T413" s="22" t="str">
        <f t="shared" si="33"/>
        <v/>
      </c>
      <c r="U413" s="25" t="s">
        <v>76</v>
      </c>
      <c r="V413" s="25">
        <v>0</v>
      </c>
      <c r="W413" s="25">
        <v>1</v>
      </c>
      <c r="X413" s="25">
        <v>0</v>
      </c>
      <c r="Y413" s="22" t="str">
        <f t="shared" si="34"/>
        <v>Single</v>
      </c>
      <c r="Z413" s="25" t="s">
        <v>9</v>
      </c>
      <c r="AA413" s="25" t="s">
        <v>57</v>
      </c>
      <c r="AB413" s="25" t="s">
        <v>58</v>
      </c>
      <c r="AC413" s="25" t="s">
        <v>70</v>
      </c>
      <c r="AD413" s="25" t="s">
        <v>89</v>
      </c>
      <c r="AE413" s="25">
        <v>4</v>
      </c>
      <c r="AF413" s="25" t="s">
        <v>90</v>
      </c>
      <c r="AG413" s="9" t="s">
        <v>2091</v>
      </c>
      <c r="AH413" s="29" t="s">
        <v>2092</v>
      </c>
      <c r="AI413" s="29" t="s">
        <v>2093</v>
      </c>
      <c r="AJ413" t="s">
        <v>91</v>
      </c>
      <c r="AK413" t="s">
        <v>2094</v>
      </c>
      <c r="AL413" t="s">
        <v>63</v>
      </c>
      <c r="AM413" s="50"/>
      <c r="AN413" s="51" t="s">
        <v>2095</v>
      </c>
      <c r="AO413" s="55" t="s">
        <v>2096</v>
      </c>
    </row>
    <row r="414" spans="1:41" ht="45.6" hidden="1" customHeight="1" x14ac:dyDescent="0.3">
      <c r="A414" s="20">
        <v>410</v>
      </c>
      <c r="B414" s="8" t="s">
        <v>2097</v>
      </c>
      <c r="C414" s="26">
        <v>2025</v>
      </c>
      <c r="D414" s="8"/>
      <c r="E414" s="8" t="s">
        <v>2098</v>
      </c>
      <c r="F414" s="20" t="s">
        <v>54</v>
      </c>
      <c r="G414" s="21" t="s">
        <v>53</v>
      </c>
      <c r="H414" s="21" t="s">
        <v>53</v>
      </c>
      <c r="I414" s="21" t="s">
        <v>53</v>
      </c>
      <c r="J414" s="21" t="s">
        <v>53</v>
      </c>
      <c r="K414" s="21" t="s">
        <v>53</v>
      </c>
      <c r="L414" s="22" t="str">
        <f t="shared" si="30"/>
        <v>INCLUDE</v>
      </c>
      <c r="M414" s="22" t="str">
        <f t="shared" si="31"/>
        <v/>
      </c>
      <c r="N414" s="23" t="s">
        <v>64</v>
      </c>
      <c r="O414" s="23" t="s">
        <v>64</v>
      </c>
      <c r="P414" s="24"/>
      <c r="Q414" s="24"/>
      <c r="R414" s="24"/>
      <c r="S414" s="22" t="str">
        <f t="shared" si="32"/>
        <v/>
      </c>
      <c r="T414" s="22" t="str">
        <f t="shared" si="33"/>
        <v/>
      </c>
      <c r="U414" s="25"/>
      <c r="V414" s="25"/>
      <c r="W414" s="25"/>
      <c r="X414" s="25"/>
      <c r="Y414" s="22" t="str">
        <f t="shared" si="34"/>
        <v/>
      </c>
      <c r="Z414" s="25"/>
      <c r="AA414" s="25"/>
      <c r="AB414" s="25"/>
      <c r="AC414" s="25"/>
      <c r="AD414" s="25"/>
      <c r="AE414" s="25"/>
      <c r="AF414" s="25"/>
      <c r="AG414" s="9"/>
      <c r="AH414" s="29"/>
      <c r="AI414" s="29"/>
      <c r="AM414" s="50"/>
      <c r="AN414" s="51" t="s">
        <v>2099</v>
      </c>
      <c r="AO414" s="55" t="s">
        <v>2100</v>
      </c>
    </row>
    <row r="415" spans="1:41" ht="100.95" hidden="1" customHeight="1" x14ac:dyDescent="0.3">
      <c r="A415" s="20">
        <v>411</v>
      </c>
      <c r="B415" s="8" t="s">
        <v>2101</v>
      </c>
      <c r="C415" s="26">
        <v>2026</v>
      </c>
      <c r="D415" s="8"/>
      <c r="E415" s="8" t="s">
        <v>2102</v>
      </c>
      <c r="F415" s="20" t="s">
        <v>54</v>
      </c>
      <c r="G415" s="21" t="s">
        <v>64</v>
      </c>
      <c r="H415" s="21" t="s">
        <v>53</v>
      </c>
      <c r="I415" s="21" t="s">
        <v>53</v>
      </c>
      <c r="J415" s="21" t="s">
        <v>53</v>
      </c>
      <c r="K415" s="21" t="s">
        <v>53</v>
      </c>
      <c r="L415" s="22" t="str">
        <f t="shared" si="30"/>
        <v>EXCLUDE</v>
      </c>
      <c r="M415" s="22" t="str">
        <f t="shared" si="31"/>
        <v>Wrong domain (non-AECO)</v>
      </c>
      <c r="N415" s="23"/>
      <c r="O415" s="23"/>
      <c r="P415" s="24"/>
      <c r="Q415" s="24"/>
      <c r="R415" s="24"/>
      <c r="S415" s="22" t="str">
        <f t="shared" si="32"/>
        <v/>
      </c>
      <c r="T415" s="22" t="str">
        <f t="shared" si="33"/>
        <v/>
      </c>
      <c r="U415" s="25"/>
      <c r="V415" s="25"/>
      <c r="W415" s="25"/>
      <c r="X415" s="25"/>
      <c r="Y415" s="22" t="str">
        <f t="shared" si="34"/>
        <v/>
      </c>
      <c r="Z415" s="25"/>
      <c r="AA415" s="25"/>
      <c r="AB415" s="25"/>
      <c r="AC415" s="25"/>
      <c r="AD415" s="25"/>
      <c r="AE415" s="25"/>
      <c r="AF415" s="25"/>
      <c r="AG415" s="9"/>
      <c r="AH415" s="29"/>
      <c r="AI415" s="29"/>
      <c r="AM415" s="50"/>
      <c r="AN415" s="51" t="s">
        <v>2103</v>
      </c>
      <c r="AO415" s="55" t="s">
        <v>2104</v>
      </c>
    </row>
    <row r="416" spans="1:41" ht="125.4" customHeight="1" x14ac:dyDescent="0.3">
      <c r="A416" s="20">
        <v>412</v>
      </c>
      <c r="B416" s="8" t="s">
        <v>2105</v>
      </c>
      <c r="C416" s="26">
        <v>2026</v>
      </c>
      <c r="D416" s="8"/>
      <c r="E416" s="8" t="s">
        <v>2106</v>
      </c>
      <c r="F416" s="20" t="s">
        <v>54</v>
      </c>
      <c r="G416" s="21" t="s">
        <v>53</v>
      </c>
      <c r="H416" s="21" t="s">
        <v>53</v>
      </c>
      <c r="I416" s="21" t="s">
        <v>53</v>
      </c>
      <c r="J416" s="21" t="s">
        <v>53</v>
      </c>
      <c r="K416" s="21" t="s">
        <v>53</v>
      </c>
      <c r="L416" s="22" t="str">
        <f t="shared" si="30"/>
        <v>INCLUDE</v>
      </c>
      <c r="M416" s="22" t="str">
        <f t="shared" si="31"/>
        <v/>
      </c>
      <c r="N416" s="23" t="s">
        <v>53</v>
      </c>
      <c r="O416" s="23" t="s">
        <v>53</v>
      </c>
      <c r="P416" s="24" t="s">
        <v>53</v>
      </c>
      <c r="Q416" s="24" t="s">
        <v>53</v>
      </c>
      <c r="R416" s="24" t="s">
        <v>53</v>
      </c>
      <c r="S416" s="22" t="str">
        <f t="shared" si="32"/>
        <v>INCLUDE</v>
      </c>
      <c r="T416" s="22" t="str">
        <f t="shared" si="33"/>
        <v/>
      </c>
      <c r="U416" s="25" t="s">
        <v>56</v>
      </c>
      <c r="V416" s="25">
        <v>0</v>
      </c>
      <c r="W416" s="25">
        <v>1</v>
      </c>
      <c r="X416" s="25">
        <v>0</v>
      </c>
      <c r="Y416" s="22" t="str">
        <f t="shared" si="34"/>
        <v>Single</v>
      </c>
      <c r="Z416" s="25" t="s">
        <v>9</v>
      </c>
      <c r="AA416" s="25" t="s">
        <v>57</v>
      </c>
      <c r="AB416" s="25" t="s">
        <v>58</v>
      </c>
      <c r="AC416" s="25" t="s">
        <v>59</v>
      </c>
      <c r="AD416" s="25" t="s">
        <v>89</v>
      </c>
      <c r="AE416" s="25">
        <v>3</v>
      </c>
      <c r="AF416" s="25" t="s">
        <v>81</v>
      </c>
      <c r="AG416" s="9" t="s">
        <v>2107</v>
      </c>
      <c r="AH416" s="29" t="s">
        <v>2108</v>
      </c>
      <c r="AI416" s="29" t="s">
        <v>2109</v>
      </c>
      <c r="AJ416" t="s">
        <v>62</v>
      </c>
      <c r="AK416" t="s">
        <v>2110</v>
      </c>
      <c r="AL416" t="s">
        <v>74</v>
      </c>
      <c r="AM416" s="50"/>
      <c r="AN416" s="51" t="s">
        <v>2111</v>
      </c>
      <c r="AO416" s="55" t="s">
        <v>2112</v>
      </c>
    </row>
    <row r="417" spans="1:41" ht="102.6" customHeight="1" x14ac:dyDescent="0.3">
      <c r="A417" s="20">
        <v>413</v>
      </c>
      <c r="B417" s="8" t="s">
        <v>2113</v>
      </c>
      <c r="C417" s="26">
        <v>2026</v>
      </c>
      <c r="D417" s="8"/>
      <c r="E417" s="8" t="s">
        <v>2114</v>
      </c>
      <c r="F417" s="20" t="s">
        <v>54</v>
      </c>
      <c r="G417" s="21" t="s">
        <v>53</v>
      </c>
      <c r="H417" s="21" t="s">
        <v>53</v>
      </c>
      <c r="I417" s="21" t="s">
        <v>53</v>
      </c>
      <c r="J417" s="21" t="s">
        <v>53</v>
      </c>
      <c r="K417" s="21" t="s">
        <v>53</v>
      </c>
      <c r="L417" s="22" t="str">
        <f t="shared" si="30"/>
        <v>INCLUDE</v>
      </c>
      <c r="M417" s="22" t="str">
        <f t="shared" si="31"/>
        <v/>
      </c>
      <c r="N417" s="23" t="s">
        <v>53</v>
      </c>
      <c r="O417" s="23" t="s">
        <v>53</v>
      </c>
      <c r="P417" s="24" t="s">
        <v>53</v>
      </c>
      <c r="Q417" s="24" t="s">
        <v>53</v>
      </c>
      <c r="R417" s="24" t="s">
        <v>53</v>
      </c>
      <c r="S417" s="22" t="str">
        <f t="shared" si="32"/>
        <v>INCLUDE</v>
      </c>
      <c r="T417" s="22" t="str">
        <f t="shared" si="33"/>
        <v/>
      </c>
      <c r="U417" s="25" t="s">
        <v>67</v>
      </c>
      <c r="V417" s="25">
        <v>0</v>
      </c>
      <c r="W417" s="25">
        <v>1</v>
      </c>
      <c r="X417" s="25">
        <v>0</v>
      </c>
      <c r="Y417" s="22" t="str">
        <f t="shared" si="34"/>
        <v>Single</v>
      </c>
      <c r="Z417" s="25" t="s">
        <v>9</v>
      </c>
      <c r="AA417" s="25" t="s">
        <v>57</v>
      </c>
      <c r="AB417" s="25" t="s">
        <v>88</v>
      </c>
      <c r="AC417" s="25" t="s">
        <v>70</v>
      </c>
      <c r="AD417" s="25" t="s">
        <v>89</v>
      </c>
      <c r="AE417" s="25">
        <v>4</v>
      </c>
      <c r="AF417" s="25" t="s">
        <v>96</v>
      </c>
      <c r="AG417" s="9" t="s">
        <v>2115</v>
      </c>
      <c r="AH417" s="29" t="s">
        <v>2116</v>
      </c>
      <c r="AI417" s="29" t="s">
        <v>2117</v>
      </c>
      <c r="AJ417" t="s">
        <v>91</v>
      </c>
      <c r="AK417" t="s">
        <v>2118</v>
      </c>
      <c r="AL417" t="s">
        <v>63</v>
      </c>
      <c r="AM417" s="50"/>
      <c r="AN417" s="51" t="s">
        <v>2119</v>
      </c>
      <c r="AO417" s="55" t="s">
        <v>2120</v>
      </c>
    </row>
    <row r="418" spans="1:41" ht="102.6" hidden="1" customHeight="1" x14ac:dyDescent="0.3">
      <c r="A418" s="20">
        <v>414</v>
      </c>
      <c r="B418" s="8" t="s">
        <v>2121</v>
      </c>
      <c r="C418" s="26">
        <v>2026</v>
      </c>
      <c r="D418" s="8"/>
      <c r="E418" s="8" t="s">
        <v>2122</v>
      </c>
      <c r="F418" s="20" t="s">
        <v>54</v>
      </c>
      <c r="G418" s="21" t="s">
        <v>53</v>
      </c>
      <c r="H418" s="21" t="s">
        <v>64</v>
      </c>
      <c r="I418" s="21" t="s">
        <v>53</v>
      </c>
      <c r="J418" s="21" t="s">
        <v>53</v>
      </c>
      <c r="K418" s="21" t="s">
        <v>53</v>
      </c>
      <c r="L418" s="22" t="str">
        <f t="shared" si="30"/>
        <v>EXCLUDE</v>
      </c>
      <c r="M418" s="22" t="str">
        <f t="shared" si="31"/>
        <v>Digital Twin not core / buzzword</v>
      </c>
      <c r="N418" s="23"/>
      <c r="O418" s="23"/>
      <c r="P418" s="24"/>
      <c r="Q418" s="24"/>
      <c r="R418" s="24"/>
      <c r="S418" s="22" t="str">
        <f t="shared" si="32"/>
        <v/>
      </c>
      <c r="T418" s="22" t="str">
        <f t="shared" si="33"/>
        <v/>
      </c>
      <c r="U418" s="25"/>
      <c r="V418" s="25"/>
      <c r="W418" s="25"/>
      <c r="X418" s="25"/>
      <c r="Y418" s="22" t="str">
        <f t="shared" si="34"/>
        <v/>
      </c>
      <c r="Z418" s="25"/>
      <c r="AA418" s="25"/>
      <c r="AB418" s="25"/>
      <c r="AC418" s="25"/>
      <c r="AD418" s="25"/>
      <c r="AE418" s="25"/>
      <c r="AF418" s="25"/>
      <c r="AG418" s="9"/>
      <c r="AH418" s="29"/>
      <c r="AI418" s="29"/>
      <c r="AM418" s="50"/>
      <c r="AN418" s="51" t="s">
        <v>2123</v>
      </c>
      <c r="AO418" s="55" t="s">
        <v>2124</v>
      </c>
    </row>
    <row r="419" spans="1:41" ht="57" hidden="1" customHeight="1" x14ac:dyDescent="0.3">
      <c r="A419" s="20">
        <v>415</v>
      </c>
      <c r="B419" s="8" t="s">
        <v>2125</v>
      </c>
      <c r="C419" s="26">
        <v>2026</v>
      </c>
      <c r="D419" s="8"/>
      <c r="E419" s="8" t="s">
        <v>2126</v>
      </c>
      <c r="F419" s="20" t="s">
        <v>54</v>
      </c>
      <c r="G419" s="21" t="s">
        <v>64</v>
      </c>
      <c r="H419" s="21" t="s">
        <v>53</v>
      </c>
      <c r="I419" s="21" t="s">
        <v>53</v>
      </c>
      <c r="J419" s="21" t="s">
        <v>53</v>
      </c>
      <c r="K419" s="21" t="s">
        <v>53</v>
      </c>
      <c r="L419" s="22" t="str">
        <f t="shared" si="30"/>
        <v>EXCLUDE</v>
      </c>
      <c r="M419" s="22" t="str">
        <f t="shared" si="31"/>
        <v>Wrong domain (non-AECO)</v>
      </c>
      <c r="N419" s="23"/>
      <c r="O419" s="23"/>
      <c r="P419" s="24"/>
      <c r="Q419" s="24"/>
      <c r="R419" s="24"/>
      <c r="S419" s="22" t="str">
        <f t="shared" si="32"/>
        <v/>
      </c>
      <c r="T419" s="22" t="str">
        <f t="shared" si="33"/>
        <v/>
      </c>
      <c r="U419" s="25"/>
      <c r="V419" s="25"/>
      <c r="W419" s="25"/>
      <c r="X419" s="25"/>
      <c r="Y419" s="22" t="str">
        <f t="shared" si="34"/>
        <v/>
      </c>
      <c r="Z419" s="25"/>
      <c r="AA419" s="25"/>
      <c r="AB419" s="25"/>
      <c r="AC419" s="25"/>
      <c r="AD419" s="25"/>
      <c r="AE419" s="25"/>
      <c r="AF419" s="25"/>
      <c r="AG419" s="9"/>
      <c r="AH419" s="29"/>
      <c r="AI419" s="29"/>
      <c r="AM419" s="50"/>
      <c r="AN419" s="51" t="s">
        <v>2127</v>
      </c>
      <c r="AO419" s="55" t="s">
        <v>2128</v>
      </c>
    </row>
    <row r="420" spans="1:41" ht="86.4" customHeight="1" x14ac:dyDescent="0.3">
      <c r="A420" s="20">
        <v>416</v>
      </c>
      <c r="B420" s="8" t="s">
        <v>2129</v>
      </c>
      <c r="C420" s="26">
        <v>2025</v>
      </c>
      <c r="D420" s="8"/>
      <c r="E420" s="8" t="s">
        <v>2130</v>
      </c>
      <c r="F420" s="20" t="s">
        <v>54</v>
      </c>
      <c r="G420" s="21" t="s">
        <v>53</v>
      </c>
      <c r="H420" s="21" t="s">
        <v>53</v>
      </c>
      <c r="I420" s="21" t="s">
        <v>53</v>
      </c>
      <c r="J420" s="21" t="s">
        <v>53</v>
      </c>
      <c r="K420" s="21" t="s">
        <v>53</v>
      </c>
      <c r="L420" s="22" t="str">
        <f t="shared" si="30"/>
        <v>INCLUDE</v>
      </c>
      <c r="M420" s="22" t="str">
        <f t="shared" si="31"/>
        <v/>
      </c>
      <c r="N420" s="23" t="s">
        <v>53</v>
      </c>
      <c r="O420" s="23" t="s">
        <v>53</v>
      </c>
      <c r="P420" s="24" t="s">
        <v>53</v>
      </c>
      <c r="Q420" s="24" t="s">
        <v>53</v>
      </c>
      <c r="R420" s="24" t="s">
        <v>53</v>
      </c>
      <c r="S420" s="22" t="str">
        <f t="shared" si="32"/>
        <v>INCLUDE</v>
      </c>
      <c r="T420" s="22" t="str">
        <f t="shared" si="33"/>
        <v/>
      </c>
      <c r="U420" s="25" t="s">
        <v>56</v>
      </c>
      <c r="V420" s="25">
        <v>0</v>
      </c>
      <c r="W420" s="25">
        <v>0</v>
      </c>
      <c r="X420" s="25">
        <v>1</v>
      </c>
      <c r="Y420" s="22" t="str">
        <f t="shared" si="34"/>
        <v>Single</v>
      </c>
      <c r="Z420" s="25" t="s">
        <v>9</v>
      </c>
      <c r="AA420" s="25" t="s">
        <v>57</v>
      </c>
      <c r="AB420" s="25" t="s">
        <v>100</v>
      </c>
      <c r="AC420" s="25" t="s">
        <v>59</v>
      </c>
      <c r="AD420" s="25" t="s">
        <v>89</v>
      </c>
      <c r="AE420" s="25">
        <v>4</v>
      </c>
      <c r="AF420" s="25" t="s">
        <v>90</v>
      </c>
      <c r="AG420" s="9" t="s">
        <v>2131</v>
      </c>
      <c r="AH420" s="29" t="s">
        <v>2132</v>
      </c>
      <c r="AI420" s="29" t="s">
        <v>2133</v>
      </c>
      <c r="AJ420" t="s">
        <v>62</v>
      </c>
      <c r="AK420" t="s">
        <v>2134</v>
      </c>
      <c r="AL420" t="s">
        <v>63</v>
      </c>
      <c r="AM420" s="50"/>
      <c r="AN420" s="51" t="s">
        <v>2135</v>
      </c>
      <c r="AO420" s="55" t="s">
        <v>2136</v>
      </c>
    </row>
    <row r="421" spans="1:41" ht="79.95" customHeight="1" x14ac:dyDescent="0.3">
      <c r="A421" s="20">
        <v>417</v>
      </c>
      <c r="B421" s="8" t="s">
        <v>2137</v>
      </c>
      <c r="C421" s="26">
        <v>2026</v>
      </c>
      <c r="D421" s="8"/>
      <c r="E421" s="8" t="s">
        <v>2138</v>
      </c>
      <c r="F421" s="20" t="s">
        <v>54</v>
      </c>
      <c r="G421" s="21" t="s">
        <v>53</v>
      </c>
      <c r="H421" s="21" t="s">
        <v>53</v>
      </c>
      <c r="I421" s="21" t="s">
        <v>53</v>
      </c>
      <c r="J421" s="21" t="s">
        <v>53</v>
      </c>
      <c r="K421" s="21" t="s">
        <v>53</v>
      </c>
      <c r="L421" s="22" t="str">
        <f t="shared" si="30"/>
        <v>INCLUDE</v>
      </c>
      <c r="M421" s="22" t="str">
        <f t="shared" si="31"/>
        <v/>
      </c>
      <c r="N421" s="23" t="s">
        <v>53</v>
      </c>
      <c r="O421" s="23" t="s">
        <v>53</v>
      </c>
      <c r="P421" s="24" t="s">
        <v>53</v>
      </c>
      <c r="Q421" s="24" t="s">
        <v>53</v>
      </c>
      <c r="R421" s="24" t="s">
        <v>53</v>
      </c>
      <c r="S421" s="22" t="str">
        <f t="shared" si="32"/>
        <v>INCLUDE</v>
      </c>
      <c r="T421" s="22" t="str">
        <f t="shared" si="33"/>
        <v/>
      </c>
      <c r="U421" s="25" t="s">
        <v>76</v>
      </c>
      <c r="V421" s="25">
        <v>0</v>
      </c>
      <c r="W421" s="25">
        <v>1</v>
      </c>
      <c r="X421" s="25">
        <v>0</v>
      </c>
      <c r="Y421" s="22" t="str">
        <f t="shared" si="34"/>
        <v>Single</v>
      </c>
      <c r="Z421" s="25" t="s">
        <v>9</v>
      </c>
      <c r="AA421" s="25" t="s">
        <v>78</v>
      </c>
      <c r="AB421" s="25" t="s">
        <v>69</v>
      </c>
      <c r="AC421" s="25" t="s">
        <v>70</v>
      </c>
      <c r="AD421" s="25" t="s">
        <v>89</v>
      </c>
      <c r="AE421" s="25">
        <v>4</v>
      </c>
      <c r="AF421" s="25" t="s">
        <v>96</v>
      </c>
      <c r="AG421" s="9" t="s">
        <v>2139</v>
      </c>
      <c r="AH421" s="29" t="s">
        <v>2140</v>
      </c>
      <c r="AI421" s="29" t="s">
        <v>2141</v>
      </c>
      <c r="AJ421" t="s">
        <v>91</v>
      </c>
      <c r="AK421" t="s">
        <v>2142</v>
      </c>
      <c r="AL421" t="s">
        <v>63</v>
      </c>
      <c r="AM421" s="50"/>
      <c r="AN421" s="51" t="s">
        <v>2143</v>
      </c>
      <c r="AO421" s="55" t="s">
        <v>2144</v>
      </c>
    </row>
    <row r="422" spans="1:41" ht="91.2" hidden="1" customHeight="1" x14ac:dyDescent="0.3">
      <c r="A422" s="20">
        <v>418</v>
      </c>
      <c r="B422" s="8" t="s">
        <v>2145</v>
      </c>
      <c r="C422" s="26">
        <v>2026</v>
      </c>
      <c r="D422" s="8"/>
      <c r="E422" s="8" t="s">
        <v>2146</v>
      </c>
      <c r="F422" s="20" t="s">
        <v>54</v>
      </c>
      <c r="G422" s="21" t="s">
        <v>53</v>
      </c>
      <c r="H422" s="21" t="s">
        <v>64</v>
      </c>
      <c r="I422" s="21" t="s">
        <v>53</v>
      </c>
      <c r="J422" s="21" t="s">
        <v>53</v>
      </c>
      <c r="K422" s="21" t="s">
        <v>53</v>
      </c>
      <c r="L422" s="22" t="str">
        <f t="shared" si="30"/>
        <v>EXCLUDE</v>
      </c>
      <c r="M422" s="22" t="str">
        <f t="shared" si="31"/>
        <v>Digital Twin not core / buzzword</v>
      </c>
      <c r="N422" s="23"/>
      <c r="O422" s="23"/>
      <c r="P422" s="24"/>
      <c r="Q422" s="24"/>
      <c r="R422" s="24"/>
      <c r="S422" s="22" t="str">
        <f t="shared" si="32"/>
        <v/>
      </c>
      <c r="T422" s="22" t="str">
        <f t="shared" si="33"/>
        <v/>
      </c>
      <c r="U422" s="25"/>
      <c r="V422" s="25"/>
      <c r="W422" s="25"/>
      <c r="X422" s="25"/>
      <c r="Y422" s="22" t="str">
        <f t="shared" si="34"/>
        <v/>
      </c>
      <c r="Z422" s="25"/>
      <c r="AA422" s="25"/>
      <c r="AB422" s="25"/>
      <c r="AC422" s="25"/>
      <c r="AD422" s="25"/>
      <c r="AE422" s="25"/>
      <c r="AF422" s="25"/>
      <c r="AG422" s="9"/>
      <c r="AH422" s="29"/>
      <c r="AI422" s="29"/>
      <c r="AM422" s="50"/>
      <c r="AN422" s="51" t="s">
        <v>2147</v>
      </c>
      <c r="AO422" s="55" t="s">
        <v>2148</v>
      </c>
    </row>
    <row r="423" spans="1:41" ht="45.6" hidden="1" customHeight="1" x14ac:dyDescent="0.3">
      <c r="A423" s="20">
        <v>419</v>
      </c>
      <c r="B423" s="8" t="s">
        <v>2149</v>
      </c>
      <c r="C423" s="26">
        <v>2025</v>
      </c>
      <c r="D423" s="8"/>
      <c r="E423" s="8" t="s">
        <v>2150</v>
      </c>
      <c r="F423" s="20" t="s">
        <v>54</v>
      </c>
      <c r="G423" s="21" t="s">
        <v>64</v>
      </c>
      <c r="H423" s="21" t="s">
        <v>53</v>
      </c>
      <c r="I423" s="21" t="s">
        <v>53</v>
      </c>
      <c r="J423" s="21" t="s">
        <v>53</v>
      </c>
      <c r="K423" s="21" t="s">
        <v>53</v>
      </c>
      <c r="L423" s="22" t="str">
        <f t="shared" si="30"/>
        <v>EXCLUDE</v>
      </c>
      <c r="M423" s="22" t="str">
        <f t="shared" si="31"/>
        <v>Wrong domain (non-AECO)</v>
      </c>
      <c r="N423" s="23"/>
      <c r="O423" s="23"/>
      <c r="P423" s="24"/>
      <c r="Q423" s="24"/>
      <c r="R423" s="24"/>
      <c r="S423" s="22" t="str">
        <f t="shared" si="32"/>
        <v/>
      </c>
      <c r="T423" s="22" t="str">
        <f t="shared" si="33"/>
        <v/>
      </c>
      <c r="U423" s="25"/>
      <c r="V423" s="25"/>
      <c r="W423" s="25"/>
      <c r="X423" s="25"/>
      <c r="Y423" s="22" t="str">
        <f t="shared" si="34"/>
        <v/>
      </c>
      <c r="Z423" s="25"/>
      <c r="AA423" s="25"/>
      <c r="AB423" s="25"/>
      <c r="AC423" s="25"/>
      <c r="AD423" s="25"/>
      <c r="AE423" s="25"/>
      <c r="AF423" s="25"/>
      <c r="AG423" s="9"/>
      <c r="AH423" s="29"/>
      <c r="AI423" s="29"/>
      <c r="AM423" s="50"/>
      <c r="AN423" s="51" t="s">
        <v>2151</v>
      </c>
      <c r="AO423" s="55" t="s">
        <v>2152</v>
      </c>
    </row>
    <row r="424" spans="1:41" ht="102.6" customHeight="1" x14ac:dyDescent="0.3">
      <c r="A424" s="20">
        <v>420</v>
      </c>
      <c r="B424" s="8" t="s">
        <v>2153</v>
      </c>
      <c r="C424" s="26">
        <v>2026</v>
      </c>
      <c r="D424" s="8"/>
      <c r="E424" s="8" t="s">
        <v>2154</v>
      </c>
      <c r="F424" s="20" t="s">
        <v>54</v>
      </c>
      <c r="G424" s="21" t="s">
        <v>53</v>
      </c>
      <c r="H424" s="21" t="s">
        <v>53</v>
      </c>
      <c r="I424" s="21" t="s">
        <v>53</v>
      </c>
      <c r="J424" s="21" t="s">
        <v>53</v>
      </c>
      <c r="K424" s="21" t="s">
        <v>53</v>
      </c>
      <c r="L424" s="22" t="str">
        <f t="shared" si="30"/>
        <v>INCLUDE</v>
      </c>
      <c r="M424" s="22" t="str">
        <f t="shared" si="31"/>
        <v/>
      </c>
      <c r="N424" s="23" t="s">
        <v>53</v>
      </c>
      <c r="O424" s="23" t="s">
        <v>53</v>
      </c>
      <c r="P424" s="24" t="s">
        <v>53</v>
      </c>
      <c r="Q424" s="24" t="s">
        <v>53</v>
      </c>
      <c r="R424" s="24" t="s">
        <v>53</v>
      </c>
      <c r="S424" s="22" t="str">
        <f t="shared" si="32"/>
        <v>INCLUDE</v>
      </c>
      <c r="T424" s="22" t="str">
        <f t="shared" si="33"/>
        <v/>
      </c>
      <c r="U424" s="25" t="s">
        <v>76</v>
      </c>
      <c r="V424" s="25">
        <v>0</v>
      </c>
      <c r="W424" s="25">
        <v>1</v>
      </c>
      <c r="X424" s="25">
        <v>0</v>
      </c>
      <c r="Y424" s="22" t="str">
        <f t="shared" si="34"/>
        <v>Single</v>
      </c>
      <c r="Z424" s="25" t="s">
        <v>9</v>
      </c>
      <c r="AA424" s="25" t="s">
        <v>57</v>
      </c>
      <c r="AB424" s="25" t="s">
        <v>58</v>
      </c>
      <c r="AC424" s="25" t="s">
        <v>70</v>
      </c>
      <c r="AD424" s="25" t="s">
        <v>71</v>
      </c>
      <c r="AE424" s="25">
        <v>4</v>
      </c>
      <c r="AF424" s="25" t="s">
        <v>81</v>
      </c>
      <c r="AG424" s="9" t="s">
        <v>2155</v>
      </c>
      <c r="AH424" s="29" t="s">
        <v>2156</v>
      </c>
      <c r="AI424" s="29" t="s">
        <v>2157</v>
      </c>
      <c r="AJ424" t="s">
        <v>91</v>
      </c>
      <c r="AK424" t="s">
        <v>2158</v>
      </c>
      <c r="AL424" t="s">
        <v>74</v>
      </c>
      <c r="AM424" s="50"/>
      <c r="AN424" s="51" t="s">
        <v>2159</v>
      </c>
      <c r="AO424" s="55" t="s">
        <v>2160</v>
      </c>
    </row>
    <row r="425" spans="1:41" ht="91.2" hidden="1" customHeight="1" x14ac:dyDescent="0.3">
      <c r="A425" s="20">
        <v>421</v>
      </c>
      <c r="B425" s="8" t="s">
        <v>2161</v>
      </c>
      <c r="C425" s="26">
        <v>2025</v>
      </c>
      <c r="D425" s="8"/>
      <c r="E425" s="8" t="s">
        <v>2162</v>
      </c>
      <c r="F425" s="20" t="s">
        <v>54</v>
      </c>
      <c r="G425" s="21" t="s">
        <v>64</v>
      </c>
      <c r="H425" s="21" t="s">
        <v>53</v>
      </c>
      <c r="I425" s="21" t="s">
        <v>53</v>
      </c>
      <c r="J425" s="21" t="s">
        <v>53</v>
      </c>
      <c r="K425" s="21" t="s">
        <v>53</v>
      </c>
      <c r="L425" s="22" t="str">
        <f t="shared" si="30"/>
        <v>EXCLUDE</v>
      </c>
      <c r="M425" s="22" t="str">
        <f t="shared" si="31"/>
        <v>Wrong domain (non-AECO)</v>
      </c>
      <c r="N425" s="23"/>
      <c r="O425" s="23"/>
      <c r="P425" s="24"/>
      <c r="Q425" s="24"/>
      <c r="R425" s="24"/>
      <c r="S425" s="22" t="str">
        <f t="shared" si="32"/>
        <v/>
      </c>
      <c r="T425" s="22" t="str">
        <f t="shared" si="33"/>
        <v/>
      </c>
      <c r="U425" s="25"/>
      <c r="V425" s="25"/>
      <c r="W425" s="25"/>
      <c r="X425" s="25"/>
      <c r="Y425" s="22" t="str">
        <f t="shared" si="34"/>
        <v/>
      </c>
      <c r="Z425" s="25"/>
      <c r="AA425" s="25"/>
      <c r="AB425" s="25"/>
      <c r="AC425" s="25"/>
      <c r="AD425" s="25"/>
      <c r="AE425" s="25"/>
      <c r="AF425" s="25"/>
      <c r="AG425" s="9"/>
      <c r="AH425" s="29"/>
      <c r="AI425" s="29"/>
      <c r="AM425" s="50"/>
      <c r="AN425" s="51" t="s">
        <v>2163</v>
      </c>
      <c r="AO425" s="55" t="s">
        <v>2164</v>
      </c>
    </row>
    <row r="426" spans="1:41" ht="45.6" hidden="1" customHeight="1" x14ac:dyDescent="0.3">
      <c r="A426" s="20">
        <v>422</v>
      </c>
      <c r="B426" s="8" t="s">
        <v>2165</v>
      </c>
      <c r="C426" s="26">
        <v>2025</v>
      </c>
      <c r="D426" s="8"/>
      <c r="E426" s="8" t="s">
        <v>2166</v>
      </c>
      <c r="F426" s="20" t="s">
        <v>54</v>
      </c>
      <c r="G426" s="21" t="s">
        <v>64</v>
      </c>
      <c r="H426" s="21" t="s">
        <v>53</v>
      </c>
      <c r="I426" s="21" t="s">
        <v>53</v>
      </c>
      <c r="J426" s="21" t="s">
        <v>53</v>
      </c>
      <c r="K426" s="21" t="s">
        <v>53</v>
      </c>
      <c r="L426" s="22" t="str">
        <f t="shared" si="30"/>
        <v>EXCLUDE</v>
      </c>
      <c r="M426" s="22" t="str">
        <f t="shared" si="31"/>
        <v>Wrong domain (non-AECO)</v>
      </c>
      <c r="N426" s="23"/>
      <c r="O426" s="23"/>
      <c r="P426" s="24"/>
      <c r="Q426" s="24"/>
      <c r="R426" s="24"/>
      <c r="S426" s="22" t="str">
        <f t="shared" si="32"/>
        <v/>
      </c>
      <c r="T426" s="22" t="str">
        <f t="shared" si="33"/>
        <v/>
      </c>
      <c r="U426" s="25"/>
      <c r="V426" s="25"/>
      <c r="W426" s="25"/>
      <c r="X426" s="25"/>
      <c r="Y426" s="22" t="str">
        <f t="shared" si="34"/>
        <v/>
      </c>
      <c r="Z426" s="25"/>
      <c r="AA426" s="25"/>
      <c r="AB426" s="25"/>
      <c r="AC426" s="25"/>
      <c r="AD426" s="25"/>
      <c r="AE426" s="25"/>
      <c r="AF426" s="25"/>
      <c r="AG426" s="9"/>
      <c r="AH426" s="29"/>
      <c r="AI426" s="29"/>
      <c r="AM426" s="50"/>
      <c r="AN426" s="51" t="s">
        <v>2167</v>
      </c>
      <c r="AO426" s="55" t="s">
        <v>2168</v>
      </c>
    </row>
    <row r="427" spans="1:41" ht="114" hidden="1" customHeight="1" x14ac:dyDescent="0.3">
      <c r="A427" s="20">
        <v>423</v>
      </c>
      <c r="B427" s="8" t="s">
        <v>2169</v>
      </c>
      <c r="C427" s="26">
        <v>2026</v>
      </c>
      <c r="D427" s="8"/>
      <c r="E427" s="8" t="s">
        <v>2170</v>
      </c>
      <c r="F427" s="20" t="s">
        <v>54</v>
      </c>
      <c r="G427" s="21" t="s">
        <v>64</v>
      </c>
      <c r="H427" s="21" t="s">
        <v>53</v>
      </c>
      <c r="I427" s="21" t="s">
        <v>53</v>
      </c>
      <c r="J427" s="21" t="s">
        <v>53</v>
      </c>
      <c r="K427" s="21" t="s">
        <v>53</v>
      </c>
      <c r="L427" s="22" t="str">
        <f t="shared" si="30"/>
        <v>EXCLUDE</v>
      </c>
      <c r="M427" s="22" t="str">
        <f t="shared" si="31"/>
        <v>Wrong domain (non-AECO)</v>
      </c>
      <c r="N427" s="23"/>
      <c r="O427" s="23"/>
      <c r="P427" s="24"/>
      <c r="Q427" s="24"/>
      <c r="R427" s="24"/>
      <c r="S427" s="22" t="str">
        <f t="shared" si="32"/>
        <v/>
      </c>
      <c r="T427" s="22" t="str">
        <f t="shared" si="33"/>
        <v/>
      </c>
      <c r="U427" s="25"/>
      <c r="V427" s="25"/>
      <c r="W427" s="25"/>
      <c r="X427" s="25"/>
      <c r="Y427" s="22" t="str">
        <f t="shared" si="34"/>
        <v/>
      </c>
      <c r="Z427" s="25"/>
      <c r="AA427" s="25"/>
      <c r="AB427" s="25"/>
      <c r="AC427" s="25"/>
      <c r="AD427" s="25"/>
      <c r="AE427" s="25"/>
      <c r="AF427" s="25"/>
      <c r="AG427" s="9"/>
      <c r="AH427" s="29"/>
      <c r="AI427" s="29"/>
      <c r="AM427" s="50"/>
      <c r="AN427" s="51" t="s">
        <v>2171</v>
      </c>
      <c r="AO427" s="55" t="s">
        <v>2172</v>
      </c>
    </row>
    <row r="428" spans="1:41" ht="57" hidden="1" customHeight="1" x14ac:dyDescent="0.3">
      <c r="A428" s="20">
        <v>424</v>
      </c>
      <c r="B428" s="8" t="s">
        <v>2173</v>
      </c>
      <c r="C428" s="26">
        <v>2026</v>
      </c>
      <c r="D428" s="8"/>
      <c r="E428" s="8" t="s">
        <v>2174</v>
      </c>
      <c r="F428" s="20" t="s">
        <v>54</v>
      </c>
      <c r="G428" s="21" t="s">
        <v>64</v>
      </c>
      <c r="H428" s="21" t="s">
        <v>53</v>
      </c>
      <c r="I428" s="21" t="s">
        <v>53</v>
      </c>
      <c r="J428" s="21" t="s">
        <v>53</v>
      </c>
      <c r="K428" s="21" t="s">
        <v>53</v>
      </c>
      <c r="L428" s="22" t="str">
        <f t="shared" si="30"/>
        <v>EXCLUDE</v>
      </c>
      <c r="M428" s="22" t="str">
        <f t="shared" si="31"/>
        <v>Wrong domain (non-AECO)</v>
      </c>
      <c r="N428" s="23"/>
      <c r="O428" s="23"/>
      <c r="P428" s="24"/>
      <c r="Q428" s="24"/>
      <c r="R428" s="24"/>
      <c r="S428" s="22" t="str">
        <f t="shared" si="32"/>
        <v/>
      </c>
      <c r="T428" s="22" t="str">
        <f t="shared" si="33"/>
        <v/>
      </c>
      <c r="U428" s="25"/>
      <c r="V428" s="25"/>
      <c r="W428" s="25"/>
      <c r="X428" s="25"/>
      <c r="Y428" s="22" t="str">
        <f t="shared" si="34"/>
        <v/>
      </c>
      <c r="Z428" s="25"/>
      <c r="AA428" s="25"/>
      <c r="AB428" s="25"/>
      <c r="AC428" s="25"/>
      <c r="AD428" s="25"/>
      <c r="AE428" s="25"/>
      <c r="AF428" s="25"/>
      <c r="AG428" s="9"/>
      <c r="AH428" s="29"/>
      <c r="AI428" s="29"/>
      <c r="AM428" s="50"/>
      <c r="AN428" s="51" t="s">
        <v>2175</v>
      </c>
      <c r="AO428" s="55" t="s">
        <v>2176</v>
      </c>
    </row>
    <row r="429" spans="1:41" ht="57" hidden="1" customHeight="1" x14ac:dyDescent="0.3">
      <c r="A429" s="20">
        <v>425</v>
      </c>
      <c r="B429" s="8" t="s">
        <v>2177</v>
      </c>
      <c r="C429" s="26">
        <v>2026</v>
      </c>
      <c r="D429" s="8"/>
      <c r="E429" s="8" t="s">
        <v>2178</v>
      </c>
      <c r="F429" s="20" t="s">
        <v>54</v>
      </c>
      <c r="G429" s="21" t="s">
        <v>64</v>
      </c>
      <c r="H429" s="21" t="s">
        <v>53</v>
      </c>
      <c r="I429" s="21" t="s">
        <v>53</v>
      </c>
      <c r="J429" s="21" t="s">
        <v>53</v>
      </c>
      <c r="K429" s="21" t="s">
        <v>53</v>
      </c>
      <c r="L429" s="22" t="str">
        <f t="shared" si="30"/>
        <v>EXCLUDE</v>
      </c>
      <c r="M429" s="22" t="str">
        <f t="shared" si="31"/>
        <v>Wrong domain (non-AECO)</v>
      </c>
      <c r="N429" s="23"/>
      <c r="O429" s="23"/>
      <c r="P429" s="24"/>
      <c r="Q429" s="24"/>
      <c r="R429" s="24"/>
      <c r="S429" s="22" t="str">
        <f t="shared" si="32"/>
        <v/>
      </c>
      <c r="T429" s="22" t="str">
        <f t="shared" si="33"/>
        <v/>
      </c>
      <c r="U429" s="25"/>
      <c r="V429" s="25"/>
      <c r="W429" s="25"/>
      <c r="X429" s="25"/>
      <c r="Y429" s="22" t="str">
        <f t="shared" si="34"/>
        <v/>
      </c>
      <c r="Z429" s="25"/>
      <c r="AA429" s="25"/>
      <c r="AB429" s="25"/>
      <c r="AC429" s="25"/>
      <c r="AD429" s="25"/>
      <c r="AE429" s="25"/>
      <c r="AF429" s="25"/>
      <c r="AG429" s="9"/>
      <c r="AH429" s="29"/>
      <c r="AI429" s="29"/>
      <c r="AM429" s="50"/>
      <c r="AN429" s="51" t="s">
        <v>2179</v>
      </c>
      <c r="AO429" s="55" t="s">
        <v>2180</v>
      </c>
    </row>
    <row r="430" spans="1:41" ht="91.2" hidden="1" customHeight="1" x14ac:dyDescent="0.3">
      <c r="A430" s="20">
        <v>426</v>
      </c>
      <c r="B430" s="8" t="s">
        <v>2181</v>
      </c>
      <c r="C430" s="26">
        <v>2026</v>
      </c>
      <c r="D430" s="8"/>
      <c r="E430" s="8" t="s">
        <v>2182</v>
      </c>
      <c r="F430" s="20" t="s">
        <v>54</v>
      </c>
      <c r="G430" s="21" t="s">
        <v>53</v>
      </c>
      <c r="H430" s="21" t="s">
        <v>64</v>
      </c>
      <c r="I430" s="21" t="s">
        <v>53</v>
      </c>
      <c r="J430" s="21" t="s">
        <v>53</v>
      </c>
      <c r="K430" s="21" t="s">
        <v>53</v>
      </c>
      <c r="L430" s="22" t="str">
        <f t="shared" si="30"/>
        <v>EXCLUDE</v>
      </c>
      <c r="M430" s="22" t="str">
        <f t="shared" si="31"/>
        <v>Digital Twin not core / buzzword</v>
      </c>
      <c r="N430" s="23"/>
      <c r="O430" s="23"/>
      <c r="P430" s="24"/>
      <c r="Q430" s="24"/>
      <c r="R430" s="24"/>
      <c r="S430" s="22" t="str">
        <f t="shared" si="32"/>
        <v/>
      </c>
      <c r="T430" s="22" t="str">
        <f t="shared" si="33"/>
        <v/>
      </c>
      <c r="U430" s="25"/>
      <c r="V430" s="25"/>
      <c r="W430" s="25"/>
      <c r="X430" s="25"/>
      <c r="Y430" s="22" t="str">
        <f t="shared" si="34"/>
        <v/>
      </c>
      <c r="Z430" s="25"/>
      <c r="AA430" s="25"/>
      <c r="AB430" s="25"/>
      <c r="AC430" s="25"/>
      <c r="AD430" s="25"/>
      <c r="AE430" s="25"/>
      <c r="AF430" s="25"/>
      <c r="AG430" s="9"/>
      <c r="AH430" s="29"/>
      <c r="AI430" s="29"/>
      <c r="AM430" s="50"/>
      <c r="AN430" s="51" t="s">
        <v>2183</v>
      </c>
      <c r="AO430" s="55" t="s">
        <v>2184</v>
      </c>
    </row>
    <row r="431" spans="1:41" ht="114" hidden="1" customHeight="1" x14ac:dyDescent="0.3">
      <c r="A431" s="20">
        <v>427</v>
      </c>
      <c r="B431" s="8" t="s">
        <v>2185</v>
      </c>
      <c r="C431" s="26">
        <v>2026</v>
      </c>
      <c r="D431" s="8"/>
      <c r="E431" s="8" t="s">
        <v>2186</v>
      </c>
      <c r="F431" s="20" t="s">
        <v>54</v>
      </c>
      <c r="G431" s="21" t="s">
        <v>64</v>
      </c>
      <c r="H431" s="21" t="s">
        <v>53</v>
      </c>
      <c r="I431" s="21" t="s">
        <v>53</v>
      </c>
      <c r="J431" s="21" t="s">
        <v>53</v>
      </c>
      <c r="K431" s="21" t="s">
        <v>53</v>
      </c>
      <c r="L431" s="22" t="str">
        <f t="shared" si="30"/>
        <v>EXCLUDE</v>
      </c>
      <c r="M431" s="22" t="str">
        <f t="shared" si="31"/>
        <v>Wrong domain (non-AECO)</v>
      </c>
      <c r="N431" s="23"/>
      <c r="O431" s="23"/>
      <c r="P431" s="24"/>
      <c r="Q431" s="24"/>
      <c r="R431" s="24"/>
      <c r="S431" s="22" t="str">
        <f t="shared" si="32"/>
        <v/>
      </c>
      <c r="T431" s="22" t="str">
        <f t="shared" si="33"/>
        <v/>
      </c>
      <c r="U431" s="25"/>
      <c r="V431" s="25"/>
      <c r="W431" s="25"/>
      <c r="X431" s="25"/>
      <c r="Y431" s="22" t="str">
        <f t="shared" si="34"/>
        <v/>
      </c>
      <c r="Z431" s="25"/>
      <c r="AA431" s="25"/>
      <c r="AB431" s="25"/>
      <c r="AC431" s="25"/>
      <c r="AD431" s="25"/>
      <c r="AE431" s="25"/>
      <c r="AF431" s="25"/>
      <c r="AG431" s="9"/>
      <c r="AH431" s="29"/>
      <c r="AI431" s="29"/>
      <c r="AM431" s="50"/>
      <c r="AN431" s="51" t="s">
        <v>2187</v>
      </c>
      <c r="AO431" s="55" t="s">
        <v>2188</v>
      </c>
    </row>
    <row r="432" spans="1:41" ht="125.4" hidden="1" customHeight="1" x14ac:dyDescent="0.3">
      <c r="A432" s="20">
        <v>428</v>
      </c>
      <c r="B432" s="8" t="s">
        <v>2189</v>
      </c>
      <c r="C432" s="26">
        <v>2025</v>
      </c>
      <c r="D432" s="8"/>
      <c r="E432" s="8" t="s">
        <v>2190</v>
      </c>
      <c r="F432" s="20" t="s">
        <v>54</v>
      </c>
      <c r="G432" s="21" t="s">
        <v>64</v>
      </c>
      <c r="H432" s="21" t="s">
        <v>53</v>
      </c>
      <c r="I432" s="21" t="s">
        <v>53</v>
      </c>
      <c r="J432" s="21" t="s">
        <v>53</v>
      </c>
      <c r="K432" s="21" t="s">
        <v>53</v>
      </c>
      <c r="L432" s="22" t="str">
        <f t="shared" si="30"/>
        <v>EXCLUDE</v>
      </c>
      <c r="M432" s="22" t="str">
        <f t="shared" si="31"/>
        <v>Wrong domain (non-AECO)</v>
      </c>
      <c r="N432" s="23"/>
      <c r="O432" s="23"/>
      <c r="P432" s="24"/>
      <c r="Q432" s="24"/>
      <c r="R432" s="24"/>
      <c r="S432" s="22" t="str">
        <f t="shared" si="32"/>
        <v/>
      </c>
      <c r="T432" s="22" t="str">
        <f t="shared" si="33"/>
        <v/>
      </c>
      <c r="U432" s="25"/>
      <c r="V432" s="25"/>
      <c r="W432" s="25"/>
      <c r="X432" s="25"/>
      <c r="Y432" s="22" t="str">
        <f t="shared" si="34"/>
        <v/>
      </c>
      <c r="Z432" s="25"/>
      <c r="AA432" s="25"/>
      <c r="AB432" s="25"/>
      <c r="AC432" s="25"/>
      <c r="AD432" s="25"/>
      <c r="AE432" s="25"/>
      <c r="AF432" s="25"/>
      <c r="AG432" s="9"/>
      <c r="AH432" s="29"/>
      <c r="AI432" s="29"/>
      <c r="AM432" s="50"/>
      <c r="AN432" s="51" t="s">
        <v>2191</v>
      </c>
      <c r="AO432" s="55" t="s">
        <v>2192</v>
      </c>
    </row>
    <row r="433" spans="1:41" ht="102.6" hidden="1" customHeight="1" x14ac:dyDescent="0.3">
      <c r="A433" s="20">
        <v>429</v>
      </c>
      <c r="B433" s="8" t="s">
        <v>2193</v>
      </c>
      <c r="C433" s="26">
        <v>2025</v>
      </c>
      <c r="D433" s="8"/>
      <c r="E433" s="8" t="s">
        <v>2194</v>
      </c>
      <c r="F433" s="20" t="s">
        <v>54</v>
      </c>
      <c r="G433" s="21" t="s">
        <v>64</v>
      </c>
      <c r="H433" s="21" t="s">
        <v>53</v>
      </c>
      <c r="I433" s="21" t="s">
        <v>53</v>
      </c>
      <c r="J433" s="21" t="s">
        <v>53</v>
      </c>
      <c r="K433" s="21" t="s">
        <v>53</v>
      </c>
      <c r="L433" s="22" t="str">
        <f t="shared" si="30"/>
        <v>EXCLUDE</v>
      </c>
      <c r="M433" s="22" t="str">
        <f t="shared" si="31"/>
        <v>Wrong domain (non-AECO)</v>
      </c>
      <c r="N433" s="23"/>
      <c r="O433" s="23"/>
      <c r="P433" s="24"/>
      <c r="Q433" s="24"/>
      <c r="R433" s="24"/>
      <c r="S433" s="22" t="str">
        <f t="shared" si="32"/>
        <v/>
      </c>
      <c r="T433" s="22" t="str">
        <f t="shared" si="33"/>
        <v/>
      </c>
      <c r="U433" s="25"/>
      <c r="V433" s="25"/>
      <c r="W433" s="25"/>
      <c r="X433" s="25"/>
      <c r="Y433" s="22" t="str">
        <f t="shared" si="34"/>
        <v/>
      </c>
      <c r="Z433" s="25"/>
      <c r="AA433" s="25"/>
      <c r="AB433" s="25"/>
      <c r="AC433" s="25"/>
      <c r="AD433" s="25"/>
      <c r="AE433" s="25"/>
      <c r="AF433" s="25"/>
      <c r="AG433" s="9"/>
      <c r="AH433" s="29"/>
      <c r="AI433" s="29"/>
      <c r="AM433" s="50"/>
      <c r="AN433" s="51" t="s">
        <v>2195</v>
      </c>
      <c r="AO433" s="55" t="s">
        <v>2196</v>
      </c>
    </row>
    <row r="434" spans="1:41" ht="57" hidden="1" x14ac:dyDescent="0.3">
      <c r="A434" s="20">
        <v>430</v>
      </c>
      <c r="B434" s="8" t="s">
        <v>2197</v>
      </c>
      <c r="C434" s="26">
        <v>2026</v>
      </c>
      <c r="D434" s="8"/>
      <c r="E434" s="8" t="s">
        <v>2198</v>
      </c>
      <c r="F434" s="20" t="s">
        <v>54</v>
      </c>
      <c r="G434" s="21" t="s">
        <v>64</v>
      </c>
      <c r="H434" s="21" t="s">
        <v>53</v>
      </c>
      <c r="I434" s="21" t="s">
        <v>53</v>
      </c>
      <c r="J434" s="21" t="s">
        <v>53</v>
      </c>
      <c r="K434" s="21" t="s">
        <v>53</v>
      </c>
      <c r="L434" s="22" t="str">
        <f t="shared" si="30"/>
        <v>EXCLUDE</v>
      </c>
      <c r="M434" s="22" t="str">
        <f t="shared" si="31"/>
        <v>Wrong domain (non-AECO)</v>
      </c>
      <c r="N434" s="23"/>
      <c r="O434" s="23"/>
      <c r="P434" s="24"/>
      <c r="Q434" s="24"/>
      <c r="R434" s="24"/>
      <c r="S434" s="22" t="str">
        <f t="shared" si="32"/>
        <v/>
      </c>
      <c r="T434" s="22" t="str">
        <f t="shared" si="33"/>
        <v/>
      </c>
      <c r="U434" s="25"/>
      <c r="V434" s="25"/>
      <c r="W434" s="25"/>
      <c r="X434" s="25"/>
      <c r="Y434" s="22" t="str">
        <f t="shared" si="34"/>
        <v/>
      </c>
      <c r="Z434" s="25"/>
      <c r="AA434" s="25"/>
      <c r="AB434" s="25"/>
      <c r="AC434" s="25"/>
      <c r="AD434" s="25"/>
      <c r="AE434" s="25"/>
      <c r="AF434" s="25"/>
      <c r="AG434" s="9"/>
      <c r="AH434" s="29"/>
      <c r="AI434" s="29"/>
      <c r="AM434" s="50"/>
      <c r="AN434" s="51" t="s">
        <v>2199</v>
      </c>
      <c r="AO434" s="55" t="s">
        <v>2200</v>
      </c>
    </row>
    <row r="435" spans="1:41" ht="79.8" hidden="1" x14ac:dyDescent="0.3">
      <c r="A435" s="20">
        <v>431</v>
      </c>
      <c r="B435" s="8" t="s">
        <v>2201</v>
      </c>
      <c r="C435" s="26">
        <v>2026</v>
      </c>
      <c r="D435" s="8"/>
      <c r="E435" s="8" t="s">
        <v>2202</v>
      </c>
      <c r="F435" s="20" t="s">
        <v>54</v>
      </c>
      <c r="G435" s="21" t="s">
        <v>64</v>
      </c>
      <c r="H435" s="21" t="s">
        <v>53</v>
      </c>
      <c r="I435" s="21" t="s">
        <v>53</v>
      </c>
      <c r="J435" s="21" t="s">
        <v>53</v>
      </c>
      <c r="K435" s="21" t="s">
        <v>53</v>
      </c>
      <c r="L435" s="22" t="str">
        <f t="shared" si="30"/>
        <v>EXCLUDE</v>
      </c>
      <c r="M435" s="22" t="str">
        <f t="shared" si="31"/>
        <v>Wrong domain (non-AECO)</v>
      </c>
      <c r="N435" s="23"/>
      <c r="O435" s="23"/>
      <c r="P435" s="24"/>
      <c r="Q435" s="24"/>
      <c r="R435" s="24"/>
      <c r="S435" s="22" t="str">
        <f t="shared" si="32"/>
        <v/>
      </c>
      <c r="T435" s="22" t="str">
        <f t="shared" si="33"/>
        <v/>
      </c>
      <c r="U435" s="25"/>
      <c r="V435" s="25"/>
      <c r="W435" s="25"/>
      <c r="X435" s="25"/>
      <c r="Y435" s="22" t="str">
        <f t="shared" si="34"/>
        <v/>
      </c>
      <c r="Z435" s="25"/>
      <c r="AA435" s="25"/>
      <c r="AB435" s="25"/>
      <c r="AC435" s="25"/>
      <c r="AD435" s="25"/>
      <c r="AE435" s="25"/>
      <c r="AF435" s="25"/>
      <c r="AG435" s="9"/>
      <c r="AH435" s="29"/>
      <c r="AI435" s="29"/>
      <c r="AM435" s="50"/>
      <c r="AN435" s="51" t="s">
        <v>2203</v>
      </c>
      <c r="AO435" s="55" t="s">
        <v>2204</v>
      </c>
    </row>
    <row r="436" spans="1:41" ht="68.400000000000006" hidden="1" x14ac:dyDescent="0.3">
      <c r="A436" s="20">
        <v>432</v>
      </c>
      <c r="B436" s="8" t="s">
        <v>2205</v>
      </c>
      <c r="C436" s="26">
        <v>2025</v>
      </c>
      <c r="D436" s="8"/>
      <c r="E436" s="8" t="s">
        <v>2206</v>
      </c>
      <c r="F436" s="20" t="s">
        <v>54</v>
      </c>
      <c r="G436" s="21" t="s">
        <v>53</v>
      </c>
      <c r="H436" s="21" t="s">
        <v>64</v>
      </c>
      <c r="I436" s="21" t="s">
        <v>53</v>
      </c>
      <c r="J436" s="21" t="s">
        <v>53</v>
      </c>
      <c r="K436" s="21" t="s">
        <v>53</v>
      </c>
      <c r="L436" s="22" t="str">
        <f t="shared" si="30"/>
        <v>EXCLUDE</v>
      </c>
      <c r="M436" s="22" t="str">
        <f t="shared" si="31"/>
        <v>Digital Twin not core / buzzword</v>
      </c>
      <c r="N436" s="23"/>
      <c r="O436" s="23"/>
      <c r="P436" s="24"/>
      <c r="Q436" s="24"/>
      <c r="R436" s="24"/>
      <c r="S436" s="22" t="str">
        <f t="shared" si="32"/>
        <v/>
      </c>
      <c r="T436" s="22" t="str">
        <f t="shared" si="33"/>
        <v/>
      </c>
      <c r="U436" s="25"/>
      <c r="V436" s="25"/>
      <c r="W436" s="25"/>
      <c r="X436" s="25"/>
      <c r="Y436" s="22" t="str">
        <f t="shared" si="34"/>
        <v/>
      </c>
      <c r="Z436" s="25"/>
      <c r="AA436" s="25"/>
      <c r="AB436" s="25"/>
      <c r="AC436" s="25"/>
      <c r="AD436" s="25"/>
      <c r="AE436" s="25"/>
      <c r="AF436" s="25"/>
      <c r="AG436" s="9"/>
      <c r="AH436" s="29"/>
      <c r="AI436" s="29"/>
      <c r="AM436" s="50"/>
      <c r="AN436" s="51" t="s">
        <v>2207</v>
      </c>
      <c r="AO436" s="55" t="s">
        <v>2208</v>
      </c>
    </row>
    <row r="437" spans="1:41" ht="45.6" hidden="1" x14ac:dyDescent="0.3">
      <c r="A437" s="20">
        <v>433</v>
      </c>
      <c r="B437" s="8" t="s">
        <v>2209</v>
      </c>
      <c r="C437" s="26">
        <v>2026</v>
      </c>
      <c r="D437" s="8"/>
      <c r="E437" s="8" t="s">
        <v>2210</v>
      </c>
      <c r="F437" s="20" t="s">
        <v>54</v>
      </c>
      <c r="G437" s="21" t="s">
        <v>53</v>
      </c>
      <c r="H437" s="21" t="s">
        <v>53</v>
      </c>
      <c r="I437" s="21" t="s">
        <v>53</v>
      </c>
      <c r="J437" s="21" t="s">
        <v>53</v>
      </c>
      <c r="K437" s="21" t="s">
        <v>53</v>
      </c>
      <c r="L437" s="22" t="str">
        <f t="shared" si="30"/>
        <v>INCLUDE</v>
      </c>
      <c r="M437" s="22" t="str">
        <f t="shared" si="31"/>
        <v/>
      </c>
      <c r="N437" s="23" t="s">
        <v>64</v>
      </c>
      <c r="O437" s="23" t="s">
        <v>64</v>
      </c>
      <c r="P437" s="24"/>
      <c r="Q437" s="24"/>
      <c r="R437" s="24"/>
      <c r="S437" s="22" t="str">
        <f t="shared" si="32"/>
        <v/>
      </c>
      <c r="T437" s="22" t="str">
        <f t="shared" si="33"/>
        <v/>
      </c>
      <c r="U437" s="25"/>
      <c r="V437" s="25"/>
      <c r="W437" s="25"/>
      <c r="X437" s="25"/>
      <c r="Y437" s="22" t="str">
        <f t="shared" si="34"/>
        <v/>
      </c>
      <c r="Z437" s="25"/>
      <c r="AA437" s="25"/>
      <c r="AB437" s="25"/>
      <c r="AC437" s="25"/>
      <c r="AD437" s="25"/>
      <c r="AE437" s="25"/>
      <c r="AF437" s="25"/>
      <c r="AG437" s="9"/>
      <c r="AH437" s="29"/>
      <c r="AI437" s="29"/>
      <c r="AM437" s="50"/>
      <c r="AN437" s="51" t="s">
        <v>2211</v>
      </c>
      <c r="AO437" s="55" t="s">
        <v>2212</v>
      </c>
    </row>
    <row r="438" spans="1:41" ht="45.6" hidden="1" x14ac:dyDescent="0.3">
      <c r="A438" s="20">
        <v>434</v>
      </c>
      <c r="B438" s="8" t="s">
        <v>2213</v>
      </c>
      <c r="C438" s="26">
        <v>2026</v>
      </c>
      <c r="D438" s="8"/>
      <c r="E438" s="8" t="s">
        <v>2214</v>
      </c>
      <c r="F438" s="20" t="s">
        <v>54</v>
      </c>
      <c r="G438" s="21" t="s">
        <v>53</v>
      </c>
      <c r="H438" s="21" t="s">
        <v>53</v>
      </c>
      <c r="I438" s="21" t="s">
        <v>64</v>
      </c>
      <c r="J438" s="21" t="s">
        <v>53</v>
      </c>
      <c r="K438" s="21" t="s">
        <v>53</v>
      </c>
      <c r="L438" s="22" t="str">
        <f t="shared" si="30"/>
        <v>EXCLUDE</v>
      </c>
      <c r="M438" s="22" t="str">
        <f t="shared" si="31"/>
        <v>No Design for Safety/Quality/PtD</v>
      </c>
      <c r="N438" s="23"/>
      <c r="O438" s="23"/>
      <c r="P438" s="24"/>
      <c r="Q438" s="24"/>
      <c r="R438" s="24"/>
      <c r="S438" s="22" t="str">
        <f t="shared" si="32"/>
        <v/>
      </c>
      <c r="T438" s="22" t="str">
        <f t="shared" si="33"/>
        <v/>
      </c>
      <c r="U438" s="25"/>
      <c r="V438" s="25"/>
      <c r="W438" s="25"/>
      <c r="X438" s="25"/>
      <c r="Y438" s="22" t="str">
        <f t="shared" si="34"/>
        <v/>
      </c>
      <c r="Z438" s="25"/>
      <c r="AA438" s="25"/>
      <c r="AB438" s="25"/>
      <c r="AC438" s="25"/>
      <c r="AD438" s="25"/>
      <c r="AE438" s="25"/>
      <c r="AF438" s="25"/>
      <c r="AG438" s="9"/>
      <c r="AH438" s="29"/>
      <c r="AI438" s="29"/>
      <c r="AM438" s="50"/>
      <c r="AN438" s="51" t="s">
        <v>2215</v>
      </c>
      <c r="AO438" s="55" t="s">
        <v>2216</v>
      </c>
    </row>
    <row r="439" spans="1:41" ht="45.6" hidden="1" x14ac:dyDescent="0.3">
      <c r="A439" s="20">
        <v>435</v>
      </c>
      <c r="B439" s="8" t="s">
        <v>2217</v>
      </c>
      <c r="C439" s="26">
        <v>2025</v>
      </c>
      <c r="D439" s="8"/>
      <c r="E439" s="8" t="s">
        <v>2218</v>
      </c>
      <c r="F439" s="20" t="s">
        <v>54</v>
      </c>
      <c r="G439" s="21" t="s">
        <v>53</v>
      </c>
      <c r="H439" s="21" t="s">
        <v>64</v>
      </c>
      <c r="I439" s="21" t="s">
        <v>53</v>
      </c>
      <c r="J439" s="21" t="s">
        <v>53</v>
      </c>
      <c r="K439" s="21" t="s">
        <v>53</v>
      </c>
      <c r="L439" s="22" t="str">
        <f t="shared" si="30"/>
        <v>EXCLUDE</v>
      </c>
      <c r="M439" s="22" t="str">
        <f t="shared" si="31"/>
        <v>Digital Twin not core / buzzword</v>
      </c>
      <c r="N439" s="23"/>
      <c r="O439" s="23"/>
      <c r="P439" s="24"/>
      <c r="Q439" s="24"/>
      <c r="R439" s="24"/>
      <c r="S439" s="22" t="str">
        <f t="shared" si="32"/>
        <v/>
      </c>
      <c r="T439" s="22" t="str">
        <f t="shared" si="33"/>
        <v/>
      </c>
      <c r="U439" s="25"/>
      <c r="V439" s="25"/>
      <c r="W439" s="25"/>
      <c r="X439" s="25"/>
      <c r="Y439" s="22" t="str">
        <f t="shared" si="34"/>
        <v/>
      </c>
      <c r="Z439" s="25"/>
      <c r="AA439" s="25"/>
      <c r="AB439" s="25"/>
      <c r="AC439" s="25"/>
      <c r="AD439" s="25"/>
      <c r="AE439" s="25"/>
      <c r="AF439" s="25"/>
      <c r="AG439" s="9"/>
      <c r="AH439" s="29"/>
      <c r="AI439" s="29"/>
      <c r="AM439" s="50"/>
      <c r="AN439" s="51" t="s">
        <v>2219</v>
      </c>
      <c r="AO439" s="55" t="s">
        <v>2220</v>
      </c>
    </row>
    <row r="440" spans="1:41" ht="57" hidden="1" x14ac:dyDescent="0.3">
      <c r="A440" s="20">
        <v>436</v>
      </c>
      <c r="B440" s="8" t="s">
        <v>2221</v>
      </c>
      <c r="C440" s="26">
        <v>2025</v>
      </c>
      <c r="D440" s="8"/>
      <c r="E440" s="8" t="s">
        <v>2222</v>
      </c>
      <c r="F440" s="20" t="s">
        <v>54</v>
      </c>
      <c r="G440" s="21" t="s">
        <v>64</v>
      </c>
      <c r="H440" s="21" t="s">
        <v>53</v>
      </c>
      <c r="I440" s="21" t="s">
        <v>53</v>
      </c>
      <c r="J440" s="21" t="s">
        <v>53</v>
      </c>
      <c r="K440" s="21" t="s">
        <v>53</v>
      </c>
      <c r="L440" s="22" t="str">
        <f t="shared" si="30"/>
        <v>EXCLUDE</v>
      </c>
      <c r="M440" s="22" t="str">
        <f t="shared" si="31"/>
        <v>Wrong domain (non-AECO)</v>
      </c>
      <c r="N440" s="23"/>
      <c r="O440" s="23"/>
      <c r="P440" s="24"/>
      <c r="Q440" s="24"/>
      <c r="R440" s="24"/>
      <c r="S440" s="22" t="str">
        <f t="shared" si="32"/>
        <v/>
      </c>
      <c r="T440" s="22" t="str">
        <f t="shared" si="33"/>
        <v/>
      </c>
      <c r="U440" s="25"/>
      <c r="V440" s="25"/>
      <c r="W440" s="25"/>
      <c r="X440" s="25"/>
      <c r="Y440" s="22" t="str">
        <f t="shared" si="34"/>
        <v/>
      </c>
      <c r="Z440" s="25"/>
      <c r="AA440" s="25"/>
      <c r="AB440" s="25"/>
      <c r="AC440" s="25"/>
      <c r="AD440" s="25"/>
      <c r="AE440" s="25"/>
      <c r="AF440" s="25"/>
      <c r="AG440" s="9"/>
      <c r="AH440" s="29"/>
      <c r="AI440" s="29"/>
      <c r="AM440" s="50"/>
      <c r="AN440" s="51" t="s">
        <v>2223</v>
      </c>
      <c r="AO440" s="55" t="s">
        <v>2224</v>
      </c>
    </row>
    <row r="441" spans="1:41" ht="57" hidden="1" x14ac:dyDescent="0.3">
      <c r="A441" s="20">
        <v>437</v>
      </c>
      <c r="B441" s="8" t="s">
        <v>2225</v>
      </c>
      <c r="C441" s="26">
        <v>2026</v>
      </c>
      <c r="D441" s="8"/>
      <c r="E441" s="8" t="s">
        <v>2226</v>
      </c>
      <c r="F441" s="20" t="s">
        <v>54</v>
      </c>
      <c r="G441" s="21" t="s">
        <v>53</v>
      </c>
      <c r="H441" s="21" t="s">
        <v>64</v>
      </c>
      <c r="I441" s="21" t="s">
        <v>53</v>
      </c>
      <c r="J441" s="21" t="s">
        <v>53</v>
      </c>
      <c r="K441" s="21" t="s">
        <v>53</v>
      </c>
      <c r="L441" s="22" t="str">
        <f t="shared" si="30"/>
        <v>EXCLUDE</v>
      </c>
      <c r="M441" s="22" t="str">
        <f t="shared" si="31"/>
        <v>Digital Twin not core / buzzword</v>
      </c>
      <c r="N441" s="23"/>
      <c r="O441" s="23"/>
      <c r="P441" s="24"/>
      <c r="Q441" s="24"/>
      <c r="R441" s="24"/>
      <c r="S441" s="22" t="str">
        <f t="shared" si="32"/>
        <v/>
      </c>
      <c r="T441" s="22" t="str">
        <f t="shared" si="33"/>
        <v/>
      </c>
      <c r="U441" s="25"/>
      <c r="V441" s="25"/>
      <c r="W441" s="25"/>
      <c r="X441" s="25"/>
      <c r="Y441" s="22" t="str">
        <f t="shared" si="34"/>
        <v/>
      </c>
      <c r="Z441" s="25"/>
      <c r="AA441" s="25"/>
      <c r="AB441" s="25"/>
      <c r="AC441" s="25"/>
      <c r="AD441" s="25"/>
      <c r="AE441" s="25"/>
      <c r="AF441" s="25"/>
      <c r="AG441" s="9"/>
      <c r="AH441" s="29"/>
      <c r="AI441" s="29"/>
      <c r="AM441" s="50"/>
      <c r="AN441" s="51" t="s">
        <v>2227</v>
      </c>
      <c r="AO441" s="55" t="s">
        <v>2228</v>
      </c>
    </row>
    <row r="442" spans="1:41" ht="57" hidden="1" x14ac:dyDescent="0.3">
      <c r="A442" s="20">
        <v>438</v>
      </c>
      <c r="B442" s="8" t="s">
        <v>2229</v>
      </c>
      <c r="C442" s="26">
        <v>2025</v>
      </c>
      <c r="D442" s="8"/>
      <c r="E442" s="8" t="s">
        <v>2230</v>
      </c>
      <c r="F442" s="20" t="s">
        <v>54</v>
      </c>
      <c r="G442" s="21" t="s">
        <v>53</v>
      </c>
      <c r="H442" s="21" t="s">
        <v>53</v>
      </c>
      <c r="I442" s="21" t="s">
        <v>53</v>
      </c>
      <c r="J442" s="21" t="s">
        <v>53</v>
      </c>
      <c r="K442" s="21" t="s">
        <v>64</v>
      </c>
      <c r="L442" s="22" t="str">
        <f t="shared" si="30"/>
        <v>EXCLUDE</v>
      </c>
      <c r="M442" s="22" t="str">
        <f t="shared" si="31"/>
        <v>Non-English</v>
      </c>
      <c r="N442" s="23"/>
      <c r="O442" s="23"/>
      <c r="P442" s="24"/>
      <c r="Q442" s="24"/>
      <c r="R442" s="24"/>
      <c r="S442" s="22" t="str">
        <f t="shared" si="32"/>
        <v/>
      </c>
      <c r="T442" s="22" t="str">
        <f t="shared" si="33"/>
        <v/>
      </c>
      <c r="U442" s="25"/>
      <c r="V442" s="25"/>
      <c r="W442" s="25"/>
      <c r="X442" s="25"/>
      <c r="Y442" s="22" t="str">
        <f t="shared" si="34"/>
        <v/>
      </c>
      <c r="Z442" s="25"/>
      <c r="AA442" s="25"/>
      <c r="AB442" s="25"/>
      <c r="AC442" s="25"/>
      <c r="AD442" s="25"/>
      <c r="AE442" s="25"/>
      <c r="AF442" s="25"/>
      <c r="AG442" s="9"/>
      <c r="AH442" s="29"/>
      <c r="AI442" s="29"/>
      <c r="AM442" s="50"/>
      <c r="AN442" s="51" t="s">
        <v>2231</v>
      </c>
      <c r="AO442" s="55" t="s">
        <v>2232</v>
      </c>
    </row>
    <row r="443" spans="1:41" ht="34.200000000000003" hidden="1" x14ac:dyDescent="0.3">
      <c r="A443" s="20">
        <v>439</v>
      </c>
      <c r="B443" s="8" t="s">
        <v>2233</v>
      </c>
      <c r="C443" s="26">
        <v>2026</v>
      </c>
      <c r="D443" s="8"/>
      <c r="E443" s="8" t="s">
        <v>2234</v>
      </c>
      <c r="F443" s="20" t="s">
        <v>54</v>
      </c>
      <c r="G443" s="21" t="s">
        <v>53</v>
      </c>
      <c r="H443" s="21" t="s">
        <v>64</v>
      </c>
      <c r="I443" s="21" t="s">
        <v>53</v>
      </c>
      <c r="J443" s="21" t="s">
        <v>53</v>
      </c>
      <c r="K443" s="21" t="s">
        <v>53</v>
      </c>
      <c r="L443" s="22" t="str">
        <f t="shared" si="30"/>
        <v>EXCLUDE</v>
      </c>
      <c r="M443" s="22" t="str">
        <f t="shared" si="31"/>
        <v>Digital Twin not core / buzzword</v>
      </c>
      <c r="N443" s="23"/>
      <c r="O443" s="23"/>
      <c r="P443" s="24"/>
      <c r="Q443" s="24"/>
      <c r="R443" s="24"/>
      <c r="S443" s="22" t="str">
        <f t="shared" si="32"/>
        <v/>
      </c>
      <c r="T443" s="22" t="str">
        <f t="shared" si="33"/>
        <v/>
      </c>
      <c r="U443" s="25"/>
      <c r="V443" s="25"/>
      <c r="W443" s="25"/>
      <c r="X443" s="25"/>
      <c r="Y443" s="22" t="str">
        <f t="shared" si="34"/>
        <v/>
      </c>
      <c r="Z443" s="25"/>
      <c r="AA443" s="25"/>
      <c r="AB443" s="25"/>
      <c r="AC443" s="25"/>
      <c r="AD443" s="25"/>
      <c r="AE443" s="25"/>
      <c r="AF443" s="25"/>
      <c r="AG443" s="9"/>
      <c r="AH443" s="29"/>
      <c r="AI443" s="29"/>
      <c r="AM443" s="50"/>
      <c r="AN443" s="51" t="s">
        <v>2235</v>
      </c>
      <c r="AO443" s="55" t="s">
        <v>2236</v>
      </c>
    </row>
    <row r="444" spans="1:41" ht="114" x14ac:dyDescent="0.3">
      <c r="A444" s="20">
        <v>440</v>
      </c>
      <c r="B444" s="8" t="s">
        <v>2237</v>
      </c>
      <c r="C444" s="26">
        <v>2026</v>
      </c>
      <c r="D444" s="8"/>
      <c r="E444" s="8" t="s">
        <v>2238</v>
      </c>
      <c r="F444" s="20" t="s">
        <v>54</v>
      </c>
      <c r="G444" s="21" t="s">
        <v>53</v>
      </c>
      <c r="H444" s="21" t="s">
        <v>53</v>
      </c>
      <c r="I444" s="21" t="s">
        <v>53</v>
      </c>
      <c r="J444" s="21" t="s">
        <v>53</v>
      </c>
      <c r="K444" s="21" t="s">
        <v>53</v>
      </c>
      <c r="L444" s="22" t="str">
        <f t="shared" si="30"/>
        <v>INCLUDE</v>
      </c>
      <c r="M444" s="22" t="str">
        <f t="shared" si="31"/>
        <v/>
      </c>
      <c r="N444" s="23" t="s">
        <v>53</v>
      </c>
      <c r="O444" s="23" t="s">
        <v>53</v>
      </c>
      <c r="P444" s="24" t="s">
        <v>53</v>
      </c>
      <c r="Q444" s="24" t="s">
        <v>53</v>
      </c>
      <c r="R444" s="24" t="s">
        <v>53</v>
      </c>
      <c r="S444" s="22" t="str">
        <f t="shared" si="32"/>
        <v>INCLUDE</v>
      </c>
      <c r="T444" s="22" t="str">
        <f t="shared" si="33"/>
        <v/>
      </c>
      <c r="U444" s="25" t="s">
        <v>76</v>
      </c>
      <c r="V444" s="25">
        <v>1</v>
      </c>
      <c r="W444" s="25">
        <v>0</v>
      </c>
      <c r="X444" s="25">
        <v>1</v>
      </c>
      <c r="Y444" s="22" t="str">
        <f t="shared" si="34"/>
        <v>Multi</v>
      </c>
      <c r="Z444" s="25" t="s">
        <v>77</v>
      </c>
      <c r="AA444" s="25" t="s">
        <v>78</v>
      </c>
      <c r="AB444" s="25" t="s">
        <v>58</v>
      </c>
      <c r="AC444" s="25" t="s">
        <v>70</v>
      </c>
      <c r="AD444" s="25" t="s">
        <v>71</v>
      </c>
      <c r="AE444" s="25">
        <v>4</v>
      </c>
      <c r="AF444" s="25" t="s">
        <v>90</v>
      </c>
      <c r="AG444" s="9" t="s">
        <v>2239</v>
      </c>
      <c r="AH444" s="29" t="s">
        <v>2240</v>
      </c>
      <c r="AI444" s="29" t="s">
        <v>2241</v>
      </c>
      <c r="AJ444" t="s">
        <v>91</v>
      </c>
      <c r="AK444" t="s">
        <v>2242</v>
      </c>
      <c r="AL444" t="s">
        <v>74</v>
      </c>
      <c r="AM444" s="50"/>
      <c r="AN444" s="51" t="s">
        <v>2243</v>
      </c>
      <c r="AO444" s="55" t="s">
        <v>2244</v>
      </c>
    </row>
    <row r="445" spans="1:41" ht="45.6" hidden="1" x14ac:dyDescent="0.3">
      <c r="A445" s="20">
        <v>441</v>
      </c>
      <c r="B445" s="8" t="s">
        <v>2245</v>
      </c>
      <c r="C445" s="26">
        <v>2026</v>
      </c>
      <c r="D445" s="8"/>
      <c r="E445" s="8" t="s">
        <v>2246</v>
      </c>
      <c r="F445" s="20" t="s">
        <v>54</v>
      </c>
      <c r="G445" s="21" t="s">
        <v>64</v>
      </c>
      <c r="H445" s="21" t="s">
        <v>53</v>
      </c>
      <c r="I445" s="21" t="s">
        <v>53</v>
      </c>
      <c r="J445" s="21" t="s">
        <v>53</v>
      </c>
      <c r="K445" s="21" t="s">
        <v>53</v>
      </c>
      <c r="L445" s="22" t="str">
        <f t="shared" si="30"/>
        <v>EXCLUDE</v>
      </c>
      <c r="M445" s="22" t="str">
        <f t="shared" si="31"/>
        <v>Wrong domain (non-AECO)</v>
      </c>
      <c r="N445" s="23"/>
      <c r="O445" s="23"/>
      <c r="P445" s="24"/>
      <c r="Q445" s="24"/>
      <c r="R445" s="24"/>
      <c r="S445" s="22" t="str">
        <f t="shared" si="32"/>
        <v/>
      </c>
      <c r="T445" s="22" t="str">
        <f t="shared" si="33"/>
        <v/>
      </c>
      <c r="U445" s="25"/>
      <c r="V445" s="25"/>
      <c r="W445" s="25"/>
      <c r="X445" s="25"/>
      <c r="Y445" s="22" t="str">
        <f t="shared" si="34"/>
        <v/>
      </c>
      <c r="Z445" s="25"/>
      <c r="AA445" s="25"/>
      <c r="AB445" s="25"/>
      <c r="AC445" s="25"/>
      <c r="AD445" s="25"/>
      <c r="AE445" s="25"/>
      <c r="AF445" s="25"/>
      <c r="AG445" s="9"/>
      <c r="AH445" s="29"/>
      <c r="AI445" s="29"/>
      <c r="AM445" s="50"/>
      <c r="AN445" s="51" t="s">
        <v>2247</v>
      </c>
      <c r="AO445" s="55" t="s">
        <v>2248</v>
      </c>
    </row>
    <row r="446" spans="1:41" ht="68.400000000000006" hidden="1" x14ac:dyDescent="0.3">
      <c r="A446" s="20">
        <v>442</v>
      </c>
      <c r="B446" s="8" t="s">
        <v>2249</v>
      </c>
      <c r="C446" s="26">
        <v>2025</v>
      </c>
      <c r="D446" s="8"/>
      <c r="E446" s="8" t="s">
        <v>2250</v>
      </c>
      <c r="F446" s="20" t="s">
        <v>54</v>
      </c>
      <c r="G446" s="21" t="s">
        <v>64</v>
      </c>
      <c r="H446" s="21" t="s">
        <v>53</v>
      </c>
      <c r="I446" s="21" t="s">
        <v>53</v>
      </c>
      <c r="J446" s="21" t="s">
        <v>53</v>
      </c>
      <c r="K446" s="21" t="s">
        <v>53</v>
      </c>
      <c r="L446" s="22" t="str">
        <f t="shared" si="30"/>
        <v>EXCLUDE</v>
      </c>
      <c r="M446" s="22" t="str">
        <f t="shared" si="31"/>
        <v>Wrong domain (non-AECO)</v>
      </c>
      <c r="N446" s="23"/>
      <c r="O446" s="23"/>
      <c r="P446" s="24"/>
      <c r="Q446" s="24"/>
      <c r="R446" s="24"/>
      <c r="S446" s="22" t="str">
        <f t="shared" si="32"/>
        <v/>
      </c>
      <c r="T446" s="22" t="str">
        <f t="shared" si="33"/>
        <v/>
      </c>
      <c r="U446" s="25"/>
      <c r="V446" s="25"/>
      <c r="W446" s="25"/>
      <c r="X446" s="25"/>
      <c r="Y446" s="22" t="str">
        <f t="shared" si="34"/>
        <v/>
      </c>
      <c r="Z446" s="25"/>
      <c r="AA446" s="25"/>
      <c r="AB446" s="25"/>
      <c r="AC446" s="25"/>
      <c r="AD446" s="25"/>
      <c r="AE446" s="25"/>
      <c r="AF446" s="25"/>
      <c r="AG446" s="9"/>
      <c r="AH446" s="29"/>
      <c r="AI446" s="29"/>
      <c r="AM446" s="50"/>
      <c r="AN446" s="51" t="s">
        <v>2251</v>
      </c>
      <c r="AO446" s="55" t="s">
        <v>2252</v>
      </c>
    </row>
    <row r="447" spans="1:41" ht="57" hidden="1" x14ac:dyDescent="0.3">
      <c r="A447" s="20">
        <v>443</v>
      </c>
      <c r="B447" s="8" t="s">
        <v>2253</v>
      </c>
      <c r="C447" s="26">
        <v>2026</v>
      </c>
      <c r="D447" s="8"/>
      <c r="E447" s="8" t="s">
        <v>2254</v>
      </c>
      <c r="F447" s="20" t="s">
        <v>54</v>
      </c>
      <c r="G447" s="21" t="s">
        <v>64</v>
      </c>
      <c r="H447" s="21" t="s">
        <v>53</v>
      </c>
      <c r="I447" s="21" t="s">
        <v>53</v>
      </c>
      <c r="J447" s="21" t="s">
        <v>53</v>
      </c>
      <c r="K447" s="21" t="s">
        <v>53</v>
      </c>
      <c r="L447" s="22" t="str">
        <f t="shared" si="30"/>
        <v>EXCLUDE</v>
      </c>
      <c r="M447" s="22" t="str">
        <f t="shared" si="31"/>
        <v>Wrong domain (non-AECO)</v>
      </c>
      <c r="N447" s="23"/>
      <c r="O447" s="23"/>
      <c r="P447" s="24"/>
      <c r="Q447" s="24"/>
      <c r="R447" s="24"/>
      <c r="S447" s="22" t="str">
        <f t="shared" si="32"/>
        <v/>
      </c>
      <c r="T447" s="22" t="str">
        <f t="shared" si="33"/>
        <v/>
      </c>
      <c r="U447" s="25"/>
      <c r="V447" s="25"/>
      <c r="W447" s="25"/>
      <c r="X447" s="25"/>
      <c r="Y447" s="22" t="str">
        <f t="shared" si="34"/>
        <v/>
      </c>
      <c r="Z447" s="25"/>
      <c r="AA447" s="25"/>
      <c r="AB447" s="25"/>
      <c r="AC447" s="25"/>
      <c r="AD447" s="25"/>
      <c r="AE447" s="25"/>
      <c r="AF447" s="25"/>
      <c r="AG447" s="9"/>
      <c r="AH447" s="29"/>
      <c r="AI447" s="29"/>
      <c r="AM447" s="50"/>
      <c r="AN447" s="51" t="s">
        <v>2255</v>
      </c>
      <c r="AO447" s="55" t="s">
        <v>2256</v>
      </c>
    </row>
    <row r="448" spans="1:41" ht="34.200000000000003" hidden="1" x14ac:dyDescent="0.3">
      <c r="A448" s="20">
        <v>444</v>
      </c>
      <c r="B448" s="8" t="s">
        <v>2257</v>
      </c>
      <c r="C448" s="26">
        <v>2026</v>
      </c>
      <c r="D448" s="8"/>
      <c r="E448" s="8" t="s">
        <v>2258</v>
      </c>
      <c r="F448" s="20" t="s">
        <v>54</v>
      </c>
      <c r="G448" s="21" t="s">
        <v>53</v>
      </c>
      <c r="H448" s="21" t="s">
        <v>64</v>
      </c>
      <c r="I448" s="21" t="s">
        <v>53</v>
      </c>
      <c r="J448" s="21" t="s">
        <v>53</v>
      </c>
      <c r="K448" s="21" t="s">
        <v>53</v>
      </c>
      <c r="L448" s="22" t="str">
        <f t="shared" si="30"/>
        <v>EXCLUDE</v>
      </c>
      <c r="M448" s="22" t="str">
        <f t="shared" si="31"/>
        <v>Digital Twin not core / buzzword</v>
      </c>
      <c r="N448" s="23"/>
      <c r="O448" s="23"/>
      <c r="P448" s="24"/>
      <c r="Q448" s="24"/>
      <c r="R448" s="24"/>
      <c r="S448" s="22" t="str">
        <f t="shared" si="32"/>
        <v/>
      </c>
      <c r="T448" s="22" t="str">
        <f t="shared" si="33"/>
        <v/>
      </c>
      <c r="U448" s="25"/>
      <c r="V448" s="25"/>
      <c r="W448" s="25"/>
      <c r="X448" s="25"/>
      <c r="Y448" s="22" t="str">
        <f t="shared" si="34"/>
        <v/>
      </c>
      <c r="Z448" s="25"/>
      <c r="AA448" s="25"/>
      <c r="AB448" s="25"/>
      <c r="AC448" s="25"/>
      <c r="AD448" s="25"/>
      <c r="AE448" s="25"/>
      <c r="AF448" s="25"/>
      <c r="AG448" s="9"/>
      <c r="AH448" s="29"/>
      <c r="AI448" s="29"/>
      <c r="AM448" s="50"/>
      <c r="AN448" s="51" t="s">
        <v>2259</v>
      </c>
      <c r="AO448" s="55" t="s">
        <v>2260</v>
      </c>
    </row>
    <row r="449" spans="1:41" ht="45.6" hidden="1" x14ac:dyDescent="0.3">
      <c r="A449" s="20">
        <v>445</v>
      </c>
      <c r="B449" s="8" t="s">
        <v>2261</v>
      </c>
      <c r="C449" s="26">
        <v>2026</v>
      </c>
      <c r="D449" s="8"/>
      <c r="E449" s="8" t="s">
        <v>2262</v>
      </c>
      <c r="F449" s="20" t="s">
        <v>54</v>
      </c>
      <c r="G449" s="21" t="s">
        <v>64</v>
      </c>
      <c r="H449" s="21" t="s">
        <v>53</v>
      </c>
      <c r="I449" s="21" t="s">
        <v>53</v>
      </c>
      <c r="J449" s="21" t="s">
        <v>53</v>
      </c>
      <c r="K449" s="21" t="s">
        <v>53</v>
      </c>
      <c r="L449" s="22" t="str">
        <f t="shared" si="30"/>
        <v>EXCLUDE</v>
      </c>
      <c r="M449" s="22" t="str">
        <f t="shared" si="31"/>
        <v>Wrong domain (non-AECO)</v>
      </c>
      <c r="N449" s="23"/>
      <c r="O449" s="23"/>
      <c r="P449" s="24"/>
      <c r="Q449" s="24"/>
      <c r="R449" s="24"/>
      <c r="S449" s="22" t="str">
        <f t="shared" si="32"/>
        <v/>
      </c>
      <c r="T449" s="22" t="str">
        <f t="shared" si="33"/>
        <v/>
      </c>
      <c r="U449" s="25"/>
      <c r="V449" s="25"/>
      <c r="W449" s="25"/>
      <c r="X449" s="25"/>
      <c r="Y449" s="22" t="str">
        <f t="shared" si="34"/>
        <v/>
      </c>
      <c r="Z449" s="25"/>
      <c r="AA449" s="25"/>
      <c r="AB449" s="25"/>
      <c r="AC449" s="25"/>
      <c r="AD449" s="25"/>
      <c r="AE449" s="25"/>
      <c r="AF449" s="25"/>
      <c r="AG449" s="9"/>
      <c r="AH449" s="29"/>
      <c r="AI449" s="29"/>
      <c r="AM449" s="50"/>
      <c r="AN449" s="51" t="s">
        <v>2263</v>
      </c>
      <c r="AO449" s="55" t="s">
        <v>2264</v>
      </c>
    </row>
    <row r="450" spans="1:41" ht="114" hidden="1" x14ac:dyDescent="0.3">
      <c r="A450" s="20">
        <v>446</v>
      </c>
      <c r="B450" s="8" t="s">
        <v>2265</v>
      </c>
      <c r="C450" s="26">
        <v>2025</v>
      </c>
      <c r="D450" s="8"/>
      <c r="E450" s="8" t="s">
        <v>2266</v>
      </c>
      <c r="F450" s="20" t="s">
        <v>54</v>
      </c>
      <c r="G450" s="21" t="s">
        <v>53</v>
      </c>
      <c r="H450" s="21" t="s">
        <v>64</v>
      </c>
      <c r="I450" s="21" t="s">
        <v>53</v>
      </c>
      <c r="J450" s="21" t="s">
        <v>53</v>
      </c>
      <c r="K450" s="21" t="s">
        <v>53</v>
      </c>
      <c r="L450" s="22" t="str">
        <f t="shared" si="30"/>
        <v>EXCLUDE</v>
      </c>
      <c r="M450" s="22" t="str">
        <f t="shared" si="31"/>
        <v>Digital Twin not core / buzzword</v>
      </c>
      <c r="N450" s="23"/>
      <c r="O450" s="23"/>
      <c r="P450" s="24"/>
      <c r="Q450" s="24"/>
      <c r="R450" s="24"/>
      <c r="S450" s="22" t="str">
        <f t="shared" si="32"/>
        <v/>
      </c>
      <c r="T450" s="22" t="str">
        <f t="shared" si="33"/>
        <v/>
      </c>
      <c r="U450" s="25"/>
      <c r="V450" s="25"/>
      <c r="W450" s="25"/>
      <c r="X450" s="25"/>
      <c r="Y450" s="22" t="str">
        <f t="shared" si="34"/>
        <v/>
      </c>
      <c r="Z450" s="25"/>
      <c r="AA450" s="25"/>
      <c r="AB450" s="25"/>
      <c r="AC450" s="25"/>
      <c r="AD450" s="25"/>
      <c r="AE450" s="25"/>
      <c r="AF450" s="25"/>
      <c r="AG450" s="9"/>
      <c r="AH450" s="29"/>
      <c r="AI450" s="29"/>
      <c r="AM450" s="50"/>
      <c r="AN450" s="51" t="s">
        <v>2267</v>
      </c>
      <c r="AO450" s="55" t="s">
        <v>2268</v>
      </c>
    </row>
    <row r="451" spans="1:41" ht="79.8" hidden="1" x14ac:dyDescent="0.3">
      <c r="A451" s="20">
        <v>447</v>
      </c>
      <c r="B451" s="8" t="s">
        <v>2269</v>
      </c>
      <c r="C451" s="26">
        <v>2025</v>
      </c>
      <c r="D451" s="8"/>
      <c r="E451" s="8" t="s">
        <v>2270</v>
      </c>
      <c r="F451" s="20" t="s">
        <v>54</v>
      </c>
      <c r="G451" s="21" t="s">
        <v>64</v>
      </c>
      <c r="H451" s="21" t="s">
        <v>53</v>
      </c>
      <c r="I451" s="21" t="s">
        <v>53</v>
      </c>
      <c r="J451" s="21" t="s">
        <v>53</v>
      </c>
      <c r="K451" s="21" t="s">
        <v>53</v>
      </c>
      <c r="L451" s="22" t="str">
        <f t="shared" si="30"/>
        <v>EXCLUDE</v>
      </c>
      <c r="M451" s="22" t="str">
        <f t="shared" si="31"/>
        <v>Wrong domain (non-AECO)</v>
      </c>
      <c r="N451" s="23"/>
      <c r="O451" s="23"/>
      <c r="P451" s="24"/>
      <c r="Q451" s="24"/>
      <c r="R451" s="24"/>
      <c r="S451" s="22" t="str">
        <f t="shared" si="32"/>
        <v/>
      </c>
      <c r="T451" s="22" t="str">
        <f t="shared" si="33"/>
        <v/>
      </c>
      <c r="U451" s="25"/>
      <c r="V451" s="25"/>
      <c r="W451" s="25"/>
      <c r="X451" s="25"/>
      <c r="Y451" s="22" t="str">
        <f t="shared" si="34"/>
        <v/>
      </c>
      <c r="Z451" s="25"/>
      <c r="AA451" s="25"/>
      <c r="AB451" s="25"/>
      <c r="AC451" s="25"/>
      <c r="AD451" s="25"/>
      <c r="AE451" s="25"/>
      <c r="AF451" s="25"/>
      <c r="AG451" s="9"/>
      <c r="AH451" s="29"/>
      <c r="AI451" s="29"/>
      <c r="AM451" s="50"/>
      <c r="AN451" s="51" t="s">
        <v>2271</v>
      </c>
      <c r="AO451" s="55" t="s">
        <v>2272</v>
      </c>
    </row>
    <row r="452" spans="1:41" ht="91.2" x14ac:dyDescent="0.3">
      <c r="A452" s="20">
        <v>448</v>
      </c>
      <c r="B452" s="8" t="s">
        <v>2273</v>
      </c>
      <c r="C452" s="26">
        <v>2025</v>
      </c>
      <c r="D452" s="8"/>
      <c r="E452" s="8" t="s">
        <v>2274</v>
      </c>
      <c r="F452" s="20" t="s">
        <v>54</v>
      </c>
      <c r="G452" s="21" t="s">
        <v>53</v>
      </c>
      <c r="H452" s="21" t="s">
        <v>53</v>
      </c>
      <c r="I452" s="21" t="s">
        <v>53</v>
      </c>
      <c r="J452" s="21" t="s">
        <v>53</v>
      </c>
      <c r="K452" s="21" t="s">
        <v>53</v>
      </c>
      <c r="L452" s="22" t="str">
        <f t="shared" si="30"/>
        <v>INCLUDE</v>
      </c>
      <c r="M452" s="22" t="str">
        <f t="shared" si="31"/>
        <v/>
      </c>
      <c r="N452" s="23" t="s">
        <v>53</v>
      </c>
      <c r="O452" s="23" t="s">
        <v>53</v>
      </c>
      <c r="P452" s="24" t="s">
        <v>53</v>
      </c>
      <c r="Q452" s="24" t="s">
        <v>53</v>
      </c>
      <c r="R452" s="24" t="s">
        <v>53</v>
      </c>
      <c r="S452" s="22" t="str">
        <f t="shared" si="32"/>
        <v>INCLUDE</v>
      </c>
      <c r="T452" s="22" t="str">
        <f t="shared" si="33"/>
        <v/>
      </c>
      <c r="U452" s="25" t="s">
        <v>56</v>
      </c>
      <c r="V452" s="25">
        <v>0</v>
      </c>
      <c r="W452" s="25">
        <v>0</v>
      </c>
      <c r="X452" s="25">
        <v>1</v>
      </c>
      <c r="Y452" s="22" t="str">
        <f t="shared" si="34"/>
        <v>Single</v>
      </c>
      <c r="Z452" s="25" t="s">
        <v>9</v>
      </c>
      <c r="AA452" s="25" t="s">
        <v>57</v>
      </c>
      <c r="AB452" s="25" t="s">
        <v>100</v>
      </c>
      <c r="AC452" s="25" t="s">
        <v>70</v>
      </c>
      <c r="AD452" s="25" t="s">
        <v>60</v>
      </c>
      <c r="AE452" s="25">
        <v>4</v>
      </c>
      <c r="AF452" s="25" t="s">
        <v>61</v>
      </c>
      <c r="AG452" s="9" t="s">
        <v>2275</v>
      </c>
      <c r="AH452" s="29" t="s">
        <v>2276</v>
      </c>
      <c r="AI452" s="29" t="s">
        <v>2277</v>
      </c>
      <c r="AJ452" t="s">
        <v>82</v>
      </c>
      <c r="AK452" t="s">
        <v>2278</v>
      </c>
      <c r="AL452" t="s">
        <v>74</v>
      </c>
      <c r="AM452" s="50"/>
      <c r="AN452" s="51" t="s">
        <v>2279</v>
      </c>
      <c r="AO452" s="55" t="s">
        <v>2280</v>
      </c>
    </row>
    <row r="453" spans="1:41" ht="45.6" hidden="1" x14ac:dyDescent="0.3">
      <c r="A453" s="20">
        <v>449</v>
      </c>
      <c r="B453" s="8" t="s">
        <v>2281</v>
      </c>
      <c r="C453" s="26">
        <v>2026</v>
      </c>
      <c r="D453" s="8"/>
      <c r="E453" s="8" t="s">
        <v>2282</v>
      </c>
      <c r="F453" s="20" t="s">
        <v>54</v>
      </c>
      <c r="G453" s="21" t="s">
        <v>64</v>
      </c>
      <c r="H453" s="21" t="s">
        <v>53</v>
      </c>
      <c r="I453" s="21" t="s">
        <v>53</v>
      </c>
      <c r="J453" s="21" t="s">
        <v>53</v>
      </c>
      <c r="K453" s="21" t="s">
        <v>53</v>
      </c>
      <c r="L453" s="22" t="str">
        <f t="shared" ref="L453:L516" si="35">IF(COUNTBLANK(G453:K453)=5,"",IF(COUNTIF(G453:K453,"No")&gt;0,"EXCLUDE","INCLUDE"))</f>
        <v>EXCLUDE</v>
      </c>
      <c r="M453" s="22" t="str">
        <f t="shared" ref="M453:M516" si="36">IF(L453&lt;&gt;"EXCLUDE","",IF(G453="No","Wrong domain (non-AECO)",IF(H453="No","Digital Twin not core / buzzword",IF(I453="No","No Design for Safety/Quality/PtD",IF(J453="No","Wrong publication type",IF(K453="No","Non-English",""))))))</f>
        <v>Wrong domain (non-AECO)</v>
      </c>
      <c r="N453" s="23"/>
      <c r="O453" s="23"/>
      <c r="P453" s="24"/>
      <c r="Q453" s="24"/>
      <c r="R453" s="24"/>
      <c r="S453" s="22" t="str">
        <f t="shared" ref="S453:S516" si="37">IF(N453&lt;&gt;"Yes","",IF(COUNTBLANK(P453:R453)=3,"",IF(COUNTIF(P453:R453,"No")&gt;0,"EXCLUDE","INCLUDE")))</f>
        <v/>
      </c>
      <c r="T453" s="22" t="str">
        <f t="shared" ref="T453:T516" si="38">IF(S453&lt;&gt;"EXCLUDE","",IF(P453="No","Digital Twin mentioned only, not the subject",IF(Q453="No","No Design for Safety/Quality in full text",IF(R453="No","Methodology not codable",""))))</f>
        <v/>
      </c>
      <c r="U453" s="25"/>
      <c r="V453" s="25"/>
      <c r="W453" s="25"/>
      <c r="X453" s="25"/>
      <c r="Y453" s="22" t="str">
        <f t="shared" ref="Y453:Y516" si="39">IF(SUM(V453:X453)=0,"",IF(SUM(V453:X453)&gt;=2,"Multi","Single"))</f>
        <v/>
      </c>
      <c r="Z453" s="25"/>
      <c r="AA453" s="25"/>
      <c r="AB453" s="25"/>
      <c r="AC453" s="25"/>
      <c r="AD453" s="25"/>
      <c r="AE453" s="25"/>
      <c r="AF453" s="25"/>
      <c r="AG453" s="9"/>
      <c r="AH453" s="29"/>
      <c r="AI453" s="29"/>
      <c r="AM453" s="50"/>
      <c r="AN453" s="51" t="s">
        <v>2283</v>
      </c>
      <c r="AO453" s="55" t="s">
        <v>2284</v>
      </c>
    </row>
    <row r="454" spans="1:41" ht="68.400000000000006" hidden="1" x14ac:dyDescent="0.3">
      <c r="A454" s="20">
        <v>450</v>
      </c>
      <c r="B454" s="8" t="s">
        <v>2285</v>
      </c>
      <c r="C454" s="26">
        <v>2026</v>
      </c>
      <c r="D454" s="8"/>
      <c r="E454" s="8" t="s">
        <v>2286</v>
      </c>
      <c r="F454" s="20" t="s">
        <v>54</v>
      </c>
      <c r="G454" s="21" t="s">
        <v>53</v>
      </c>
      <c r="H454" s="21" t="s">
        <v>64</v>
      </c>
      <c r="I454" s="21" t="s">
        <v>53</v>
      </c>
      <c r="J454" s="21" t="s">
        <v>53</v>
      </c>
      <c r="K454" s="21" t="s">
        <v>53</v>
      </c>
      <c r="L454" s="22" t="str">
        <f t="shared" si="35"/>
        <v>EXCLUDE</v>
      </c>
      <c r="M454" s="22" t="str">
        <f t="shared" si="36"/>
        <v>Digital Twin not core / buzzword</v>
      </c>
      <c r="N454" s="23"/>
      <c r="O454" s="23"/>
      <c r="P454" s="24"/>
      <c r="Q454" s="24"/>
      <c r="R454" s="24"/>
      <c r="S454" s="22" t="str">
        <f t="shared" si="37"/>
        <v/>
      </c>
      <c r="T454" s="22" t="str">
        <f t="shared" si="38"/>
        <v/>
      </c>
      <c r="U454" s="25"/>
      <c r="V454" s="25"/>
      <c r="W454" s="25"/>
      <c r="X454" s="25"/>
      <c r="Y454" s="22" t="str">
        <f t="shared" si="39"/>
        <v/>
      </c>
      <c r="Z454" s="25"/>
      <c r="AA454" s="25"/>
      <c r="AB454" s="25"/>
      <c r="AC454" s="25"/>
      <c r="AD454" s="25"/>
      <c r="AE454" s="25"/>
      <c r="AF454" s="25"/>
      <c r="AG454" s="9"/>
      <c r="AH454" s="29"/>
      <c r="AI454" s="29"/>
      <c r="AM454" s="50"/>
      <c r="AN454" s="51" t="s">
        <v>2287</v>
      </c>
      <c r="AO454" s="55" t="s">
        <v>2288</v>
      </c>
    </row>
    <row r="455" spans="1:41" ht="57" hidden="1" x14ac:dyDescent="0.3">
      <c r="A455" s="20">
        <v>451</v>
      </c>
      <c r="B455" s="8" t="s">
        <v>2289</v>
      </c>
      <c r="C455" s="26">
        <v>2025</v>
      </c>
      <c r="D455" s="8"/>
      <c r="E455" s="8" t="s">
        <v>2290</v>
      </c>
      <c r="F455" s="20" t="s">
        <v>54</v>
      </c>
      <c r="G455" s="21" t="s">
        <v>53</v>
      </c>
      <c r="H455" s="21" t="s">
        <v>64</v>
      </c>
      <c r="I455" s="21" t="s">
        <v>64</v>
      </c>
      <c r="J455" s="21" t="s">
        <v>53</v>
      </c>
      <c r="K455" s="21" t="s">
        <v>53</v>
      </c>
      <c r="L455" s="22" t="str">
        <f t="shared" si="35"/>
        <v>EXCLUDE</v>
      </c>
      <c r="M455" s="22" t="str">
        <f t="shared" si="36"/>
        <v>Digital Twin not core / buzzword</v>
      </c>
      <c r="N455" s="23"/>
      <c r="O455" s="23"/>
      <c r="P455" s="24"/>
      <c r="Q455" s="24"/>
      <c r="R455" s="24"/>
      <c r="S455" s="22" t="str">
        <f t="shared" si="37"/>
        <v/>
      </c>
      <c r="T455" s="22" t="str">
        <f t="shared" si="38"/>
        <v/>
      </c>
      <c r="U455" s="25"/>
      <c r="V455" s="25"/>
      <c r="W455" s="25"/>
      <c r="X455" s="25"/>
      <c r="Y455" s="22" t="str">
        <f t="shared" si="39"/>
        <v/>
      </c>
      <c r="Z455" s="25"/>
      <c r="AA455" s="25"/>
      <c r="AB455" s="25"/>
      <c r="AC455" s="25"/>
      <c r="AD455" s="25"/>
      <c r="AE455" s="25"/>
      <c r="AF455" s="25"/>
      <c r="AG455" s="9"/>
      <c r="AH455" s="29"/>
      <c r="AI455" s="29"/>
      <c r="AM455" s="50"/>
      <c r="AN455" s="51" t="s">
        <v>2291</v>
      </c>
      <c r="AO455" s="55" t="s">
        <v>2292</v>
      </c>
    </row>
    <row r="456" spans="1:41" ht="79.8" hidden="1" x14ac:dyDescent="0.3">
      <c r="A456" s="20">
        <v>452</v>
      </c>
      <c r="B456" s="8" t="s">
        <v>2293</v>
      </c>
      <c r="C456" s="26">
        <v>2025</v>
      </c>
      <c r="D456" s="8"/>
      <c r="E456" s="8" t="s">
        <v>2294</v>
      </c>
      <c r="F456" s="20" t="s">
        <v>54</v>
      </c>
      <c r="G456" s="21" t="s">
        <v>53</v>
      </c>
      <c r="H456" s="21" t="s">
        <v>64</v>
      </c>
      <c r="I456" s="21" t="s">
        <v>53</v>
      </c>
      <c r="J456" s="21" t="s">
        <v>53</v>
      </c>
      <c r="K456" s="21" t="s">
        <v>53</v>
      </c>
      <c r="L456" s="22" t="str">
        <f t="shared" si="35"/>
        <v>EXCLUDE</v>
      </c>
      <c r="M456" s="22" t="str">
        <f t="shared" si="36"/>
        <v>Digital Twin not core / buzzword</v>
      </c>
      <c r="N456" s="23"/>
      <c r="O456" s="23"/>
      <c r="P456" s="24"/>
      <c r="Q456" s="24"/>
      <c r="R456" s="24"/>
      <c r="S456" s="22" t="str">
        <f t="shared" si="37"/>
        <v/>
      </c>
      <c r="T456" s="22" t="str">
        <f t="shared" si="38"/>
        <v/>
      </c>
      <c r="U456" s="25"/>
      <c r="V456" s="25"/>
      <c r="W456" s="25"/>
      <c r="X456" s="25"/>
      <c r="Y456" s="22" t="str">
        <f t="shared" si="39"/>
        <v/>
      </c>
      <c r="Z456" s="25"/>
      <c r="AA456" s="25"/>
      <c r="AB456" s="25"/>
      <c r="AC456" s="25"/>
      <c r="AD456" s="25"/>
      <c r="AE456" s="25"/>
      <c r="AF456" s="25"/>
      <c r="AG456" s="9"/>
      <c r="AH456" s="29"/>
      <c r="AI456" s="29"/>
      <c r="AM456" s="50"/>
      <c r="AN456" s="51" t="s">
        <v>2295</v>
      </c>
      <c r="AO456" s="55" t="s">
        <v>2296</v>
      </c>
    </row>
    <row r="457" spans="1:41" ht="68.400000000000006" hidden="1" x14ac:dyDescent="0.3">
      <c r="A457" s="20">
        <v>453</v>
      </c>
      <c r="B457" s="8" t="s">
        <v>2297</v>
      </c>
      <c r="C457" s="26">
        <v>2026</v>
      </c>
      <c r="D457" s="8"/>
      <c r="E457" s="8" t="s">
        <v>2298</v>
      </c>
      <c r="F457" s="20" t="s">
        <v>54</v>
      </c>
      <c r="G457" s="21" t="s">
        <v>53</v>
      </c>
      <c r="H457" s="21" t="s">
        <v>64</v>
      </c>
      <c r="I457" s="21" t="s">
        <v>53</v>
      </c>
      <c r="J457" s="21" t="s">
        <v>53</v>
      </c>
      <c r="K457" s="21" t="s">
        <v>53</v>
      </c>
      <c r="L457" s="22" t="str">
        <f t="shared" si="35"/>
        <v>EXCLUDE</v>
      </c>
      <c r="M457" s="22" t="str">
        <f t="shared" si="36"/>
        <v>Digital Twin not core / buzzword</v>
      </c>
      <c r="N457" s="23"/>
      <c r="O457" s="23"/>
      <c r="P457" s="24"/>
      <c r="Q457" s="24"/>
      <c r="R457" s="24"/>
      <c r="S457" s="22" t="str">
        <f t="shared" si="37"/>
        <v/>
      </c>
      <c r="T457" s="22" t="str">
        <f t="shared" si="38"/>
        <v/>
      </c>
      <c r="U457" s="25"/>
      <c r="V457" s="25"/>
      <c r="W457" s="25"/>
      <c r="X457" s="25"/>
      <c r="Y457" s="22" t="str">
        <f t="shared" si="39"/>
        <v/>
      </c>
      <c r="Z457" s="25"/>
      <c r="AA457" s="25"/>
      <c r="AB457" s="25"/>
      <c r="AC457" s="25"/>
      <c r="AD457" s="25"/>
      <c r="AE457" s="25"/>
      <c r="AF457" s="25"/>
      <c r="AG457" s="9"/>
      <c r="AH457" s="29"/>
      <c r="AI457" s="29"/>
      <c r="AM457" s="50"/>
      <c r="AN457" s="51" t="s">
        <v>2299</v>
      </c>
      <c r="AO457" s="55" t="s">
        <v>2300</v>
      </c>
    </row>
    <row r="458" spans="1:41" ht="57" hidden="1" x14ac:dyDescent="0.3">
      <c r="A458" s="20">
        <v>454</v>
      </c>
      <c r="B458" s="8" t="s">
        <v>1269</v>
      </c>
      <c r="C458" s="26">
        <v>2026</v>
      </c>
      <c r="D458" s="8"/>
      <c r="E458" s="8" t="s">
        <v>2301</v>
      </c>
      <c r="F458" s="20" t="s">
        <v>54</v>
      </c>
      <c r="G458" s="21" t="s">
        <v>64</v>
      </c>
      <c r="H458" s="21" t="s">
        <v>53</v>
      </c>
      <c r="I458" s="21" t="s">
        <v>53</v>
      </c>
      <c r="J458" s="21" t="s">
        <v>53</v>
      </c>
      <c r="K458" s="21" t="s">
        <v>53</v>
      </c>
      <c r="L458" s="22" t="str">
        <f t="shared" si="35"/>
        <v>EXCLUDE</v>
      </c>
      <c r="M458" s="22" t="str">
        <f t="shared" si="36"/>
        <v>Wrong domain (non-AECO)</v>
      </c>
      <c r="N458" s="23"/>
      <c r="O458" s="23"/>
      <c r="P458" s="24"/>
      <c r="Q458" s="24"/>
      <c r="R458" s="24"/>
      <c r="S458" s="22" t="str">
        <f t="shared" si="37"/>
        <v/>
      </c>
      <c r="T458" s="22" t="str">
        <f t="shared" si="38"/>
        <v/>
      </c>
      <c r="U458" s="25"/>
      <c r="V458" s="25"/>
      <c r="W458" s="25"/>
      <c r="X458" s="25"/>
      <c r="Y458" s="22" t="str">
        <f t="shared" si="39"/>
        <v/>
      </c>
      <c r="Z458" s="25"/>
      <c r="AA458" s="25"/>
      <c r="AB458" s="25"/>
      <c r="AC458" s="25"/>
      <c r="AD458" s="25"/>
      <c r="AE458" s="25"/>
      <c r="AF458" s="25"/>
      <c r="AG458" s="9"/>
      <c r="AH458" s="29"/>
      <c r="AI458" s="29"/>
      <c r="AM458" s="50"/>
      <c r="AN458" s="51" t="s">
        <v>2302</v>
      </c>
      <c r="AO458" s="55" t="s">
        <v>2303</v>
      </c>
    </row>
    <row r="459" spans="1:41" ht="68.400000000000006" hidden="1" x14ac:dyDescent="0.3">
      <c r="A459" s="20">
        <v>455</v>
      </c>
      <c r="B459" s="8" t="s">
        <v>2304</v>
      </c>
      <c r="C459" s="26">
        <v>2026</v>
      </c>
      <c r="D459" s="8"/>
      <c r="E459" s="8" t="s">
        <v>2305</v>
      </c>
      <c r="F459" s="20" t="s">
        <v>54</v>
      </c>
      <c r="G459" s="21" t="s">
        <v>64</v>
      </c>
      <c r="H459" s="21" t="s">
        <v>53</v>
      </c>
      <c r="I459" s="21" t="s">
        <v>53</v>
      </c>
      <c r="J459" s="21" t="s">
        <v>53</v>
      </c>
      <c r="K459" s="21" t="s">
        <v>53</v>
      </c>
      <c r="L459" s="22" t="str">
        <f t="shared" si="35"/>
        <v>EXCLUDE</v>
      </c>
      <c r="M459" s="22" t="str">
        <f t="shared" si="36"/>
        <v>Wrong domain (non-AECO)</v>
      </c>
      <c r="N459" s="23"/>
      <c r="O459" s="23"/>
      <c r="P459" s="24"/>
      <c r="Q459" s="24"/>
      <c r="R459" s="24"/>
      <c r="S459" s="22" t="str">
        <f t="shared" si="37"/>
        <v/>
      </c>
      <c r="T459" s="22" t="str">
        <f t="shared" si="38"/>
        <v/>
      </c>
      <c r="U459" s="25"/>
      <c r="V459" s="25"/>
      <c r="W459" s="25"/>
      <c r="X459" s="25"/>
      <c r="Y459" s="22" t="str">
        <f t="shared" si="39"/>
        <v/>
      </c>
      <c r="Z459" s="25"/>
      <c r="AA459" s="25"/>
      <c r="AB459" s="25"/>
      <c r="AC459" s="25"/>
      <c r="AD459" s="25"/>
      <c r="AE459" s="25"/>
      <c r="AF459" s="25"/>
      <c r="AG459" s="9"/>
      <c r="AH459" s="29"/>
      <c r="AI459" s="29"/>
      <c r="AM459" s="50"/>
      <c r="AN459" s="51" t="s">
        <v>2306</v>
      </c>
      <c r="AO459" s="55" t="s">
        <v>2307</v>
      </c>
    </row>
    <row r="460" spans="1:41" ht="91.2" hidden="1" x14ac:dyDescent="0.3">
      <c r="A460" s="20">
        <v>456</v>
      </c>
      <c r="B460" s="8" t="s">
        <v>2308</v>
      </c>
      <c r="C460" s="26">
        <v>2026</v>
      </c>
      <c r="D460" s="8"/>
      <c r="E460" s="8" t="s">
        <v>2309</v>
      </c>
      <c r="F460" s="20" t="s">
        <v>54</v>
      </c>
      <c r="G460" s="21" t="s">
        <v>53</v>
      </c>
      <c r="H460" s="21" t="s">
        <v>53</v>
      </c>
      <c r="I460" s="21" t="s">
        <v>53</v>
      </c>
      <c r="J460" s="21" t="s">
        <v>53</v>
      </c>
      <c r="K460" s="21" t="s">
        <v>64</v>
      </c>
      <c r="L460" s="22" t="str">
        <f t="shared" si="35"/>
        <v>EXCLUDE</v>
      </c>
      <c r="M460" s="22" t="str">
        <f t="shared" si="36"/>
        <v>Non-English</v>
      </c>
      <c r="N460" s="23"/>
      <c r="O460" s="23"/>
      <c r="P460" s="24"/>
      <c r="Q460" s="24"/>
      <c r="R460" s="24"/>
      <c r="S460" s="22" t="str">
        <f t="shared" si="37"/>
        <v/>
      </c>
      <c r="T460" s="22" t="str">
        <f t="shared" si="38"/>
        <v/>
      </c>
      <c r="U460" s="25"/>
      <c r="V460" s="25"/>
      <c r="W460" s="25"/>
      <c r="X460" s="25"/>
      <c r="Y460" s="22" t="str">
        <f t="shared" si="39"/>
        <v/>
      </c>
      <c r="Z460" s="25"/>
      <c r="AA460" s="25"/>
      <c r="AB460" s="25"/>
      <c r="AC460" s="25"/>
      <c r="AD460" s="25"/>
      <c r="AE460" s="25"/>
      <c r="AF460" s="25"/>
      <c r="AG460" s="9"/>
      <c r="AH460" s="29"/>
      <c r="AI460" s="29"/>
      <c r="AM460" s="50"/>
      <c r="AN460" s="51" t="s">
        <v>2310</v>
      </c>
      <c r="AO460" s="55" t="s">
        <v>2311</v>
      </c>
    </row>
    <row r="461" spans="1:41" ht="91.2" hidden="1" x14ac:dyDescent="0.3">
      <c r="A461" s="20">
        <v>457</v>
      </c>
      <c r="B461" s="8" t="s">
        <v>2312</v>
      </c>
      <c r="C461" s="26">
        <v>2025</v>
      </c>
      <c r="D461" s="8"/>
      <c r="E461" s="8" t="s">
        <v>2313</v>
      </c>
      <c r="F461" s="20" t="s">
        <v>54</v>
      </c>
      <c r="G461" s="21" t="s">
        <v>64</v>
      </c>
      <c r="H461" s="21" t="s">
        <v>53</v>
      </c>
      <c r="I461" s="21" t="s">
        <v>53</v>
      </c>
      <c r="J461" s="21" t="s">
        <v>53</v>
      </c>
      <c r="K461" s="21" t="s">
        <v>53</v>
      </c>
      <c r="L461" s="22" t="str">
        <f t="shared" si="35"/>
        <v>EXCLUDE</v>
      </c>
      <c r="M461" s="22" t="str">
        <f t="shared" si="36"/>
        <v>Wrong domain (non-AECO)</v>
      </c>
      <c r="N461" s="23"/>
      <c r="O461" s="23"/>
      <c r="P461" s="24"/>
      <c r="Q461" s="24"/>
      <c r="R461" s="24"/>
      <c r="S461" s="22" t="str">
        <f t="shared" si="37"/>
        <v/>
      </c>
      <c r="T461" s="22" t="str">
        <f t="shared" si="38"/>
        <v/>
      </c>
      <c r="U461" s="25"/>
      <c r="V461" s="25"/>
      <c r="W461" s="25"/>
      <c r="X461" s="25"/>
      <c r="Y461" s="22" t="str">
        <f t="shared" si="39"/>
        <v/>
      </c>
      <c r="Z461" s="25"/>
      <c r="AA461" s="25"/>
      <c r="AB461" s="25"/>
      <c r="AC461" s="25"/>
      <c r="AD461" s="25"/>
      <c r="AE461" s="25"/>
      <c r="AF461" s="25"/>
      <c r="AG461" s="9"/>
      <c r="AH461" s="29"/>
      <c r="AI461" s="29"/>
      <c r="AM461" s="50"/>
      <c r="AN461" s="51" t="s">
        <v>2314</v>
      </c>
      <c r="AO461" s="55" t="s">
        <v>2315</v>
      </c>
    </row>
    <row r="462" spans="1:41" ht="34.200000000000003" hidden="1" x14ac:dyDescent="0.3">
      <c r="A462" s="20">
        <v>458</v>
      </c>
      <c r="B462" s="8" t="s">
        <v>2316</v>
      </c>
      <c r="C462" s="26">
        <v>2026</v>
      </c>
      <c r="D462" s="8"/>
      <c r="E462" s="8" t="s">
        <v>2317</v>
      </c>
      <c r="F462" s="20" t="s">
        <v>54</v>
      </c>
      <c r="G462" s="21" t="s">
        <v>64</v>
      </c>
      <c r="H462" s="21" t="s">
        <v>53</v>
      </c>
      <c r="I462" s="21" t="s">
        <v>53</v>
      </c>
      <c r="J462" s="21" t="s">
        <v>53</v>
      </c>
      <c r="K462" s="21" t="s">
        <v>64</v>
      </c>
      <c r="L462" s="22" t="str">
        <f t="shared" si="35"/>
        <v>EXCLUDE</v>
      </c>
      <c r="M462" s="22" t="str">
        <f t="shared" si="36"/>
        <v>Wrong domain (non-AECO)</v>
      </c>
      <c r="N462" s="23"/>
      <c r="O462" s="23"/>
      <c r="P462" s="24"/>
      <c r="Q462" s="24"/>
      <c r="R462" s="24"/>
      <c r="S462" s="22" t="str">
        <f t="shared" si="37"/>
        <v/>
      </c>
      <c r="T462" s="22" t="str">
        <f t="shared" si="38"/>
        <v/>
      </c>
      <c r="U462" s="25"/>
      <c r="V462" s="25"/>
      <c r="W462" s="25"/>
      <c r="X462" s="25"/>
      <c r="Y462" s="22" t="str">
        <f t="shared" si="39"/>
        <v/>
      </c>
      <c r="Z462" s="25"/>
      <c r="AA462" s="25"/>
      <c r="AB462" s="25"/>
      <c r="AC462" s="25"/>
      <c r="AD462" s="25"/>
      <c r="AE462" s="25"/>
      <c r="AF462" s="25"/>
      <c r="AG462" s="9"/>
      <c r="AH462" s="29"/>
      <c r="AI462" s="29"/>
      <c r="AM462" s="50"/>
      <c r="AN462" s="51" t="s">
        <v>2318</v>
      </c>
      <c r="AO462" s="55" t="s">
        <v>2319</v>
      </c>
    </row>
    <row r="463" spans="1:41" ht="57" hidden="1" x14ac:dyDescent="0.3">
      <c r="A463" s="20">
        <v>459</v>
      </c>
      <c r="B463" s="8" t="s">
        <v>2320</v>
      </c>
      <c r="C463" s="26">
        <v>2026</v>
      </c>
      <c r="D463" s="8"/>
      <c r="E463" s="8" t="s">
        <v>2321</v>
      </c>
      <c r="F463" s="20" t="s">
        <v>54</v>
      </c>
      <c r="G463" s="21" t="s">
        <v>64</v>
      </c>
      <c r="H463" s="21" t="s">
        <v>53</v>
      </c>
      <c r="I463" s="21" t="s">
        <v>53</v>
      </c>
      <c r="J463" s="21" t="s">
        <v>53</v>
      </c>
      <c r="K463" s="21" t="s">
        <v>53</v>
      </c>
      <c r="L463" s="22" t="str">
        <f t="shared" si="35"/>
        <v>EXCLUDE</v>
      </c>
      <c r="M463" s="22" t="str">
        <f t="shared" si="36"/>
        <v>Wrong domain (non-AECO)</v>
      </c>
      <c r="N463" s="23"/>
      <c r="O463" s="23"/>
      <c r="P463" s="24"/>
      <c r="Q463" s="24"/>
      <c r="R463" s="24"/>
      <c r="S463" s="22" t="str">
        <f t="shared" si="37"/>
        <v/>
      </c>
      <c r="T463" s="22" t="str">
        <f t="shared" si="38"/>
        <v/>
      </c>
      <c r="U463" s="25"/>
      <c r="V463" s="25"/>
      <c r="W463" s="25"/>
      <c r="X463" s="25"/>
      <c r="Y463" s="22" t="str">
        <f t="shared" si="39"/>
        <v/>
      </c>
      <c r="Z463" s="25"/>
      <c r="AA463" s="25"/>
      <c r="AB463" s="25"/>
      <c r="AC463" s="25"/>
      <c r="AD463" s="25"/>
      <c r="AE463" s="25"/>
      <c r="AF463" s="25"/>
      <c r="AG463" s="9"/>
      <c r="AH463" s="29"/>
      <c r="AI463" s="29"/>
      <c r="AM463" s="50"/>
      <c r="AN463" s="51" t="s">
        <v>2322</v>
      </c>
      <c r="AO463" s="55" t="s">
        <v>2323</v>
      </c>
    </row>
    <row r="464" spans="1:41" ht="102.6" x14ac:dyDescent="0.3">
      <c r="A464" s="20">
        <v>460</v>
      </c>
      <c r="B464" s="8" t="s">
        <v>849</v>
      </c>
      <c r="C464" s="26">
        <v>2025</v>
      </c>
      <c r="D464" s="8"/>
      <c r="E464" s="8" t="s">
        <v>2324</v>
      </c>
      <c r="F464" s="20" t="s">
        <v>54</v>
      </c>
      <c r="G464" s="21" t="s">
        <v>53</v>
      </c>
      <c r="H464" s="21" t="s">
        <v>53</v>
      </c>
      <c r="I464" s="21" t="s">
        <v>53</v>
      </c>
      <c r="J464" s="21" t="s">
        <v>53</v>
      </c>
      <c r="K464" s="21" t="s">
        <v>53</v>
      </c>
      <c r="L464" s="22" t="str">
        <f t="shared" si="35"/>
        <v>INCLUDE</v>
      </c>
      <c r="M464" s="22" t="str">
        <f t="shared" si="36"/>
        <v/>
      </c>
      <c r="N464" s="23" t="s">
        <v>53</v>
      </c>
      <c r="O464" s="23" t="s">
        <v>53</v>
      </c>
      <c r="P464" s="24" t="s">
        <v>53</v>
      </c>
      <c r="Q464" s="24" t="s">
        <v>53</v>
      </c>
      <c r="R464" s="24" t="s">
        <v>53</v>
      </c>
      <c r="S464" s="22" t="str">
        <f t="shared" si="37"/>
        <v>INCLUDE</v>
      </c>
      <c r="T464" s="22" t="str">
        <f t="shared" si="38"/>
        <v/>
      </c>
      <c r="U464" s="25" t="s">
        <v>67</v>
      </c>
      <c r="V464" s="25">
        <v>0</v>
      </c>
      <c r="W464" s="25">
        <v>0</v>
      </c>
      <c r="X464" s="25">
        <v>1</v>
      </c>
      <c r="Y464" s="22" t="str">
        <f t="shared" si="39"/>
        <v>Single</v>
      </c>
      <c r="Z464" s="25" t="s">
        <v>77</v>
      </c>
      <c r="AA464" s="25" t="s">
        <v>57</v>
      </c>
      <c r="AB464" s="25" t="s">
        <v>79</v>
      </c>
      <c r="AC464" s="25" t="s">
        <v>70</v>
      </c>
      <c r="AD464" s="25" t="s">
        <v>89</v>
      </c>
      <c r="AE464" s="25">
        <v>4</v>
      </c>
      <c r="AF464" s="25" t="s">
        <v>96</v>
      </c>
      <c r="AG464" s="9" t="s">
        <v>2325</v>
      </c>
      <c r="AH464" s="29" t="s">
        <v>2326</v>
      </c>
      <c r="AI464" s="29" t="s">
        <v>2327</v>
      </c>
      <c r="AJ464" t="s">
        <v>91</v>
      </c>
      <c r="AK464" t="s">
        <v>2328</v>
      </c>
      <c r="AL464" t="s">
        <v>74</v>
      </c>
      <c r="AM464" s="50"/>
      <c r="AN464" s="51" t="s">
        <v>2329</v>
      </c>
      <c r="AO464" s="55" t="s">
        <v>2330</v>
      </c>
    </row>
    <row r="465" spans="1:41" ht="91.2" x14ac:dyDescent="0.3">
      <c r="A465" s="20">
        <v>461</v>
      </c>
      <c r="B465" s="8" t="s">
        <v>2331</v>
      </c>
      <c r="C465" s="26">
        <v>2026</v>
      </c>
      <c r="D465" s="8"/>
      <c r="E465" s="8" t="s">
        <v>2332</v>
      </c>
      <c r="F465" s="20" t="s">
        <v>54</v>
      </c>
      <c r="G465" s="21" t="s">
        <v>53</v>
      </c>
      <c r="H465" s="21" t="s">
        <v>53</v>
      </c>
      <c r="I465" s="21" t="s">
        <v>53</v>
      </c>
      <c r="J465" s="21" t="s">
        <v>53</v>
      </c>
      <c r="K465" s="21" t="s">
        <v>53</v>
      </c>
      <c r="L465" s="22" t="str">
        <f t="shared" si="35"/>
        <v>INCLUDE</v>
      </c>
      <c r="M465" s="22" t="str">
        <f t="shared" si="36"/>
        <v/>
      </c>
      <c r="N465" s="23" t="s">
        <v>53</v>
      </c>
      <c r="O465" s="23" t="s">
        <v>53</v>
      </c>
      <c r="P465" s="24" t="s">
        <v>53</v>
      </c>
      <c r="Q465" s="24" t="s">
        <v>53</v>
      </c>
      <c r="R465" s="24" t="s">
        <v>53</v>
      </c>
      <c r="S465" s="22" t="str">
        <f t="shared" si="37"/>
        <v>INCLUDE</v>
      </c>
      <c r="T465" s="22" t="str">
        <f t="shared" si="38"/>
        <v/>
      </c>
      <c r="U465" s="25" t="s">
        <v>56</v>
      </c>
      <c r="V465" s="25">
        <v>0</v>
      </c>
      <c r="W465" s="25">
        <v>0</v>
      </c>
      <c r="X465" s="25">
        <v>1</v>
      </c>
      <c r="Y465" s="22" t="str">
        <f t="shared" si="39"/>
        <v>Single</v>
      </c>
      <c r="Z465" s="25" t="s">
        <v>9</v>
      </c>
      <c r="AA465" s="25" t="s">
        <v>57</v>
      </c>
      <c r="AB465" s="25" t="s">
        <v>58</v>
      </c>
      <c r="AC465" s="25" t="s">
        <v>70</v>
      </c>
      <c r="AD465" s="25" t="s">
        <v>71</v>
      </c>
      <c r="AE465" s="25">
        <v>4</v>
      </c>
      <c r="AF465" s="25" t="s">
        <v>96</v>
      </c>
      <c r="AG465" s="9" t="s">
        <v>2333</v>
      </c>
      <c r="AH465" s="29" t="s">
        <v>2334</v>
      </c>
      <c r="AI465" s="29" t="s">
        <v>2335</v>
      </c>
      <c r="AJ465" t="s">
        <v>91</v>
      </c>
      <c r="AK465" t="s">
        <v>2336</v>
      </c>
      <c r="AL465" t="s">
        <v>74</v>
      </c>
      <c r="AM465" s="50"/>
      <c r="AN465" s="51" t="s">
        <v>2337</v>
      </c>
      <c r="AO465" s="55" t="s">
        <v>2338</v>
      </c>
    </row>
    <row r="466" spans="1:41" ht="68.400000000000006" hidden="1" x14ac:dyDescent="0.3">
      <c r="A466" s="20">
        <v>462</v>
      </c>
      <c r="B466" s="8" t="s">
        <v>2339</v>
      </c>
      <c r="C466" s="26">
        <v>2026</v>
      </c>
      <c r="D466" s="8"/>
      <c r="E466" s="8" t="s">
        <v>2340</v>
      </c>
      <c r="F466" s="20" t="s">
        <v>54</v>
      </c>
      <c r="G466" s="21" t="s">
        <v>64</v>
      </c>
      <c r="H466" s="21" t="s">
        <v>53</v>
      </c>
      <c r="I466" s="21" t="s">
        <v>53</v>
      </c>
      <c r="J466" s="21" t="s">
        <v>53</v>
      </c>
      <c r="K466" s="21" t="s">
        <v>53</v>
      </c>
      <c r="L466" s="22" t="str">
        <f t="shared" si="35"/>
        <v>EXCLUDE</v>
      </c>
      <c r="M466" s="22" t="str">
        <f t="shared" si="36"/>
        <v>Wrong domain (non-AECO)</v>
      </c>
      <c r="N466" s="23"/>
      <c r="O466" s="23"/>
      <c r="P466" s="24"/>
      <c r="Q466" s="24"/>
      <c r="R466" s="24"/>
      <c r="S466" s="22" t="str">
        <f t="shared" si="37"/>
        <v/>
      </c>
      <c r="T466" s="22" t="str">
        <f t="shared" si="38"/>
        <v/>
      </c>
      <c r="U466" s="25"/>
      <c r="V466" s="25"/>
      <c r="W466" s="25"/>
      <c r="X466" s="25"/>
      <c r="Y466" s="22" t="str">
        <f t="shared" si="39"/>
        <v/>
      </c>
      <c r="Z466" s="25"/>
      <c r="AA466" s="25"/>
      <c r="AB466" s="25"/>
      <c r="AC466" s="25"/>
      <c r="AD466" s="25"/>
      <c r="AE466" s="25"/>
      <c r="AF466" s="25"/>
      <c r="AG466" s="9"/>
      <c r="AH466" s="29"/>
      <c r="AI466" s="29"/>
      <c r="AM466" s="50"/>
      <c r="AN466" s="51" t="s">
        <v>2341</v>
      </c>
      <c r="AO466" s="55" t="s">
        <v>2342</v>
      </c>
    </row>
    <row r="467" spans="1:41" ht="91.2" x14ac:dyDescent="0.3">
      <c r="A467" s="20">
        <v>463</v>
      </c>
      <c r="B467" s="8" t="s">
        <v>2343</v>
      </c>
      <c r="C467" s="26">
        <v>2026</v>
      </c>
      <c r="D467" s="8"/>
      <c r="E467" s="8" t="s">
        <v>2344</v>
      </c>
      <c r="F467" s="20" t="s">
        <v>54</v>
      </c>
      <c r="G467" s="21" t="s">
        <v>53</v>
      </c>
      <c r="H467" s="21" t="s">
        <v>53</v>
      </c>
      <c r="I467" s="21" t="s">
        <v>53</v>
      </c>
      <c r="J467" s="21" t="s">
        <v>53</v>
      </c>
      <c r="K467" s="21" t="s">
        <v>53</v>
      </c>
      <c r="L467" s="22" t="str">
        <f t="shared" si="35"/>
        <v>INCLUDE</v>
      </c>
      <c r="M467" s="22" t="str">
        <f t="shared" si="36"/>
        <v/>
      </c>
      <c r="N467" s="23" t="s">
        <v>53</v>
      </c>
      <c r="O467" s="23" t="s">
        <v>53</v>
      </c>
      <c r="P467" s="24" t="s">
        <v>53</v>
      </c>
      <c r="Q467" s="24" t="s">
        <v>53</v>
      </c>
      <c r="R467" s="24" t="s">
        <v>53</v>
      </c>
      <c r="S467" s="22" t="str">
        <f t="shared" si="37"/>
        <v>INCLUDE</v>
      </c>
      <c r="T467" s="22" t="str">
        <f t="shared" si="38"/>
        <v/>
      </c>
      <c r="U467" s="25" t="s">
        <v>56</v>
      </c>
      <c r="V467" s="25">
        <v>0</v>
      </c>
      <c r="W467" s="25">
        <v>0</v>
      </c>
      <c r="X467" s="25">
        <v>1</v>
      </c>
      <c r="Y467" s="22" t="str">
        <f t="shared" si="39"/>
        <v>Single</v>
      </c>
      <c r="Z467" s="25" t="s">
        <v>9</v>
      </c>
      <c r="AA467" s="25" t="s">
        <v>57</v>
      </c>
      <c r="AB467" s="25" t="s">
        <v>58</v>
      </c>
      <c r="AC467" s="25" t="s">
        <v>59</v>
      </c>
      <c r="AD467" s="25" t="s">
        <v>71</v>
      </c>
      <c r="AE467" s="25">
        <v>4</v>
      </c>
      <c r="AF467" s="25" t="s">
        <v>90</v>
      </c>
      <c r="AG467" s="9" t="s">
        <v>2345</v>
      </c>
      <c r="AH467" s="29" t="s">
        <v>2346</v>
      </c>
      <c r="AI467" s="29" t="s">
        <v>2347</v>
      </c>
      <c r="AJ467" t="s">
        <v>62</v>
      </c>
      <c r="AK467" t="s">
        <v>2348</v>
      </c>
      <c r="AL467" t="s">
        <v>63</v>
      </c>
      <c r="AM467" s="50"/>
      <c r="AN467" s="51" t="s">
        <v>2349</v>
      </c>
      <c r="AO467" s="55" t="s">
        <v>2350</v>
      </c>
    </row>
    <row r="468" spans="1:41" ht="57" hidden="1" x14ac:dyDescent="0.3">
      <c r="A468" s="20">
        <v>464</v>
      </c>
      <c r="B468" s="8" t="s">
        <v>2351</v>
      </c>
      <c r="C468" s="26">
        <v>2025</v>
      </c>
      <c r="D468" s="8"/>
      <c r="E468" s="8" t="s">
        <v>2352</v>
      </c>
      <c r="F468" s="20" t="s">
        <v>54</v>
      </c>
      <c r="G468" s="21" t="s">
        <v>53</v>
      </c>
      <c r="H468" s="21" t="s">
        <v>53</v>
      </c>
      <c r="I468" s="21" t="s">
        <v>53</v>
      </c>
      <c r="J468" s="21" t="s">
        <v>53</v>
      </c>
      <c r="K468" s="21" t="s">
        <v>53</v>
      </c>
      <c r="L468" s="22" t="str">
        <f t="shared" si="35"/>
        <v>INCLUDE</v>
      </c>
      <c r="M468" s="22" t="str">
        <f t="shared" si="36"/>
        <v/>
      </c>
      <c r="N468" s="23" t="s">
        <v>64</v>
      </c>
      <c r="O468" s="23" t="s">
        <v>64</v>
      </c>
      <c r="P468" s="24"/>
      <c r="Q468" s="24"/>
      <c r="R468" s="24"/>
      <c r="S468" s="22" t="str">
        <f t="shared" si="37"/>
        <v/>
      </c>
      <c r="T468" s="22" t="str">
        <f t="shared" si="38"/>
        <v/>
      </c>
      <c r="U468" s="25"/>
      <c r="V468" s="25"/>
      <c r="W468" s="25"/>
      <c r="X468" s="25"/>
      <c r="Y468" s="22" t="str">
        <f t="shared" si="39"/>
        <v/>
      </c>
      <c r="Z468" s="25"/>
      <c r="AA468" s="25"/>
      <c r="AB468" s="25"/>
      <c r="AC468" s="25"/>
      <c r="AD468" s="25"/>
      <c r="AE468" s="25"/>
      <c r="AF468" s="25"/>
      <c r="AG468" s="9"/>
      <c r="AH468" s="29"/>
      <c r="AI468" s="29"/>
      <c r="AM468" s="50"/>
      <c r="AN468" s="51" t="s">
        <v>2353</v>
      </c>
      <c r="AO468" s="55" t="s">
        <v>2354</v>
      </c>
    </row>
    <row r="469" spans="1:41" ht="91.2" x14ac:dyDescent="0.3">
      <c r="A469" s="20">
        <v>465</v>
      </c>
      <c r="B469" s="8" t="s">
        <v>2355</v>
      </c>
      <c r="C469" s="26">
        <v>2025</v>
      </c>
      <c r="D469" s="8"/>
      <c r="E469" s="8" t="s">
        <v>2356</v>
      </c>
      <c r="F469" s="20" t="s">
        <v>54</v>
      </c>
      <c r="G469" s="21" t="s">
        <v>53</v>
      </c>
      <c r="H469" s="21" t="s">
        <v>53</v>
      </c>
      <c r="I469" s="21" t="s">
        <v>53</v>
      </c>
      <c r="J469" s="21" t="s">
        <v>53</v>
      </c>
      <c r="K469" s="21" t="s">
        <v>53</v>
      </c>
      <c r="L469" s="22" t="str">
        <f t="shared" si="35"/>
        <v>INCLUDE</v>
      </c>
      <c r="M469" s="22" t="str">
        <f t="shared" si="36"/>
        <v/>
      </c>
      <c r="N469" s="23" t="s">
        <v>53</v>
      </c>
      <c r="O469" s="23" t="s">
        <v>53</v>
      </c>
      <c r="P469" s="24" t="s">
        <v>53</v>
      </c>
      <c r="Q469" s="24" t="s">
        <v>53</v>
      </c>
      <c r="R469" s="24" t="s">
        <v>53</v>
      </c>
      <c r="S469" s="22" t="str">
        <f t="shared" si="37"/>
        <v>INCLUDE</v>
      </c>
      <c r="T469" s="22" t="str">
        <f t="shared" si="38"/>
        <v/>
      </c>
      <c r="U469" s="25" t="s">
        <v>67</v>
      </c>
      <c r="V469" s="25">
        <v>0</v>
      </c>
      <c r="W469" s="25">
        <v>0</v>
      </c>
      <c r="X469" s="25">
        <v>1</v>
      </c>
      <c r="Y469" s="22" t="str">
        <f t="shared" si="39"/>
        <v>Single</v>
      </c>
      <c r="Z469" s="25" t="s">
        <v>9</v>
      </c>
      <c r="AA469" s="25" t="s">
        <v>57</v>
      </c>
      <c r="AB469" s="25" t="s">
        <v>79</v>
      </c>
      <c r="AC469" s="25" t="s">
        <v>70</v>
      </c>
      <c r="AD469" s="25" t="s">
        <v>89</v>
      </c>
      <c r="AE469" s="25">
        <v>4</v>
      </c>
      <c r="AF469" s="25" t="s">
        <v>90</v>
      </c>
      <c r="AG469" s="9" t="s">
        <v>2357</v>
      </c>
      <c r="AH469" s="29" t="s">
        <v>2358</v>
      </c>
      <c r="AI469" s="29" t="s">
        <v>2359</v>
      </c>
      <c r="AJ469" t="s">
        <v>82</v>
      </c>
      <c r="AK469" t="s">
        <v>2360</v>
      </c>
      <c r="AL469" t="s">
        <v>74</v>
      </c>
      <c r="AM469" s="50"/>
      <c r="AN469" s="51" t="s">
        <v>2361</v>
      </c>
      <c r="AO469" s="55" t="s">
        <v>2362</v>
      </c>
    </row>
    <row r="470" spans="1:41" ht="68.400000000000006" hidden="1" x14ac:dyDescent="0.3">
      <c r="A470" s="20">
        <v>466</v>
      </c>
      <c r="B470" s="8" t="s">
        <v>2363</v>
      </c>
      <c r="C470" s="26">
        <v>2026</v>
      </c>
      <c r="D470" s="8"/>
      <c r="E470" s="8" t="s">
        <v>2364</v>
      </c>
      <c r="F470" s="20" t="s">
        <v>54</v>
      </c>
      <c r="G470" s="21" t="s">
        <v>64</v>
      </c>
      <c r="H470" s="21" t="s">
        <v>53</v>
      </c>
      <c r="I470" s="21" t="s">
        <v>53</v>
      </c>
      <c r="J470" s="21" t="s">
        <v>53</v>
      </c>
      <c r="K470" s="21" t="s">
        <v>53</v>
      </c>
      <c r="L470" s="22" t="str">
        <f t="shared" si="35"/>
        <v>EXCLUDE</v>
      </c>
      <c r="M470" s="22" t="str">
        <f t="shared" si="36"/>
        <v>Wrong domain (non-AECO)</v>
      </c>
      <c r="N470" s="23"/>
      <c r="O470" s="23"/>
      <c r="P470" s="24"/>
      <c r="Q470" s="24"/>
      <c r="R470" s="24"/>
      <c r="S470" s="22" t="str">
        <f t="shared" si="37"/>
        <v/>
      </c>
      <c r="T470" s="22" t="str">
        <f t="shared" si="38"/>
        <v/>
      </c>
      <c r="U470" s="25"/>
      <c r="V470" s="25"/>
      <c r="W470" s="25"/>
      <c r="X470" s="25"/>
      <c r="Y470" s="22" t="str">
        <f t="shared" si="39"/>
        <v/>
      </c>
      <c r="Z470" s="25"/>
      <c r="AA470" s="25"/>
      <c r="AB470" s="25"/>
      <c r="AC470" s="25"/>
      <c r="AD470" s="25"/>
      <c r="AE470" s="25"/>
      <c r="AF470" s="25"/>
      <c r="AG470" s="9"/>
      <c r="AH470" s="29"/>
      <c r="AI470" s="29"/>
      <c r="AM470" s="50"/>
      <c r="AN470" s="51" t="s">
        <v>2365</v>
      </c>
      <c r="AO470" s="55" t="s">
        <v>2366</v>
      </c>
    </row>
    <row r="471" spans="1:41" ht="136.80000000000001" hidden="1" x14ac:dyDescent="0.3">
      <c r="A471" s="20">
        <v>467</v>
      </c>
      <c r="B471" s="8" t="s">
        <v>2367</v>
      </c>
      <c r="C471" s="26">
        <v>2026</v>
      </c>
      <c r="D471" s="8"/>
      <c r="E471" s="8" t="s">
        <v>2368</v>
      </c>
      <c r="F471" s="20" t="s">
        <v>54</v>
      </c>
      <c r="G471" s="21" t="s">
        <v>53</v>
      </c>
      <c r="H471" s="21" t="s">
        <v>64</v>
      </c>
      <c r="I471" s="21" t="s">
        <v>53</v>
      </c>
      <c r="J471" s="21" t="s">
        <v>53</v>
      </c>
      <c r="K471" s="21" t="s">
        <v>53</v>
      </c>
      <c r="L471" s="22" t="str">
        <f t="shared" si="35"/>
        <v>EXCLUDE</v>
      </c>
      <c r="M471" s="22" t="str">
        <f t="shared" si="36"/>
        <v>Digital Twin not core / buzzword</v>
      </c>
      <c r="N471" s="23"/>
      <c r="O471" s="23"/>
      <c r="P471" s="24"/>
      <c r="Q471" s="24"/>
      <c r="R471" s="24"/>
      <c r="S471" s="22" t="str">
        <f t="shared" si="37"/>
        <v/>
      </c>
      <c r="T471" s="22" t="str">
        <f t="shared" si="38"/>
        <v/>
      </c>
      <c r="U471" s="25"/>
      <c r="V471" s="25"/>
      <c r="W471" s="25"/>
      <c r="X471" s="25"/>
      <c r="Y471" s="22" t="str">
        <f t="shared" si="39"/>
        <v/>
      </c>
      <c r="Z471" s="25"/>
      <c r="AA471" s="25"/>
      <c r="AB471" s="25"/>
      <c r="AC471" s="25"/>
      <c r="AD471" s="25"/>
      <c r="AE471" s="25"/>
      <c r="AF471" s="25"/>
      <c r="AG471" s="9"/>
      <c r="AH471" s="29"/>
      <c r="AI471" s="29"/>
      <c r="AM471" s="50"/>
      <c r="AN471" s="51" t="s">
        <v>2369</v>
      </c>
      <c r="AO471" s="55" t="s">
        <v>2370</v>
      </c>
    </row>
    <row r="472" spans="1:41" ht="102.6" x14ac:dyDescent="0.3">
      <c r="A472" s="20">
        <v>468</v>
      </c>
      <c r="B472" s="8" t="s">
        <v>2371</v>
      </c>
      <c r="C472" s="26">
        <v>2025</v>
      </c>
      <c r="D472" s="8"/>
      <c r="E472" s="8" t="s">
        <v>2372</v>
      </c>
      <c r="F472" s="20" t="s">
        <v>54</v>
      </c>
      <c r="G472" s="21" t="s">
        <v>53</v>
      </c>
      <c r="H472" s="21" t="s">
        <v>53</v>
      </c>
      <c r="I472" s="21" t="s">
        <v>53</v>
      </c>
      <c r="J472" s="21" t="s">
        <v>53</v>
      </c>
      <c r="K472" s="21" t="s">
        <v>53</v>
      </c>
      <c r="L472" s="22" t="str">
        <f t="shared" si="35"/>
        <v>INCLUDE</v>
      </c>
      <c r="M472" s="22" t="str">
        <f t="shared" si="36"/>
        <v/>
      </c>
      <c r="N472" s="23" t="s">
        <v>53</v>
      </c>
      <c r="O472" s="23" t="s">
        <v>53</v>
      </c>
      <c r="P472" s="24" t="s">
        <v>53</v>
      </c>
      <c r="Q472" s="24" t="s">
        <v>53</v>
      </c>
      <c r="R472" s="24" t="s">
        <v>53</v>
      </c>
      <c r="S472" s="22" t="str">
        <f t="shared" si="37"/>
        <v>INCLUDE</v>
      </c>
      <c r="T472" s="22" t="str">
        <f t="shared" si="38"/>
        <v/>
      </c>
      <c r="U472" s="25" t="s">
        <v>67</v>
      </c>
      <c r="V472" s="25">
        <v>0</v>
      </c>
      <c r="W472" s="25">
        <v>1</v>
      </c>
      <c r="X472" s="25">
        <v>0</v>
      </c>
      <c r="Y472" s="22" t="str">
        <f t="shared" si="39"/>
        <v>Single</v>
      </c>
      <c r="Z472" s="25" t="s">
        <v>9</v>
      </c>
      <c r="AA472" s="25" t="s">
        <v>57</v>
      </c>
      <c r="AB472" s="25" t="s">
        <v>88</v>
      </c>
      <c r="AC472" s="25" t="s">
        <v>70</v>
      </c>
      <c r="AD472" s="25" t="s">
        <v>89</v>
      </c>
      <c r="AE472" s="25">
        <v>4</v>
      </c>
      <c r="AF472" s="25" t="s">
        <v>96</v>
      </c>
      <c r="AG472" s="9" t="s">
        <v>2373</v>
      </c>
      <c r="AH472" s="29" t="s">
        <v>2374</v>
      </c>
      <c r="AI472" s="29" t="s">
        <v>2375</v>
      </c>
      <c r="AJ472" t="s">
        <v>91</v>
      </c>
      <c r="AK472" t="s">
        <v>2376</v>
      </c>
      <c r="AL472" t="s">
        <v>63</v>
      </c>
      <c r="AM472" s="50"/>
      <c r="AN472" s="51" t="s">
        <v>2377</v>
      </c>
      <c r="AO472" s="55" t="s">
        <v>2378</v>
      </c>
    </row>
    <row r="473" spans="1:41" ht="57" hidden="1" x14ac:dyDescent="0.3">
      <c r="A473" s="20">
        <v>469</v>
      </c>
      <c r="B473" s="8" t="s">
        <v>2379</v>
      </c>
      <c r="C473" s="26">
        <v>2025</v>
      </c>
      <c r="D473" s="8"/>
      <c r="E473" s="8" t="s">
        <v>2380</v>
      </c>
      <c r="F473" s="20" t="s">
        <v>54</v>
      </c>
      <c r="G473" s="21" t="s">
        <v>53</v>
      </c>
      <c r="H473" s="21" t="s">
        <v>53</v>
      </c>
      <c r="I473" s="21" t="s">
        <v>64</v>
      </c>
      <c r="J473" s="21" t="s">
        <v>53</v>
      </c>
      <c r="K473" s="21" t="s">
        <v>53</v>
      </c>
      <c r="L473" s="22" t="str">
        <f t="shared" si="35"/>
        <v>EXCLUDE</v>
      </c>
      <c r="M473" s="22" t="str">
        <f t="shared" si="36"/>
        <v>No Design for Safety/Quality/PtD</v>
      </c>
      <c r="N473" s="23"/>
      <c r="O473" s="23"/>
      <c r="P473" s="24"/>
      <c r="Q473" s="24"/>
      <c r="R473" s="24"/>
      <c r="S473" s="22" t="str">
        <f t="shared" si="37"/>
        <v/>
      </c>
      <c r="T473" s="22" t="str">
        <f t="shared" si="38"/>
        <v/>
      </c>
      <c r="U473" s="25"/>
      <c r="V473" s="25"/>
      <c r="W473" s="25"/>
      <c r="X473" s="25"/>
      <c r="Y473" s="22" t="str">
        <f t="shared" si="39"/>
        <v/>
      </c>
      <c r="Z473" s="25"/>
      <c r="AA473" s="25"/>
      <c r="AB473" s="25"/>
      <c r="AC473" s="25"/>
      <c r="AD473" s="25"/>
      <c r="AE473" s="25"/>
      <c r="AF473" s="25"/>
      <c r="AG473" s="9"/>
      <c r="AH473" s="29"/>
      <c r="AI473" s="29"/>
      <c r="AM473" s="50"/>
      <c r="AN473" s="51" t="s">
        <v>2381</v>
      </c>
      <c r="AO473" s="55" t="s">
        <v>2382</v>
      </c>
    </row>
    <row r="474" spans="1:41" ht="57" hidden="1" x14ac:dyDescent="0.3">
      <c r="A474" s="20">
        <v>470</v>
      </c>
      <c r="B474" s="8" t="s">
        <v>2383</v>
      </c>
      <c r="C474" s="26">
        <v>2025</v>
      </c>
      <c r="D474" s="8"/>
      <c r="E474" s="8" t="s">
        <v>2384</v>
      </c>
      <c r="F474" s="20" t="s">
        <v>54</v>
      </c>
      <c r="G474" s="21" t="s">
        <v>64</v>
      </c>
      <c r="H474" s="21" t="s">
        <v>53</v>
      </c>
      <c r="I474" s="21" t="s">
        <v>53</v>
      </c>
      <c r="J474" s="21" t="s">
        <v>53</v>
      </c>
      <c r="K474" s="21" t="s">
        <v>53</v>
      </c>
      <c r="L474" s="22" t="str">
        <f t="shared" si="35"/>
        <v>EXCLUDE</v>
      </c>
      <c r="M474" s="22" t="str">
        <f t="shared" si="36"/>
        <v>Wrong domain (non-AECO)</v>
      </c>
      <c r="N474" s="23"/>
      <c r="O474" s="23"/>
      <c r="P474" s="24"/>
      <c r="Q474" s="24"/>
      <c r="R474" s="24"/>
      <c r="S474" s="22" t="str">
        <f t="shared" si="37"/>
        <v/>
      </c>
      <c r="T474" s="22" t="str">
        <f t="shared" si="38"/>
        <v/>
      </c>
      <c r="U474" s="25"/>
      <c r="V474" s="25"/>
      <c r="W474" s="25"/>
      <c r="X474" s="25"/>
      <c r="Y474" s="22" t="str">
        <f t="shared" si="39"/>
        <v/>
      </c>
      <c r="Z474" s="25"/>
      <c r="AA474" s="25"/>
      <c r="AB474" s="25"/>
      <c r="AC474" s="25"/>
      <c r="AD474" s="25"/>
      <c r="AE474" s="25"/>
      <c r="AF474" s="25"/>
      <c r="AG474" s="9"/>
      <c r="AH474" s="29"/>
      <c r="AI474" s="29"/>
      <c r="AM474" s="50"/>
      <c r="AN474" s="51" t="s">
        <v>2385</v>
      </c>
      <c r="AO474" s="55" t="s">
        <v>2386</v>
      </c>
    </row>
    <row r="475" spans="1:41" ht="68.400000000000006" hidden="1" x14ac:dyDescent="0.3">
      <c r="A475" s="20">
        <v>471</v>
      </c>
      <c r="B475" s="8" t="s">
        <v>2387</v>
      </c>
      <c r="C475" s="26">
        <v>2026</v>
      </c>
      <c r="D475" s="8"/>
      <c r="E475" s="8" t="s">
        <v>2388</v>
      </c>
      <c r="F475" s="20" t="s">
        <v>54</v>
      </c>
      <c r="G475" s="21" t="s">
        <v>64</v>
      </c>
      <c r="H475" s="21" t="s">
        <v>53</v>
      </c>
      <c r="I475" s="21" t="s">
        <v>53</v>
      </c>
      <c r="J475" s="21" t="s">
        <v>53</v>
      </c>
      <c r="K475" s="21" t="s">
        <v>64</v>
      </c>
      <c r="L475" s="22" t="str">
        <f t="shared" si="35"/>
        <v>EXCLUDE</v>
      </c>
      <c r="M475" s="22" t="str">
        <f t="shared" si="36"/>
        <v>Wrong domain (non-AECO)</v>
      </c>
      <c r="N475" s="23"/>
      <c r="O475" s="23"/>
      <c r="P475" s="24"/>
      <c r="Q475" s="24"/>
      <c r="R475" s="24"/>
      <c r="S475" s="22" t="str">
        <f t="shared" si="37"/>
        <v/>
      </c>
      <c r="T475" s="22" t="str">
        <f t="shared" si="38"/>
        <v/>
      </c>
      <c r="U475" s="25"/>
      <c r="V475" s="25"/>
      <c r="W475" s="25"/>
      <c r="X475" s="25"/>
      <c r="Y475" s="22" t="str">
        <f t="shared" si="39"/>
        <v/>
      </c>
      <c r="Z475" s="25"/>
      <c r="AA475" s="25"/>
      <c r="AB475" s="25"/>
      <c r="AC475" s="25"/>
      <c r="AD475" s="25"/>
      <c r="AE475" s="25"/>
      <c r="AF475" s="25"/>
      <c r="AG475" s="9"/>
      <c r="AH475" s="29"/>
      <c r="AI475" s="29"/>
      <c r="AM475" s="50"/>
      <c r="AN475" s="51" t="s">
        <v>2389</v>
      </c>
      <c r="AO475" s="55" t="s">
        <v>2390</v>
      </c>
    </row>
    <row r="476" spans="1:41" ht="57" hidden="1" x14ac:dyDescent="0.3">
      <c r="A476" s="20">
        <v>472</v>
      </c>
      <c r="B476" s="8" t="s">
        <v>2391</v>
      </c>
      <c r="C476" s="26">
        <v>2026</v>
      </c>
      <c r="D476" s="8"/>
      <c r="E476" s="8" t="s">
        <v>2392</v>
      </c>
      <c r="F476" s="20" t="s">
        <v>54</v>
      </c>
      <c r="G476" s="21" t="s">
        <v>64</v>
      </c>
      <c r="H476" s="21" t="s">
        <v>53</v>
      </c>
      <c r="I476" s="21" t="s">
        <v>53</v>
      </c>
      <c r="J476" s="21" t="s">
        <v>53</v>
      </c>
      <c r="K476" s="21" t="s">
        <v>53</v>
      </c>
      <c r="L476" s="22" t="str">
        <f t="shared" si="35"/>
        <v>EXCLUDE</v>
      </c>
      <c r="M476" s="22" t="str">
        <f t="shared" si="36"/>
        <v>Wrong domain (non-AECO)</v>
      </c>
      <c r="N476" s="23"/>
      <c r="O476" s="23"/>
      <c r="P476" s="24"/>
      <c r="Q476" s="24"/>
      <c r="R476" s="24"/>
      <c r="S476" s="22" t="str">
        <f t="shared" si="37"/>
        <v/>
      </c>
      <c r="T476" s="22" t="str">
        <f t="shared" si="38"/>
        <v/>
      </c>
      <c r="U476" s="25"/>
      <c r="V476" s="25"/>
      <c r="W476" s="25"/>
      <c r="X476" s="25"/>
      <c r="Y476" s="22" t="str">
        <f t="shared" si="39"/>
        <v/>
      </c>
      <c r="Z476" s="25"/>
      <c r="AA476" s="25"/>
      <c r="AB476" s="25"/>
      <c r="AC476" s="25"/>
      <c r="AD476" s="25"/>
      <c r="AE476" s="25"/>
      <c r="AF476" s="25"/>
      <c r="AG476" s="9"/>
      <c r="AH476" s="29"/>
      <c r="AI476" s="29"/>
      <c r="AM476" s="50"/>
      <c r="AN476" s="51" t="s">
        <v>2393</v>
      </c>
      <c r="AO476" s="55" t="s">
        <v>2394</v>
      </c>
    </row>
    <row r="477" spans="1:41" ht="68.400000000000006" hidden="1" x14ac:dyDescent="0.3">
      <c r="A477" s="20">
        <v>473</v>
      </c>
      <c r="B477" s="8" t="s">
        <v>1281</v>
      </c>
      <c r="C477" s="26">
        <v>2025</v>
      </c>
      <c r="D477" s="8"/>
      <c r="E477" s="8" t="s">
        <v>2395</v>
      </c>
      <c r="F477" s="20" t="s">
        <v>54</v>
      </c>
      <c r="G477" s="21" t="s">
        <v>53</v>
      </c>
      <c r="H477" s="21" t="s">
        <v>64</v>
      </c>
      <c r="I477" s="21" t="s">
        <v>53</v>
      </c>
      <c r="J477" s="21" t="s">
        <v>53</v>
      </c>
      <c r="K477" s="21" t="s">
        <v>53</v>
      </c>
      <c r="L477" s="22" t="str">
        <f t="shared" si="35"/>
        <v>EXCLUDE</v>
      </c>
      <c r="M477" s="22" t="str">
        <f t="shared" si="36"/>
        <v>Digital Twin not core / buzzword</v>
      </c>
      <c r="N477" s="23"/>
      <c r="O477" s="23"/>
      <c r="P477" s="24"/>
      <c r="Q477" s="24"/>
      <c r="R477" s="24"/>
      <c r="S477" s="22" t="str">
        <f t="shared" si="37"/>
        <v/>
      </c>
      <c r="T477" s="22" t="str">
        <f t="shared" si="38"/>
        <v/>
      </c>
      <c r="U477" s="25"/>
      <c r="V477" s="25"/>
      <c r="W477" s="25"/>
      <c r="X477" s="25"/>
      <c r="Y477" s="22" t="str">
        <f t="shared" si="39"/>
        <v/>
      </c>
      <c r="Z477" s="25"/>
      <c r="AA477" s="25"/>
      <c r="AB477" s="25"/>
      <c r="AC477" s="25"/>
      <c r="AD477" s="25"/>
      <c r="AE477" s="25"/>
      <c r="AF477" s="25"/>
      <c r="AG477" s="9"/>
      <c r="AH477" s="29"/>
      <c r="AI477" s="29"/>
      <c r="AM477" s="50"/>
      <c r="AN477" s="51" t="s">
        <v>2396</v>
      </c>
      <c r="AO477" s="55" t="s">
        <v>2397</v>
      </c>
    </row>
    <row r="478" spans="1:41" ht="45.6" hidden="1" x14ac:dyDescent="0.3">
      <c r="A478" s="20">
        <v>474</v>
      </c>
      <c r="B478" s="8" t="s">
        <v>2398</v>
      </c>
      <c r="C478" s="26">
        <v>2025</v>
      </c>
      <c r="D478" s="8"/>
      <c r="E478" s="8" t="s">
        <v>2399</v>
      </c>
      <c r="F478" s="20" t="s">
        <v>54</v>
      </c>
      <c r="G478" s="21" t="s">
        <v>64</v>
      </c>
      <c r="H478" s="21" t="s">
        <v>53</v>
      </c>
      <c r="I478" s="21" t="s">
        <v>53</v>
      </c>
      <c r="J478" s="21" t="s">
        <v>53</v>
      </c>
      <c r="K478" s="21" t="s">
        <v>53</v>
      </c>
      <c r="L478" s="22" t="str">
        <f t="shared" si="35"/>
        <v>EXCLUDE</v>
      </c>
      <c r="M478" s="22" t="str">
        <f t="shared" si="36"/>
        <v>Wrong domain (non-AECO)</v>
      </c>
      <c r="N478" s="23"/>
      <c r="O478" s="23"/>
      <c r="P478" s="24"/>
      <c r="Q478" s="24"/>
      <c r="R478" s="24"/>
      <c r="S478" s="22" t="str">
        <f t="shared" si="37"/>
        <v/>
      </c>
      <c r="T478" s="22" t="str">
        <f t="shared" si="38"/>
        <v/>
      </c>
      <c r="U478" s="25"/>
      <c r="V478" s="25"/>
      <c r="W478" s="25"/>
      <c r="X478" s="25"/>
      <c r="Y478" s="22" t="str">
        <f t="shared" si="39"/>
        <v/>
      </c>
      <c r="Z478" s="25"/>
      <c r="AA478" s="25"/>
      <c r="AB478" s="25"/>
      <c r="AC478" s="25"/>
      <c r="AD478" s="25"/>
      <c r="AE478" s="25"/>
      <c r="AF478" s="25"/>
      <c r="AG478" s="9"/>
      <c r="AH478" s="29"/>
      <c r="AI478" s="29"/>
      <c r="AM478" s="50"/>
      <c r="AN478" s="51" t="s">
        <v>2400</v>
      </c>
      <c r="AO478" s="55" t="s">
        <v>2401</v>
      </c>
    </row>
    <row r="479" spans="1:41" ht="68.400000000000006" hidden="1" x14ac:dyDescent="0.3">
      <c r="A479" s="20">
        <v>475</v>
      </c>
      <c r="B479" s="8" t="s">
        <v>1823</v>
      </c>
      <c r="C479" s="26">
        <v>2025</v>
      </c>
      <c r="D479" s="8"/>
      <c r="E479" s="8" t="s">
        <v>2402</v>
      </c>
      <c r="F479" s="20" t="s">
        <v>54</v>
      </c>
      <c r="G479" s="21" t="s">
        <v>64</v>
      </c>
      <c r="H479" s="21" t="s">
        <v>53</v>
      </c>
      <c r="I479" s="21" t="s">
        <v>53</v>
      </c>
      <c r="J479" s="21" t="s">
        <v>53</v>
      </c>
      <c r="K479" s="21" t="s">
        <v>53</v>
      </c>
      <c r="L479" s="22" t="str">
        <f t="shared" si="35"/>
        <v>EXCLUDE</v>
      </c>
      <c r="M479" s="22" t="str">
        <f t="shared" si="36"/>
        <v>Wrong domain (non-AECO)</v>
      </c>
      <c r="N479" s="23"/>
      <c r="O479" s="23"/>
      <c r="P479" s="24"/>
      <c r="Q479" s="24"/>
      <c r="R479" s="24"/>
      <c r="S479" s="22" t="str">
        <f t="shared" si="37"/>
        <v/>
      </c>
      <c r="T479" s="22" t="str">
        <f t="shared" si="38"/>
        <v/>
      </c>
      <c r="U479" s="25"/>
      <c r="V479" s="25"/>
      <c r="W479" s="25"/>
      <c r="X479" s="25"/>
      <c r="Y479" s="22" t="str">
        <f t="shared" si="39"/>
        <v/>
      </c>
      <c r="Z479" s="25"/>
      <c r="AA479" s="25"/>
      <c r="AB479" s="25"/>
      <c r="AC479" s="25"/>
      <c r="AD479" s="25"/>
      <c r="AE479" s="25"/>
      <c r="AF479" s="25"/>
      <c r="AG479" s="9"/>
      <c r="AH479" s="29"/>
      <c r="AI479" s="29"/>
      <c r="AM479" s="50"/>
      <c r="AN479" s="51" t="s">
        <v>2403</v>
      </c>
      <c r="AO479" s="55" t="s">
        <v>2404</v>
      </c>
    </row>
    <row r="480" spans="1:41" ht="79.8" hidden="1" x14ac:dyDescent="0.3">
      <c r="A480" s="20">
        <v>476</v>
      </c>
      <c r="B480" s="8" t="s">
        <v>2405</v>
      </c>
      <c r="C480" s="26">
        <v>2026</v>
      </c>
      <c r="D480" s="8"/>
      <c r="E480" s="8" t="s">
        <v>2406</v>
      </c>
      <c r="F480" s="20" t="s">
        <v>54</v>
      </c>
      <c r="G480" s="21" t="s">
        <v>53</v>
      </c>
      <c r="H480" s="21" t="s">
        <v>53</v>
      </c>
      <c r="I480" s="21" t="s">
        <v>53</v>
      </c>
      <c r="J480" s="21" t="s">
        <v>53</v>
      </c>
      <c r="K480" s="21" t="s">
        <v>53</v>
      </c>
      <c r="L480" s="22" t="str">
        <f t="shared" si="35"/>
        <v>INCLUDE</v>
      </c>
      <c r="M480" s="22" t="str">
        <f t="shared" si="36"/>
        <v/>
      </c>
      <c r="N480" s="23" t="s">
        <v>64</v>
      </c>
      <c r="O480" s="23" t="s">
        <v>64</v>
      </c>
      <c r="P480" s="24"/>
      <c r="Q480" s="24"/>
      <c r="R480" s="24"/>
      <c r="S480" s="22" t="str">
        <f t="shared" si="37"/>
        <v/>
      </c>
      <c r="T480" s="22" t="str">
        <f t="shared" si="38"/>
        <v/>
      </c>
      <c r="U480" s="25"/>
      <c r="V480" s="25"/>
      <c r="W480" s="25"/>
      <c r="X480" s="25"/>
      <c r="Y480" s="22" t="str">
        <f t="shared" si="39"/>
        <v/>
      </c>
      <c r="Z480" s="25"/>
      <c r="AA480" s="25"/>
      <c r="AB480" s="25"/>
      <c r="AC480" s="25"/>
      <c r="AD480" s="25"/>
      <c r="AE480" s="25"/>
      <c r="AF480" s="25"/>
      <c r="AG480" s="9"/>
      <c r="AH480" s="29"/>
      <c r="AI480" s="29"/>
      <c r="AM480" s="50"/>
      <c r="AN480" s="51" t="s">
        <v>2407</v>
      </c>
      <c r="AO480" s="55" t="s">
        <v>2408</v>
      </c>
    </row>
    <row r="481" spans="1:41" ht="91.2" hidden="1" x14ac:dyDescent="0.3">
      <c r="A481" s="20">
        <v>477</v>
      </c>
      <c r="B481" s="8" t="s">
        <v>1763</v>
      </c>
      <c r="C481" s="26">
        <v>2026</v>
      </c>
      <c r="D481" s="8"/>
      <c r="E481" s="8" t="s">
        <v>2409</v>
      </c>
      <c r="F481" s="20" t="s">
        <v>54</v>
      </c>
      <c r="G481" s="21" t="s">
        <v>53</v>
      </c>
      <c r="H481" s="21" t="s">
        <v>53</v>
      </c>
      <c r="I481" s="21" t="s">
        <v>53</v>
      </c>
      <c r="J481" s="21" t="s">
        <v>53</v>
      </c>
      <c r="K481" s="21" t="s">
        <v>53</v>
      </c>
      <c r="L481" s="22" t="str">
        <f t="shared" si="35"/>
        <v>INCLUDE</v>
      </c>
      <c r="M481" s="22" t="str">
        <f t="shared" si="36"/>
        <v/>
      </c>
      <c r="N481" s="23" t="s">
        <v>53</v>
      </c>
      <c r="O481" s="23" t="s">
        <v>53</v>
      </c>
      <c r="P481" s="24" t="s">
        <v>64</v>
      </c>
      <c r="Q481" s="24" t="s">
        <v>53</v>
      </c>
      <c r="R481" s="24" t="s">
        <v>64</v>
      </c>
      <c r="S481" s="22" t="str">
        <f t="shared" si="37"/>
        <v>EXCLUDE</v>
      </c>
      <c r="T481" s="22" t="str">
        <f t="shared" si="38"/>
        <v>Digital Twin mentioned only, not the subject</v>
      </c>
      <c r="U481" s="25"/>
      <c r="V481" s="25"/>
      <c r="W481" s="25"/>
      <c r="X481" s="25"/>
      <c r="Y481" s="22" t="str">
        <f t="shared" si="39"/>
        <v/>
      </c>
      <c r="Z481" s="25"/>
      <c r="AA481" s="25"/>
      <c r="AB481" s="25"/>
      <c r="AC481" s="25"/>
      <c r="AD481" s="25"/>
      <c r="AE481" s="25"/>
      <c r="AF481" s="25"/>
      <c r="AG481" s="9" t="s">
        <v>2410</v>
      </c>
      <c r="AH481" s="29"/>
      <c r="AI481" s="29"/>
      <c r="AM481" s="50"/>
      <c r="AN481" s="51" t="s">
        <v>2411</v>
      </c>
      <c r="AO481" s="55" t="s">
        <v>2412</v>
      </c>
    </row>
    <row r="482" spans="1:41" ht="57" hidden="1" x14ac:dyDescent="0.3">
      <c r="A482" s="20">
        <v>478</v>
      </c>
      <c r="B482" s="8" t="s">
        <v>2413</v>
      </c>
      <c r="C482" s="26">
        <v>2026</v>
      </c>
      <c r="D482" s="8"/>
      <c r="E482" s="8" t="s">
        <v>2414</v>
      </c>
      <c r="F482" s="20" t="s">
        <v>54</v>
      </c>
      <c r="G482" s="21" t="s">
        <v>53</v>
      </c>
      <c r="H482" s="21" t="s">
        <v>64</v>
      </c>
      <c r="I482" s="21" t="s">
        <v>53</v>
      </c>
      <c r="J482" s="21" t="s">
        <v>53</v>
      </c>
      <c r="K482" s="21" t="s">
        <v>53</v>
      </c>
      <c r="L482" s="22" t="str">
        <f t="shared" si="35"/>
        <v>EXCLUDE</v>
      </c>
      <c r="M482" s="22" t="str">
        <f t="shared" si="36"/>
        <v>Digital Twin not core / buzzword</v>
      </c>
      <c r="N482" s="23"/>
      <c r="O482" s="23"/>
      <c r="P482" s="24"/>
      <c r="Q482" s="24"/>
      <c r="R482" s="24"/>
      <c r="S482" s="22" t="str">
        <f t="shared" si="37"/>
        <v/>
      </c>
      <c r="T482" s="22" t="str">
        <f t="shared" si="38"/>
        <v/>
      </c>
      <c r="U482" s="25"/>
      <c r="V482" s="25"/>
      <c r="W482" s="25"/>
      <c r="X482" s="25"/>
      <c r="Y482" s="22" t="str">
        <f t="shared" si="39"/>
        <v/>
      </c>
      <c r="Z482" s="25"/>
      <c r="AA482" s="25"/>
      <c r="AB482" s="25"/>
      <c r="AC482" s="25"/>
      <c r="AD482" s="25"/>
      <c r="AE482" s="25"/>
      <c r="AF482" s="25"/>
      <c r="AG482" s="9"/>
      <c r="AH482" s="29"/>
      <c r="AI482" s="29"/>
      <c r="AM482" s="50"/>
      <c r="AN482" s="51" t="s">
        <v>2415</v>
      </c>
      <c r="AO482" s="55" t="s">
        <v>2416</v>
      </c>
    </row>
    <row r="483" spans="1:41" ht="57" hidden="1" x14ac:dyDescent="0.3">
      <c r="A483" s="20">
        <v>479</v>
      </c>
      <c r="B483" s="8" t="s">
        <v>2417</v>
      </c>
      <c r="C483" s="26">
        <v>2026</v>
      </c>
      <c r="D483" s="8"/>
      <c r="E483" s="8" t="s">
        <v>2418</v>
      </c>
      <c r="F483" s="20" t="s">
        <v>54</v>
      </c>
      <c r="G483" s="21" t="s">
        <v>53</v>
      </c>
      <c r="H483" s="21" t="s">
        <v>64</v>
      </c>
      <c r="I483" s="21" t="s">
        <v>53</v>
      </c>
      <c r="J483" s="21" t="s">
        <v>53</v>
      </c>
      <c r="K483" s="21" t="s">
        <v>53</v>
      </c>
      <c r="L483" s="22" t="str">
        <f t="shared" si="35"/>
        <v>EXCLUDE</v>
      </c>
      <c r="M483" s="22" t="str">
        <f t="shared" si="36"/>
        <v>Digital Twin not core / buzzword</v>
      </c>
      <c r="N483" s="23"/>
      <c r="O483" s="23"/>
      <c r="P483" s="24"/>
      <c r="Q483" s="24"/>
      <c r="R483" s="24"/>
      <c r="S483" s="22" t="str">
        <f t="shared" si="37"/>
        <v/>
      </c>
      <c r="T483" s="22" t="str">
        <f t="shared" si="38"/>
        <v/>
      </c>
      <c r="U483" s="25"/>
      <c r="V483" s="25"/>
      <c r="W483" s="25"/>
      <c r="X483" s="25"/>
      <c r="Y483" s="22" t="str">
        <f t="shared" si="39"/>
        <v/>
      </c>
      <c r="Z483" s="25"/>
      <c r="AA483" s="25"/>
      <c r="AB483" s="25"/>
      <c r="AC483" s="25"/>
      <c r="AD483" s="25"/>
      <c r="AE483" s="25"/>
      <c r="AF483" s="25"/>
      <c r="AG483" s="9"/>
      <c r="AH483" s="29"/>
      <c r="AI483" s="29"/>
      <c r="AM483" s="50"/>
      <c r="AN483" s="51" t="s">
        <v>2419</v>
      </c>
      <c r="AO483" s="55" t="s">
        <v>2420</v>
      </c>
    </row>
    <row r="484" spans="1:41" ht="45.6" hidden="1" x14ac:dyDescent="0.3">
      <c r="A484" s="20">
        <v>480</v>
      </c>
      <c r="B484" s="8" t="s">
        <v>2421</v>
      </c>
      <c r="C484" s="26">
        <v>2025</v>
      </c>
      <c r="D484" s="8"/>
      <c r="E484" s="8" t="s">
        <v>2422</v>
      </c>
      <c r="F484" s="20" t="s">
        <v>54</v>
      </c>
      <c r="G484" s="21" t="s">
        <v>64</v>
      </c>
      <c r="H484" s="21" t="s">
        <v>53</v>
      </c>
      <c r="I484" s="21" t="s">
        <v>53</v>
      </c>
      <c r="J484" s="21" t="s">
        <v>53</v>
      </c>
      <c r="K484" s="21" t="s">
        <v>53</v>
      </c>
      <c r="L484" s="22" t="str">
        <f t="shared" si="35"/>
        <v>EXCLUDE</v>
      </c>
      <c r="M484" s="22" t="str">
        <f t="shared" si="36"/>
        <v>Wrong domain (non-AECO)</v>
      </c>
      <c r="N484" s="23"/>
      <c r="O484" s="23"/>
      <c r="P484" s="24"/>
      <c r="Q484" s="24"/>
      <c r="R484" s="24"/>
      <c r="S484" s="22" t="str">
        <f t="shared" si="37"/>
        <v/>
      </c>
      <c r="T484" s="22" t="str">
        <f t="shared" si="38"/>
        <v/>
      </c>
      <c r="U484" s="25"/>
      <c r="V484" s="25"/>
      <c r="W484" s="25"/>
      <c r="X484" s="25"/>
      <c r="Y484" s="22" t="str">
        <f t="shared" si="39"/>
        <v/>
      </c>
      <c r="Z484" s="25"/>
      <c r="AA484" s="25"/>
      <c r="AB484" s="25"/>
      <c r="AC484" s="25"/>
      <c r="AD484" s="25"/>
      <c r="AE484" s="25"/>
      <c r="AF484" s="25"/>
      <c r="AG484" s="9"/>
      <c r="AH484" s="29"/>
      <c r="AI484" s="29"/>
      <c r="AM484" s="50"/>
      <c r="AN484" s="51" t="s">
        <v>2423</v>
      </c>
      <c r="AO484" s="55" t="s">
        <v>2424</v>
      </c>
    </row>
    <row r="485" spans="1:41" ht="57" hidden="1" x14ac:dyDescent="0.3">
      <c r="A485" s="20">
        <v>481</v>
      </c>
      <c r="B485" s="8" t="s">
        <v>2425</v>
      </c>
      <c r="C485" s="26">
        <v>2026</v>
      </c>
      <c r="D485" s="8"/>
      <c r="E485" s="8" t="s">
        <v>2426</v>
      </c>
      <c r="F485" s="20" t="s">
        <v>54</v>
      </c>
      <c r="G485" s="21" t="s">
        <v>64</v>
      </c>
      <c r="H485" s="21" t="s">
        <v>53</v>
      </c>
      <c r="I485" s="21" t="s">
        <v>53</v>
      </c>
      <c r="J485" s="21" t="s">
        <v>53</v>
      </c>
      <c r="K485" s="21" t="s">
        <v>53</v>
      </c>
      <c r="L485" s="22" t="str">
        <f t="shared" si="35"/>
        <v>EXCLUDE</v>
      </c>
      <c r="M485" s="22" t="str">
        <f t="shared" si="36"/>
        <v>Wrong domain (non-AECO)</v>
      </c>
      <c r="N485" s="23"/>
      <c r="O485" s="23"/>
      <c r="P485" s="24"/>
      <c r="Q485" s="24"/>
      <c r="R485" s="24"/>
      <c r="S485" s="22" t="str">
        <f t="shared" si="37"/>
        <v/>
      </c>
      <c r="T485" s="22" t="str">
        <f t="shared" si="38"/>
        <v/>
      </c>
      <c r="U485" s="25"/>
      <c r="V485" s="25"/>
      <c r="W485" s="25"/>
      <c r="X485" s="25"/>
      <c r="Y485" s="22" t="str">
        <f t="shared" si="39"/>
        <v/>
      </c>
      <c r="Z485" s="25"/>
      <c r="AA485" s="25"/>
      <c r="AB485" s="25"/>
      <c r="AC485" s="25"/>
      <c r="AD485" s="25"/>
      <c r="AE485" s="25"/>
      <c r="AF485" s="25"/>
      <c r="AG485" s="9"/>
      <c r="AH485" s="29"/>
      <c r="AI485" s="29"/>
      <c r="AM485" s="50"/>
      <c r="AN485" s="51" t="s">
        <v>2427</v>
      </c>
      <c r="AO485" s="55" t="s">
        <v>2428</v>
      </c>
    </row>
    <row r="486" spans="1:41" ht="57" hidden="1" x14ac:dyDescent="0.3">
      <c r="A486" s="20">
        <v>482</v>
      </c>
      <c r="B486" s="8" t="s">
        <v>2429</v>
      </c>
      <c r="C486" s="26">
        <v>2026</v>
      </c>
      <c r="D486" s="8"/>
      <c r="E486" s="8" t="s">
        <v>2430</v>
      </c>
      <c r="F486" s="20" t="s">
        <v>54</v>
      </c>
      <c r="G486" s="21" t="s">
        <v>64</v>
      </c>
      <c r="H486" s="21" t="s">
        <v>64</v>
      </c>
      <c r="I486" s="21" t="s">
        <v>53</v>
      </c>
      <c r="J486" s="21" t="s">
        <v>53</v>
      </c>
      <c r="K486" s="21" t="s">
        <v>64</v>
      </c>
      <c r="L486" s="22" t="str">
        <f t="shared" si="35"/>
        <v>EXCLUDE</v>
      </c>
      <c r="M486" s="22" t="str">
        <f t="shared" si="36"/>
        <v>Wrong domain (non-AECO)</v>
      </c>
      <c r="N486" s="23"/>
      <c r="O486" s="23"/>
      <c r="P486" s="24"/>
      <c r="Q486" s="24"/>
      <c r="R486" s="24"/>
      <c r="S486" s="22" t="str">
        <f t="shared" si="37"/>
        <v/>
      </c>
      <c r="T486" s="22" t="str">
        <f t="shared" si="38"/>
        <v/>
      </c>
      <c r="U486" s="25"/>
      <c r="V486" s="25"/>
      <c r="W486" s="25"/>
      <c r="X486" s="25"/>
      <c r="Y486" s="22" t="str">
        <f t="shared" si="39"/>
        <v/>
      </c>
      <c r="Z486" s="25"/>
      <c r="AA486" s="25"/>
      <c r="AB486" s="25"/>
      <c r="AC486" s="25"/>
      <c r="AD486" s="25"/>
      <c r="AE486" s="25"/>
      <c r="AF486" s="25"/>
      <c r="AG486" s="9"/>
      <c r="AH486" s="29"/>
      <c r="AI486" s="29"/>
      <c r="AM486" s="50"/>
      <c r="AN486" s="51" t="s">
        <v>2431</v>
      </c>
      <c r="AO486" s="55" t="s">
        <v>2432</v>
      </c>
    </row>
    <row r="487" spans="1:41" ht="45.6" hidden="1" x14ac:dyDescent="0.3">
      <c r="A487" s="20">
        <v>483</v>
      </c>
      <c r="B487" s="8" t="s">
        <v>2433</v>
      </c>
      <c r="C487" s="26">
        <v>2025</v>
      </c>
      <c r="D487" s="8"/>
      <c r="E487" s="8" t="s">
        <v>2434</v>
      </c>
      <c r="F487" s="20" t="s">
        <v>54</v>
      </c>
      <c r="G487" s="21" t="s">
        <v>53</v>
      </c>
      <c r="H487" s="21" t="s">
        <v>64</v>
      </c>
      <c r="I487" s="21" t="s">
        <v>53</v>
      </c>
      <c r="J487" s="21" t="s">
        <v>53</v>
      </c>
      <c r="K487" s="21" t="s">
        <v>53</v>
      </c>
      <c r="L487" s="22" t="str">
        <f t="shared" si="35"/>
        <v>EXCLUDE</v>
      </c>
      <c r="M487" s="22" t="str">
        <f t="shared" si="36"/>
        <v>Digital Twin not core / buzzword</v>
      </c>
      <c r="N487" s="23"/>
      <c r="O487" s="23"/>
      <c r="P487" s="24"/>
      <c r="Q487" s="24"/>
      <c r="R487" s="24"/>
      <c r="S487" s="22" t="str">
        <f t="shared" si="37"/>
        <v/>
      </c>
      <c r="T487" s="22" t="str">
        <f t="shared" si="38"/>
        <v/>
      </c>
      <c r="U487" s="25"/>
      <c r="V487" s="25"/>
      <c r="W487" s="25"/>
      <c r="X487" s="25"/>
      <c r="Y487" s="22" t="str">
        <f t="shared" si="39"/>
        <v/>
      </c>
      <c r="Z487" s="25"/>
      <c r="AA487" s="25"/>
      <c r="AB487" s="25"/>
      <c r="AC487" s="25"/>
      <c r="AD487" s="25"/>
      <c r="AE487" s="25"/>
      <c r="AF487" s="25"/>
      <c r="AG487" s="9"/>
      <c r="AH487" s="29"/>
      <c r="AI487" s="29"/>
      <c r="AM487" s="50"/>
      <c r="AN487" s="51" t="s">
        <v>2435</v>
      </c>
      <c r="AO487" s="55" t="s">
        <v>2436</v>
      </c>
    </row>
    <row r="488" spans="1:41" ht="102.6" hidden="1" x14ac:dyDescent="0.3">
      <c r="A488" s="20">
        <v>484</v>
      </c>
      <c r="B488" s="8" t="s">
        <v>2437</v>
      </c>
      <c r="C488" s="26">
        <v>2026</v>
      </c>
      <c r="D488" s="8"/>
      <c r="E488" s="8" t="s">
        <v>2438</v>
      </c>
      <c r="F488" s="20" t="s">
        <v>54</v>
      </c>
      <c r="G488" s="21" t="s">
        <v>64</v>
      </c>
      <c r="H488" s="21" t="s">
        <v>53</v>
      </c>
      <c r="I488" s="21" t="s">
        <v>53</v>
      </c>
      <c r="J488" s="21" t="s">
        <v>53</v>
      </c>
      <c r="K488" s="21" t="s">
        <v>53</v>
      </c>
      <c r="L488" s="22" t="str">
        <f t="shared" si="35"/>
        <v>EXCLUDE</v>
      </c>
      <c r="M488" s="22" t="str">
        <f t="shared" si="36"/>
        <v>Wrong domain (non-AECO)</v>
      </c>
      <c r="N488" s="23"/>
      <c r="O488" s="23"/>
      <c r="P488" s="24"/>
      <c r="Q488" s="24"/>
      <c r="R488" s="24"/>
      <c r="S488" s="22" t="str">
        <f t="shared" si="37"/>
        <v/>
      </c>
      <c r="T488" s="22" t="str">
        <f t="shared" si="38"/>
        <v/>
      </c>
      <c r="U488" s="25"/>
      <c r="V488" s="25"/>
      <c r="W488" s="25"/>
      <c r="X488" s="25"/>
      <c r="Y488" s="22" t="str">
        <f t="shared" si="39"/>
        <v/>
      </c>
      <c r="Z488" s="25"/>
      <c r="AA488" s="25"/>
      <c r="AB488" s="25"/>
      <c r="AC488" s="25"/>
      <c r="AD488" s="25"/>
      <c r="AE488" s="25"/>
      <c r="AF488" s="25"/>
      <c r="AG488" s="9"/>
      <c r="AH488" s="29"/>
      <c r="AI488" s="29"/>
      <c r="AM488" s="50"/>
      <c r="AN488" s="51" t="s">
        <v>2439</v>
      </c>
      <c r="AO488" s="55" t="s">
        <v>2440</v>
      </c>
    </row>
    <row r="489" spans="1:41" ht="68.400000000000006" hidden="1" x14ac:dyDescent="0.3">
      <c r="A489" s="20">
        <v>485</v>
      </c>
      <c r="B489" s="8" t="s">
        <v>2441</v>
      </c>
      <c r="C489" s="26">
        <v>2026</v>
      </c>
      <c r="D489" s="8"/>
      <c r="E489" s="8" t="s">
        <v>2442</v>
      </c>
      <c r="F489" s="20" t="s">
        <v>54</v>
      </c>
      <c r="G489" s="21" t="s">
        <v>64</v>
      </c>
      <c r="H489" s="21" t="s">
        <v>53</v>
      </c>
      <c r="I489" s="21" t="s">
        <v>53</v>
      </c>
      <c r="J489" s="21" t="s">
        <v>53</v>
      </c>
      <c r="K489" s="21" t="s">
        <v>53</v>
      </c>
      <c r="L489" s="22" t="str">
        <f t="shared" si="35"/>
        <v>EXCLUDE</v>
      </c>
      <c r="M489" s="22" t="str">
        <f t="shared" si="36"/>
        <v>Wrong domain (non-AECO)</v>
      </c>
      <c r="N489" s="23"/>
      <c r="O489" s="23"/>
      <c r="P489" s="24"/>
      <c r="Q489" s="24"/>
      <c r="R489" s="24"/>
      <c r="S489" s="22" t="str">
        <f t="shared" si="37"/>
        <v/>
      </c>
      <c r="T489" s="22" t="str">
        <f t="shared" si="38"/>
        <v/>
      </c>
      <c r="U489" s="25"/>
      <c r="V489" s="25"/>
      <c r="W489" s="25"/>
      <c r="X489" s="25"/>
      <c r="Y489" s="22" t="str">
        <f t="shared" si="39"/>
        <v/>
      </c>
      <c r="Z489" s="25"/>
      <c r="AA489" s="25"/>
      <c r="AB489" s="25"/>
      <c r="AC489" s="25"/>
      <c r="AD489" s="25"/>
      <c r="AE489" s="25"/>
      <c r="AF489" s="25"/>
      <c r="AG489" s="9"/>
      <c r="AH489" s="29"/>
      <c r="AI489" s="29"/>
      <c r="AM489" s="50"/>
      <c r="AN489" s="51" t="s">
        <v>2443</v>
      </c>
      <c r="AO489" s="55" t="s">
        <v>2444</v>
      </c>
    </row>
    <row r="490" spans="1:41" ht="57" hidden="1" x14ac:dyDescent="0.3">
      <c r="A490" s="20">
        <v>486</v>
      </c>
      <c r="B490" s="8" t="s">
        <v>2445</v>
      </c>
      <c r="C490" s="26">
        <v>2026</v>
      </c>
      <c r="D490" s="8"/>
      <c r="E490" s="8" t="s">
        <v>2446</v>
      </c>
      <c r="F490" s="20" t="s">
        <v>54</v>
      </c>
      <c r="G490" s="21" t="s">
        <v>64</v>
      </c>
      <c r="H490" s="21" t="s">
        <v>53</v>
      </c>
      <c r="I490" s="21" t="s">
        <v>53</v>
      </c>
      <c r="J490" s="21" t="s">
        <v>53</v>
      </c>
      <c r="K490" s="21" t="s">
        <v>53</v>
      </c>
      <c r="L490" s="22" t="str">
        <f t="shared" si="35"/>
        <v>EXCLUDE</v>
      </c>
      <c r="M490" s="22" t="str">
        <f t="shared" si="36"/>
        <v>Wrong domain (non-AECO)</v>
      </c>
      <c r="N490" s="23"/>
      <c r="O490" s="23"/>
      <c r="P490" s="24"/>
      <c r="Q490" s="24"/>
      <c r="R490" s="24"/>
      <c r="S490" s="22" t="str">
        <f t="shared" si="37"/>
        <v/>
      </c>
      <c r="T490" s="22" t="str">
        <f t="shared" si="38"/>
        <v/>
      </c>
      <c r="U490" s="25"/>
      <c r="V490" s="25"/>
      <c r="W490" s="25"/>
      <c r="X490" s="25"/>
      <c r="Y490" s="22" t="str">
        <f t="shared" si="39"/>
        <v/>
      </c>
      <c r="Z490" s="25"/>
      <c r="AA490" s="25"/>
      <c r="AB490" s="25"/>
      <c r="AC490" s="25"/>
      <c r="AD490" s="25"/>
      <c r="AE490" s="25"/>
      <c r="AF490" s="25"/>
      <c r="AG490" s="9"/>
      <c r="AH490" s="29"/>
      <c r="AI490" s="29"/>
      <c r="AM490" s="50"/>
      <c r="AN490" s="51" t="s">
        <v>2447</v>
      </c>
      <c r="AO490" s="55" t="s">
        <v>2448</v>
      </c>
    </row>
    <row r="491" spans="1:41" ht="79.8" x14ac:dyDescent="0.3">
      <c r="A491" s="20">
        <v>487</v>
      </c>
      <c r="B491" s="8" t="s">
        <v>2449</v>
      </c>
      <c r="C491" s="26">
        <v>2026</v>
      </c>
      <c r="D491" s="8"/>
      <c r="E491" s="8" t="s">
        <v>2450</v>
      </c>
      <c r="F491" s="20" t="s">
        <v>54</v>
      </c>
      <c r="G491" s="21" t="s">
        <v>53</v>
      </c>
      <c r="H491" s="21" t="s">
        <v>53</v>
      </c>
      <c r="I491" s="21" t="s">
        <v>53</v>
      </c>
      <c r="J491" s="21" t="s">
        <v>53</v>
      </c>
      <c r="K491" s="21" t="s">
        <v>53</v>
      </c>
      <c r="L491" s="22" t="str">
        <f t="shared" si="35"/>
        <v>INCLUDE</v>
      </c>
      <c r="M491" s="22" t="str">
        <f t="shared" si="36"/>
        <v/>
      </c>
      <c r="N491" s="23" t="s">
        <v>53</v>
      </c>
      <c r="O491" s="23" t="s">
        <v>53</v>
      </c>
      <c r="P491" s="24" t="s">
        <v>53</v>
      </c>
      <c r="Q491" s="24" t="s">
        <v>53</v>
      </c>
      <c r="R491" s="24" t="s">
        <v>53</v>
      </c>
      <c r="S491" s="22" t="str">
        <f t="shared" si="37"/>
        <v>INCLUDE</v>
      </c>
      <c r="T491" s="22" t="str">
        <f t="shared" si="38"/>
        <v/>
      </c>
      <c r="U491" s="25" t="s">
        <v>56</v>
      </c>
      <c r="V491" s="25">
        <v>0</v>
      </c>
      <c r="W491" s="25">
        <v>0</v>
      </c>
      <c r="X491" s="25">
        <v>1</v>
      </c>
      <c r="Y491" s="22" t="str">
        <f t="shared" si="39"/>
        <v>Single</v>
      </c>
      <c r="Z491" s="25" t="s">
        <v>9</v>
      </c>
      <c r="AA491" s="25" t="s">
        <v>57</v>
      </c>
      <c r="AB491" s="25" t="s">
        <v>99</v>
      </c>
      <c r="AC491" s="25" t="s">
        <v>70</v>
      </c>
      <c r="AD491" s="25" t="s">
        <v>89</v>
      </c>
      <c r="AE491" s="25">
        <v>3</v>
      </c>
      <c r="AF491" s="25" t="s">
        <v>90</v>
      </c>
      <c r="AG491" s="9" t="s">
        <v>2451</v>
      </c>
      <c r="AH491" s="29" t="s">
        <v>2452</v>
      </c>
      <c r="AI491" s="29" t="s">
        <v>2453</v>
      </c>
      <c r="AJ491" t="s">
        <v>91</v>
      </c>
      <c r="AK491" t="s">
        <v>2454</v>
      </c>
      <c r="AL491" t="s">
        <v>74</v>
      </c>
      <c r="AM491" s="50"/>
      <c r="AN491" s="51" t="s">
        <v>2455</v>
      </c>
      <c r="AO491" s="55" t="s">
        <v>2456</v>
      </c>
    </row>
    <row r="492" spans="1:41" ht="91.2" x14ac:dyDescent="0.3">
      <c r="A492" s="20">
        <v>488</v>
      </c>
      <c r="B492" s="8" t="s">
        <v>2457</v>
      </c>
      <c r="C492" s="26">
        <v>2025</v>
      </c>
      <c r="D492" s="8"/>
      <c r="E492" s="8" t="s">
        <v>2458</v>
      </c>
      <c r="F492" s="20" t="s">
        <v>54</v>
      </c>
      <c r="G492" s="21" t="s">
        <v>53</v>
      </c>
      <c r="H492" s="21" t="s">
        <v>53</v>
      </c>
      <c r="I492" s="21" t="s">
        <v>53</v>
      </c>
      <c r="J492" s="21" t="s">
        <v>53</v>
      </c>
      <c r="K492" s="21" t="s">
        <v>53</v>
      </c>
      <c r="L492" s="22" t="str">
        <f t="shared" si="35"/>
        <v>INCLUDE</v>
      </c>
      <c r="M492" s="22" t="str">
        <f t="shared" si="36"/>
        <v/>
      </c>
      <c r="N492" s="23" t="s">
        <v>53</v>
      </c>
      <c r="O492" s="23" t="s">
        <v>53</v>
      </c>
      <c r="P492" s="24" t="s">
        <v>53</v>
      </c>
      <c r="Q492" s="24" t="s">
        <v>53</v>
      </c>
      <c r="R492" s="24" t="s">
        <v>53</v>
      </c>
      <c r="S492" s="22" t="str">
        <f t="shared" si="37"/>
        <v>INCLUDE</v>
      </c>
      <c r="T492" s="22" t="str">
        <f t="shared" si="38"/>
        <v/>
      </c>
      <c r="U492" s="25" t="s">
        <v>56</v>
      </c>
      <c r="V492" s="25">
        <v>1</v>
      </c>
      <c r="W492" s="25">
        <v>0</v>
      </c>
      <c r="X492" s="25">
        <v>0</v>
      </c>
      <c r="Y492" s="22" t="str">
        <f t="shared" si="39"/>
        <v>Single</v>
      </c>
      <c r="Z492" s="25" t="s">
        <v>77</v>
      </c>
      <c r="AA492" s="25" t="s">
        <v>57</v>
      </c>
      <c r="AB492" s="25" t="s">
        <v>104</v>
      </c>
      <c r="AC492" s="25" t="s">
        <v>70</v>
      </c>
      <c r="AD492" s="25" t="s">
        <v>71</v>
      </c>
      <c r="AE492" s="25">
        <v>3</v>
      </c>
      <c r="AF492" s="25" t="s">
        <v>96</v>
      </c>
      <c r="AG492" s="9" t="s">
        <v>2459</v>
      </c>
      <c r="AH492" s="29" t="s">
        <v>2460</v>
      </c>
      <c r="AI492" s="29" t="s">
        <v>2461</v>
      </c>
      <c r="AJ492" t="s">
        <v>91</v>
      </c>
      <c r="AK492" t="s">
        <v>2462</v>
      </c>
      <c r="AL492" t="s">
        <v>74</v>
      </c>
      <c r="AM492" s="50"/>
      <c r="AN492" s="51" t="s">
        <v>2463</v>
      </c>
      <c r="AO492" s="55" t="s">
        <v>2464</v>
      </c>
    </row>
    <row r="493" spans="1:41" ht="79.8" hidden="1" x14ac:dyDescent="0.3">
      <c r="A493" s="20">
        <v>489</v>
      </c>
      <c r="B493" s="8" t="s">
        <v>1763</v>
      </c>
      <c r="C493" s="26">
        <v>2026</v>
      </c>
      <c r="D493" s="8"/>
      <c r="E493" s="8" t="s">
        <v>2465</v>
      </c>
      <c r="F493" s="20" t="s">
        <v>54</v>
      </c>
      <c r="G493" s="21" t="s">
        <v>53</v>
      </c>
      <c r="H493" s="21" t="s">
        <v>64</v>
      </c>
      <c r="I493" s="21" t="s">
        <v>53</v>
      </c>
      <c r="J493" s="21" t="s">
        <v>53</v>
      </c>
      <c r="K493" s="21" t="s">
        <v>53</v>
      </c>
      <c r="L493" s="22" t="str">
        <f t="shared" si="35"/>
        <v>EXCLUDE</v>
      </c>
      <c r="M493" s="22" t="str">
        <f t="shared" si="36"/>
        <v>Digital Twin not core / buzzword</v>
      </c>
      <c r="N493" s="23"/>
      <c r="O493" s="23"/>
      <c r="P493" s="24"/>
      <c r="Q493" s="24"/>
      <c r="R493" s="24"/>
      <c r="S493" s="22" t="str">
        <f t="shared" si="37"/>
        <v/>
      </c>
      <c r="T493" s="22" t="str">
        <f t="shared" si="38"/>
        <v/>
      </c>
      <c r="U493" s="25"/>
      <c r="V493" s="25"/>
      <c r="W493" s="25"/>
      <c r="X493" s="25"/>
      <c r="Y493" s="22" t="str">
        <f t="shared" si="39"/>
        <v/>
      </c>
      <c r="Z493" s="25"/>
      <c r="AA493" s="25"/>
      <c r="AB493" s="25"/>
      <c r="AC493" s="25"/>
      <c r="AD493" s="25"/>
      <c r="AE493" s="25"/>
      <c r="AF493" s="25"/>
      <c r="AG493" s="9"/>
      <c r="AH493" s="29"/>
      <c r="AI493" s="29"/>
      <c r="AM493" s="50"/>
      <c r="AN493" s="51" t="s">
        <v>2466</v>
      </c>
      <c r="AO493" s="55" t="s">
        <v>2467</v>
      </c>
    </row>
    <row r="494" spans="1:41" ht="102.6" x14ac:dyDescent="0.3">
      <c r="A494" s="20">
        <v>490</v>
      </c>
      <c r="B494" s="8" t="s">
        <v>2468</v>
      </c>
      <c r="C494" s="26">
        <v>2025</v>
      </c>
      <c r="D494" s="8"/>
      <c r="E494" s="8" t="s">
        <v>2469</v>
      </c>
      <c r="F494" s="20" t="s">
        <v>54</v>
      </c>
      <c r="G494" s="21" t="s">
        <v>53</v>
      </c>
      <c r="H494" s="21" t="s">
        <v>53</v>
      </c>
      <c r="I494" s="21" t="s">
        <v>53</v>
      </c>
      <c r="J494" s="21" t="s">
        <v>53</v>
      </c>
      <c r="K494" s="21" t="s">
        <v>53</v>
      </c>
      <c r="L494" s="22" t="str">
        <f t="shared" si="35"/>
        <v>INCLUDE</v>
      </c>
      <c r="M494" s="22" t="str">
        <f t="shared" si="36"/>
        <v/>
      </c>
      <c r="N494" s="23" t="s">
        <v>53</v>
      </c>
      <c r="O494" s="23" t="s">
        <v>53</v>
      </c>
      <c r="P494" s="24" t="s">
        <v>53</v>
      </c>
      <c r="Q494" s="24" t="s">
        <v>53</v>
      </c>
      <c r="R494" s="24" t="s">
        <v>53</v>
      </c>
      <c r="S494" s="22" t="str">
        <f t="shared" si="37"/>
        <v>INCLUDE</v>
      </c>
      <c r="T494" s="22" t="str">
        <f t="shared" si="38"/>
        <v/>
      </c>
      <c r="U494" s="25" t="s">
        <v>67</v>
      </c>
      <c r="V494" s="25">
        <v>0</v>
      </c>
      <c r="W494" s="25">
        <v>1</v>
      </c>
      <c r="X494" s="25">
        <v>0</v>
      </c>
      <c r="Y494" s="22" t="str">
        <f t="shared" si="39"/>
        <v>Single</v>
      </c>
      <c r="Z494" s="25" t="s">
        <v>9</v>
      </c>
      <c r="AA494" s="25" t="s">
        <v>78</v>
      </c>
      <c r="AB494" s="25" t="s">
        <v>104</v>
      </c>
      <c r="AC494" s="25" t="s">
        <v>70</v>
      </c>
      <c r="AD494" s="25" t="s">
        <v>89</v>
      </c>
      <c r="AE494" s="25">
        <v>4</v>
      </c>
      <c r="AF494" s="25" t="s">
        <v>96</v>
      </c>
      <c r="AG494" s="9" t="s">
        <v>2470</v>
      </c>
      <c r="AH494" s="29" t="s">
        <v>2471</v>
      </c>
      <c r="AI494" s="29" t="s">
        <v>2472</v>
      </c>
      <c r="AJ494" t="s">
        <v>91</v>
      </c>
      <c r="AK494" t="s">
        <v>2473</v>
      </c>
      <c r="AL494" t="s">
        <v>63</v>
      </c>
      <c r="AM494" s="50"/>
      <c r="AN494" s="51" t="s">
        <v>2474</v>
      </c>
      <c r="AO494" s="55" t="s">
        <v>2475</v>
      </c>
    </row>
    <row r="495" spans="1:41" ht="57" hidden="1" x14ac:dyDescent="0.3">
      <c r="A495" s="20">
        <v>491</v>
      </c>
      <c r="B495" s="8" t="s">
        <v>2476</v>
      </c>
      <c r="C495" s="26">
        <v>2026</v>
      </c>
      <c r="D495" s="8"/>
      <c r="E495" s="8" t="s">
        <v>2477</v>
      </c>
      <c r="F495" s="20" t="s">
        <v>54</v>
      </c>
      <c r="G495" s="21" t="s">
        <v>53</v>
      </c>
      <c r="H495" s="21" t="s">
        <v>64</v>
      </c>
      <c r="I495" s="21" t="s">
        <v>53</v>
      </c>
      <c r="J495" s="21" t="s">
        <v>53</v>
      </c>
      <c r="K495" s="21" t="s">
        <v>53</v>
      </c>
      <c r="L495" s="22" t="str">
        <f t="shared" si="35"/>
        <v>EXCLUDE</v>
      </c>
      <c r="M495" s="22" t="str">
        <f t="shared" si="36"/>
        <v>Digital Twin not core / buzzword</v>
      </c>
      <c r="N495" s="23"/>
      <c r="O495" s="23"/>
      <c r="P495" s="24"/>
      <c r="Q495" s="24"/>
      <c r="R495" s="24"/>
      <c r="S495" s="22" t="str">
        <f t="shared" si="37"/>
        <v/>
      </c>
      <c r="T495" s="22" t="str">
        <f t="shared" si="38"/>
        <v/>
      </c>
      <c r="U495" s="25"/>
      <c r="V495" s="25"/>
      <c r="W495" s="25"/>
      <c r="X495" s="25"/>
      <c r="Y495" s="22" t="str">
        <f t="shared" si="39"/>
        <v/>
      </c>
      <c r="Z495" s="25"/>
      <c r="AA495" s="25"/>
      <c r="AB495" s="25"/>
      <c r="AC495" s="25"/>
      <c r="AD495" s="25"/>
      <c r="AE495" s="25"/>
      <c r="AF495" s="25"/>
      <c r="AG495" s="9"/>
      <c r="AH495" s="29"/>
      <c r="AI495" s="29"/>
      <c r="AM495" s="50"/>
      <c r="AN495" s="51" t="s">
        <v>2478</v>
      </c>
      <c r="AO495" s="55" t="s">
        <v>2479</v>
      </c>
    </row>
    <row r="496" spans="1:41" ht="57" hidden="1" x14ac:dyDescent="0.3">
      <c r="A496" s="20">
        <v>492</v>
      </c>
      <c r="B496" s="8" t="s">
        <v>2480</v>
      </c>
      <c r="C496" s="26">
        <v>2026</v>
      </c>
      <c r="D496" s="8"/>
      <c r="E496" s="8" t="s">
        <v>2481</v>
      </c>
      <c r="F496" s="20" t="s">
        <v>54</v>
      </c>
      <c r="G496" s="21" t="s">
        <v>53</v>
      </c>
      <c r="H496" s="21" t="s">
        <v>53</v>
      </c>
      <c r="I496" s="21" t="s">
        <v>53</v>
      </c>
      <c r="J496" s="21" t="s">
        <v>53</v>
      </c>
      <c r="K496" s="21" t="s">
        <v>53</v>
      </c>
      <c r="L496" s="22" t="str">
        <f t="shared" si="35"/>
        <v>INCLUDE</v>
      </c>
      <c r="M496" s="22" t="str">
        <f t="shared" si="36"/>
        <v/>
      </c>
      <c r="N496" s="23" t="s">
        <v>64</v>
      </c>
      <c r="O496" s="23" t="s">
        <v>64</v>
      </c>
      <c r="P496" s="24"/>
      <c r="Q496" s="24"/>
      <c r="R496" s="24"/>
      <c r="S496" s="22" t="str">
        <f t="shared" si="37"/>
        <v/>
      </c>
      <c r="T496" s="22" t="str">
        <f t="shared" si="38"/>
        <v/>
      </c>
      <c r="U496" s="25"/>
      <c r="V496" s="25"/>
      <c r="W496" s="25"/>
      <c r="X496" s="25"/>
      <c r="Y496" s="22" t="str">
        <f t="shared" si="39"/>
        <v/>
      </c>
      <c r="Z496" s="25"/>
      <c r="AA496" s="25"/>
      <c r="AB496" s="25"/>
      <c r="AC496" s="25"/>
      <c r="AD496" s="25"/>
      <c r="AE496" s="25"/>
      <c r="AF496" s="25"/>
      <c r="AG496" s="9"/>
      <c r="AH496" s="29"/>
      <c r="AI496" s="29"/>
      <c r="AM496" s="50"/>
      <c r="AN496" s="51" t="s">
        <v>2482</v>
      </c>
      <c r="AO496" s="55" t="s">
        <v>2483</v>
      </c>
    </row>
    <row r="497" spans="1:41" ht="102.6" x14ac:dyDescent="0.3">
      <c r="A497" s="20">
        <v>493</v>
      </c>
      <c r="B497" s="8" t="s">
        <v>2484</v>
      </c>
      <c r="C497" s="26">
        <v>2025</v>
      </c>
      <c r="D497" s="8"/>
      <c r="E497" s="8" t="s">
        <v>2485</v>
      </c>
      <c r="F497" s="20" t="s">
        <v>54</v>
      </c>
      <c r="G497" s="21" t="s">
        <v>53</v>
      </c>
      <c r="H497" s="21" t="s">
        <v>53</v>
      </c>
      <c r="I497" s="21" t="s">
        <v>53</v>
      </c>
      <c r="J497" s="21" t="s">
        <v>53</v>
      </c>
      <c r="K497" s="21" t="s">
        <v>53</v>
      </c>
      <c r="L497" s="22" t="str">
        <f t="shared" si="35"/>
        <v>INCLUDE</v>
      </c>
      <c r="M497" s="22" t="str">
        <f t="shared" si="36"/>
        <v/>
      </c>
      <c r="N497" s="23" t="s">
        <v>53</v>
      </c>
      <c r="O497" s="23" t="s">
        <v>53</v>
      </c>
      <c r="P497" s="24" t="s">
        <v>53</v>
      </c>
      <c r="Q497" s="24" t="s">
        <v>53</v>
      </c>
      <c r="R497" s="24" t="s">
        <v>53</v>
      </c>
      <c r="S497" s="22" t="str">
        <f t="shared" si="37"/>
        <v>INCLUDE</v>
      </c>
      <c r="T497" s="22" t="str">
        <f t="shared" si="38"/>
        <v/>
      </c>
      <c r="U497" s="25" t="s">
        <v>67</v>
      </c>
      <c r="V497" s="25">
        <v>0</v>
      </c>
      <c r="W497" s="25">
        <v>0</v>
      </c>
      <c r="X497" s="25">
        <v>1</v>
      </c>
      <c r="Y497" s="22" t="str">
        <f t="shared" si="39"/>
        <v>Single</v>
      </c>
      <c r="Z497" s="25" t="s">
        <v>9</v>
      </c>
      <c r="AA497" s="25" t="s">
        <v>57</v>
      </c>
      <c r="AB497" s="25" t="s">
        <v>88</v>
      </c>
      <c r="AC497" s="25" t="s">
        <v>70</v>
      </c>
      <c r="AD497" s="25" t="s">
        <v>95</v>
      </c>
      <c r="AE497" s="25">
        <v>4</v>
      </c>
      <c r="AF497" s="25" t="s">
        <v>96</v>
      </c>
      <c r="AG497" s="9" t="s">
        <v>2486</v>
      </c>
      <c r="AH497" s="29" t="s">
        <v>2487</v>
      </c>
      <c r="AI497" s="29" t="s">
        <v>2488</v>
      </c>
      <c r="AJ497" t="s">
        <v>91</v>
      </c>
      <c r="AK497" t="s">
        <v>2489</v>
      </c>
      <c r="AL497" t="s">
        <v>63</v>
      </c>
      <c r="AM497" s="50"/>
      <c r="AN497" s="51" t="s">
        <v>2490</v>
      </c>
      <c r="AO497" s="55" t="s">
        <v>2491</v>
      </c>
    </row>
    <row r="498" spans="1:41" ht="79.8" hidden="1" x14ac:dyDescent="0.3">
      <c r="A498" s="20">
        <v>494</v>
      </c>
      <c r="B498" s="8" t="s">
        <v>2492</v>
      </c>
      <c r="C498" s="26">
        <v>2026</v>
      </c>
      <c r="D498" s="8"/>
      <c r="E498" s="8" t="s">
        <v>2493</v>
      </c>
      <c r="F498" s="20" t="s">
        <v>54</v>
      </c>
      <c r="G498" s="21" t="s">
        <v>53</v>
      </c>
      <c r="H498" s="21" t="s">
        <v>64</v>
      </c>
      <c r="I498" s="21" t="s">
        <v>53</v>
      </c>
      <c r="J498" s="21" t="s">
        <v>53</v>
      </c>
      <c r="K498" s="21" t="s">
        <v>53</v>
      </c>
      <c r="L498" s="22" t="str">
        <f t="shared" si="35"/>
        <v>EXCLUDE</v>
      </c>
      <c r="M498" s="22" t="str">
        <f t="shared" si="36"/>
        <v>Digital Twin not core / buzzword</v>
      </c>
      <c r="N498" s="23"/>
      <c r="O498" s="23"/>
      <c r="P498" s="24"/>
      <c r="Q498" s="24"/>
      <c r="R498" s="24"/>
      <c r="S498" s="22" t="str">
        <f t="shared" si="37"/>
        <v/>
      </c>
      <c r="T498" s="22" t="str">
        <f t="shared" si="38"/>
        <v/>
      </c>
      <c r="U498" s="25"/>
      <c r="V498" s="25"/>
      <c r="W498" s="25"/>
      <c r="X498" s="25"/>
      <c r="Y498" s="22" t="str">
        <f t="shared" si="39"/>
        <v/>
      </c>
      <c r="Z498" s="25"/>
      <c r="AA498" s="25"/>
      <c r="AB498" s="25"/>
      <c r="AC498" s="25"/>
      <c r="AD498" s="25"/>
      <c r="AE498" s="25"/>
      <c r="AF498" s="25"/>
      <c r="AG498" s="9"/>
      <c r="AH498" s="29"/>
      <c r="AI498" s="29"/>
      <c r="AM498" s="50"/>
      <c r="AN498" s="51" t="s">
        <v>2494</v>
      </c>
      <c r="AO498" s="55" t="s">
        <v>2495</v>
      </c>
    </row>
    <row r="499" spans="1:41" ht="68.400000000000006" hidden="1" x14ac:dyDescent="0.3">
      <c r="A499" s="20">
        <v>495</v>
      </c>
      <c r="B499" s="8" t="s">
        <v>2496</v>
      </c>
      <c r="C499" s="26">
        <v>2026</v>
      </c>
      <c r="D499" s="8"/>
      <c r="E499" s="8" t="s">
        <v>2497</v>
      </c>
      <c r="F499" s="20" t="s">
        <v>54</v>
      </c>
      <c r="G499" s="21" t="s">
        <v>64</v>
      </c>
      <c r="H499" s="21" t="s">
        <v>53</v>
      </c>
      <c r="I499" s="21" t="s">
        <v>53</v>
      </c>
      <c r="J499" s="21" t="s">
        <v>53</v>
      </c>
      <c r="K499" s="21" t="s">
        <v>53</v>
      </c>
      <c r="L499" s="22" t="str">
        <f t="shared" si="35"/>
        <v>EXCLUDE</v>
      </c>
      <c r="M499" s="22" t="str">
        <f t="shared" si="36"/>
        <v>Wrong domain (non-AECO)</v>
      </c>
      <c r="N499" s="23"/>
      <c r="O499" s="23"/>
      <c r="P499" s="24"/>
      <c r="Q499" s="24"/>
      <c r="R499" s="24"/>
      <c r="S499" s="22" t="str">
        <f t="shared" si="37"/>
        <v/>
      </c>
      <c r="T499" s="22" t="str">
        <f t="shared" si="38"/>
        <v/>
      </c>
      <c r="U499" s="25"/>
      <c r="V499" s="25"/>
      <c r="W499" s="25"/>
      <c r="X499" s="25"/>
      <c r="Y499" s="22" t="str">
        <f t="shared" si="39"/>
        <v/>
      </c>
      <c r="Z499" s="25"/>
      <c r="AA499" s="25"/>
      <c r="AB499" s="25"/>
      <c r="AC499" s="25"/>
      <c r="AD499" s="25"/>
      <c r="AE499" s="25"/>
      <c r="AF499" s="25"/>
      <c r="AG499" s="9"/>
      <c r="AH499" s="29"/>
      <c r="AI499" s="29"/>
      <c r="AM499" s="50"/>
      <c r="AN499" s="51" t="s">
        <v>2498</v>
      </c>
      <c r="AO499" s="55" t="s">
        <v>2499</v>
      </c>
    </row>
    <row r="500" spans="1:41" ht="68.400000000000006" hidden="1" x14ac:dyDescent="0.3">
      <c r="A500" s="20">
        <v>496</v>
      </c>
      <c r="B500" s="8" t="s">
        <v>2500</v>
      </c>
      <c r="C500" s="26">
        <v>2026</v>
      </c>
      <c r="D500" s="8"/>
      <c r="E500" s="8" t="s">
        <v>2501</v>
      </c>
      <c r="F500" s="20" t="s">
        <v>54</v>
      </c>
      <c r="G500" s="21" t="s">
        <v>53</v>
      </c>
      <c r="H500" s="21" t="s">
        <v>64</v>
      </c>
      <c r="I500" s="21" t="s">
        <v>53</v>
      </c>
      <c r="J500" s="21" t="s">
        <v>53</v>
      </c>
      <c r="K500" s="21" t="s">
        <v>53</v>
      </c>
      <c r="L500" s="22" t="str">
        <f t="shared" si="35"/>
        <v>EXCLUDE</v>
      </c>
      <c r="M500" s="22" t="str">
        <f t="shared" si="36"/>
        <v>Digital Twin not core / buzzword</v>
      </c>
      <c r="N500" s="23"/>
      <c r="O500" s="23"/>
      <c r="P500" s="24"/>
      <c r="Q500" s="24"/>
      <c r="R500" s="24"/>
      <c r="S500" s="22" t="str">
        <f t="shared" si="37"/>
        <v/>
      </c>
      <c r="T500" s="22" t="str">
        <f t="shared" si="38"/>
        <v/>
      </c>
      <c r="U500" s="25"/>
      <c r="V500" s="25"/>
      <c r="W500" s="25"/>
      <c r="X500" s="25"/>
      <c r="Y500" s="22" t="str">
        <f t="shared" si="39"/>
        <v/>
      </c>
      <c r="Z500" s="25"/>
      <c r="AA500" s="25"/>
      <c r="AB500" s="25"/>
      <c r="AC500" s="25"/>
      <c r="AD500" s="25"/>
      <c r="AE500" s="25"/>
      <c r="AF500" s="25"/>
      <c r="AG500" s="9"/>
      <c r="AH500" s="29"/>
      <c r="AI500" s="29"/>
      <c r="AM500" s="50"/>
      <c r="AN500" s="51" t="s">
        <v>2502</v>
      </c>
      <c r="AO500" s="55" t="s">
        <v>2503</v>
      </c>
    </row>
    <row r="501" spans="1:41" ht="91.2" hidden="1" x14ac:dyDescent="0.3">
      <c r="A501" s="20">
        <v>497</v>
      </c>
      <c r="B501" s="8" t="s">
        <v>2504</v>
      </c>
      <c r="C501" s="26">
        <v>2026</v>
      </c>
      <c r="D501" s="8"/>
      <c r="E501" s="8" t="s">
        <v>2505</v>
      </c>
      <c r="F501" s="20" t="s">
        <v>54</v>
      </c>
      <c r="G501" s="21" t="s">
        <v>64</v>
      </c>
      <c r="H501" s="21" t="s">
        <v>53</v>
      </c>
      <c r="I501" s="21" t="s">
        <v>53</v>
      </c>
      <c r="J501" s="21" t="s">
        <v>53</v>
      </c>
      <c r="K501" s="21" t="s">
        <v>53</v>
      </c>
      <c r="L501" s="22" t="str">
        <f t="shared" si="35"/>
        <v>EXCLUDE</v>
      </c>
      <c r="M501" s="22" t="str">
        <f t="shared" si="36"/>
        <v>Wrong domain (non-AECO)</v>
      </c>
      <c r="N501" s="23"/>
      <c r="O501" s="23"/>
      <c r="P501" s="24"/>
      <c r="Q501" s="24"/>
      <c r="R501" s="24"/>
      <c r="S501" s="22" t="str">
        <f t="shared" si="37"/>
        <v/>
      </c>
      <c r="T501" s="22" t="str">
        <f t="shared" si="38"/>
        <v/>
      </c>
      <c r="U501" s="25"/>
      <c r="V501" s="25"/>
      <c r="W501" s="25"/>
      <c r="X501" s="25"/>
      <c r="Y501" s="22" t="str">
        <f t="shared" si="39"/>
        <v/>
      </c>
      <c r="Z501" s="25"/>
      <c r="AA501" s="25"/>
      <c r="AB501" s="25"/>
      <c r="AC501" s="25"/>
      <c r="AD501" s="25"/>
      <c r="AE501" s="25"/>
      <c r="AF501" s="25"/>
      <c r="AG501" s="9"/>
      <c r="AH501" s="29"/>
      <c r="AI501" s="29"/>
      <c r="AM501" s="50"/>
      <c r="AN501" s="51" t="s">
        <v>2506</v>
      </c>
      <c r="AO501" s="55" t="s">
        <v>2507</v>
      </c>
    </row>
    <row r="502" spans="1:41" ht="79.8" hidden="1" x14ac:dyDescent="0.3">
      <c r="A502" s="20">
        <v>498</v>
      </c>
      <c r="B502" s="8" t="s">
        <v>2508</v>
      </c>
      <c r="C502" s="26">
        <v>2026</v>
      </c>
      <c r="D502" s="8"/>
      <c r="E502" s="8" t="s">
        <v>2509</v>
      </c>
      <c r="F502" s="20" t="s">
        <v>54</v>
      </c>
      <c r="G502" s="21" t="s">
        <v>64</v>
      </c>
      <c r="H502" s="21" t="s">
        <v>53</v>
      </c>
      <c r="I502" s="21" t="s">
        <v>53</v>
      </c>
      <c r="J502" s="21" t="s">
        <v>53</v>
      </c>
      <c r="K502" s="21" t="s">
        <v>53</v>
      </c>
      <c r="L502" s="22" t="str">
        <f t="shared" si="35"/>
        <v>EXCLUDE</v>
      </c>
      <c r="M502" s="22" t="str">
        <f t="shared" si="36"/>
        <v>Wrong domain (non-AECO)</v>
      </c>
      <c r="N502" s="23"/>
      <c r="O502" s="23"/>
      <c r="P502" s="24"/>
      <c r="Q502" s="24"/>
      <c r="R502" s="24"/>
      <c r="S502" s="22" t="str">
        <f t="shared" si="37"/>
        <v/>
      </c>
      <c r="T502" s="22" t="str">
        <f t="shared" si="38"/>
        <v/>
      </c>
      <c r="U502" s="25"/>
      <c r="V502" s="25"/>
      <c r="W502" s="25"/>
      <c r="X502" s="25"/>
      <c r="Y502" s="22" t="str">
        <f t="shared" si="39"/>
        <v/>
      </c>
      <c r="Z502" s="25"/>
      <c r="AA502" s="25"/>
      <c r="AB502" s="25"/>
      <c r="AC502" s="25"/>
      <c r="AD502" s="25"/>
      <c r="AE502" s="25"/>
      <c r="AF502" s="25"/>
      <c r="AG502" s="9"/>
      <c r="AH502" s="29"/>
      <c r="AI502" s="29"/>
      <c r="AM502" s="50"/>
      <c r="AN502" s="51" t="s">
        <v>2510</v>
      </c>
      <c r="AO502" s="55" t="s">
        <v>2511</v>
      </c>
    </row>
    <row r="503" spans="1:41" ht="45.6" hidden="1" x14ac:dyDescent="0.3">
      <c r="A503" s="20">
        <v>499</v>
      </c>
      <c r="B503" s="8" t="s">
        <v>2512</v>
      </c>
      <c r="C503" s="26">
        <v>2026</v>
      </c>
      <c r="D503" s="8"/>
      <c r="E503" s="8" t="s">
        <v>2513</v>
      </c>
      <c r="F503" s="20" t="s">
        <v>54</v>
      </c>
      <c r="G503" s="21" t="s">
        <v>64</v>
      </c>
      <c r="H503" s="21" t="s">
        <v>53</v>
      </c>
      <c r="I503" s="21" t="s">
        <v>53</v>
      </c>
      <c r="J503" s="21" t="s">
        <v>53</v>
      </c>
      <c r="K503" s="21" t="s">
        <v>53</v>
      </c>
      <c r="L503" s="22" t="str">
        <f t="shared" si="35"/>
        <v>EXCLUDE</v>
      </c>
      <c r="M503" s="22" t="str">
        <f t="shared" si="36"/>
        <v>Wrong domain (non-AECO)</v>
      </c>
      <c r="N503" s="23"/>
      <c r="O503" s="23"/>
      <c r="P503" s="24"/>
      <c r="Q503" s="24"/>
      <c r="R503" s="24"/>
      <c r="S503" s="22" t="str">
        <f t="shared" si="37"/>
        <v/>
      </c>
      <c r="T503" s="22" t="str">
        <f t="shared" si="38"/>
        <v/>
      </c>
      <c r="U503" s="25"/>
      <c r="V503" s="25"/>
      <c r="W503" s="25"/>
      <c r="X503" s="25"/>
      <c r="Y503" s="22" t="str">
        <f t="shared" si="39"/>
        <v/>
      </c>
      <c r="Z503" s="25"/>
      <c r="AA503" s="25"/>
      <c r="AB503" s="25"/>
      <c r="AC503" s="25"/>
      <c r="AD503" s="25"/>
      <c r="AE503" s="25"/>
      <c r="AF503" s="25"/>
      <c r="AG503" s="9"/>
      <c r="AH503" s="29"/>
      <c r="AI503" s="29"/>
      <c r="AM503" s="50"/>
      <c r="AN503" s="51" t="s">
        <v>2514</v>
      </c>
      <c r="AO503" s="55" t="s">
        <v>2515</v>
      </c>
    </row>
    <row r="504" spans="1:41" ht="57" hidden="1" x14ac:dyDescent="0.3">
      <c r="A504" s="20">
        <v>500</v>
      </c>
      <c r="B504" s="8" t="s">
        <v>2516</v>
      </c>
      <c r="C504" s="26">
        <v>2026</v>
      </c>
      <c r="D504" s="8"/>
      <c r="E504" s="8" t="s">
        <v>2517</v>
      </c>
      <c r="F504" s="20" t="s">
        <v>54</v>
      </c>
      <c r="G504" s="21" t="s">
        <v>64</v>
      </c>
      <c r="H504" s="21" t="s">
        <v>53</v>
      </c>
      <c r="I504" s="21" t="s">
        <v>53</v>
      </c>
      <c r="J504" s="21" t="s">
        <v>53</v>
      </c>
      <c r="K504" s="21" t="s">
        <v>53</v>
      </c>
      <c r="L504" s="22" t="str">
        <f t="shared" si="35"/>
        <v>EXCLUDE</v>
      </c>
      <c r="M504" s="22" t="str">
        <f t="shared" si="36"/>
        <v>Wrong domain (non-AECO)</v>
      </c>
      <c r="N504" s="23"/>
      <c r="O504" s="23"/>
      <c r="P504" s="24"/>
      <c r="Q504" s="24"/>
      <c r="R504" s="24"/>
      <c r="S504" s="22" t="str">
        <f t="shared" si="37"/>
        <v/>
      </c>
      <c r="T504" s="22" t="str">
        <f t="shared" si="38"/>
        <v/>
      </c>
      <c r="U504" s="25"/>
      <c r="V504" s="25"/>
      <c r="W504" s="25"/>
      <c r="X504" s="25"/>
      <c r="Y504" s="22" t="str">
        <f t="shared" si="39"/>
        <v/>
      </c>
      <c r="Z504" s="25"/>
      <c r="AA504" s="25"/>
      <c r="AB504" s="25"/>
      <c r="AC504" s="25"/>
      <c r="AD504" s="25"/>
      <c r="AE504" s="25"/>
      <c r="AF504" s="25"/>
      <c r="AG504" s="9"/>
      <c r="AH504" s="29"/>
      <c r="AI504" s="29"/>
      <c r="AM504" s="50"/>
      <c r="AN504" s="51" t="s">
        <v>2518</v>
      </c>
      <c r="AO504" s="55" t="s">
        <v>2519</v>
      </c>
    </row>
    <row r="505" spans="1:41" ht="91.2" x14ac:dyDescent="0.3">
      <c r="A505" s="20">
        <v>501</v>
      </c>
      <c r="B505" s="8" t="s">
        <v>2520</v>
      </c>
      <c r="C505" s="26">
        <v>2024</v>
      </c>
      <c r="D505" s="8"/>
      <c r="E505" s="8" t="s">
        <v>2521</v>
      </c>
      <c r="F505" s="20" t="s">
        <v>54</v>
      </c>
      <c r="G505" s="21" t="s">
        <v>53</v>
      </c>
      <c r="H505" s="21" t="s">
        <v>53</v>
      </c>
      <c r="I505" s="21" t="s">
        <v>53</v>
      </c>
      <c r="J505" s="21" t="s">
        <v>53</v>
      </c>
      <c r="K505" s="21" t="s">
        <v>53</v>
      </c>
      <c r="L505" s="22" t="str">
        <f t="shared" si="35"/>
        <v>INCLUDE</v>
      </c>
      <c r="M505" s="22" t="str">
        <f t="shared" si="36"/>
        <v/>
      </c>
      <c r="N505" s="23" t="s">
        <v>53</v>
      </c>
      <c r="O505" s="23" t="s">
        <v>53</v>
      </c>
      <c r="P505" s="24" t="s">
        <v>53</v>
      </c>
      <c r="Q505" s="24" t="s">
        <v>53</v>
      </c>
      <c r="R505" s="24" t="s">
        <v>53</v>
      </c>
      <c r="S505" s="22" t="str">
        <f t="shared" si="37"/>
        <v>INCLUDE</v>
      </c>
      <c r="T505" s="22" t="str">
        <f t="shared" si="38"/>
        <v/>
      </c>
      <c r="U505" s="25" t="s">
        <v>67</v>
      </c>
      <c r="V505" s="25">
        <v>0</v>
      </c>
      <c r="W505" s="25">
        <v>0</v>
      </c>
      <c r="X505" s="25">
        <v>1</v>
      </c>
      <c r="Y505" s="22" t="str">
        <f t="shared" si="39"/>
        <v>Single</v>
      </c>
      <c r="Z505" s="25" t="s">
        <v>9</v>
      </c>
      <c r="AA505" s="25" t="s">
        <v>57</v>
      </c>
      <c r="AB505" s="25" t="s">
        <v>100</v>
      </c>
      <c r="AC505" s="25" t="s">
        <v>70</v>
      </c>
      <c r="AD505" s="25" t="s">
        <v>89</v>
      </c>
      <c r="AE505" s="25">
        <v>4</v>
      </c>
      <c r="AF505" s="25" t="s">
        <v>98</v>
      </c>
      <c r="AG505" s="9" t="s">
        <v>2522</v>
      </c>
      <c r="AH505" s="29" t="s">
        <v>2523</v>
      </c>
      <c r="AI505" s="29" t="s">
        <v>2524</v>
      </c>
      <c r="AJ505" t="s">
        <v>82</v>
      </c>
      <c r="AK505" t="s">
        <v>2525</v>
      </c>
      <c r="AL505" t="s">
        <v>63</v>
      </c>
      <c r="AM505" s="50"/>
      <c r="AN505" s="51" t="s">
        <v>2526</v>
      </c>
      <c r="AO505" s="55" t="s">
        <v>2527</v>
      </c>
    </row>
    <row r="506" spans="1:41" ht="79.8" hidden="1" x14ac:dyDescent="0.3">
      <c r="A506" s="20">
        <v>502</v>
      </c>
      <c r="B506" s="8" t="s">
        <v>2528</v>
      </c>
      <c r="C506" s="26">
        <v>2025</v>
      </c>
      <c r="D506" s="8"/>
      <c r="E506" s="8" t="s">
        <v>2529</v>
      </c>
      <c r="F506" s="20" t="s">
        <v>54</v>
      </c>
      <c r="G506" s="21" t="s">
        <v>64</v>
      </c>
      <c r="H506" s="21" t="s">
        <v>53</v>
      </c>
      <c r="I506" s="21" t="s">
        <v>53</v>
      </c>
      <c r="J506" s="21" t="s">
        <v>53</v>
      </c>
      <c r="K506" s="21" t="s">
        <v>53</v>
      </c>
      <c r="L506" s="22" t="str">
        <f t="shared" si="35"/>
        <v>EXCLUDE</v>
      </c>
      <c r="M506" s="22" t="str">
        <f t="shared" si="36"/>
        <v>Wrong domain (non-AECO)</v>
      </c>
      <c r="N506" s="23"/>
      <c r="O506" s="23"/>
      <c r="P506" s="24"/>
      <c r="Q506" s="24"/>
      <c r="R506" s="24"/>
      <c r="S506" s="22" t="str">
        <f t="shared" si="37"/>
        <v/>
      </c>
      <c r="T506" s="22" t="str">
        <f t="shared" si="38"/>
        <v/>
      </c>
      <c r="U506" s="25"/>
      <c r="V506" s="25"/>
      <c r="W506" s="25"/>
      <c r="X506" s="25"/>
      <c r="Y506" s="22" t="str">
        <f t="shared" si="39"/>
        <v/>
      </c>
      <c r="Z506" s="25"/>
      <c r="AA506" s="25"/>
      <c r="AB506" s="25"/>
      <c r="AC506" s="25"/>
      <c r="AD506" s="25"/>
      <c r="AE506" s="25"/>
      <c r="AF506" s="25"/>
      <c r="AG506" s="9"/>
      <c r="AH506" s="29"/>
      <c r="AI506" s="29"/>
      <c r="AM506" s="50"/>
      <c r="AN506" s="51" t="s">
        <v>2530</v>
      </c>
      <c r="AO506" s="55" t="s">
        <v>2531</v>
      </c>
    </row>
    <row r="507" spans="1:41" ht="34.200000000000003" hidden="1" x14ac:dyDescent="0.3">
      <c r="A507" s="20">
        <v>503</v>
      </c>
      <c r="B507" s="8" t="s">
        <v>2532</v>
      </c>
      <c r="C507" s="26">
        <v>2024</v>
      </c>
      <c r="D507" s="8"/>
      <c r="E507" s="8" t="s">
        <v>2533</v>
      </c>
      <c r="F507" s="20" t="s">
        <v>54</v>
      </c>
      <c r="G507" s="21" t="s">
        <v>53</v>
      </c>
      <c r="H507" s="21" t="s">
        <v>64</v>
      </c>
      <c r="I507" s="21" t="s">
        <v>53</v>
      </c>
      <c r="J507" s="21" t="s">
        <v>53</v>
      </c>
      <c r="K507" s="21" t="s">
        <v>53</v>
      </c>
      <c r="L507" s="22" t="str">
        <f t="shared" si="35"/>
        <v>EXCLUDE</v>
      </c>
      <c r="M507" s="22" t="str">
        <f t="shared" si="36"/>
        <v>Digital Twin not core / buzzword</v>
      </c>
      <c r="N507" s="23"/>
      <c r="O507" s="23"/>
      <c r="P507" s="24"/>
      <c r="Q507" s="24"/>
      <c r="R507" s="24"/>
      <c r="S507" s="22" t="str">
        <f t="shared" si="37"/>
        <v/>
      </c>
      <c r="T507" s="22" t="str">
        <f t="shared" si="38"/>
        <v/>
      </c>
      <c r="U507" s="25"/>
      <c r="V507" s="25"/>
      <c r="W507" s="25"/>
      <c r="X507" s="25"/>
      <c r="Y507" s="22" t="str">
        <f t="shared" si="39"/>
        <v/>
      </c>
      <c r="Z507" s="25"/>
      <c r="AA507" s="25"/>
      <c r="AB507" s="25"/>
      <c r="AC507" s="25"/>
      <c r="AD507" s="25"/>
      <c r="AE507" s="25"/>
      <c r="AF507" s="25"/>
      <c r="AG507" s="9"/>
      <c r="AH507" s="29"/>
      <c r="AI507" s="29"/>
      <c r="AM507" s="50"/>
      <c r="AN507" s="51" t="s">
        <v>2534</v>
      </c>
      <c r="AO507" s="55" t="s">
        <v>2535</v>
      </c>
    </row>
    <row r="508" spans="1:41" ht="125.4" x14ac:dyDescent="0.3">
      <c r="A508" s="20">
        <v>504</v>
      </c>
      <c r="B508" s="8" t="s">
        <v>2536</v>
      </c>
      <c r="C508" s="26">
        <v>2023</v>
      </c>
      <c r="D508" s="8"/>
      <c r="E508" s="8" t="s">
        <v>2537</v>
      </c>
      <c r="F508" s="20" t="s">
        <v>54</v>
      </c>
      <c r="G508" s="21" t="s">
        <v>53</v>
      </c>
      <c r="H508" s="21" t="s">
        <v>53</v>
      </c>
      <c r="I508" s="21" t="s">
        <v>53</v>
      </c>
      <c r="J508" s="21" t="s">
        <v>53</v>
      </c>
      <c r="K508" s="21" t="s">
        <v>53</v>
      </c>
      <c r="L508" s="22" t="str">
        <f t="shared" si="35"/>
        <v>INCLUDE</v>
      </c>
      <c r="M508" s="22" t="str">
        <f t="shared" si="36"/>
        <v/>
      </c>
      <c r="N508" s="23" t="s">
        <v>53</v>
      </c>
      <c r="O508" s="23" t="s">
        <v>53</v>
      </c>
      <c r="P508" s="24" t="s">
        <v>53</v>
      </c>
      <c r="Q508" s="24" t="s">
        <v>53</v>
      </c>
      <c r="R508" s="24" t="s">
        <v>53</v>
      </c>
      <c r="S508" s="22" t="str">
        <f t="shared" si="37"/>
        <v>INCLUDE</v>
      </c>
      <c r="T508" s="22" t="str">
        <f t="shared" si="38"/>
        <v/>
      </c>
      <c r="U508" s="25" t="s">
        <v>67</v>
      </c>
      <c r="V508" s="25">
        <v>0</v>
      </c>
      <c r="W508" s="25">
        <v>1</v>
      </c>
      <c r="X508" s="25">
        <v>0</v>
      </c>
      <c r="Y508" s="22" t="str">
        <f t="shared" si="39"/>
        <v>Single</v>
      </c>
      <c r="Z508" s="25" t="s">
        <v>9</v>
      </c>
      <c r="AA508" s="25" t="s">
        <v>57</v>
      </c>
      <c r="AB508" s="25" t="s">
        <v>102</v>
      </c>
      <c r="AC508" s="25" t="s">
        <v>70</v>
      </c>
      <c r="AD508" s="25" t="s">
        <v>89</v>
      </c>
      <c r="AE508" s="25">
        <v>4</v>
      </c>
      <c r="AF508" s="25" t="s">
        <v>90</v>
      </c>
      <c r="AG508" s="9" t="s">
        <v>2538</v>
      </c>
      <c r="AH508" s="29" t="s">
        <v>2539</v>
      </c>
      <c r="AI508" s="29" t="s">
        <v>2540</v>
      </c>
      <c r="AJ508" t="s">
        <v>91</v>
      </c>
      <c r="AK508" t="s">
        <v>2541</v>
      </c>
      <c r="AL508" t="s">
        <v>63</v>
      </c>
      <c r="AM508" s="50"/>
      <c r="AN508" s="51" t="s">
        <v>2542</v>
      </c>
      <c r="AO508" s="55" t="s">
        <v>2543</v>
      </c>
    </row>
    <row r="509" spans="1:41" ht="68.400000000000006" hidden="1" x14ac:dyDescent="0.3">
      <c r="A509" s="20">
        <v>505</v>
      </c>
      <c r="B509" s="8" t="s">
        <v>2544</v>
      </c>
      <c r="C509" s="26">
        <v>2018</v>
      </c>
      <c r="D509" s="8"/>
      <c r="E509" s="8" t="s">
        <v>2545</v>
      </c>
      <c r="F509" s="20" t="s">
        <v>54</v>
      </c>
      <c r="G509" s="21" t="s">
        <v>53</v>
      </c>
      <c r="H509" s="21" t="s">
        <v>64</v>
      </c>
      <c r="I509" s="21" t="s">
        <v>53</v>
      </c>
      <c r="J509" s="21" t="s">
        <v>53</v>
      </c>
      <c r="K509" s="21" t="s">
        <v>53</v>
      </c>
      <c r="L509" s="22" t="str">
        <f t="shared" si="35"/>
        <v>EXCLUDE</v>
      </c>
      <c r="M509" s="22" t="str">
        <f t="shared" si="36"/>
        <v>Digital Twin not core / buzzword</v>
      </c>
      <c r="N509" s="23"/>
      <c r="O509" s="23"/>
      <c r="P509" s="24"/>
      <c r="Q509" s="24"/>
      <c r="R509" s="24"/>
      <c r="S509" s="22" t="str">
        <f t="shared" si="37"/>
        <v/>
      </c>
      <c r="T509" s="22" t="str">
        <f t="shared" si="38"/>
        <v/>
      </c>
      <c r="U509" s="25"/>
      <c r="V509" s="25"/>
      <c r="W509" s="25"/>
      <c r="X509" s="25"/>
      <c r="Y509" s="22" t="str">
        <f t="shared" si="39"/>
        <v/>
      </c>
      <c r="Z509" s="25"/>
      <c r="AA509" s="25"/>
      <c r="AB509" s="25"/>
      <c r="AC509" s="25"/>
      <c r="AD509" s="25"/>
      <c r="AE509" s="25"/>
      <c r="AF509" s="25"/>
      <c r="AG509" s="9"/>
      <c r="AH509" s="29"/>
      <c r="AI509" s="29"/>
      <c r="AM509" s="50"/>
      <c r="AN509" s="51" t="s">
        <v>2546</v>
      </c>
      <c r="AO509" s="55" t="s">
        <v>2547</v>
      </c>
    </row>
    <row r="510" spans="1:41" ht="45.6" hidden="1" x14ac:dyDescent="0.3">
      <c r="A510" s="20">
        <v>506</v>
      </c>
      <c r="B510" s="8" t="s">
        <v>2548</v>
      </c>
      <c r="C510" s="26">
        <v>2024</v>
      </c>
      <c r="D510" s="8"/>
      <c r="E510" s="8" t="s">
        <v>2549</v>
      </c>
      <c r="F510" s="20" t="s">
        <v>54</v>
      </c>
      <c r="G510" s="21" t="s">
        <v>53</v>
      </c>
      <c r="H510" s="21" t="s">
        <v>53</v>
      </c>
      <c r="I510" s="21" t="s">
        <v>53</v>
      </c>
      <c r="J510" s="21" t="s">
        <v>53</v>
      </c>
      <c r="K510" s="21" t="s">
        <v>53</v>
      </c>
      <c r="L510" s="22" t="str">
        <f t="shared" si="35"/>
        <v>INCLUDE</v>
      </c>
      <c r="M510" s="22" t="str">
        <f t="shared" si="36"/>
        <v/>
      </c>
      <c r="N510" s="23" t="s">
        <v>64</v>
      </c>
      <c r="O510" s="23" t="s">
        <v>64</v>
      </c>
      <c r="P510" s="24"/>
      <c r="Q510" s="24"/>
      <c r="R510" s="24"/>
      <c r="S510" s="22" t="str">
        <f t="shared" si="37"/>
        <v/>
      </c>
      <c r="T510" s="22" t="str">
        <f t="shared" si="38"/>
        <v/>
      </c>
      <c r="U510" s="25"/>
      <c r="V510" s="25"/>
      <c r="W510" s="25"/>
      <c r="X510" s="25"/>
      <c r="Y510" s="22" t="str">
        <f t="shared" si="39"/>
        <v/>
      </c>
      <c r="Z510" s="25"/>
      <c r="AA510" s="25"/>
      <c r="AB510" s="25"/>
      <c r="AC510" s="25"/>
      <c r="AD510" s="25"/>
      <c r="AE510" s="25"/>
      <c r="AF510" s="25"/>
      <c r="AG510" s="9"/>
      <c r="AH510" s="29"/>
      <c r="AI510" s="29"/>
      <c r="AM510" s="50"/>
      <c r="AN510" s="51" t="s">
        <v>2550</v>
      </c>
      <c r="AO510" s="55" t="s">
        <v>2551</v>
      </c>
    </row>
    <row r="511" spans="1:41" ht="57" hidden="1" x14ac:dyDescent="0.3">
      <c r="A511" s="20">
        <v>507</v>
      </c>
      <c r="B511" s="8" t="s">
        <v>2552</v>
      </c>
      <c r="C511" s="26">
        <v>2022</v>
      </c>
      <c r="D511" s="8"/>
      <c r="E511" s="8" t="s">
        <v>2553</v>
      </c>
      <c r="F511" s="20" t="s">
        <v>54</v>
      </c>
      <c r="G511" s="21" t="s">
        <v>64</v>
      </c>
      <c r="H511" s="21" t="s">
        <v>53</v>
      </c>
      <c r="I511" s="21" t="s">
        <v>53</v>
      </c>
      <c r="J511" s="21" t="s">
        <v>53</v>
      </c>
      <c r="K511" s="21" t="s">
        <v>53</v>
      </c>
      <c r="L511" s="22" t="str">
        <f t="shared" si="35"/>
        <v>EXCLUDE</v>
      </c>
      <c r="M511" s="22" t="str">
        <f t="shared" si="36"/>
        <v>Wrong domain (non-AECO)</v>
      </c>
      <c r="N511" s="23"/>
      <c r="O511" s="23"/>
      <c r="P511" s="24"/>
      <c r="Q511" s="24"/>
      <c r="R511" s="24"/>
      <c r="S511" s="22" t="str">
        <f t="shared" si="37"/>
        <v/>
      </c>
      <c r="T511" s="22" t="str">
        <f t="shared" si="38"/>
        <v/>
      </c>
      <c r="U511" s="25"/>
      <c r="V511" s="25"/>
      <c r="W511" s="25"/>
      <c r="X511" s="25"/>
      <c r="Y511" s="22" t="str">
        <f t="shared" si="39"/>
        <v/>
      </c>
      <c r="Z511" s="25"/>
      <c r="AA511" s="25"/>
      <c r="AB511" s="25"/>
      <c r="AC511" s="25"/>
      <c r="AD511" s="25"/>
      <c r="AE511" s="25"/>
      <c r="AF511" s="25"/>
      <c r="AG511" s="9"/>
      <c r="AH511" s="29"/>
      <c r="AI511" s="29"/>
      <c r="AM511" s="50"/>
      <c r="AN511" s="51" t="s">
        <v>2554</v>
      </c>
      <c r="AO511" s="55" t="s">
        <v>2555</v>
      </c>
    </row>
    <row r="512" spans="1:41" ht="68.400000000000006" hidden="1" x14ac:dyDescent="0.3">
      <c r="A512" s="20">
        <v>508</v>
      </c>
      <c r="B512" s="8" t="s">
        <v>2556</v>
      </c>
      <c r="C512" s="26">
        <v>2024</v>
      </c>
      <c r="D512" s="8"/>
      <c r="E512" s="8" t="s">
        <v>2557</v>
      </c>
      <c r="F512" s="20" t="s">
        <v>54</v>
      </c>
      <c r="G512" s="21" t="s">
        <v>53</v>
      </c>
      <c r="H512" s="21" t="s">
        <v>53</v>
      </c>
      <c r="I512" s="21" t="s">
        <v>64</v>
      </c>
      <c r="J512" s="21" t="s">
        <v>53</v>
      </c>
      <c r="K512" s="21" t="s">
        <v>53</v>
      </c>
      <c r="L512" s="22" t="str">
        <f t="shared" si="35"/>
        <v>EXCLUDE</v>
      </c>
      <c r="M512" s="22" t="str">
        <f t="shared" si="36"/>
        <v>No Design for Safety/Quality/PtD</v>
      </c>
      <c r="N512" s="23"/>
      <c r="O512" s="23"/>
      <c r="P512" s="24"/>
      <c r="Q512" s="24"/>
      <c r="R512" s="24"/>
      <c r="S512" s="22" t="str">
        <f t="shared" si="37"/>
        <v/>
      </c>
      <c r="T512" s="22" t="str">
        <f t="shared" si="38"/>
        <v/>
      </c>
      <c r="U512" s="25"/>
      <c r="V512" s="25"/>
      <c r="W512" s="25"/>
      <c r="X512" s="25"/>
      <c r="Y512" s="22" t="str">
        <f t="shared" si="39"/>
        <v/>
      </c>
      <c r="Z512" s="25"/>
      <c r="AA512" s="25"/>
      <c r="AB512" s="25"/>
      <c r="AC512" s="25"/>
      <c r="AD512" s="25"/>
      <c r="AE512" s="25"/>
      <c r="AF512" s="25"/>
      <c r="AG512" s="9"/>
      <c r="AH512" s="29"/>
      <c r="AI512" s="29"/>
      <c r="AM512" s="50"/>
      <c r="AN512" s="51" t="s">
        <v>2558</v>
      </c>
      <c r="AO512" s="55" t="s">
        <v>2559</v>
      </c>
    </row>
    <row r="513" spans="1:41" ht="68.400000000000006" hidden="1" x14ac:dyDescent="0.3">
      <c r="A513" s="20">
        <v>509</v>
      </c>
      <c r="B513" s="8" t="s">
        <v>2560</v>
      </c>
      <c r="C513" s="26">
        <v>2024</v>
      </c>
      <c r="D513" s="8"/>
      <c r="E513" s="8" t="s">
        <v>2561</v>
      </c>
      <c r="F513" s="20" t="s">
        <v>54</v>
      </c>
      <c r="G513" s="21" t="s">
        <v>64</v>
      </c>
      <c r="H513" s="21" t="s">
        <v>53</v>
      </c>
      <c r="I513" s="21" t="s">
        <v>53</v>
      </c>
      <c r="J513" s="21" t="s">
        <v>53</v>
      </c>
      <c r="K513" s="21" t="s">
        <v>53</v>
      </c>
      <c r="L513" s="22" t="str">
        <f t="shared" si="35"/>
        <v>EXCLUDE</v>
      </c>
      <c r="M513" s="22" t="str">
        <f t="shared" si="36"/>
        <v>Wrong domain (non-AECO)</v>
      </c>
      <c r="N513" s="23"/>
      <c r="O513" s="23"/>
      <c r="P513" s="24"/>
      <c r="Q513" s="24"/>
      <c r="R513" s="24"/>
      <c r="S513" s="22" t="str">
        <f t="shared" si="37"/>
        <v/>
      </c>
      <c r="T513" s="22" t="str">
        <f t="shared" si="38"/>
        <v/>
      </c>
      <c r="U513" s="25"/>
      <c r="V513" s="25"/>
      <c r="W513" s="25"/>
      <c r="X513" s="25"/>
      <c r="Y513" s="22" t="str">
        <f t="shared" si="39"/>
        <v/>
      </c>
      <c r="Z513" s="25"/>
      <c r="AA513" s="25"/>
      <c r="AB513" s="25"/>
      <c r="AC513" s="25"/>
      <c r="AD513" s="25"/>
      <c r="AE513" s="25"/>
      <c r="AF513" s="25"/>
      <c r="AG513" s="9"/>
      <c r="AH513" s="29"/>
      <c r="AI513" s="29"/>
      <c r="AM513" s="50"/>
      <c r="AN513" s="51" t="s">
        <v>2562</v>
      </c>
      <c r="AO513" s="55" t="s">
        <v>2563</v>
      </c>
    </row>
    <row r="514" spans="1:41" ht="102.6" x14ac:dyDescent="0.3">
      <c r="A514" s="20">
        <v>510</v>
      </c>
      <c r="B514" s="8" t="s">
        <v>2564</v>
      </c>
      <c r="C514" s="26">
        <v>2023</v>
      </c>
      <c r="D514" s="8"/>
      <c r="E514" s="8" t="s">
        <v>2565</v>
      </c>
      <c r="F514" s="20" t="s">
        <v>54</v>
      </c>
      <c r="G514" s="21" t="s">
        <v>53</v>
      </c>
      <c r="H514" s="21" t="s">
        <v>53</v>
      </c>
      <c r="I514" s="21" t="s">
        <v>53</v>
      </c>
      <c r="J514" s="21" t="s">
        <v>53</v>
      </c>
      <c r="K514" s="21" t="s">
        <v>53</v>
      </c>
      <c r="L514" s="22" t="str">
        <f t="shared" si="35"/>
        <v>INCLUDE</v>
      </c>
      <c r="M514" s="22" t="str">
        <f t="shared" si="36"/>
        <v/>
      </c>
      <c r="N514" s="23" t="s">
        <v>53</v>
      </c>
      <c r="O514" s="23" t="s">
        <v>53</v>
      </c>
      <c r="P514" s="24" t="s">
        <v>53</v>
      </c>
      <c r="Q514" s="24" t="s">
        <v>53</v>
      </c>
      <c r="R514" s="24" t="s">
        <v>53</v>
      </c>
      <c r="S514" s="22" t="str">
        <f t="shared" si="37"/>
        <v>INCLUDE</v>
      </c>
      <c r="T514" s="22" t="str">
        <f t="shared" si="38"/>
        <v/>
      </c>
      <c r="U514" s="25" t="s">
        <v>67</v>
      </c>
      <c r="V514" s="25">
        <v>0</v>
      </c>
      <c r="W514" s="25">
        <v>1</v>
      </c>
      <c r="X514" s="25">
        <v>0</v>
      </c>
      <c r="Y514" s="22" t="str">
        <f t="shared" si="39"/>
        <v>Single</v>
      </c>
      <c r="Z514" s="25" t="s">
        <v>9</v>
      </c>
      <c r="AA514" s="25" t="s">
        <v>57</v>
      </c>
      <c r="AB514" s="25" t="s">
        <v>58</v>
      </c>
      <c r="AC514" s="25" t="s">
        <v>70</v>
      </c>
      <c r="AD514" s="25" t="s">
        <v>89</v>
      </c>
      <c r="AE514" s="25">
        <v>4</v>
      </c>
      <c r="AF514" s="25" t="s">
        <v>81</v>
      </c>
      <c r="AG514" s="9" t="s">
        <v>2566</v>
      </c>
      <c r="AH514" s="29" t="s">
        <v>2567</v>
      </c>
      <c r="AI514" s="29" t="s">
        <v>2568</v>
      </c>
      <c r="AJ514" t="s">
        <v>82</v>
      </c>
      <c r="AK514" t="s">
        <v>2569</v>
      </c>
      <c r="AL514" t="s">
        <v>63</v>
      </c>
      <c r="AM514" s="50"/>
      <c r="AN514" s="51" t="s">
        <v>2570</v>
      </c>
      <c r="AO514" s="55" t="s">
        <v>2571</v>
      </c>
    </row>
    <row r="515" spans="1:41" ht="79.8" x14ac:dyDescent="0.3">
      <c r="A515" s="20">
        <v>511</v>
      </c>
      <c r="B515" s="8" t="s">
        <v>2572</v>
      </c>
      <c r="C515" s="26">
        <v>2023</v>
      </c>
      <c r="D515" s="8"/>
      <c r="E515" s="8" t="s">
        <v>2573</v>
      </c>
      <c r="F515" s="20" t="s">
        <v>54</v>
      </c>
      <c r="G515" s="21" t="s">
        <v>53</v>
      </c>
      <c r="H515" s="21" t="s">
        <v>53</v>
      </c>
      <c r="I515" s="21" t="s">
        <v>53</v>
      </c>
      <c r="J515" s="21" t="s">
        <v>53</v>
      </c>
      <c r="K515" s="21" t="s">
        <v>53</v>
      </c>
      <c r="L515" s="22" t="str">
        <f t="shared" si="35"/>
        <v>INCLUDE</v>
      </c>
      <c r="M515" s="22" t="str">
        <f t="shared" si="36"/>
        <v/>
      </c>
      <c r="N515" s="23" t="s">
        <v>53</v>
      </c>
      <c r="O515" s="23" t="s">
        <v>53</v>
      </c>
      <c r="P515" s="24" t="s">
        <v>53</v>
      </c>
      <c r="Q515" s="24" t="s">
        <v>53</v>
      </c>
      <c r="R515" s="24" t="s">
        <v>53</v>
      </c>
      <c r="S515" s="22" t="str">
        <f t="shared" si="37"/>
        <v>INCLUDE</v>
      </c>
      <c r="T515" s="22" t="str">
        <f t="shared" si="38"/>
        <v/>
      </c>
      <c r="U515" s="25" t="s">
        <v>67</v>
      </c>
      <c r="V515" s="25">
        <v>0</v>
      </c>
      <c r="W515" s="25">
        <v>1</v>
      </c>
      <c r="X515" s="25">
        <v>0</v>
      </c>
      <c r="Y515" s="22" t="str">
        <f t="shared" si="39"/>
        <v>Single</v>
      </c>
      <c r="Z515" s="25" t="s">
        <v>9</v>
      </c>
      <c r="AA515" s="25" t="s">
        <v>57</v>
      </c>
      <c r="AB515" s="25" t="s">
        <v>100</v>
      </c>
      <c r="AC515" s="25" t="s">
        <v>70</v>
      </c>
      <c r="AD515" s="25" t="s">
        <v>89</v>
      </c>
      <c r="AE515" s="25">
        <v>3</v>
      </c>
      <c r="AF515" s="25" t="s">
        <v>90</v>
      </c>
      <c r="AG515" s="9" t="s">
        <v>2574</v>
      </c>
      <c r="AH515" s="29" t="s">
        <v>2575</v>
      </c>
      <c r="AI515" s="29" t="s">
        <v>2576</v>
      </c>
      <c r="AJ515" t="s">
        <v>91</v>
      </c>
      <c r="AK515" t="s">
        <v>2577</v>
      </c>
      <c r="AL515" t="s">
        <v>74</v>
      </c>
      <c r="AM515" s="50"/>
      <c r="AN515" s="51" t="s">
        <v>2578</v>
      </c>
      <c r="AO515" s="55" t="s">
        <v>2579</v>
      </c>
    </row>
    <row r="516" spans="1:41" ht="57" hidden="1" x14ac:dyDescent="0.3">
      <c r="A516" s="20">
        <v>512</v>
      </c>
      <c r="B516" s="8" t="s">
        <v>2580</v>
      </c>
      <c r="C516" s="26">
        <v>2023</v>
      </c>
      <c r="D516" s="8"/>
      <c r="E516" s="8" t="s">
        <v>2581</v>
      </c>
      <c r="F516" s="20" t="s">
        <v>54</v>
      </c>
      <c r="G516" s="21" t="s">
        <v>53</v>
      </c>
      <c r="H516" s="21" t="s">
        <v>64</v>
      </c>
      <c r="I516" s="21" t="s">
        <v>53</v>
      </c>
      <c r="J516" s="21" t="s">
        <v>53</v>
      </c>
      <c r="K516" s="21" t="s">
        <v>53</v>
      </c>
      <c r="L516" s="22" t="str">
        <f t="shared" si="35"/>
        <v>EXCLUDE</v>
      </c>
      <c r="M516" s="22" t="str">
        <f t="shared" si="36"/>
        <v>Digital Twin not core / buzzword</v>
      </c>
      <c r="N516" s="23"/>
      <c r="O516" s="23"/>
      <c r="P516" s="24"/>
      <c r="Q516" s="24"/>
      <c r="R516" s="24"/>
      <c r="S516" s="22" t="str">
        <f t="shared" si="37"/>
        <v/>
      </c>
      <c r="T516" s="22" t="str">
        <f t="shared" si="38"/>
        <v/>
      </c>
      <c r="U516" s="25"/>
      <c r="V516" s="25"/>
      <c r="W516" s="25"/>
      <c r="X516" s="25"/>
      <c r="Y516" s="22" t="str">
        <f t="shared" si="39"/>
        <v/>
      </c>
      <c r="Z516" s="25"/>
      <c r="AA516" s="25"/>
      <c r="AB516" s="25"/>
      <c r="AC516" s="25"/>
      <c r="AD516" s="25"/>
      <c r="AE516" s="25"/>
      <c r="AF516" s="25"/>
      <c r="AG516" s="9"/>
      <c r="AH516" s="29"/>
      <c r="AI516" s="29"/>
      <c r="AM516" s="50"/>
      <c r="AN516" s="51" t="s">
        <v>2582</v>
      </c>
      <c r="AO516" s="55" t="s">
        <v>2583</v>
      </c>
    </row>
    <row r="517" spans="1:41" ht="91.2" x14ac:dyDescent="0.3">
      <c r="A517" s="20">
        <v>513</v>
      </c>
      <c r="B517" s="8" t="s">
        <v>2584</v>
      </c>
      <c r="C517" s="26">
        <v>2022</v>
      </c>
      <c r="D517" s="8"/>
      <c r="E517" s="8" t="s">
        <v>2585</v>
      </c>
      <c r="F517" s="20" t="s">
        <v>54</v>
      </c>
      <c r="G517" s="21" t="s">
        <v>53</v>
      </c>
      <c r="H517" s="21" t="s">
        <v>53</v>
      </c>
      <c r="I517" s="21" t="s">
        <v>53</v>
      </c>
      <c r="J517" s="21" t="s">
        <v>53</v>
      </c>
      <c r="K517" s="21" t="s">
        <v>53</v>
      </c>
      <c r="L517" s="22" t="str">
        <f t="shared" ref="L517:L580" si="40">IF(COUNTBLANK(G517:K517)=5,"",IF(COUNTIF(G517:K517,"No")&gt;0,"EXCLUDE","INCLUDE"))</f>
        <v>INCLUDE</v>
      </c>
      <c r="M517" s="22" t="str">
        <f t="shared" ref="M517:M580" si="41">IF(L517&lt;&gt;"EXCLUDE","",IF(G517="No","Wrong domain (non-AECO)",IF(H517="No","Digital Twin not core / buzzword",IF(I517="No","No Design for Safety/Quality/PtD",IF(J517="No","Wrong publication type",IF(K517="No","Non-English",""))))))</f>
        <v/>
      </c>
      <c r="N517" s="23" t="s">
        <v>53</v>
      </c>
      <c r="O517" s="23" t="s">
        <v>53</v>
      </c>
      <c r="P517" s="24" t="s">
        <v>53</v>
      </c>
      <c r="Q517" s="24" t="s">
        <v>53</v>
      </c>
      <c r="R517" s="24" t="s">
        <v>53</v>
      </c>
      <c r="S517" s="22" t="str">
        <f t="shared" ref="S517:S580" si="42">IF(N517&lt;&gt;"Yes","",IF(COUNTBLANK(P517:R517)=3,"",IF(COUNTIF(P517:R517,"No")&gt;0,"EXCLUDE","INCLUDE")))</f>
        <v>INCLUDE</v>
      </c>
      <c r="T517" s="22" t="str">
        <f t="shared" ref="T517:T580" si="43">IF(S517&lt;&gt;"EXCLUDE","",IF(P517="No","Digital Twin mentioned only, not the subject",IF(Q517="No","No Design for Safety/Quality in full text",IF(R517="No","Methodology not codable",""))))</f>
        <v/>
      </c>
      <c r="U517" s="25" t="s">
        <v>93</v>
      </c>
      <c r="V517" s="25">
        <v>0</v>
      </c>
      <c r="W517" s="25">
        <v>1</v>
      </c>
      <c r="X517" s="25">
        <v>0</v>
      </c>
      <c r="Y517" s="22" t="str">
        <f t="shared" ref="Y517:Y580" si="44">IF(SUM(V517:X517)=0,"",IF(SUM(V517:X517)&gt;=2,"Multi","Single"))</f>
        <v>Single</v>
      </c>
      <c r="Z517" s="25" t="s">
        <v>9</v>
      </c>
      <c r="AA517" s="25" t="s">
        <v>57</v>
      </c>
      <c r="AB517" s="25" t="s">
        <v>103</v>
      </c>
      <c r="AC517" s="25" t="s">
        <v>70</v>
      </c>
      <c r="AD517" s="25" t="s">
        <v>60</v>
      </c>
      <c r="AE517" s="25">
        <v>2</v>
      </c>
      <c r="AF517" s="25" t="s">
        <v>90</v>
      </c>
      <c r="AG517" s="9" t="s">
        <v>2586</v>
      </c>
      <c r="AH517" s="29" t="s">
        <v>2587</v>
      </c>
      <c r="AI517" s="29" t="s">
        <v>2588</v>
      </c>
      <c r="AJ517" t="s">
        <v>93</v>
      </c>
      <c r="AK517" t="s">
        <v>2589</v>
      </c>
      <c r="AL517" t="s">
        <v>63</v>
      </c>
      <c r="AM517" s="50" t="s">
        <v>213</v>
      </c>
      <c r="AN517" s="51" t="s">
        <v>2590</v>
      </c>
      <c r="AO517" s="55" t="s">
        <v>2591</v>
      </c>
    </row>
    <row r="518" spans="1:41" ht="68.400000000000006" hidden="1" x14ac:dyDescent="0.3">
      <c r="A518" s="20">
        <v>514</v>
      </c>
      <c r="B518" s="8" t="s">
        <v>2592</v>
      </c>
      <c r="C518" s="26">
        <v>2025</v>
      </c>
      <c r="D518" s="8"/>
      <c r="E518" s="8" t="s">
        <v>2593</v>
      </c>
      <c r="F518" s="20" t="s">
        <v>54</v>
      </c>
      <c r="G518" s="21" t="s">
        <v>64</v>
      </c>
      <c r="H518" s="21" t="s">
        <v>53</v>
      </c>
      <c r="I518" s="21" t="s">
        <v>53</v>
      </c>
      <c r="J518" s="21" t="s">
        <v>53</v>
      </c>
      <c r="K518" s="21" t="s">
        <v>53</v>
      </c>
      <c r="L518" s="22" t="str">
        <f t="shared" si="40"/>
        <v>EXCLUDE</v>
      </c>
      <c r="M518" s="22" t="str">
        <f t="shared" si="41"/>
        <v>Wrong domain (non-AECO)</v>
      </c>
      <c r="N518" s="23"/>
      <c r="O518" s="23"/>
      <c r="P518" s="24"/>
      <c r="Q518" s="24"/>
      <c r="R518" s="24"/>
      <c r="S518" s="22" t="str">
        <f t="shared" si="42"/>
        <v/>
      </c>
      <c r="T518" s="22" t="str">
        <f t="shared" si="43"/>
        <v/>
      </c>
      <c r="U518" s="25"/>
      <c r="V518" s="25"/>
      <c r="W518" s="25"/>
      <c r="X518" s="25"/>
      <c r="Y518" s="22" t="str">
        <f t="shared" si="44"/>
        <v/>
      </c>
      <c r="Z518" s="25"/>
      <c r="AA518" s="25"/>
      <c r="AB518" s="25"/>
      <c r="AC518" s="25"/>
      <c r="AD518" s="25"/>
      <c r="AE518" s="25"/>
      <c r="AF518" s="25"/>
      <c r="AG518" s="9"/>
      <c r="AH518" s="29"/>
      <c r="AI518" s="29"/>
      <c r="AM518" s="50"/>
      <c r="AN518" s="51" t="s">
        <v>2594</v>
      </c>
      <c r="AO518" s="55" t="s">
        <v>2595</v>
      </c>
    </row>
    <row r="519" spans="1:41" ht="68.400000000000006" hidden="1" x14ac:dyDescent="0.3">
      <c r="A519" s="20">
        <v>515</v>
      </c>
      <c r="B519" s="8" t="s">
        <v>2596</v>
      </c>
      <c r="C519" s="26">
        <v>2024</v>
      </c>
      <c r="D519" s="8"/>
      <c r="E519" s="8" t="s">
        <v>2597</v>
      </c>
      <c r="F519" s="20" t="s">
        <v>54</v>
      </c>
      <c r="G519" s="21" t="s">
        <v>53</v>
      </c>
      <c r="H519" s="21" t="s">
        <v>64</v>
      </c>
      <c r="I519" s="21" t="s">
        <v>53</v>
      </c>
      <c r="J519" s="21" t="s">
        <v>53</v>
      </c>
      <c r="K519" s="21" t="s">
        <v>53</v>
      </c>
      <c r="L519" s="22" t="str">
        <f t="shared" si="40"/>
        <v>EXCLUDE</v>
      </c>
      <c r="M519" s="22" t="str">
        <f t="shared" si="41"/>
        <v>Digital Twin not core / buzzword</v>
      </c>
      <c r="N519" s="23"/>
      <c r="O519" s="23"/>
      <c r="P519" s="24"/>
      <c r="Q519" s="24"/>
      <c r="R519" s="24"/>
      <c r="S519" s="22" t="str">
        <f t="shared" si="42"/>
        <v/>
      </c>
      <c r="T519" s="22" t="str">
        <f t="shared" si="43"/>
        <v/>
      </c>
      <c r="U519" s="25"/>
      <c r="V519" s="25"/>
      <c r="W519" s="25"/>
      <c r="X519" s="25"/>
      <c r="Y519" s="22" t="str">
        <f t="shared" si="44"/>
        <v/>
      </c>
      <c r="Z519" s="25"/>
      <c r="AA519" s="25"/>
      <c r="AB519" s="25"/>
      <c r="AC519" s="25"/>
      <c r="AD519" s="25"/>
      <c r="AE519" s="25"/>
      <c r="AF519" s="25"/>
      <c r="AG519" s="9"/>
      <c r="AH519" s="29"/>
      <c r="AI519" s="29"/>
      <c r="AM519" s="50"/>
      <c r="AN519" s="51" t="s">
        <v>2598</v>
      </c>
      <c r="AO519" s="55" t="s">
        <v>2599</v>
      </c>
    </row>
    <row r="520" spans="1:41" ht="57" hidden="1" x14ac:dyDescent="0.3">
      <c r="A520" s="20">
        <v>516</v>
      </c>
      <c r="B520" s="8" t="s">
        <v>2600</v>
      </c>
      <c r="C520" s="26">
        <v>2024</v>
      </c>
      <c r="D520" s="8"/>
      <c r="E520" s="8" t="s">
        <v>2601</v>
      </c>
      <c r="F520" s="20" t="s">
        <v>54</v>
      </c>
      <c r="G520" s="21" t="s">
        <v>64</v>
      </c>
      <c r="H520" s="21" t="s">
        <v>53</v>
      </c>
      <c r="I520" s="21" t="s">
        <v>53</v>
      </c>
      <c r="J520" s="21" t="s">
        <v>53</v>
      </c>
      <c r="K520" s="21" t="s">
        <v>53</v>
      </c>
      <c r="L520" s="22" t="str">
        <f t="shared" si="40"/>
        <v>EXCLUDE</v>
      </c>
      <c r="M520" s="22" t="str">
        <f t="shared" si="41"/>
        <v>Wrong domain (non-AECO)</v>
      </c>
      <c r="N520" s="23"/>
      <c r="O520" s="23"/>
      <c r="P520" s="24"/>
      <c r="Q520" s="24"/>
      <c r="R520" s="24"/>
      <c r="S520" s="22" t="str">
        <f t="shared" si="42"/>
        <v/>
      </c>
      <c r="T520" s="22" t="str">
        <f t="shared" si="43"/>
        <v/>
      </c>
      <c r="U520" s="25"/>
      <c r="V520" s="25"/>
      <c r="W520" s="25"/>
      <c r="X520" s="25"/>
      <c r="Y520" s="22" t="str">
        <f t="shared" si="44"/>
        <v/>
      </c>
      <c r="Z520" s="25"/>
      <c r="AA520" s="25"/>
      <c r="AB520" s="25"/>
      <c r="AC520" s="25"/>
      <c r="AD520" s="25"/>
      <c r="AE520" s="25"/>
      <c r="AF520" s="25"/>
      <c r="AG520" s="9"/>
      <c r="AH520" s="29"/>
      <c r="AI520" s="29"/>
      <c r="AM520" s="50"/>
      <c r="AN520" s="51" t="s">
        <v>2602</v>
      </c>
      <c r="AO520" s="55" t="s">
        <v>2603</v>
      </c>
    </row>
    <row r="521" spans="1:41" ht="57" hidden="1" x14ac:dyDescent="0.3">
      <c r="A521" s="20">
        <v>517</v>
      </c>
      <c r="B521" s="8" t="s">
        <v>2604</v>
      </c>
      <c r="C521" s="26">
        <v>2024</v>
      </c>
      <c r="D521" s="8"/>
      <c r="E521" s="8" t="s">
        <v>2605</v>
      </c>
      <c r="F521" s="20" t="s">
        <v>54</v>
      </c>
      <c r="G521" s="21" t="s">
        <v>53</v>
      </c>
      <c r="H521" s="21" t="s">
        <v>53</v>
      </c>
      <c r="I521" s="21" t="s">
        <v>64</v>
      </c>
      <c r="J521" s="21" t="s">
        <v>53</v>
      </c>
      <c r="K521" s="21" t="s">
        <v>53</v>
      </c>
      <c r="L521" s="22" t="str">
        <f t="shared" si="40"/>
        <v>EXCLUDE</v>
      </c>
      <c r="M521" s="22" t="str">
        <f t="shared" si="41"/>
        <v>No Design for Safety/Quality/PtD</v>
      </c>
      <c r="N521" s="23"/>
      <c r="O521" s="23"/>
      <c r="P521" s="24"/>
      <c r="Q521" s="24"/>
      <c r="R521" s="24"/>
      <c r="S521" s="22" t="str">
        <f t="shared" si="42"/>
        <v/>
      </c>
      <c r="T521" s="22" t="str">
        <f t="shared" si="43"/>
        <v/>
      </c>
      <c r="U521" s="25"/>
      <c r="V521" s="25"/>
      <c r="W521" s="25"/>
      <c r="X521" s="25"/>
      <c r="Y521" s="22" t="str">
        <f t="shared" si="44"/>
        <v/>
      </c>
      <c r="Z521" s="25"/>
      <c r="AA521" s="25"/>
      <c r="AB521" s="25"/>
      <c r="AC521" s="25"/>
      <c r="AD521" s="25"/>
      <c r="AE521" s="25"/>
      <c r="AF521" s="25"/>
      <c r="AG521" s="9"/>
      <c r="AH521" s="29"/>
      <c r="AI521" s="29"/>
      <c r="AM521" s="50"/>
      <c r="AN521" s="51" t="s">
        <v>2606</v>
      </c>
      <c r="AO521" s="55" t="s">
        <v>2607</v>
      </c>
    </row>
    <row r="522" spans="1:41" ht="79.8" hidden="1" x14ac:dyDescent="0.3">
      <c r="A522" s="20">
        <v>518</v>
      </c>
      <c r="B522" s="8" t="s">
        <v>2608</v>
      </c>
      <c r="C522" s="26">
        <v>2023</v>
      </c>
      <c r="D522" s="8"/>
      <c r="E522" s="8" t="s">
        <v>2609</v>
      </c>
      <c r="F522" s="20" t="s">
        <v>54</v>
      </c>
      <c r="G522" s="21" t="s">
        <v>53</v>
      </c>
      <c r="H522" s="21" t="s">
        <v>64</v>
      </c>
      <c r="I522" s="21" t="s">
        <v>53</v>
      </c>
      <c r="J522" s="21" t="s">
        <v>53</v>
      </c>
      <c r="K522" s="21" t="s">
        <v>53</v>
      </c>
      <c r="L522" s="22" t="str">
        <f t="shared" si="40"/>
        <v>EXCLUDE</v>
      </c>
      <c r="M522" s="22" t="str">
        <f t="shared" si="41"/>
        <v>Digital Twin not core / buzzword</v>
      </c>
      <c r="N522" s="23"/>
      <c r="O522" s="23"/>
      <c r="P522" s="24"/>
      <c r="Q522" s="24"/>
      <c r="R522" s="24"/>
      <c r="S522" s="22" t="str">
        <f t="shared" si="42"/>
        <v/>
      </c>
      <c r="T522" s="22" t="str">
        <f t="shared" si="43"/>
        <v/>
      </c>
      <c r="U522" s="25"/>
      <c r="V522" s="25"/>
      <c r="W522" s="25"/>
      <c r="X522" s="25"/>
      <c r="Y522" s="22" t="str">
        <f t="shared" si="44"/>
        <v/>
      </c>
      <c r="Z522" s="25"/>
      <c r="AA522" s="25"/>
      <c r="AB522" s="25"/>
      <c r="AC522" s="25"/>
      <c r="AD522" s="25"/>
      <c r="AE522" s="25"/>
      <c r="AF522" s="25"/>
      <c r="AG522" s="9"/>
      <c r="AH522" s="29"/>
      <c r="AI522" s="29"/>
      <c r="AM522" s="50"/>
      <c r="AN522" s="51" t="s">
        <v>2610</v>
      </c>
      <c r="AO522" s="55" t="s">
        <v>2611</v>
      </c>
    </row>
    <row r="523" spans="1:41" ht="45.6" hidden="1" x14ac:dyDescent="0.3">
      <c r="A523" s="20">
        <v>519</v>
      </c>
      <c r="B523" s="8" t="s">
        <v>2612</v>
      </c>
      <c r="C523" s="26">
        <v>2023</v>
      </c>
      <c r="D523" s="8"/>
      <c r="E523" s="8" t="s">
        <v>2613</v>
      </c>
      <c r="F523" s="20" t="s">
        <v>54</v>
      </c>
      <c r="G523" s="21" t="s">
        <v>64</v>
      </c>
      <c r="H523" s="21" t="s">
        <v>53</v>
      </c>
      <c r="I523" s="21" t="s">
        <v>53</v>
      </c>
      <c r="J523" s="21" t="s">
        <v>53</v>
      </c>
      <c r="K523" s="21" t="s">
        <v>53</v>
      </c>
      <c r="L523" s="22" t="str">
        <f t="shared" si="40"/>
        <v>EXCLUDE</v>
      </c>
      <c r="M523" s="22" t="str">
        <f t="shared" si="41"/>
        <v>Wrong domain (non-AECO)</v>
      </c>
      <c r="N523" s="23"/>
      <c r="O523" s="23"/>
      <c r="P523" s="24"/>
      <c r="Q523" s="24"/>
      <c r="R523" s="24"/>
      <c r="S523" s="22" t="str">
        <f t="shared" si="42"/>
        <v/>
      </c>
      <c r="T523" s="22" t="str">
        <f t="shared" si="43"/>
        <v/>
      </c>
      <c r="U523" s="25"/>
      <c r="V523" s="25"/>
      <c r="W523" s="25"/>
      <c r="X523" s="25"/>
      <c r="Y523" s="22" t="str">
        <f t="shared" si="44"/>
        <v/>
      </c>
      <c r="Z523" s="25"/>
      <c r="AA523" s="25"/>
      <c r="AB523" s="25"/>
      <c r="AC523" s="25"/>
      <c r="AD523" s="25"/>
      <c r="AE523" s="25"/>
      <c r="AF523" s="25"/>
      <c r="AG523" s="9"/>
      <c r="AH523" s="29"/>
      <c r="AI523" s="29"/>
      <c r="AM523" s="50"/>
      <c r="AN523" s="51" t="s">
        <v>2614</v>
      </c>
      <c r="AO523" s="55" t="s">
        <v>2615</v>
      </c>
    </row>
    <row r="524" spans="1:41" ht="34.200000000000003" hidden="1" x14ac:dyDescent="0.3">
      <c r="A524" s="20">
        <v>520</v>
      </c>
      <c r="B524" s="8" t="s">
        <v>2616</v>
      </c>
      <c r="C524" s="26">
        <v>2021</v>
      </c>
      <c r="D524" s="8"/>
      <c r="E524" s="8" t="s">
        <v>2617</v>
      </c>
      <c r="F524" s="20" t="s">
        <v>54</v>
      </c>
      <c r="G524" s="21" t="s">
        <v>64</v>
      </c>
      <c r="H524" s="21" t="s">
        <v>53</v>
      </c>
      <c r="I524" s="21" t="s">
        <v>53</v>
      </c>
      <c r="J524" s="21" t="s">
        <v>53</v>
      </c>
      <c r="K524" s="21" t="s">
        <v>53</v>
      </c>
      <c r="L524" s="22" t="str">
        <f t="shared" si="40"/>
        <v>EXCLUDE</v>
      </c>
      <c r="M524" s="22" t="str">
        <f t="shared" si="41"/>
        <v>Wrong domain (non-AECO)</v>
      </c>
      <c r="N524" s="23"/>
      <c r="O524" s="23"/>
      <c r="P524" s="24"/>
      <c r="Q524" s="24"/>
      <c r="R524" s="24"/>
      <c r="S524" s="22" t="str">
        <f t="shared" si="42"/>
        <v/>
      </c>
      <c r="T524" s="22" t="str">
        <f t="shared" si="43"/>
        <v/>
      </c>
      <c r="U524" s="25"/>
      <c r="V524" s="25"/>
      <c r="W524" s="25"/>
      <c r="X524" s="25"/>
      <c r="Y524" s="22" t="str">
        <f t="shared" si="44"/>
        <v/>
      </c>
      <c r="Z524" s="25"/>
      <c r="AA524" s="25"/>
      <c r="AB524" s="25"/>
      <c r="AC524" s="25"/>
      <c r="AD524" s="25"/>
      <c r="AE524" s="25"/>
      <c r="AF524" s="25"/>
      <c r="AG524" s="9"/>
      <c r="AH524" s="29"/>
      <c r="AI524" s="29"/>
      <c r="AM524" s="50"/>
      <c r="AN524" s="51" t="s">
        <v>2618</v>
      </c>
      <c r="AO524" s="55" t="s">
        <v>2619</v>
      </c>
    </row>
    <row r="525" spans="1:41" ht="45.6" hidden="1" x14ac:dyDescent="0.3">
      <c r="A525" s="20">
        <v>521</v>
      </c>
      <c r="B525" s="8" t="s">
        <v>2620</v>
      </c>
      <c r="C525" s="26">
        <v>2024</v>
      </c>
      <c r="D525" s="8"/>
      <c r="E525" s="8" t="s">
        <v>2621</v>
      </c>
      <c r="F525" s="20" t="s">
        <v>54</v>
      </c>
      <c r="G525" s="21" t="s">
        <v>64</v>
      </c>
      <c r="H525" s="21" t="s">
        <v>53</v>
      </c>
      <c r="I525" s="21" t="s">
        <v>53</v>
      </c>
      <c r="J525" s="21" t="s">
        <v>53</v>
      </c>
      <c r="K525" s="21" t="s">
        <v>53</v>
      </c>
      <c r="L525" s="22" t="str">
        <f t="shared" si="40"/>
        <v>EXCLUDE</v>
      </c>
      <c r="M525" s="22" t="str">
        <f t="shared" si="41"/>
        <v>Wrong domain (non-AECO)</v>
      </c>
      <c r="N525" s="23"/>
      <c r="O525" s="23"/>
      <c r="P525" s="24"/>
      <c r="Q525" s="24"/>
      <c r="R525" s="24"/>
      <c r="S525" s="22" t="str">
        <f t="shared" si="42"/>
        <v/>
      </c>
      <c r="T525" s="22" t="str">
        <f t="shared" si="43"/>
        <v/>
      </c>
      <c r="U525" s="25"/>
      <c r="V525" s="25"/>
      <c r="W525" s="25"/>
      <c r="X525" s="25"/>
      <c r="Y525" s="22" t="str">
        <f t="shared" si="44"/>
        <v/>
      </c>
      <c r="Z525" s="25"/>
      <c r="AA525" s="25"/>
      <c r="AB525" s="25"/>
      <c r="AC525" s="25"/>
      <c r="AD525" s="25"/>
      <c r="AE525" s="25"/>
      <c r="AF525" s="25"/>
      <c r="AG525" s="9"/>
      <c r="AH525" s="29"/>
      <c r="AI525" s="29"/>
      <c r="AM525" s="50"/>
      <c r="AN525" s="51" t="s">
        <v>2622</v>
      </c>
      <c r="AO525" s="55" t="s">
        <v>2623</v>
      </c>
    </row>
    <row r="526" spans="1:41" ht="45.6" hidden="1" x14ac:dyDescent="0.3">
      <c r="A526" s="20">
        <v>522</v>
      </c>
      <c r="B526" s="8" t="s">
        <v>2624</v>
      </c>
      <c r="C526" s="26">
        <v>2020</v>
      </c>
      <c r="D526" s="8"/>
      <c r="E526" s="8" t="s">
        <v>2625</v>
      </c>
      <c r="F526" s="20" t="s">
        <v>54</v>
      </c>
      <c r="G526" s="21" t="s">
        <v>64</v>
      </c>
      <c r="H526" s="21" t="s">
        <v>53</v>
      </c>
      <c r="I526" s="21" t="s">
        <v>53</v>
      </c>
      <c r="J526" s="21" t="s">
        <v>53</v>
      </c>
      <c r="K526" s="21" t="s">
        <v>53</v>
      </c>
      <c r="L526" s="22" t="str">
        <f t="shared" si="40"/>
        <v>EXCLUDE</v>
      </c>
      <c r="M526" s="22" t="str">
        <f t="shared" si="41"/>
        <v>Wrong domain (non-AECO)</v>
      </c>
      <c r="N526" s="23"/>
      <c r="O526" s="23"/>
      <c r="P526" s="24"/>
      <c r="Q526" s="24"/>
      <c r="R526" s="24"/>
      <c r="S526" s="22" t="str">
        <f t="shared" si="42"/>
        <v/>
      </c>
      <c r="T526" s="22" t="str">
        <f t="shared" si="43"/>
        <v/>
      </c>
      <c r="U526" s="25"/>
      <c r="V526" s="25"/>
      <c r="W526" s="25"/>
      <c r="X526" s="25"/>
      <c r="Y526" s="22" t="str">
        <f t="shared" si="44"/>
        <v/>
      </c>
      <c r="Z526" s="25"/>
      <c r="AA526" s="25"/>
      <c r="AB526" s="25"/>
      <c r="AC526" s="25"/>
      <c r="AD526" s="25"/>
      <c r="AE526" s="25"/>
      <c r="AF526" s="25"/>
      <c r="AG526" s="9"/>
      <c r="AH526" s="29"/>
      <c r="AI526" s="29"/>
      <c r="AM526" s="50"/>
      <c r="AN526" s="51" t="s">
        <v>2626</v>
      </c>
      <c r="AO526" s="55" t="s">
        <v>2627</v>
      </c>
    </row>
    <row r="527" spans="1:41" ht="79.8" hidden="1" x14ac:dyDescent="0.3">
      <c r="A527" s="20">
        <v>523</v>
      </c>
      <c r="B527" s="8" t="s">
        <v>2628</v>
      </c>
      <c r="C527" s="26">
        <v>2022</v>
      </c>
      <c r="D527" s="8"/>
      <c r="E527" s="8" t="s">
        <v>2629</v>
      </c>
      <c r="F527" s="20" t="s">
        <v>54</v>
      </c>
      <c r="G527" s="21" t="s">
        <v>64</v>
      </c>
      <c r="H527" s="21" t="s">
        <v>53</v>
      </c>
      <c r="I527" s="21" t="s">
        <v>53</v>
      </c>
      <c r="J527" s="21" t="s">
        <v>53</v>
      </c>
      <c r="K527" s="21" t="s">
        <v>53</v>
      </c>
      <c r="L527" s="22" t="str">
        <f t="shared" si="40"/>
        <v>EXCLUDE</v>
      </c>
      <c r="M527" s="22" t="str">
        <f t="shared" si="41"/>
        <v>Wrong domain (non-AECO)</v>
      </c>
      <c r="N527" s="23"/>
      <c r="O527" s="23"/>
      <c r="P527" s="24"/>
      <c r="Q527" s="24"/>
      <c r="R527" s="24"/>
      <c r="S527" s="22" t="str">
        <f t="shared" si="42"/>
        <v/>
      </c>
      <c r="T527" s="22" t="str">
        <f t="shared" si="43"/>
        <v/>
      </c>
      <c r="U527" s="25"/>
      <c r="V527" s="25"/>
      <c r="W527" s="25"/>
      <c r="X527" s="25"/>
      <c r="Y527" s="22" t="str">
        <f t="shared" si="44"/>
        <v/>
      </c>
      <c r="Z527" s="25"/>
      <c r="AA527" s="25"/>
      <c r="AB527" s="25"/>
      <c r="AC527" s="25"/>
      <c r="AD527" s="25"/>
      <c r="AE527" s="25"/>
      <c r="AF527" s="25"/>
      <c r="AG527" s="9"/>
      <c r="AH527" s="29"/>
      <c r="AI527" s="29"/>
      <c r="AM527" s="50"/>
      <c r="AN527" s="51" t="s">
        <v>2630</v>
      </c>
      <c r="AO527" s="55" t="s">
        <v>2631</v>
      </c>
    </row>
    <row r="528" spans="1:41" ht="79.8" hidden="1" x14ac:dyDescent="0.3">
      <c r="A528" s="20">
        <v>524</v>
      </c>
      <c r="B528" s="8" t="s">
        <v>2632</v>
      </c>
      <c r="C528" s="26">
        <v>2023</v>
      </c>
      <c r="D528" s="8"/>
      <c r="E528" s="8" t="s">
        <v>2633</v>
      </c>
      <c r="F528" s="20" t="s">
        <v>54</v>
      </c>
      <c r="G528" s="21" t="s">
        <v>53</v>
      </c>
      <c r="H528" s="21" t="s">
        <v>64</v>
      </c>
      <c r="I528" s="21" t="s">
        <v>53</v>
      </c>
      <c r="J528" s="21" t="s">
        <v>53</v>
      </c>
      <c r="K528" s="21" t="s">
        <v>53</v>
      </c>
      <c r="L528" s="22" t="str">
        <f t="shared" si="40"/>
        <v>EXCLUDE</v>
      </c>
      <c r="M528" s="22" t="str">
        <f t="shared" si="41"/>
        <v>Digital Twin not core / buzzword</v>
      </c>
      <c r="N528" s="23"/>
      <c r="O528" s="23"/>
      <c r="P528" s="24"/>
      <c r="Q528" s="24"/>
      <c r="R528" s="24"/>
      <c r="S528" s="22" t="str">
        <f t="shared" si="42"/>
        <v/>
      </c>
      <c r="T528" s="22" t="str">
        <f t="shared" si="43"/>
        <v/>
      </c>
      <c r="U528" s="25"/>
      <c r="V528" s="25"/>
      <c r="W528" s="25"/>
      <c r="X528" s="25"/>
      <c r="Y528" s="22" t="str">
        <f t="shared" si="44"/>
        <v/>
      </c>
      <c r="Z528" s="25"/>
      <c r="AA528" s="25"/>
      <c r="AB528" s="25"/>
      <c r="AC528" s="25"/>
      <c r="AD528" s="25"/>
      <c r="AE528" s="25"/>
      <c r="AF528" s="25"/>
      <c r="AG528" s="9"/>
      <c r="AH528" s="29"/>
      <c r="AI528" s="29"/>
      <c r="AM528" s="50"/>
      <c r="AN528" s="51" t="s">
        <v>2634</v>
      </c>
      <c r="AO528" s="55" t="s">
        <v>2635</v>
      </c>
    </row>
    <row r="529" spans="1:41" ht="91.2" x14ac:dyDescent="0.3">
      <c r="A529" s="20">
        <v>525</v>
      </c>
      <c r="B529" s="8" t="s">
        <v>2636</v>
      </c>
      <c r="C529" s="26">
        <v>2025</v>
      </c>
      <c r="D529" s="8"/>
      <c r="E529" s="8" t="s">
        <v>2637</v>
      </c>
      <c r="F529" s="20" t="s">
        <v>54</v>
      </c>
      <c r="G529" s="21" t="s">
        <v>53</v>
      </c>
      <c r="H529" s="21" t="s">
        <v>53</v>
      </c>
      <c r="I529" s="21" t="s">
        <v>53</v>
      </c>
      <c r="J529" s="21" t="s">
        <v>53</v>
      </c>
      <c r="K529" s="21" t="s">
        <v>53</v>
      </c>
      <c r="L529" s="22" t="str">
        <f t="shared" si="40"/>
        <v>INCLUDE</v>
      </c>
      <c r="M529" s="22" t="str">
        <f t="shared" si="41"/>
        <v/>
      </c>
      <c r="N529" s="23" t="s">
        <v>53</v>
      </c>
      <c r="O529" s="23" t="s">
        <v>53</v>
      </c>
      <c r="P529" s="24" t="s">
        <v>53</v>
      </c>
      <c r="Q529" s="24" t="s">
        <v>53</v>
      </c>
      <c r="R529" s="24" t="s">
        <v>53</v>
      </c>
      <c r="S529" s="22" t="str">
        <f t="shared" si="42"/>
        <v>INCLUDE</v>
      </c>
      <c r="T529" s="22" t="str">
        <f t="shared" si="43"/>
        <v/>
      </c>
      <c r="U529" s="25" t="s">
        <v>67</v>
      </c>
      <c r="V529" s="25">
        <v>0</v>
      </c>
      <c r="W529" s="25">
        <v>0</v>
      </c>
      <c r="X529" s="25">
        <v>1</v>
      </c>
      <c r="Y529" s="22" t="str">
        <f t="shared" si="44"/>
        <v>Single</v>
      </c>
      <c r="Z529" s="25" t="s">
        <v>9</v>
      </c>
      <c r="AA529" s="25" t="s">
        <v>57</v>
      </c>
      <c r="AB529" s="25" t="s">
        <v>104</v>
      </c>
      <c r="AC529" s="25" t="s">
        <v>70</v>
      </c>
      <c r="AD529" s="25" t="s">
        <v>89</v>
      </c>
      <c r="AE529" s="25">
        <v>4</v>
      </c>
      <c r="AF529" s="25" t="s">
        <v>96</v>
      </c>
      <c r="AG529" s="9" t="s">
        <v>2638</v>
      </c>
      <c r="AH529" s="29" t="s">
        <v>2639</v>
      </c>
      <c r="AI529" s="29" t="s">
        <v>2640</v>
      </c>
      <c r="AJ529" t="s">
        <v>91</v>
      </c>
      <c r="AK529" t="s">
        <v>2641</v>
      </c>
      <c r="AL529" t="s">
        <v>63</v>
      </c>
      <c r="AM529" s="50"/>
      <c r="AN529" s="51" t="s">
        <v>2642</v>
      </c>
      <c r="AO529" s="55" t="s">
        <v>2643</v>
      </c>
    </row>
    <row r="530" spans="1:41" ht="57" hidden="1" x14ac:dyDescent="0.3">
      <c r="A530" s="20">
        <v>526</v>
      </c>
      <c r="B530" s="8" t="s">
        <v>2644</v>
      </c>
      <c r="C530" s="26">
        <v>2024</v>
      </c>
      <c r="D530" s="8"/>
      <c r="E530" s="8" t="s">
        <v>2645</v>
      </c>
      <c r="F530" s="20" t="s">
        <v>54</v>
      </c>
      <c r="G530" s="21" t="s">
        <v>53</v>
      </c>
      <c r="H530" s="21" t="s">
        <v>53</v>
      </c>
      <c r="I530" s="21" t="s">
        <v>53</v>
      </c>
      <c r="J530" s="21" t="s">
        <v>53</v>
      </c>
      <c r="K530" s="21" t="s">
        <v>53</v>
      </c>
      <c r="L530" s="22" t="str">
        <f t="shared" si="40"/>
        <v>INCLUDE</v>
      </c>
      <c r="M530" s="22" t="str">
        <f t="shared" si="41"/>
        <v/>
      </c>
      <c r="N530" s="23" t="s">
        <v>64</v>
      </c>
      <c r="O530" s="23" t="s">
        <v>64</v>
      </c>
      <c r="P530" s="24"/>
      <c r="Q530" s="24"/>
      <c r="R530" s="24"/>
      <c r="S530" s="22" t="str">
        <f t="shared" si="42"/>
        <v/>
      </c>
      <c r="T530" s="22" t="str">
        <f t="shared" si="43"/>
        <v/>
      </c>
      <c r="U530" s="25"/>
      <c r="V530" s="25"/>
      <c r="W530" s="25"/>
      <c r="X530" s="25"/>
      <c r="Y530" s="22" t="str">
        <f t="shared" si="44"/>
        <v/>
      </c>
      <c r="Z530" s="25"/>
      <c r="AA530" s="25"/>
      <c r="AB530" s="25"/>
      <c r="AC530" s="25"/>
      <c r="AD530" s="25"/>
      <c r="AE530" s="25"/>
      <c r="AF530" s="25"/>
      <c r="AG530" s="9"/>
      <c r="AH530" s="29"/>
      <c r="AI530" s="29"/>
      <c r="AM530" s="50"/>
      <c r="AN530" s="51" t="s">
        <v>2646</v>
      </c>
      <c r="AO530" s="55" t="s">
        <v>2647</v>
      </c>
    </row>
    <row r="531" spans="1:41" ht="57" hidden="1" x14ac:dyDescent="0.3">
      <c r="A531" s="20">
        <v>527</v>
      </c>
      <c r="B531" s="8" t="s">
        <v>2648</v>
      </c>
      <c r="C531" s="26">
        <v>2021</v>
      </c>
      <c r="D531" s="8"/>
      <c r="E531" s="8" t="s">
        <v>2649</v>
      </c>
      <c r="F531" s="20" t="s">
        <v>54</v>
      </c>
      <c r="G531" s="21" t="s">
        <v>64</v>
      </c>
      <c r="H531" s="21" t="s">
        <v>53</v>
      </c>
      <c r="I531" s="21" t="s">
        <v>53</v>
      </c>
      <c r="J531" s="21" t="s">
        <v>53</v>
      </c>
      <c r="K531" s="21" t="s">
        <v>53</v>
      </c>
      <c r="L531" s="22" t="str">
        <f t="shared" si="40"/>
        <v>EXCLUDE</v>
      </c>
      <c r="M531" s="22" t="str">
        <f t="shared" si="41"/>
        <v>Wrong domain (non-AECO)</v>
      </c>
      <c r="N531" s="23"/>
      <c r="O531" s="23"/>
      <c r="P531" s="24"/>
      <c r="Q531" s="24"/>
      <c r="R531" s="24"/>
      <c r="S531" s="22" t="str">
        <f t="shared" si="42"/>
        <v/>
      </c>
      <c r="T531" s="22" t="str">
        <f t="shared" si="43"/>
        <v/>
      </c>
      <c r="U531" s="25"/>
      <c r="V531" s="25"/>
      <c r="W531" s="25"/>
      <c r="X531" s="25"/>
      <c r="Y531" s="22" t="str">
        <f t="shared" si="44"/>
        <v/>
      </c>
      <c r="Z531" s="25"/>
      <c r="AA531" s="25"/>
      <c r="AB531" s="25"/>
      <c r="AC531" s="25"/>
      <c r="AD531" s="25"/>
      <c r="AE531" s="25"/>
      <c r="AF531" s="25"/>
      <c r="AG531" s="9"/>
      <c r="AH531" s="29"/>
      <c r="AI531" s="29"/>
      <c r="AM531" s="50"/>
      <c r="AN531" s="51" t="s">
        <v>2650</v>
      </c>
      <c r="AO531" s="55" t="s">
        <v>2651</v>
      </c>
    </row>
    <row r="532" spans="1:41" ht="45.6" hidden="1" x14ac:dyDescent="0.3">
      <c r="A532" s="20">
        <v>528</v>
      </c>
      <c r="B532" s="8" t="s">
        <v>2652</v>
      </c>
      <c r="C532" s="26">
        <v>2025</v>
      </c>
      <c r="D532" s="8"/>
      <c r="E532" s="8" t="s">
        <v>2653</v>
      </c>
      <c r="F532" s="20" t="s">
        <v>54</v>
      </c>
      <c r="G532" s="21" t="s">
        <v>53</v>
      </c>
      <c r="H532" s="21" t="s">
        <v>64</v>
      </c>
      <c r="I532" s="21" t="s">
        <v>53</v>
      </c>
      <c r="J532" s="21" t="s">
        <v>53</v>
      </c>
      <c r="K532" s="21" t="s">
        <v>53</v>
      </c>
      <c r="L532" s="22" t="str">
        <f t="shared" si="40"/>
        <v>EXCLUDE</v>
      </c>
      <c r="M532" s="22" t="str">
        <f t="shared" si="41"/>
        <v>Digital Twin not core / buzzword</v>
      </c>
      <c r="N532" s="23"/>
      <c r="O532" s="23"/>
      <c r="P532" s="24"/>
      <c r="Q532" s="24"/>
      <c r="R532" s="24"/>
      <c r="S532" s="22" t="str">
        <f t="shared" si="42"/>
        <v/>
      </c>
      <c r="T532" s="22" t="str">
        <f t="shared" si="43"/>
        <v/>
      </c>
      <c r="U532" s="25"/>
      <c r="V532" s="25"/>
      <c r="W532" s="25"/>
      <c r="X532" s="25"/>
      <c r="Y532" s="22" t="str">
        <f t="shared" si="44"/>
        <v/>
      </c>
      <c r="Z532" s="25"/>
      <c r="AA532" s="25"/>
      <c r="AB532" s="25"/>
      <c r="AC532" s="25"/>
      <c r="AD532" s="25"/>
      <c r="AE532" s="25"/>
      <c r="AF532" s="25"/>
      <c r="AG532" s="9"/>
      <c r="AH532" s="29"/>
      <c r="AI532" s="29"/>
      <c r="AM532" s="50"/>
      <c r="AN532" s="51" t="s">
        <v>2654</v>
      </c>
      <c r="AO532" s="55" t="s">
        <v>2655</v>
      </c>
    </row>
    <row r="533" spans="1:41" ht="91.2" x14ac:dyDescent="0.3">
      <c r="A533" s="20">
        <v>529</v>
      </c>
      <c r="B533" s="8" t="s">
        <v>2656</v>
      </c>
      <c r="C533" s="26">
        <v>2023</v>
      </c>
      <c r="D533" s="8"/>
      <c r="E533" s="8" t="s">
        <v>2657</v>
      </c>
      <c r="F533" s="20" t="s">
        <v>54</v>
      </c>
      <c r="G533" s="21" t="s">
        <v>53</v>
      </c>
      <c r="H533" s="21" t="s">
        <v>53</v>
      </c>
      <c r="I533" s="21" t="s">
        <v>53</v>
      </c>
      <c r="J533" s="21" t="s">
        <v>53</v>
      </c>
      <c r="K533" s="21" t="s">
        <v>53</v>
      </c>
      <c r="L533" s="22" t="str">
        <f t="shared" si="40"/>
        <v>INCLUDE</v>
      </c>
      <c r="M533" s="22" t="str">
        <f t="shared" si="41"/>
        <v/>
      </c>
      <c r="N533" s="23" t="s">
        <v>53</v>
      </c>
      <c r="O533" s="23" t="s">
        <v>53</v>
      </c>
      <c r="P533" s="24" t="s">
        <v>53</v>
      </c>
      <c r="Q533" s="24" t="s">
        <v>53</v>
      </c>
      <c r="R533" s="24" t="s">
        <v>53</v>
      </c>
      <c r="S533" s="22" t="str">
        <f t="shared" si="42"/>
        <v>INCLUDE</v>
      </c>
      <c r="T533" s="22" t="str">
        <f t="shared" si="43"/>
        <v/>
      </c>
      <c r="U533" s="25" t="s">
        <v>67</v>
      </c>
      <c r="V533" s="25">
        <v>0</v>
      </c>
      <c r="W533" s="25">
        <v>0</v>
      </c>
      <c r="X533" s="25">
        <v>1</v>
      </c>
      <c r="Y533" s="22" t="str">
        <f t="shared" si="44"/>
        <v>Single</v>
      </c>
      <c r="Z533" s="25" t="s">
        <v>9</v>
      </c>
      <c r="AA533" s="25" t="s">
        <v>57</v>
      </c>
      <c r="AB533" s="25" t="s">
        <v>100</v>
      </c>
      <c r="AC533" s="25" t="s">
        <v>70</v>
      </c>
      <c r="AD533" s="25" t="s">
        <v>71</v>
      </c>
      <c r="AE533" s="25">
        <v>3</v>
      </c>
      <c r="AF533" s="25" t="s">
        <v>96</v>
      </c>
      <c r="AG533" s="9" t="s">
        <v>2658</v>
      </c>
      <c r="AH533" s="29" t="s">
        <v>2659</v>
      </c>
      <c r="AI533" s="29" t="s">
        <v>2660</v>
      </c>
      <c r="AJ533" t="s">
        <v>91</v>
      </c>
      <c r="AK533" t="s">
        <v>2661</v>
      </c>
      <c r="AL533" t="s">
        <v>74</v>
      </c>
      <c r="AM533" s="50"/>
      <c r="AN533" s="51" t="s">
        <v>2662</v>
      </c>
      <c r="AO533" s="55" t="s">
        <v>2663</v>
      </c>
    </row>
    <row r="534" spans="1:41" ht="34.200000000000003" hidden="1" x14ac:dyDescent="0.3">
      <c r="A534" s="20">
        <v>530</v>
      </c>
      <c r="B534" s="8" t="s">
        <v>2664</v>
      </c>
      <c r="C534" s="26">
        <v>2020</v>
      </c>
      <c r="D534" s="8"/>
      <c r="E534" s="8" t="s">
        <v>2665</v>
      </c>
      <c r="F534" s="20" t="s">
        <v>54</v>
      </c>
      <c r="G534" s="21" t="s">
        <v>64</v>
      </c>
      <c r="H534" s="21" t="s">
        <v>53</v>
      </c>
      <c r="I534" s="21" t="s">
        <v>53</v>
      </c>
      <c r="J534" s="21" t="s">
        <v>53</v>
      </c>
      <c r="K534" s="21" t="s">
        <v>53</v>
      </c>
      <c r="L534" s="22" t="str">
        <f t="shared" si="40"/>
        <v>EXCLUDE</v>
      </c>
      <c r="M534" s="22" t="str">
        <f t="shared" si="41"/>
        <v>Wrong domain (non-AECO)</v>
      </c>
      <c r="N534" s="23"/>
      <c r="O534" s="23"/>
      <c r="P534" s="24"/>
      <c r="Q534" s="24"/>
      <c r="R534" s="24"/>
      <c r="S534" s="22" t="str">
        <f t="shared" si="42"/>
        <v/>
      </c>
      <c r="T534" s="22" t="str">
        <f t="shared" si="43"/>
        <v/>
      </c>
      <c r="U534" s="25"/>
      <c r="V534" s="25"/>
      <c r="W534" s="25"/>
      <c r="X534" s="25"/>
      <c r="Y534" s="22" t="str">
        <f t="shared" si="44"/>
        <v/>
      </c>
      <c r="Z534" s="25"/>
      <c r="AA534" s="25"/>
      <c r="AB534" s="25"/>
      <c r="AC534" s="25"/>
      <c r="AD534" s="25"/>
      <c r="AE534" s="25"/>
      <c r="AF534" s="25"/>
      <c r="AG534" s="9"/>
      <c r="AH534" s="29"/>
      <c r="AI534" s="29"/>
      <c r="AM534" s="50"/>
      <c r="AN534" s="51" t="s">
        <v>2666</v>
      </c>
      <c r="AO534" s="55" t="s">
        <v>2667</v>
      </c>
    </row>
    <row r="535" spans="1:41" ht="57" hidden="1" x14ac:dyDescent="0.3">
      <c r="A535" s="20">
        <v>531</v>
      </c>
      <c r="B535" s="8" t="s">
        <v>2668</v>
      </c>
      <c r="C535" s="26">
        <v>2025</v>
      </c>
      <c r="D535" s="8"/>
      <c r="E535" s="8" t="s">
        <v>2669</v>
      </c>
      <c r="F535" s="20" t="s">
        <v>54</v>
      </c>
      <c r="G535" s="21" t="s">
        <v>64</v>
      </c>
      <c r="H535" s="21" t="s">
        <v>53</v>
      </c>
      <c r="I535" s="21" t="s">
        <v>53</v>
      </c>
      <c r="J535" s="21" t="s">
        <v>53</v>
      </c>
      <c r="K535" s="21" t="s">
        <v>53</v>
      </c>
      <c r="L535" s="22" t="str">
        <f t="shared" si="40"/>
        <v>EXCLUDE</v>
      </c>
      <c r="M535" s="22" t="str">
        <f t="shared" si="41"/>
        <v>Wrong domain (non-AECO)</v>
      </c>
      <c r="N535" s="23"/>
      <c r="O535" s="23"/>
      <c r="P535" s="24"/>
      <c r="Q535" s="24"/>
      <c r="R535" s="24"/>
      <c r="S535" s="22" t="str">
        <f t="shared" si="42"/>
        <v/>
      </c>
      <c r="T535" s="22" t="str">
        <f t="shared" si="43"/>
        <v/>
      </c>
      <c r="U535" s="25"/>
      <c r="V535" s="25"/>
      <c r="W535" s="25"/>
      <c r="X535" s="25"/>
      <c r="Y535" s="22" t="str">
        <f t="shared" si="44"/>
        <v/>
      </c>
      <c r="Z535" s="25"/>
      <c r="AA535" s="25"/>
      <c r="AB535" s="25"/>
      <c r="AC535" s="25"/>
      <c r="AD535" s="25"/>
      <c r="AE535" s="25"/>
      <c r="AF535" s="25"/>
      <c r="AG535" s="9"/>
      <c r="AH535" s="29"/>
      <c r="AI535" s="29"/>
      <c r="AM535" s="50"/>
      <c r="AN535" s="51" t="s">
        <v>2670</v>
      </c>
      <c r="AO535" s="55" t="s">
        <v>2671</v>
      </c>
    </row>
    <row r="536" spans="1:41" ht="45.6" hidden="1" x14ac:dyDescent="0.3">
      <c r="A536" s="20">
        <v>532</v>
      </c>
      <c r="B536" s="8" t="s">
        <v>2672</v>
      </c>
      <c r="C536" s="26">
        <v>2022</v>
      </c>
      <c r="D536" s="8"/>
      <c r="E536" s="8" t="s">
        <v>2673</v>
      </c>
      <c r="F536" s="20" t="s">
        <v>54</v>
      </c>
      <c r="G536" s="21" t="s">
        <v>53</v>
      </c>
      <c r="H536" s="21" t="s">
        <v>53</v>
      </c>
      <c r="I536" s="21" t="s">
        <v>64</v>
      </c>
      <c r="J536" s="21" t="s">
        <v>53</v>
      </c>
      <c r="K536" s="21" t="s">
        <v>53</v>
      </c>
      <c r="L536" s="22" t="str">
        <f t="shared" si="40"/>
        <v>EXCLUDE</v>
      </c>
      <c r="M536" s="22" t="str">
        <f t="shared" si="41"/>
        <v>No Design for Safety/Quality/PtD</v>
      </c>
      <c r="N536" s="23"/>
      <c r="O536" s="23"/>
      <c r="P536" s="24"/>
      <c r="Q536" s="24"/>
      <c r="R536" s="24"/>
      <c r="S536" s="22" t="str">
        <f t="shared" si="42"/>
        <v/>
      </c>
      <c r="T536" s="22" t="str">
        <f t="shared" si="43"/>
        <v/>
      </c>
      <c r="U536" s="25"/>
      <c r="V536" s="25"/>
      <c r="W536" s="25"/>
      <c r="X536" s="25"/>
      <c r="Y536" s="22" t="str">
        <f t="shared" si="44"/>
        <v/>
      </c>
      <c r="Z536" s="25"/>
      <c r="AA536" s="25"/>
      <c r="AB536" s="25"/>
      <c r="AC536" s="25"/>
      <c r="AD536" s="25"/>
      <c r="AE536" s="25"/>
      <c r="AF536" s="25"/>
      <c r="AG536" s="9"/>
      <c r="AH536" s="29"/>
      <c r="AI536" s="29"/>
      <c r="AM536" s="50"/>
      <c r="AN536" s="51" t="s">
        <v>2674</v>
      </c>
      <c r="AO536" s="55" t="s">
        <v>2675</v>
      </c>
    </row>
    <row r="537" spans="1:41" ht="34.200000000000003" hidden="1" x14ac:dyDescent="0.3">
      <c r="A537" s="20">
        <v>533</v>
      </c>
      <c r="B537" s="8" t="s">
        <v>2676</v>
      </c>
      <c r="C537" s="26">
        <v>2025</v>
      </c>
      <c r="D537" s="8"/>
      <c r="E537" s="8" t="s">
        <v>2677</v>
      </c>
      <c r="F537" s="20" t="s">
        <v>54</v>
      </c>
      <c r="G537" s="21" t="s">
        <v>53</v>
      </c>
      <c r="H537" s="21" t="s">
        <v>64</v>
      </c>
      <c r="I537" s="21" t="s">
        <v>53</v>
      </c>
      <c r="J537" s="21" t="s">
        <v>53</v>
      </c>
      <c r="K537" s="21" t="s">
        <v>53</v>
      </c>
      <c r="L537" s="22" t="str">
        <f t="shared" si="40"/>
        <v>EXCLUDE</v>
      </c>
      <c r="M537" s="22" t="str">
        <f t="shared" si="41"/>
        <v>Digital Twin not core / buzzword</v>
      </c>
      <c r="N537" s="23"/>
      <c r="O537" s="23"/>
      <c r="P537" s="24"/>
      <c r="Q537" s="24"/>
      <c r="R537" s="24"/>
      <c r="S537" s="22" t="str">
        <f t="shared" si="42"/>
        <v/>
      </c>
      <c r="T537" s="22" t="str">
        <f t="shared" si="43"/>
        <v/>
      </c>
      <c r="U537" s="25"/>
      <c r="V537" s="25"/>
      <c r="W537" s="25"/>
      <c r="X537" s="25"/>
      <c r="Y537" s="22" t="str">
        <f t="shared" si="44"/>
        <v/>
      </c>
      <c r="Z537" s="25"/>
      <c r="AA537" s="25"/>
      <c r="AB537" s="25"/>
      <c r="AC537" s="25"/>
      <c r="AD537" s="25"/>
      <c r="AE537" s="25"/>
      <c r="AF537" s="25"/>
      <c r="AG537" s="9"/>
      <c r="AH537" s="29"/>
      <c r="AI537" s="29"/>
      <c r="AM537" s="50"/>
      <c r="AN537" s="51" t="s">
        <v>2678</v>
      </c>
      <c r="AO537" s="55" t="s">
        <v>2679</v>
      </c>
    </row>
    <row r="538" spans="1:41" ht="91.2" x14ac:dyDescent="0.3">
      <c r="A538" s="20">
        <v>534</v>
      </c>
      <c r="B538" s="8" t="s">
        <v>2680</v>
      </c>
      <c r="C538" s="26">
        <v>2024</v>
      </c>
      <c r="D538" s="8"/>
      <c r="E538" s="8" t="s">
        <v>2681</v>
      </c>
      <c r="F538" s="20" t="s">
        <v>54</v>
      </c>
      <c r="G538" s="21" t="s">
        <v>53</v>
      </c>
      <c r="H538" s="21" t="s">
        <v>53</v>
      </c>
      <c r="I538" s="21" t="s">
        <v>53</v>
      </c>
      <c r="J538" s="21" t="s">
        <v>53</v>
      </c>
      <c r="K538" s="21" t="s">
        <v>53</v>
      </c>
      <c r="L538" s="22" t="str">
        <f t="shared" si="40"/>
        <v>INCLUDE</v>
      </c>
      <c r="M538" s="22" t="str">
        <f t="shared" si="41"/>
        <v/>
      </c>
      <c r="N538" s="23" t="s">
        <v>53</v>
      </c>
      <c r="O538" s="23" t="s">
        <v>53</v>
      </c>
      <c r="P538" s="24" t="s">
        <v>53</v>
      </c>
      <c r="Q538" s="24" t="s">
        <v>53</v>
      </c>
      <c r="R538" s="24" t="s">
        <v>53</v>
      </c>
      <c r="S538" s="22" t="str">
        <f t="shared" si="42"/>
        <v>INCLUDE</v>
      </c>
      <c r="T538" s="22" t="str">
        <f t="shared" si="43"/>
        <v/>
      </c>
      <c r="U538" s="25" t="s">
        <v>67</v>
      </c>
      <c r="V538" s="25">
        <v>0</v>
      </c>
      <c r="W538" s="25">
        <v>0</v>
      </c>
      <c r="X538" s="25">
        <v>1</v>
      </c>
      <c r="Y538" s="22" t="str">
        <f t="shared" si="44"/>
        <v>Single</v>
      </c>
      <c r="Z538" s="25" t="s">
        <v>9</v>
      </c>
      <c r="AA538" s="25" t="s">
        <v>57</v>
      </c>
      <c r="AB538" s="25" t="s">
        <v>100</v>
      </c>
      <c r="AC538" s="25" t="s">
        <v>70</v>
      </c>
      <c r="AD538" s="25" t="s">
        <v>71</v>
      </c>
      <c r="AE538" s="25">
        <v>3</v>
      </c>
      <c r="AF538" s="25" t="s">
        <v>96</v>
      </c>
      <c r="AG538" s="9" t="s">
        <v>2682</v>
      </c>
      <c r="AH538" s="29" t="s">
        <v>2683</v>
      </c>
      <c r="AI538" s="29" t="s">
        <v>2684</v>
      </c>
      <c r="AJ538" t="s">
        <v>91</v>
      </c>
      <c r="AK538" t="s">
        <v>2685</v>
      </c>
      <c r="AL538" t="s">
        <v>74</v>
      </c>
      <c r="AM538" s="50"/>
      <c r="AN538" s="51" t="s">
        <v>2686</v>
      </c>
      <c r="AO538" s="55" t="s">
        <v>2687</v>
      </c>
    </row>
    <row r="539" spans="1:41" ht="102.6" hidden="1" x14ac:dyDescent="0.3">
      <c r="A539" s="20">
        <v>535</v>
      </c>
      <c r="B539" s="8" t="s">
        <v>2688</v>
      </c>
      <c r="C539" s="26">
        <v>2023</v>
      </c>
      <c r="D539" s="8"/>
      <c r="E539" s="8" t="s">
        <v>2689</v>
      </c>
      <c r="F539" s="20" t="s">
        <v>54</v>
      </c>
      <c r="G539" s="21" t="s">
        <v>53</v>
      </c>
      <c r="H539" s="21" t="s">
        <v>64</v>
      </c>
      <c r="I539" s="21" t="s">
        <v>53</v>
      </c>
      <c r="J539" s="21" t="s">
        <v>53</v>
      </c>
      <c r="K539" s="21" t="s">
        <v>53</v>
      </c>
      <c r="L539" s="22" t="str">
        <f t="shared" si="40"/>
        <v>EXCLUDE</v>
      </c>
      <c r="M539" s="22" t="str">
        <f t="shared" si="41"/>
        <v>Digital Twin not core / buzzword</v>
      </c>
      <c r="N539" s="23"/>
      <c r="O539" s="23"/>
      <c r="P539" s="24"/>
      <c r="Q539" s="24"/>
      <c r="R539" s="24"/>
      <c r="S539" s="22" t="str">
        <f t="shared" si="42"/>
        <v/>
      </c>
      <c r="T539" s="22" t="str">
        <f t="shared" si="43"/>
        <v/>
      </c>
      <c r="U539" s="25"/>
      <c r="V539" s="25"/>
      <c r="W539" s="25"/>
      <c r="X539" s="25"/>
      <c r="Y539" s="22" t="str">
        <f t="shared" si="44"/>
        <v/>
      </c>
      <c r="Z539" s="25"/>
      <c r="AA539" s="25"/>
      <c r="AB539" s="25"/>
      <c r="AC539" s="25"/>
      <c r="AD539" s="25"/>
      <c r="AE539" s="25"/>
      <c r="AF539" s="25"/>
      <c r="AG539" s="9"/>
      <c r="AH539" s="29"/>
      <c r="AI539" s="29"/>
      <c r="AM539" s="50"/>
      <c r="AN539" s="51" t="s">
        <v>2690</v>
      </c>
      <c r="AO539" s="55" t="s">
        <v>2691</v>
      </c>
    </row>
    <row r="540" spans="1:41" ht="102.6" x14ac:dyDescent="0.3">
      <c r="A540" s="20">
        <v>536</v>
      </c>
      <c r="B540" s="8" t="s">
        <v>2692</v>
      </c>
      <c r="C540" s="26">
        <v>2023</v>
      </c>
      <c r="D540" s="8"/>
      <c r="E540" s="8" t="s">
        <v>2693</v>
      </c>
      <c r="F540" s="20" t="s">
        <v>54</v>
      </c>
      <c r="G540" s="21" t="s">
        <v>53</v>
      </c>
      <c r="H540" s="21" t="s">
        <v>53</v>
      </c>
      <c r="I540" s="21" t="s">
        <v>53</v>
      </c>
      <c r="J540" s="21" t="s">
        <v>53</v>
      </c>
      <c r="K540" s="21" t="s">
        <v>53</v>
      </c>
      <c r="L540" s="22" t="str">
        <f t="shared" si="40"/>
        <v>INCLUDE</v>
      </c>
      <c r="M540" s="22" t="str">
        <f t="shared" si="41"/>
        <v/>
      </c>
      <c r="N540" s="23" t="s">
        <v>53</v>
      </c>
      <c r="O540" s="23" t="s">
        <v>53</v>
      </c>
      <c r="P540" s="24" t="s">
        <v>53</v>
      </c>
      <c r="Q540" s="24" t="s">
        <v>53</v>
      </c>
      <c r="R540" s="24" t="s">
        <v>53</v>
      </c>
      <c r="S540" s="22" t="str">
        <f t="shared" si="42"/>
        <v>INCLUDE</v>
      </c>
      <c r="T540" s="22" t="str">
        <f t="shared" si="43"/>
        <v/>
      </c>
      <c r="U540" s="25" t="s">
        <v>76</v>
      </c>
      <c r="V540" s="25">
        <v>0</v>
      </c>
      <c r="W540" s="25">
        <v>0</v>
      </c>
      <c r="X540" s="25">
        <v>1</v>
      </c>
      <c r="Y540" s="22" t="str">
        <f t="shared" si="44"/>
        <v>Single</v>
      </c>
      <c r="Z540" s="25" t="s">
        <v>9</v>
      </c>
      <c r="AA540" s="25" t="s">
        <v>57</v>
      </c>
      <c r="AB540" s="25" t="s">
        <v>104</v>
      </c>
      <c r="AC540" s="25" t="s">
        <v>70</v>
      </c>
      <c r="AD540" s="25" t="s">
        <v>95</v>
      </c>
      <c r="AE540" s="25">
        <v>3</v>
      </c>
      <c r="AF540" s="25" t="s">
        <v>90</v>
      </c>
      <c r="AG540" s="9" t="s">
        <v>2694</v>
      </c>
      <c r="AH540" s="29" t="s">
        <v>2695</v>
      </c>
      <c r="AI540" s="29" t="s">
        <v>2696</v>
      </c>
      <c r="AJ540" t="s">
        <v>91</v>
      </c>
      <c r="AK540" t="s">
        <v>2697</v>
      </c>
      <c r="AL540" t="s">
        <v>74</v>
      </c>
      <c r="AM540" s="50"/>
      <c r="AN540" s="51" t="s">
        <v>2698</v>
      </c>
      <c r="AO540" s="55" t="s">
        <v>2699</v>
      </c>
    </row>
    <row r="541" spans="1:41" ht="125.4" x14ac:dyDescent="0.3">
      <c r="A541" s="20">
        <v>537</v>
      </c>
      <c r="B541" s="8" t="s">
        <v>2700</v>
      </c>
      <c r="C541" s="26">
        <v>2022</v>
      </c>
      <c r="D541" s="8"/>
      <c r="E541" s="8" t="s">
        <v>2701</v>
      </c>
      <c r="F541" s="20" t="s">
        <v>54</v>
      </c>
      <c r="G541" s="21" t="s">
        <v>53</v>
      </c>
      <c r="H541" s="21" t="s">
        <v>53</v>
      </c>
      <c r="I541" s="21" t="s">
        <v>53</v>
      </c>
      <c r="J541" s="21" t="s">
        <v>53</v>
      </c>
      <c r="K541" s="21" t="s">
        <v>53</v>
      </c>
      <c r="L541" s="22" t="str">
        <f t="shared" si="40"/>
        <v>INCLUDE</v>
      </c>
      <c r="M541" s="22" t="str">
        <f t="shared" si="41"/>
        <v/>
      </c>
      <c r="N541" s="23" t="s">
        <v>53</v>
      </c>
      <c r="O541" s="23" t="s">
        <v>53</v>
      </c>
      <c r="P541" s="24" t="s">
        <v>53</v>
      </c>
      <c r="Q541" s="24" t="s">
        <v>53</v>
      </c>
      <c r="R541" s="24" t="s">
        <v>53</v>
      </c>
      <c r="S541" s="22" t="str">
        <f t="shared" si="42"/>
        <v>INCLUDE</v>
      </c>
      <c r="T541" s="22" t="str">
        <f t="shared" si="43"/>
        <v/>
      </c>
      <c r="U541" s="25" t="s">
        <v>67</v>
      </c>
      <c r="V541" s="25">
        <v>0</v>
      </c>
      <c r="W541" s="25">
        <v>1</v>
      </c>
      <c r="X541" s="25">
        <v>0</v>
      </c>
      <c r="Y541" s="22" t="str">
        <f t="shared" si="44"/>
        <v>Single</v>
      </c>
      <c r="Z541" s="25" t="s">
        <v>9</v>
      </c>
      <c r="AA541" s="25" t="s">
        <v>57</v>
      </c>
      <c r="AB541" s="25" t="s">
        <v>104</v>
      </c>
      <c r="AC541" s="25" t="s">
        <v>70</v>
      </c>
      <c r="AD541" s="25" t="s">
        <v>89</v>
      </c>
      <c r="AE541" s="25">
        <v>4</v>
      </c>
      <c r="AF541" s="25" t="s">
        <v>61</v>
      </c>
      <c r="AG541" s="9" t="s">
        <v>2702</v>
      </c>
      <c r="AH541" s="29" t="s">
        <v>2703</v>
      </c>
      <c r="AI541" s="29" t="s">
        <v>2704</v>
      </c>
      <c r="AJ541" t="s">
        <v>91</v>
      </c>
      <c r="AK541" t="s">
        <v>2705</v>
      </c>
      <c r="AL541" t="s">
        <v>63</v>
      </c>
      <c r="AM541" s="50"/>
      <c r="AN541" s="51" t="s">
        <v>2706</v>
      </c>
      <c r="AO541" s="55" t="s">
        <v>2707</v>
      </c>
    </row>
    <row r="542" spans="1:41" ht="91.2" x14ac:dyDescent="0.3">
      <c r="A542" s="20">
        <v>538</v>
      </c>
      <c r="B542" s="8" t="s">
        <v>2708</v>
      </c>
      <c r="C542" s="26">
        <v>2022</v>
      </c>
      <c r="D542" s="8"/>
      <c r="E542" s="8" t="s">
        <v>2709</v>
      </c>
      <c r="F542" s="20" t="s">
        <v>54</v>
      </c>
      <c r="G542" s="21" t="s">
        <v>53</v>
      </c>
      <c r="H542" s="21" t="s">
        <v>53</v>
      </c>
      <c r="I542" s="21" t="s">
        <v>53</v>
      </c>
      <c r="J542" s="21" t="s">
        <v>53</v>
      </c>
      <c r="K542" s="21" t="s">
        <v>53</v>
      </c>
      <c r="L542" s="22" t="str">
        <f t="shared" si="40"/>
        <v>INCLUDE</v>
      </c>
      <c r="M542" s="22" t="str">
        <f t="shared" si="41"/>
        <v/>
      </c>
      <c r="N542" s="23" t="s">
        <v>53</v>
      </c>
      <c r="O542" s="23" t="s">
        <v>53</v>
      </c>
      <c r="P542" s="24" t="s">
        <v>53</v>
      </c>
      <c r="Q542" s="24" t="s">
        <v>53</v>
      </c>
      <c r="R542" s="24" t="s">
        <v>53</v>
      </c>
      <c r="S542" s="22" t="str">
        <f t="shared" si="42"/>
        <v>INCLUDE</v>
      </c>
      <c r="T542" s="22" t="str">
        <f t="shared" si="43"/>
        <v/>
      </c>
      <c r="U542" s="25" t="s">
        <v>67</v>
      </c>
      <c r="V542" s="25">
        <v>0</v>
      </c>
      <c r="W542" s="25">
        <v>1</v>
      </c>
      <c r="X542" s="25">
        <v>0</v>
      </c>
      <c r="Y542" s="22" t="str">
        <f t="shared" si="44"/>
        <v>Single</v>
      </c>
      <c r="Z542" s="25" t="s">
        <v>9</v>
      </c>
      <c r="AA542" s="25" t="s">
        <v>57</v>
      </c>
      <c r="AB542" s="25" t="s">
        <v>103</v>
      </c>
      <c r="AC542" s="25" t="s">
        <v>70</v>
      </c>
      <c r="AD542" s="25" t="s">
        <v>89</v>
      </c>
      <c r="AE542" s="25">
        <v>4</v>
      </c>
      <c r="AF542" s="25" t="s">
        <v>90</v>
      </c>
      <c r="AG542" s="9" t="s">
        <v>2710</v>
      </c>
      <c r="AH542" s="29" t="s">
        <v>2711</v>
      </c>
      <c r="AI542" s="29" t="s">
        <v>2712</v>
      </c>
      <c r="AJ542" t="s">
        <v>62</v>
      </c>
      <c r="AK542" t="s">
        <v>2713</v>
      </c>
      <c r="AL542" t="s">
        <v>63</v>
      </c>
      <c r="AM542" s="50" t="s">
        <v>614</v>
      </c>
      <c r="AN542" s="51" t="s">
        <v>2714</v>
      </c>
      <c r="AO542" s="55" t="s">
        <v>2715</v>
      </c>
    </row>
    <row r="543" spans="1:41" ht="34.200000000000003" hidden="1" x14ac:dyDescent="0.3">
      <c r="A543" s="20">
        <v>539</v>
      </c>
      <c r="B543" s="8" t="s">
        <v>2716</v>
      </c>
      <c r="C543" s="26">
        <v>2025</v>
      </c>
      <c r="D543" s="8"/>
      <c r="E543" s="8" t="s">
        <v>2717</v>
      </c>
      <c r="F543" s="20" t="s">
        <v>54</v>
      </c>
      <c r="G543" s="21" t="s">
        <v>64</v>
      </c>
      <c r="H543" s="21" t="s">
        <v>53</v>
      </c>
      <c r="I543" s="21" t="s">
        <v>53</v>
      </c>
      <c r="J543" s="21" t="s">
        <v>53</v>
      </c>
      <c r="K543" s="21" t="s">
        <v>53</v>
      </c>
      <c r="L543" s="22" t="str">
        <f t="shared" si="40"/>
        <v>EXCLUDE</v>
      </c>
      <c r="M543" s="22" t="str">
        <f t="shared" si="41"/>
        <v>Wrong domain (non-AECO)</v>
      </c>
      <c r="N543" s="23"/>
      <c r="O543" s="23"/>
      <c r="P543" s="24"/>
      <c r="Q543" s="24"/>
      <c r="R543" s="24"/>
      <c r="S543" s="22" t="str">
        <f t="shared" si="42"/>
        <v/>
      </c>
      <c r="T543" s="22" t="str">
        <f t="shared" si="43"/>
        <v/>
      </c>
      <c r="U543" s="25"/>
      <c r="V543" s="25"/>
      <c r="W543" s="25"/>
      <c r="X543" s="25"/>
      <c r="Y543" s="22" t="str">
        <f t="shared" si="44"/>
        <v/>
      </c>
      <c r="Z543" s="25"/>
      <c r="AA543" s="25"/>
      <c r="AB543" s="25"/>
      <c r="AC543" s="25"/>
      <c r="AD543" s="25"/>
      <c r="AE543" s="25"/>
      <c r="AF543" s="25"/>
      <c r="AG543" s="9"/>
      <c r="AH543" s="29"/>
      <c r="AI543" s="29"/>
      <c r="AM543" s="50"/>
      <c r="AN543" s="51" t="s">
        <v>2718</v>
      </c>
      <c r="AO543" s="55" t="s">
        <v>2719</v>
      </c>
    </row>
    <row r="544" spans="1:41" ht="79.8" hidden="1" x14ac:dyDescent="0.3">
      <c r="A544" s="20">
        <v>540</v>
      </c>
      <c r="B544" s="8" t="s">
        <v>2720</v>
      </c>
      <c r="C544" s="26">
        <v>2024</v>
      </c>
      <c r="D544" s="8"/>
      <c r="E544" s="8" t="s">
        <v>2721</v>
      </c>
      <c r="F544" s="20" t="s">
        <v>54</v>
      </c>
      <c r="G544" s="21" t="s">
        <v>64</v>
      </c>
      <c r="H544" s="21" t="s">
        <v>53</v>
      </c>
      <c r="I544" s="21" t="s">
        <v>53</v>
      </c>
      <c r="J544" s="21" t="s">
        <v>53</v>
      </c>
      <c r="K544" s="21" t="s">
        <v>53</v>
      </c>
      <c r="L544" s="22" t="str">
        <f t="shared" si="40"/>
        <v>EXCLUDE</v>
      </c>
      <c r="M544" s="22" t="str">
        <f t="shared" si="41"/>
        <v>Wrong domain (non-AECO)</v>
      </c>
      <c r="N544" s="23"/>
      <c r="O544" s="23"/>
      <c r="P544" s="24"/>
      <c r="Q544" s="24"/>
      <c r="R544" s="24"/>
      <c r="S544" s="22" t="str">
        <f t="shared" si="42"/>
        <v/>
      </c>
      <c r="T544" s="22" t="str">
        <f t="shared" si="43"/>
        <v/>
      </c>
      <c r="U544" s="25"/>
      <c r="V544" s="25"/>
      <c r="W544" s="25"/>
      <c r="X544" s="25"/>
      <c r="Y544" s="22" t="str">
        <f t="shared" si="44"/>
        <v/>
      </c>
      <c r="Z544" s="25"/>
      <c r="AA544" s="25"/>
      <c r="AB544" s="25"/>
      <c r="AC544" s="25"/>
      <c r="AD544" s="25"/>
      <c r="AE544" s="25"/>
      <c r="AF544" s="25"/>
      <c r="AG544" s="9"/>
      <c r="AH544" s="29"/>
      <c r="AI544" s="29"/>
      <c r="AM544" s="50"/>
      <c r="AN544" s="51" t="s">
        <v>2722</v>
      </c>
      <c r="AO544" s="55" t="s">
        <v>2723</v>
      </c>
    </row>
    <row r="545" spans="1:41" ht="45.6" hidden="1" x14ac:dyDescent="0.3">
      <c r="A545" s="20">
        <v>541</v>
      </c>
      <c r="B545" s="8" t="s">
        <v>2724</v>
      </c>
      <c r="C545" s="26">
        <v>2024</v>
      </c>
      <c r="D545" s="8"/>
      <c r="E545" s="8" t="s">
        <v>2725</v>
      </c>
      <c r="F545" s="20" t="s">
        <v>54</v>
      </c>
      <c r="G545" s="21" t="s">
        <v>64</v>
      </c>
      <c r="H545" s="21" t="s">
        <v>53</v>
      </c>
      <c r="I545" s="21" t="s">
        <v>53</v>
      </c>
      <c r="J545" s="21" t="s">
        <v>53</v>
      </c>
      <c r="K545" s="21" t="s">
        <v>53</v>
      </c>
      <c r="L545" s="22" t="str">
        <f t="shared" si="40"/>
        <v>EXCLUDE</v>
      </c>
      <c r="M545" s="22" t="str">
        <f t="shared" si="41"/>
        <v>Wrong domain (non-AECO)</v>
      </c>
      <c r="N545" s="23"/>
      <c r="O545" s="23"/>
      <c r="P545" s="24"/>
      <c r="Q545" s="24"/>
      <c r="R545" s="24"/>
      <c r="S545" s="22" t="str">
        <f t="shared" si="42"/>
        <v/>
      </c>
      <c r="T545" s="22" t="str">
        <f t="shared" si="43"/>
        <v/>
      </c>
      <c r="U545" s="25"/>
      <c r="V545" s="25"/>
      <c r="W545" s="25"/>
      <c r="X545" s="25"/>
      <c r="Y545" s="22" t="str">
        <f t="shared" si="44"/>
        <v/>
      </c>
      <c r="Z545" s="25"/>
      <c r="AA545" s="25"/>
      <c r="AB545" s="25"/>
      <c r="AC545" s="25"/>
      <c r="AD545" s="25"/>
      <c r="AE545" s="25"/>
      <c r="AF545" s="25"/>
      <c r="AG545" s="9"/>
      <c r="AH545" s="29"/>
      <c r="AI545" s="29"/>
      <c r="AM545" s="50"/>
      <c r="AN545" s="51" t="s">
        <v>2726</v>
      </c>
      <c r="AO545" s="55" t="s">
        <v>2727</v>
      </c>
    </row>
    <row r="546" spans="1:41" ht="79.8" hidden="1" x14ac:dyDescent="0.3">
      <c r="A546" s="20">
        <v>542</v>
      </c>
      <c r="B546" s="8" t="s">
        <v>2728</v>
      </c>
      <c r="C546" s="26">
        <v>2023</v>
      </c>
      <c r="D546" s="8"/>
      <c r="E546" s="8" t="s">
        <v>2729</v>
      </c>
      <c r="F546" s="20" t="s">
        <v>54</v>
      </c>
      <c r="G546" s="21" t="s">
        <v>64</v>
      </c>
      <c r="H546" s="21" t="s">
        <v>53</v>
      </c>
      <c r="I546" s="21" t="s">
        <v>53</v>
      </c>
      <c r="J546" s="21" t="s">
        <v>53</v>
      </c>
      <c r="K546" s="21" t="s">
        <v>53</v>
      </c>
      <c r="L546" s="22" t="str">
        <f t="shared" si="40"/>
        <v>EXCLUDE</v>
      </c>
      <c r="M546" s="22" t="str">
        <f t="shared" si="41"/>
        <v>Wrong domain (non-AECO)</v>
      </c>
      <c r="N546" s="23"/>
      <c r="O546" s="23"/>
      <c r="P546" s="24"/>
      <c r="Q546" s="24"/>
      <c r="R546" s="24"/>
      <c r="S546" s="22" t="str">
        <f t="shared" si="42"/>
        <v/>
      </c>
      <c r="T546" s="22" t="str">
        <f t="shared" si="43"/>
        <v/>
      </c>
      <c r="U546" s="25"/>
      <c r="V546" s="25"/>
      <c r="W546" s="25"/>
      <c r="X546" s="25"/>
      <c r="Y546" s="22" t="str">
        <f t="shared" si="44"/>
        <v/>
      </c>
      <c r="Z546" s="25"/>
      <c r="AA546" s="25"/>
      <c r="AB546" s="25"/>
      <c r="AC546" s="25"/>
      <c r="AD546" s="25"/>
      <c r="AE546" s="25"/>
      <c r="AF546" s="25"/>
      <c r="AG546" s="9"/>
      <c r="AH546" s="29"/>
      <c r="AI546" s="29"/>
      <c r="AM546" s="50"/>
      <c r="AN546" s="51" t="s">
        <v>2730</v>
      </c>
      <c r="AO546" s="55" t="s">
        <v>2731</v>
      </c>
    </row>
    <row r="547" spans="1:41" ht="45.6" hidden="1" x14ac:dyDescent="0.3">
      <c r="A547" s="20">
        <v>543</v>
      </c>
      <c r="B547" s="8" t="s">
        <v>2732</v>
      </c>
      <c r="C547" s="26">
        <v>2022</v>
      </c>
      <c r="D547" s="8"/>
      <c r="E547" s="8" t="s">
        <v>2733</v>
      </c>
      <c r="F547" s="20" t="s">
        <v>54</v>
      </c>
      <c r="G547" s="21" t="s">
        <v>64</v>
      </c>
      <c r="H547" s="21" t="s">
        <v>53</v>
      </c>
      <c r="I547" s="21" t="s">
        <v>53</v>
      </c>
      <c r="J547" s="21" t="s">
        <v>53</v>
      </c>
      <c r="K547" s="21" t="s">
        <v>53</v>
      </c>
      <c r="L547" s="22" t="str">
        <f t="shared" si="40"/>
        <v>EXCLUDE</v>
      </c>
      <c r="M547" s="22" t="str">
        <f t="shared" si="41"/>
        <v>Wrong domain (non-AECO)</v>
      </c>
      <c r="N547" s="23"/>
      <c r="O547" s="23"/>
      <c r="P547" s="24"/>
      <c r="Q547" s="24"/>
      <c r="R547" s="24"/>
      <c r="S547" s="22" t="str">
        <f t="shared" si="42"/>
        <v/>
      </c>
      <c r="T547" s="22" t="str">
        <f t="shared" si="43"/>
        <v/>
      </c>
      <c r="U547" s="25"/>
      <c r="V547" s="25"/>
      <c r="W547" s="25"/>
      <c r="X547" s="25"/>
      <c r="Y547" s="22" t="str">
        <f t="shared" si="44"/>
        <v/>
      </c>
      <c r="Z547" s="25"/>
      <c r="AA547" s="25"/>
      <c r="AB547" s="25"/>
      <c r="AC547" s="25"/>
      <c r="AD547" s="25"/>
      <c r="AE547" s="25"/>
      <c r="AF547" s="25"/>
      <c r="AG547" s="9"/>
      <c r="AH547" s="29"/>
      <c r="AI547" s="29"/>
      <c r="AM547" s="50"/>
      <c r="AN547" s="51" t="s">
        <v>2734</v>
      </c>
      <c r="AO547" s="55" t="s">
        <v>2735</v>
      </c>
    </row>
    <row r="548" spans="1:41" ht="45.6" hidden="1" x14ac:dyDescent="0.3">
      <c r="A548" s="20">
        <v>544</v>
      </c>
      <c r="B548" s="8" t="s">
        <v>2736</v>
      </c>
      <c r="C548" s="26">
        <v>2024</v>
      </c>
      <c r="D548" s="8"/>
      <c r="E548" s="8" t="s">
        <v>2737</v>
      </c>
      <c r="F548" s="20" t="s">
        <v>54</v>
      </c>
      <c r="G548" s="21" t="s">
        <v>64</v>
      </c>
      <c r="H548" s="21" t="s">
        <v>53</v>
      </c>
      <c r="I548" s="21" t="s">
        <v>53</v>
      </c>
      <c r="J548" s="21" t="s">
        <v>53</v>
      </c>
      <c r="K548" s="21" t="s">
        <v>53</v>
      </c>
      <c r="L548" s="22" t="str">
        <f t="shared" si="40"/>
        <v>EXCLUDE</v>
      </c>
      <c r="M548" s="22" t="str">
        <f t="shared" si="41"/>
        <v>Wrong domain (non-AECO)</v>
      </c>
      <c r="N548" s="23"/>
      <c r="O548" s="23"/>
      <c r="P548" s="24"/>
      <c r="Q548" s="24"/>
      <c r="R548" s="24"/>
      <c r="S548" s="22" t="str">
        <f t="shared" si="42"/>
        <v/>
      </c>
      <c r="T548" s="22" t="str">
        <f t="shared" si="43"/>
        <v/>
      </c>
      <c r="U548" s="25"/>
      <c r="V548" s="25"/>
      <c r="W548" s="25"/>
      <c r="X548" s="25"/>
      <c r="Y548" s="22" t="str">
        <f t="shared" si="44"/>
        <v/>
      </c>
      <c r="Z548" s="25"/>
      <c r="AA548" s="25"/>
      <c r="AB548" s="25"/>
      <c r="AC548" s="25"/>
      <c r="AD548" s="25"/>
      <c r="AE548" s="25"/>
      <c r="AF548" s="25"/>
      <c r="AG548" s="9"/>
      <c r="AH548" s="29"/>
      <c r="AI548" s="29"/>
      <c r="AM548" s="50"/>
      <c r="AN548" s="51" t="s">
        <v>2738</v>
      </c>
      <c r="AO548" s="55" t="s">
        <v>2739</v>
      </c>
    </row>
    <row r="549" spans="1:41" ht="57" hidden="1" x14ac:dyDescent="0.3">
      <c r="A549" s="20">
        <v>545</v>
      </c>
      <c r="B549" s="8" t="s">
        <v>2740</v>
      </c>
      <c r="C549" s="26">
        <v>2024</v>
      </c>
      <c r="D549" s="8"/>
      <c r="E549" s="8" t="s">
        <v>2741</v>
      </c>
      <c r="F549" s="20" t="s">
        <v>54</v>
      </c>
      <c r="G549" s="21" t="s">
        <v>53</v>
      </c>
      <c r="H549" s="21" t="s">
        <v>64</v>
      </c>
      <c r="I549" s="21" t="s">
        <v>53</v>
      </c>
      <c r="J549" s="21" t="s">
        <v>53</v>
      </c>
      <c r="K549" s="21" t="s">
        <v>53</v>
      </c>
      <c r="L549" s="22" t="str">
        <f t="shared" si="40"/>
        <v>EXCLUDE</v>
      </c>
      <c r="M549" s="22" t="str">
        <f t="shared" si="41"/>
        <v>Digital Twin not core / buzzword</v>
      </c>
      <c r="N549" s="23"/>
      <c r="O549" s="23"/>
      <c r="P549" s="24"/>
      <c r="Q549" s="24"/>
      <c r="R549" s="24"/>
      <c r="S549" s="22" t="str">
        <f t="shared" si="42"/>
        <v/>
      </c>
      <c r="T549" s="22" t="str">
        <f t="shared" si="43"/>
        <v/>
      </c>
      <c r="U549" s="25"/>
      <c r="V549" s="25"/>
      <c r="W549" s="25"/>
      <c r="X549" s="25"/>
      <c r="Y549" s="22" t="str">
        <f t="shared" si="44"/>
        <v/>
      </c>
      <c r="Z549" s="25"/>
      <c r="AA549" s="25"/>
      <c r="AB549" s="25"/>
      <c r="AC549" s="25"/>
      <c r="AD549" s="25"/>
      <c r="AE549" s="25"/>
      <c r="AF549" s="25"/>
      <c r="AG549" s="9"/>
      <c r="AH549" s="29"/>
      <c r="AI549" s="29"/>
      <c r="AM549" s="50"/>
      <c r="AN549" s="51" t="s">
        <v>2742</v>
      </c>
      <c r="AO549" s="55" t="s">
        <v>2743</v>
      </c>
    </row>
    <row r="550" spans="1:41" ht="45.6" hidden="1" x14ac:dyDescent="0.3">
      <c r="A550" s="20">
        <v>546</v>
      </c>
      <c r="B550" s="8" t="s">
        <v>2744</v>
      </c>
      <c r="C550" s="26">
        <v>2024</v>
      </c>
      <c r="D550" s="8"/>
      <c r="E550" s="8" t="s">
        <v>2745</v>
      </c>
      <c r="F550" s="20" t="s">
        <v>54</v>
      </c>
      <c r="G550" s="21" t="s">
        <v>53</v>
      </c>
      <c r="H550" s="21" t="s">
        <v>53</v>
      </c>
      <c r="I550" s="21" t="s">
        <v>53</v>
      </c>
      <c r="J550" s="21" t="s">
        <v>53</v>
      </c>
      <c r="K550" s="21" t="s">
        <v>53</v>
      </c>
      <c r="L550" s="22" t="str">
        <f t="shared" si="40"/>
        <v>INCLUDE</v>
      </c>
      <c r="M550" s="22" t="str">
        <f t="shared" si="41"/>
        <v/>
      </c>
      <c r="N550" s="23" t="s">
        <v>64</v>
      </c>
      <c r="O550" s="23" t="s">
        <v>64</v>
      </c>
      <c r="P550" s="24"/>
      <c r="Q550" s="24"/>
      <c r="R550" s="24"/>
      <c r="S550" s="22" t="str">
        <f t="shared" si="42"/>
        <v/>
      </c>
      <c r="T550" s="22" t="str">
        <f t="shared" si="43"/>
        <v/>
      </c>
      <c r="U550" s="25"/>
      <c r="V550" s="25"/>
      <c r="W550" s="25"/>
      <c r="X550" s="25"/>
      <c r="Y550" s="22" t="str">
        <f t="shared" si="44"/>
        <v/>
      </c>
      <c r="Z550" s="25"/>
      <c r="AA550" s="25"/>
      <c r="AB550" s="25"/>
      <c r="AC550" s="25"/>
      <c r="AD550" s="25"/>
      <c r="AE550" s="25"/>
      <c r="AF550" s="25"/>
      <c r="AG550" s="9"/>
      <c r="AH550" s="29"/>
      <c r="AI550" s="29"/>
      <c r="AM550" s="50"/>
      <c r="AN550" s="51" t="s">
        <v>2746</v>
      </c>
      <c r="AO550" s="55" t="s">
        <v>2747</v>
      </c>
    </row>
    <row r="551" spans="1:41" ht="79.8" hidden="1" x14ac:dyDescent="0.3">
      <c r="A551" s="20">
        <v>547</v>
      </c>
      <c r="B551" s="8" t="s">
        <v>2748</v>
      </c>
      <c r="C551" s="26">
        <v>2022</v>
      </c>
      <c r="D551" s="8"/>
      <c r="E551" s="8" t="s">
        <v>2749</v>
      </c>
      <c r="F551" s="20" t="s">
        <v>54</v>
      </c>
      <c r="G551" s="21" t="s">
        <v>53</v>
      </c>
      <c r="H551" s="21" t="s">
        <v>64</v>
      </c>
      <c r="I551" s="21" t="s">
        <v>53</v>
      </c>
      <c r="J551" s="21" t="s">
        <v>53</v>
      </c>
      <c r="K551" s="21" t="s">
        <v>53</v>
      </c>
      <c r="L551" s="22" t="str">
        <f t="shared" si="40"/>
        <v>EXCLUDE</v>
      </c>
      <c r="M551" s="22" t="str">
        <f t="shared" si="41"/>
        <v>Digital Twin not core / buzzword</v>
      </c>
      <c r="N551" s="23"/>
      <c r="O551" s="23"/>
      <c r="P551" s="24"/>
      <c r="Q551" s="24"/>
      <c r="R551" s="24"/>
      <c r="S551" s="22" t="str">
        <f t="shared" si="42"/>
        <v/>
      </c>
      <c r="T551" s="22" t="str">
        <f t="shared" si="43"/>
        <v/>
      </c>
      <c r="U551" s="25"/>
      <c r="V551" s="25"/>
      <c r="W551" s="25"/>
      <c r="X551" s="25"/>
      <c r="Y551" s="22" t="str">
        <f t="shared" si="44"/>
        <v/>
      </c>
      <c r="Z551" s="25"/>
      <c r="AA551" s="25"/>
      <c r="AB551" s="25"/>
      <c r="AC551" s="25"/>
      <c r="AD551" s="25"/>
      <c r="AE551" s="25"/>
      <c r="AF551" s="25"/>
      <c r="AG551" s="9"/>
      <c r="AH551" s="29"/>
      <c r="AI551" s="29"/>
      <c r="AM551" s="50"/>
      <c r="AN551" s="51" t="s">
        <v>2750</v>
      </c>
      <c r="AO551" s="55" t="s">
        <v>2751</v>
      </c>
    </row>
    <row r="552" spans="1:41" ht="102.6" x14ac:dyDescent="0.3">
      <c r="A552" s="20">
        <v>548</v>
      </c>
      <c r="B552" s="8" t="s">
        <v>2752</v>
      </c>
      <c r="C552" s="26">
        <v>2022</v>
      </c>
      <c r="D552" s="8"/>
      <c r="E552" s="8" t="s">
        <v>2753</v>
      </c>
      <c r="F552" s="20" t="s">
        <v>54</v>
      </c>
      <c r="G552" s="21" t="s">
        <v>53</v>
      </c>
      <c r="H552" s="21" t="s">
        <v>53</v>
      </c>
      <c r="I552" s="21" t="s">
        <v>53</v>
      </c>
      <c r="J552" s="21" t="s">
        <v>53</v>
      </c>
      <c r="K552" s="21" t="s">
        <v>53</v>
      </c>
      <c r="L552" s="22" t="str">
        <f t="shared" si="40"/>
        <v>INCLUDE</v>
      </c>
      <c r="M552" s="22" t="str">
        <f t="shared" si="41"/>
        <v/>
      </c>
      <c r="N552" s="23" t="s">
        <v>53</v>
      </c>
      <c r="O552" s="23" t="s">
        <v>53</v>
      </c>
      <c r="P552" s="24" t="s">
        <v>53</v>
      </c>
      <c r="Q552" s="24" t="s">
        <v>53</v>
      </c>
      <c r="R552" s="24" t="s">
        <v>53</v>
      </c>
      <c r="S552" s="22" t="str">
        <f t="shared" si="42"/>
        <v>INCLUDE</v>
      </c>
      <c r="T552" s="22" t="str">
        <f t="shared" si="43"/>
        <v/>
      </c>
      <c r="U552" s="25" t="s">
        <v>67</v>
      </c>
      <c r="V552" s="25">
        <v>0</v>
      </c>
      <c r="W552" s="25">
        <v>1</v>
      </c>
      <c r="X552" s="25">
        <v>0</v>
      </c>
      <c r="Y552" s="22" t="str">
        <f t="shared" si="44"/>
        <v>Single</v>
      </c>
      <c r="Z552" s="25" t="s">
        <v>9</v>
      </c>
      <c r="AA552" s="25" t="s">
        <v>57</v>
      </c>
      <c r="AB552" s="25" t="s">
        <v>100</v>
      </c>
      <c r="AC552" s="25" t="s">
        <v>70</v>
      </c>
      <c r="AD552" s="25" t="s">
        <v>71</v>
      </c>
      <c r="AE552" s="25">
        <v>4</v>
      </c>
      <c r="AF552" s="25" t="s">
        <v>90</v>
      </c>
      <c r="AG552" s="9" t="s">
        <v>2754</v>
      </c>
      <c r="AH552" s="29" t="s">
        <v>2755</v>
      </c>
      <c r="AI552" s="29" t="s">
        <v>2756</v>
      </c>
      <c r="AJ552" t="s">
        <v>91</v>
      </c>
      <c r="AK552" t="s">
        <v>2757</v>
      </c>
      <c r="AL552" t="s">
        <v>74</v>
      </c>
      <c r="AM552" s="50"/>
      <c r="AN552" s="51" t="s">
        <v>2758</v>
      </c>
      <c r="AO552" s="55" t="s">
        <v>2759</v>
      </c>
    </row>
    <row r="553" spans="1:41" ht="68.400000000000006" hidden="1" x14ac:dyDescent="0.3">
      <c r="A553" s="20">
        <v>549</v>
      </c>
      <c r="B553" s="8" t="s">
        <v>2760</v>
      </c>
      <c r="C553" s="26">
        <v>2022</v>
      </c>
      <c r="D553" s="8"/>
      <c r="E553" s="8" t="s">
        <v>2761</v>
      </c>
      <c r="F553" s="20" t="s">
        <v>54</v>
      </c>
      <c r="G553" s="21" t="s">
        <v>64</v>
      </c>
      <c r="H553" s="21" t="s">
        <v>53</v>
      </c>
      <c r="I553" s="21" t="s">
        <v>53</v>
      </c>
      <c r="J553" s="21" t="s">
        <v>53</v>
      </c>
      <c r="K553" s="21" t="s">
        <v>53</v>
      </c>
      <c r="L553" s="22" t="str">
        <f t="shared" si="40"/>
        <v>EXCLUDE</v>
      </c>
      <c r="M553" s="22" t="str">
        <f t="shared" si="41"/>
        <v>Wrong domain (non-AECO)</v>
      </c>
      <c r="N553" s="23"/>
      <c r="O553" s="23"/>
      <c r="P553" s="24"/>
      <c r="Q553" s="24"/>
      <c r="R553" s="24"/>
      <c r="S553" s="22" t="str">
        <f t="shared" si="42"/>
        <v/>
      </c>
      <c r="T553" s="22" t="str">
        <f t="shared" si="43"/>
        <v/>
      </c>
      <c r="U553" s="25"/>
      <c r="V553" s="25"/>
      <c r="W553" s="25"/>
      <c r="X553" s="25"/>
      <c r="Y553" s="22" t="str">
        <f t="shared" si="44"/>
        <v/>
      </c>
      <c r="Z553" s="25"/>
      <c r="AA553" s="25"/>
      <c r="AB553" s="25"/>
      <c r="AC553" s="25"/>
      <c r="AD553" s="25"/>
      <c r="AE553" s="25"/>
      <c r="AF553" s="25"/>
      <c r="AG553" s="9"/>
      <c r="AH553" s="29"/>
      <c r="AI553" s="29"/>
      <c r="AM553" s="50"/>
      <c r="AN553" s="51" t="s">
        <v>2762</v>
      </c>
      <c r="AO553" s="55" t="s">
        <v>2763</v>
      </c>
    </row>
    <row r="554" spans="1:41" ht="91.2" x14ac:dyDescent="0.3">
      <c r="A554" s="20">
        <v>550</v>
      </c>
      <c r="B554" s="8" t="s">
        <v>2764</v>
      </c>
      <c r="C554" s="26">
        <v>2020</v>
      </c>
      <c r="D554" s="8"/>
      <c r="E554" s="8" t="s">
        <v>2765</v>
      </c>
      <c r="F554" s="20" t="s">
        <v>54</v>
      </c>
      <c r="G554" s="21" t="s">
        <v>53</v>
      </c>
      <c r="H554" s="21" t="s">
        <v>53</v>
      </c>
      <c r="I554" s="21" t="s">
        <v>53</v>
      </c>
      <c r="J554" s="21" t="s">
        <v>53</v>
      </c>
      <c r="K554" s="21" t="s">
        <v>53</v>
      </c>
      <c r="L554" s="22" t="str">
        <f t="shared" si="40"/>
        <v>INCLUDE</v>
      </c>
      <c r="M554" s="22" t="str">
        <f t="shared" si="41"/>
        <v/>
      </c>
      <c r="N554" s="23" t="s">
        <v>53</v>
      </c>
      <c r="O554" s="23" t="s">
        <v>53</v>
      </c>
      <c r="P554" s="24" t="s">
        <v>53</v>
      </c>
      <c r="Q554" s="24" t="s">
        <v>53</v>
      </c>
      <c r="R554" s="24" t="s">
        <v>53</v>
      </c>
      <c r="S554" s="22" t="str">
        <f t="shared" si="42"/>
        <v>INCLUDE</v>
      </c>
      <c r="T554" s="22" t="str">
        <f t="shared" si="43"/>
        <v/>
      </c>
      <c r="U554" s="25" t="s">
        <v>76</v>
      </c>
      <c r="V554" s="25">
        <v>0</v>
      </c>
      <c r="W554" s="25">
        <v>1</v>
      </c>
      <c r="X554" s="25">
        <v>0</v>
      </c>
      <c r="Y554" s="22" t="str">
        <f t="shared" si="44"/>
        <v>Single</v>
      </c>
      <c r="Z554" s="25" t="s">
        <v>9</v>
      </c>
      <c r="AA554" s="25" t="s">
        <v>57</v>
      </c>
      <c r="AB554" s="25" t="s">
        <v>104</v>
      </c>
      <c r="AC554" s="25" t="s">
        <v>70</v>
      </c>
      <c r="AD554" s="25" t="s">
        <v>89</v>
      </c>
      <c r="AE554" s="25">
        <v>4</v>
      </c>
      <c r="AF554" s="25" t="s">
        <v>90</v>
      </c>
      <c r="AG554" s="9" t="s">
        <v>2766</v>
      </c>
      <c r="AH554" s="29" t="s">
        <v>2767</v>
      </c>
      <c r="AI554" s="29" t="s">
        <v>2768</v>
      </c>
      <c r="AJ554" t="s">
        <v>91</v>
      </c>
      <c r="AK554" t="s">
        <v>2769</v>
      </c>
      <c r="AL554" t="s">
        <v>74</v>
      </c>
      <c r="AM554" s="50"/>
      <c r="AN554" s="51" t="s">
        <v>2770</v>
      </c>
      <c r="AO554" s="55" t="s">
        <v>2771</v>
      </c>
    </row>
    <row r="555" spans="1:41" ht="91.2" x14ac:dyDescent="0.3">
      <c r="A555" s="20">
        <v>551</v>
      </c>
      <c r="B555" s="8" t="s">
        <v>2772</v>
      </c>
      <c r="C555" s="26">
        <v>2024</v>
      </c>
      <c r="D555" s="8"/>
      <c r="E555" s="8" t="s">
        <v>2773</v>
      </c>
      <c r="F555" s="20" t="s">
        <v>54</v>
      </c>
      <c r="G555" s="21" t="s">
        <v>53</v>
      </c>
      <c r="H555" s="21" t="s">
        <v>53</v>
      </c>
      <c r="I555" s="21" t="s">
        <v>53</v>
      </c>
      <c r="J555" s="21" t="s">
        <v>53</v>
      </c>
      <c r="K555" s="21" t="s">
        <v>53</v>
      </c>
      <c r="L555" s="22" t="str">
        <f t="shared" si="40"/>
        <v>INCLUDE</v>
      </c>
      <c r="M555" s="22" t="str">
        <f t="shared" si="41"/>
        <v/>
      </c>
      <c r="N555" s="23" t="s">
        <v>53</v>
      </c>
      <c r="O555" s="23" t="s">
        <v>53</v>
      </c>
      <c r="P555" s="24" t="s">
        <v>53</v>
      </c>
      <c r="Q555" s="24" t="s">
        <v>53</v>
      </c>
      <c r="R555" s="24" t="s">
        <v>53</v>
      </c>
      <c r="S555" s="22" t="str">
        <f t="shared" si="42"/>
        <v>INCLUDE</v>
      </c>
      <c r="T555" s="22" t="str">
        <f t="shared" si="43"/>
        <v/>
      </c>
      <c r="U555" s="25" t="s">
        <v>67</v>
      </c>
      <c r="V555" s="25">
        <v>0</v>
      </c>
      <c r="W555" s="25">
        <v>0</v>
      </c>
      <c r="X555" s="25">
        <v>1</v>
      </c>
      <c r="Y555" s="22" t="str">
        <f t="shared" si="44"/>
        <v>Single</v>
      </c>
      <c r="Z555" s="25" t="s">
        <v>9</v>
      </c>
      <c r="AA555" s="25" t="s">
        <v>57</v>
      </c>
      <c r="AB555" s="25" t="s">
        <v>103</v>
      </c>
      <c r="AC555" s="25" t="s">
        <v>70</v>
      </c>
      <c r="AD555" s="25" t="s">
        <v>89</v>
      </c>
      <c r="AE555" s="25">
        <v>4</v>
      </c>
      <c r="AF555" s="25" t="s">
        <v>90</v>
      </c>
      <c r="AG555" s="9" t="s">
        <v>2774</v>
      </c>
      <c r="AH555" s="29" t="s">
        <v>2775</v>
      </c>
      <c r="AI555" s="29" t="s">
        <v>2776</v>
      </c>
      <c r="AJ555" t="s">
        <v>82</v>
      </c>
      <c r="AK555" t="s">
        <v>2777</v>
      </c>
      <c r="AL555" t="s">
        <v>63</v>
      </c>
      <c r="AM555" s="50"/>
      <c r="AN555" s="51" t="s">
        <v>2778</v>
      </c>
      <c r="AO555" s="55" t="s">
        <v>2779</v>
      </c>
    </row>
    <row r="556" spans="1:41" ht="57" hidden="1" x14ac:dyDescent="0.3">
      <c r="A556" s="20">
        <v>552</v>
      </c>
      <c r="B556" s="8" t="s">
        <v>2780</v>
      </c>
      <c r="C556" s="26">
        <v>2023</v>
      </c>
      <c r="D556" s="8"/>
      <c r="E556" s="8" t="s">
        <v>2781</v>
      </c>
      <c r="F556" s="20" t="s">
        <v>54</v>
      </c>
      <c r="G556" s="21" t="s">
        <v>53</v>
      </c>
      <c r="H556" s="21" t="s">
        <v>64</v>
      </c>
      <c r="I556" s="21" t="s">
        <v>53</v>
      </c>
      <c r="J556" s="21" t="s">
        <v>53</v>
      </c>
      <c r="K556" s="21" t="s">
        <v>53</v>
      </c>
      <c r="L556" s="22" t="str">
        <f t="shared" si="40"/>
        <v>EXCLUDE</v>
      </c>
      <c r="M556" s="22" t="str">
        <f t="shared" si="41"/>
        <v>Digital Twin not core / buzzword</v>
      </c>
      <c r="N556" s="23"/>
      <c r="O556" s="23"/>
      <c r="P556" s="24"/>
      <c r="Q556" s="24"/>
      <c r="R556" s="24"/>
      <c r="S556" s="22" t="str">
        <f t="shared" si="42"/>
        <v/>
      </c>
      <c r="T556" s="22" t="str">
        <f t="shared" si="43"/>
        <v/>
      </c>
      <c r="U556" s="25"/>
      <c r="V556" s="25"/>
      <c r="W556" s="25"/>
      <c r="X556" s="25"/>
      <c r="Y556" s="22" t="str">
        <f t="shared" si="44"/>
        <v/>
      </c>
      <c r="Z556" s="25"/>
      <c r="AA556" s="25"/>
      <c r="AB556" s="25"/>
      <c r="AC556" s="25"/>
      <c r="AD556" s="25"/>
      <c r="AE556" s="25"/>
      <c r="AF556" s="25"/>
      <c r="AG556" s="9"/>
      <c r="AH556" s="29"/>
      <c r="AI556" s="29"/>
      <c r="AM556" s="50"/>
      <c r="AN556" s="51" t="s">
        <v>2782</v>
      </c>
      <c r="AO556" s="55" t="s">
        <v>2783</v>
      </c>
    </row>
    <row r="557" spans="1:41" ht="45.6" hidden="1" x14ac:dyDescent="0.3">
      <c r="A557" s="20">
        <v>553</v>
      </c>
      <c r="B557" s="8" t="s">
        <v>2784</v>
      </c>
      <c r="C557" s="26">
        <v>2021</v>
      </c>
      <c r="D557" s="8"/>
      <c r="E557" s="8" t="s">
        <v>2785</v>
      </c>
      <c r="F557" s="20" t="s">
        <v>54</v>
      </c>
      <c r="G557" s="21" t="s">
        <v>64</v>
      </c>
      <c r="H557" s="21" t="s">
        <v>53</v>
      </c>
      <c r="I557" s="21" t="s">
        <v>53</v>
      </c>
      <c r="J557" s="21" t="s">
        <v>53</v>
      </c>
      <c r="K557" s="21" t="s">
        <v>53</v>
      </c>
      <c r="L557" s="22" t="str">
        <f t="shared" si="40"/>
        <v>EXCLUDE</v>
      </c>
      <c r="M557" s="22" t="str">
        <f t="shared" si="41"/>
        <v>Wrong domain (non-AECO)</v>
      </c>
      <c r="N557" s="23"/>
      <c r="O557" s="23"/>
      <c r="P557" s="24"/>
      <c r="Q557" s="24"/>
      <c r="R557" s="24"/>
      <c r="S557" s="22" t="str">
        <f t="shared" si="42"/>
        <v/>
      </c>
      <c r="T557" s="22" t="str">
        <f t="shared" si="43"/>
        <v/>
      </c>
      <c r="U557" s="25"/>
      <c r="V557" s="25"/>
      <c r="W557" s="25"/>
      <c r="X557" s="25"/>
      <c r="Y557" s="22" t="str">
        <f t="shared" si="44"/>
        <v/>
      </c>
      <c r="Z557" s="25"/>
      <c r="AA557" s="25"/>
      <c r="AB557" s="25"/>
      <c r="AC557" s="25"/>
      <c r="AD557" s="25"/>
      <c r="AE557" s="25"/>
      <c r="AF557" s="25"/>
      <c r="AG557" s="9"/>
      <c r="AH557" s="29"/>
      <c r="AI557" s="29"/>
      <c r="AM557" s="50"/>
      <c r="AN557" s="51" t="s">
        <v>2786</v>
      </c>
      <c r="AO557" s="55" t="s">
        <v>2787</v>
      </c>
    </row>
    <row r="558" spans="1:41" ht="45.6" hidden="1" x14ac:dyDescent="0.3">
      <c r="A558" s="20">
        <v>554</v>
      </c>
      <c r="B558" s="8" t="s">
        <v>2788</v>
      </c>
      <c r="C558" s="26">
        <v>2024</v>
      </c>
      <c r="D558" s="8"/>
      <c r="E558" s="8" t="s">
        <v>2789</v>
      </c>
      <c r="F558" s="20" t="s">
        <v>54</v>
      </c>
      <c r="G558" s="21" t="s">
        <v>64</v>
      </c>
      <c r="H558" s="21" t="s">
        <v>53</v>
      </c>
      <c r="I558" s="21" t="s">
        <v>53</v>
      </c>
      <c r="J558" s="21" t="s">
        <v>53</v>
      </c>
      <c r="K558" s="21" t="s">
        <v>53</v>
      </c>
      <c r="L558" s="22" t="str">
        <f t="shared" si="40"/>
        <v>EXCLUDE</v>
      </c>
      <c r="M558" s="22" t="str">
        <f t="shared" si="41"/>
        <v>Wrong domain (non-AECO)</v>
      </c>
      <c r="N558" s="23"/>
      <c r="O558" s="23"/>
      <c r="P558" s="24"/>
      <c r="Q558" s="24"/>
      <c r="R558" s="24"/>
      <c r="S558" s="22" t="str">
        <f t="shared" si="42"/>
        <v/>
      </c>
      <c r="T558" s="22" t="str">
        <f t="shared" si="43"/>
        <v/>
      </c>
      <c r="U558" s="25"/>
      <c r="V558" s="25"/>
      <c r="W558" s="25"/>
      <c r="X558" s="25"/>
      <c r="Y558" s="22" t="str">
        <f t="shared" si="44"/>
        <v/>
      </c>
      <c r="Z558" s="25"/>
      <c r="AA558" s="25"/>
      <c r="AB558" s="25"/>
      <c r="AC558" s="25"/>
      <c r="AD558" s="25"/>
      <c r="AE558" s="25"/>
      <c r="AF558" s="25"/>
      <c r="AG558" s="9"/>
      <c r="AH558" s="29"/>
      <c r="AI558" s="29"/>
      <c r="AM558" s="50"/>
      <c r="AN558" s="51" t="s">
        <v>2790</v>
      </c>
      <c r="AO558" s="55" t="s">
        <v>2791</v>
      </c>
    </row>
    <row r="559" spans="1:41" ht="102.6" hidden="1" x14ac:dyDescent="0.3">
      <c r="A559" s="20">
        <v>555</v>
      </c>
      <c r="B559" s="8" t="s">
        <v>2792</v>
      </c>
      <c r="C559" s="26">
        <v>2025</v>
      </c>
      <c r="D559" s="8"/>
      <c r="E559" s="8" t="s">
        <v>2793</v>
      </c>
      <c r="F559" s="20" t="s">
        <v>54</v>
      </c>
      <c r="G559" s="21" t="s">
        <v>64</v>
      </c>
      <c r="H559" s="21" t="s">
        <v>53</v>
      </c>
      <c r="I559" s="21" t="s">
        <v>53</v>
      </c>
      <c r="J559" s="21" t="s">
        <v>53</v>
      </c>
      <c r="K559" s="21" t="s">
        <v>53</v>
      </c>
      <c r="L559" s="22" t="str">
        <f t="shared" si="40"/>
        <v>EXCLUDE</v>
      </c>
      <c r="M559" s="22" t="str">
        <f t="shared" si="41"/>
        <v>Wrong domain (non-AECO)</v>
      </c>
      <c r="N559" s="23"/>
      <c r="O559" s="23"/>
      <c r="P559" s="24"/>
      <c r="Q559" s="24"/>
      <c r="R559" s="24"/>
      <c r="S559" s="22" t="str">
        <f t="shared" si="42"/>
        <v/>
      </c>
      <c r="T559" s="22" t="str">
        <f t="shared" si="43"/>
        <v/>
      </c>
      <c r="U559" s="25"/>
      <c r="V559" s="25"/>
      <c r="W559" s="25"/>
      <c r="X559" s="25"/>
      <c r="Y559" s="22" t="str">
        <f t="shared" si="44"/>
        <v/>
      </c>
      <c r="Z559" s="25"/>
      <c r="AA559" s="25"/>
      <c r="AB559" s="25"/>
      <c r="AC559" s="25"/>
      <c r="AD559" s="25"/>
      <c r="AE559" s="25"/>
      <c r="AF559" s="25"/>
      <c r="AG559" s="9"/>
      <c r="AH559" s="29"/>
      <c r="AI559" s="29"/>
      <c r="AM559" s="50"/>
      <c r="AN559" s="51" t="s">
        <v>2794</v>
      </c>
      <c r="AO559" s="55" t="s">
        <v>2795</v>
      </c>
    </row>
    <row r="560" spans="1:41" ht="68.400000000000006" hidden="1" x14ac:dyDescent="0.3">
      <c r="A560" s="20">
        <v>556</v>
      </c>
      <c r="B560" s="8" t="s">
        <v>2796</v>
      </c>
      <c r="C560" s="26">
        <v>2023</v>
      </c>
      <c r="D560" s="8"/>
      <c r="E560" s="8" t="s">
        <v>2797</v>
      </c>
      <c r="F560" s="20" t="s">
        <v>54</v>
      </c>
      <c r="G560" s="21" t="s">
        <v>64</v>
      </c>
      <c r="H560" s="21" t="s">
        <v>53</v>
      </c>
      <c r="I560" s="21" t="s">
        <v>53</v>
      </c>
      <c r="J560" s="21" t="s">
        <v>53</v>
      </c>
      <c r="K560" s="21" t="s">
        <v>53</v>
      </c>
      <c r="L560" s="22" t="str">
        <f t="shared" si="40"/>
        <v>EXCLUDE</v>
      </c>
      <c r="M560" s="22" t="str">
        <f t="shared" si="41"/>
        <v>Wrong domain (non-AECO)</v>
      </c>
      <c r="N560" s="23"/>
      <c r="O560" s="23"/>
      <c r="P560" s="24"/>
      <c r="Q560" s="24"/>
      <c r="R560" s="24"/>
      <c r="S560" s="22" t="str">
        <f t="shared" si="42"/>
        <v/>
      </c>
      <c r="T560" s="22" t="str">
        <f t="shared" si="43"/>
        <v/>
      </c>
      <c r="U560" s="25"/>
      <c r="V560" s="25"/>
      <c r="W560" s="25"/>
      <c r="X560" s="25"/>
      <c r="Y560" s="22" t="str">
        <f t="shared" si="44"/>
        <v/>
      </c>
      <c r="Z560" s="25"/>
      <c r="AA560" s="25"/>
      <c r="AB560" s="25"/>
      <c r="AC560" s="25"/>
      <c r="AD560" s="25"/>
      <c r="AE560" s="25"/>
      <c r="AF560" s="25"/>
      <c r="AG560" s="9"/>
      <c r="AH560" s="29"/>
      <c r="AI560" s="29"/>
      <c r="AM560" s="50"/>
      <c r="AN560" s="51" t="s">
        <v>2798</v>
      </c>
      <c r="AO560" s="55" t="s">
        <v>2799</v>
      </c>
    </row>
    <row r="561" spans="1:41" ht="57" hidden="1" x14ac:dyDescent="0.3">
      <c r="A561" s="20">
        <v>557</v>
      </c>
      <c r="B561" s="8" t="s">
        <v>2800</v>
      </c>
      <c r="C561" s="26">
        <v>2022</v>
      </c>
      <c r="D561" s="8"/>
      <c r="E561" s="8" t="s">
        <v>2801</v>
      </c>
      <c r="F561" s="20" t="s">
        <v>54</v>
      </c>
      <c r="G561" s="21" t="s">
        <v>64</v>
      </c>
      <c r="H561" s="21" t="s">
        <v>53</v>
      </c>
      <c r="I561" s="21" t="s">
        <v>53</v>
      </c>
      <c r="J561" s="21" t="s">
        <v>53</v>
      </c>
      <c r="K561" s="21" t="s">
        <v>53</v>
      </c>
      <c r="L561" s="22" t="str">
        <f t="shared" si="40"/>
        <v>EXCLUDE</v>
      </c>
      <c r="M561" s="22" t="str">
        <f t="shared" si="41"/>
        <v>Wrong domain (non-AECO)</v>
      </c>
      <c r="N561" s="23"/>
      <c r="O561" s="23"/>
      <c r="P561" s="24"/>
      <c r="Q561" s="24"/>
      <c r="R561" s="24"/>
      <c r="S561" s="22" t="str">
        <f t="shared" si="42"/>
        <v/>
      </c>
      <c r="T561" s="22" t="str">
        <f t="shared" si="43"/>
        <v/>
      </c>
      <c r="U561" s="25"/>
      <c r="V561" s="25"/>
      <c r="W561" s="25"/>
      <c r="X561" s="25"/>
      <c r="Y561" s="22" t="str">
        <f t="shared" si="44"/>
        <v/>
      </c>
      <c r="Z561" s="25"/>
      <c r="AA561" s="25"/>
      <c r="AB561" s="25"/>
      <c r="AC561" s="25"/>
      <c r="AD561" s="25"/>
      <c r="AE561" s="25"/>
      <c r="AF561" s="25"/>
      <c r="AG561" s="9"/>
      <c r="AH561" s="29"/>
      <c r="AI561" s="29"/>
      <c r="AM561" s="50"/>
      <c r="AN561" s="51" t="s">
        <v>2802</v>
      </c>
      <c r="AO561" s="55" t="s">
        <v>2803</v>
      </c>
    </row>
    <row r="562" spans="1:41" ht="91.2" x14ac:dyDescent="0.3">
      <c r="A562" s="20">
        <v>558</v>
      </c>
      <c r="B562" s="8" t="s">
        <v>2804</v>
      </c>
      <c r="C562" s="26">
        <v>2025</v>
      </c>
      <c r="D562" s="8"/>
      <c r="E562" s="8" t="s">
        <v>2805</v>
      </c>
      <c r="F562" s="20" t="s">
        <v>54</v>
      </c>
      <c r="G562" s="21" t="s">
        <v>53</v>
      </c>
      <c r="H562" s="21" t="s">
        <v>53</v>
      </c>
      <c r="I562" s="21" t="s">
        <v>53</v>
      </c>
      <c r="J562" s="21" t="s">
        <v>53</v>
      </c>
      <c r="K562" s="21" t="s">
        <v>53</v>
      </c>
      <c r="L562" s="22" t="str">
        <f t="shared" si="40"/>
        <v>INCLUDE</v>
      </c>
      <c r="M562" s="22" t="str">
        <f t="shared" si="41"/>
        <v/>
      </c>
      <c r="N562" s="23" t="s">
        <v>53</v>
      </c>
      <c r="O562" s="23" t="s">
        <v>53</v>
      </c>
      <c r="P562" s="24" t="s">
        <v>53</v>
      </c>
      <c r="Q562" s="24" t="s">
        <v>53</v>
      </c>
      <c r="R562" s="24" t="s">
        <v>53</v>
      </c>
      <c r="S562" s="22" t="str">
        <f t="shared" si="42"/>
        <v>INCLUDE</v>
      </c>
      <c r="T562" s="22" t="str">
        <f t="shared" si="43"/>
        <v/>
      </c>
      <c r="U562" s="25" t="s">
        <v>67</v>
      </c>
      <c r="V562" s="25">
        <v>0</v>
      </c>
      <c r="W562" s="25">
        <v>0</v>
      </c>
      <c r="X562" s="25">
        <v>1</v>
      </c>
      <c r="Y562" s="22" t="str">
        <f t="shared" si="44"/>
        <v>Single</v>
      </c>
      <c r="Z562" s="25" t="s">
        <v>9</v>
      </c>
      <c r="AA562" s="25" t="s">
        <v>57</v>
      </c>
      <c r="AB562" s="25" t="s">
        <v>104</v>
      </c>
      <c r="AC562" s="25" t="s">
        <v>70</v>
      </c>
      <c r="AD562" s="25" t="s">
        <v>71</v>
      </c>
      <c r="AE562" s="25">
        <v>3</v>
      </c>
      <c r="AF562" s="25" t="s">
        <v>96</v>
      </c>
      <c r="AG562" s="9" t="s">
        <v>2806</v>
      </c>
      <c r="AH562" s="29" t="s">
        <v>2807</v>
      </c>
      <c r="AI562" s="29" t="s">
        <v>2808</v>
      </c>
      <c r="AJ562" t="s">
        <v>91</v>
      </c>
      <c r="AK562" t="s">
        <v>2809</v>
      </c>
      <c r="AL562" t="s">
        <v>83</v>
      </c>
      <c r="AM562" s="50" t="s">
        <v>213</v>
      </c>
      <c r="AN562" s="51" t="s">
        <v>2810</v>
      </c>
      <c r="AO562" s="55" t="s">
        <v>2811</v>
      </c>
    </row>
    <row r="563" spans="1:41" ht="91.2" x14ac:dyDescent="0.3">
      <c r="A563" s="20">
        <v>559</v>
      </c>
      <c r="B563" s="8" t="s">
        <v>2812</v>
      </c>
      <c r="C563" s="26">
        <v>2025</v>
      </c>
      <c r="D563" s="8"/>
      <c r="E563" s="8" t="s">
        <v>2813</v>
      </c>
      <c r="F563" s="20" t="s">
        <v>54</v>
      </c>
      <c r="G563" s="21" t="s">
        <v>53</v>
      </c>
      <c r="H563" s="21" t="s">
        <v>53</v>
      </c>
      <c r="I563" s="21" t="s">
        <v>53</v>
      </c>
      <c r="J563" s="21" t="s">
        <v>53</v>
      </c>
      <c r="K563" s="21" t="s">
        <v>53</v>
      </c>
      <c r="L563" s="22" t="str">
        <f t="shared" si="40"/>
        <v>INCLUDE</v>
      </c>
      <c r="M563" s="22" t="str">
        <f t="shared" si="41"/>
        <v/>
      </c>
      <c r="N563" s="23" t="s">
        <v>53</v>
      </c>
      <c r="O563" s="23" t="s">
        <v>53</v>
      </c>
      <c r="P563" s="24" t="s">
        <v>53</v>
      </c>
      <c r="Q563" s="24" t="s">
        <v>53</v>
      </c>
      <c r="R563" s="24" t="s">
        <v>53</v>
      </c>
      <c r="S563" s="22" t="str">
        <f t="shared" si="42"/>
        <v>INCLUDE</v>
      </c>
      <c r="T563" s="22" t="str">
        <f t="shared" si="43"/>
        <v/>
      </c>
      <c r="U563" s="25" t="s">
        <v>67</v>
      </c>
      <c r="V563" s="25">
        <v>0</v>
      </c>
      <c r="W563" s="25">
        <v>0</v>
      </c>
      <c r="X563" s="25">
        <v>1</v>
      </c>
      <c r="Y563" s="22" t="str">
        <f t="shared" si="44"/>
        <v>Single</v>
      </c>
      <c r="Z563" s="25" t="s">
        <v>9</v>
      </c>
      <c r="AA563" s="25" t="s">
        <v>57</v>
      </c>
      <c r="AB563" s="25" t="s">
        <v>101</v>
      </c>
      <c r="AC563" s="25" t="s">
        <v>70</v>
      </c>
      <c r="AD563" s="25" t="s">
        <v>89</v>
      </c>
      <c r="AE563" s="25">
        <v>4</v>
      </c>
      <c r="AF563" s="25" t="s">
        <v>96</v>
      </c>
      <c r="AG563" s="9" t="s">
        <v>2814</v>
      </c>
      <c r="AH563" s="29" t="s">
        <v>2815</v>
      </c>
      <c r="AI563" s="29" t="s">
        <v>2816</v>
      </c>
      <c r="AJ563" t="s">
        <v>91</v>
      </c>
      <c r="AK563" t="s">
        <v>2817</v>
      </c>
      <c r="AL563" t="s">
        <v>74</v>
      </c>
      <c r="AM563" s="50"/>
      <c r="AN563" s="51" t="s">
        <v>2818</v>
      </c>
      <c r="AO563" s="55" t="s">
        <v>2819</v>
      </c>
    </row>
    <row r="564" spans="1:41" ht="57" hidden="1" x14ac:dyDescent="0.3">
      <c r="A564" s="20">
        <v>560</v>
      </c>
      <c r="B564" s="8" t="s">
        <v>2820</v>
      </c>
      <c r="C564" s="26">
        <v>2024</v>
      </c>
      <c r="D564" s="8"/>
      <c r="E564" s="8" t="s">
        <v>2821</v>
      </c>
      <c r="F564" s="20" t="s">
        <v>54</v>
      </c>
      <c r="G564" s="21" t="s">
        <v>53</v>
      </c>
      <c r="H564" s="21" t="s">
        <v>53</v>
      </c>
      <c r="I564" s="21" t="s">
        <v>64</v>
      </c>
      <c r="J564" s="21" t="s">
        <v>53</v>
      </c>
      <c r="K564" s="21" t="s">
        <v>53</v>
      </c>
      <c r="L564" s="22" t="str">
        <f t="shared" si="40"/>
        <v>EXCLUDE</v>
      </c>
      <c r="M564" s="22" t="str">
        <f t="shared" si="41"/>
        <v>No Design for Safety/Quality/PtD</v>
      </c>
      <c r="N564" s="23"/>
      <c r="O564" s="23"/>
      <c r="P564" s="24"/>
      <c r="Q564" s="24"/>
      <c r="R564" s="24"/>
      <c r="S564" s="22" t="str">
        <f t="shared" si="42"/>
        <v/>
      </c>
      <c r="T564" s="22" t="str">
        <f t="shared" si="43"/>
        <v/>
      </c>
      <c r="U564" s="25"/>
      <c r="V564" s="25"/>
      <c r="W564" s="25"/>
      <c r="X564" s="25"/>
      <c r="Y564" s="22" t="str">
        <f t="shared" si="44"/>
        <v/>
      </c>
      <c r="Z564" s="25"/>
      <c r="AA564" s="25"/>
      <c r="AB564" s="25"/>
      <c r="AC564" s="25"/>
      <c r="AD564" s="25"/>
      <c r="AE564" s="25"/>
      <c r="AF564" s="25"/>
      <c r="AG564" s="9"/>
      <c r="AH564" s="29"/>
      <c r="AI564" s="29"/>
      <c r="AM564" s="50"/>
      <c r="AN564" s="51" t="s">
        <v>2822</v>
      </c>
      <c r="AO564" s="55" t="s">
        <v>2823</v>
      </c>
    </row>
    <row r="565" spans="1:41" ht="28.8" hidden="1" x14ac:dyDescent="0.3">
      <c r="A565" s="20">
        <v>561</v>
      </c>
      <c r="B565" s="8" t="s">
        <v>2824</v>
      </c>
      <c r="C565" s="26">
        <v>2021</v>
      </c>
      <c r="D565" s="8"/>
      <c r="E565" s="8" t="s">
        <v>2825</v>
      </c>
      <c r="F565" s="20" t="s">
        <v>54</v>
      </c>
      <c r="G565" s="21" t="s">
        <v>53</v>
      </c>
      <c r="H565" s="21" t="s">
        <v>64</v>
      </c>
      <c r="I565" s="21" t="s">
        <v>53</v>
      </c>
      <c r="J565" s="21" t="s">
        <v>53</v>
      </c>
      <c r="K565" s="21" t="s">
        <v>53</v>
      </c>
      <c r="L565" s="22" t="str">
        <f t="shared" si="40"/>
        <v>EXCLUDE</v>
      </c>
      <c r="M565" s="22" t="str">
        <f t="shared" si="41"/>
        <v>Digital Twin not core / buzzword</v>
      </c>
      <c r="N565" s="23"/>
      <c r="O565" s="23"/>
      <c r="P565" s="24"/>
      <c r="Q565" s="24"/>
      <c r="R565" s="24"/>
      <c r="S565" s="22" t="str">
        <f t="shared" si="42"/>
        <v/>
      </c>
      <c r="T565" s="22" t="str">
        <f t="shared" si="43"/>
        <v/>
      </c>
      <c r="U565" s="25"/>
      <c r="V565" s="25"/>
      <c r="W565" s="25"/>
      <c r="X565" s="25"/>
      <c r="Y565" s="22" t="str">
        <f t="shared" si="44"/>
        <v/>
      </c>
      <c r="Z565" s="25"/>
      <c r="AA565" s="25"/>
      <c r="AB565" s="25"/>
      <c r="AC565" s="25"/>
      <c r="AD565" s="25"/>
      <c r="AE565" s="25"/>
      <c r="AF565" s="25"/>
      <c r="AG565" s="9"/>
      <c r="AH565" s="29"/>
      <c r="AI565" s="29"/>
      <c r="AM565" s="50"/>
      <c r="AN565" s="51" t="s">
        <v>2826</v>
      </c>
      <c r="AO565" s="55" t="s">
        <v>2827</v>
      </c>
    </row>
    <row r="566" spans="1:41" ht="79.8" x14ac:dyDescent="0.3">
      <c r="A566" s="20">
        <v>562</v>
      </c>
      <c r="B566" s="8" t="s">
        <v>2828</v>
      </c>
      <c r="C566" s="26">
        <v>2023</v>
      </c>
      <c r="D566" s="8"/>
      <c r="E566" s="8" t="s">
        <v>2829</v>
      </c>
      <c r="F566" s="20" t="s">
        <v>54</v>
      </c>
      <c r="G566" s="21" t="s">
        <v>53</v>
      </c>
      <c r="H566" s="21" t="s">
        <v>53</v>
      </c>
      <c r="I566" s="21" t="s">
        <v>53</v>
      </c>
      <c r="J566" s="21" t="s">
        <v>53</v>
      </c>
      <c r="K566" s="21" t="s">
        <v>53</v>
      </c>
      <c r="L566" s="22" t="str">
        <f t="shared" si="40"/>
        <v>INCLUDE</v>
      </c>
      <c r="M566" s="22" t="str">
        <f t="shared" si="41"/>
        <v/>
      </c>
      <c r="N566" s="23" t="s">
        <v>53</v>
      </c>
      <c r="O566" s="23" t="s">
        <v>53</v>
      </c>
      <c r="P566" s="24" t="s">
        <v>53</v>
      </c>
      <c r="Q566" s="24" t="s">
        <v>53</v>
      </c>
      <c r="R566" s="24" t="s">
        <v>53</v>
      </c>
      <c r="S566" s="22" t="str">
        <f t="shared" si="42"/>
        <v>INCLUDE</v>
      </c>
      <c r="T566" s="22" t="str">
        <f t="shared" si="43"/>
        <v/>
      </c>
      <c r="U566" s="25" t="s">
        <v>56</v>
      </c>
      <c r="V566" s="25">
        <v>0</v>
      </c>
      <c r="W566" s="25">
        <v>0</v>
      </c>
      <c r="X566" s="25">
        <v>1</v>
      </c>
      <c r="Y566" s="22" t="str">
        <f t="shared" si="44"/>
        <v>Single</v>
      </c>
      <c r="Z566" s="25" t="s">
        <v>9</v>
      </c>
      <c r="AA566" s="25" t="s">
        <v>57</v>
      </c>
      <c r="AB566" s="25" t="s">
        <v>103</v>
      </c>
      <c r="AC566" s="25" t="s">
        <v>70</v>
      </c>
      <c r="AD566" s="25" t="s">
        <v>89</v>
      </c>
      <c r="AE566" s="25">
        <v>3</v>
      </c>
      <c r="AF566" s="25" t="s">
        <v>98</v>
      </c>
      <c r="AG566" s="9" t="s">
        <v>2830</v>
      </c>
      <c r="AH566" s="29" t="s">
        <v>2831</v>
      </c>
      <c r="AI566" s="29" t="s">
        <v>2832</v>
      </c>
      <c r="AJ566" t="s">
        <v>91</v>
      </c>
      <c r="AK566" t="s">
        <v>2833</v>
      </c>
      <c r="AL566" t="s">
        <v>74</v>
      </c>
      <c r="AM566" s="50"/>
      <c r="AN566" s="51" t="s">
        <v>2834</v>
      </c>
      <c r="AO566" s="55" t="s">
        <v>2835</v>
      </c>
    </row>
    <row r="567" spans="1:41" ht="45.6" hidden="1" x14ac:dyDescent="0.3">
      <c r="A567" s="20">
        <v>563</v>
      </c>
      <c r="B567" s="8" t="s">
        <v>2836</v>
      </c>
      <c r="C567" s="26">
        <v>2022</v>
      </c>
      <c r="D567" s="8"/>
      <c r="E567" s="8" t="s">
        <v>2837</v>
      </c>
      <c r="F567" s="20" t="s">
        <v>54</v>
      </c>
      <c r="G567" s="21" t="s">
        <v>53</v>
      </c>
      <c r="H567" s="21" t="s">
        <v>64</v>
      </c>
      <c r="I567" s="21" t="s">
        <v>53</v>
      </c>
      <c r="J567" s="21" t="s">
        <v>53</v>
      </c>
      <c r="K567" s="21" t="s">
        <v>53</v>
      </c>
      <c r="L567" s="22" t="str">
        <f t="shared" si="40"/>
        <v>EXCLUDE</v>
      </c>
      <c r="M567" s="22" t="str">
        <f t="shared" si="41"/>
        <v>Digital Twin not core / buzzword</v>
      </c>
      <c r="N567" s="23"/>
      <c r="O567" s="23"/>
      <c r="P567" s="24"/>
      <c r="Q567" s="24"/>
      <c r="R567" s="24"/>
      <c r="S567" s="22" t="str">
        <f t="shared" si="42"/>
        <v/>
      </c>
      <c r="T567" s="22" t="str">
        <f t="shared" si="43"/>
        <v/>
      </c>
      <c r="U567" s="25"/>
      <c r="V567" s="25"/>
      <c r="W567" s="25"/>
      <c r="X567" s="25"/>
      <c r="Y567" s="22" t="str">
        <f t="shared" si="44"/>
        <v/>
      </c>
      <c r="Z567" s="25"/>
      <c r="AA567" s="25"/>
      <c r="AB567" s="25"/>
      <c r="AC567" s="25"/>
      <c r="AD567" s="25"/>
      <c r="AE567" s="25"/>
      <c r="AF567" s="25"/>
      <c r="AG567" s="9"/>
      <c r="AH567" s="29"/>
      <c r="AI567" s="29"/>
      <c r="AM567" s="50"/>
      <c r="AN567" s="51" t="s">
        <v>2838</v>
      </c>
      <c r="AO567" s="55" t="s">
        <v>2839</v>
      </c>
    </row>
    <row r="568" spans="1:41" ht="45.6" hidden="1" x14ac:dyDescent="0.3">
      <c r="A568" s="20">
        <v>564</v>
      </c>
      <c r="B568" s="8" t="s">
        <v>2840</v>
      </c>
      <c r="C568" s="26">
        <v>2024</v>
      </c>
      <c r="D568" s="8"/>
      <c r="E568" s="8" t="s">
        <v>2841</v>
      </c>
      <c r="F568" s="20" t="s">
        <v>54</v>
      </c>
      <c r="G568" s="21" t="s">
        <v>64</v>
      </c>
      <c r="H568" s="21" t="s">
        <v>53</v>
      </c>
      <c r="I568" s="21" t="s">
        <v>53</v>
      </c>
      <c r="J568" s="21" t="s">
        <v>53</v>
      </c>
      <c r="K568" s="21" t="s">
        <v>53</v>
      </c>
      <c r="L568" s="22" t="str">
        <f t="shared" si="40"/>
        <v>EXCLUDE</v>
      </c>
      <c r="M568" s="22" t="str">
        <f t="shared" si="41"/>
        <v>Wrong domain (non-AECO)</v>
      </c>
      <c r="N568" s="23"/>
      <c r="O568" s="23"/>
      <c r="P568" s="24"/>
      <c r="Q568" s="24"/>
      <c r="R568" s="24"/>
      <c r="S568" s="22" t="str">
        <f t="shared" si="42"/>
        <v/>
      </c>
      <c r="T568" s="22" t="str">
        <f t="shared" si="43"/>
        <v/>
      </c>
      <c r="U568" s="25"/>
      <c r="V568" s="25"/>
      <c r="W568" s="25"/>
      <c r="X568" s="25"/>
      <c r="Y568" s="22" t="str">
        <f t="shared" si="44"/>
        <v/>
      </c>
      <c r="Z568" s="25"/>
      <c r="AA568" s="25"/>
      <c r="AB568" s="25"/>
      <c r="AC568" s="25"/>
      <c r="AD568" s="25"/>
      <c r="AE568" s="25"/>
      <c r="AF568" s="25"/>
      <c r="AG568" s="9"/>
      <c r="AH568" s="29"/>
      <c r="AI568" s="29"/>
      <c r="AM568" s="50"/>
      <c r="AN568" s="51" t="s">
        <v>2842</v>
      </c>
      <c r="AO568" s="55" t="s">
        <v>2843</v>
      </c>
    </row>
    <row r="569" spans="1:41" ht="68.400000000000006" hidden="1" x14ac:dyDescent="0.3">
      <c r="A569" s="20">
        <v>565</v>
      </c>
      <c r="B569" s="8" t="s">
        <v>2844</v>
      </c>
      <c r="C569" s="26">
        <v>2024</v>
      </c>
      <c r="D569" s="8"/>
      <c r="E569" s="8" t="s">
        <v>2845</v>
      </c>
      <c r="F569" s="20" t="s">
        <v>54</v>
      </c>
      <c r="G569" s="21" t="s">
        <v>53</v>
      </c>
      <c r="H569" s="21" t="s">
        <v>64</v>
      </c>
      <c r="I569" s="21" t="s">
        <v>53</v>
      </c>
      <c r="J569" s="21" t="s">
        <v>53</v>
      </c>
      <c r="K569" s="21" t="s">
        <v>53</v>
      </c>
      <c r="L569" s="22" t="str">
        <f t="shared" si="40"/>
        <v>EXCLUDE</v>
      </c>
      <c r="M569" s="22" t="str">
        <f t="shared" si="41"/>
        <v>Digital Twin not core / buzzword</v>
      </c>
      <c r="N569" s="23"/>
      <c r="O569" s="23"/>
      <c r="P569" s="24"/>
      <c r="Q569" s="24"/>
      <c r="R569" s="24"/>
      <c r="S569" s="22" t="str">
        <f t="shared" si="42"/>
        <v/>
      </c>
      <c r="T569" s="22" t="str">
        <f t="shared" si="43"/>
        <v/>
      </c>
      <c r="U569" s="25"/>
      <c r="V569" s="25"/>
      <c r="W569" s="25"/>
      <c r="X569" s="25"/>
      <c r="Y569" s="22" t="str">
        <f t="shared" si="44"/>
        <v/>
      </c>
      <c r="Z569" s="25"/>
      <c r="AA569" s="25"/>
      <c r="AB569" s="25"/>
      <c r="AC569" s="25"/>
      <c r="AD569" s="25"/>
      <c r="AE569" s="25"/>
      <c r="AF569" s="25"/>
      <c r="AG569" s="9"/>
      <c r="AH569" s="29"/>
      <c r="AI569" s="29"/>
      <c r="AM569" s="50"/>
      <c r="AN569" s="51" t="s">
        <v>2846</v>
      </c>
      <c r="AO569" s="55" t="s">
        <v>2847</v>
      </c>
    </row>
    <row r="570" spans="1:41" ht="91.2" x14ac:dyDescent="0.3">
      <c r="A570" s="20">
        <v>566</v>
      </c>
      <c r="B570" s="8" t="s">
        <v>2848</v>
      </c>
      <c r="C570" s="26">
        <v>2021</v>
      </c>
      <c r="D570" s="8"/>
      <c r="E570" s="8" t="s">
        <v>2849</v>
      </c>
      <c r="F570" s="20" t="s">
        <v>54</v>
      </c>
      <c r="G570" s="21" t="s">
        <v>53</v>
      </c>
      <c r="H570" s="21" t="s">
        <v>53</v>
      </c>
      <c r="I570" s="21" t="s">
        <v>53</v>
      </c>
      <c r="J570" s="21" t="s">
        <v>53</v>
      </c>
      <c r="K570" s="21" t="s">
        <v>53</v>
      </c>
      <c r="L570" s="22" t="str">
        <f t="shared" si="40"/>
        <v>INCLUDE</v>
      </c>
      <c r="M570" s="22" t="str">
        <f t="shared" si="41"/>
        <v/>
      </c>
      <c r="N570" s="23" t="s">
        <v>53</v>
      </c>
      <c r="O570" s="23" t="s">
        <v>53</v>
      </c>
      <c r="P570" s="24" t="s">
        <v>53</v>
      </c>
      <c r="Q570" s="24" t="s">
        <v>53</v>
      </c>
      <c r="R570" s="24" t="s">
        <v>53</v>
      </c>
      <c r="S570" s="22" t="str">
        <f t="shared" si="42"/>
        <v>INCLUDE</v>
      </c>
      <c r="T570" s="22" t="str">
        <f t="shared" si="43"/>
        <v/>
      </c>
      <c r="U570" s="25" t="s">
        <v>93</v>
      </c>
      <c r="V570" s="25">
        <v>0</v>
      </c>
      <c r="W570" s="25">
        <v>1</v>
      </c>
      <c r="X570" s="25">
        <v>0</v>
      </c>
      <c r="Y570" s="22" t="str">
        <f t="shared" si="44"/>
        <v>Single</v>
      </c>
      <c r="Z570" s="25" t="s">
        <v>9</v>
      </c>
      <c r="AA570" s="25" t="s">
        <v>57</v>
      </c>
      <c r="AB570" s="25" t="s">
        <v>103</v>
      </c>
      <c r="AC570" s="25" t="s">
        <v>70</v>
      </c>
      <c r="AD570" s="25" t="s">
        <v>60</v>
      </c>
      <c r="AE570" s="25">
        <v>2</v>
      </c>
      <c r="AF570" s="25" t="s">
        <v>90</v>
      </c>
      <c r="AG570" s="9" t="s">
        <v>2586</v>
      </c>
      <c r="AH570" s="29" t="s">
        <v>2587</v>
      </c>
      <c r="AI570" s="29" t="s">
        <v>2588</v>
      </c>
      <c r="AJ570" t="s">
        <v>93</v>
      </c>
      <c r="AK570" t="s">
        <v>2589</v>
      </c>
      <c r="AL570" t="s">
        <v>63</v>
      </c>
      <c r="AM570" s="50" t="s">
        <v>213</v>
      </c>
      <c r="AN570" s="51" t="s">
        <v>2850</v>
      </c>
      <c r="AO570" s="55" t="s">
        <v>2851</v>
      </c>
    </row>
    <row r="571" spans="1:41" ht="45.6" hidden="1" x14ac:dyDescent="0.3">
      <c r="A571" s="20">
        <v>567</v>
      </c>
      <c r="B571" s="8" t="s">
        <v>2852</v>
      </c>
      <c r="C571" s="26">
        <v>2023</v>
      </c>
      <c r="D571" s="8"/>
      <c r="E571" s="8" t="s">
        <v>2853</v>
      </c>
      <c r="F571" s="20" t="s">
        <v>54</v>
      </c>
      <c r="G571" s="21" t="s">
        <v>53</v>
      </c>
      <c r="H571" s="21" t="s">
        <v>64</v>
      </c>
      <c r="I571" s="21" t="s">
        <v>53</v>
      </c>
      <c r="J571" s="21" t="s">
        <v>53</v>
      </c>
      <c r="K571" s="21" t="s">
        <v>53</v>
      </c>
      <c r="L571" s="22" t="str">
        <f t="shared" si="40"/>
        <v>EXCLUDE</v>
      </c>
      <c r="M571" s="22" t="str">
        <f t="shared" si="41"/>
        <v>Digital Twin not core / buzzword</v>
      </c>
      <c r="N571" s="23"/>
      <c r="O571" s="23"/>
      <c r="P571" s="24"/>
      <c r="Q571" s="24"/>
      <c r="R571" s="24"/>
      <c r="S571" s="22" t="str">
        <f t="shared" si="42"/>
        <v/>
      </c>
      <c r="T571" s="22" t="str">
        <f t="shared" si="43"/>
        <v/>
      </c>
      <c r="U571" s="25"/>
      <c r="V571" s="25"/>
      <c r="W571" s="25"/>
      <c r="X571" s="25"/>
      <c r="Y571" s="22" t="str">
        <f t="shared" si="44"/>
        <v/>
      </c>
      <c r="Z571" s="25"/>
      <c r="AA571" s="25"/>
      <c r="AB571" s="25"/>
      <c r="AC571" s="25"/>
      <c r="AD571" s="25"/>
      <c r="AE571" s="25"/>
      <c r="AF571" s="25"/>
      <c r="AG571" s="9"/>
      <c r="AH571" s="29"/>
      <c r="AI571" s="29"/>
      <c r="AM571" s="50"/>
      <c r="AN571" s="51" t="s">
        <v>2854</v>
      </c>
      <c r="AO571" s="55" t="s">
        <v>2855</v>
      </c>
    </row>
    <row r="572" spans="1:41" ht="102.6" hidden="1" x14ac:dyDescent="0.3">
      <c r="A572" s="20">
        <v>568</v>
      </c>
      <c r="B572" s="8" t="s">
        <v>2856</v>
      </c>
      <c r="C572" s="26">
        <v>2021</v>
      </c>
      <c r="D572" s="8"/>
      <c r="E572" s="8" t="s">
        <v>2857</v>
      </c>
      <c r="F572" s="20" t="s">
        <v>54</v>
      </c>
      <c r="G572" s="21" t="s">
        <v>64</v>
      </c>
      <c r="H572" s="21" t="s">
        <v>53</v>
      </c>
      <c r="I572" s="21" t="s">
        <v>53</v>
      </c>
      <c r="J572" s="21" t="s">
        <v>53</v>
      </c>
      <c r="K572" s="21" t="s">
        <v>53</v>
      </c>
      <c r="L572" s="22" t="str">
        <f t="shared" si="40"/>
        <v>EXCLUDE</v>
      </c>
      <c r="M572" s="22" t="str">
        <f t="shared" si="41"/>
        <v>Wrong domain (non-AECO)</v>
      </c>
      <c r="N572" s="23"/>
      <c r="O572" s="23"/>
      <c r="P572" s="24"/>
      <c r="Q572" s="24"/>
      <c r="R572" s="24"/>
      <c r="S572" s="22" t="str">
        <f t="shared" si="42"/>
        <v/>
      </c>
      <c r="T572" s="22" t="str">
        <f t="shared" si="43"/>
        <v/>
      </c>
      <c r="U572" s="25"/>
      <c r="V572" s="25"/>
      <c r="W572" s="25"/>
      <c r="X572" s="25"/>
      <c r="Y572" s="22" t="str">
        <f t="shared" si="44"/>
        <v/>
      </c>
      <c r="Z572" s="25"/>
      <c r="AA572" s="25"/>
      <c r="AB572" s="25"/>
      <c r="AC572" s="25"/>
      <c r="AD572" s="25"/>
      <c r="AE572" s="25"/>
      <c r="AF572" s="25"/>
      <c r="AG572" s="9"/>
      <c r="AH572" s="29"/>
      <c r="AI572" s="29"/>
      <c r="AM572" s="50"/>
      <c r="AN572" s="51" t="s">
        <v>2858</v>
      </c>
      <c r="AO572" s="55" t="s">
        <v>2859</v>
      </c>
    </row>
    <row r="573" spans="1:41" ht="102.6" x14ac:dyDescent="0.3">
      <c r="A573" s="20">
        <v>569</v>
      </c>
      <c r="B573" s="8" t="s">
        <v>2860</v>
      </c>
      <c r="C573" s="26">
        <v>2024</v>
      </c>
      <c r="D573" s="8"/>
      <c r="E573" s="8" t="s">
        <v>2861</v>
      </c>
      <c r="F573" s="20" t="s">
        <v>54</v>
      </c>
      <c r="G573" s="21" t="s">
        <v>53</v>
      </c>
      <c r="H573" s="21" t="s">
        <v>53</v>
      </c>
      <c r="I573" s="21" t="s">
        <v>53</v>
      </c>
      <c r="J573" s="21" t="s">
        <v>53</v>
      </c>
      <c r="K573" s="21" t="s">
        <v>53</v>
      </c>
      <c r="L573" s="22" t="str">
        <f t="shared" si="40"/>
        <v>INCLUDE</v>
      </c>
      <c r="M573" s="22" t="str">
        <f t="shared" si="41"/>
        <v/>
      </c>
      <c r="N573" s="23" t="s">
        <v>53</v>
      </c>
      <c r="O573" s="23" t="s">
        <v>53</v>
      </c>
      <c r="P573" s="24" t="s">
        <v>53</v>
      </c>
      <c r="Q573" s="24" t="s">
        <v>53</v>
      </c>
      <c r="R573" s="24" t="s">
        <v>53</v>
      </c>
      <c r="S573" s="22" t="str">
        <f t="shared" si="42"/>
        <v>INCLUDE</v>
      </c>
      <c r="T573" s="22" t="str">
        <f t="shared" si="43"/>
        <v/>
      </c>
      <c r="U573" s="25" t="s">
        <v>67</v>
      </c>
      <c r="V573" s="25">
        <v>0</v>
      </c>
      <c r="W573" s="25">
        <v>1</v>
      </c>
      <c r="X573" s="25">
        <v>0</v>
      </c>
      <c r="Y573" s="22" t="str">
        <f t="shared" si="44"/>
        <v>Single</v>
      </c>
      <c r="Z573" s="25" t="s">
        <v>9</v>
      </c>
      <c r="AA573" s="25" t="s">
        <v>57</v>
      </c>
      <c r="AB573" s="25" t="s">
        <v>97</v>
      </c>
      <c r="AC573" s="25" t="s">
        <v>70</v>
      </c>
      <c r="AD573" s="25" t="s">
        <v>89</v>
      </c>
      <c r="AE573" s="25">
        <v>4</v>
      </c>
      <c r="AF573" s="25" t="s">
        <v>96</v>
      </c>
      <c r="AG573" s="9" t="s">
        <v>2862</v>
      </c>
      <c r="AH573" s="29" t="s">
        <v>2863</v>
      </c>
      <c r="AI573" s="29" t="s">
        <v>2864</v>
      </c>
      <c r="AJ573" t="s">
        <v>91</v>
      </c>
      <c r="AK573" t="s">
        <v>2865</v>
      </c>
      <c r="AL573" t="s">
        <v>63</v>
      </c>
      <c r="AM573" s="50"/>
      <c r="AN573" s="51" t="s">
        <v>2866</v>
      </c>
      <c r="AO573" s="55" t="s">
        <v>2867</v>
      </c>
    </row>
    <row r="574" spans="1:41" ht="45.6" hidden="1" x14ac:dyDescent="0.3">
      <c r="A574" s="20">
        <v>570</v>
      </c>
      <c r="B574" s="8" t="s">
        <v>284</v>
      </c>
      <c r="C574" s="26">
        <v>2025</v>
      </c>
      <c r="D574" s="8"/>
      <c r="E574" s="8" t="s">
        <v>2868</v>
      </c>
      <c r="F574" s="20" t="s">
        <v>54</v>
      </c>
      <c r="G574" s="21" t="s">
        <v>64</v>
      </c>
      <c r="H574" s="21" t="s">
        <v>53</v>
      </c>
      <c r="I574" s="21" t="s">
        <v>53</v>
      </c>
      <c r="J574" s="21" t="s">
        <v>53</v>
      </c>
      <c r="K574" s="21" t="s">
        <v>53</v>
      </c>
      <c r="L574" s="22" t="str">
        <f t="shared" si="40"/>
        <v>EXCLUDE</v>
      </c>
      <c r="M574" s="22" t="str">
        <f t="shared" si="41"/>
        <v>Wrong domain (non-AECO)</v>
      </c>
      <c r="N574" s="23"/>
      <c r="O574" s="23"/>
      <c r="P574" s="24"/>
      <c r="Q574" s="24"/>
      <c r="R574" s="24"/>
      <c r="S574" s="22" t="str">
        <f t="shared" si="42"/>
        <v/>
      </c>
      <c r="T574" s="22" t="str">
        <f t="shared" si="43"/>
        <v/>
      </c>
      <c r="U574" s="25"/>
      <c r="V574" s="25"/>
      <c r="W574" s="25"/>
      <c r="X574" s="25"/>
      <c r="Y574" s="22" t="str">
        <f t="shared" si="44"/>
        <v/>
      </c>
      <c r="Z574" s="25"/>
      <c r="AA574" s="25"/>
      <c r="AB574" s="25"/>
      <c r="AC574" s="25"/>
      <c r="AD574" s="25"/>
      <c r="AE574" s="25"/>
      <c r="AF574" s="25"/>
      <c r="AG574" s="9"/>
      <c r="AH574" s="29"/>
      <c r="AI574" s="29"/>
      <c r="AM574" s="50"/>
      <c r="AN574" s="51" t="s">
        <v>2869</v>
      </c>
      <c r="AO574" s="55" t="s">
        <v>2870</v>
      </c>
    </row>
    <row r="575" spans="1:41" ht="102.6" x14ac:dyDescent="0.3">
      <c r="A575" s="20">
        <v>571</v>
      </c>
      <c r="B575" s="8" t="s">
        <v>2871</v>
      </c>
      <c r="C575" s="26">
        <v>2021</v>
      </c>
      <c r="D575" s="8"/>
      <c r="E575" s="8" t="s">
        <v>2872</v>
      </c>
      <c r="F575" s="20" t="s">
        <v>54</v>
      </c>
      <c r="G575" s="21" t="s">
        <v>53</v>
      </c>
      <c r="H575" s="21" t="s">
        <v>53</v>
      </c>
      <c r="I575" s="21" t="s">
        <v>53</v>
      </c>
      <c r="J575" s="21" t="s">
        <v>53</v>
      </c>
      <c r="K575" s="21" t="s">
        <v>53</v>
      </c>
      <c r="L575" s="22" t="str">
        <f t="shared" si="40"/>
        <v>INCLUDE</v>
      </c>
      <c r="M575" s="22" t="str">
        <f t="shared" si="41"/>
        <v/>
      </c>
      <c r="N575" s="23" t="s">
        <v>53</v>
      </c>
      <c r="O575" s="23" t="s">
        <v>53</v>
      </c>
      <c r="P575" s="24" t="s">
        <v>53</v>
      </c>
      <c r="Q575" s="24" t="s">
        <v>53</v>
      </c>
      <c r="R575" s="24" t="s">
        <v>53</v>
      </c>
      <c r="S575" s="22" t="str">
        <f t="shared" si="42"/>
        <v>INCLUDE</v>
      </c>
      <c r="T575" s="22" t="str">
        <f t="shared" si="43"/>
        <v/>
      </c>
      <c r="U575" s="25" t="s">
        <v>67</v>
      </c>
      <c r="V575" s="25">
        <v>0</v>
      </c>
      <c r="W575" s="25">
        <v>1</v>
      </c>
      <c r="X575" s="25">
        <v>0</v>
      </c>
      <c r="Y575" s="22" t="str">
        <f t="shared" si="44"/>
        <v>Single</v>
      </c>
      <c r="Z575" s="25" t="s">
        <v>9</v>
      </c>
      <c r="AA575" s="25" t="s">
        <v>57</v>
      </c>
      <c r="AB575" s="25" t="s">
        <v>102</v>
      </c>
      <c r="AC575" s="25" t="s">
        <v>70</v>
      </c>
      <c r="AD575" s="25" t="s">
        <v>89</v>
      </c>
      <c r="AE575" s="25">
        <v>4</v>
      </c>
      <c r="AF575" s="25" t="s">
        <v>96</v>
      </c>
      <c r="AG575" s="9" t="s">
        <v>2873</v>
      </c>
      <c r="AH575" s="29" t="s">
        <v>2874</v>
      </c>
      <c r="AI575" s="29" t="s">
        <v>2875</v>
      </c>
      <c r="AJ575" t="s">
        <v>91</v>
      </c>
      <c r="AK575" t="s">
        <v>2876</v>
      </c>
      <c r="AL575" t="s">
        <v>74</v>
      </c>
      <c r="AM575" s="50"/>
      <c r="AN575" s="51" t="s">
        <v>2877</v>
      </c>
      <c r="AO575" s="55" t="s">
        <v>2878</v>
      </c>
    </row>
    <row r="576" spans="1:41" ht="45.6" hidden="1" x14ac:dyDescent="0.3">
      <c r="A576" s="20">
        <v>572</v>
      </c>
      <c r="B576" s="8" t="s">
        <v>2879</v>
      </c>
      <c r="C576" s="26">
        <v>2024</v>
      </c>
      <c r="D576" s="8"/>
      <c r="E576" s="8" t="s">
        <v>2880</v>
      </c>
      <c r="F576" s="20" t="s">
        <v>54</v>
      </c>
      <c r="G576" s="21" t="s">
        <v>53</v>
      </c>
      <c r="H576" s="21" t="s">
        <v>53</v>
      </c>
      <c r="I576" s="21" t="s">
        <v>64</v>
      </c>
      <c r="J576" s="21" t="s">
        <v>53</v>
      </c>
      <c r="K576" s="21" t="s">
        <v>53</v>
      </c>
      <c r="L576" s="22" t="str">
        <f t="shared" si="40"/>
        <v>EXCLUDE</v>
      </c>
      <c r="M576" s="22" t="str">
        <f t="shared" si="41"/>
        <v>No Design for Safety/Quality/PtD</v>
      </c>
      <c r="N576" s="23"/>
      <c r="O576" s="23"/>
      <c r="P576" s="24"/>
      <c r="Q576" s="24"/>
      <c r="R576" s="24"/>
      <c r="S576" s="22" t="str">
        <f t="shared" si="42"/>
        <v/>
      </c>
      <c r="T576" s="22" t="str">
        <f t="shared" si="43"/>
        <v/>
      </c>
      <c r="U576" s="25"/>
      <c r="V576" s="25"/>
      <c r="W576" s="25"/>
      <c r="X576" s="25"/>
      <c r="Y576" s="22" t="str">
        <f t="shared" si="44"/>
        <v/>
      </c>
      <c r="Z576" s="25"/>
      <c r="AA576" s="25"/>
      <c r="AB576" s="25"/>
      <c r="AC576" s="25"/>
      <c r="AD576" s="25"/>
      <c r="AE576" s="25"/>
      <c r="AF576" s="25"/>
      <c r="AG576" s="9"/>
      <c r="AH576" s="29"/>
      <c r="AI576" s="29"/>
      <c r="AM576" s="50"/>
      <c r="AN576" s="51" t="s">
        <v>2881</v>
      </c>
      <c r="AO576" s="55" t="s">
        <v>2882</v>
      </c>
    </row>
    <row r="577" spans="1:41" ht="102.6" x14ac:dyDescent="0.3">
      <c r="A577" s="20">
        <v>573</v>
      </c>
      <c r="B577" s="8" t="s">
        <v>2883</v>
      </c>
      <c r="C577" s="26">
        <v>2023</v>
      </c>
      <c r="D577" s="8"/>
      <c r="E577" s="8" t="s">
        <v>2884</v>
      </c>
      <c r="F577" s="20" t="s">
        <v>54</v>
      </c>
      <c r="G577" s="21" t="s">
        <v>53</v>
      </c>
      <c r="H577" s="21" t="s">
        <v>53</v>
      </c>
      <c r="I577" s="21" t="s">
        <v>53</v>
      </c>
      <c r="J577" s="21" t="s">
        <v>53</v>
      </c>
      <c r="K577" s="21" t="s">
        <v>53</v>
      </c>
      <c r="L577" s="22" t="str">
        <f t="shared" si="40"/>
        <v>INCLUDE</v>
      </c>
      <c r="M577" s="22" t="str">
        <f t="shared" si="41"/>
        <v/>
      </c>
      <c r="N577" s="23" t="s">
        <v>53</v>
      </c>
      <c r="O577" s="23" t="s">
        <v>53</v>
      </c>
      <c r="P577" s="24" t="s">
        <v>53</v>
      </c>
      <c r="Q577" s="24" t="s">
        <v>53</v>
      </c>
      <c r="R577" s="24" t="s">
        <v>53</v>
      </c>
      <c r="S577" s="22" t="str">
        <f t="shared" si="42"/>
        <v>INCLUDE</v>
      </c>
      <c r="T577" s="22" t="str">
        <f t="shared" si="43"/>
        <v/>
      </c>
      <c r="U577" s="25" t="s">
        <v>76</v>
      </c>
      <c r="V577" s="25">
        <v>0</v>
      </c>
      <c r="W577" s="25">
        <v>0</v>
      </c>
      <c r="X577" s="25">
        <v>1</v>
      </c>
      <c r="Y577" s="22" t="str">
        <f t="shared" si="44"/>
        <v>Single</v>
      </c>
      <c r="Z577" s="25" t="s">
        <v>9</v>
      </c>
      <c r="AA577" s="25" t="s">
        <v>57</v>
      </c>
      <c r="AB577" s="25" t="s">
        <v>101</v>
      </c>
      <c r="AC577" s="25" t="s">
        <v>70</v>
      </c>
      <c r="AD577" s="25" t="s">
        <v>71</v>
      </c>
      <c r="AE577" s="25">
        <v>4</v>
      </c>
      <c r="AF577" s="25" t="s">
        <v>90</v>
      </c>
      <c r="AG577" s="9" t="s">
        <v>2885</v>
      </c>
      <c r="AH577" s="29" t="s">
        <v>2886</v>
      </c>
      <c r="AI577" s="29" t="s">
        <v>2887</v>
      </c>
      <c r="AJ577" t="s">
        <v>91</v>
      </c>
      <c r="AK577" t="s">
        <v>2888</v>
      </c>
      <c r="AL577" t="s">
        <v>74</v>
      </c>
      <c r="AM577" s="50"/>
      <c r="AN577" s="51" t="s">
        <v>2889</v>
      </c>
      <c r="AO577" s="55" t="s">
        <v>2890</v>
      </c>
    </row>
    <row r="578" spans="1:41" ht="57" hidden="1" x14ac:dyDescent="0.3">
      <c r="A578" s="20">
        <v>574</v>
      </c>
      <c r="B578" s="8" t="s">
        <v>2891</v>
      </c>
      <c r="C578" s="26">
        <v>2024</v>
      </c>
      <c r="D578" s="8"/>
      <c r="E578" s="8" t="s">
        <v>2892</v>
      </c>
      <c r="F578" s="20" t="s">
        <v>54</v>
      </c>
      <c r="G578" s="21" t="s">
        <v>64</v>
      </c>
      <c r="H578" s="21" t="s">
        <v>53</v>
      </c>
      <c r="I578" s="21" t="s">
        <v>53</v>
      </c>
      <c r="J578" s="21" t="s">
        <v>53</v>
      </c>
      <c r="K578" s="21" t="s">
        <v>53</v>
      </c>
      <c r="L578" s="22" t="str">
        <f t="shared" si="40"/>
        <v>EXCLUDE</v>
      </c>
      <c r="M578" s="22" t="str">
        <f t="shared" si="41"/>
        <v>Wrong domain (non-AECO)</v>
      </c>
      <c r="N578" s="23"/>
      <c r="O578" s="23"/>
      <c r="P578" s="24"/>
      <c r="Q578" s="24"/>
      <c r="R578" s="24"/>
      <c r="S578" s="22" t="str">
        <f t="shared" si="42"/>
        <v/>
      </c>
      <c r="T578" s="22" t="str">
        <f t="shared" si="43"/>
        <v/>
      </c>
      <c r="U578" s="25"/>
      <c r="V578" s="25"/>
      <c r="W578" s="25"/>
      <c r="X578" s="25"/>
      <c r="Y578" s="22" t="str">
        <f t="shared" si="44"/>
        <v/>
      </c>
      <c r="Z578" s="25"/>
      <c r="AA578" s="25"/>
      <c r="AB578" s="25"/>
      <c r="AC578" s="25"/>
      <c r="AD578" s="25"/>
      <c r="AE578" s="25"/>
      <c r="AF578" s="25"/>
      <c r="AG578" s="9"/>
      <c r="AH578" s="29"/>
      <c r="AI578" s="29"/>
      <c r="AM578" s="50"/>
      <c r="AN578" s="51" t="s">
        <v>2893</v>
      </c>
      <c r="AO578" s="55" t="s">
        <v>2894</v>
      </c>
    </row>
    <row r="579" spans="1:41" ht="68.400000000000006" hidden="1" x14ac:dyDescent="0.3">
      <c r="A579" s="20">
        <v>575</v>
      </c>
      <c r="B579" s="8" t="s">
        <v>2895</v>
      </c>
      <c r="C579" s="26">
        <v>2021</v>
      </c>
      <c r="D579" s="8"/>
      <c r="E579" s="8" t="s">
        <v>2896</v>
      </c>
      <c r="F579" s="20" t="s">
        <v>54</v>
      </c>
      <c r="G579" s="21" t="s">
        <v>64</v>
      </c>
      <c r="H579" s="21" t="s">
        <v>53</v>
      </c>
      <c r="I579" s="21" t="s">
        <v>53</v>
      </c>
      <c r="J579" s="21" t="s">
        <v>53</v>
      </c>
      <c r="K579" s="21" t="s">
        <v>64</v>
      </c>
      <c r="L579" s="22" t="str">
        <f t="shared" si="40"/>
        <v>EXCLUDE</v>
      </c>
      <c r="M579" s="22" t="str">
        <f t="shared" si="41"/>
        <v>Wrong domain (non-AECO)</v>
      </c>
      <c r="N579" s="23"/>
      <c r="O579" s="23"/>
      <c r="P579" s="24"/>
      <c r="Q579" s="24"/>
      <c r="R579" s="24"/>
      <c r="S579" s="22" t="str">
        <f t="shared" si="42"/>
        <v/>
      </c>
      <c r="T579" s="22" t="str">
        <f t="shared" si="43"/>
        <v/>
      </c>
      <c r="U579" s="25"/>
      <c r="V579" s="25"/>
      <c r="W579" s="25"/>
      <c r="X579" s="25"/>
      <c r="Y579" s="22" t="str">
        <f t="shared" si="44"/>
        <v/>
      </c>
      <c r="Z579" s="25"/>
      <c r="AA579" s="25"/>
      <c r="AB579" s="25"/>
      <c r="AC579" s="25"/>
      <c r="AD579" s="25"/>
      <c r="AE579" s="25"/>
      <c r="AF579" s="25"/>
      <c r="AG579" s="9"/>
      <c r="AH579" s="29"/>
      <c r="AI579" s="29"/>
      <c r="AM579" s="50"/>
      <c r="AN579" s="51" t="s">
        <v>2897</v>
      </c>
      <c r="AO579" s="55" t="s">
        <v>2898</v>
      </c>
    </row>
    <row r="580" spans="1:41" ht="57" hidden="1" x14ac:dyDescent="0.3">
      <c r="A580" s="20">
        <v>576</v>
      </c>
      <c r="B580" s="8" t="s">
        <v>2899</v>
      </c>
      <c r="C580" s="26">
        <v>2023</v>
      </c>
      <c r="D580" s="8"/>
      <c r="E580" s="8" t="s">
        <v>2900</v>
      </c>
      <c r="F580" s="20" t="s">
        <v>54</v>
      </c>
      <c r="G580" s="21" t="s">
        <v>53</v>
      </c>
      <c r="H580" s="21" t="s">
        <v>53</v>
      </c>
      <c r="I580" s="21" t="s">
        <v>64</v>
      </c>
      <c r="J580" s="21" t="s">
        <v>53</v>
      </c>
      <c r="K580" s="21" t="s">
        <v>53</v>
      </c>
      <c r="L580" s="22" t="str">
        <f t="shared" si="40"/>
        <v>EXCLUDE</v>
      </c>
      <c r="M580" s="22" t="str">
        <f t="shared" si="41"/>
        <v>No Design for Safety/Quality/PtD</v>
      </c>
      <c r="N580" s="23"/>
      <c r="O580" s="23"/>
      <c r="P580" s="24"/>
      <c r="Q580" s="24"/>
      <c r="R580" s="24"/>
      <c r="S580" s="22" t="str">
        <f t="shared" si="42"/>
        <v/>
      </c>
      <c r="T580" s="22" t="str">
        <f t="shared" si="43"/>
        <v/>
      </c>
      <c r="U580" s="25"/>
      <c r="V580" s="25"/>
      <c r="W580" s="25"/>
      <c r="X580" s="25"/>
      <c r="Y580" s="22" t="str">
        <f t="shared" si="44"/>
        <v/>
      </c>
      <c r="Z580" s="25"/>
      <c r="AA580" s="25"/>
      <c r="AB580" s="25"/>
      <c r="AC580" s="25"/>
      <c r="AD580" s="25"/>
      <c r="AE580" s="25"/>
      <c r="AF580" s="25"/>
      <c r="AG580" s="9"/>
      <c r="AH580" s="29"/>
      <c r="AI580" s="29"/>
      <c r="AM580" s="50"/>
      <c r="AN580" s="51" t="s">
        <v>2901</v>
      </c>
      <c r="AO580" s="55" t="s">
        <v>2902</v>
      </c>
    </row>
    <row r="581" spans="1:41" ht="34.200000000000003" hidden="1" x14ac:dyDescent="0.3">
      <c r="A581" s="20">
        <v>577</v>
      </c>
      <c r="B581" s="8" t="s">
        <v>2903</v>
      </c>
      <c r="C581" s="26">
        <v>2023</v>
      </c>
      <c r="D581" s="8"/>
      <c r="E581" s="8" t="s">
        <v>2904</v>
      </c>
      <c r="F581" s="20" t="s">
        <v>54</v>
      </c>
      <c r="G581" s="21" t="s">
        <v>64</v>
      </c>
      <c r="H581" s="21" t="s">
        <v>53</v>
      </c>
      <c r="I581" s="21" t="s">
        <v>53</v>
      </c>
      <c r="J581" s="21" t="s">
        <v>53</v>
      </c>
      <c r="K581" s="21" t="s">
        <v>53</v>
      </c>
      <c r="L581" s="22" t="str">
        <f t="shared" ref="L581:L644" si="45">IF(COUNTBLANK(G581:K581)=5,"",IF(COUNTIF(G581:K581,"No")&gt;0,"EXCLUDE","INCLUDE"))</f>
        <v>EXCLUDE</v>
      </c>
      <c r="M581" s="22" t="str">
        <f t="shared" ref="M581:M644" si="46">IF(L581&lt;&gt;"EXCLUDE","",IF(G581="No","Wrong domain (non-AECO)",IF(H581="No","Digital Twin not core / buzzword",IF(I581="No","No Design for Safety/Quality/PtD",IF(J581="No","Wrong publication type",IF(K581="No","Non-English",""))))))</f>
        <v>Wrong domain (non-AECO)</v>
      </c>
      <c r="N581" s="23"/>
      <c r="O581" s="23"/>
      <c r="P581" s="24"/>
      <c r="Q581" s="24"/>
      <c r="R581" s="24"/>
      <c r="S581" s="22" t="str">
        <f t="shared" ref="S581:S644" si="47">IF(N581&lt;&gt;"Yes","",IF(COUNTBLANK(P581:R581)=3,"",IF(COUNTIF(P581:R581,"No")&gt;0,"EXCLUDE","INCLUDE")))</f>
        <v/>
      </c>
      <c r="T581" s="22" t="str">
        <f t="shared" ref="T581:T644" si="48">IF(S581&lt;&gt;"EXCLUDE","",IF(P581="No","Digital Twin mentioned only, not the subject",IF(Q581="No","No Design for Safety/Quality in full text",IF(R581="No","Methodology not codable",""))))</f>
        <v/>
      </c>
      <c r="U581" s="25"/>
      <c r="V581" s="25"/>
      <c r="W581" s="25"/>
      <c r="X581" s="25"/>
      <c r="Y581" s="22" t="str">
        <f t="shared" ref="Y581:Y644" si="49">IF(SUM(V581:X581)=0,"",IF(SUM(V581:X581)&gt;=2,"Multi","Single"))</f>
        <v/>
      </c>
      <c r="Z581" s="25"/>
      <c r="AA581" s="25"/>
      <c r="AB581" s="25"/>
      <c r="AC581" s="25"/>
      <c r="AD581" s="25"/>
      <c r="AE581" s="25"/>
      <c r="AF581" s="25"/>
      <c r="AG581" s="9"/>
      <c r="AH581" s="29"/>
      <c r="AI581" s="29"/>
      <c r="AM581" s="50"/>
      <c r="AN581" s="51" t="s">
        <v>2905</v>
      </c>
      <c r="AO581" s="55" t="s">
        <v>2906</v>
      </c>
    </row>
    <row r="582" spans="1:41" ht="79.8" hidden="1" x14ac:dyDescent="0.3">
      <c r="A582" s="20">
        <v>578</v>
      </c>
      <c r="B582" s="8" t="s">
        <v>2907</v>
      </c>
      <c r="C582" s="26">
        <v>2020</v>
      </c>
      <c r="D582" s="8"/>
      <c r="E582" s="8" t="s">
        <v>2908</v>
      </c>
      <c r="F582" s="20" t="s">
        <v>54</v>
      </c>
      <c r="G582" s="21" t="s">
        <v>53</v>
      </c>
      <c r="H582" s="21" t="s">
        <v>64</v>
      </c>
      <c r="I582" s="21" t="s">
        <v>53</v>
      </c>
      <c r="J582" s="21" t="s">
        <v>53</v>
      </c>
      <c r="K582" s="21" t="s">
        <v>53</v>
      </c>
      <c r="L582" s="22" t="str">
        <f t="shared" si="45"/>
        <v>EXCLUDE</v>
      </c>
      <c r="M582" s="22" t="str">
        <f t="shared" si="46"/>
        <v>Digital Twin not core / buzzword</v>
      </c>
      <c r="N582" s="23"/>
      <c r="O582" s="23"/>
      <c r="P582" s="24"/>
      <c r="Q582" s="24"/>
      <c r="R582" s="24"/>
      <c r="S582" s="22" t="str">
        <f t="shared" si="47"/>
        <v/>
      </c>
      <c r="T582" s="22" t="str">
        <f t="shared" si="48"/>
        <v/>
      </c>
      <c r="U582" s="25"/>
      <c r="V582" s="25"/>
      <c r="W582" s="25"/>
      <c r="X582" s="25"/>
      <c r="Y582" s="22" t="str">
        <f t="shared" si="49"/>
        <v/>
      </c>
      <c r="Z582" s="25"/>
      <c r="AA582" s="25"/>
      <c r="AB582" s="25"/>
      <c r="AC582" s="25"/>
      <c r="AD582" s="25"/>
      <c r="AE582" s="25"/>
      <c r="AF582" s="25"/>
      <c r="AG582" s="9"/>
      <c r="AH582" s="29"/>
      <c r="AI582" s="29"/>
      <c r="AM582" s="50"/>
      <c r="AN582" s="51" t="s">
        <v>2909</v>
      </c>
      <c r="AO582" s="55" t="s">
        <v>2910</v>
      </c>
    </row>
    <row r="583" spans="1:41" ht="114" x14ac:dyDescent="0.3">
      <c r="A583" s="20">
        <v>579</v>
      </c>
      <c r="B583" s="8" t="s">
        <v>2911</v>
      </c>
      <c r="C583" s="26">
        <v>2024</v>
      </c>
      <c r="D583" s="8"/>
      <c r="E583" s="8" t="s">
        <v>2912</v>
      </c>
      <c r="F583" s="20" t="s">
        <v>54</v>
      </c>
      <c r="G583" s="21" t="s">
        <v>53</v>
      </c>
      <c r="H583" s="21" t="s">
        <v>53</v>
      </c>
      <c r="I583" s="21" t="s">
        <v>53</v>
      </c>
      <c r="J583" s="21" t="s">
        <v>53</v>
      </c>
      <c r="K583" s="21" t="s">
        <v>53</v>
      </c>
      <c r="L583" s="22" t="str">
        <f t="shared" si="45"/>
        <v>INCLUDE</v>
      </c>
      <c r="M583" s="22" t="str">
        <f t="shared" si="46"/>
        <v/>
      </c>
      <c r="N583" s="23" t="s">
        <v>53</v>
      </c>
      <c r="O583" s="23" t="s">
        <v>53</v>
      </c>
      <c r="P583" s="24" t="s">
        <v>53</v>
      </c>
      <c r="Q583" s="24" t="s">
        <v>53</v>
      </c>
      <c r="R583" s="24" t="s">
        <v>53</v>
      </c>
      <c r="S583" s="22" t="str">
        <f t="shared" si="47"/>
        <v>INCLUDE</v>
      </c>
      <c r="T583" s="22" t="str">
        <f t="shared" si="48"/>
        <v/>
      </c>
      <c r="U583" s="25" t="s">
        <v>67</v>
      </c>
      <c r="V583" s="25">
        <v>0</v>
      </c>
      <c r="W583" s="25">
        <v>1</v>
      </c>
      <c r="X583" s="25">
        <v>0</v>
      </c>
      <c r="Y583" s="22" t="str">
        <f t="shared" si="49"/>
        <v>Single</v>
      </c>
      <c r="Z583" s="25" t="s">
        <v>9</v>
      </c>
      <c r="AA583" s="25" t="s">
        <v>57</v>
      </c>
      <c r="AB583" s="25" t="s">
        <v>104</v>
      </c>
      <c r="AC583" s="25" t="s">
        <v>70</v>
      </c>
      <c r="AD583" s="25" t="s">
        <v>89</v>
      </c>
      <c r="AE583" s="25">
        <v>3</v>
      </c>
      <c r="AF583" s="25" t="s">
        <v>98</v>
      </c>
      <c r="AG583" s="9" t="s">
        <v>2913</v>
      </c>
      <c r="AH583" s="29" t="s">
        <v>2914</v>
      </c>
      <c r="AI583" s="29" t="s">
        <v>2915</v>
      </c>
      <c r="AJ583" t="s">
        <v>91</v>
      </c>
      <c r="AK583" t="s">
        <v>2916</v>
      </c>
      <c r="AL583" t="s">
        <v>74</v>
      </c>
      <c r="AM583" s="50"/>
      <c r="AN583" s="51" t="s">
        <v>2917</v>
      </c>
      <c r="AO583" s="55" t="s">
        <v>2918</v>
      </c>
    </row>
    <row r="584" spans="1:41" ht="102.6" x14ac:dyDescent="0.3">
      <c r="A584" s="20">
        <v>580</v>
      </c>
      <c r="B584" s="8" t="s">
        <v>2919</v>
      </c>
      <c r="C584" s="26">
        <v>2024</v>
      </c>
      <c r="D584" s="8"/>
      <c r="E584" s="8" t="s">
        <v>2920</v>
      </c>
      <c r="F584" s="20" t="s">
        <v>54</v>
      </c>
      <c r="G584" s="21" t="s">
        <v>53</v>
      </c>
      <c r="H584" s="21" t="s">
        <v>53</v>
      </c>
      <c r="I584" s="21" t="s">
        <v>53</v>
      </c>
      <c r="J584" s="21" t="s">
        <v>53</v>
      </c>
      <c r="K584" s="21" t="s">
        <v>53</v>
      </c>
      <c r="L584" s="22" t="str">
        <f t="shared" si="45"/>
        <v>INCLUDE</v>
      </c>
      <c r="M584" s="22" t="str">
        <f t="shared" si="46"/>
        <v/>
      </c>
      <c r="N584" s="23" t="s">
        <v>53</v>
      </c>
      <c r="O584" s="23" t="s">
        <v>53</v>
      </c>
      <c r="P584" s="24" t="s">
        <v>53</v>
      </c>
      <c r="Q584" s="24" t="s">
        <v>53</v>
      </c>
      <c r="R584" s="24" t="s">
        <v>53</v>
      </c>
      <c r="S584" s="22" t="str">
        <f t="shared" si="47"/>
        <v>INCLUDE</v>
      </c>
      <c r="T584" s="22" t="str">
        <f t="shared" si="48"/>
        <v/>
      </c>
      <c r="U584" s="25" t="s">
        <v>67</v>
      </c>
      <c r="V584" s="25">
        <v>0</v>
      </c>
      <c r="W584" s="25">
        <v>0</v>
      </c>
      <c r="X584" s="25">
        <v>1</v>
      </c>
      <c r="Y584" s="22" t="str">
        <f t="shared" si="49"/>
        <v>Single</v>
      </c>
      <c r="Z584" s="25" t="s">
        <v>9</v>
      </c>
      <c r="AA584" s="25" t="s">
        <v>57</v>
      </c>
      <c r="AB584" s="25" t="s">
        <v>103</v>
      </c>
      <c r="AC584" s="25" t="s">
        <v>70</v>
      </c>
      <c r="AD584" s="25" t="s">
        <v>89</v>
      </c>
      <c r="AE584" s="25">
        <v>4</v>
      </c>
      <c r="AF584" s="25" t="s">
        <v>98</v>
      </c>
      <c r="AG584" s="9" t="s">
        <v>2921</v>
      </c>
      <c r="AH584" s="29" t="s">
        <v>2922</v>
      </c>
      <c r="AI584" s="29" t="s">
        <v>2923</v>
      </c>
      <c r="AJ584" t="s">
        <v>82</v>
      </c>
      <c r="AK584" t="s">
        <v>2924</v>
      </c>
      <c r="AL584" t="s">
        <v>63</v>
      </c>
      <c r="AM584" s="50"/>
      <c r="AN584" s="51" t="s">
        <v>2925</v>
      </c>
      <c r="AO584" s="55" t="s">
        <v>2926</v>
      </c>
    </row>
    <row r="585" spans="1:41" ht="57" hidden="1" x14ac:dyDescent="0.3">
      <c r="A585" s="20">
        <v>581</v>
      </c>
      <c r="B585" s="8" t="s">
        <v>2927</v>
      </c>
      <c r="C585" s="26">
        <v>2024</v>
      </c>
      <c r="D585" s="8"/>
      <c r="E585" s="8" t="s">
        <v>2928</v>
      </c>
      <c r="F585" s="20" t="s">
        <v>54</v>
      </c>
      <c r="G585" s="21" t="s">
        <v>53</v>
      </c>
      <c r="H585" s="21" t="s">
        <v>64</v>
      </c>
      <c r="I585" s="21" t="s">
        <v>53</v>
      </c>
      <c r="J585" s="21" t="s">
        <v>53</v>
      </c>
      <c r="K585" s="21" t="s">
        <v>53</v>
      </c>
      <c r="L585" s="22" t="str">
        <f t="shared" si="45"/>
        <v>EXCLUDE</v>
      </c>
      <c r="M585" s="22" t="str">
        <f t="shared" si="46"/>
        <v>Digital Twin not core / buzzword</v>
      </c>
      <c r="N585" s="23"/>
      <c r="O585" s="23"/>
      <c r="P585" s="24"/>
      <c r="Q585" s="24"/>
      <c r="R585" s="24"/>
      <c r="S585" s="22" t="str">
        <f t="shared" si="47"/>
        <v/>
      </c>
      <c r="T585" s="22" t="str">
        <f t="shared" si="48"/>
        <v/>
      </c>
      <c r="U585" s="25"/>
      <c r="V585" s="25"/>
      <c r="W585" s="25"/>
      <c r="X585" s="25"/>
      <c r="Y585" s="22" t="str">
        <f t="shared" si="49"/>
        <v/>
      </c>
      <c r="Z585" s="25"/>
      <c r="AA585" s="25"/>
      <c r="AB585" s="25"/>
      <c r="AC585" s="25"/>
      <c r="AD585" s="25"/>
      <c r="AE585" s="25"/>
      <c r="AF585" s="25"/>
      <c r="AG585" s="9"/>
      <c r="AH585" s="29"/>
      <c r="AI585" s="29"/>
      <c r="AM585" s="50"/>
      <c r="AN585" s="51" t="s">
        <v>2929</v>
      </c>
      <c r="AO585" s="55" t="s">
        <v>2930</v>
      </c>
    </row>
    <row r="586" spans="1:41" ht="148.19999999999999" hidden="1" x14ac:dyDescent="0.3">
      <c r="A586" s="20">
        <v>582</v>
      </c>
      <c r="B586" s="8" t="s">
        <v>2931</v>
      </c>
      <c r="C586" s="26">
        <v>2025</v>
      </c>
      <c r="D586" s="8"/>
      <c r="E586" s="8" t="s">
        <v>2932</v>
      </c>
      <c r="F586" s="20" t="s">
        <v>54</v>
      </c>
      <c r="G586" s="21" t="s">
        <v>64</v>
      </c>
      <c r="H586" s="21" t="s">
        <v>53</v>
      </c>
      <c r="I586" s="21" t="s">
        <v>53</v>
      </c>
      <c r="J586" s="21" t="s">
        <v>53</v>
      </c>
      <c r="K586" s="21" t="s">
        <v>53</v>
      </c>
      <c r="L586" s="22" t="str">
        <f t="shared" si="45"/>
        <v>EXCLUDE</v>
      </c>
      <c r="M586" s="22" t="str">
        <f t="shared" si="46"/>
        <v>Wrong domain (non-AECO)</v>
      </c>
      <c r="N586" s="23"/>
      <c r="O586" s="23"/>
      <c r="P586" s="24"/>
      <c r="Q586" s="24"/>
      <c r="R586" s="24"/>
      <c r="S586" s="22" t="str">
        <f t="shared" si="47"/>
        <v/>
      </c>
      <c r="T586" s="22" t="str">
        <f t="shared" si="48"/>
        <v/>
      </c>
      <c r="U586" s="25"/>
      <c r="V586" s="25"/>
      <c r="W586" s="25"/>
      <c r="X586" s="25"/>
      <c r="Y586" s="22" t="str">
        <f t="shared" si="49"/>
        <v/>
      </c>
      <c r="Z586" s="25"/>
      <c r="AA586" s="25"/>
      <c r="AB586" s="25"/>
      <c r="AC586" s="25"/>
      <c r="AD586" s="25"/>
      <c r="AE586" s="25"/>
      <c r="AF586" s="25"/>
      <c r="AG586" s="9"/>
      <c r="AH586" s="29"/>
      <c r="AI586" s="29"/>
      <c r="AM586" s="50"/>
      <c r="AN586" s="51" t="s">
        <v>2933</v>
      </c>
      <c r="AO586" s="55" t="s">
        <v>2934</v>
      </c>
    </row>
    <row r="587" spans="1:41" ht="45.6" hidden="1" x14ac:dyDescent="0.3">
      <c r="A587" s="20">
        <v>583</v>
      </c>
      <c r="B587" s="8" t="s">
        <v>2935</v>
      </c>
      <c r="C587" s="26">
        <v>2021</v>
      </c>
      <c r="D587" s="8"/>
      <c r="E587" s="8" t="s">
        <v>2936</v>
      </c>
      <c r="F587" s="20" t="s">
        <v>54</v>
      </c>
      <c r="G587" s="21" t="s">
        <v>64</v>
      </c>
      <c r="H587" s="21" t="s">
        <v>53</v>
      </c>
      <c r="I587" s="21" t="s">
        <v>53</v>
      </c>
      <c r="J587" s="21" t="s">
        <v>53</v>
      </c>
      <c r="K587" s="21" t="s">
        <v>53</v>
      </c>
      <c r="L587" s="22" t="str">
        <f t="shared" si="45"/>
        <v>EXCLUDE</v>
      </c>
      <c r="M587" s="22" t="str">
        <f t="shared" si="46"/>
        <v>Wrong domain (non-AECO)</v>
      </c>
      <c r="N587" s="23"/>
      <c r="O587" s="23"/>
      <c r="P587" s="24"/>
      <c r="Q587" s="24"/>
      <c r="R587" s="24"/>
      <c r="S587" s="22" t="str">
        <f t="shared" si="47"/>
        <v/>
      </c>
      <c r="T587" s="22" t="str">
        <f t="shared" si="48"/>
        <v/>
      </c>
      <c r="U587" s="25"/>
      <c r="V587" s="25"/>
      <c r="W587" s="25"/>
      <c r="X587" s="25"/>
      <c r="Y587" s="22" t="str">
        <f t="shared" si="49"/>
        <v/>
      </c>
      <c r="Z587" s="25"/>
      <c r="AA587" s="25"/>
      <c r="AB587" s="25"/>
      <c r="AC587" s="25"/>
      <c r="AD587" s="25"/>
      <c r="AE587" s="25"/>
      <c r="AF587" s="25"/>
      <c r="AG587" s="9"/>
      <c r="AH587" s="29"/>
      <c r="AI587" s="29"/>
      <c r="AM587" s="50"/>
      <c r="AN587" s="51" t="s">
        <v>2937</v>
      </c>
      <c r="AO587" s="55" t="s">
        <v>2938</v>
      </c>
    </row>
    <row r="588" spans="1:41" ht="45.6" hidden="1" x14ac:dyDescent="0.3">
      <c r="A588" s="20">
        <v>584</v>
      </c>
      <c r="B588" s="8" t="s">
        <v>2939</v>
      </c>
      <c r="C588" s="26">
        <v>2024</v>
      </c>
      <c r="D588" s="8"/>
      <c r="E588" s="8" t="s">
        <v>2940</v>
      </c>
      <c r="F588" s="20" t="s">
        <v>54</v>
      </c>
      <c r="G588" s="21" t="s">
        <v>64</v>
      </c>
      <c r="H588" s="21" t="s">
        <v>53</v>
      </c>
      <c r="I588" s="21" t="s">
        <v>53</v>
      </c>
      <c r="J588" s="21" t="s">
        <v>53</v>
      </c>
      <c r="K588" s="21" t="s">
        <v>53</v>
      </c>
      <c r="L588" s="22" t="str">
        <f t="shared" si="45"/>
        <v>EXCLUDE</v>
      </c>
      <c r="M588" s="22" t="str">
        <f t="shared" si="46"/>
        <v>Wrong domain (non-AECO)</v>
      </c>
      <c r="N588" s="23"/>
      <c r="O588" s="23"/>
      <c r="P588" s="24"/>
      <c r="Q588" s="24"/>
      <c r="R588" s="24"/>
      <c r="S588" s="22" t="str">
        <f t="shared" si="47"/>
        <v/>
      </c>
      <c r="T588" s="22" t="str">
        <f t="shared" si="48"/>
        <v/>
      </c>
      <c r="U588" s="25"/>
      <c r="V588" s="25"/>
      <c r="W588" s="25"/>
      <c r="X588" s="25"/>
      <c r="Y588" s="22" t="str">
        <f t="shared" si="49"/>
        <v/>
      </c>
      <c r="Z588" s="25"/>
      <c r="AA588" s="25"/>
      <c r="AB588" s="25"/>
      <c r="AC588" s="25"/>
      <c r="AD588" s="25"/>
      <c r="AE588" s="25"/>
      <c r="AF588" s="25"/>
      <c r="AG588" s="9"/>
      <c r="AH588" s="29"/>
      <c r="AI588" s="29"/>
      <c r="AM588" s="50"/>
      <c r="AN588" s="51" t="s">
        <v>2941</v>
      </c>
      <c r="AO588" s="55" t="s">
        <v>2942</v>
      </c>
    </row>
    <row r="589" spans="1:41" ht="45.6" hidden="1" x14ac:dyDescent="0.3">
      <c r="A589" s="20">
        <v>585</v>
      </c>
      <c r="B589" s="8" t="s">
        <v>2943</v>
      </c>
      <c r="C589" s="26">
        <v>2023</v>
      </c>
      <c r="D589" s="8"/>
      <c r="E589" s="8" t="s">
        <v>2944</v>
      </c>
      <c r="F589" s="20" t="s">
        <v>54</v>
      </c>
      <c r="G589" s="21" t="s">
        <v>64</v>
      </c>
      <c r="H589" s="21" t="s">
        <v>53</v>
      </c>
      <c r="I589" s="21" t="s">
        <v>53</v>
      </c>
      <c r="J589" s="21" t="s">
        <v>53</v>
      </c>
      <c r="K589" s="21" t="s">
        <v>53</v>
      </c>
      <c r="L589" s="22" t="str">
        <f t="shared" si="45"/>
        <v>EXCLUDE</v>
      </c>
      <c r="M589" s="22" t="str">
        <f t="shared" si="46"/>
        <v>Wrong domain (non-AECO)</v>
      </c>
      <c r="N589" s="23"/>
      <c r="O589" s="23"/>
      <c r="P589" s="24"/>
      <c r="Q589" s="24"/>
      <c r="R589" s="24"/>
      <c r="S589" s="22" t="str">
        <f t="shared" si="47"/>
        <v/>
      </c>
      <c r="T589" s="22" t="str">
        <f t="shared" si="48"/>
        <v/>
      </c>
      <c r="U589" s="25"/>
      <c r="V589" s="25"/>
      <c r="W589" s="25"/>
      <c r="X589" s="25"/>
      <c r="Y589" s="22" t="str">
        <f t="shared" si="49"/>
        <v/>
      </c>
      <c r="Z589" s="25"/>
      <c r="AA589" s="25"/>
      <c r="AB589" s="25"/>
      <c r="AC589" s="25"/>
      <c r="AD589" s="25"/>
      <c r="AE589" s="25"/>
      <c r="AF589" s="25"/>
      <c r="AG589" s="9"/>
      <c r="AH589" s="29"/>
      <c r="AI589" s="29"/>
      <c r="AM589" s="50"/>
      <c r="AN589" s="51" t="s">
        <v>2945</v>
      </c>
      <c r="AO589" s="55" t="s">
        <v>2946</v>
      </c>
    </row>
    <row r="590" spans="1:41" ht="45.6" hidden="1" x14ac:dyDescent="0.3">
      <c r="A590" s="20">
        <v>586</v>
      </c>
      <c r="B590" s="8" t="s">
        <v>2947</v>
      </c>
      <c r="C590" s="26">
        <v>2024</v>
      </c>
      <c r="D590" s="8"/>
      <c r="E590" s="8" t="s">
        <v>2948</v>
      </c>
      <c r="F590" s="20" t="s">
        <v>54</v>
      </c>
      <c r="G590" s="21" t="s">
        <v>64</v>
      </c>
      <c r="H590" s="21" t="s">
        <v>53</v>
      </c>
      <c r="I590" s="21" t="s">
        <v>53</v>
      </c>
      <c r="J590" s="21" t="s">
        <v>53</v>
      </c>
      <c r="K590" s="21" t="s">
        <v>53</v>
      </c>
      <c r="L590" s="22" t="str">
        <f t="shared" si="45"/>
        <v>EXCLUDE</v>
      </c>
      <c r="M590" s="22" t="str">
        <f t="shared" si="46"/>
        <v>Wrong domain (non-AECO)</v>
      </c>
      <c r="N590" s="23"/>
      <c r="O590" s="23"/>
      <c r="P590" s="24"/>
      <c r="Q590" s="24"/>
      <c r="R590" s="24"/>
      <c r="S590" s="22" t="str">
        <f t="shared" si="47"/>
        <v/>
      </c>
      <c r="T590" s="22" t="str">
        <f t="shared" si="48"/>
        <v/>
      </c>
      <c r="U590" s="25"/>
      <c r="V590" s="25"/>
      <c r="W590" s="25"/>
      <c r="X590" s="25"/>
      <c r="Y590" s="22" t="str">
        <f t="shared" si="49"/>
        <v/>
      </c>
      <c r="Z590" s="25"/>
      <c r="AA590" s="25"/>
      <c r="AB590" s="25"/>
      <c r="AC590" s="25"/>
      <c r="AD590" s="25"/>
      <c r="AE590" s="25"/>
      <c r="AF590" s="25"/>
      <c r="AG590" s="9"/>
      <c r="AH590" s="29"/>
      <c r="AI590" s="29"/>
      <c r="AM590" s="50"/>
      <c r="AN590" s="51" t="s">
        <v>2949</v>
      </c>
      <c r="AO590" s="55" t="s">
        <v>2950</v>
      </c>
    </row>
    <row r="591" spans="1:41" ht="34.200000000000003" hidden="1" x14ac:dyDescent="0.3">
      <c r="A591" s="20">
        <v>587</v>
      </c>
      <c r="B591" s="8" t="s">
        <v>2951</v>
      </c>
      <c r="C591" s="26">
        <v>2022</v>
      </c>
      <c r="D591" s="8"/>
      <c r="E591" s="8" t="s">
        <v>2952</v>
      </c>
      <c r="F591" s="20" t="s">
        <v>54</v>
      </c>
      <c r="G591" s="21" t="s">
        <v>64</v>
      </c>
      <c r="H591" s="21" t="s">
        <v>53</v>
      </c>
      <c r="I591" s="21" t="s">
        <v>53</v>
      </c>
      <c r="J591" s="21" t="s">
        <v>53</v>
      </c>
      <c r="K591" s="21" t="s">
        <v>53</v>
      </c>
      <c r="L591" s="22" t="str">
        <f t="shared" si="45"/>
        <v>EXCLUDE</v>
      </c>
      <c r="M591" s="22" t="str">
        <f t="shared" si="46"/>
        <v>Wrong domain (non-AECO)</v>
      </c>
      <c r="N591" s="23"/>
      <c r="O591" s="23"/>
      <c r="P591" s="24"/>
      <c r="Q591" s="24"/>
      <c r="R591" s="24"/>
      <c r="S591" s="22" t="str">
        <f t="shared" si="47"/>
        <v/>
      </c>
      <c r="T591" s="22" t="str">
        <f t="shared" si="48"/>
        <v/>
      </c>
      <c r="U591" s="25"/>
      <c r="V591" s="25"/>
      <c r="W591" s="25"/>
      <c r="X591" s="25"/>
      <c r="Y591" s="22" t="str">
        <f t="shared" si="49"/>
        <v/>
      </c>
      <c r="Z591" s="25"/>
      <c r="AA591" s="25"/>
      <c r="AB591" s="25"/>
      <c r="AC591" s="25"/>
      <c r="AD591" s="25"/>
      <c r="AE591" s="25"/>
      <c r="AF591" s="25"/>
      <c r="AG591" s="9"/>
      <c r="AH591" s="29"/>
      <c r="AI591" s="29"/>
      <c r="AM591" s="50"/>
      <c r="AN591" s="51" t="s">
        <v>2953</v>
      </c>
      <c r="AO591" s="55" t="s">
        <v>2954</v>
      </c>
    </row>
    <row r="592" spans="1:41" ht="57" hidden="1" x14ac:dyDescent="0.3">
      <c r="A592" s="20">
        <v>588</v>
      </c>
      <c r="B592" s="8" t="s">
        <v>2955</v>
      </c>
      <c r="C592" s="26">
        <v>2024</v>
      </c>
      <c r="D592" s="8"/>
      <c r="E592" s="8" t="s">
        <v>2956</v>
      </c>
      <c r="F592" s="20" t="s">
        <v>54</v>
      </c>
      <c r="G592" s="21" t="s">
        <v>53</v>
      </c>
      <c r="H592" s="21" t="s">
        <v>53</v>
      </c>
      <c r="I592" s="21" t="s">
        <v>53</v>
      </c>
      <c r="J592" s="21" t="s">
        <v>53</v>
      </c>
      <c r="K592" s="21" t="s">
        <v>53</v>
      </c>
      <c r="L592" s="22" t="str">
        <f t="shared" si="45"/>
        <v>INCLUDE</v>
      </c>
      <c r="M592" s="22" t="str">
        <f t="shared" si="46"/>
        <v/>
      </c>
      <c r="N592" s="23" t="s">
        <v>64</v>
      </c>
      <c r="O592" s="23" t="s">
        <v>64</v>
      </c>
      <c r="P592" s="24"/>
      <c r="Q592" s="24"/>
      <c r="R592" s="24"/>
      <c r="S592" s="22" t="str">
        <f t="shared" si="47"/>
        <v/>
      </c>
      <c r="T592" s="22" t="str">
        <f t="shared" si="48"/>
        <v/>
      </c>
      <c r="U592" s="25"/>
      <c r="V592" s="25"/>
      <c r="W592" s="25"/>
      <c r="X592" s="25"/>
      <c r="Y592" s="22" t="str">
        <f t="shared" si="49"/>
        <v/>
      </c>
      <c r="Z592" s="25"/>
      <c r="AA592" s="25"/>
      <c r="AB592" s="25"/>
      <c r="AC592" s="25"/>
      <c r="AD592" s="25"/>
      <c r="AE592" s="25"/>
      <c r="AF592" s="25"/>
      <c r="AG592" s="9"/>
      <c r="AH592" s="29"/>
      <c r="AI592" s="29"/>
      <c r="AM592" s="50"/>
      <c r="AN592" s="51" t="s">
        <v>2957</v>
      </c>
      <c r="AO592" s="55" t="s">
        <v>2958</v>
      </c>
    </row>
    <row r="593" spans="1:41" ht="45.6" hidden="1" x14ac:dyDescent="0.3">
      <c r="A593" s="20">
        <v>589</v>
      </c>
      <c r="B593" s="8" t="s">
        <v>2959</v>
      </c>
      <c r="C593" s="26">
        <v>2024</v>
      </c>
      <c r="D593" s="8"/>
      <c r="E593" s="8" t="s">
        <v>2960</v>
      </c>
      <c r="F593" s="20" t="s">
        <v>54</v>
      </c>
      <c r="G593" s="21" t="s">
        <v>53</v>
      </c>
      <c r="H593" s="21" t="s">
        <v>53</v>
      </c>
      <c r="I593" s="21" t="s">
        <v>64</v>
      </c>
      <c r="J593" s="21" t="s">
        <v>53</v>
      </c>
      <c r="K593" s="21" t="s">
        <v>53</v>
      </c>
      <c r="L593" s="22" t="str">
        <f t="shared" si="45"/>
        <v>EXCLUDE</v>
      </c>
      <c r="M593" s="22" t="str">
        <f t="shared" si="46"/>
        <v>No Design for Safety/Quality/PtD</v>
      </c>
      <c r="N593" s="23"/>
      <c r="O593" s="23"/>
      <c r="P593" s="24"/>
      <c r="Q593" s="24"/>
      <c r="R593" s="24"/>
      <c r="S593" s="22" t="str">
        <f t="shared" si="47"/>
        <v/>
      </c>
      <c r="T593" s="22" t="str">
        <f t="shared" si="48"/>
        <v/>
      </c>
      <c r="U593" s="25"/>
      <c r="V593" s="25"/>
      <c r="W593" s="25"/>
      <c r="X593" s="25"/>
      <c r="Y593" s="22" t="str">
        <f t="shared" si="49"/>
        <v/>
      </c>
      <c r="Z593" s="25"/>
      <c r="AA593" s="25"/>
      <c r="AB593" s="25"/>
      <c r="AC593" s="25"/>
      <c r="AD593" s="25"/>
      <c r="AE593" s="25"/>
      <c r="AF593" s="25"/>
      <c r="AG593" s="9"/>
      <c r="AH593" s="29"/>
      <c r="AI593" s="29"/>
      <c r="AM593" s="50"/>
      <c r="AN593" s="51" t="s">
        <v>2961</v>
      </c>
      <c r="AO593" s="55" t="s">
        <v>2962</v>
      </c>
    </row>
    <row r="594" spans="1:41" ht="79.8" x14ac:dyDescent="0.3">
      <c r="A594" s="20">
        <v>590</v>
      </c>
      <c r="B594" s="8" t="s">
        <v>2963</v>
      </c>
      <c r="C594" s="26">
        <v>2022</v>
      </c>
      <c r="D594" s="8"/>
      <c r="E594" s="8" t="s">
        <v>2964</v>
      </c>
      <c r="F594" s="20" t="s">
        <v>54</v>
      </c>
      <c r="G594" s="21" t="s">
        <v>53</v>
      </c>
      <c r="H594" s="21" t="s">
        <v>53</v>
      </c>
      <c r="I594" s="21" t="s">
        <v>53</v>
      </c>
      <c r="J594" s="21" t="s">
        <v>53</v>
      </c>
      <c r="K594" s="21" t="s">
        <v>53</v>
      </c>
      <c r="L594" s="22" t="str">
        <f t="shared" si="45"/>
        <v>INCLUDE</v>
      </c>
      <c r="M594" s="22" t="str">
        <f t="shared" si="46"/>
        <v/>
      </c>
      <c r="N594" s="23" t="s">
        <v>53</v>
      </c>
      <c r="O594" s="23" t="s">
        <v>53</v>
      </c>
      <c r="P594" s="24" t="s">
        <v>53</v>
      </c>
      <c r="Q594" s="24" t="s">
        <v>53</v>
      </c>
      <c r="R594" s="24" t="s">
        <v>53</v>
      </c>
      <c r="S594" s="22" t="str">
        <f t="shared" si="47"/>
        <v>INCLUDE</v>
      </c>
      <c r="T594" s="22" t="str">
        <f t="shared" si="48"/>
        <v/>
      </c>
      <c r="U594" s="25" t="s">
        <v>67</v>
      </c>
      <c r="V594" s="25">
        <v>0</v>
      </c>
      <c r="W594" s="25">
        <v>1</v>
      </c>
      <c r="X594" s="25">
        <v>0</v>
      </c>
      <c r="Y594" s="22" t="str">
        <f t="shared" si="49"/>
        <v>Single</v>
      </c>
      <c r="Z594" s="25" t="s">
        <v>9</v>
      </c>
      <c r="AA594" s="25" t="s">
        <v>57</v>
      </c>
      <c r="AB594" s="25" t="s">
        <v>97</v>
      </c>
      <c r="AC594" s="25" t="s">
        <v>70</v>
      </c>
      <c r="AD594" s="25" t="s">
        <v>60</v>
      </c>
      <c r="AE594" s="25">
        <v>3</v>
      </c>
      <c r="AF594" s="25" t="s">
        <v>90</v>
      </c>
      <c r="AG594" s="9" t="s">
        <v>2965</v>
      </c>
      <c r="AH594" s="29" t="s">
        <v>2966</v>
      </c>
      <c r="AI594" s="29" t="s">
        <v>2967</v>
      </c>
      <c r="AJ594" t="s">
        <v>93</v>
      </c>
      <c r="AK594" t="s">
        <v>2968</v>
      </c>
      <c r="AL594" t="s">
        <v>63</v>
      </c>
      <c r="AM594" s="50" t="s">
        <v>213</v>
      </c>
      <c r="AN594" s="51" t="s">
        <v>2969</v>
      </c>
      <c r="AO594" s="55" t="s">
        <v>2970</v>
      </c>
    </row>
    <row r="595" spans="1:41" ht="57.6" x14ac:dyDescent="0.3">
      <c r="A595" s="20">
        <v>591</v>
      </c>
      <c r="B595" s="8" t="s">
        <v>2971</v>
      </c>
      <c r="C595" s="26">
        <v>2024</v>
      </c>
      <c r="D595" s="8"/>
      <c r="E595" s="8" t="s">
        <v>2972</v>
      </c>
      <c r="F595" s="20" t="s">
        <v>54</v>
      </c>
      <c r="G595" s="21" t="s">
        <v>53</v>
      </c>
      <c r="H595" s="21" t="s">
        <v>53</v>
      </c>
      <c r="I595" s="21" t="s">
        <v>53</v>
      </c>
      <c r="J595" s="21" t="s">
        <v>53</v>
      </c>
      <c r="K595" s="21" t="s">
        <v>53</v>
      </c>
      <c r="L595" s="22" t="str">
        <f t="shared" si="45"/>
        <v>INCLUDE</v>
      </c>
      <c r="M595" s="22" t="str">
        <f t="shared" si="46"/>
        <v/>
      </c>
      <c r="N595" s="23" t="s">
        <v>53</v>
      </c>
      <c r="O595" s="23" t="s">
        <v>53</v>
      </c>
      <c r="P595" s="24" t="s">
        <v>53</v>
      </c>
      <c r="Q595" s="24" t="s">
        <v>53</v>
      </c>
      <c r="R595" s="24" t="s">
        <v>53</v>
      </c>
      <c r="S595" s="22" t="str">
        <f t="shared" si="47"/>
        <v>INCLUDE</v>
      </c>
      <c r="T595" s="22" t="str">
        <f t="shared" si="48"/>
        <v/>
      </c>
      <c r="U595" s="25" t="s">
        <v>76</v>
      </c>
      <c r="V595" s="25">
        <v>0</v>
      </c>
      <c r="W595" s="25">
        <v>0</v>
      </c>
      <c r="X595" s="25">
        <v>1</v>
      </c>
      <c r="Y595" s="22" t="str">
        <f t="shared" si="49"/>
        <v>Single</v>
      </c>
      <c r="Z595" s="25" t="s">
        <v>9</v>
      </c>
      <c r="AA595" s="25" t="s">
        <v>68</v>
      </c>
      <c r="AB595" s="25" t="s">
        <v>103</v>
      </c>
      <c r="AC595" s="25" t="s">
        <v>70</v>
      </c>
      <c r="AD595" s="25" t="s">
        <v>60</v>
      </c>
      <c r="AE595" s="25">
        <v>3</v>
      </c>
      <c r="AF595" s="25" t="s">
        <v>90</v>
      </c>
      <c r="AG595" s="9" t="s">
        <v>2973</v>
      </c>
      <c r="AH595" s="29" t="s">
        <v>2974</v>
      </c>
      <c r="AI595" s="29" t="s">
        <v>2975</v>
      </c>
      <c r="AJ595" t="s">
        <v>93</v>
      </c>
      <c r="AK595" t="s">
        <v>2976</v>
      </c>
      <c r="AL595" t="s">
        <v>63</v>
      </c>
      <c r="AM595" s="50" t="s">
        <v>213</v>
      </c>
      <c r="AN595" s="51" t="s">
        <v>2977</v>
      </c>
      <c r="AO595" s="55" t="s">
        <v>2978</v>
      </c>
    </row>
    <row r="596" spans="1:41" ht="45.6" hidden="1" x14ac:dyDescent="0.3">
      <c r="A596" s="20">
        <v>592</v>
      </c>
      <c r="B596" s="8" t="s">
        <v>2979</v>
      </c>
      <c r="C596" s="26">
        <v>2023</v>
      </c>
      <c r="D596" s="8"/>
      <c r="E596" s="8" t="s">
        <v>2980</v>
      </c>
      <c r="F596" s="20" t="s">
        <v>54</v>
      </c>
      <c r="G596" s="21" t="s">
        <v>53</v>
      </c>
      <c r="H596" s="21" t="s">
        <v>64</v>
      </c>
      <c r="I596" s="21" t="s">
        <v>53</v>
      </c>
      <c r="J596" s="21" t="s">
        <v>53</v>
      </c>
      <c r="K596" s="21" t="s">
        <v>53</v>
      </c>
      <c r="L596" s="22" t="str">
        <f t="shared" si="45"/>
        <v>EXCLUDE</v>
      </c>
      <c r="M596" s="22" t="str">
        <f t="shared" si="46"/>
        <v>Digital Twin not core / buzzword</v>
      </c>
      <c r="N596" s="23"/>
      <c r="O596" s="23"/>
      <c r="P596" s="24"/>
      <c r="Q596" s="24"/>
      <c r="R596" s="24"/>
      <c r="S596" s="22" t="str">
        <f t="shared" si="47"/>
        <v/>
      </c>
      <c r="T596" s="22" t="str">
        <f t="shared" si="48"/>
        <v/>
      </c>
      <c r="U596" s="25"/>
      <c r="V596" s="25"/>
      <c r="W596" s="25"/>
      <c r="X596" s="25"/>
      <c r="Y596" s="22" t="str">
        <f t="shared" si="49"/>
        <v/>
      </c>
      <c r="Z596" s="25"/>
      <c r="AA596" s="25"/>
      <c r="AB596" s="25"/>
      <c r="AC596" s="25"/>
      <c r="AD596" s="25"/>
      <c r="AE596" s="25"/>
      <c r="AF596" s="25"/>
      <c r="AG596" s="9"/>
      <c r="AH596" s="29"/>
      <c r="AI596" s="29"/>
      <c r="AM596" s="50"/>
      <c r="AN596" s="51" t="s">
        <v>2981</v>
      </c>
      <c r="AO596" s="55" t="s">
        <v>2982</v>
      </c>
    </row>
    <row r="597" spans="1:41" ht="68.400000000000006" hidden="1" x14ac:dyDescent="0.3">
      <c r="A597" s="20">
        <v>593</v>
      </c>
      <c r="B597" s="8" t="s">
        <v>2983</v>
      </c>
      <c r="C597" s="26">
        <v>2023</v>
      </c>
      <c r="D597" s="8"/>
      <c r="E597" s="8" t="s">
        <v>2984</v>
      </c>
      <c r="F597" s="20" t="s">
        <v>54</v>
      </c>
      <c r="G597" s="21" t="s">
        <v>53</v>
      </c>
      <c r="H597" s="21" t="s">
        <v>53</v>
      </c>
      <c r="I597" s="21" t="s">
        <v>64</v>
      </c>
      <c r="J597" s="21" t="s">
        <v>53</v>
      </c>
      <c r="K597" s="21" t="s">
        <v>53</v>
      </c>
      <c r="L597" s="22" t="str">
        <f t="shared" si="45"/>
        <v>EXCLUDE</v>
      </c>
      <c r="M597" s="22" t="str">
        <f t="shared" si="46"/>
        <v>No Design for Safety/Quality/PtD</v>
      </c>
      <c r="N597" s="23"/>
      <c r="O597" s="23"/>
      <c r="P597" s="24"/>
      <c r="Q597" s="24"/>
      <c r="R597" s="24"/>
      <c r="S597" s="22" t="str">
        <f t="shared" si="47"/>
        <v/>
      </c>
      <c r="T597" s="22" t="str">
        <f t="shared" si="48"/>
        <v/>
      </c>
      <c r="U597" s="25"/>
      <c r="V597" s="25"/>
      <c r="W597" s="25"/>
      <c r="X597" s="25"/>
      <c r="Y597" s="22" t="str">
        <f t="shared" si="49"/>
        <v/>
      </c>
      <c r="Z597" s="25"/>
      <c r="AA597" s="25"/>
      <c r="AB597" s="25"/>
      <c r="AC597" s="25"/>
      <c r="AD597" s="25"/>
      <c r="AE597" s="25"/>
      <c r="AF597" s="25"/>
      <c r="AG597" s="9"/>
      <c r="AH597" s="29"/>
      <c r="AI597" s="29"/>
      <c r="AM597" s="50"/>
      <c r="AN597" s="51" t="s">
        <v>2985</v>
      </c>
      <c r="AO597" s="55" t="s">
        <v>2986</v>
      </c>
    </row>
    <row r="598" spans="1:41" ht="45.6" hidden="1" x14ac:dyDescent="0.3">
      <c r="A598" s="20">
        <v>594</v>
      </c>
      <c r="B598" s="8" t="s">
        <v>2987</v>
      </c>
      <c r="C598" s="26">
        <v>2024</v>
      </c>
      <c r="D598" s="8"/>
      <c r="E598" s="8" t="s">
        <v>2988</v>
      </c>
      <c r="F598" s="20" t="s">
        <v>54</v>
      </c>
      <c r="G598" s="21" t="s">
        <v>53</v>
      </c>
      <c r="H598" s="21" t="s">
        <v>53</v>
      </c>
      <c r="I598" s="21" t="s">
        <v>64</v>
      </c>
      <c r="J598" s="21" t="s">
        <v>53</v>
      </c>
      <c r="K598" s="21" t="s">
        <v>53</v>
      </c>
      <c r="L598" s="22" t="str">
        <f t="shared" si="45"/>
        <v>EXCLUDE</v>
      </c>
      <c r="M598" s="22" t="str">
        <f t="shared" si="46"/>
        <v>No Design for Safety/Quality/PtD</v>
      </c>
      <c r="N598" s="23"/>
      <c r="O598" s="23"/>
      <c r="P598" s="24"/>
      <c r="Q598" s="24"/>
      <c r="R598" s="24"/>
      <c r="S598" s="22" t="str">
        <f t="shared" si="47"/>
        <v/>
      </c>
      <c r="T598" s="22" t="str">
        <f t="shared" si="48"/>
        <v/>
      </c>
      <c r="U598" s="25"/>
      <c r="V598" s="25"/>
      <c r="W598" s="25"/>
      <c r="X598" s="25"/>
      <c r="Y598" s="22" t="str">
        <f t="shared" si="49"/>
        <v/>
      </c>
      <c r="Z598" s="25"/>
      <c r="AA598" s="25"/>
      <c r="AB598" s="25"/>
      <c r="AC598" s="25"/>
      <c r="AD598" s="25"/>
      <c r="AE598" s="25"/>
      <c r="AF598" s="25"/>
      <c r="AG598" s="9"/>
      <c r="AH598" s="29"/>
      <c r="AI598" s="29"/>
      <c r="AM598" s="50"/>
      <c r="AN598" s="51" t="s">
        <v>2989</v>
      </c>
      <c r="AO598" s="55" t="s">
        <v>2990</v>
      </c>
    </row>
    <row r="599" spans="1:41" ht="114" x14ac:dyDescent="0.3">
      <c r="A599" s="20">
        <v>595</v>
      </c>
      <c r="B599" s="8" t="s">
        <v>2991</v>
      </c>
      <c r="C599" s="26">
        <v>2024</v>
      </c>
      <c r="D599" s="8"/>
      <c r="E599" s="8" t="s">
        <v>2992</v>
      </c>
      <c r="F599" s="20" t="s">
        <v>54</v>
      </c>
      <c r="G599" s="21" t="s">
        <v>53</v>
      </c>
      <c r="H599" s="21" t="s">
        <v>53</v>
      </c>
      <c r="I599" s="21" t="s">
        <v>53</v>
      </c>
      <c r="J599" s="21" t="s">
        <v>53</v>
      </c>
      <c r="K599" s="21" t="s">
        <v>53</v>
      </c>
      <c r="L599" s="22" t="str">
        <f t="shared" si="45"/>
        <v>INCLUDE</v>
      </c>
      <c r="M599" s="22" t="str">
        <f t="shared" si="46"/>
        <v/>
      </c>
      <c r="N599" s="23" t="s">
        <v>53</v>
      </c>
      <c r="O599" s="23" t="s">
        <v>53</v>
      </c>
      <c r="P599" s="24" t="s">
        <v>53</v>
      </c>
      <c r="Q599" s="24" t="s">
        <v>53</v>
      </c>
      <c r="R599" s="24" t="s">
        <v>53</v>
      </c>
      <c r="S599" s="22" t="str">
        <f t="shared" si="47"/>
        <v>INCLUDE</v>
      </c>
      <c r="T599" s="22" t="str">
        <f t="shared" si="48"/>
        <v/>
      </c>
      <c r="U599" s="25" t="s">
        <v>56</v>
      </c>
      <c r="V599" s="25">
        <v>0</v>
      </c>
      <c r="W599" s="25">
        <v>1</v>
      </c>
      <c r="X599" s="25">
        <v>0</v>
      </c>
      <c r="Y599" s="22" t="str">
        <f t="shared" si="49"/>
        <v>Single</v>
      </c>
      <c r="Z599" s="25" t="s">
        <v>77</v>
      </c>
      <c r="AA599" s="25" t="s">
        <v>68</v>
      </c>
      <c r="AB599" s="25" t="s">
        <v>103</v>
      </c>
      <c r="AC599" s="25" t="s">
        <v>70</v>
      </c>
      <c r="AD599" s="25" t="s">
        <v>60</v>
      </c>
      <c r="AE599" s="25">
        <v>3</v>
      </c>
      <c r="AF599" s="25" t="s">
        <v>61</v>
      </c>
      <c r="AG599" s="9" t="s">
        <v>2993</v>
      </c>
      <c r="AH599" s="29" t="s">
        <v>2994</v>
      </c>
      <c r="AI599" s="29" t="s">
        <v>2995</v>
      </c>
      <c r="AJ599" t="s">
        <v>93</v>
      </c>
      <c r="AK599" t="s">
        <v>2996</v>
      </c>
      <c r="AL599" t="s">
        <v>63</v>
      </c>
      <c r="AM599" s="50" t="s">
        <v>213</v>
      </c>
      <c r="AN599" s="51" t="s">
        <v>2997</v>
      </c>
      <c r="AO599" s="55" t="s">
        <v>2998</v>
      </c>
    </row>
    <row r="600" spans="1:41" ht="57" hidden="1" x14ac:dyDescent="0.3">
      <c r="A600" s="20">
        <v>596</v>
      </c>
      <c r="B600" s="8" t="s">
        <v>2999</v>
      </c>
      <c r="C600" s="26">
        <v>2022</v>
      </c>
      <c r="D600" s="8"/>
      <c r="E600" s="8" t="s">
        <v>3000</v>
      </c>
      <c r="F600" s="20" t="s">
        <v>54</v>
      </c>
      <c r="G600" s="21" t="s">
        <v>53</v>
      </c>
      <c r="H600" s="21" t="s">
        <v>64</v>
      </c>
      <c r="I600" s="21" t="s">
        <v>53</v>
      </c>
      <c r="J600" s="21" t="s">
        <v>53</v>
      </c>
      <c r="K600" s="21" t="s">
        <v>53</v>
      </c>
      <c r="L600" s="22" t="str">
        <f t="shared" si="45"/>
        <v>EXCLUDE</v>
      </c>
      <c r="M600" s="22" t="str">
        <f t="shared" si="46"/>
        <v>Digital Twin not core / buzzword</v>
      </c>
      <c r="N600" s="23"/>
      <c r="O600" s="23"/>
      <c r="P600" s="24"/>
      <c r="Q600" s="24"/>
      <c r="R600" s="24"/>
      <c r="S600" s="22" t="str">
        <f t="shared" si="47"/>
        <v/>
      </c>
      <c r="T600" s="22" t="str">
        <f t="shared" si="48"/>
        <v/>
      </c>
      <c r="U600" s="25"/>
      <c r="V600" s="25"/>
      <c r="W600" s="25"/>
      <c r="X600" s="25"/>
      <c r="Y600" s="22" t="str">
        <f t="shared" si="49"/>
        <v/>
      </c>
      <c r="Z600" s="25"/>
      <c r="AA600" s="25"/>
      <c r="AB600" s="25"/>
      <c r="AC600" s="25"/>
      <c r="AD600" s="25"/>
      <c r="AE600" s="25"/>
      <c r="AF600" s="25"/>
      <c r="AG600" s="9"/>
      <c r="AH600" s="29"/>
      <c r="AI600" s="29"/>
      <c r="AM600" s="50"/>
      <c r="AN600" s="51" t="s">
        <v>3001</v>
      </c>
      <c r="AO600" s="55" t="s">
        <v>3002</v>
      </c>
    </row>
    <row r="601" spans="1:41" ht="45.6" hidden="1" x14ac:dyDescent="0.3">
      <c r="A601" s="20">
        <v>597</v>
      </c>
      <c r="B601" s="8" t="s">
        <v>3003</v>
      </c>
      <c r="C601" s="26">
        <v>2024</v>
      </c>
      <c r="D601" s="8"/>
      <c r="E601" s="8" t="s">
        <v>3004</v>
      </c>
      <c r="F601" s="20" t="s">
        <v>54</v>
      </c>
      <c r="G601" s="21" t="s">
        <v>53</v>
      </c>
      <c r="H601" s="21" t="s">
        <v>53</v>
      </c>
      <c r="I601" s="21" t="s">
        <v>64</v>
      </c>
      <c r="J601" s="21" t="s">
        <v>53</v>
      </c>
      <c r="K601" s="21" t="s">
        <v>53</v>
      </c>
      <c r="L601" s="22" t="str">
        <f t="shared" si="45"/>
        <v>EXCLUDE</v>
      </c>
      <c r="M601" s="22" t="str">
        <f t="shared" si="46"/>
        <v>No Design for Safety/Quality/PtD</v>
      </c>
      <c r="N601" s="23"/>
      <c r="O601" s="23"/>
      <c r="P601" s="24"/>
      <c r="Q601" s="24"/>
      <c r="R601" s="24"/>
      <c r="S601" s="22" t="str">
        <f t="shared" si="47"/>
        <v/>
      </c>
      <c r="T601" s="22" t="str">
        <f t="shared" si="48"/>
        <v/>
      </c>
      <c r="U601" s="25"/>
      <c r="V601" s="25"/>
      <c r="W601" s="25"/>
      <c r="X601" s="25"/>
      <c r="Y601" s="22" t="str">
        <f t="shared" si="49"/>
        <v/>
      </c>
      <c r="Z601" s="25"/>
      <c r="AA601" s="25"/>
      <c r="AB601" s="25"/>
      <c r="AC601" s="25"/>
      <c r="AD601" s="25"/>
      <c r="AE601" s="25"/>
      <c r="AF601" s="25"/>
      <c r="AG601" s="9"/>
      <c r="AH601" s="29"/>
      <c r="AI601" s="29"/>
      <c r="AM601" s="50"/>
      <c r="AN601" s="51" t="s">
        <v>3005</v>
      </c>
      <c r="AO601" s="55" t="s">
        <v>3006</v>
      </c>
    </row>
    <row r="602" spans="1:41" ht="68.400000000000006" hidden="1" x14ac:dyDescent="0.3">
      <c r="A602" s="20">
        <v>598</v>
      </c>
      <c r="B602" s="8" t="s">
        <v>3007</v>
      </c>
      <c r="C602" s="26">
        <v>2025</v>
      </c>
      <c r="D602" s="8"/>
      <c r="E602" s="8" t="s">
        <v>3008</v>
      </c>
      <c r="F602" s="20" t="s">
        <v>54</v>
      </c>
      <c r="G602" s="21" t="s">
        <v>53</v>
      </c>
      <c r="H602" s="21" t="s">
        <v>53</v>
      </c>
      <c r="I602" s="21" t="s">
        <v>53</v>
      </c>
      <c r="J602" s="21" t="s">
        <v>53</v>
      </c>
      <c r="K602" s="21" t="s">
        <v>53</v>
      </c>
      <c r="L602" s="22" t="str">
        <f t="shared" si="45"/>
        <v>INCLUDE</v>
      </c>
      <c r="M602" s="22" t="str">
        <f t="shared" si="46"/>
        <v/>
      </c>
      <c r="N602" s="23" t="s">
        <v>53</v>
      </c>
      <c r="O602" s="23" t="s">
        <v>53</v>
      </c>
      <c r="P602" s="24" t="s">
        <v>64</v>
      </c>
      <c r="Q602" s="24" t="s">
        <v>53</v>
      </c>
      <c r="R602" s="24" t="s">
        <v>64</v>
      </c>
      <c r="S602" s="22" t="str">
        <f t="shared" si="47"/>
        <v>EXCLUDE</v>
      </c>
      <c r="T602" s="22" t="str">
        <f t="shared" si="48"/>
        <v>Digital Twin mentioned only, not the subject</v>
      </c>
      <c r="U602" s="25"/>
      <c r="V602" s="25"/>
      <c r="W602" s="25"/>
      <c r="X602" s="25"/>
      <c r="Y602" s="22" t="str">
        <f t="shared" si="49"/>
        <v/>
      </c>
      <c r="Z602" s="25"/>
      <c r="AA602" s="25"/>
      <c r="AB602" s="25"/>
      <c r="AC602" s="25"/>
      <c r="AD602" s="25"/>
      <c r="AE602" s="25"/>
      <c r="AF602" s="25"/>
      <c r="AG602" s="9" t="s">
        <v>3009</v>
      </c>
      <c r="AH602" s="29"/>
      <c r="AI602" s="29"/>
      <c r="AM602" s="50"/>
      <c r="AN602" s="51" t="s">
        <v>3010</v>
      </c>
      <c r="AO602" s="55" t="s">
        <v>3011</v>
      </c>
    </row>
    <row r="603" spans="1:41" ht="91.2" x14ac:dyDescent="0.3">
      <c r="A603" s="20">
        <v>599</v>
      </c>
      <c r="B603" s="8" t="s">
        <v>3012</v>
      </c>
      <c r="C603" s="26">
        <v>2024</v>
      </c>
      <c r="D603" s="8"/>
      <c r="E603" s="8" t="s">
        <v>3013</v>
      </c>
      <c r="F603" s="20" t="s">
        <v>54</v>
      </c>
      <c r="G603" s="21" t="s">
        <v>53</v>
      </c>
      <c r="H603" s="21" t="s">
        <v>53</v>
      </c>
      <c r="I603" s="21" t="s">
        <v>53</v>
      </c>
      <c r="J603" s="21" t="s">
        <v>53</v>
      </c>
      <c r="K603" s="21" t="s">
        <v>53</v>
      </c>
      <c r="L603" s="22" t="str">
        <f t="shared" si="45"/>
        <v>INCLUDE</v>
      </c>
      <c r="M603" s="22" t="str">
        <f t="shared" si="46"/>
        <v/>
      </c>
      <c r="N603" s="23" t="s">
        <v>53</v>
      </c>
      <c r="O603" s="23" t="s">
        <v>53</v>
      </c>
      <c r="P603" s="24" t="s">
        <v>53</v>
      </c>
      <c r="Q603" s="24" t="s">
        <v>53</v>
      </c>
      <c r="R603" s="24" t="s">
        <v>53</v>
      </c>
      <c r="S603" s="22" t="str">
        <f t="shared" si="47"/>
        <v>INCLUDE</v>
      </c>
      <c r="T603" s="22" t="str">
        <f t="shared" si="48"/>
        <v/>
      </c>
      <c r="U603" s="25" t="s">
        <v>56</v>
      </c>
      <c r="V603" s="25">
        <v>0</v>
      </c>
      <c r="W603" s="25">
        <v>0</v>
      </c>
      <c r="X603" s="25">
        <v>1</v>
      </c>
      <c r="Y603" s="22" t="str">
        <f t="shared" si="49"/>
        <v>Single</v>
      </c>
      <c r="Z603" s="25" t="s">
        <v>9</v>
      </c>
      <c r="AA603" s="25" t="s">
        <v>57</v>
      </c>
      <c r="AB603" s="25" t="s">
        <v>100</v>
      </c>
      <c r="AC603" s="25" t="s">
        <v>70</v>
      </c>
      <c r="AD603" s="25" t="s">
        <v>71</v>
      </c>
      <c r="AE603" s="25">
        <v>4</v>
      </c>
      <c r="AF603" s="25" t="s">
        <v>81</v>
      </c>
      <c r="AG603" s="9" t="s">
        <v>3014</v>
      </c>
      <c r="AH603" s="29" t="s">
        <v>3015</v>
      </c>
      <c r="AI603" s="29" t="s">
        <v>3016</v>
      </c>
      <c r="AJ603" t="s">
        <v>82</v>
      </c>
      <c r="AK603" t="s">
        <v>3017</v>
      </c>
      <c r="AL603" t="s">
        <v>74</v>
      </c>
      <c r="AM603" s="50"/>
      <c r="AN603" s="51" t="s">
        <v>3018</v>
      </c>
      <c r="AO603" s="55" t="s">
        <v>3019</v>
      </c>
    </row>
    <row r="604" spans="1:41" ht="79.8" hidden="1" x14ac:dyDescent="0.3">
      <c r="A604" s="20">
        <v>600</v>
      </c>
      <c r="B604" s="8" t="s">
        <v>3020</v>
      </c>
      <c r="C604" s="26">
        <v>2023</v>
      </c>
      <c r="D604" s="8"/>
      <c r="E604" s="8" t="s">
        <v>3021</v>
      </c>
      <c r="F604" s="20" t="s">
        <v>54</v>
      </c>
      <c r="G604" s="21" t="s">
        <v>64</v>
      </c>
      <c r="H604" s="21" t="s">
        <v>53</v>
      </c>
      <c r="I604" s="21" t="s">
        <v>53</v>
      </c>
      <c r="J604" s="21" t="s">
        <v>53</v>
      </c>
      <c r="K604" s="21" t="s">
        <v>53</v>
      </c>
      <c r="L604" s="22" t="str">
        <f t="shared" si="45"/>
        <v>EXCLUDE</v>
      </c>
      <c r="M604" s="22" t="str">
        <f t="shared" si="46"/>
        <v>Wrong domain (non-AECO)</v>
      </c>
      <c r="N604" s="23"/>
      <c r="O604" s="23"/>
      <c r="P604" s="24"/>
      <c r="Q604" s="24"/>
      <c r="R604" s="24"/>
      <c r="S604" s="22" t="str">
        <f t="shared" si="47"/>
        <v/>
      </c>
      <c r="T604" s="22" t="str">
        <f t="shared" si="48"/>
        <v/>
      </c>
      <c r="U604" s="25"/>
      <c r="V604" s="25"/>
      <c r="W604" s="25"/>
      <c r="X604" s="25"/>
      <c r="Y604" s="22" t="str">
        <f t="shared" si="49"/>
        <v/>
      </c>
      <c r="Z604" s="25"/>
      <c r="AA604" s="25"/>
      <c r="AB604" s="25"/>
      <c r="AC604" s="25"/>
      <c r="AD604" s="25"/>
      <c r="AE604" s="25"/>
      <c r="AF604" s="25"/>
      <c r="AG604" s="9"/>
      <c r="AH604" s="29"/>
      <c r="AI604" s="29"/>
      <c r="AM604" s="50"/>
      <c r="AN604" s="51" t="s">
        <v>3022</v>
      </c>
      <c r="AO604" s="55" t="s">
        <v>3023</v>
      </c>
    </row>
    <row r="605" spans="1:41" ht="68.400000000000006" hidden="1" x14ac:dyDescent="0.3">
      <c r="A605" s="20">
        <v>601</v>
      </c>
      <c r="B605" s="8" t="s">
        <v>3024</v>
      </c>
      <c r="C605" s="26">
        <v>2024</v>
      </c>
      <c r="D605" s="8"/>
      <c r="E605" s="8" t="s">
        <v>3025</v>
      </c>
      <c r="F605" s="20" t="s">
        <v>54</v>
      </c>
      <c r="G605" s="21" t="s">
        <v>64</v>
      </c>
      <c r="H605" s="21" t="s">
        <v>53</v>
      </c>
      <c r="I605" s="21" t="s">
        <v>53</v>
      </c>
      <c r="J605" s="21" t="s">
        <v>53</v>
      </c>
      <c r="K605" s="21" t="s">
        <v>53</v>
      </c>
      <c r="L605" s="22" t="str">
        <f t="shared" si="45"/>
        <v>EXCLUDE</v>
      </c>
      <c r="M605" s="22" t="str">
        <f t="shared" si="46"/>
        <v>Wrong domain (non-AECO)</v>
      </c>
      <c r="N605" s="23"/>
      <c r="O605" s="23"/>
      <c r="P605" s="24"/>
      <c r="Q605" s="24"/>
      <c r="R605" s="24"/>
      <c r="S605" s="22" t="str">
        <f t="shared" si="47"/>
        <v/>
      </c>
      <c r="T605" s="22" t="str">
        <f t="shared" si="48"/>
        <v/>
      </c>
      <c r="U605" s="25"/>
      <c r="V605" s="25"/>
      <c r="W605" s="25"/>
      <c r="X605" s="25"/>
      <c r="Y605" s="22" t="str">
        <f t="shared" si="49"/>
        <v/>
      </c>
      <c r="Z605" s="25"/>
      <c r="AA605" s="25"/>
      <c r="AB605" s="25"/>
      <c r="AC605" s="25"/>
      <c r="AD605" s="25"/>
      <c r="AE605" s="25"/>
      <c r="AF605" s="25"/>
      <c r="AG605" s="9"/>
      <c r="AH605" s="29"/>
      <c r="AI605" s="29"/>
      <c r="AM605" s="50"/>
      <c r="AN605" s="51" t="s">
        <v>3026</v>
      </c>
      <c r="AO605" s="55" t="s">
        <v>3027</v>
      </c>
    </row>
    <row r="606" spans="1:41" ht="45.6" hidden="1" x14ac:dyDescent="0.3">
      <c r="A606" s="20">
        <v>602</v>
      </c>
      <c r="B606" s="8" t="s">
        <v>3028</v>
      </c>
      <c r="C606" s="26">
        <v>2024</v>
      </c>
      <c r="D606" s="8"/>
      <c r="E606" s="8" t="s">
        <v>3029</v>
      </c>
      <c r="F606" s="20" t="s">
        <v>54</v>
      </c>
      <c r="G606" s="21" t="s">
        <v>64</v>
      </c>
      <c r="H606" s="21" t="s">
        <v>53</v>
      </c>
      <c r="I606" s="21" t="s">
        <v>53</v>
      </c>
      <c r="J606" s="21" t="s">
        <v>53</v>
      </c>
      <c r="K606" s="21" t="s">
        <v>53</v>
      </c>
      <c r="L606" s="22" t="str">
        <f t="shared" si="45"/>
        <v>EXCLUDE</v>
      </c>
      <c r="M606" s="22" t="str">
        <f t="shared" si="46"/>
        <v>Wrong domain (non-AECO)</v>
      </c>
      <c r="N606" s="23"/>
      <c r="O606" s="23"/>
      <c r="P606" s="24"/>
      <c r="Q606" s="24"/>
      <c r="R606" s="24"/>
      <c r="S606" s="22" t="str">
        <f t="shared" si="47"/>
        <v/>
      </c>
      <c r="T606" s="22" t="str">
        <f t="shared" si="48"/>
        <v/>
      </c>
      <c r="U606" s="25"/>
      <c r="V606" s="25"/>
      <c r="W606" s="25"/>
      <c r="X606" s="25"/>
      <c r="Y606" s="22" t="str">
        <f t="shared" si="49"/>
        <v/>
      </c>
      <c r="Z606" s="25"/>
      <c r="AA606" s="25"/>
      <c r="AB606" s="25"/>
      <c r="AC606" s="25"/>
      <c r="AD606" s="25"/>
      <c r="AE606" s="25"/>
      <c r="AF606" s="25"/>
      <c r="AG606" s="9"/>
      <c r="AH606" s="29"/>
      <c r="AI606" s="29"/>
      <c r="AM606" s="50"/>
      <c r="AN606" s="51" t="s">
        <v>3030</v>
      </c>
      <c r="AO606" s="55" t="s">
        <v>3031</v>
      </c>
    </row>
    <row r="607" spans="1:41" ht="68.400000000000006" hidden="1" x14ac:dyDescent="0.3">
      <c r="A607" s="20">
        <v>603</v>
      </c>
      <c r="B607" s="8" t="s">
        <v>3032</v>
      </c>
      <c r="C607" s="26">
        <v>2023</v>
      </c>
      <c r="D607" s="8"/>
      <c r="E607" s="8" t="s">
        <v>3033</v>
      </c>
      <c r="F607" s="20" t="s">
        <v>54</v>
      </c>
      <c r="G607" s="21" t="s">
        <v>64</v>
      </c>
      <c r="H607" s="21" t="s">
        <v>53</v>
      </c>
      <c r="I607" s="21" t="s">
        <v>53</v>
      </c>
      <c r="J607" s="21" t="s">
        <v>53</v>
      </c>
      <c r="K607" s="21" t="s">
        <v>53</v>
      </c>
      <c r="L607" s="22" t="str">
        <f t="shared" si="45"/>
        <v>EXCLUDE</v>
      </c>
      <c r="M607" s="22" t="str">
        <f t="shared" si="46"/>
        <v>Wrong domain (non-AECO)</v>
      </c>
      <c r="N607" s="23"/>
      <c r="O607" s="23"/>
      <c r="P607" s="24"/>
      <c r="Q607" s="24"/>
      <c r="R607" s="24"/>
      <c r="S607" s="22" t="str">
        <f t="shared" si="47"/>
        <v/>
      </c>
      <c r="T607" s="22" t="str">
        <f t="shared" si="48"/>
        <v/>
      </c>
      <c r="U607" s="25"/>
      <c r="V607" s="25"/>
      <c r="W607" s="25"/>
      <c r="X607" s="25"/>
      <c r="Y607" s="22" t="str">
        <f t="shared" si="49"/>
        <v/>
      </c>
      <c r="Z607" s="25"/>
      <c r="AA607" s="25"/>
      <c r="AB607" s="25"/>
      <c r="AC607" s="25"/>
      <c r="AD607" s="25"/>
      <c r="AE607" s="25"/>
      <c r="AF607" s="25"/>
      <c r="AG607" s="9"/>
      <c r="AH607" s="29"/>
      <c r="AI607" s="29"/>
      <c r="AM607" s="50"/>
      <c r="AN607" s="51" t="s">
        <v>3034</v>
      </c>
      <c r="AO607" s="55" t="s">
        <v>3035</v>
      </c>
    </row>
    <row r="608" spans="1:41" ht="79.8" x14ac:dyDescent="0.3">
      <c r="A608" s="20">
        <v>604</v>
      </c>
      <c r="B608" s="8" t="s">
        <v>3036</v>
      </c>
      <c r="C608" s="26">
        <v>2022</v>
      </c>
      <c r="D608" s="8"/>
      <c r="E608" s="8" t="s">
        <v>3037</v>
      </c>
      <c r="F608" s="20" t="s">
        <v>54</v>
      </c>
      <c r="G608" s="21" t="s">
        <v>53</v>
      </c>
      <c r="H608" s="21" t="s">
        <v>53</v>
      </c>
      <c r="I608" s="21" t="s">
        <v>53</v>
      </c>
      <c r="J608" s="21" t="s">
        <v>53</v>
      </c>
      <c r="K608" s="21" t="s">
        <v>53</v>
      </c>
      <c r="L608" s="22" t="str">
        <f t="shared" si="45"/>
        <v>INCLUDE</v>
      </c>
      <c r="M608" s="22" t="str">
        <f t="shared" si="46"/>
        <v/>
      </c>
      <c r="N608" s="23" t="s">
        <v>53</v>
      </c>
      <c r="O608" s="23" t="s">
        <v>53</v>
      </c>
      <c r="P608" s="24" t="s">
        <v>53</v>
      </c>
      <c r="Q608" s="24" t="s">
        <v>53</v>
      </c>
      <c r="R608" s="24" t="s">
        <v>53</v>
      </c>
      <c r="S608" s="22" t="str">
        <f t="shared" si="47"/>
        <v>INCLUDE</v>
      </c>
      <c r="T608" s="22" t="str">
        <f t="shared" si="48"/>
        <v/>
      </c>
      <c r="U608" s="25" t="s">
        <v>67</v>
      </c>
      <c r="V608" s="25">
        <v>0</v>
      </c>
      <c r="W608" s="25">
        <v>0</v>
      </c>
      <c r="X608" s="25">
        <v>1</v>
      </c>
      <c r="Y608" s="22" t="str">
        <f t="shared" si="49"/>
        <v>Single</v>
      </c>
      <c r="Z608" s="25" t="s">
        <v>9</v>
      </c>
      <c r="AA608" s="25" t="s">
        <v>57</v>
      </c>
      <c r="AB608" s="25" t="s">
        <v>103</v>
      </c>
      <c r="AC608" s="25" t="s">
        <v>70</v>
      </c>
      <c r="AD608" s="25" t="s">
        <v>89</v>
      </c>
      <c r="AE608" s="25">
        <v>4</v>
      </c>
      <c r="AF608" s="25" t="s">
        <v>90</v>
      </c>
      <c r="AG608" s="9" t="s">
        <v>3038</v>
      </c>
      <c r="AH608" s="29" t="s">
        <v>3039</v>
      </c>
      <c r="AI608" s="29" t="s">
        <v>3040</v>
      </c>
      <c r="AJ608" t="s">
        <v>82</v>
      </c>
      <c r="AK608" t="s">
        <v>3041</v>
      </c>
      <c r="AL608" t="s">
        <v>63</v>
      </c>
      <c r="AM608" s="50"/>
      <c r="AN608" s="51" t="s">
        <v>3042</v>
      </c>
      <c r="AO608" s="55" t="s">
        <v>3043</v>
      </c>
    </row>
    <row r="609" spans="1:41" ht="45.6" hidden="1" x14ac:dyDescent="0.3">
      <c r="A609" s="20">
        <v>605</v>
      </c>
      <c r="B609" s="8" t="s">
        <v>3044</v>
      </c>
      <c r="C609" s="26">
        <v>2024</v>
      </c>
      <c r="D609" s="8"/>
      <c r="E609" s="8" t="s">
        <v>3045</v>
      </c>
      <c r="F609" s="20" t="s">
        <v>54</v>
      </c>
      <c r="G609" s="21" t="s">
        <v>64</v>
      </c>
      <c r="H609" s="21" t="s">
        <v>53</v>
      </c>
      <c r="I609" s="21" t="s">
        <v>53</v>
      </c>
      <c r="J609" s="21" t="s">
        <v>53</v>
      </c>
      <c r="K609" s="21" t="s">
        <v>53</v>
      </c>
      <c r="L609" s="22" t="str">
        <f t="shared" si="45"/>
        <v>EXCLUDE</v>
      </c>
      <c r="M609" s="22" t="str">
        <f t="shared" si="46"/>
        <v>Wrong domain (non-AECO)</v>
      </c>
      <c r="N609" s="23"/>
      <c r="O609" s="23"/>
      <c r="P609" s="24"/>
      <c r="Q609" s="24"/>
      <c r="R609" s="24"/>
      <c r="S609" s="22" t="str">
        <f t="shared" si="47"/>
        <v/>
      </c>
      <c r="T609" s="22" t="str">
        <f t="shared" si="48"/>
        <v/>
      </c>
      <c r="U609" s="25"/>
      <c r="V609" s="25"/>
      <c r="W609" s="25"/>
      <c r="X609" s="25"/>
      <c r="Y609" s="22" t="str">
        <f t="shared" si="49"/>
        <v/>
      </c>
      <c r="Z609" s="25"/>
      <c r="AA609" s="25"/>
      <c r="AB609" s="25"/>
      <c r="AC609" s="25"/>
      <c r="AD609" s="25"/>
      <c r="AE609" s="25"/>
      <c r="AF609" s="25"/>
      <c r="AG609" s="9"/>
      <c r="AH609" s="29"/>
      <c r="AI609" s="29"/>
      <c r="AM609" s="50"/>
      <c r="AN609" s="51" t="s">
        <v>3046</v>
      </c>
      <c r="AO609" s="55" t="s">
        <v>3047</v>
      </c>
    </row>
    <row r="610" spans="1:41" ht="68.400000000000006" hidden="1" x14ac:dyDescent="0.3">
      <c r="A610" s="20">
        <v>606</v>
      </c>
      <c r="B610" s="8" t="s">
        <v>3048</v>
      </c>
      <c r="C610" s="26">
        <v>2024</v>
      </c>
      <c r="D610" s="8"/>
      <c r="E610" s="8" t="s">
        <v>3049</v>
      </c>
      <c r="F610" s="20" t="s">
        <v>54</v>
      </c>
      <c r="G610" s="21" t="s">
        <v>64</v>
      </c>
      <c r="H610" s="21" t="s">
        <v>53</v>
      </c>
      <c r="I610" s="21" t="s">
        <v>53</v>
      </c>
      <c r="J610" s="21" t="s">
        <v>53</v>
      </c>
      <c r="K610" s="21" t="s">
        <v>53</v>
      </c>
      <c r="L610" s="22" t="str">
        <f t="shared" si="45"/>
        <v>EXCLUDE</v>
      </c>
      <c r="M610" s="22" t="str">
        <f t="shared" si="46"/>
        <v>Wrong domain (non-AECO)</v>
      </c>
      <c r="N610" s="23"/>
      <c r="O610" s="23"/>
      <c r="P610" s="24"/>
      <c r="Q610" s="24"/>
      <c r="R610" s="24"/>
      <c r="S610" s="22" t="str">
        <f t="shared" si="47"/>
        <v/>
      </c>
      <c r="T610" s="22" t="str">
        <f t="shared" si="48"/>
        <v/>
      </c>
      <c r="U610" s="25"/>
      <c r="V610" s="25"/>
      <c r="W610" s="25"/>
      <c r="X610" s="25"/>
      <c r="Y610" s="22" t="str">
        <f t="shared" si="49"/>
        <v/>
      </c>
      <c r="Z610" s="25"/>
      <c r="AA610" s="25"/>
      <c r="AB610" s="25"/>
      <c r="AC610" s="25"/>
      <c r="AD610" s="25"/>
      <c r="AE610" s="25"/>
      <c r="AF610" s="25"/>
      <c r="AG610" s="9"/>
      <c r="AH610" s="29"/>
      <c r="AI610" s="29"/>
      <c r="AM610" s="50"/>
      <c r="AN610" s="51" t="s">
        <v>3050</v>
      </c>
      <c r="AO610" s="55" t="s">
        <v>3051</v>
      </c>
    </row>
    <row r="611" spans="1:41" ht="91.2" hidden="1" x14ac:dyDescent="0.3">
      <c r="A611" s="20">
        <v>607</v>
      </c>
      <c r="B611" s="8" t="s">
        <v>3052</v>
      </c>
      <c r="C611" s="26">
        <v>2023</v>
      </c>
      <c r="D611" s="8"/>
      <c r="E611" s="8" t="s">
        <v>3053</v>
      </c>
      <c r="F611" s="20" t="s">
        <v>54</v>
      </c>
      <c r="G611" s="21" t="s">
        <v>53</v>
      </c>
      <c r="H611" s="21" t="s">
        <v>64</v>
      </c>
      <c r="I611" s="21" t="s">
        <v>53</v>
      </c>
      <c r="J611" s="21" t="s">
        <v>53</v>
      </c>
      <c r="K611" s="21" t="s">
        <v>53</v>
      </c>
      <c r="L611" s="22" t="str">
        <f t="shared" si="45"/>
        <v>EXCLUDE</v>
      </c>
      <c r="M611" s="22" t="str">
        <f t="shared" si="46"/>
        <v>Digital Twin not core / buzzword</v>
      </c>
      <c r="N611" s="23"/>
      <c r="O611" s="23"/>
      <c r="P611" s="24"/>
      <c r="Q611" s="24"/>
      <c r="R611" s="24"/>
      <c r="S611" s="22" t="str">
        <f t="shared" si="47"/>
        <v/>
      </c>
      <c r="T611" s="22" t="str">
        <f t="shared" si="48"/>
        <v/>
      </c>
      <c r="U611" s="25"/>
      <c r="V611" s="25"/>
      <c r="W611" s="25"/>
      <c r="X611" s="25"/>
      <c r="Y611" s="22" t="str">
        <f t="shared" si="49"/>
        <v/>
      </c>
      <c r="Z611" s="25"/>
      <c r="AA611" s="25"/>
      <c r="AB611" s="25"/>
      <c r="AC611" s="25"/>
      <c r="AD611" s="25"/>
      <c r="AE611" s="25"/>
      <c r="AF611" s="25"/>
      <c r="AG611" s="9"/>
      <c r="AH611" s="29"/>
      <c r="AI611" s="29"/>
      <c r="AM611" s="50"/>
      <c r="AN611" s="51" t="s">
        <v>3054</v>
      </c>
      <c r="AO611" s="55" t="s">
        <v>3055</v>
      </c>
    </row>
    <row r="612" spans="1:41" ht="68.400000000000006" x14ac:dyDescent="0.3">
      <c r="A612" s="20">
        <v>608</v>
      </c>
      <c r="B612" s="8" t="s">
        <v>2732</v>
      </c>
      <c r="C612" s="26">
        <v>2022</v>
      </c>
      <c r="D612" s="8"/>
      <c r="E612" s="8" t="s">
        <v>3056</v>
      </c>
      <c r="F612" s="20" t="s">
        <v>54</v>
      </c>
      <c r="G612" s="21" t="s">
        <v>53</v>
      </c>
      <c r="H612" s="21" t="s">
        <v>53</v>
      </c>
      <c r="I612" s="21" t="s">
        <v>53</v>
      </c>
      <c r="J612" s="21" t="s">
        <v>53</v>
      </c>
      <c r="K612" s="21" t="s">
        <v>53</v>
      </c>
      <c r="L612" s="22" t="str">
        <f t="shared" si="45"/>
        <v>INCLUDE</v>
      </c>
      <c r="M612" s="22" t="str">
        <f t="shared" si="46"/>
        <v/>
      </c>
      <c r="N612" s="23" t="s">
        <v>53</v>
      </c>
      <c r="O612" s="23" t="s">
        <v>53</v>
      </c>
      <c r="P612" s="24" t="s">
        <v>53</v>
      </c>
      <c r="Q612" s="24" t="s">
        <v>53</v>
      </c>
      <c r="R612" s="24" t="s">
        <v>53</v>
      </c>
      <c r="S612" s="22" t="str">
        <f t="shared" si="47"/>
        <v>INCLUDE</v>
      </c>
      <c r="T612" s="22" t="str">
        <f t="shared" si="48"/>
        <v/>
      </c>
      <c r="U612" s="25" t="s">
        <v>67</v>
      </c>
      <c r="V612" s="25">
        <v>0</v>
      </c>
      <c r="W612" s="25">
        <v>0</v>
      </c>
      <c r="X612" s="25">
        <v>1</v>
      </c>
      <c r="Y612" s="22" t="str">
        <f t="shared" si="49"/>
        <v>Single</v>
      </c>
      <c r="Z612" s="25" t="s">
        <v>9</v>
      </c>
      <c r="AA612" s="25" t="s">
        <v>57</v>
      </c>
      <c r="AB612" s="25" t="s">
        <v>104</v>
      </c>
      <c r="AC612" s="25" t="s">
        <v>70</v>
      </c>
      <c r="AD612" s="25" t="s">
        <v>89</v>
      </c>
      <c r="AE612" s="25">
        <v>4</v>
      </c>
      <c r="AF612" s="25" t="s">
        <v>96</v>
      </c>
      <c r="AG612" s="9" t="s">
        <v>3057</v>
      </c>
      <c r="AH612" s="29" t="s">
        <v>3058</v>
      </c>
      <c r="AI612" s="29" t="s">
        <v>3059</v>
      </c>
      <c r="AJ612" t="s">
        <v>82</v>
      </c>
      <c r="AK612" t="s">
        <v>3060</v>
      </c>
      <c r="AL612" t="s">
        <v>74</v>
      </c>
      <c r="AM612" s="50"/>
      <c r="AN612" s="51" t="s">
        <v>3061</v>
      </c>
      <c r="AO612" s="55" t="s">
        <v>3062</v>
      </c>
    </row>
    <row r="613" spans="1:41" ht="68.400000000000006" hidden="1" x14ac:dyDescent="0.3">
      <c r="A613" s="20">
        <v>609</v>
      </c>
      <c r="B613" s="8" t="s">
        <v>3063</v>
      </c>
      <c r="C613" s="26">
        <v>2024</v>
      </c>
      <c r="D613" s="8"/>
      <c r="E613" s="8" t="s">
        <v>3064</v>
      </c>
      <c r="F613" s="20" t="s">
        <v>54</v>
      </c>
      <c r="G613" s="21" t="s">
        <v>53</v>
      </c>
      <c r="H613" s="21" t="s">
        <v>53</v>
      </c>
      <c r="I613" s="21" t="s">
        <v>64</v>
      </c>
      <c r="J613" s="21" t="s">
        <v>53</v>
      </c>
      <c r="K613" s="21" t="s">
        <v>53</v>
      </c>
      <c r="L613" s="22" t="str">
        <f t="shared" si="45"/>
        <v>EXCLUDE</v>
      </c>
      <c r="M613" s="22" t="str">
        <f t="shared" si="46"/>
        <v>No Design for Safety/Quality/PtD</v>
      </c>
      <c r="N613" s="23"/>
      <c r="O613" s="23"/>
      <c r="P613" s="24"/>
      <c r="Q613" s="24"/>
      <c r="R613" s="24"/>
      <c r="S613" s="22" t="str">
        <f t="shared" si="47"/>
        <v/>
      </c>
      <c r="T613" s="22" t="str">
        <f t="shared" si="48"/>
        <v/>
      </c>
      <c r="U613" s="25"/>
      <c r="V613" s="25"/>
      <c r="W613" s="25"/>
      <c r="X613" s="25"/>
      <c r="Y613" s="22" t="str">
        <f t="shared" si="49"/>
        <v/>
      </c>
      <c r="Z613" s="25"/>
      <c r="AA613" s="25"/>
      <c r="AB613" s="25"/>
      <c r="AC613" s="25"/>
      <c r="AD613" s="25"/>
      <c r="AE613" s="25"/>
      <c r="AF613" s="25"/>
      <c r="AG613" s="9"/>
      <c r="AH613" s="29"/>
      <c r="AI613" s="29"/>
      <c r="AM613" s="50"/>
      <c r="AN613" s="51" t="s">
        <v>3065</v>
      </c>
      <c r="AO613" s="55" t="s">
        <v>3066</v>
      </c>
    </row>
    <row r="614" spans="1:41" ht="57" hidden="1" x14ac:dyDescent="0.3">
      <c r="A614" s="20">
        <v>610</v>
      </c>
      <c r="B614" s="8" t="s">
        <v>3067</v>
      </c>
      <c r="C614" s="26">
        <v>2023</v>
      </c>
      <c r="D614" s="8"/>
      <c r="E614" s="8" t="s">
        <v>3068</v>
      </c>
      <c r="F614" s="20" t="s">
        <v>54</v>
      </c>
      <c r="G614" s="21" t="s">
        <v>64</v>
      </c>
      <c r="H614" s="21" t="s">
        <v>53</v>
      </c>
      <c r="I614" s="21" t="s">
        <v>53</v>
      </c>
      <c r="J614" s="21" t="s">
        <v>53</v>
      </c>
      <c r="K614" s="21" t="s">
        <v>53</v>
      </c>
      <c r="L614" s="22" t="str">
        <f t="shared" si="45"/>
        <v>EXCLUDE</v>
      </c>
      <c r="M614" s="22" t="str">
        <f t="shared" si="46"/>
        <v>Wrong domain (non-AECO)</v>
      </c>
      <c r="N614" s="23"/>
      <c r="O614" s="23"/>
      <c r="P614" s="24"/>
      <c r="Q614" s="24"/>
      <c r="R614" s="24"/>
      <c r="S614" s="22" t="str">
        <f t="shared" si="47"/>
        <v/>
      </c>
      <c r="T614" s="22" t="str">
        <f t="shared" si="48"/>
        <v/>
      </c>
      <c r="U614" s="25"/>
      <c r="V614" s="25"/>
      <c r="W614" s="25"/>
      <c r="X614" s="25"/>
      <c r="Y614" s="22" t="str">
        <f t="shared" si="49"/>
        <v/>
      </c>
      <c r="Z614" s="25"/>
      <c r="AA614" s="25"/>
      <c r="AB614" s="25"/>
      <c r="AC614" s="25"/>
      <c r="AD614" s="25"/>
      <c r="AE614" s="25"/>
      <c r="AF614" s="25"/>
      <c r="AG614" s="9"/>
      <c r="AH614" s="29"/>
      <c r="AI614" s="29"/>
      <c r="AM614" s="50"/>
      <c r="AN614" s="51" t="s">
        <v>3069</v>
      </c>
      <c r="AO614" s="55" t="s">
        <v>3070</v>
      </c>
    </row>
    <row r="615" spans="1:41" ht="79.8" hidden="1" x14ac:dyDescent="0.3">
      <c r="A615" s="20">
        <v>611</v>
      </c>
      <c r="B615" s="8" t="s">
        <v>3071</v>
      </c>
      <c r="C615" s="26">
        <v>2024</v>
      </c>
      <c r="D615" s="8"/>
      <c r="E615" s="8" t="s">
        <v>3072</v>
      </c>
      <c r="F615" s="20" t="s">
        <v>54</v>
      </c>
      <c r="G615" s="21" t="s">
        <v>64</v>
      </c>
      <c r="H615" s="21" t="s">
        <v>53</v>
      </c>
      <c r="I615" s="21" t="s">
        <v>53</v>
      </c>
      <c r="J615" s="21" t="s">
        <v>53</v>
      </c>
      <c r="K615" s="21" t="s">
        <v>53</v>
      </c>
      <c r="L615" s="22" t="str">
        <f t="shared" si="45"/>
        <v>EXCLUDE</v>
      </c>
      <c r="M615" s="22" t="str">
        <f t="shared" si="46"/>
        <v>Wrong domain (non-AECO)</v>
      </c>
      <c r="N615" s="23"/>
      <c r="O615" s="23"/>
      <c r="P615" s="24"/>
      <c r="Q615" s="24"/>
      <c r="R615" s="24"/>
      <c r="S615" s="22" t="str">
        <f t="shared" si="47"/>
        <v/>
      </c>
      <c r="T615" s="22" t="str">
        <f t="shared" si="48"/>
        <v/>
      </c>
      <c r="U615" s="25"/>
      <c r="V615" s="25"/>
      <c r="W615" s="25"/>
      <c r="X615" s="25"/>
      <c r="Y615" s="22" t="str">
        <f t="shared" si="49"/>
        <v/>
      </c>
      <c r="Z615" s="25"/>
      <c r="AA615" s="25"/>
      <c r="AB615" s="25"/>
      <c r="AC615" s="25"/>
      <c r="AD615" s="25"/>
      <c r="AE615" s="25"/>
      <c r="AF615" s="25"/>
      <c r="AG615" s="9"/>
      <c r="AH615" s="29"/>
      <c r="AI615" s="29"/>
      <c r="AM615" s="50"/>
      <c r="AN615" s="51" t="s">
        <v>3073</v>
      </c>
      <c r="AO615" s="55" t="s">
        <v>3074</v>
      </c>
    </row>
    <row r="616" spans="1:41" ht="91.2" hidden="1" x14ac:dyDescent="0.3">
      <c r="A616" s="20">
        <v>612</v>
      </c>
      <c r="B616" s="8" t="s">
        <v>3075</v>
      </c>
      <c r="C616" s="26">
        <v>2024</v>
      </c>
      <c r="D616" s="8"/>
      <c r="E616" s="8" t="s">
        <v>3076</v>
      </c>
      <c r="F616" s="20" t="s">
        <v>54</v>
      </c>
      <c r="G616" s="21" t="s">
        <v>53</v>
      </c>
      <c r="H616" s="21" t="s">
        <v>53</v>
      </c>
      <c r="I616" s="21" t="s">
        <v>53</v>
      </c>
      <c r="J616" s="21" t="s">
        <v>53</v>
      </c>
      <c r="K616" s="21" t="s">
        <v>53</v>
      </c>
      <c r="L616" s="22" t="str">
        <f t="shared" si="45"/>
        <v>INCLUDE</v>
      </c>
      <c r="M616" s="22" t="str">
        <f t="shared" si="46"/>
        <v/>
      </c>
      <c r="N616" s="23" t="s">
        <v>53</v>
      </c>
      <c r="O616" s="23" t="s">
        <v>53</v>
      </c>
      <c r="P616" s="24" t="s">
        <v>64</v>
      </c>
      <c r="Q616" s="24" t="s">
        <v>53</v>
      </c>
      <c r="R616" s="24" t="s">
        <v>64</v>
      </c>
      <c r="S616" s="22" t="str">
        <f t="shared" si="47"/>
        <v>EXCLUDE</v>
      </c>
      <c r="T616" s="22" t="str">
        <f t="shared" si="48"/>
        <v>Digital Twin mentioned only, not the subject</v>
      </c>
      <c r="U616" s="25"/>
      <c r="V616" s="25"/>
      <c r="W616" s="25"/>
      <c r="X616" s="25"/>
      <c r="Y616" s="22" t="str">
        <f t="shared" si="49"/>
        <v/>
      </c>
      <c r="Z616" s="25"/>
      <c r="AA616" s="25"/>
      <c r="AB616" s="25"/>
      <c r="AC616" s="25"/>
      <c r="AD616" s="25"/>
      <c r="AE616" s="25"/>
      <c r="AF616" s="25"/>
      <c r="AG616" s="9" t="s">
        <v>3077</v>
      </c>
      <c r="AH616" s="29"/>
      <c r="AI616" s="29"/>
      <c r="AM616" s="50"/>
      <c r="AN616" s="51" t="s">
        <v>3078</v>
      </c>
      <c r="AO616" s="55" t="s">
        <v>3079</v>
      </c>
    </row>
    <row r="617" spans="1:41" ht="34.200000000000003" hidden="1" x14ac:dyDescent="0.3">
      <c r="A617" s="20">
        <v>613</v>
      </c>
      <c r="B617" s="8" t="s">
        <v>3080</v>
      </c>
      <c r="C617" s="26">
        <v>2024</v>
      </c>
      <c r="D617" s="8"/>
      <c r="E617" s="8" t="s">
        <v>3081</v>
      </c>
      <c r="F617" s="20" t="s">
        <v>54</v>
      </c>
      <c r="G617" s="21" t="s">
        <v>53</v>
      </c>
      <c r="H617" s="21" t="s">
        <v>64</v>
      </c>
      <c r="I617" s="21" t="s">
        <v>64</v>
      </c>
      <c r="J617" s="21" t="s">
        <v>53</v>
      </c>
      <c r="K617" s="21" t="s">
        <v>53</v>
      </c>
      <c r="L617" s="22" t="str">
        <f t="shared" si="45"/>
        <v>EXCLUDE</v>
      </c>
      <c r="M617" s="22" t="str">
        <f t="shared" si="46"/>
        <v>Digital Twin not core / buzzword</v>
      </c>
      <c r="N617" s="23"/>
      <c r="O617" s="23"/>
      <c r="P617" s="24"/>
      <c r="Q617" s="24"/>
      <c r="R617" s="24"/>
      <c r="S617" s="22" t="str">
        <f t="shared" si="47"/>
        <v/>
      </c>
      <c r="T617" s="22" t="str">
        <f t="shared" si="48"/>
        <v/>
      </c>
      <c r="U617" s="25"/>
      <c r="V617" s="25"/>
      <c r="W617" s="25"/>
      <c r="X617" s="25"/>
      <c r="Y617" s="22" t="str">
        <f t="shared" si="49"/>
        <v/>
      </c>
      <c r="Z617" s="25"/>
      <c r="AA617" s="25"/>
      <c r="AB617" s="25"/>
      <c r="AC617" s="25"/>
      <c r="AD617" s="25"/>
      <c r="AE617" s="25"/>
      <c r="AF617" s="25"/>
      <c r="AG617" s="9"/>
      <c r="AH617" s="29"/>
      <c r="AI617" s="29"/>
      <c r="AM617" s="50"/>
      <c r="AN617" s="51" t="s">
        <v>3082</v>
      </c>
      <c r="AO617" s="55" t="s">
        <v>3083</v>
      </c>
    </row>
    <row r="618" spans="1:41" ht="34.200000000000003" hidden="1" x14ac:dyDescent="0.3">
      <c r="A618" s="20">
        <v>614</v>
      </c>
      <c r="B618" s="8" t="s">
        <v>3084</v>
      </c>
      <c r="C618" s="26">
        <v>2024</v>
      </c>
      <c r="D618" s="8"/>
      <c r="E618" s="8" t="s">
        <v>3085</v>
      </c>
      <c r="F618" s="20" t="s">
        <v>54</v>
      </c>
      <c r="G618" s="21" t="s">
        <v>64</v>
      </c>
      <c r="H618" s="21" t="s">
        <v>53</v>
      </c>
      <c r="I618" s="21" t="s">
        <v>53</v>
      </c>
      <c r="J618" s="21" t="s">
        <v>53</v>
      </c>
      <c r="K618" s="21" t="s">
        <v>53</v>
      </c>
      <c r="L618" s="22" t="str">
        <f t="shared" si="45"/>
        <v>EXCLUDE</v>
      </c>
      <c r="M618" s="22" t="str">
        <f t="shared" si="46"/>
        <v>Wrong domain (non-AECO)</v>
      </c>
      <c r="N618" s="23"/>
      <c r="O618" s="23"/>
      <c r="P618" s="24"/>
      <c r="Q618" s="24"/>
      <c r="R618" s="24"/>
      <c r="S618" s="22" t="str">
        <f t="shared" si="47"/>
        <v/>
      </c>
      <c r="T618" s="22" t="str">
        <f t="shared" si="48"/>
        <v/>
      </c>
      <c r="U618" s="25"/>
      <c r="V618" s="25"/>
      <c r="W618" s="25"/>
      <c r="X618" s="25"/>
      <c r="Y618" s="22" t="str">
        <f t="shared" si="49"/>
        <v/>
      </c>
      <c r="Z618" s="25"/>
      <c r="AA618" s="25"/>
      <c r="AB618" s="25"/>
      <c r="AC618" s="25"/>
      <c r="AD618" s="25"/>
      <c r="AE618" s="25"/>
      <c r="AF618" s="25"/>
      <c r="AG618" s="9"/>
      <c r="AH618" s="29"/>
      <c r="AI618" s="29"/>
      <c r="AM618" s="50"/>
      <c r="AN618" s="51" t="s">
        <v>3086</v>
      </c>
      <c r="AO618" s="55" t="s">
        <v>3087</v>
      </c>
    </row>
    <row r="619" spans="1:41" ht="57" hidden="1" x14ac:dyDescent="0.3">
      <c r="A619" s="20">
        <v>615</v>
      </c>
      <c r="B619" s="8" t="s">
        <v>3088</v>
      </c>
      <c r="C619" s="26">
        <v>2023</v>
      </c>
      <c r="D619" s="8"/>
      <c r="E619" s="8" t="s">
        <v>3089</v>
      </c>
      <c r="F619" s="20" t="s">
        <v>54</v>
      </c>
      <c r="G619" s="21" t="s">
        <v>64</v>
      </c>
      <c r="H619" s="21" t="s">
        <v>53</v>
      </c>
      <c r="I619" s="21" t="s">
        <v>53</v>
      </c>
      <c r="J619" s="21" t="s">
        <v>53</v>
      </c>
      <c r="K619" s="21" t="s">
        <v>53</v>
      </c>
      <c r="L619" s="22" t="str">
        <f t="shared" si="45"/>
        <v>EXCLUDE</v>
      </c>
      <c r="M619" s="22" t="str">
        <f t="shared" si="46"/>
        <v>Wrong domain (non-AECO)</v>
      </c>
      <c r="N619" s="23"/>
      <c r="O619" s="23"/>
      <c r="P619" s="24"/>
      <c r="Q619" s="24"/>
      <c r="R619" s="24"/>
      <c r="S619" s="22" t="str">
        <f t="shared" si="47"/>
        <v/>
      </c>
      <c r="T619" s="22" t="str">
        <f t="shared" si="48"/>
        <v/>
      </c>
      <c r="U619" s="25"/>
      <c r="V619" s="25"/>
      <c r="W619" s="25"/>
      <c r="X619" s="25"/>
      <c r="Y619" s="22" t="str">
        <f t="shared" si="49"/>
        <v/>
      </c>
      <c r="Z619" s="25"/>
      <c r="AA619" s="25"/>
      <c r="AB619" s="25"/>
      <c r="AC619" s="25"/>
      <c r="AD619" s="25"/>
      <c r="AE619" s="25"/>
      <c r="AF619" s="25"/>
      <c r="AG619" s="9"/>
      <c r="AH619" s="29"/>
      <c r="AI619" s="29"/>
      <c r="AM619" s="50"/>
      <c r="AN619" s="51" t="s">
        <v>3090</v>
      </c>
      <c r="AO619" s="55" t="s">
        <v>3091</v>
      </c>
    </row>
    <row r="620" spans="1:41" ht="114" x14ac:dyDescent="0.3">
      <c r="A620" s="20">
        <v>616</v>
      </c>
      <c r="B620" s="8" t="s">
        <v>3092</v>
      </c>
      <c r="C620" s="26">
        <v>2024</v>
      </c>
      <c r="D620" s="8"/>
      <c r="E620" s="8" t="s">
        <v>3093</v>
      </c>
      <c r="F620" s="20" t="s">
        <v>54</v>
      </c>
      <c r="G620" s="21" t="s">
        <v>53</v>
      </c>
      <c r="H620" s="21" t="s">
        <v>53</v>
      </c>
      <c r="I620" s="21" t="s">
        <v>53</v>
      </c>
      <c r="J620" s="21" t="s">
        <v>53</v>
      </c>
      <c r="K620" s="21" t="s">
        <v>53</v>
      </c>
      <c r="L620" s="22" t="str">
        <f t="shared" si="45"/>
        <v>INCLUDE</v>
      </c>
      <c r="M620" s="22" t="str">
        <f t="shared" si="46"/>
        <v/>
      </c>
      <c r="N620" s="23" t="s">
        <v>53</v>
      </c>
      <c r="O620" s="23" t="s">
        <v>53</v>
      </c>
      <c r="P620" s="24" t="s">
        <v>53</v>
      </c>
      <c r="Q620" s="24" t="s">
        <v>53</v>
      </c>
      <c r="R620" s="24" t="s">
        <v>53</v>
      </c>
      <c r="S620" s="22" t="str">
        <f t="shared" si="47"/>
        <v>INCLUDE</v>
      </c>
      <c r="T620" s="22" t="str">
        <f t="shared" si="48"/>
        <v/>
      </c>
      <c r="U620" s="25" t="s">
        <v>56</v>
      </c>
      <c r="V620" s="25">
        <v>0</v>
      </c>
      <c r="W620" s="25">
        <v>1</v>
      </c>
      <c r="X620" s="25">
        <v>0</v>
      </c>
      <c r="Y620" s="22" t="str">
        <f t="shared" si="49"/>
        <v>Single</v>
      </c>
      <c r="Z620" s="25" t="s">
        <v>9</v>
      </c>
      <c r="AA620" s="25" t="s">
        <v>68</v>
      </c>
      <c r="AB620" s="25" t="s">
        <v>104</v>
      </c>
      <c r="AC620" s="25" t="s">
        <v>70</v>
      </c>
      <c r="AD620" s="25" t="s">
        <v>71</v>
      </c>
      <c r="AE620" s="25">
        <v>2</v>
      </c>
      <c r="AF620" s="25" t="s">
        <v>90</v>
      </c>
      <c r="AG620" s="9" t="s">
        <v>3094</v>
      </c>
      <c r="AH620" s="29" t="s">
        <v>3095</v>
      </c>
      <c r="AI620" s="29" t="s">
        <v>3096</v>
      </c>
      <c r="AJ620" t="s">
        <v>91</v>
      </c>
      <c r="AK620" t="s">
        <v>3097</v>
      </c>
      <c r="AL620" t="s">
        <v>83</v>
      </c>
      <c r="AM620" s="50" t="s">
        <v>213</v>
      </c>
      <c r="AN620" s="51" t="s">
        <v>3098</v>
      </c>
      <c r="AO620" s="55" t="s">
        <v>3099</v>
      </c>
    </row>
    <row r="621" spans="1:41" ht="68.400000000000006" hidden="1" x14ac:dyDescent="0.3">
      <c r="A621" s="20">
        <v>617</v>
      </c>
      <c r="B621" s="8" t="s">
        <v>3100</v>
      </c>
      <c r="C621" s="26">
        <v>2023</v>
      </c>
      <c r="D621" s="8"/>
      <c r="E621" s="8" t="s">
        <v>3101</v>
      </c>
      <c r="F621" s="20" t="s">
        <v>54</v>
      </c>
      <c r="G621" s="21" t="s">
        <v>64</v>
      </c>
      <c r="H621" s="21" t="s">
        <v>53</v>
      </c>
      <c r="I621" s="21" t="s">
        <v>53</v>
      </c>
      <c r="J621" s="21" t="s">
        <v>53</v>
      </c>
      <c r="K621" s="21" t="s">
        <v>53</v>
      </c>
      <c r="L621" s="22" t="str">
        <f t="shared" si="45"/>
        <v>EXCLUDE</v>
      </c>
      <c r="M621" s="22" t="str">
        <f t="shared" si="46"/>
        <v>Wrong domain (non-AECO)</v>
      </c>
      <c r="N621" s="23"/>
      <c r="O621" s="23"/>
      <c r="P621" s="24"/>
      <c r="Q621" s="24"/>
      <c r="R621" s="24"/>
      <c r="S621" s="22" t="str">
        <f t="shared" si="47"/>
        <v/>
      </c>
      <c r="T621" s="22" t="str">
        <f t="shared" si="48"/>
        <v/>
      </c>
      <c r="U621" s="25"/>
      <c r="V621" s="25"/>
      <c r="W621" s="25"/>
      <c r="X621" s="25"/>
      <c r="Y621" s="22" t="str">
        <f t="shared" si="49"/>
        <v/>
      </c>
      <c r="Z621" s="25"/>
      <c r="AA621" s="25"/>
      <c r="AB621" s="25"/>
      <c r="AC621" s="25"/>
      <c r="AD621" s="25"/>
      <c r="AE621" s="25"/>
      <c r="AF621" s="25"/>
      <c r="AG621" s="9"/>
      <c r="AH621" s="29"/>
      <c r="AI621" s="29"/>
      <c r="AM621" s="50"/>
      <c r="AN621" s="51" t="s">
        <v>3102</v>
      </c>
      <c r="AO621" s="55" t="s">
        <v>3103</v>
      </c>
    </row>
    <row r="622" spans="1:41" ht="34.200000000000003" hidden="1" x14ac:dyDescent="0.3">
      <c r="A622" s="20">
        <v>618</v>
      </c>
      <c r="B622" s="8" t="s">
        <v>3104</v>
      </c>
      <c r="C622" s="26">
        <v>2023</v>
      </c>
      <c r="D622" s="8"/>
      <c r="E622" s="8" t="s">
        <v>3105</v>
      </c>
      <c r="F622" s="20" t="s">
        <v>54</v>
      </c>
      <c r="G622" s="21" t="s">
        <v>64</v>
      </c>
      <c r="H622" s="21" t="s">
        <v>53</v>
      </c>
      <c r="I622" s="21" t="s">
        <v>53</v>
      </c>
      <c r="J622" s="21" t="s">
        <v>53</v>
      </c>
      <c r="K622" s="21" t="s">
        <v>53</v>
      </c>
      <c r="L622" s="22" t="str">
        <f t="shared" si="45"/>
        <v>EXCLUDE</v>
      </c>
      <c r="M622" s="22" t="str">
        <f t="shared" si="46"/>
        <v>Wrong domain (non-AECO)</v>
      </c>
      <c r="N622" s="23"/>
      <c r="O622" s="23"/>
      <c r="P622" s="24"/>
      <c r="Q622" s="24"/>
      <c r="R622" s="24"/>
      <c r="S622" s="22" t="str">
        <f t="shared" si="47"/>
        <v/>
      </c>
      <c r="T622" s="22" t="str">
        <f t="shared" si="48"/>
        <v/>
      </c>
      <c r="U622" s="25"/>
      <c r="V622" s="25"/>
      <c r="W622" s="25"/>
      <c r="X622" s="25"/>
      <c r="Y622" s="22" t="str">
        <f t="shared" si="49"/>
        <v/>
      </c>
      <c r="Z622" s="25"/>
      <c r="AA622" s="25"/>
      <c r="AB622" s="25"/>
      <c r="AC622" s="25"/>
      <c r="AD622" s="25"/>
      <c r="AE622" s="25"/>
      <c r="AF622" s="25"/>
      <c r="AG622" s="9"/>
      <c r="AH622" s="29"/>
      <c r="AI622" s="29"/>
      <c r="AM622" s="50"/>
      <c r="AN622" s="51" t="s">
        <v>3106</v>
      </c>
      <c r="AO622" s="55" t="s">
        <v>3107</v>
      </c>
    </row>
    <row r="623" spans="1:41" ht="57" hidden="1" x14ac:dyDescent="0.3">
      <c r="A623" s="20">
        <v>619</v>
      </c>
      <c r="B623" s="8" t="s">
        <v>1697</v>
      </c>
      <c r="C623" s="26">
        <v>2025</v>
      </c>
      <c r="D623" s="8"/>
      <c r="E623" s="8" t="s">
        <v>3108</v>
      </c>
      <c r="F623" s="20" t="s">
        <v>54</v>
      </c>
      <c r="G623" s="21" t="s">
        <v>64</v>
      </c>
      <c r="H623" s="21" t="s">
        <v>53</v>
      </c>
      <c r="I623" s="21" t="s">
        <v>53</v>
      </c>
      <c r="J623" s="21" t="s">
        <v>53</v>
      </c>
      <c r="K623" s="21" t="s">
        <v>53</v>
      </c>
      <c r="L623" s="22" t="str">
        <f t="shared" si="45"/>
        <v>EXCLUDE</v>
      </c>
      <c r="M623" s="22" t="str">
        <f t="shared" si="46"/>
        <v>Wrong domain (non-AECO)</v>
      </c>
      <c r="N623" s="23"/>
      <c r="O623" s="23"/>
      <c r="P623" s="24"/>
      <c r="Q623" s="24"/>
      <c r="R623" s="24"/>
      <c r="S623" s="22" t="str">
        <f t="shared" si="47"/>
        <v/>
      </c>
      <c r="T623" s="22" t="str">
        <f t="shared" si="48"/>
        <v/>
      </c>
      <c r="U623" s="25"/>
      <c r="V623" s="25"/>
      <c r="W623" s="25"/>
      <c r="X623" s="25"/>
      <c r="Y623" s="22" t="str">
        <f t="shared" si="49"/>
        <v/>
      </c>
      <c r="Z623" s="25"/>
      <c r="AA623" s="25"/>
      <c r="AB623" s="25"/>
      <c r="AC623" s="25"/>
      <c r="AD623" s="25"/>
      <c r="AE623" s="25"/>
      <c r="AF623" s="25"/>
      <c r="AG623" s="9"/>
      <c r="AH623" s="29"/>
      <c r="AI623" s="29"/>
      <c r="AM623" s="50"/>
      <c r="AN623" s="51" t="s">
        <v>3109</v>
      </c>
      <c r="AO623" s="55" t="s">
        <v>3110</v>
      </c>
    </row>
    <row r="624" spans="1:41" ht="57" hidden="1" x14ac:dyDescent="0.3">
      <c r="A624" s="20">
        <v>620</v>
      </c>
      <c r="B624" s="8" t="s">
        <v>3111</v>
      </c>
      <c r="C624" s="26">
        <v>2024</v>
      </c>
      <c r="D624" s="8"/>
      <c r="E624" s="8" t="s">
        <v>3112</v>
      </c>
      <c r="F624" s="20" t="s">
        <v>54</v>
      </c>
      <c r="G624" s="21" t="s">
        <v>53</v>
      </c>
      <c r="H624" s="21" t="s">
        <v>64</v>
      </c>
      <c r="I624" s="21" t="s">
        <v>64</v>
      </c>
      <c r="J624" s="21" t="s">
        <v>53</v>
      </c>
      <c r="K624" s="21" t="s">
        <v>53</v>
      </c>
      <c r="L624" s="22" t="str">
        <f t="shared" si="45"/>
        <v>EXCLUDE</v>
      </c>
      <c r="M624" s="22" t="str">
        <f t="shared" si="46"/>
        <v>Digital Twin not core / buzzword</v>
      </c>
      <c r="N624" s="23"/>
      <c r="O624" s="23"/>
      <c r="P624" s="24"/>
      <c r="Q624" s="24"/>
      <c r="R624" s="24"/>
      <c r="S624" s="22" t="str">
        <f t="shared" si="47"/>
        <v/>
      </c>
      <c r="T624" s="22" t="str">
        <f t="shared" si="48"/>
        <v/>
      </c>
      <c r="U624" s="25"/>
      <c r="V624" s="25"/>
      <c r="W624" s="25"/>
      <c r="X624" s="25"/>
      <c r="Y624" s="22" t="str">
        <f t="shared" si="49"/>
        <v/>
      </c>
      <c r="Z624" s="25"/>
      <c r="AA624" s="25"/>
      <c r="AB624" s="25"/>
      <c r="AC624" s="25"/>
      <c r="AD624" s="25"/>
      <c r="AE624" s="25"/>
      <c r="AF624" s="25"/>
      <c r="AG624" s="9"/>
      <c r="AH624" s="29"/>
      <c r="AI624" s="29"/>
      <c r="AM624" s="50"/>
      <c r="AN624" s="51" t="s">
        <v>3113</v>
      </c>
      <c r="AO624" s="55" t="s">
        <v>3114</v>
      </c>
    </row>
    <row r="625" spans="1:41" ht="91.2" x14ac:dyDescent="0.3">
      <c r="A625" s="20">
        <v>621</v>
      </c>
      <c r="B625" s="8" t="s">
        <v>3115</v>
      </c>
      <c r="C625" s="26">
        <v>2024</v>
      </c>
      <c r="D625" s="8"/>
      <c r="E625" s="8" t="s">
        <v>3116</v>
      </c>
      <c r="F625" s="20" t="s">
        <v>54</v>
      </c>
      <c r="G625" s="21" t="s">
        <v>53</v>
      </c>
      <c r="H625" s="21" t="s">
        <v>53</v>
      </c>
      <c r="I625" s="21" t="s">
        <v>53</v>
      </c>
      <c r="J625" s="21" t="s">
        <v>53</v>
      </c>
      <c r="K625" s="21" t="s">
        <v>53</v>
      </c>
      <c r="L625" s="22" t="str">
        <f t="shared" si="45"/>
        <v>INCLUDE</v>
      </c>
      <c r="M625" s="22" t="str">
        <f t="shared" si="46"/>
        <v/>
      </c>
      <c r="N625" s="23" t="s">
        <v>53</v>
      </c>
      <c r="O625" s="23" t="s">
        <v>53</v>
      </c>
      <c r="P625" s="24" t="s">
        <v>53</v>
      </c>
      <c r="Q625" s="24" t="s">
        <v>53</v>
      </c>
      <c r="R625" s="24" t="s">
        <v>53</v>
      </c>
      <c r="S625" s="22" t="str">
        <f t="shared" si="47"/>
        <v>INCLUDE</v>
      </c>
      <c r="T625" s="22" t="str">
        <f t="shared" si="48"/>
        <v/>
      </c>
      <c r="U625" s="25" t="s">
        <v>76</v>
      </c>
      <c r="V625" s="25">
        <v>0</v>
      </c>
      <c r="W625" s="25">
        <v>1</v>
      </c>
      <c r="X625" s="25">
        <v>0</v>
      </c>
      <c r="Y625" s="22" t="str">
        <f t="shared" si="49"/>
        <v>Single</v>
      </c>
      <c r="Z625" s="25" t="s">
        <v>9</v>
      </c>
      <c r="AA625" s="25" t="s">
        <v>57</v>
      </c>
      <c r="AB625" s="25" t="s">
        <v>103</v>
      </c>
      <c r="AC625" s="25" t="s">
        <v>70</v>
      </c>
      <c r="AD625" s="25" t="s">
        <v>95</v>
      </c>
      <c r="AE625" s="25">
        <v>3</v>
      </c>
      <c r="AF625" s="25" t="s">
        <v>61</v>
      </c>
      <c r="AG625" s="9" t="s">
        <v>3117</v>
      </c>
      <c r="AH625" s="29" t="s">
        <v>3118</v>
      </c>
      <c r="AI625" s="29" t="s">
        <v>3119</v>
      </c>
      <c r="AJ625" t="s">
        <v>82</v>
      </c>
      <c r="AK625" t="s">
        <v>3120</v>
      </c>
      <c r="AL625" t="s">
        <v>63</v>
      </c>
      <c r="AM625" s="50"/>
      <c r="AN625" s="51" t="s">
        <v>3121</v>
      </c>
      <c r="AO625" s="55" t="s">
        <v>3122</v>
      </c>
    </row>
    <row r="626" spans="1:41" ht="91.2" x14ac:dyDescent="0.3">
      <c r="A626" s="20">
        <v>622</v>
      </c>
      <c r="B626" s="8" t="s">
        <v>3123</v>
      </c>
      <c r="C626" s="26">
        <v>2021</v>
      </c>
      <c r="D626" s="8"/>
      <c r="E626" s="8" t="s">
        <v>3124</v>
      </c>
      <c r="F626" s="20" t="s">
        <v>54</v>
      </c>
      <c r="G626" s="21" t="s">
        <v>53</v>
      </c>
      <c r="H626" s="21" t="s">
        <v>53</v>
      </c>
      <c r="I626" s="21" t="s">
        <v>53</v>
      </c>
      <c r="J626" s="21" t="s">
        <v>53</v>
      </c>
      <c r="K626" s="21" t="s">
        <v>53</v>
      </c>
      <c r="L626" s="22" t="str">
        <f t="shared" si="45"/>
        <v>INCLUDE</v>
      </c>
      <c r="M626" s="22" t="str">
        <f t="shared" si="46"/>
        <v/>
      </c>
      <c r="N626" s="23" t="s">
        <v>53</v>
      </c>
      <c r="O626" s="23" t="s">
        <v>53</v>
      </c>
      <c r="P626" s="24" t="s">
        <v>53</v>
      </c>
      <c r="Q626" s="24" t="s">
        <v>53</v>
      </c>
      <c r="R626" s="24" t="s">
        <v>53</v>
      </c>
      <c r="S626" s="22" t="str">
        <f t="shared" si="47"/>
        <v>INCLUDE</v>
      </c>
      <c r="T626" s="22" t="str">
        <f t="shared" si="48"/>
        <v/>
      </c>
      <c r="U626" s="25" t="s">
        <v>56</v>
      </c>
      <c r="V626" s="25">
        <v>0</v>
      </c>
      <c r="W626" s="25">
        <v>0</v>
      </c>
      <c r="X626" s="25">
        <v>1</v>
      </c>
      <c r="Y626" s="22" t="str">
        <f t="shared" si="49"/>
        <v>Single</v>
      </c>
      <c r="Z626" s="25" t="s">
        <v>9</v>
      </c>
      <c r="AA626" s="25" t="s">
        <v>57</v>
      </c>
      <c r="AB626" s="25" t="s">
        <v>103</v>
      </c>
      <c r="AC626" s="25" t="s">
        <v>70</v>
      </c>
      <c r="AD626" s="25" t="s">
        <v>89</v>
      </c>
      <c r="AE626" s="25">
        <v>4</v>
      </c>
      <c r="AF626" s="25" t="s">
        <v>96</v>
      </c>
      <c r="AG626" s="9" t="s">
        <v>3125</v>
      </c>
      <c r="AH626" s="29" t="s">
        <v>3126</v>
      </c>
      <c r="AI626" s="29" t="s">
        <v>3127</v>
      </c>
      <c r="AJ626" t="s">
        <v>91</v>
      </c>
      <c r="AK626" t="s">
        <v>3128</v>
      </c>
      <c r="AL626" t="s">
        <v>74</v>
      </c>
      <c r="AM626" s="50"/>
      <c r="AN626" s="51" t="s">
        <v>3129</v>
      </c>
      <c r="AO626" s="55" t="s">
        <v>3130</v>
      </c>
    </row>
    <row r="627" spans="1:41" ht="91.2" hidden="1" x14ac:dyDescent="0.3">
      <c r="A627" s="20">
        <v>623</v>
      </c>
      <c r="B627" s="8" t="s">
        <v>3131</v>
      </c>
      <c r="C627" s="26">
        <v>2024</v>
      </c>
      <c r="D627" s="8"/>
      <c r="E627" s="8" t="s">
        <v>3132</v>
      </c>
      <c r="F627" s="20" t="s">
        <v>54</v>
      </c>
      <c r="G627" s="21" t="s">
        <v>64</v>
      </c>
      <c r="H627" s="21" t="s">
        <v>53</v>
      </c>
      <c r="I627" s="21" t="s">
        <v>53</v>
      </c>
      <c r="J627" s="21" t="s">
        <v>53</v>
      </c>
      <c r="K627" s="21" t="s">
        <v>53</v>
      </c>
      <c r="L627" s="22" t="str">
        <f t="shared" si="45"/>
        <v>EXCLUDE</v>
      </c>
      <c r="M627" s="22" t="str">
        <f t="shared" si="46"/>
        <v>Wrong domain (non-AECO)</v>
      </c>
      <c r="N627" s="23"/>
      <c r="O627" s="23"/>
      <c r="P627" s="24"/>
      <c r="Q627" s="24"/>
      <c r="R627" s="24"/>
      <c r="S627" s="22" t="str">
        <f t="shared" si="47"/>
        <v/>
      </c>
      <c r="T627" s="22" t="str">
        <f t="shared" si="48"/>
        <v/>
      </c>
      <c r="U627" s="25"/>
      <c r="V627" s="25"/>
      <c r="W627" s="25"/>
      <c r="X627" s="25"/>
      <c r="Y627" s="22" t="str">
        <f t="shared" si="49"/>
        <v/>
      </c>
      <c r="Z627" s="25"/>
      <c r="AA627" s="25"/>
      <c r="AB627" s="25"/>
      <c r="AC627" s="25"/>
      <c r="AD627" s="25"/>
      <c r="AE627" s="25"/>
      <c r="AF627" s="25"/>
      <c r="AG627" s="9"/>
      <c r="AH627" s="29"/>
      <c r="AI627" s="29"/>
      <c r="AM627" s="50"/>
      <c r="AN627" s="51" t="s">
        <v>3133</v>
      </c>
      <c r="AO627" s="55" t="s">
        <v>3134</v>
      </c>
    </row>
    <row r="628" spans="1:41" ht="91.2" x14ac:dyDescent="0.3">
      <c r="A628" s="20">
        <v>624</v>
      </c>
      <c r="B628" s="8" t="s">
        <v>3135</v>
      </c>
      <c r="C628" s="26">
        <v>2023</v>
      </c>
      <c r="D628" s="8"/>
      <c r="E628" s="8" t="s">
        <v>3136</v>
      </c>
      <c r="F628" s="20" t="s">
        <v>54</v>
      </c>
      <c r="G628" s="21" t="s">
        <v>53</v>
      </c>
      <c r="H628" s="21" t="s">
        <v>53</v>
      </c>
      <c r="I628" s="21" t="s">
        <v>53</v>
      </c>
      <c r="J628" s="21" t="s">
        <v>53</v>
      </c>
      <c r="K628" s="21" t="s">
        <v>53</v>
      </c>
      <c r="L628" s="22" t="str">
        <f t="shared" si="45"/>
        <v>INCLUDE</v>
      </c>
      <c r="M628" s="22" t="str">
        <f t="shared" si="46"/>
        <v/>
      </c>
      <c r="N628" s="23" t="s">
        <v>53</v>
      </c>
      <c r="O628" s="23" t="s">
        <v>53</v>
      </c>
      <c r="P628" s="24" t="s">
        <v>53</v>
      </c>
      <c r="Q628" s="24" t="s">
        <v>53</v>
      </c>
      <c r="R628" s="24" t="s">
        <v>53</v>
      </c>
      <c r="S628" s="22" t="str">
        <f t="shared" si="47"/>
        <v>INCLUDE</v>
      </c>
      <c r="T628" s="22" t="str">
        <f t="shared" si="48"/>
        <v/>
      </c>
      <c r="U628" s="25" t="s">
        <v>56</v>
      </c>
      <c r="V628" s="25">
        <v>0</v>
      </c>
      <c r="W628" s="25">
        <v>0</v>
      </c>
      <c r="X628" s="25">
        <v>1</v>
      </c>
      <c r="Y628" s="22" t="str">
        <f t="shared" si="49"/>
        <v>Single</v>
      </c>
      <c r="Z628" s="25" t="s">
        <v>9</v>
      </c>
      <c r="AA628" s="25" t="s">
        <v>57</v>
      </c>
      <c r="AB628" s="25" t="s">
        <v>104</v>
      </c>
      <c r="AC628" s="25" t="s">
        <v>70</v>
      </c>
      <c r="AD628" s="25" t="s">
        <v>89</v>
      </c>
      <c r="AE628" s="25">
        <v>3</v>
      </c>
      <c r="AF628" s="25" t="s">
        <v>96</v>
      </c>
      <c r="AG628" s="9" t="s">
        <v>3137</v>
      </c>
      <c r="AH628" s="29" t="s">
        <v>3138</v>
      </c>
      <c r="AI628" s="29" t="s">
        <v>3139</v>
      </c>
      <c r="AJ628" t="s">
        <v>91</v>
      </c>
      <c r="AK628" t="s">
        <v>3140</v>
      </c>
      <c r="AL628" t="s">
        <v>74</v>
      </c>
      <c r="AM628" s="50"/>
      <c r="AN628" s="51" t="s">
        <v>3141</v>
      </c>
      <c r="AO628" s="55" t="s">
        <v>3142</v>
      </c>
    </row>
    <row r="629" spans="1:41" ht="79.8" x14ac:dyDescent="0.3">
      <c r="A629" s="20">
        <v>625</v>
      </c>
      <c r="B629" s="8" t="s">
        <v>3143</v>
      </c>
      <c r="C629" s="26">
        <v>2023</v>
      </c>
      <c r="D629" s="8"/>
      <c r="E629" s="8" t="s">
        <v>3144</v>
      </c>
      <c r="F629" s="20" t="s">
        <v>54</v>
      </c>
      <c r="G629" s="21" t="s">
        <v>53</v>
      </c>
      <c r="H629" s="21" t="s">
        <v>53</v>
      </c>
      <c r="I629" s="21" t="s">
        <v>53</v>
      </c>
      <c r="J629" s="21" t="s">
        <v>53</v>
      </c>
      <c r="K629" s="21" t="s">
        <v>53</v>
      </c>
      <c r="L629" s="22" t="str">
        <f t="shared" si="45"/>
        <v>INCLUDE</v>
      </c>
      <c r="M629" s="22" t="str">
        <f t="shared" si="46"/>
        <v/>
      </c>
      <c r="N629" s="23" t="s">
        <v>53</v>
      </c>
      <c r="O629" s="23" t="s">
        <v>53</v>
      </c>
      <c r="P629" s="24" t="s">
        <v>53</v>
      </c>
      <c r="Q629" s="24" t="s">
        <v>53</v>
      </c>
      <c r="R629" s="24" t="s">
        <v>53</v>
      </c>
      <c r="S629" s="22" t="str">
        <f t="shared" si="47"/>
        <v>INCLUDE</v>
      </c>
      <c r="T629" s="22" t="str">
        <f t="shared" si="48"/>
        <v/>
      </c>
      <c r="U629" s="25" t="s">
        <v>56</v>
      </c>
      <c r="V629" s="25">
        <v>0</v>
      </c>
      <c r="W629" s="25">
        <v>1</v>
      </c>
      <c r="X629" s="25">
        <v>0</v>
      </c>
      <c r="Y629" s="22" t="str">
        <f t="shared" si="49"/>
        <v>Single</v>
      </c>
      <c r="Z629" s="25" t="s">
        <v>9</v>
      </c>
      <c r="AA629" s="25" t="s">
        <v>57</v>
      </c>
      <c r="AB629" s="25" t="s">
        <v>99</v>
      </c>
      <c r="AC629" s="25" t="s">
        <v>59</v>
      </c>
      <c r="AD629" s="25" t="s">
        <v>71</v>
      </c>
      <c r="AE629" s="25">
        <v>4</v>
      </c>
      <c r="AF629" s="25" t="s">
        <v>96</v>
      </c>
      <c r="AG629" s="9" t="s">
        <v>3145</v>
      </c>
      <c r="AH629" s="29" t="s">
        <v>3146</v>
      </c>
      <c r="AI629" s="29" t="s">
        <v>3147</v>
      </c>
      <c r="AJ629" t="s">
        <v>62</v>
      </c>
      <c r="AK629" t="s">
        <v>3148</v>
      </c>
      <c r="AL629" t="s">
        <v>63</v>
      </c>
      <c r="AM629" s="50"/>
      <c r="AN629" s="51" t="s">
        <v>3149</v>
      </c>
      <c r="AO629" s="55" t="s">
        <v>3150</v>
      </c>
    </row>
    <row r="630" spans="1:41" ht="34.200000000000003" hidden="1" x14ac:dyDescent="0.3">
      <c r="A630" s="20">
        <v>626</v>
      </c>
      <c r="B630" s="8" t="s">
        <v>3151</v>
      </c>
      <c r="C630" s="26">
        <v>2023</v>
      </c>
      <c r="D630" s="8"/>
      <c r="E630" s="8" t="s">
        <v>3152</v>
      </c>
      <c r="F630" s="20" t="s">
        <v>54</v>
      </c>
      <c r="G630" s="21" t="s">
        <v>64</v>
      </c>
      <c r="H630" s="21" t="s">
        <v>53</v>
      </c>
      <c r="I630" s="21" t="s">
        <v>53</v>
      </c>
      <c r="J630" s="21" t="s">
        <v>53</v>
      </c>
      <c r="K630" s="21" t="s">
        <v>53</v>
      </c>
      <c r="L630" s="22" t="str">
        <f t="shared" si="45"/>
        <v>EXCLUDE</v>
      </c>
      <c r="M630" s="22" t="str">
        <f t="shared" si="46"/>
        <v>Wrong domain (non-AECO)</v>
      </c>
      <c r="N630" s="23"/>
      <c r="O630" s="23"/>
      <c r="P630" s="24"/>
      <c r="Q630" s="24"/>
      <c r="R630" s="24"/>
      <c r="S630" s="22" t="str">
        <f t="shared" si="47"/>
        <v/>
      </c>
      <c r="T630" s="22" t="str">
        <f t="shared" si="48"/>
        <v/>
      </c>
      <c r="U630" s="25"/>
      <c r="V630" s="25"/>
      <c r="W630" s="25"/>
      <c r="X630" s="25"/>
      <c r="Y630" s="22" t="str">
        <f t="shared" si="49"/>
        <v/>
      </c>
      <c r="Z630" s="25"/>
      <c r="AA630" s="25"/>
      <c r="AB630" s="25"/>
      <c r="AC630" s="25"/>
      <c r="AD630" s="25"/>
      <c r="AE630" s="25"/>
      <c r="AF630" s="25"/>
      <c r="AG630" s="9"/>
      <c r="AH630" s="29"/>
      <c r="AI630" s="29"/>
      <c r="AM630" s="50"/>
      <c r="AN630" s="51" t="s">
        <v>3153</v>
      </c>
      <c r="AO630" s="55" t="s">
        <v>3154</v>
      </c>
    </row>
    <row r="631" spans="1:41" ht="57" hidden="1" x14ac:dyDescent="0.3">
      <c r="A631" s="20">
        <v>627</v>
      </c>
      <c r="B631" s="8" t="s">
        <v>3155</v>
      </c>
      <c r="C631" s="26">
        <v>2023</v>
      </c>
      <c r="D631" s="8"/>
      <c r="E631" s="8" t="s">
        <v>3156</v>
      </c>
      <c r="F631" s="20" t="s">
        <v>54</v>
      </c>
      <c r="G631" s="21" t="s">
        <v>64</v>
      </c>
      <c r="H631" s="21" t="s">
        <v>53</v>
      </c>
      <c r="I631" s="21" t="s">
        <v>53</v>
      </c>
      <c r="J631" s="21" t="s">
        <v>53</v>
      </c>
      <c r="K631" s="21" t="s">
        <v>53</v>
      </c>
      <c r="L631" s="22" t="str">
        <f t="shared" si="45"/>
        <v>EXCLUDE</v>
      </c>
      <c r="M631" s="22" t="str">
        <f t="shared" si="46"/>
        <v>Wrong domain (non-AECO)</v>
      </c>
      <c r="N631" s="23"/>
      <c r="O631" s="23"/>
      <c r="P631" s="24"/>
      <c r="Q631" s="24"/>
      <c r="R631" s="24"/>
      <c r="S631" s="22" t="str">
        <f t="shared" si="47"/>
        <v/>
      </c>
      <c r="T631" s="22" t="str">
        <f t="shared" si="48"/>
        <v/>
      </c>
      <c r="U631" s="25"/>
      <c r="V631" s="25"/>
      <c r="W631" s="25"/>
      <c r="X631" s="25"/>
      <c r="Y631" s="22" t="str">
        <f t="shared" si="49"/>
        <v/>
      </c>
      <c r="Z631" s="25"/>
      <c r="AA631" s="25"/>
      <c r="AB631" s="25"/>
      <c r="AC631" s="25"/>
      <c r="AD631" s="25"/>
      <c r="AE631" s="25"/>
      <c r="AF631" s="25"/>
      <c r="AG631" s="9"/>
      <c r="AH631" s="29"/>
      <c r="AI631" s="29"/>
      <c r="AM631" s="50"/>
      <c r="AN631" s="51" t="s">
        <v>3157</v>
      </c>
      <c r="AO631" s="55" t="s">
        <v>3158</v>
      </c>
    </row>
    <row r="632" spans="1:41" ht="68.400000000000006" hidden="1" x14ac:dyDescent="0.3">
      <c r="A632" s="20">
        <v>628</v>
      </c>
      <c r="B632" s="8" t="s">
        <v>3159</v>
      </c>
      <c r="C632" s="26">
        <v>2020</v>
      </c>
      <c r="D632" s="8"/>
      <c r="E632" s="8" t="s">
        <v>3160</v>
      </c>
      <c r="F632" s="20" t="s">
        <v>54</v>
      </c>
      <c r="G632" s="21" t="s">
        <v>64</v>
      </c>
      <c r="H632" s="21" t="s">
        <v>53</v>
      </c>
      <c r="I632" s="21" t="s">
        <v>53</v>
      </c>
      <c r="J632" s="21" t="s">
        <v>53</v>
      </c>
      <c r="K632" s="21" t="s">
        <v>53</v>
      </c>
      <c r="L632" s="22" t="str">
        <f t="shared" si="45"/>
        <v>EXCLUDE</v>
      </c>
      <c r="M632" s="22" t="str">
        <f t="shared" si="46"/>
        <v>Wrong domain (non-AECO)</v>
      </c>
      <c r="N632" s="23"/>
      <c r="O632" s="23"/>
      <c r="P632" s="24"/>
      <c r="Q632" s="24"/>
      <c r="R632" s="24"/>
      <c r="S632" s="22" t="str">
        <f t="shared" si="47"/>
        <v/>
      </c>
      <c r="T632" s="22" t="str">
        <f t="shared" si="48"/>
        <v/>
      </c>
      <c r="U632" s="25"/>
      <c r="V632" s="25"/>
      <c r="W632" s="25"/>
      <c r="X632" s="25"/>
      <c r="Y632" s="22" t="str">
        <f t="shared" si="49"/>
        <v/>
      </c>
      <c r="Z632" s="25"/>
      <c r="AA632" s="25"/>
      <c r="AB632" s="25"/>
      <c r="AC632" s="25"/>
      <c r="AD632" s="25"/>
      <c r="AE632" s="25"/>
      <c r="AF632" s="25"/>
      <c r="AG632" s="9"/>
      <c r="AH632" s="29"/>
      <c r="AI632" s="29"/>
      <c r="AM632" s="50"/>
      <c r="AN632" s="51" t="s">
        <v>3161</v>
      </c>
      <c r="AO632" s="55" t="s">
        <v>3162</v>
      </c>
    </row>
    <row r="633" spans="1:41" ht="68.400000000000006" hidden="1" x14ac:dyDescent="0.3">
      <c r="A633" s="20">
        <v>629</v>
      </c>
      <c r="B633" s="8" t="s">
        <v>3163</v>
      </c>
      <c r="C633" s="26">
        <v>2023</v>
      </c>
      <c r="D633" s="8"/>
      <c r="E633" s="8" t="s">
        <v>3164</v>
      </c>
      <c r="F633" s="20" t="s">
        <v>54</v>
      </c>
      <c r="G633" s="21" t="s">
        <v>64</v>
      </c>
      <c r="H633" s="21" t="s">
        <v>53</v>
      </c>
      <c r="I633" s="21" t="s">
        <v>53</v>
      </c>
      <c r="J633" s="21" t="s">
        <v>53</v>
      </c>
      <c r="K633" s="21" t="s">
        <v>53</v>
      </c>
      <c r="L633" s="22" t="str">
        <f t="shared" si="45"/>
        <v>EXCLUDE</v>
      </c>
      <c r="M633" s="22" t="str">
        <f t="shared" si="46"/>
        <v>Wrong domain (non-AECO)</v>
      </c>
      <c r="N633" s="23"/>
      <c r="O633" s="23"/>
      <c r="P633" s="24"/>
      <c r="Q633" s="24"/>
      <c r="R633" s="24"/>
      <c r="S633" s="22" t="str">
        <f t="shared" si="47"/>
        <v/>
      </c>
      <c r="T633" s="22" t="str">
        <f t="shared" si="48"/>
        <v/>
      </c>
      <c r="U633" s="25"/>
      <c r="V633" s="25"/>
      <c r="W633" s="25"/>
      <c r="X633" s="25"/>
      <c r="Y633" s="22" t="str">
        <f t="shared" si="49"/>
        <v/>
      </c>
      <c r="Z633" s="25"/>
      <c r="AA633" s="25"/>
      <c r="AB633" s="25"/>
      <c r="AC633" s="25"/>
      <c r="AD633" s="25"/>
      <c r="AE633" s="25"/>
      <c r="AF633" s="25"/>
      <c r="AG633" s="9"/>
      <c r="AH633" s="29"/>
      <c r="AI633" s="29"/>
      <c r="AM633" s="50"/>
      <c r="AN633" s="51" t="s">
        <v>3165</v>
      </c>
      <c r="AO633" s="55" t="s">
        <v>3166</v>
      </c>
    </row>
    <row r="634" spans="1:41" ht="79.8" hidden="1" x14ac:dyDescent="0.3">
      <c r="A634" s="20">
        <v>630</v>
      </c>
      <c r="B634" s="8" t="s">
        <v>3167</v>
      </c>
      <c r="C634" s="26">
        <v>2024</v>
      </c>
      <c r="D634" s="8"/>
      <c r="E634" s="8" t="s">
        <v>3168</v>
      </c>
      <c r="F634" s="20" t="s">
        <v>54</v>
      </c>
      <c r="G634" s="21" t="s">
        <v>53</v>
      </c>
      <c r="H634" s="21" t="s">
        <v>53</v>
      </c>
      <c r="I634" s="21" t="s">
        <v>53</v>
      </c>
      <c r="J634" s="21" t="s">
        <v>53</v>
      </c>
      <c r="K634" s="21" t="s">
        <v>53</v>
      </c>
      <c r="L634" s="22" t="str">
        <f t="shared" si="45"/>
        <v>INCLUDE</v>
      </c>
      <c r="M634" s="22" t="str">
        <f t="shared" si="46"/>
        <v/>
      </c>
      <c r="N634" s="23" t="s">
        <v>53</v>
      </c>
      <c r="O634" s="23" t="s">
        <v>53</v>
      </c>
      <c r="P634" s="24" t="s">
        <v>64</v>
      </c>
      <c r="Q634" s="24" t="s">
        <v>53</v>
      </c>
      <c r="R634" s="24" t="s">
        <v>64</v>
      </c>
      <c r="S634" s="22" t="str">
        <f t="shared" si="47"/>
        <v>EXCLUDE</v>
      </c>
      <c r="T634" s="22" t="str">
        <f t="shared" si="48"/>
        <v>Digital Twin mentioned only, not the subject</v>
      </c>
      <c r="U634" s="25"/>
      <c r="V634" s="25"/>
      <c r="W634" s="25"/>
      <c r="X634" s="25"/>
      <c r="Y634" s="22" t="str">
        <f t="shared" si="49"/>
        <v/>
      </c>
      <c r="Z634" s="25"/>
      <c r="AA634" s="25"/>
      <c r="AB634" s="25"/>
      <c r="AC634" s="25"/>
      <c r="AD634" s="25"/>
      <c r="AE634" s="25"/>
      <c r="AF634" s="25"/>
      <c r="AG634" s="9" t="s">
        <v>3169</v>
      </c>
      <c r="AH634" s="29"/>
      <c r="AI634" s="29"/>
      <c r="AM634" s="50"/>
      <c r="AN634" s="51" t="s">
        <v>3170</v>
      </c>
      <c r="AO634" s="55" t="s">
        <v>3171</v>
      </c>
    </row>
    <row r="635" spans="1:41" ht="45.6" hidden="1" x14ac:dyDescent="0.3">
      <c r="A635" s="20">
        <v>631</v>
      </c>
      <c r="B635" s="8" t="s">
        <v>3172</v>
      </c>
      <c r="C635" s="26">
        <v>2024</v>
      </c>
      <c r="D635" s="8"/>
      <c r="E635" s="8" t="s">
        <v>3173</v>
      </c>
      <c r="F635" s="20" t="s">
        <v>54</v>
      </c>
      <c r="G635" s="21" t="s">
        <v>64</v>
      </c>
      <c r="H635" s="21" t="s">
        <v>53</v>
      </c>
      <c r="I635" s="21" t="s">
        <v>53</v>
      </c>
      <c r="J635" s="21" t="s">
        <v>53</v>
      </c>
      <c r="K635" s="21" t="s">
        <v>53</v>
      </c>
      <c r="L635" s="22" t="str">
        <f t="shared" si="45"/>
        <v>EXCLUDE</v>
      </c>
      <c r="M635" s="22" t="str">
        <f t="shared" si="46"/>
        <v>Wrong domain (non-AECO)</v>
      </c>
      <c r="N635" s="23"/>
      <c r="O635" s="23"/>
      <c r="P635" s="24"/>
      <c r="Q635" s="24"/>
      <c r="R635" s="24"/>
      <c r="S635" s="22" t="str">
        <f t="shared" si="47"/>
        <v/>
      </c>
      <c r="T635" s="22" t="str">
        <f t="shared" si="48"/>
        <v/>
      </c>
      <c r="U635" s="25"/>
      <c r="V635" s="25"/>
      <c r="W635" s="25"/>
      <c r="X635" s="25"/>
      <c r="Y635" s="22" t="str">
        <f t="shared" si="49"/>
        <v/>
      </c>
      <c r="Z635" s="25"/>
      <c r="AA635" s="25"/>
      <c r="AB635" s="25"/>
      <c r="AC635" s="25"/>
      <c r="AD635" s="25"/>
      <c r="AE635" s="25"/>
      <c r="AF635" s="25"/>
      <c r="AG635" s="9"/>
      <c r="AH635" s="29"/>
      <c r="AI635" s="29"/>
      <c r="AM635" s="50"/>
      <c r="AN635" s="51" t="s">
        <v>3174</v>
      </c>
      <c r="AO635" s="55" t="s">
        <v>3175</v>
      </c>
    </row>
    <row r="636" spans="1:41" ht="114" x14ac:dyDescent="0.3">
      <c r="A636" s="20">
        <v>632</v>
      </c>
      <c r="B636" s="8" t="s">
        <v>3176</v>
      </c>
      <c r="C636" s="26">
        <v>2022</v>
      </c>
      <c r="D636" s="8"/>
      <c r="E636" s="8" t="s">
        <v>3177</v>
      </c>
      <c r="F636" s="20" t="s">
        <v>54</v>
      </c>
      <c r="G636" s="21" t="s">
        <v>53</v>
      </c>
      <c r="H636" s="21" t="s">
        <v>53</v>
      </c>
      <c r="I636" s="21" t="s">
        <v>53</v>
      </c>
      <c r="J636" s="21" t="s">
        <v>53</v>
      </c>
      <c r="K636" s="21" t="s">
        <v>53</v>
      </c>
      <c r="L636" s="22" t="str">
        <f t="shared" si="45"/>
        <v>INCLUDE</v>
      </c>
      <c r="M636" s="22" t="str">
        <f t="shared" si="46"/>
        <v/>
      </c>
      <c r="N636" s="23" t="s">
        <v>53</v>
      </c>
      <c r="O636" s="23" t="s">
        <v>53</v>
      </c>
      <c r="P636" s="24" t="s">
        <v>53</v>
      </c>
      <c r="Q636" s="24" t="s">
        <v>53</v>
      </c>
      <c r="R636" s="24" t="s">
        <v>53</v>
      </c>
      <c r="S636" s="22" t="str">
        <f t="shared" si="47"/>
        <v>INCLUDE</v>
      </c>
      <c r="T636" s="22" t="str">
        <f t="shared" si="48"/>
        <v/>
      </c>
      <c r="U636" s="25" t="s">
        <v>67</v>
      </c>
      <c r="V636" s="25">
        <v>0</v>
      </c>
      <c r="W636" s="25">
        <v>0</v>
      </c>
      <c r="X636" s="25">
        <v>1</v>
      </c>
      <c r="Y636" s="22" t="str">
        <f t="shared" si="49"/>
        <v>Single</v>
      </c>
      <c r="Z636" s="25" t="s">
        <v>9</v>
      </c>
      <c r="AA636" s="25" t="s">
        <v>57</v>
      </c>
      <c r="AB636" s="25" t="s">
        <v>58</v>
      </c>
      <c r="AC636" s="25" t="s">
        <v>70</v>
      </c>
      <c r="AD636" s="25" t="s">
        <v>89</v>
      </c>
      <c r="AE636" s="25">
        <v>4</v>
      </c>
      <c r="AF636" s="25" t="s">
        <v>81</v>
      </c>
      <c r="AG636" s="9" t="s">
        <v>3178</v>
      </c>
      <c r="AH636" s="29" t="s">
        <v>3179</v>
      </c>
      <c r="AI636" s="29" t="s">
        <v>3180</v>
      </c>
      <c r="AJ636" t="s">
        <v>82</v>
      </c>
      <c r="AK636" t="s">
        <v>3181</v>
      </c>
      <c r="AL636" t="s">
        <v>63</v>
      </c>
      <c r="AM636" s="50"/>
      <c r="AN636" s="51" t="s">
        <v>3182</v>
      </c>
      <c r="AO636" s="55" t="s">
        <v>3183</v>
      </c>
    </row>
    <row r="637" spans="1:41" ht="57" hidden="1" x14ac:dyDescent="0.3">
      <c r="A637" s="20">
        <v>633</v>
      </c>
      <c r="B637" s="8" t="s">
        <v>3184</v>
      </c>
      <c r="C637" s="26">
        <v>2023</v>
      </c>
      <c r="D637" s="8"/>
      <c r="E637" s="8" t="s">
        <v>3185</v>
      </c>
      <c r="F637" s="20" t="s">
        <v>54</v>
      </c>
      <c r="G637" s="21" t="s">
        <v>64</v>
      </c>
      <c r="H637" s="21" t="s">
        <v>53</v>
      </c>
      <c r="I637" s="21" t="s">
        <v>53</v>
      </c>
      <c r="J637" s="21" t="s">
        <v>53</v>
      </c>
      <c r="K637" s="21" t="s">
        <v>53</v>
      </c>
      <c r="L637" s="22" t="str">
        <f t="shared" si="45"/>
        <v>EXCLUDE</v>
      </c>
      <c r="M637" s="22" t="str">
        <f t="shared" si="46"/>
        <v>Wrong domain (non-AECO)</v>
      </c>
      <c r="N637" s="23"/>
      <c r="O637" s="23"/>
      <c r="P637" s="24"/>
      <c r="Q637" s="24"/>
      <c r="R637" s="24"/>
      <c r="S637" s="22" t="str">
        <f t="shared" si="47"/>
        <v/>
      </c>
      <c r="T637" s="22" t="str">
        <f t="shared" si="48"/>
        <v/>
      </c>
      <c r="U637" s="25"/>
      <c r="V637" s="25"/>
      <c r="W637" s="25"/>
      <c r="X637" s="25"/>
      <c r="Y637" s="22" t="str">
        <f t="shared" si="49"/>
        <v/>
      </c>
      <c r="Z637" s="25"/>
      <c r="AA637" s="25"/>
      <c r="AB637" s="25"/>
      <c r="AC637" s="25"/>
      <c r="AD637" s="25"/>
      <c r="AE637" s="25"/>
      <c r="AF637" s="25"/>
      <c r="AG637" s="9"/>
      <c r="AH637" s="29"/>
      <c r="AI637" s="29"/>
      <c r="AM637" s="50"/>
      <c r="AN637" s="51" t="s">
        <v>3186</v>
      </c>
      <c r="AO637" s="55" t="s">
        <v>3187</v>
      </c>
    </row>
    <row r="638" spans="1:41" ht="57" hidden="1" x14ac:dyDescent="0.3">
      <c r="A638" s="20">
        <v>634</v>
      </c>
      <c r="B638" s="8" t="s">
        <v>3188</v>
      </c>
      <c r="C638" s="26">
        <v>2022</v>
      </c>
      <c r="D638" s="8"/>
      <c r="E638" s="8" t="s">
        <v>3189</v>
      </c>
      <c r="F638" s="20" t="s">
        <v>54</v>
      </c>
      <c r="G638" s="21" t="s">
        <v>64</v>
      </c>
      <c r="H638" s="21" t="s">
        <v>53</v>
      </c>
      <c r="I638" s="21" t="s">
        <v>53</v>
      </c>
      <c r="J638" s="21" t="s">
        <v>53</v>
      </c>
      <c r="K638" s="21" t="s">
        <v>53</v>
      </c>
      <c r="L638" s="22" t="str">
        <f t="shared" si="45"/>
        <v>EXCLUDE</v>
      </c>
      <c r="M638" s="22" t="str">
        <f t="shared" si="46"/>
        <v>Wrong domain (non-AECO)</v>
      </c>
      <c r="N638" s="23"/>
      <c r="O638" s="23"/>
      <c r="P638" s="24"/>
      <c r="Q638" s="24"/>
      <c r="R638" s="24"/>
      <c r="S638" s="22" t="str">
        <f t="shared" si="47"/>
        <v/>
      </c>
      <c r="T638" s="22" t="str">
        <f t="shared" si="48"/>
        <v/>
      </c>
      <c r="U638" s="25"/>
      <c r="V638" s="25"/>
      <c r="W638" s="25"/>
      <c r="X638" s="25"/>
      <c r="Y638" s="22" t="str">
        <f t="shared" si="49"/>
        <v/>
      </c>
      <c r="Z638" s="25"/>
      <c r="AA638" s="25"/>
      <c r="AB638" s="25"/>
      <c r="AC638" s="25"/>
      <c r="AD638" s="25"/>
      <c r="AE638" s="25"/>
      <c r="AF638" s="25"/>
      <c r="AG638" s="9"/>
      <c r="AH638" s="29"/>
      <c r="AI638" s="29"/>
      <c r="AM638" s="50"/>
      <c r="AN638" s="51" t="s">
        <v>3190</v>
      </c>
      <c r="AO638" s="55" t="s">
        <v>3191</v>
      </c>
    </row>
    <row r="639" spans="1:41" ht="45.6" hidden="1" x14ac:dyDescent="0.3">
      <c r="A639" s="20">
        <v>635</v>
      </c>
      <c r="B639" s="8" t="s">
        <v>3192</v>
      </c>
      <c r="C639" s="26">
        <v>2024</v>
      </c>
      <c r="D639" s="8"/>
      <c r="E639" s="8" t="s">
        <v>3193</v>
      </c>
      <c r="F639" s="20" t="s">
        <v>54</v>
      </c>
      <c r="G639" s="21" t="s">
        <v>64</v>
      </c>
      <c r="H639" s="21" t="s">
        <v>53</v>
      </c>
      <c r="I639" s="21" t="s">
        <v>53</v>
      </c>
      <c r="J639" s="21" t="s">
        <v>53</v>
      </c>
      <c r="K639" s="21" t="s">
        <v>53</v>
      </c>
      <c r="L639" s="22" t="str">
        <f t="shared" si="45"/>
        <v>EXCLUDE</v>
      </c>
      <c r="M639" s="22" t="str">
        <f t="shared" si="46"/>
        <v>Wrong domain (non-AECO)</v>
      </c>
      <c r="N639" s="23"/>
      <c r="O639" s="23"/>
      <c r="P639" s="24"/>
      <c r="Q639" s="24"/>
      <c r="R639" s="24"/>
      <c r="S639" s="22" t="str">
        <f t="shared" si="47"/>
        <v/>
      </c>
      <c r="T639" s="22" t="str">
        <f t="shared" si="48"/>
        <v/>
      </c>
      <c r="U639" s="25"/>
      <c r="V639" s="25"/>
      <c r="W639" s="25"/>
      <c r="X639" s="25"/>
      <c r="Y639" s="22" t="str">
        <f t="shared" si="49"/>
        <v/>
      </c>
      <c r="Z639" s="25"/>
      <c r="AA639" s="25"/>
      <c r="AB639" s="25"/>
      <c r="AC639" s="25"/>
      <c r="AD639" s="25"/>
      <c r="AE639" s="25"/>
      <c r="AF639" s="25"/>
      <c r="AG639" s="9"/>
      <c r="AH639" s="29"/>
      <c r="AI639" s="29"/>
      <c r="AM639" s="50"/>
      <c r="AN639" s="51" t="s">
        <v>3194</v>
      </c>
      <c r="AO639" s="55" t="s">
        <v>3195</v>
      </c>
    </row>
    <row r="640" spans="1:41" ht="45.6" hidden="1" x14ac:dyDescent="0.3">
      <c r="A640" s="20">
        <v>636</v>
      </c>
      <c r="B640" s="8" t="s">
        <v>3196</v>
      </c>
      <c r="C640" s="26">
        <v>2021</v>
      </c>
      <c r="D640" s="8"/>
      <c r="E640" s="8" t="s">
        <v>3197</v>
      </c>
      <c r="F640" s="20" t="s">
        <v>54</v>
      </c>
      <c r="G640" s="21" t="s">
        <v>53</v>
      </c>
      <c r="H640" s="21" t="s">
        <v>53</v>
      </c>
      <c r="I640" s="21" t="s">
        <v>64</v>
      </c>
      <c r="J640" s="21" t="s">
        <v>53</v>
      </c>
      <c r="K640" s="21" t="s">
        <v>53</v>
      </c>
      <c r="L640" s="22" t="str">
        <f t="shared" si="45"/>
        <v>EXCLUDE</v>
      </c>
      <c r="M640" s="22" t="str">
        <f t="shared" si="46"/>
        <v>No Design for Safety/Quality/PtD</v>
      </c>
      <c r="N640" s="23"/>
      <c r="O640" s="23"/>
      <c r="P640" s="24"/>
      <c r="Q640" s="24"/>
      <c r="R640" s="24"/>
      <c r="S640" s="22" t="str">
        <f t="shared" si="47"/>
        <v/>
      </c>
      <c r="T640" s="22" t="str">
        <f t="shared" si="48"/>
        <v/>
      </c>
      <c r="U640" s="25"/>
      <c r="V640" s="25"/>
      <c r="W640" s="25"/>
      <c r="X640" s="25"/>
      <c r="Y640" s="22" t="str">
        <f t="shared" si="49"/>
        <v/>
      </c>
      <c r="Z640" s="25"/>
      <c r="AA640" s="25"/>
      <c r="AB640" s="25"/>
      <c r="AC640" s="25"/>
      <c r="AD640" s="25"/>
      <c r="AE640" s="25"/>
      <c r="AF640" s="25"/>
      <c r="AG640" s="9"/>
      <c r="AH640" s="29"/>
      <c r="AI640" s="29"/>
      <c r="AM640" s="50"/>
      <c r="AN640" s="51" t="s">
        <v>3198</v>
      </c>
      <c r="AO640" s="55" t="s">
        <v>3199</v>
      </c>
    </row>
    <row r="641" spans="1:41" ht="45.6" hidden="1" x14ac:dyDescent="0.3">
      <c r="A641" s="20">
        <v>637</v>
      </c>
      <c r="B641" s="8" t="s">
        <v>3200</v>
      </c>
      <c r="C641" s="26">
        <v>2024</v>
      </c>
      <c r="D641" s="8"/>
      <c r="E641" s="8" t="s">
        <v>3201</v>
      </c>
      <c r="F641" s="20" t="s">
        <v>54</v>
      </c>
      <c r="G641" s="21" t="s">
        <v>53</v>
      </c>
      <c r="H641" s="21" t="s">
        <v>53</v>
      </c>
      <c r="I641" s="21" t="s">
        <v>64</v>
      </c>
      <c r="J641" s="21" t="s">
        <v>53</v>
      </c>
      <c r="K641" s="21" t="s">
        <v>53</v>
      </c>
      <c r="L641" s="22" t="str">
        <f t="shared" si="45"/>
        <v>EXCLUDE</v>
      </c>
      <c r="M641" s="22" t="str">
        <f t="shared" si="46"/>
        <v>No Design for Safety/Quality/PtD</v>
      </c>
      <c r="N641" s="23"/>
      <c r="O641" s="23"/>
      <c r="P641" s="24"/>
      <c r="Q641" s="24"/>
      <c r="R641" s="24"/>
      <c r="S641" s="22" t="str">
        <f t="shared" si="47"/>
        <v/>
      </c>
      <c r="T641" s="22" t="str">
        <f t="shared" si="48"/>
        <v/>
      </c>
      <c r="U641" s="25"/>
      <c r="V641" s="25"/>
      <c r="W641" s="25"/>
      <c r="X641" s="25"/>
      <c r="Y641" s="22" t="str">
        <f t="shared" si="49"/>
        <v/>
      </c>
      <c r="Z641" s="25"/>
      <c r="AA641" s="25"/>
      <c r="AB641" s="25"/>
      <c r="AC641" s="25"/>
      <c r="AD641" s="25"/>
      <c r="AE641" s="25"/>
      <c r="AF641" s="25"/>
      <c r="AG641" s="9"/>
      <c r="AH641" s="29"/>
      <c r="AI641" s="29"/>
      <c r="AM641" s="50"/>
      <c r="AN641" s="51" t="s">
        <v>3202</v>
      </c>
      <c r="AO641" s="55" t="s">
        <v>3203</v>
      </c>
    </row>
    <row r="642" spans="1:41" ht="57" hidden="1" x14ac:dyDescent="0.3">
      <c r="A642" s="20">
        <v>638</v>
      </c>
      <c r="B642" s="8" t="s">
        <v>3204</v>
      </c>
      <c r="C642" s="26">
        <v>2022</v>
      </c>
      <c r="D642" s="8"/>
      <c r="E642" s="8" t="s">
        <v>3205</v>
      </c>
      <c r="F642" s="20" t="s">
        <v>54</v>
      </c>
      <c r="G642" s="21" t="s">
        <v>53</v>
      </c>
      <c r="H642" s="21" t="s">
        <v>53</v>
      </c>
      <c r="I642" s="21" t="s">
        <v>64</v>
      </c>
      <c r="J642" s="21" t="s">
        <v>53</v>
      </c>
      <c r="K642" s="21" t="s">
        <v>53</v>
      </c>
      <c r="L642" s="22" t="str">
        <f t="shared" si="45"/>
        <v>EXCLUDE</v>
      </c>
      <c r="M642" s="22" t="str">
        <f t="shared" si="46"/>
        <v>No Design for Safety/Quality/PtD</v>
      </c>
      <c r="N642" s="23"/>
      <c r="O642" s="23"/>
      <c r="P642" s="24"/>
      <c r="Q642" s="24"/>
      <c r="R642" s="24"/>
      <c r="S642" s="22" t="str">
        <f t="shared" si="47"/>
        <v/>
      </c>
      <c r="T642" s="22" t="str">
        <f t="shared" si="48"/>
        <v/>
      </c>
      <c r="U642" s="25"/>
      <c r="V642" s="25"/>
      <c r="W642" s="25"/>
      <c r="X642" s="25"/>
      <c r="Y642" s="22" t="str">
        <f t="shared" si="49"/>
        <v/>
      </c>
      <c r="Z642" s="25"/>
      <c r="AA642" s="25"/>
      <c r="AB642" s="25"/>
      <c r="AC642" s="25"/>
      <c r="AD642" s="25"/>
      <c r="AE642" s="25"/>
      <c r="AF642" s="25"/>
      <c r="AG642" s="9"/>
      <c r="AH642" s="29"/>
      <c r="AI642" s="29"/>
      <c r="AM642" s="50"/>
      <c r="AN642" s="51" t="s">
        <v>3206</v>
      </c>
      <c r="AO642" s="55" t="s">
        <v>3207</v>
      </c>
    </row>
    <row r="643" spans="1:41" ht="68.400000000000006" hidden="1" x14ac:dyDescent="0.3">
      <c r="A643" s="20">
        <v>639</v>
      </c>
      <c r="B643" s="8" t="s">
        <v>3208</v>
      </c>
      <c r="C643" s="26">
        <v>2024</v>
      </c>
      <c r="D643" s="8"/>
      <c r="E643" s="8" t="s">
        <v>3209</v>
      </c>
      <c r="F643" s="20" t="s">
        <v>54</v>
      </c>
      <c r="G643" s="21" t="s">
        <v>53</v>
      </c>
      <c r="H643" s="21" t="s">
        <v>53</v>
      </c>
      <c r="I643" s="21" t="s">
        <v>53</v>
      </c>
      <c r="J643" s="21" t="s">
        <v>53</v>
      </c>
      <c r="K643" s="21" t="s">
        <v>53</v>
      </c>
      <c r="L643" s="22" t="str">
        <f t="shared" si="45"/>
        <v>INCLUDE</v>
      </c>
      <c r="M643" s="22" t="str">
        <f t="shared" si="46"/>
        <v/>
      </c>
      <c r="N643" s="23" t="s">
        <v>53</v>
      </c>
      <c r="O643" s="23" t="s">
        <v>53</v>
      </c>
      <c r="P643" s="24" t="s">
        <v>64</v>
      </c>
      <c r="Q643" s="24" t="s">
        <v>53</v>
      </c>
      <c r="R643" s="24" t="s">
        <v>64</v>
      </c>
      <c r="S643" s="22" t="str">
        <f t="shared" si="47"/>
        <v>EXCLUDE</v>
      </c>
      <c r="T643" s="22" t="str">
        <f t="shared" si="48"/>
        <v>Digital Twin mentioned only, not the subject</v>
      </c>
      <c r="U643" s="25"/>
      <c r="V643" s="25"/>
      <c r="W643" s="25"/>
      <c r="X643" s="25"/>
      <c r="Y643" s="22" t="str">
        <f t="shared" si="49"/>
        <v/>
      </c>
      <c r="Z643" s="25"/>
      <c r="AA643" s="25"/>
      <c r="AB643" s="25"/>
      <c r="AC643" s="25"/>
      <c r="AD643" s="25"/>
      <c r="AE643" s="25"/>
      <c r="AF643" s="25"/>
      <c r="AG643" s="9" t="s">
        <v>3210</v>
      </c>
      <c r="AH643" s="29"/>
      <c r="AI643" s="29"/>
      <c r="AM643" s="50"/>
      <c r="AN643" s="51" t="s">
        <v>3211</v>
      </c>
      <c r="AO643" s="55" t="s">
        <v>3212</v>
      </c>
    </row>
    <row r="644" spans="1:41" ht="57" hidden="1" x14ac:dyDescent="0.3">
      <c r="A644" s="20">
        <v>640</v>
      </c>
      <c r="B644" s="8" t="s">
        <v>3213</v>
      </c>
      <c r="C644" s="26">
        <v>2022</v>
      </c>
      <c r="D644" s="8"/>
      <c r="E644" s="8" t="s">
        <v>3214</v>
      </c>
      <c r="F644" s="20" t="s">
        <v>54</v>
      </c>
      <c r="G644" s="21" t="s">
        <v>64</v>
      </c>
      <c r="H644" s="21" t="s">
        <v>53</v>
      </c>
      <c r="I644" s="21" t="s">
        <v>53</v>
      </c>
      <c r="J644" s="21" t="s">
        <v>53</v>
      </c>
      <c r="K644" s="21" t="s">
        <v>53</v>
      </c>
      <c r="L644" s="22" t="str">
        <f t="shared" si="45"/>
        <v>EXCLUDE</v>
      </c>
      <c r="M644" s="22" t="str">
        <f t="shared" si="46"/>
        <v>Wrong domain (non-AECO)</v>
      </c>
      <c r="N644" s="23"/>
      <c r="O644" s="23"/>
      <c r="P644" s="24"/>
      <c r="Q644" s="24"/>
      <c r="R644" s="24"/>
      <c r="S644" s="22" t="str">
        <f t="shared" si="47"/>
        <v/>
      </c>
      <c r="T644" s="22" t="str">
        <f t="shared" si="48"/>
        <v/>
      </c>
      <c r="U644" s="25"/>
      <c r="V644" s="25"/>
      <c r="W644" s="25"/>
      <c r="X644" s="25"/>
      <c r="Y644" s="22" t="str">
        <f t="shared" si="49"/>
        <v/>
      </c>
      <c r="Z644" s="25"/>
      <c r="AA644" s="25"/>
      <c r="AB644" s="25"/>
      <c r="AC644" s="25"/>
      <c r="AD644" s="25"/>
      <c r="AE644" s="25"/>
      <c r="AF644" s="25"/>
      <c r="AG644" s="9"/>
      <c r="AH644" s="29"/>
      <c r="AI644" s="29"/>
      <c r="AM644" s="50"/>
      <c r="AN644" s="51" t="s">
        <v>3215</v>
      </c>
      <c r="AO644" s="55" t="s">
        <v>3216</v>
      </c>
    </row>
    <row r="645" spans="1:41" ht="91.2" x14ac:dyDescent="0.3">
      <c r="A645" s="20">
        <v>641</v>
      </c>
      <c r="B645" s="8" t="s">
        <v>3217</v>
      </c>
      <c r="C645" s="26">
        <v>2024</v>
      </c>
      <c r="D645" s="8"/>
      <c r="E645" s="8" t="s">
        <v>3218</v>
      </c>
      <c r="F645" s="20" t="s">
        <v>54</v>
      </c>
      <c r="G645" s="21" t="s">
        <v>53</v>
      </c>
      <c r="H645" s="21" t="s">
        <v>53</v>
      </c>
      <c r="I645" s="21" t="s">
        <v>53</v>
      </c>
      <c r="J645" s="21" t="s">
        <v>53</v>
      </c>
      <c r="K645" s="21" t="s">
        <v>53</v>
      </c>
      <c r="L645" s="22" t="str">
        <f t="shared" ref="L645:L708" si="50">IF(COUNTBLANK(G645:K645)=5,"",IF(COUNTIF(G645:K645,"No")&gt;0,"EXCLUDE","INCLUDE"))</f>
        <v>INCLUDE</v>
      </c>
      <c r="M645" s="22" t="str">
        <f t="shared" ref="M645:M708" si="51">IF(L645&lt;&gt;"EXCLUDE","",IF(G645="No","Wrong domain (non-AECO)",IF(H645="No","Digital Twin not core / buzzword",IF(I645="No","No Design for Safety/Quality/PtD",IF(J645="No","Wrong publication type",IF(K645="No","Non-English",""))))))</f>
        <v/>
      </c>
      <c r="N645" s="23" t="s">
        <v>53</v>
      </c>
      <c r="O645" s="23" t="s">
        <v>53</v>
      </c>
      <c r="P645" s="24" t="s">
        <v>53</v>
      </c>
      <c r="Q645" s="24" t="s">
        <v>53</v>
      </c>
      <c r="R645" s="24" t="s">
        <v>53</v>
      </c>
      <c r="S645" s="22" t="str">
        <f t="shared" ref="S645:S708" si="52">IF(N645&lt;&gt;"Yes","",IF(COUNTBLANK(P645:R645)=3,"",IF(COUNTIF(P645:R645,"No")&gt;0,"EXCLUDE","INCLUDE")))</f>
        <v>INCLUDE</v>
      </c>
      <c r="T645" s="22" t="str">
        <f t="shared" ref="T645:T708" si="53">IF(S645&lt;&gt;"EXCLUDE","",IF(P645="No","Digital Twin mentioned only, not the subject",IF(Q645="No","No Design for Safety/Quality in full text",IF(R645="No","Methodology not codable",""))))</f>
        <v/>
      </c>
      <c r="U645" s="25" t="s">
        <v>67</v>
      </c>
      <c r="V645" s="25">
        <v>0</v>
      </c>
      <c r="W645" s="25">
        <v>0</v>
      </c>
      <c r="X645" s="25">
        <v>1</v>
      </c>
      <c r="Y645" s="22" t="str">
        <f t="shared" ref="Y645:Y708" si="54">IF(SUM(V645:X645)=0,"",IF(SUM(V645:X645)&gt;=2,"Multi","Single"))</f>
        <v>Single</v>
      </c>
      <c r="Z645" s="25" t="s">
        <v>9</v>
      </c>
      <c r="AA645" s="25" t="s">
        <v>57</v>
      </c>
      <c r="AB645" s="25" t="s">
        <v>104</v>
      </c>
      <c r="AC645" s="25" t="s">
        <v>70</v>
      </c>
      <c r="AD645" s="25" t="s">
        <v>89</v>
      </c>
      <c r="AE645" s="25">
        <v>4</v>
      </c>
      <c r="AF645" s="25" t="s">
        <v>96</v>
      </c>
      <c r="AG645" s="9" t="s">
        <v>3219</v>
      </c>
      <c r="AH645" s="29" t="s">
        <v>3220</v>
      </c>
      <c r="AI645" s="29" t="s">
        <v>3221</v>
      </c>
      <c r="AJ645" t="s">
        <v>91</v>
      </c>
      <c r="AK645" t="s">
        <v>3222</v>
      </c>
      <c r="AL645" t="s">
        <v>63</v>
      </c>
      <c r="AM645" s="50"/>
      <c r="AN645" s="51" t="s">
        <v>3223</v>
      </c>
      <c r="AO645" s="55" t="s">
        <v>3224</v>
      </c>
    </row>
    <row r="646" spans="1:41" ht="68.400000000000006" hidden="1" x14ac:dyDescent="0.3">
      <c r="A646" s="20">
        <v>642</v>
      </c>
      <c r="B646" s="8" t="s">
        <v>3225</v>
      </c>
      <c r="C646" s="26">
        <v>2024</v>
      </c>
      <c r="D646" s="8"/>
      <c r="E646" s="8" t="s">
        <v>3226</v>
      </c>
      <c r="F646" s="20" t="s">
        <v>54</v>
      </c>
      <c r="G646" s="21" t="s">
        <v>64</v>
      </c>
      <c r="H646" s="21" t="s">
        <v>53</v>
      </c>
      <c r="I646" s="21" t="s">
        <v>53</v>
      </c>
      <c r="J646" s="21" t="s">
        <v>53</v>
      </c>
      <c r="K646" s="21" t="s">
        <v>53</v>
      </c>
      <c r="L646" s="22" t="str">
        <f t="shared" si="50"/>
        <v>EXCLUDE</v>
      </c>
      <c r="M646" s="22" t="str">
        <f t="shared" si="51"/>
        <v>Wrong domain (non-AECO)</v>
      </c>
      <c r="N646" s="23"/>
      <c r="O646" s="23"/>
      <c r="P646" s="24"/>
      <c r="Q646" s="24"/>
      <c r="R646" s="24"/>
      <c r="S646" s="22" t="str">
        <f t="shared" si="52"/>
        <v/>
      </c>
      <c r="T646" s="22" t="str">
        <f t="shared" si="53"/>
        <v/>
      </c>
      <c r="U646" s="25"/>
      <c r="V646" s="25"/>
      <c r="W646" s="25"/>
      <c r="X646" s="25"/>
      <c r="Y646" s="22" t="str">
        <f t="shared" si="54"/>
        <v/>
      </c>
      <c r="Z646" s="25"/>
      <c r="AA646" s="25"/>
      <c r="AB646" s="25"/>
      <c r="AC646" s="25"/>
      <c r="AD646" s="25"/>
      <c r="AE646" s="25"/>
      <c r="AF646" s="25"/>
      <c r="AG646" s="9"/>
      <c r="AH646" s="29"/>
      <c r="AI646" s="29"/>
      <c r="AM646" s="50"/>
      <c r="AN646" s="51" t="s">
        <v>3227</v>
      </c>
      <c r="AO646" s="55" t="s">
        <v>3228</v>
      </c>
    </row>
    <row r="647" spans="1:41" ht="79.8" hidden="1" x14ac:dyDescent="0.3">
      <c r="A647" s="20">
        <v>643</v>
      </c>
      <c r="B647" s="8" t="s">
        <v>3229</v>
      </c>
      <c r="C647" s="26">
        <v>2021</v>
      </c>
      <c r="D647" s="8"/>
      <c r="E647" s="8" t="s">
        <v>3230</v>
      </c>
      <c r="F647" s="20" t="s">
        <v>54</v>
      </c>
      <c r="G647" s="21" t="s">
        <v>53</v>
      </c>
      <c r="H647" s="21" t="s">
        <v>53</v>
      </c>
      <c r="I647" s="21" t="s">
        <v>64</v>
      </c>
      <c r="J647" s="21" t="s">
        <v>53</v>
      </c>
      <c r="K647" s="21" t="s">
        <v>53</v>
      </c>
      <c r="L647" s="22" t="str">
        <f t="shared" si="50"/>
        <v>EXCLUDE</v>
      </c>
      <c r="M647" s="22" t="str">
        <f t="shared" si="51"/>
        <v>No Design for Safety/Quality/PtD</v>
      </c>
      <c r="N647" s="23"/>
      <c r="O647" s="23"/>
      <c r="P647" s="24"/>
      <c r="Q647" s="24"/>
      <c r="R647" s="24"/>
      <c r="S647" s="22" t="str">
        <f t="shared" si="52"/>
        <v/>
      </c>
      <c r="T647" s="22" t="str">
        <f t="shared" si="53"/>
        <v/>
      </c>
      <c r="U647" s="25"/>
      <c r="V647" s="25"/>
      <c r="W647" s="25"/>
      <c r="X647" s="25"/>
      <c r="Y647" s="22" t="str">
        <f t="shared" si="54"/>
        <v/>
      </c>
      <c r="Z647" s="25"/>
      <c r="AA647" s="25"/>
      <c r="AB647" s="25"/>
      <c r="AC647" s="25"/>
      <c r="AD647" s="25"/>
      <c r="AE647" s="25"/>
      <c r="AF647" s="25"/>
      <c r="AG647" s="9"/>
      <c r="AH647" s="29"/>
      <c r="AI647" s="29"/>
      <c r="AM647" s="50"/>
      <c r="AN647" s="51" t="s">
        <v>3231</v>
      </c>
      <c r="AO647" s="55" t="s">
        <v>3232</v>
      </c>
    </row>
    <row r="648" spans="1:41" ht="68.400000000000006" hidden="1" x14ac:dyDescent="0.3">
      <c r="A648" s="20">
        <v>644</v>
      </c>
      <c r="B648" s="8" t="s">
        <v>3233</v>
      </c>
      <c r="C648" s="26">
        <v>2025</v>
      </c>
      <c r="D648" s="8"/>
      <c r="E648" s="8" t="s">
        <v>3234</v>
      </c>
      <c r="F648" s="20" t="s">
        <v>54</v>
      </c>
      <c r="G648" s="21" t="s">
        <v>53</v>
      </c>
      <c r="H648" s="21" t="s">
        <v>53</v>
      </c>
      <c r="I648" s="21" t="s">
        <v>64</v>
      </c>
      <c r="J648" s="21" t="s">
        <v>53</v>
      </c>
      <c r="K648" s="21" t="s">
        <v>53</v>
      </c>
      <c r="L648" s="22" t="str">
        <f t="shared" si="50"/>
        <v>EXCLUDE</v>
      </c>
      <c r="M648" s="22" t="str">
        <f t="shared" si="51"/>
        <v>No Design for Safety/Quality/PtD</v>
      </c>
      <c r="N648" s="23"/>
      <c r="O648" s="23"/>
      <c r="P648" s="24"/>
      <c r="Q648" s="24"/>
      <c r="R648" s="24"/>
      <c r="S648" s="22" t="str">
        <f t="shared" si="52"/>
        <v/>
      </c>
      <c r="T648" s="22" t="str">
        <f t="shared" si="53"/>
        <v/>
      </c>
      <c r="U648" s="25"/>
      <c r="V648" s="25"/>
      <c r="W648" s="25"/>
      <c r="X648" s="25"/>
      <c r="Y648" s="22" t="str">
        <f t="shared" si="54"/>
        <v/>
      </c>
      <c r="Z648" s="25"/>
      <c r="AA648" s="25"/>
      <c r="AB648" s="25"/>
      <c r="AC648" s="25"/>
      <c r="AD648" s="25"/>
      <c r="AE648" s="25"/>
      <c r="AF648" s="25"/>
      <c r="AG648" s="9"/>
      <c r="AH648" s="29"/>
      <c r="AI648" s="29"/>
      <c r="AM648" s="50"/>
      <c r="AN648" s="51" t="s">
        <v>3235</v>
      </c>
      <c r="AO648" s="55" t="s">
        <v>3236</v>
      </c>
    </row>
    <row r="649" spans="1:41" ht="57" hidden="1" x14ac:dyDescent="0.3">
      <c r="A649" s="20">
        <v>645</v>
      </c>
      <c r="B649" s="8" t="s">
        <v>3237</v>
      </c>
      <c r="C649" s="26">
        <v>2022</v>
      </c>
      <c r="D649" s="8"/>
      <c r="E649" s="8" t="s">
        <v>3238</v>
      </c>
      <c r="F649" s="20" t="s">
        <v>54</v>
      </c>
      <c r="G649" s="21" t="s">
        <v>64</v>
      </c>
      <c r="H649" s="21" t="s">
        <v>53</v>
      </c>
      <c r="I649" s="21" t="s">
        <v>53</v>
      </c>
      <c r="J649" s="21" t="s">
        <v>53</v>
      </c>
      <c r="K649" s="21" t="s">
        <v>53</v>
      </c>
      <c r="L649" s="22" t="str">
        <f t="shared" si="50"/>
        <v>EXCLUDE</v>
      </c>
      <c r="M649" s="22" t="str">
        <f t="shared" si="51"/>
        <v>Wrong domain (non-AECO)</v>
      </c>
      <c r="N649" s="23"/>
      <c r="O649" s="23"/>
      <c r="P649" s="24"/>
      <c r="Q649" s="24"/>
      <c r="R649" s="24"/>
      <c r="S649" s="22" t="str">
        <f t="shared" si="52"/>
        <v/>
      </c>
      <c r="T649" s="22" t="str">
        <f t="shared" si="53"/>
        <v/>
      </c>
      <c r="U649" s="25"/>
      <c r="V649" s="25"/>
      <c r="W649" s="25"/>
      <c r="X649" s="25"/>
      <c r="Y649" s="22" t="str">
        <f t="shared" si="54"/>
        <v/>
      </c>
      <c r="Z649" s="25"/>
      <c r="AA649" s="25"/>
      <c r="AB649" s="25"/>
      <c r="AC649" s="25"/>
      <c r="AD649" s="25"/>
      <c r="AE649" s="25"/>
      <c r="AF649" s="25"/>
      <c r="AG649" s="9"/>
      <c r="AH649" s="29"/>
      <c r="AI649" s="29"/>
      <c r="AM649" s="50"/>
      <c r="AN649" s="51" t="s">
        <v>3239</v>
      </c>
      <c r="AO649" s="55" t="s">
        <v>3240</v>
      </c>
    </row>
    <row r="650" spans="1:41" ht="57" hidden="1" x14ac:dyDescent="0.3">
      <c r="A650" s="20">
        <v>646</v>
      </c>
      <c r="B650" s="8" t="s">
        <v>3241</v>
      </c>
      <c r="C650" s="26">
        <v>2024</v>
      </c>
      <c r="D650" s="8"/>
      <c r="E650" s="8" t="s">
        <v>3242</v>
      </c>
      <c r="F650" s="20" t="s">
        <v>54</v>
      </c>
      <c r="G650" s="21" t="s">
        <v>64</v>
      </c>
      <c r="H650" s="21" t="s">
        <v>53</v>
      </c>
      <c r="I650" s="21" t="s">
        <v>53</v>
      </c>
      <c r="J650" s="21" t="s">
        <v>53</v>
      </c>
      <c r="K650" s="21" t="s">
        <v>53</v>
      </c>
      <c r="L650" s="22" t="str">
        <f t="shared" si="50"/>
        <v>EXCLUDE</v>
      </c>
      <c r="M650" s="22" t="str">
        <f t="shared" si="51"/>
        <v>Wrong domain (non-AECO)</v>
      </c>
      <c r="N650" s="23"/>
      <c r="O650" s="23"/>
      <c r="P650" s="24"/>
      <c r="Q650" s="24"/>
      <c r="R650" s="24"/>
      <c r="S650" s="22" t="str">
        <f t="shared" si="52"/>
        <v/>
      </c>
      <c r="T650" s="22" t="str">
        <f t="shared" si="53"/>
        <v/>
      </c>
      <c r="U650" s="25"/>
      <c r="V650" s="25"/>
      <c r="W650" s="25"/>
      <c r="X650" s="25"/>
      <c r="Y650" s="22" t="str">
        <f t="shared" si="54"/>
        <v/>
      </c>
      <c r="Z650" s="25"/>
      <c r="AA650" s="25"/>
      <c r="AB650" s="25"/>
      <c r="AC650" s="25"/>
      <c r="AD650" s="25"/>
      <c r="AE650" s="25"/>
      <c r="AF650" s="25"/>
      <c r="AG650" s="9"/>
      <c r="AH650" s="29"/>
      <c r="AI650" s="29"/>
      <c r="AM650" s="50"/>
      <c r="AN650" s="51" t="s">
        <v>3243</v>
      </c>
      <c r="AO650" s="55" t="s">
        <v>3244</v>
      </c>
    </row>
    <row r="651" spans="1:41" ht="57" hidden="1" x14ac:dyDescent="0.3">
      <c r="A651" s="20">
        <v>647</v>
      </c>
      <c r="B651" s="8" t="s">
        <v>3245</v>
      </c>
      <c r="C651" s="26">
        <v>2021</v>
      </c>
      <c r="D651" s="8"/>
      <c r="E651" s="8" t="s">
        <v>3246</v>
      </c>
      <c r="F651" s="20" t="s">
        <v>54</v>
      </c>
      <c r="G651" s="21" t="s">
        <v>64</v>
      </c>
      <c r="H651" s="21" t="s">
        <v>53</v>
      </c>
      <c r="I651" s="21" t="s">
        <v>53</v>
      </c>
      <c r="J651" s="21" t="s">
        <v>53</v>
      </c>
      <c r="K651" s="21" t="s">
        <v>53</v>
      </c>
      <c r="L651" s="22" t="str">
        <f t="shared" si="50"/>
        <v>EXCLUDE</v>
      </c>
      <c r="M651" s="22" t="str">
        <f t="shared" si="51"/>
        <v>Wrong domain (non-AECO)</v>
      </c>
      <c r="N651" s="23"/>
      <c r="O651" s="23"/>
      <c r="P651" s="24"/>
      <c r="Q651" s="24"/>
      <c r="R651" s="24"/>
      <c r="S651" s="22" t="str">
        <f t="shared" si="52"/>
        <v/>
      </c>
      <c r="T651" s="22" t="str">
        <f t="shared" si="53"/>
        <v/>
      </c>
      <c r="U651" s="25"/>
      <c r="V651" s="25"/>
      <c r="W651" s="25"/>
      <c r="X651" s="25"/>
      <c r="Y651" s="22" t="str">
        <f t="shared" si="54"/>
        <v/>
      </c>
      <c r="Z651" s="25"/>
      <c r="AA651" s="25"/>
      <c r="AB651" s="25"/>
      <c r="AC651" s="25"/>
      <c r="AD651" s="25"/>
      <c r="AE651" s="25"/>
      <c r="AF651" s="25"/>
      <c r="AG651" s="9"/>
      <c r="AH651" s="29"/>
      <c r="AI651" s="29"/>
      <c r="AM651" s="50"/>
      <c r="AN651" s="51" t="s">
        <v>3247</v>
      </c>
      <c r="AO651" s="55" t="s">
        <v>3248</v>
      </c>
    </row>
    <row r="652" spans="1:41" ht="91.2" hidden="1" x14ac:dyDescent="0.3">
      <c r="A652" s="20">
        <v>648</v>
      </c>
      <c r="B652" s="8" t="s">
        <v>3249</v>
      </c>
      <c r="C652" s="26">
        <v>2024</v>
      </c>
      <c r="D652" s="8"/>
      <c r="E652" s="8" t="s">
        <v>3250</v>
      </c>
      <c r="F652" s="20" t="s">
        <v>54</v>
      </c>
      <c r="G652" s="21" t="s">
        <v>53</v>
      </c>
      <c r="H652" s="21" t="s">
        <v>53</v>
      </c>
      <c r="I652" s="21" t="s">
        <v>53</v>
      </c>
      <c r="J652" s="21" t="s">
        <v>53</v>
      </c>
      <c r="K652" s="21" t="s">
        <v>53</v>
      </c>
      <c r="L652" s="22" t="str">
        <f t="shared" si="50"/>
        <v>INCLUDE</v>
      </c>
      <c r="M652" s="22" t="str">
        <f t="shared" si="51"/>
        <v/>
      </c>
      <c r="N652" s="23" t="s">
        <v>64</v>
      </c>
      <c r="O652" s="23" t="s">
        <v>64</v>
      </c>
      <c r="P652" s="24"/>
      <c r="Q652" s="24"/>
      <c r="R652" s="24"/>
      <c r="S652" s="22" t="str">
        <f t="shared" si="52"/>
        <v/>
      </c>
      <c r="T652" s="22" t="str">
        <f t="shared" si="53"/>
        <v/>
      </c>
      <c r="U652" s="25"/>
      <c r="V652" s="25"/>
      <c r="W652" s="25"/>
      <c r="X652" s="25"/>
      <c r="Y652" s="22" t="str">
        <f t="shared" si="54"/>
        <v/>
      </c>
      <c r="Z652" s="25"/>
      <c r="AA652" s="25"/>
      <c r="AB652" s="25"/>
      <c r="AC652" s="25"/>
      <c r="AD652" s="25"/>
      <c r="AE652" s="25"/>
      <c r="AF652" s="25"/>
      <c r="AG652" s="9"/>
      <c r="AH652" s="29"/>
      <c r="AI652" s="29"/>
      <c r="AM652" s="50"/>
      <c r="AN652" s="51" t="s">
        <v>3251</v>
      </c>
      <c r="AO652" s="55" t="s">
        <v>3252</v>
      </c>
    </row>
    <row r="653" spans="1:41" ht="57" hidden="1" x14ac:dyDescent="0.3">
      <c r="A653" s="20">
        <v>649</v>
      </c>
      <c r="B653" s="8" t="s">
        <v>3253</v>
      </c>
      <c r="C653" s="26">
        <v>2025</v>
      </c>
      <c r="D653" s="8"/>
      <c r="E653" s="8" t="s">
        <v>3254</v>
      </c>
      <c r="F653" s="20" t="s">
        <v>54</v>
      </c>
      <c r="G653" s="21" t="s">
        <v>64</v>
      </c>
      <c r="H653" s="21" t="s">
        <v>53</v>
      </c>
      <c r="I653" s="21" t="s">
        <v>53</v>
      </c>
      <c r="J653" s="21" t="s">
        <v>53</v>
      </c>
      <c r="K653" s="21" t="s">
        <v>53</v>
      </c>
      <c r="L653" s="22" t="str">
        <f t="shared" si="50"/>
        <v>EXCLUDE</v>
      </c>
      <c r="M653" s="22" t="str">
        <f t="shared" si="51"/>
        <v>Wrong domain (non-AECO)</v>
      </c>
      <c r="N653" s="23"/>
      <c r="O653" s="23"/>
      <c r="P653" s="24"/>
      <c r="Q653" s="24"/>
      <c r="R653" s="24"/>
      <c r="S653" s="22" t="str">
        <f t="shared" si="52"/>
        <v/>
      </c>
      <c r="T653" s="22" t="str">
        <f t="shared" si="53"/>
        <v/>
      </c>
      <c r="U653" s="25"/>
      <c r="V653" s="25"/>
      <c r="W653" s="25"/>
      <c r="X653" s="25"/>
      <c r="Y653" s="22" t="str">
        <f t="shared" si="54"/>
        <v/>
      </c>
      <c r="Z653" s="25"/>
      <c r="AA653" s="25"/>
      <c r="AB653" s="25"/>
      <c r="AC653" s="25"/>
      <c r="AD653" s="25"/>
      <c r="AE653" s="25"/>
      <c r="AF653" s="25"/>
      <c r="AG653" s="9"/>
      <c r="AH653" s="29"/>
      <c r="AI653" s="29"/>
      <c r="AM653" s="50"/>
      <c r="AN653" s="51" t="s">
        <v>3255</v>
      </c>
      <c r="AO653" s="55" t="s">
        <v>3256</v>
      </c>
    </row>
    <row r="654" spans="1:41" ht="45.6" hidden="1" x14ac:dyDescent="0.3">
      <c r="A654" s="20">
        <v>650</v>
      </c>
      <c r="B654" s="8" t="s">
        <v>3257</v>
      </c>
      <c r="C654" s="26">
        <v>2024</v>
      </c>
      <c r="D654" s="8"/>
      <c r="E654" s="8" t="s">
        <v>3258</v>
      </c>
      <c r="F654" s="20" t="s">
        <v>54</v>
      </c>
      <c r="G654" s="21" t="s">
        <v>53</v>
      </c>
      <c r="H654" s="21" t="s">
        <v>64</v>
      </c>
      <c r="I654" s="21" t="s">
        <v>53</v>
      </c>
      <c r="J654" s="21" t="s">
        <v>53</v>
      </c>
      <c r="K654" s="21" t="s">
        <v>53</v>
      </c>
      <c r="L654" s="22" t="str">
        <f t="shared" si="50"/>
        <v>EXCLUDE</v>
      </c>
      <c r="M654" s="22" t="str">
        <f t="shared" si="51"/>
        <v>Digital Twin not core / buzzword</v>
      </c>
      <c r="N654" s="23"/>
      <c r="O654" s="23"/>
      <c r="P654" s="24"/>
      <c r="Q654" s="24"/>
      <c r="R654" s="24"/>
      <c r="S654" s="22" t="str">
        <f t="shared" si="52"/>
        <v/>
      </c>
      <c r="T654" s="22" t="str">
        <f t="shared" si="53"/>
        <v/>
      </c>
      <c r="U654" s="25"/>
      <c r="V654" s="25"/>
      <c r="W654" s="25"/>
      <c r="X654" s="25"/>
      <c r="Y654" s="22" t="str">
        <f t="shared" si="54"/>
        <v/>
      </c>
      <c r="Z654" s="25"/>
      <c r="AA654" s="25"/>
      <c r="AB654" s="25"/>
      <c r="AC654" s="25"/>
      <c r="AD654" s="25"/>
      <c r="AE654" s="25"/>
      <c r="AF654" s="25"/>
      <c r="AG654" s="9"/>
      <c r="AH654" s="29"/>
      <c r="AI654" s="29"/>
      <c r="AM654" s="50"/>
      <c r="AN654" s="51" t="s">
        <v>3259</v>
      </c>
      <c r="AO654" s="55" t="s">
        <v>3260</v>
      </c>
    </row>
    <row r="655" spans="1:41" ht="79.8" x14ac:dyDescent="0.3">
      <c r="A655" s="20">
        <v>651</v>
      </c>
      <c r="B655" s="8" t="s">
        <v>3261</v>
      </c>
      <c r="C655" s="26">
        <v>2024</v>
      </c>
      <c r="D655" s="8"/>
      <c r="E655" s="8" t="s">
        <v>3262</v>
      </c>
      <c r="F655" s="20" t="s">
        <v>54</v>
      </c>
      <c r="G655" s="21" t="s">
        <v>53</v>
      </c>
      <c r="H655" s="21" t="s">
        <v>53</v>
      </c>
      <c r="I655" s="21" t="s">
        <v>53</v>
      </c>
      <c r="J655" s="21" t="s">
        <v>53</v>
      </c>
      <c r="K655" s="21" t="s">
        <v>53</v>
      </c>
      <c r="L655" s="22" t="str">
        <f t="shared" si="50"/>
        <v>INCLUDE</v>
      </c>
      <c r="M655" s="22" t="str">
        <f t="shared" si="51"/>
        <v/>
      </c>
      <c r="N655" s="23" t="s">
        <v>53</v>
      </c>
      <c r="O655" s="23" t="s">
        <v>53</v>
      </c>
      <c r="P655" s="24" t="s">
        <v>53</v>
      </c>
      <c r="Q655" s="24" t="s">
        <v>53</v>
      </c>
      <c r="R655" s="24" t="s">
        <v>53</v>
      </c>
      <c r="S655" s="22" t="str">
        <f t="shared" si="52"/>
        <v>INCLUDE</v>
      </c>
      <c r="T655" s="22" t="str">
        <f t="shared" si="53"/>
        <v/>
      </c>
      <c r="U655" s="25" t="s">
        <v>67</v>
      </c>
      <c r="V655" s="25">
        <v>0</v>
      </c>
      <c r="W655" s="25">
        <v>0</v>
      </c>
      <c r="X655" s="25">
        <v>1</v>
      </c>
      <c r="Y655" s="22" t="str">
        <f t="shared" si="54"/>
        <v>Single</v>
      </c>
      <c r="Z655" s="25" t="s">
        <v>9</v>
      </c>
      <c r="AA655" s="25" t="s">
        <v>57</v>
      </c>
      <c r="AB655" s="25" t="s">
        <v>104</v>
      </c>
      <c r="AC655" s="25" t="s">
        <v>70</v>
      </c>
      <c r="AD655" s="25" t="s">
        <v>89</v>
      </c>
      <c r="AE655" s="25">
        <v>3</v>
      </c>
      <c r="AF655" s="25" t="s">
        <v>90</v>
      </c>
      <c r="AG655" s="9" t="s">
        <v>3263</v>
      </c>
      <c r="AH655" s="29" t="s">
        <v>3264</v>
      </c>
      <c r="AI655" s="29" t="s">
        <v>3265</v>
      </c>
      <c r="AJ655" t="s">
        <v>91</v>
      </c>
      <c r="AK655" t="s">
        <v>3266</v>
      </c>
      <c r="AL655" t="s">
        <v>74</v>
      </c>
      <c r="AM655" s="50"/>
      <c r="AN655" s="51" t="s">
        <v>3267</v>
      </c>
      <c r="AO655" s="55" t="s">
        <v>3268</v>
      </c>
    </row>
    <row r="656" spans="1:41" ht="57" hidden="1" x14ac:dyDescent="0.3">
      <c r="A656" s="20">
        <v>652</v>
      </c>
      <c r="B656" s="8" t="s">
        <v>3269</v>
      </c>
      <c r="C656" s="26">
        <v>2025</v>
      </c>
      <c r="D656" s="8"/>
      <c r="E656" s="8" t="s">
        <v>3270</v>
      </c>
      <c r="F656" s="20" t="s">
        <v>54</v>
      </c>
      <c r="G656" s="21" t="s">
        <v>53</v>
      </c>
      <c r="H656" s="21" t="s">
        <v>53</v>
      </c>
      <c r="I656" s="21" t="s">
        <v>53</v>
      </c>
      <c r="J656" s="21" t="s">
        <v>53</v>
      </c>
      <c r="K656" s="21" t="s">
        <v>64</v>
      </c>
      <c r="L656" s="22" t="str">
        <f t="shared" si="50"/>
        <v>EXCLUDE</v>
      </c>
      <c r="M656" s="22" t="str">
        <f t="shared" si="51"/>
        <v>Non-English</v>
      </c>
      <c r="N656" s="23"/>
      <c r="O656" s="23"/>
      <c r="P656" s="24"/>
      <c r="Q656" s="24"/>
      <c r="R656" s="24"/>
      <c r="S656" s="22" t="str">
        <f t="shared" si="52"/>
        <v/>
      </c>
      <c r="T656" s="22" t="str">
        <f t="shared" si="53"/>
        <v/>
      </c>
      <c r="U656" s="25"/>
      <c r="V656" s="25"/>
      <c r="W656" s="25"/>
      <c r="X656" s="25"/>
      <c r="Y656" s="22" t="str">
        <f t="shared" si="54"/>
        <v/>
      </c>
      <c r="Z656" s="25"/>
      <c r="AA656" s="25"/>
      <c r="AB656" s="25"/>
      <c r="AC656" s="25"/>
      <c r="AD656" s="25"/>
      <c r="AE656" s="25"/>
      <c r="AF656" s="25"/>
      <c r="AG656" s="9"/>
      <c r="AH656" s="29"/>
      <c r="AI656" s="29"/>
      <c r="AM656" s="50"/>
      <c r="AN656" s="51" t="s">
        <v>3271</v>
      </c>
      <c r="AO656" s="55" t="s">
        <v>3272</v>
      </c>
    </row>
    <row r="657" spans="1:41" ht="57" hidden="1" x14ac:dyDescent="0.3">
      <c r="A657" s="20">
        <v>653</v>
      </c>
      <c r="B657" s="8" t="s">
        <v>3273</v>
      </c>
      <c r="C657" s="26">
        <v>2024</v>
      </c>
      <c r="D657" s="8"/>
      <c r="E657" s="8" t="s">
        <v>3274</v>
      </c>
      <c r="F657" s="20" t="s">
        <v>54</v>
      </c>
      <c r="G657" s="21" t="s">
        <v>64</v>
      </c>
      <c r="H657" s="21" t="s">
        <v>53</v>
      </c>
      <c r="I657" s="21" t="s">
        <v>53</v>
      </c>
      <c r="J657" s="21" t="s">
        <v>53</v>
      </c>
      <c r="K657" s="21" t="s">
        <v>53</v>
      </c>
      <c r="L657" s="22" t="str">
        <f t="shared" si="50"/>
        <v>EXCLUDE</v>
      </c>
      <c r="M657" s="22" t="str">
        <f t="shared" si="51"/>
        <v>Wrong domain (non-AECO)</v>
      </c>
      <c r="N657" s="23"/>
      <c r="O657" s="23"/>
      <c r="P657" s="24"/>
      <c r="Q657" s="24"/>
      <c r="R657" s="24"/>
      <c r="S657" s="22" t="str">
        <f t="shared" si="52"/>
        <v/>
      </c>
      <c r="T657" s="22" t="str">
        <f t="shared" si="53"/>
        <v/>
      </c>
      <c r="U657" s="25"/>
      <c r="V657" s="25"/>
      <c r="W657" s="25"/>
      <c r="X657" s="25"/>
      <c r="Y657" s="22" t="str">
        <f t="shared" si="54"/>
        <v/>
      </c>
      <c r="Z657" s="25"/>
      <c r="AA657" s="25"/>
      <c r="AB657" s="25"/>
      <c r="AC657" s="25"/>
      <c r="AD657" s="25"/>
      <c r="AE657" s="25"/>
      <c r="AF657" s="25"/>
      <c r="AG657" s="9"/>
      <c r="AH657" s="29"/>
      <c r="AI657" s="29"/>
      <c r="AM657" s="50"/>
      <c r="AN657" s="51" t="s">
        <v>3275</v>
      </c>
      <c r="AO657" s="55" t="s">
        <v>3276</v>
      </c>
    </row>
    <row r="658" spans="1:41" ht="72" hidden="1" x14ac:dyDescent="0.3">
      <c r="A658" s="20">
        <v>654</v>
      </c>
      <c r="B658" s="8" t="s">
        <v>3277</v>
      </c>
      <c r="C658" s="26">
        <v>2024</v>
      </c>
      <c r="D658" s="8"/>
      <c r="E658" s="8" t="s">
        <v>3278</v>
      </c>
      <c r="F658" s="20" t="s">
        <v>54</v>
      </c>
      <c r="G658" s="21" t="s">
        <v>53</v>
      </c>
      <c r="H658" s="21" t="s">
        <v>53</v>
      </c>
      <c r="I658" s="21" t="s">
        <v>53</v>
      </c>
      <c r="J658" s="21" t="s">
        <v>53</v>
      </c>
      <c r="K658" s="21" t="s">
        <v>53</v>
      </c>
      <c r="L658" s="22" t="str">
        <f t="shared" si="50"/>
        <v>INCLUDE</v>
      </c>
      <c r="M658" s="22" t="str">
        <f t="shared" si="51"/>
        <v/>
      </c>
      <c r="N658" s="23" t="s">
        <v>53</v>
      </c>
      <c r="O658" s="23" t="s">
        <v>53</v>
      </c>
      <c r="P658" s="24" t="s">
        <v>64</v>
      </c>
      <c r="Q658" s="24" t="s">
        <v>53</v>
      </c>
      <c r="R658" s="24" t="s">
        <v>53</v>
      </c>
      <c r="S658" s="22" t="str">
        <f t="shared" si="52"/>
        <v>EXCLUDE</v>
      </c>
      <c r="T658" s="22" t="str">
        <f t="shared" si="53"/>
        <v>Digital Twin mentioned only, not the subject</v>
      </c>
      <c r="U658" s="25"/>
      <c r="V658" s="25"/>
      <c r="W658" s="25"/>
      <c r="X658" s="25"/>
      <c r="Y658" s="22" t="str">
        <f t="shared" si="54"/>
        <v/>
      </c>
      <c r="Z658" s="25"/>
      <c r="AA658" s="25"/>
      <c r="AB658" s="25"/>
      <c r="AC658" s="25"/>
      <c r="AD658" s="25"/>
      <c r="AE658" s="25"/>
      <c r="AF658" s="25"/>
      <c r="AG658" s="9" t="s">
        <v>3279</v>
      </c>
      <c r="AH658" s="29"/>
      <c r="AI658" s="29"/>
      <c r="AM658" s="50"/>
      <c r="AN658" s="51" t="s">
        <v>3280</v>
      </c>
      <c r="AO658" s="55" t="s">
        <v>3281</v>
      </c>
    </row>
    <row r="659" spans="1:41" ht="68.400000000000006" hidden="1" x14ac:dyDescent="0.3">
      <c r="A659" s="20">
        <v>655</v>
      </c>
      <c r="B659" s="8" t="s">
        <v>3282</v>
      </c>
      <c r="C659" s="26">
        <v>2023</v>
      </c>
      <c r="D659" s="8"/>
      <c r="E659" s="8" t="s">
        <v>3283</v>
      </c>
      <c r="F659" s="20" t="s">
        <v>54</v>
      </c>
      <c r="G659" s="21" t="s">
        <v>64</v>
      </c>
      <c r="H659" s="21" t="s">
        <v>53</v>
      </c>
      <c r="I659" s="21" t="s">
        <v>53</v>
      </c>
      <c r="J659" s="21" t="s">
        <v>53</v>
      </c>
      <c r="K659" s="21" t="s">
        <v>53</v>
      </c>
      <c r="L659" s="22" t="str">
        <f t="shared" si="50"/>
        <v>EXCLUDE</v>
      </c>
      <c r="M659" s="22" t="str">
        <f t="shared" si="51"/>
        <v>Wrong domain (non-AECO)</v>
      </c>
      <c r="N659" s="23"/>
      <c r="O659" s="23"/>
      <c r="P659" s="24"/>
      <c r="Q659" s="24"/>
      <c r="R659" s="24"/>
      <c r="S659" s="22" t="str">
        <f t="shared" si="52"/>
        <v/>
      </c>
      <c r="T659" s="22" t="str">
        <f t="shared" si="53"/>
        <v/>
      </c>
      <c r="U659" s="25"/>
      <c r="V659" s="25"/>
      <c r="W659" s="25"/>
      <c r="X659" s="25"/>
      <c r="Y659" s="22" t="str">
        <f t="shared" si="54"/>
        <v/>
      </c>
      <c r="Z659" s="25"/>
      <c r="AA659" s="25"/>
      <c r="AB659" s="25"/>
      <c r="AC659" s="25"/>
      <c r="AD659" s="25"/>
      <c r="AE659" s="25"/>
      <c r="AF659" s="25"/>
      <c r="AG659" s="9"/>
      <c r="AH659" s="29"/>
      <c r="AI659" s="29"/>
      <c r="AM659" s="50"/>
      <c r="AN659" s="51" t="s">
        <v>3284</v>
      </c>
      <c r="AO659" s="55" t="s">
        <v>3285</v>
      </c>
    </row>
    <row r="660" spans="1:41" ht="45.6" hidden="1" x14ac:dyDescent="0.3">
      <c r="A660" s="20">
        <v>656</v>
      </c>
      <c r="B660" s="8" t="s">
        <v>3286</v>
      </c>
      <c r="C660" s="26">
        <v>2024</v>
      </c>
      <c r="D660" s="8"/>
      <c r="E660" s="8" t="s">
        <v>3287</v>
      </c>
      <c r="F660" s="20" t="s">
        <v>54</v>
      </c>
      <c r="G660" s="21" t="s">
        <v>53</v>
      </c>
      <c r="H660" s="21" t="s">
        <v>64</v>
      </c>
      <c r="I660" s="21" t="s">
        <v>53</v>
      </c>
      <c r="J660" s="21" t="s">
        <v>53</v>
      </c>
      <c r="K660" s="21" t="s">
        <v>53</v>
      </c>
      <c r="L660" s="22" t="str">
        <f t="shared" si="50"/>
        <v>EXCLUDE</v>
      </c>
      <c r="M660" s="22" t="str">
        <f t="shared" si="51"/>
        <v>Digital Twin not core / buzzword</v>
      </c>
      <c r="N660" s="23"/>
      <c r="O660" s="23"/>
      <c r="P660" s="24"/>
      <c r="Q660" s="24"/>
      <c r="R660" s="24"/>
      <c r="S660" s="22" t="str">
        <f t="shared" si="52"/>
        <v/>
      </c>
      <c r="T660" s="22" t="str">
        <f t="shared" si="53"/>
        <v/>
      </c>
      <c r="U660" s="25"/>
      <c r="V660" s="25"/>
      <c r="W660" s="25"/>
      <c r="X660" s="25"/>
      <c r="Y660" s="22" t="str">
        <f t="shared" si="54"/>
        <v/>
      </c>
      <c r="Z660" s="25"/>
      <c r="AA660" s="25"/>
      <c r="AB660" s="25"/>
      <c r="AC660" s="25"/>
      <c r="AD660" s="25"/>
      <c r="AE660" s="25"/>
      <c r="AF660" s="25"/>
      <c r="AG660" s="9"/>
      <c r="AH660" s="29"/>
      <c r="AI660" s="29"/>
      <c r="AM660" s="50"/>
      <c r="AN660" s="51" t="s">
        <v>3288</v>
      </c>
      <c r="AO660" s="55" t="s">
        <v>3289</v>
      </c>
    </row>
    <row r="661" spans="1:41" ht="68.400000000000006" hidden="1" x14ac:dyDescent="0.3">
      <c r="A661" s="20">
        <v>657</v>
      </c>
      <c r="B661" s="8" t="s">
        <v>3290</v>
      </c>
      <c r="C661" s="26">
        <v>2024</v>
      </c>
      <c r="D661" s="8"/>
      <c r="E661" s="8" t="s">
        <v>3291</v>
      </c>
      <c r="F661" s="20" t="s">
        <v>54</v>
      </c>
      <c r="G661" s="21" t="s">
        <v>53</v>
      </c>
      <c r="H661" s="21" t="s">
        <v>64</v>
      </c>
      <c r="I661" s="21" t="s">
        <v>53</v>
      </c>
      <c r="J661" s="21" t="s">
        <v>53</v>
      </c>
      <c r="K661" s="21" t="s">
        <v>53</v>
      </c>
      <c r="L661" s="22" t="str">
        <f t="shared" si="50"/>
        <v>EXCLUDE</v>
      </c>
      <c r="M661" s="22" t="str">
        <f t="shared" si="51"/>
        <v>Digital Twin not core / buzzword</v>
      </c>
      <c r="N661" s="23"/>
      <c r="O661" s="23"/>
      <c r="P661" s="24"/>
      <c r="Q661" s="24"/>
      <c r="R661" s="24"/>
      <c r="S661" s="22" t="str">
        <f t="shared" si="52"/>
        <v/>
      </c>
      <c r="T661" s="22" t="str">
        <f t="shared" si="53"/>
        <v/>
      </c>
      <c r="U661" s="25"/>
      <c r="V661" s="25"/>
      <c r="W661" s="25"/>
      <c r="X661" s="25"/>
      <c r="Y661" s="22" t="str">
        <f t="shared" si="54"/>
        <v/>
      </c>
      <c r="Z661" s="25"/>
      <c r="AA661" s="25"/>
      <c r="AB661" s="25"/>
      <c r="AC661" s="25"/>
      <c r="AD661" s="25"/>
      <c r="AE661" s="25"/>
      <c r="AF661" s="25"/>
      <c r="AG661" s="9"/>
      <c r="AH661" s="29"/>
      <c r="AI661" s="29"/>
      <c r="AM661" s="50"/>
      <c r="AN661" s="51" t="s">
        <v>3292</v>
      </c>
      <c r="AO661" s="55" t="s">
        <v>3293</v>
      </c>
    </row>
    <row r="662" spans="1:41" ht="45.6" hidden="1" x14ac:dyDescent="0.3">
      <c r="A662" s="20">
        <v>658</v>
      </c>
      <c r="B662" s="8" t="s">
        <v>3294</v>
      </c>
      <c r="C662" s="26">
        <v>2025</v>
      </c>
      <c r="D662" s="8"/>
      <c r="E662" s="8" t="s">
        <v>3295</v>
      </c>
      <c r="F662" s="20" t="s">
        <v>54</v>
      </c>
      <c r="G662" s="21" t="s">
        <v>64</v>
      </c>
      <c r="H662" s="21" t="s">
        <v>53</v>
      </c>
      <c r="I662" s="21" t="s">
        <v>53</v>
      </c>
      <c r="J662" s="21" t="s">
        <v>53</v>
      </c>
      <c r="K662" s="21" t="s">
        <v>53</v>
      </c>
      <c r="L662" s="22" t="str">
        <f t="shared" si="50"/>
        <v>EXCLUDE</v>
      </c>
      <c r="M662" s="22" t="str">
        <f t="shared" si="51"/>
        <v>Wrong domain (non-AECO)</v>
      </c>
      <c r="N662" s="23"/>
      <c r="O662" s="23"/>
      <c r="P662" s="24"/>
      <c r="Q662" s="24"/>
      <c r="R662" s="24"/>
      <c r="S662" s="22" t="str">
        <f t="shared" si="52"/>
        <v/>
      </c>
      <c r="T662" s="22" t="str">
        <f t="shared" si="53"/>
        <v/>
      </c>
      <c r="U662" s="25"/>
      <c r="V662" s="25"/>
      <c r="W662" s="25"/>
      <c r="X662" s="25"/>
      <c r="Y662" s="22" t="str">
        <f t="shared" si="54"/>
        <v/>
      </c>
      <c r="Z662" s="25"/>
      <c r="AA662" s="25"/>
      <c r="AB662" s="25"/>
      <c r="AC662" s="25"/>
      <c r="AD662" s="25"/>
      <c r="AE662" s="25"/>
      <c r="AF662" s="25"/>
      <c r="AG662" s="9"/>
      <c r="AH662" s="29"/>
      <c r="AI662" s="29"/>
      <c r="AM662" s="50"/>
      <c r="AN662" s="51" t="s">
        <v>3296</v>
      </c>
      <c r="AO662" s="55" t="s">
        <v>3297</v>
      </c>
    </row>
    <row r="663" spans="1:41" ht="34.200000000000003" hidden="1" x14ac:dyDescent="0.3">
      <c r="A663" s="20">
        <v>659</v>
      </c>
      <c r="B663" s="8" t="s">
        <v>3298</v>
      </c>
      <c r="C663" s="26">
        <v>2020</v>
      </c>
      <c r="D663" s="8"/>
      <c r="E663" s="8" t="s">
        <v>3299</v>
      </c>
      <c r="F663" s="20" t="s">
        <v>54</v>
      </c>
      <c r="G663" s="21" t="s">
        <v>64</v>
      </c>
      <c r="H663" s="21" t="s">
        <v>53</v>
      </c>
      <c r="I663" s="21" t="s">
        <v>53</v>
      </c>
      <c r="J663" s="21" t="s">
        <v>53</v>
      </c>
      <c r="K663" s="21" t="s">
        <v>53</v>
      </c>
      <c r="L663" s="22" t="str">
        <f t="shared" si="50"/>
        <v>EXCLUDE</v>
      </c>
      <c r="M663" s="22" t="str">
        <f t="shared" si="51"/>
        <v>Wrong domain (non-AECO)</v>
      </c>
      <c r="N663" s="23"/>
      <c r="O663" s="23"/>
      <c r="P663" s="24"/>
      <c r="Q663" s="24"/>
      <c r="R663" s="24"/>
      <c r="S663" s="22" t="str">
        <f t="shared" si="52"/>
        <v/>
      </c>
      <c r="T663" s="22" t="str">
        <f t="shared" si="53"/>
        <v/>
      </c>
      <c r="U663" s="25"/>
      <c r="V663" s="25"/>
      <c r="W663" s="25"/>
      <c r="X663" s="25"/>
      <c r="Y663" s="22" t="str">
        <f t="shared" si="54"/>
        <v/>
      </c>
      <c r="Z663" s="25"/>
      <c r="AA663" s="25"/>
      <c r="AB663" s="25"/>
      <c r="AC663" s="25"/>
      <c r="AD663" s="25"/>
      <c r="AE663" s="25"/>
      <c r="AF663" s="25"/>
      <c r="AG663" s="9"/>
      <c r="AH663" s="29"/>
      <c r="AI663" s="29"/>
      <c r="AM663" s="50"/>
      <c r="AN663" s="51" t="s">
        <v>3300</v>
      </c>
      <c r="AO663" s="55" t="s">
        <v>3301</v>
      </c>
    </row>
    <row r="664" spans="1:41" ht="79.8" hidden="1" x14ac:dyDescent="0.3">
      <c r="A664" s="20">
        <v>660</v>
      </c>
      <c r="B664" s="8" t="s">
        <v>3302</v>
      </c>
      <c r="C664" s="26">
        <v>2025</v>
      </c>
      <c r="D664" s="8"/>
      <c r="E664" s="8" t="s">
        <v>3303</v>
      </c>
      <c r="F664" s="20" t="s">
        <v>54</v>
      </c>
      <c r="G664" s="21" t="s">
        <v>53</v>
      </c>
      <c r="H664" s="21" t="s">
        <v>53</v>
      </c>
      <c r="I664" s="21" t="s">
        <v>64</v>
      </c>
      <c r="J664" s="21" t="s">
        <v>53</v>
      </c>
      <c r="K664" s="21" t="s">
        <v>53</v>
      </c>
      <c r="L664" s="22" t="str">
        <f t="shared" si="50"/>
        <v>EXCLUDE</v>
      </c>
      <c r="M664" s="22" t="str">
        <f t="shared" si="51"/>
        <v>No Design for Safety/Quality/PtD</v>
      </c>
      <c r="N664" s="23"/>
      <c r="O664" s="23"/>
      <c r="P664" s="24"/>
      <c r="Q664" s="24"/>
      <c r="R664" s="24"/>
      <c r="S664" s="22" t="str">
        <f t="shared" si="52"/>
        <v/>
      </c>
      <c r="T664" s="22" t="str">
        <f t="shared" si="53"/>
        <v/>
      </c>
      <c r="U664" s="25"/>
      <c r="V664" s="25"/>
      <c r="W664" s="25"/>
      <c r="X664" s="25"/>
      <c r="Y664" s="22" t="str">
        <f t="shared" si="54"/>
        <v/>
      </c>
      <c r="Z664" s="25"/>
      <c r="AA664" s="25"/>
      <c r="AB664" s="25"/>
      <c r="AC664" s="25"/>
      <c r="AD664" s="25"/>
      <c r="AE664" s="25"/>
      <c r="AF664" s="25"/>
      <c r="AG664" s="9"/>
      <c r="AH664" s="29"/>
      <c r="AI664" s="29"/>
      <c r="AM664" s="50"/>
      <c r="AN664" s="51" t="s">
        <v>3304</v>
      </c>
      <c r="AO664" s="55" t="s">
        <v>3305</v>
      </c>
    </row>
    <row r="665" spans="1:41" ht="45.6" hidden="1" x14ac:dyDescent="0.3">
      <c r="A665" s="20">
        <v>661</v>
      </c>
      <c r="B665" s="8" t="s">
        <v>3306</v>
      </c>
      <c r="C665" s="26">
        <v>2025</v>
      </c>
      <c r="D665" s="8"/>
      <c r="E665" s="8" t="s">
        <v>3307</v>
      </c>
      <c r="F665" s="20" t="s">
        <v>54</v>
      </c>
      <c r="G665" s="21" t="s">
        <v>64</v>
      </c>
      <c r="H665" s="21" t="s">
        <v>53</v>
      </c>
      <c r="I665" s="21" t="s">
        <v>53</v>
      </c>
      <c r="J665" s="21" t="s">
        <v>53</v>
      </c>
      <c r="K665" s="21" t="s">
        <v>53</v>
      </c>
      <c r="L665" s="22" t="str">
        <f t="shared" si="50"/>
        <v>EXCLUDE</v>
      </c>
      <c r="M665" s="22" t="str">
        <f t="shared" si="51"/>
        <v>Wrong domain (non-AECO)</v>
      </c>
      <c r="N665" s="23"/>
      <c r="O665" s="23"/>
      <c r="P665" s="24"/>
      <c r="Q665" s="24"/>
      <c r="R665" s="24"/>
      <c r="S665" s="22" t="str">
        <f t="shared" si="52"/>
        <v/>
      </c>
      <c r="T665" s="22" t="str">
        <f t="shared" si="53"/>
        <v/>
      </c>
      <c r="U665" s="25"/>
      <c r="V665" s="25"/>
      <c r="W665" s="25"/>
      <c r="X665" s="25"/>
      <c r="Y665" s="22" t="str">
        <f t="shared" si="54"/>
        <v/>
      </c>
      <c r="Z665" s="25"/>
      <c r="AA665" s="25"/>
      <c r="AB665" s="25"/>
      <c r="AC665" s="25"/>
      <c r="AD665" s="25"/>
      <c r="AE665" s="25"/>
      <c r="AF665" s="25"/>
      <c r="AG665" s="9"/>
      <c r="AH665" s="29"/>
      <c r="AI665" s="29"/>
      <c r="AM665" s="50"/>
      <c r="AN665" s="51" t="s">
        <v>3308</v>
      </c>
      <c r="AO665" s="55" t="s">
        <v>3309</v>
      </c>
    </row>
    <row r="666" spans="1:41" ht="45.6" hidden="1" x14ac:dyDescent="0.3">
      <c r="A666" s="20">
        <v>662</v>
      </c>
      <c r="B666" s="8" t="s">
        <v>3310</v>
      </c>
      <c r="C666" s="26">
        <v>2025</v>
      </c>
      <c r="D666" s="8"/>
      <c r="E666" s="8" t="s">
        <v>3311</v>
      </c>
      <c r="F666" s="20" t="s">
        <v>54</v>
      </c>
      <c r="G666" s="21" t="s">
        <v>64</v>
      </c>
      <c r="H666" s="21" t="s">
        <v>53</v>
      </c>
      <c r="I666" s="21" t="s">
        <v>53</v>
      </c>
      <c r="J666" s="21" t="s">
        <v>53</v>
      </c>
      <c r="K666" s="21" t="s">
        <v>53</v>
      </c>
      <c r="L666" s="22" t="str">
        <f t="shared" si="50"/>
        <v>EXCLUDE</v>
      </c>
      <c r="M666" s="22" t="str">
        <f t="shared" si="51"/>
        <v>Wrong domain (non-AECO)</v>
      </c>
      <c r="N666" s="23"/>
      <c r="O666" s="23"/>
      <c r="P666" s="24"/>
      <c r="Q666" s="24"/>
      <c r="R666" s="24"/>
      <c r="S666" s="22" t="str">
        <f t="shared" si="52"/>
        <v/>
      </c>
      <c r="T666" s="22" t="str">
        <f t="shared" si="53"/>
        <v/>
      </c>
      <c r="U666" s="25"/>
      <c r="V666" s="25"/>
      <c r="W666" s="25"/>
      <c r="X666" s="25"/>
      <c r="Y666" s="22" t="str">
        <f t="shared" si="54"/>
        <v/>
      </c>
      <c r="Z666" s="25"/>
      <c r="AA666" s="25"/>
      <c r="AB666" s="25"/>
      <c r="AC666" s="25"/>
      <c r="AD666" s="25"/>
      <c r="AE666" s="25"/>
      <c r="AF666" s="25"/>
      <c r="AG666" s="9"/>
      <c r="AH666" s="29"/>
      <c r="AI666" s="29"/>
      <c r="AM666" s="50"/>
      <c r="AN666" s="51" t="s">
        <v>3312</v>
      </c>
      <c r="AO666" s="55" t="s">
        <v>3313</v>
      </c>
    </row>
    <row r="667" spans="1:41" ht="45.6" hidden="1" x14ac:dyDescent="0.3">
      <c r="A667" s="20">
        <v>663</v>
      </c>
      <c r="B667" s="8" t="s">
        <v>3314</v>
      </c>
      <c r="C667" s="26">
        <v>2024</v>
      </c>
      <c r="D667" s="8"/>
      <c r="E667" s="8" t="s">
        <v>3315</v>
      </c>
      <c r="F667" s="20" t="s">
        <v>54</v>
      </c>
      <c r="G667" s="21" t="s">
        <v>64</v>
      </c>
      <c r="H667" s="21" t="s">
        <v>53</v>
      </c>
      <c r="I667" s="21" t="s">
        <v>53</v>
      </c>
      <c r="J667" s="21" t="s">
        <v>53</v>
      </c>
      <c r="K667" s="21" t="s">
        <v>53</v>
      </c>
      <c r="L667" s="22" t="str">
        <f t="shared" si="50"/>
        <v>EXCLUDE</v>
      </c>
      <c r="M667" s="22" t="str">
        <f t="shared" si="51"/>
        <v>Wrong domain (non-AECO)</v>
      </c>
      <c r="N667" s="23"/>
      <c r="O667" s="23"/>
      <c r="P667" s="24"/>
      <c r="Q667" s="24"/>
      <c r="R667" s="24"/>
      <c r="S667" s="22" t="str">
        <f t="shared" si="52"/>
        <v/>
      </c>
      <c r="T667" s="22" t="str">
        <f t="shared" si="53"/>
        <v/>
      </c>
      <c r="U667" s="25"/>
      <c r="V667" s="25"/>
      <c r="W667" s="25"/>
      <c r="X667" s="25"/>
      <c r="Y667" s="22" t="str">
        <f t="shared" si="54"/>
        <v/>
      </c>
      <c r="Z667" s="25"/>
      <c r="AA667" s="25"/>
      <c r="AB667" s="25"/>
      <c r="AC667" s="25"/>
      <c r="AD667" s="25"/>
      <c r="AE667" s="25"/>
      <c r="AF667" s="25"/>
      <c r="AG667" s="9"/>
      <c r="AH667" s="29"/>
      <c r="AI667" s="29"/>
      <c r="AM667" s="50"/>
      <c r="AN667" s="51" t="s">
        <v>3316</v>
      </c>
      <c r="AO667" s="55" t="s">
        <v>3317</v>
      </c>
    </row>
    <row r="668" spans="1:41" ht="57" hidden="1" x14ac:dyDescent="0.3">
      <c r="A668" s="20">
        <v>664</v>
      </c>
      <c r="B668" s="8" t="s">
        <v>3318</v>
      </c>
      <c r="C668" s="26">
        <v>2020</v>
      </c>
      <c r="D668" s="8"/>
      <c r="E668" s="8" t="s">
        <v>3319</v>
      </c>
      <c r="F668" s="20" t="s">
        <v>54</v>
      </c>
      <c r="G668" s="21" t="s">
        <v>53</v>
      </c>
      <c r="H668" s="21" t="s">
        <v>64</v>
      </c>
      <c r="I668" s="21" t="s">
        <v>53</v>
      </c>
      <c r="J668" s="21" t="s">
        <v>53</v>
      </c>
      <c r="K668" s="21" t="s">
        <v>53</v>
      </c>
      <c r="L668" s="22" t="str">
        <f t="shared" si="50"/>
        <v>EXCLUDE</v>
      </c>
      <c r="M668" s="22" t="str">
        <f t="shared" si="51"/>
        <v>Digital Twin not core / buzzword</v>
      </c>
      <c r="N668" s="23"/>
      <c r="O668" s="23"/>
      <c r="P668" s="24"/>
      <c r="Q668" s="24"/>
      <c r="R668" s="24"/>
      <c r="S668" s="22" t="str">
        <f t="shared" si="52"/>
        <v/>
      </c>
      <c r="T668" s="22" t="str">
        <f t="shared" si="53"/>
        <v/>
      </c>
      <c r="U668" s="25"/>
      <c r="V668" s="25"/>
      <c r="W668" s="25"/>
      <c r="X668" s="25"/>
      <c r="Y668" s="22" t="str">
        <f t="shared" si="54"/>
        <v/>
      </c>
      <c r="Z668" s="25"/>
      <c r="AA668" s="25"/>
      <c r="AB668" s="25"/>
      <c r="AC668" s="25"/>
      <c r="AD668" s="25"/>
      <c r="AE668" s="25"/>
      <c r="AF668" s="25"/>
      <c r="AG668" s="9"/>
      <c r="AH668" s="29"/>
      <c r="AI668" s="29"/>
      <c r="AM668" s="50"/>
      <c r="AN668" s="51" t="s">
        <v>3320</v>
      </c>
      <c r="AO668" s="55" t="s">
        <v>3321</v>
      </c>
    </row>
    <row r="669" spans="1:41" ht="68.400000000000006" hidden="1" x14ac:dyDescent="0.3">
      <c r="A669" s="20">
        <v>665</v>
      </c>
      <c r="B669" s="8" t="s">
        <v>3322</v>
      </c>
      <c r="C669" s="26">
        <v>2022</v>
      </c>
      <c r="D669" s="8"/>
      <c r="E669" s="8" t="s">
        <v>3323</v>
      </c>
      <c r="F669" s="20" t="s">
        <v>54</v>
      </c>
      <c r="G669" s="21" t="s">
        <v>64</v>
      </c>
      <c r="H669" s="21" t="s">
        <v>53</v>
      </c>
      <c r="I669" s="21" t="s">
        <v>53</v>
      </c>
      <c r="J669" s="21" t="s">
        <v>53</v>
      </c>
      <c r="K669" s="21" t="s">
        <v>53</v>
      </c>
      <c r="L669" s="22" t="str">
        <f t="shared" si="50"/>
        <v>EXCLUDE</v>
      </c>
      <c r="M669" s="22" t="str">
        <f t="shared" si="51"/>
        <v>Wrong domain (non-AECO)</v>
      </c>
      <c r="N669" s="23"/>
      <c r="O669" s="23"/>
      <c r="P669" s="24"/>
      <c r="Q669" s="24"/>
      <c r="R669" s="24"/>
      <c r="S669" s="22" t="str">
        <f t="shared" si="52"/>
        <v/>
      </c>
      <c r="T669" s="22" t="str">
        <f t="shared" si="53"/>
        <v/>
      </c>
      <c r="U669" s="25"/>
      <c r="V669" s="25"/>
      <c r="W669" s="25"/>
      <c r="X669" s="25"/>
      <c r="Y669" s="22" t="str">
        <f t="shared" si="54"/>
        <v/>
      </c>
      <c r="Z669" s="25"/>
      <c r="AA669" s="25"/>
      <c r="AB669" s="25"/>
      <c r="AC669" s="25"/>
      <c r="AD669" s="25"/>
      <c r="AE669" s="25"/>
      <c r="AF669" s="25"/>
      <c r="AG669" s="9"/>
      <c r="AH669" s="29"/>
      <c r="AI669" s="29"/>
      <c r="AM669" s="50"/>
      <c r="AN669" s="51" t="s">
        <v>3324</v>
      </c>
      <c r="AO669" s="55" t="s">
        <v>3325</v>
      </c>
    </row>
    <row r="670" spans="1:41" ht="91.2" x14ac:dyDescent="0.3">
      <c r="A670" s="20">
        <v>666</v>
      </c>
      <c r="B670" s="8" t="s">
        <v>3326</v>
      </c>
      <c r="C670" s="26">
        <v>2024</v>
      </c>
      <c r="D670" s="8"/>
      <c r="E670" s="8" t="s">
        <v>3327</v>
      </c>
      <c r="F670" s="20" t="s">
        <v>54</v>
      </c>
      <c r="G670" s="21" t="s">
        <v>53</v>
      </c>
      <c r="H670" s="21" t="s">
        <v>53</v>
      </c>
      <c r="I670" s="21" t="s">
        <v>53</v>
      </c>
      <c r="J670" s="21" t="s">
        <v>53</v>
      </c>
      <c r="K670" s="21" t="s">
        <v>53</v>
      </c>
      <c r="L670" s="22" t="str">
        <f t="shared" si="50"/>
        <v>INCLUDE</v>
      </c>
      <c r="M670" s="22" t="str">
        <f t="shared" si="51"/>
        <v/>
      </c>
      <c r="N670" s="23" t="s">
        <v>53</v>
      </c>
      <c r="O670" s="23" t="s">
        <v>53</v>
      </c>
      <c r="P670" s="24" t="s">
        <v>53</v>
      </c>
      <c r="Q670" s="24" t="s">
        <v>53</v>
      </c>
      <c r="R670" s="24" t="s">
        <v>53</v>
      </c>
      <c r="S670" s="22" t="str">
        <f t="shared" si="52"/>
        <v>INCLUDE</v>
      </c>
      <c r="T670" s="22" t="str">
        <f t="shared" si="53"/>
        <v/>
      </c>
      <c r="U670" s="25" t="s">
        <v>56</v>
      </c>
      <c r="V670" s="25">
        <v>0</v>
      </c>
      <c r="W670" s="25">
        <v>1</v>
      </c>
      <c r="X670" s="25">
        <v>0</v>
      </c>
      <c r="Y670" s="22" t="str">
        <f t="shared" si="54"/>
        <v>Single</v>
      </c>
      <c r="Z670" s="25" t="s">
        <v>9</v>
      </c>
      <c r="AA670" s="25" t="s">
        <v>57</v>
      </c>
      <c r="AB670" s="25" t="s">
        <v>58</v>
      </c>
      <c r="AC670" s="25" t="s">
        <v>59</v>
      </c>
      <c r="AD670" s="25" t="s">
        <v>89</v>
      </c>
      <c r="AE670" s="25">
        <v>4</v>
      </c>
      <c r="AF670" s="25" t="s">
        <v>81</v>
      </c>
      <c r="AG670" s="9" t="s">
        <v>3328</v>
      </c>
      <c r="AH670" s="29" t="s">
        <v>3329</v>
      </c>
      <c r="AI670" s="29" t="s">
        <v>3330</v>
      </c>
      <c r="AJ670" t="s">
        <v>62</v>
      </c>
      <c r="AK670" t="s">
        <v>3331</v>
      </c>
      <c r="AL670" t="s">
        <v>63</v>
      </c>
      <c r="AM670" s="50"/>
      <c r="AN670" s="51" t="s">
        <v>3332</v>
      </c>
      <c r="AO670" s="55" t="s">
        <v>3333</v>
      </c>
    </row>
    <row r="671" spans="1:41" ht="91.2" hidden="1" x14ac:dyDescent="0.3">
      <c r="A671" s="20">
        <v>667</v>
      </c>
      <c r="B671" s="8" t="s">
        <v>3334</v>
      </c>
      <c r="C671" s="26">
        <v>2023</v>
      </c>
      <c r="D671" s="8"/>
      <c r="E671" s="8" t="s">
        <v>3335</v>
      </c>
      <c r="F671" s="20" t="s">
        <v>54</v>
      </c>
      <c r="G671" s="21" t="s">
        <v>64</v>
      </c>
      <c r="H671" s="21" t="s">
        <v>53</v>
      </c>
      <c r="I671" s="21" t="s">
        <v>53</v>
      </c>
      <c r="J671" s="21" t="s">
        <v>53</v>
      </c>
      <c r="K671" s="21" t="s">
        <v>64</v>
      </c>
      <c r="L671" s="22" t="str">
        <f t="shared" si="50"/>
        <v>EXCLUDE</v>
      </c>
      <c r="M671" s="22" t="str">
        <f t="shared" si="51"/>
        <v>Wrong domain (non-AECO)</v>
      </c>
      <c r="N671" s="23"/>
      <c r="O671" s="23"/>
      <c r="P671" s="24"/>
      <c r="Q671" s="24"/>
      <c r="R671" s="24"/>
      <c r="S671" s="22" t="str">
        <f t="shared" si="52"/>
        <v/>
      </c>
      <c r="T671" s="22" t="str">
        <f t="shared" si="53"/>
        <v/>
      </c>
      <c r="U671" s="25"/>
      <c r="V671" s="25"/>
      <c r="W671" s="25"/>
      <c r="X671" s="25"/>
      <c r="Y671" s="22" t="str">
        <f t="shared" si="54"/>
        <v/>
      </c>
      <c r="Z671" s="25"/>
      <c r="AA671" s="25"/>
      <c r="AB671" s="25"/>
      <c r="AC671" s="25"/>
      <c r="AD671" s="25"/>
      <c r="AE671" s="25"/>
      <c r="AF671" s="25"/>
      <c r="AG671" s="9"/>
      <c r="AH671" s="29"/>
      <c r="AI671" s="29"/>
      <c r="AM671" s="50"/>
      <c r="AN671" s="51" t="s">
        <v>3336</v>
      </c>
      <c r="AO671" s="55" t="s">
        <v>3337</v>
      </c>
    </row>
    <row r="672" spans="1:41" ht="34.200000000000003" hidden="1" x14ac:dyDescent="0.3">
      <c r="A672" s="20">
        <v>668</v>
      </c>
      <c r="B672" s="8" t="s">
        <v>3338</v>
      </c>
      <c r="C672" s="26">
        <v>2025</v>
      </c>
      <c r="D672" s="8"/>
      <c r="E672" s="8" t="s">
        <v>3339</v>
      </c>
      <c r="F672" s="20" t="s">
        <v>54</v>
      </c>
      <c r="G672" s="21" t="s">
        <v>64</v>
      </c>
      <c r="H672" s="21" t="s">
        <v>53</v>
      </c>
      <c r="I672" s="21" t="s">
        <v>53</v>
      </c>
      <c r="J672" s="21" t="s">
        <v>53</v>
      </c>
      <c r="K672" s="21" t="s">
        <v>53</v>
      </c>
      <c r="L672" s="22" t="str">
        <f t="shared" si="50"/>
        <v>EXCLUDE</v>
      </c>
      <c r="M672" s="22" t="str">
        <f t="shared" si="51"/>
        <v>Wrong domain (non-AECO)</v>
      </c>
      <c r="N672" s="23"/>
      <c r="O672" s="23"/>
      <c r="P672" s="24"/>
      <c r="Q672" s="24"/>
      <c r="R672" s="24"/>
      <c r="S672" s="22" t="str">
        <f t="shared" si="52"/>
        <v/>
      </c>
      <c r="T672" s="22" t="str">
        <f t="shared" si="53"/>
        <v/>
      </c>
      <c r="U672" s="25"/>
      <c r="V672" s="25"/>
      <c r="W672" s="25"/>
      <c r="X672" s="25"/>
      <c r="Y672" s="22" t="str">
        <f t="shared" si="54"/>
        <v/>
      </c>
      <c r="Z672" s="25"/>
      <c r="AA672" s="25"/>
      <c r="AB672" s="25"/>
      <c r="AC672" s="25"/>
      <c r="AD672" s="25"/>
      <c r="AE672" s="25"/>
      <c r="AF672" s="25"/>
      <c r="AG672" s="9"/>
      <c r="AH672" s="29"/>
      <c r="AI672" s="29"/>
      <c r="AM672" s="50"/>
      <c r="AN672" s="51" t="s">
        <v>3340</v>
      </c>
      <c r="AO672" s="55" t="s">
        <v>3341</v>
      </c>
    </row>
    <row r="673" spans="1:41" ht="91.2" x14ac:dyDescent="0.3">
      <c r="A673" s="20">
        <v>669</v>
      </c>
      <c r="B673" s="8" t="s">
        <v>3342</v>
      </c>
      <c r="C673" s="26">
        <v>2021</v>
      </c>
      <c r="D673" s="8"/>
      <c r="E673" s="8" t="s">
        <v>3343</v>
      </c>
      <c r="F673" s="20" t="s">
        <v>54</v>
      </c>
      <c r="G673" s="21" t="s">
        <v>53</v>
      </c>
      <c r="H673" s="21" t="s">
        <v>53</v>
      </c>
      <c r="I673" s="21" t="s">
        <v>53</v>
      </c>
      <c r="J673" s="21" t="s">
        <v>53</v>
      </c>
      <c r="K673" s="21" t="s">
        <v>53</v>
      </c>
      <c r="L673" s="22" t="str">
        <f t="shared" si="50"/>
        <v>INCLUDE</v>
      </c>
      <c r="M673" s="22" t="str">
        <f t="shared" si="51"/>
        <v/>
      </c>
      <c r="N673" s="23" t="s">
        <v>53</v>
      </c>
      <c r="O673" s="23" t="s">
        <v>53</v>
      </c>
      <c r="P673" s="24" t="s">
        <v>53</v>
      </c>
      <c r="Q673" s="24" t="s">
        <v>53</v>
      </c>
      <c r="R673" s="24" t="s">
        <v>53</v>
      </c>
      <c r="S673" s="22" t="str">
        <f t="shared" si="52"/>
        <v>INCLUDE</v>
      </c>
      <c r="T673" s="22" t="str">
        <f t="shared" si="53"/>
        <v/>
      </c>
      <c r="U673" s="25" t="s">
        <v>56</v>
      </c>
      <c r="V673" s="25">
        <v>0</v>
      </c>
      <c r="W673" s="25">
        <v>0</v>
      </c>
      <c r="X673" s="25">
        <v>1</v>
      </c>
      <c r="Y673" s="22" t="str">
        <f t="shared" si="54"/>
        <v>Single</v>
      </c>
      <c r="Z673" s="25" t="s">
        <v>9</v>
      </c>
      <c r="AA673" s="25" t="s">
        <v>57</v>
      </c>
      <c r="AB673" s="25" t="s">
        <v>103</v>
      </c>
      <c r="AC673" s="25" t="s">
        <v>70</v>
      </c>
      <c r="AD673" s="25" t="s">
        <v>89</v>
      </c>
      <c r="AE673" s="25">
        <v>3</v>
      </c>
      <c r="AF673" s="25" t="s">
        <v>90</v>
      </c>
      <c r="AG673" s="9" t="s">
        <v>3344</v>
      </c>
      <c r="AH673" s="29" t="s">
        <v>3345</v>
      </c>
      <c r="AI673" s="29" t="s">
        <v>3346</v>
      </c>
      <c r="AJ673" t="s">
        <v>91</v>
      </c>
      <c r="AK673" t="s">
        <v>3347</v>
      </c>
      <c r="AL673" t="s">
        <v>83</v>
      </c>
      <c r="AM673" s="50" t="s">
        <v>213</v>
      </c>
      <c r="AN673" s="51" t="s">
        <v>3348</v>
      </c>
      <c r="AO673" s="55" t="s">
        <v>3349</v>
      </c>
    </row>
    <row r="674" spans="1:41" ht="79.8" hidden="1" x14ac:dyDescent="0.3">
      <c r="A674" s="20">
        <v>670</v>
      </c>
      <c r="B674" s="8" t="s">
        <v>3350</v>
      </c>
      <c r="C674" s="26">
        <v>2022</v>
      </c>
      <c r="D674" s="8"/>
      <c r="E674" s="8" t="s">
        <v>3351</v>
      </c>
      <c r="F674" s="20" t="s">
        <v>54</v>
      </c>
      <c r="G674" s="21" t="s">
        <v>53</v>
      </c>
      <c r="H674" s="21" t="s">
        <v>64</v>
      </c>
      <c r="I674" s="21" t="s">
        <v>53</v>
      </c>
      <c r="J674" s="21" t="s">
        <v>53</v>
      </c>
      <c r="K674" s="21" t="s">
        <v>53</v>
      </c>
      <c r="L674" s="22" t="str">
        <f t="shared" si="50"/>
        <v>EXCLUDE</v>
      </c>
      <c r="M674" s="22" t="str">
        <f t="shared" si="51"/>
        <v>Digital Twin not core / buzzword</v>
      </c>
      <c r="N674" s="23"/>
      <c r="O674" s="23"/>
      <c r="P674" s="24"/>
      <c r="Q674" s="24"/>
      <c r="R674" s="24"/>
      <c r="S674" s="22" t="str">
        <f t="shared" si="52"/>
        <v/>
      </c>
      <c r="T674" s="22" t="str">
        <f t="shared" si="53"/>
        <v/>
      </c>
      <c r="U674" s="25"/>
      <c r="V674" s="25"/>
      <c r="W674" s="25"/>
      <c r="X674" s="25"/>
      <c r="Y674" s="22" t="str">
        <f t="shared" si="54"/>
        <v/>
      </c>
      <c r="Z674" s="25"/>
      <c r="AA674" s="25"/>
      <c r="AB674" s="25"/>
      <c r="AC674" s="25"/>
      <c r="AD674" s="25"/>
      <c r="AE674" s="25"/>
      <c r="AF674" s="25"/>
      <c r="AG674" s="9"/>
      <c r="AH674" s="29"/>
      <c r="AI674" s="29"/>
      <c r="AM674" s="50"/>
      <c r="AN674" s="51" t="s">
        <v>3352</v>
      </c>
      <c r="AO674" s="55" t="s">
        <v>3353</v>
      </c>
    </row>
    <row r="675" spans="1:41" ht="79.8" x14ac:dyDescent="0.3">
      <c r="A675" s="20">
        <v>671</v>
      </c>
      <c r="B675" s="8" t="s">
        <v>3354</v>
      </c>
      <c r="C675" s="26">
        <v>2023</v>
      </c>
      <c r="D675" s="8"/>
      <c r="E675" s="8" t="s">
        <v>3355</v>
      </c>
      <c r="F675" s="20" t="s">
        <v>54</v>
      </c>
      <c r="G675" s="21" t="s">
        <v>53</v>
      </c>
      <c r="H675" s="21" t="s">
        <v>53</v>
      </c>
      <c r="I675" s="21" t="s">
        <v>53</v>
      </c>
      <c r="J675" s="21" t="s">
        <v>53</v>
      </c>
      <c r="K675" s="21" t="s">
        <v>53</v>
      </c>
      <c r="L675" s="22" t="str">
        <f t="shared" si="50"/>
        <v>INCLUDE</v>
      </c>
      <c r="M675" s="22" t="str">
        <f t="shared" si="51"/>
        <v/>
      </c>
      <c r="N675" s="23" t="s">
        <v>53</v>
      </c>
      <c r="O675" s="23" t="s">
        <v>53</v>
      </c>
      <c r="P675" s="24" t="s">
        <v>53</v>
      </c>
      <c r="Q675" s="24" t="s">
        <v>53</v>
      </c>
      <c r="R675" s="24" t="s">
        <v>53</v>
      </c>
      <c r="S675" s="22" t="str">
        <f t="shared" si="52"/>
        <v>INCLUDE</v>
      </c>
      <c r="T675" s="22" t="str">
        <f t="shared" si="53"/>
        <v/>
      </c>
      <c r="U675" s="25" t="s">
        <v>56</v>
      </c>
      <c r="V675" s="25">
        <v>0</v>
      </c>
      <c r="W675" s="25">
        <v>0</v>
      </c>
      <c r="X675" s="25">
        <v>1</v>
      </c>
      <c r="Y675" s="22" t="str">
        <f t="shared" si="54"/>
        <v>Single</v>
      </c>
      <c r="Z675" s="25" t="s">
        <v>9</v>
      </c>
      <c r="AA675" s="25" t="s">
        <v>57</v>
      </c>
      <c r="AB675" s="25" t="s">
        <v>104</v>
      </c>
      <c r="AC675" s="25" t="s">
        <v>59</v>
      </c>
      <c r="AD675" s="25" t="s">
        <v>89</v>
      </c>
      <c r="AE675" s="25">
        <v>3</v>
      </c>
      <c r="AF675" s="25" t="s">
        <v>90</v>
      </c>
      <c r="AG675" s="9" t="s">
        <v>3356</v>
      </c>
      <c r="AH675" s="29" t="s">
        <v>3357</v>
      </c>
      <c r="AI675" s="29" t="s">
        <v>3358</v>
      </c>
      <c r="AJ675" t="s">
        <v>62</v>
      </c>
      <c r="AK675" t="s">
        <v>3359</v>
      </c>
      <c r="AL675" t="s">
        <v>83</v>
      </c>
      <c r="AM675" s="50" t="s">
        <v>213</v>
      </c>
      <c r="AN675" s="51" t="s">
        <v>3360</v>
      </c>
      <c r="AO675" s="55" t="s">
        <v>3361</v>
      </c>
    </row>
    <row r="676" spans="1:41" ht="45.6" hidden="1" x14ac:dyDescent="0.3">
      <c r="A676" s="20">
        <v>672</v>
      </c>
      <c r="B676" s="8" t="s">
        <v>3362</v>
      </c>
      <c r="C676" s="26">
        <v>2025</v>
      </c>
      <c r="D676" s="8"/>
      <c r="E676" s="8" t="s">
        <v>3363</v>
      </c>
      <c r="F676" s="20" t="s">
        <v>54</v>
      </c>
      <c r="G676" s="21" t="s">
        <v>53</v>
      </c>
      <c r="H676" s="21" t="s">
        <v>64</v>
      </c>
      <c r="I676" s="21" t="s">
        <v>53</v>
      </c>
      <c r="J676" s="21" t="s">
        <v>53</v>
      </c>
      <c r="K676" s="21" t="s">
        <v>53</v>
      </c>
      <c r="L676" s="22" t="str">
        <f t="shared" si="50"/>
        <v>EXCLUDE</v>
      </c>
      <c r="M676" s="22" t="str">
        <f t="shared" si="51"/>
        <v>Digital Twin not core / buzzword</v>
      </c>
      <c r="N676" s="23"/>
      <c r="O676" s="23"/>
      <c r="P676" s="24"/>
      <c r="Q676" s="24"/>
      <c r="R676" s="24"/>
      <c r="S676" s="22" t="str">
        <f t="shared" si="52"/>
        <v/>
      </c>
      <c r="T676" s="22" t="str">
        <f t="shared" si="53"/>
        <v/>
      </c>
      <c r="U676" s="25"/>
      <c r="V676" s="25"/>
      <c r="W676" s="25"/>
      <c r="X676" s="25"/>
      <c r="Y676" s="22" t="str">
        <f t="shared" si="54"/>
        <v/>
      </c>
      <c r="Z676" s="25"/>
      <c r="AA676" s="25"/>
      <c r="AB676" s="25"/>
      <c r="AC676" s="25"/>
      <c r="AD676" s="25"/>
      <c r="AE676" s="25"/>
      <c r="AF676" s="25"/>
      <c r="AG676" s="9"/>
      <c r="AH676" s="29"/>
      <c r="AI676" s="29"/>
      <c r="AM676" s="50"/>
      <c r="AN676" s="51" t="s">
        <v>3364</v>
      </c>
      <c r="AO676" s="55" t="s">
        <v>3365</v>
      </c>
    </row>
    <row r="677" spans="1:41" ht="22.8" hidden="1" x14ac:dyDescent="0.3">
      <c r="A677" s="20">
        <v>673</v>
      </c>
      <c r="B677" s="8" t="s">
        <v>3366</v>
      </c>
      <c r="C677" s="26">
        <v>2022</v>
      </c>
      <c r="D677" s="8"/>
      <c r="E677" s="8" t="s">
        <v>3367</v>
      </c>
      <c r="F677" s="20" t="s">
        <v>54</v>
      </c>
      <c r="G677" s="21" t="s">
        <v>64</v>
      </c>
      <c r="H677" s="21" t="s">
        <v>53</v>
      </c>
      <c r="I677" s="21" t="s">
        <v>53</v>
      </c>
      <c r="J677" s="21" t="s">
        <v>53</v>
      </c>
      <c r="K677" s="21" t="s">
        <v>53</v>
      </c>
      <c r="L677" s="22" t="str">
        <f t="shared" si="50"/>
        <v>EXCLUDE</v>
      </c>
      <c r="M677" s="22" t="str">
        <f t="shared" si="51"/>
        <v>Wrong domain (non-AECO)</v>
      </c>
      <c r="N677" s="23"/>
      <c r="O677" s="23"/>
      <c r="P677" s="24"/>
      <c r="Q677" s="24"/>
      <c r="R677" s="24"/>
      <c r="S677" s="22" t="str">
        <f t="shared" si="52"/>
        <v/>
      </c>
      <c r="T677" s="22" t="str">
        <f t="shared" si="53"/>
        <v/>
      </c>
      <c r="U677" s="25"/>
      <c r="V677" s="25"/>
      <c r="W677" s="25"/>
      <c r="X677" s="25"/>
      <c r="Y677" s="22" t="str">
        <f t="shared" si="54"/>
        <v/>
      </c>
      <c r="Z677" s="25"/>
      <c r="AA677" s="25"/>
      <c r="AB677" s="25"/>
      <c r="AC677" s="25"/>
      <c r="AD677" s="25"/>
      <c r="AE677" s="25"/>
      <c r="AF677" s="25"/>
      <c r="AG677" s="9"/>
      <c r="AH677" s="29"/>
      <c r="AI677" s="29"/>
      <c r="AM677" s="50"/>
      <c r="AN677" s="51" t="s">
        <v>3368</v>
      </c>
      <c r="AO677" s="55" t="s">
        <v>3369</v>
      </c>
    </row>
    <row r="678" spans="1:41" ht="45.6" hidden="1" x14ac:dyDescent="0.3">
      <c r="A678" s="20">
        <v>674</v>
      </c>
      <c r="B678" s="8" t="s">
        <v>3370</v>
      </c>
      <c r="C678" s="26">
        <v>2021</v>
      </c>
      <c r="D678" s="8"/>
      <c r="E678" s="8" t="s">
        <v>3371</v>
      </c>
      <c r="F678" s="20" t="s">
        <v>54</v>
      </c>
      <c r="G678" s="21" t="s">
        <v>64</v>
      </c>
      <c r="H678" s="21" t="s">
        <v>53</v>
      </c>
      <c r="I678" s="21" t="s">
        <v>53</v>
      </c>
      <c r="J678" s="21" t="s">
        <v>53</v>
      </c>
      <c r="K678" s="21" t="s">
        <v>53</v>
      </c>
      <c r="L678" s="22" t="str">
        <f t="shared" si="50"/>
        <v>EXCLUDE</v>
      </c>
      <c r="M678" s="22" t="str">
        <f t="shared" si="51"/>
        <v>Wrong domain (non-AECO)</v>
      </c>
      <c r="N678" s="23"/>
      <c r="O678" s="23"/>
      <c r="P678" s="24"/>
      <c r="Q678" s="24"/>
      <c r="R678" s="24"/>
      <c r="S678" s="22" t="str">
        <f t="shared" si="52"/>
        <v/>
      </c>
      <c r="T678" s="22" t="str">
        <f t="shared" si="53"/>
        <v/>
      </c>
      <c r="U678" s="25"/>
      <c r="V678" s="25"/>
      <c r="W678" s="25"/>
      <c r="X678" s="25"/>
      <c r="Y678" s="22" t="str">
        <f t="shared" si="54"/>
        <v/>
      </c>
      <c r="Z678" s="25"/>
      <c r="AA678" s="25"/>
      <c r="AB678" s="25"/>
      <c r="AC678" s="25"/>
      <c r="AD678" s="25"/>
      <c r="AE678" s="25"/>
      <c r="AF678" s="25"/>
      <c r="AG678" s="9"/>
      <c r="AH678" s="29"/>
      <c r="AI678" s="29"/>
      <c r="AM678" s="50"/>
      <c r="AN678" s="51" t="s">
        <v>3372</v>
      </c>
      <c r="AO678" s="55" t="s">
        <v>3373</v>
      </c>
    </row>
    <row r="679" spans="1:41" ht="34.200000000000003" hidden="1" x14ac:dyDescent="0.3">
      <c r="A679" s="20">
        <v>675</v>
      </c>
      <c r="B679" s="8" t="s">
        <v>3374</v>
      </c>
      <c r="C679" s="26">
        <v>2020</v>
      </c>
      <c r="D679" s="8"/>
      <c r="E679" s="8" t="s">
        <v>3375</v>
      </c>
      <c r="F679" s="20" t="s">
        <v>54</v>
      </c>
      <c r="G679" s="21" t="s">
        <v>53</v>
      </c>
      <c r="H679" s="21" t="s">
        <v>64</v>
      </c>
      <c r="I679" s="21" t="s">
        <v>53</v>
      </c>
      <c r="J679" s="21" t="s">
        <v>53</v>
      </c>
      <c r="K679" s="21" t="s">
        <v>53</v>
      </c>
      <c r="L679" s="22" t="str">
        <f t="shared" si="50"/>
        <v>EXCLUDE</v>
      </c>
      <c r="M679" s="22" t="str">
        <f t="shared" si="51"/>
        <v>Digital Twin not core / buzzword</v>
      </c>
      <c r="N679" s="23"/>
      <c r="O679" s="23"/>
      <c r="P679" s="24"/>
      <c r="Q679" s="24"/>
      <c r="R679" s="24"/>
      <c r="S679" s="22" t="str">
        <f t="shared" si="52"/>
        <v/>
      </c>
      <c r="T679" s="22" t="str">
        <f t="shared" si="53"/>
        <v/>
      </c>
      <c r="U679" s="25"/>
      <c r="V679" s="25"/>
      <c r="W679" s="25"/>
      <c r="X679" s="25"/>
      <c r="Y679" s="22" t="str">
        <f t="shared" si="54"/>
        <v/>
      </c>
      <c r="Z679" s="25"/>
      <c r="AA679" s="25"/>
      <c r="AB679" s="25"/>
      <c r="AC679" s="25"/>
      <c r="AD679" s="25"/>
      <c r="AE679" s="25"/>
      <c r="AF679" s="25"/>
      <c r="AG679" s="9"/>
      <c r="AH679" s="29"/>
      <c r="AI679" s="29"/>
      <c r="AM679" s="50"/>
      <c r="AN679" s="51" t="s">
        <v>3376</v>
      </c>
      <c r="AO679" s="55" t="s">
        <v>3377</v>
      </c>
    </row>
    <row r="680" spans="1:41" ht="45.6" hidden="1" x14ac:dyDescent="0.3">
      <c r="A680" s="20">
        <v>676</v>
      </c>
      <c r="B680" s="8" t="s">
        <v>3378</v>
      </c>
      <c r="C680" s="26">
        <v>2024</v>
      </c>
      <c r="D680" s="8"/>
      <c r="E680" s="8" t="s">
        <v>3379</v>
      </c>
      <c r="F680" s="20" t="s">
        <v>54</v>
      </c>
      <c r="G680" s="21" t="s">
        <v>53</v>
      </c>
      <c r="H680" s="21" t="s">
        <v>64</v>
      </c>
      <c r="I680" s="21" t="s">
        <v>53</v>
      </c>
      <c r="J680" s="21" t="s">
        <v>53</v>
      </c>
      <c r="K680" s="21" t="s">
        <v>53</v>
      </c>
      <c r="L680" s="22" t="str">
        <f t="shared" si="50"/>
        <v>EXCLUDE</v>
      </c>
      <c r="M680" s="22" t="str">
        <f t="shared" si="51"/>
        <v>Digital Twin not core / buzzword</v>
      </c>
      <c r="N680" s="23"/>
      <c r="O680" s="23"/>
      <c r="P680" s="24"/>
      <c r="Q680" s="24"/>
      <c r="R680" s="24"/>
      <c r="S680" s="22" t="str">
        <f t="shared" si="52"/>
        <v/>
      </c>
      <c r="T680" s="22" t="str">
        <f t="shared" si="53"/>
        <v/>
      </c>
      <c r="U680" s="25"/>
      <c r="V680" s="25"/>
      <c r="W680" s="25"/>
      <c r="X680" s="25"/>
      <c r="Y680" s="22" t="str">
        <f t="shared" si="54"/>
        <v/>
      </c>
      <c r="Z680" s="25"/>
      <c r="AA680" s="25"/>
      <c r="AB680" s="25"/>
      <c r="AC680" s="25"/>
      <c r="AD680" s="25"/>
      <c r="AE680" s="25"/>
      <c r="AF680" s="25"/>
      <c r="AG680" s="9"/>
      <c r="AH680" s="29"/>
      <c r="AI680" s="29"/>
      <c r="AM680" s="50"/>
      <c r="AN680" s="51" t="s">
        <v>3380</v>
      </c>
      <c r="AO680" s="55" t="s">
        <v>3381</v>
      </c>
    </row>
    <row r="681" spans="1:41" ht="102.6" x14ac:dyDescent="0.3">
      <c r="A681" s="20">
        <v>677</v>
      </c>
      <c r="B681" s="8" t="s">
        <v>2608</v>
      </c>
      <c r="C681" s="26">
        <v>2023</v>
      </c>
      <c r="D681" s="8"/>
      <c r="E681" s="8" t="s">
        <v>3382</v>
      </c>
      <c r="F681" s="20" t="s">
        <v>54</v>
      </c>
      <c r="G681" s="21" t="s">
        <v>53</v>
      </c>
      <c r="H681" s="21" t="s">
        <v>53</v>
      </c>
      <c r="I681" s="21" t="s">
        <v>53</v>
      </c>
      <c r="J681" s="21" t="s">
        <v>53</v>
      </c>
      <c r="K681" s="21" t="s">
        <v>53</v>
      </c>
      <c r="L681" s="22" t="str">
        <f t="shared" si="50"/>
        <v>INCLUDE</v>
      </c>
      <c r="M681" s="22" t="str">
        <f t="shared" si="51"/>
        <v/>
      </c>
      <c r="N681" s="23" t="s">
        <v>53</v>
      </c>
      <c r="O681" s="23" t="s">
        <v>53</v>
      </c>
      <c r="P681" s="24" t="s">
        <v>53</v>
      </c>
      <c r="Q681" s="24" t="s">
        <v>53</v>
      </c>
      <c r="R681" s="24" t="s">
        <v>53</v>
      </c>
      <c r="S681" s="22" t="str">
        <f t="shared" si="52"/>
        <v>INCLUDE</v>
      </c>
      <c r="T681" s="22" t="str">
        <f t="shared" si="53"/>
        <v/>
      </c>
      <c r="U681" s="25" t="s">
        <v>67</v>
      </c>
      <c r="V681" s="25">
        <v>0</v>
      </c>
      <c r="W681" s="25">
        <v>0</v>
      </c>
      <c r="X681" s="25">
        <v>1</v>
      </c>
      <c r="Y681" s="22" t="str">
        <f t="shared" si="54"/>
        <v>Single</v>
      </c>
      <c r="Z681" s="25" t="s">
        <v>9</v>
      </c>
      <c r="AA681" s="25" t="s">
        <v>78</v>
      </c>
      <c r="AB681" s="25" t="s">
        <v>94</v>
      </c>
      <c r="AC681" s="25" t="s">
        <v>70</v>
      </c>
      <c r="AD681" s="25" t="s">
        <v>89</v>
      </c>
      <c r="AE681" s="25">
        <v>4</v>
      </c>
      <c r="AF681" s="25" t="s">
        <v>96</v>
      </c>
      <c r="AG681" s="9" t="s">
        <v>3383</v>
      </c>
      <c r="AH681" s="29" t="s">
        <v>3384</v>
      </c>
      <c r="AI681" s="29" t="s">
        <v>3385</v>
      </c>
      <c r="AJ681" t="s">
        <v>91</v>
      </c>
      <c r="AK681" t="s">
        <v>3386</v>
      </c>
      <c r="AL681" t="s">
        <v>63</v>
      </c>
      <c r="AM681" s="50"/>
      <c r="AN681" s="51" t="s">
        <v>3387</v>
      </c>
      <c r="AO681" s="55" t="s">
        <v>3388</v>
      </c>
    </row>
    <row r="682" spans="1:41" ht="91.2" x14ac:dyDescent="0.3">
      <c r="A682" s="20">
        <v>678</v>
      </c>
      <c r="B682" s="8" t="s">
        <v>3389</v>
      </c>
      <c r="C682" s="26">
        <v>2025</v>
      </c>
      <c r="D682" s="8"/>
      <c r="E682" s="8" t="s">
        <v>3390</v>
      </c>
      <c r="F682" s="20" t="s">
        <v>54</v>
      </c>
      <c r="G682" s="21" t="s">
        <v>53</v>
      </c>
      <c r="H682" s="21" t="s">
        <v>53</v>
      </c>
      <c r="I682" s="21" t="s">
        <v>53</v>
      </c>
      <c r="J682" s="21" t="s">
        <v>53</v>
      </c>
      <c r="K682" s="21" t="s">
        <v>53</v>
      </c>
      <c r="L682" s="22" t="str">
        <f t="shared" si="50"/>
        <v>INCLUDE</v>
      </c>
      <c r="M682" s="22" t="str">
        <f t="shared" si="51"/>
        <v/>
      </c>
      <c r="N682" s="23" t="s">
        <v>53</v>
      </c>
      <c r="O682" s="23" t="s">
        <v>53</v>
      </c>
      <c r="P682" s="24" t="s">
        <v>53</v>
      </c>
      <c r="Q682" s="24" t="s">
        <v>53</v>
      </c>
      <c r="R682" s="24" t="s">
        <v>53</v>
      </c>
      <c r="S682" s="22" t="str">
        <f t="shared" si="52"/>
        <v>INCLUDE</v>
      </c>
      <c r="T682" s="22" t="str">
        <f t="shared" si="53"/>
        <v/>
      </c>
      <c r="U682" s="25" t="s">
        <v>56</v>
      </c>
      <c r="V682" s="25">
        <v>0</v>
      </c>
      <c r="W682" s="25">
        <v>0</v>
      </c>
      <c r="X682" s="25">
        <v>1</v>
      </c>
      <c r="Y682" s="22" t="str">
        <f t="shared" si="54"/>
        <v>Single</v>
      </c>
      <c r="Z682" s="25" t="s">
        <v>9</v>
      </c>
      <c r="AA682" s="25" t="s">
        <v>57</v>
      </c>
      <c r="AB682" s="25" t="s">
        <v>103</v>
      </c>
      <c r="AC682" s="25" t="s">
        <v>59</v>
      </c>
      <c r="AD682" s="25" t="s">
        <v>89</v>
      </c>
      <c r="AE682" s="25">
        <v>3</v>
      </c>
      <c r="AF682" s="25" t="s">
        <v>90</v>
      </c>
      <c r="AG682" s="9" t="s">
        <v>3391</v>
      </c>
      <c r="AH682" s="29" t="s">
        <v>3392</v>
      </c>
      <c r="AI682" s="29" t="s">
        <v>3393</v>
      </c>
      <c r="AJ682" t="s">
        <v>62</v>
      </c>
      <c r="AK682" t="s">
        <v>3394</v>
      </c>
      <c r="AL682" t="s">
        <v>63</v>
      </c>
      <c r="AM682" s="50"/>
      <c r="AN682" s="51" t="s">
        <v>3395</v>
      </c>
      <c r="AO682" s="55" t="s">
        <v>3396</v>
      </c>
    </row>
    <row r="683" spans="1:41" ht="68.400000000000006" hidden="1" x14ac:dyDescent="0.3">
      <c r="A683" s="20">
        <v>679</v>
      </c>
      <c r="B683" s="8" t="s">
        <v>3397</v>
      </c>
      <c r="C683" s="26">
        <v>2023</v>
      </c>
      <c r="D683" s="8"/>
      <c r="E683" s="8" t="s">
        <v>3398</v>
      </c>
      <c r="F683" s="20" t="s">
        <v>54</v>
      </c>
      <c r="G683" s="21" t="s">
        <v>64</v>
      </c>
      <c r="H683" s="21" t="s">
        <v>53</v>
      </c>
      <c r="I683" s="21" t="s">
        <v>53</v>
      </c>
      <c r="J683" s="21" t="s">
        <v>53</v>
      </c>
      <c r="K683" s="21" t="s">
        <v>53</v>
      </c>
      <c r="L683" s="22" t="str">
        <f t="shared" si="50"/>
        <v>EXCLUDE</v>
      </c>
      <c r="M683" s="22" t="str">
        <f t="shared" si="51"/>
        <v>Wrong domain (non-AECO)</v>
      </c>
      <c r="N683" s="23"/>
      <c r="O683" s="23"/>
      <c r="P683" s="24"/>
      <c r="Q683" s="24"/>
      <c r="R683" s="24"/>
      <c r="S683" s="22" t="str">
        <f t="shared" si="52"/>
        <v/>
      </c>
      <c r="T683" s="22" t="str">
        <f t="shared" si="53"/>
        <v/>
      </c>
      <c r="U683" s="25"/>
      <c r="V683" s="25"/>
      <c r="W683" s="25"/>
      <c r="X683" s="25"/>
      <c r="Y683" s="22" t="str">
        <f t="shared" si="54"/>
        <v/>
      </c>
      <c r="Z683" s="25"/>
      <c r="AA683" s="25"/>
      <c r="AB683" s="25"/>
      <c r="AC683" s="25"/>
      <c r="AD683" s="25"/>
      <c r="AE683" s="25"/>
      <c r="AF683" s="25"/>
      <c r="AG683" s="9"/>
      <c r="AH683" s="29"/>
      <c r="AI683" s="29"/>
      <c r="AM683" s="50"/>
      <c r="AN683" s="51" t="s">
        <v>3399</v>
      </c>
      <c r="AO683" s="55" t="s">
        <v>3400</v>
      </c>
    </row>
    <row r="684" spans="1:41" ht="57" hidden="1" x14ac:dyDescent="0.3">
      <c r="A684" s="20">
        <v>680</v>
      </c>
      <c r="B684" s="8" t="s">
        <v>3401</v>
      </c>
      <c r="C684" s="26">
        <v>2025</v>
      </c>
      <c r="D684" s="8"/>
      <c r="E684" s="8" t="s">
        <v>3402</v>
      </c>
      <c r="F684" s="20" t="s">
        <v>54</v>
      </c>
      <c r="G684" s="21" t="s">
        <v>53</v>
      </c>
      <c r="H684" s="21" t="s">
        <v>64</v>
      </c>
      <c r="I684" s="21" t="s">
        <v>53</v>
      </c>
      <c r="J684" s="21" t="s">
        <v>53</v>
      </c>
      <c r="K684" s="21" t="s">
        <v>53</v>
      </c>
      <c r="L684" s="22" t="str">
        <f t="shared" si="50"/>
        <v>EXCLUDE</v>
      </c>
      <c r="M684" s="22" t="str">
        <f t="shared" si="51"/>
        <v>Digital Twin not core / buzzword</v>
      </c>
      <c r="N684" s="23"/>
      <c r="O684" s="23"/>
      <c r="P684" s="24"/>
      <c r="Q684" s="24"/>
      <c r="R684" s="24"/>
      <c r="S684" s="22" t="str">
        <f t="shared" si="52"/>
        <v/>
      </c>
      <c r="T684" s="22" t="str">
        <f t="shared" si="53"/>
        <v/>
      </c>
      <c r="U684" s="25"/>
      <c r="V684" s="25"/>
      <c r="W684" s="25"/>
      <c r="X684" s="25"/>
      <c r="Y684" s="22" t="str">
        <f t="shared" si="54"/>
        <v/>
      </c>
      <c r="Z684" s="25"/>
      <c r="AA684" s="25"/>
      <c r="AB684" s="25"/>
      <c r="AC684" s="25"/>
      <c r="AD684" s="25"/>
      <c r="AE684" s="25"/>
      <c r="AF684" s="25"/>
      <c r="AG684" s="9"/>
      <c r="AH684" s="29"/>
      <c r="AI684" s="29"/>
      <c r="AM684" s="50"/>
      <c r="AN684" s="51" t="s">
        <v>3403</v>
      </c>
      <c r="AO684" s="55" t="s">
        <v>3404</v>
      </c>
    </row>
    <row r="685" spans="1:41" ht="57" hidden="1" x14ac:dyDescent="0.3">
      <c r="A685" s="20">
        <v>681</v>
      </c>
      <c r="B685" s="8" t="s">
        <v>3405</v>
      </c>
      <c r="C685" s="26">
        <v>2023</v>
      </c>
      <c r="D685" s="8"/>
      <c r="E685" s="8" t="s">
        <v>3406</v>
      </c>
      <c r="F685" s="20" t="s">
        <v>54</v>
      </c>
      <c r="G685" s="21" t="s">
        <v>64</v>
      </c>
      <c r="H685" s="21" t="s">
        <v>53</v>
      </c>
      <c r="I685" s="21" t="s">
        <v>53</v>
      </c>
      <c r="J685" s="21" t="s">
        <v>53</v>
      </c>
      <c r="K685" s="21" t="s">
        <v>53</v>
      </c>
      <c r="L685" s="22" t="str">
        <f t="shared" si="50"/>
        <v>EXCLUDE</v>
      </c>
      <c r="M685" s="22" t="str">
        <f t="shared" si="51"/>
        <v>Wrong domain (non-AECO)</v>
      </c>
      <c r="N685" s="23"/>
      <c r="O685" s="23"/>
      <c r="P685" s="24"/>
      <c r="Q685" s="24"/>
      <c r="R685" s="24"/>
      <c r="S685" s="22" t="str">
        <f t="shared" si="52"/>
        <v/>
      </c>
      <c r="T685" s="22" t="str">
        <f t="shared" si="53"/>
        <v/>
      </c>
      <c r="U685" s="25"/>
      <c r="V685" s="25"/>
      <c r="W685" s="25"/>
      <c r="X685" s="25"/>
      <c r="Y685" s="22" t="str">
        <f t="shared" si="54"/>
        <v/>
      </c>
      <c r="Z685" s="25"/>
      <c r="AA685" s="25"/>
      <c r="AB685" s="25"/>
      <c r="AC685" s="25"/>
      <c r="AD685" s="25"/>
      <c r="AE685" s="25"/>
      <c r="AF685" s="25"/>
      <c r="AG685" s="9"/>
      <c r="AH685" s="29"/>
      <c r="AI685" s="29"/>
      <c r="AM685" s="50"/>
      <c r="AN685" s="51" t="s">
        <v>3407</v>
      </c>
      <c r="AO685" s="55" t="s">
        <v>3408</v>
      </c>
    </row>
    <row r="686" spans="1:41" ht="45.6" hidden="1" x14ac:dyDescent="0.3">
      <c r="A686" s="20">
        <v>682</v>
      </c>
      <c r="B686" s="8" t="s">
        <v>3409</v>
      </c>
      <c r="C686" s="26">
        <v>2022</v>
      </c>
      <c r="D686" s="8"/>
      <c r="E686" s="8" t="s">
        <v>3410</v>
      </c>
      <c r="F686" s="20" t="s">
        <v>54</v>
      </c>
      <c r="G686" s="21" t="s">
        <v>53</v>
      </c>
      <c r="H686" s="21" t="s">
        <v>53</v>
      </c>
      <c r="I686" s="21" t="s">
        <v>64</v>
      </c>
      <c r="J686" s="21" t="s">
        <v>53</v>
      </c>
      <c r="K686" s="21" t="s">
        <v>53</v>
      </c>
      <c r="L686" s="22" t="str">
        <f t="shared" si="50"/>
        <v>EXCLUDE</v>
      </c>
      <c r="M686" s="22" t="str">
        <f t="shared" si="51"/>
        <v>No Design for Safety/Quality/PtD</v>
      </c>
      <c r="N686" s="23"/>
      <c r="O686" s="23"/>
      <c r="P686" s="24"/>
      <c r="Q686" s="24"/>
      <c r="R686" s="24"/>
      <c r="S686" s="22" t="str">
        <f t="shared" si="52"/>
        <v/>
      </c>
      <c r="T686" s="22" t="str">
        <f t="shared" si="53"/>
        <v/>
      </c>
      <c r="U686" s="25"/>
      <c r="V686" s="25"/>
      <c r="W686" s="25"/>
      <c r="X686" s="25"/>
      <c r="Y686" s="22" t="str">
        <f t="shared" si="54"/>
        <v/>
      </c>
      <c r="Z686" s="25"/>
      <c r="AA686" s="25"/>
      <c r="AB686" s="25"/>
      <c r="AC686" s="25"/>
      <c r="AD686" s="25"/>
      <c r="AE686" s="25"/>
      <c r="AF686" s="25"/>
      <c r="AG686" s="9"/>
      <c r="AH686" s="29"/>
      <c r="AI686" s="29"/>
      <c r="AM686" s="50"/>
      <c r="AN686" s="51" t="s">
        <v>3411</v>
      </c>
      <c r="AO686" s="55" t="s">
        <v>3412</v>
      </c>
    </row>
    <row r="687" spans="1:41" ht="45.6" hidden="1" x14ac:dyDescent="0.3">
      <c r="A687" s="20">
        <v>683</v>
      </c>
      <c r="B687" s="8" t="s">
        <v>3413</v>
      </c>
      <c r="C687" s="26">
        <v>2025</v>
      </c>
      <c r="D687" s="8"/>
      <c r="E687" s="8" t="s">
        <v>3414</v>
      </c>
      <c r="F687" s="20" t="s">
        <v>54</v>
      </c>
      <c r="G687" s="21" t="s">
        <v>53</v>
      </c>
      <c r="H687" s="21" t="s">
        <v>64</v>
      </c>
      <c r="I687" s="21" t="s">
        <v>53</v>
      </c>
      <c r="J687" s="21" t="s">
        <v>53</v>
      </c>
      <c r="K687" s="21" t="s">
        <v>53</v>
      </c>
      <c r="L687" s="22" t="str">
        <f t="shared" si="50"/>
        <v>EXCLUDE</v>
      </c>
      <c r="M687" s="22" t="str">
        <f t="shared" si="51"/>
        <v>Digital Twin not core / buzzword</v>
      </c>
      <c r="N687" s="23"/>
      <c r="O687" s="23"/>
      <c r="P687" s="24"/>
      <c r="Q687" s="24"/>
      <c r="R687" s="24"/>
      <c r="S687" s="22" t="str">
        <f t="shared" si="52"/>
        <v/>
      </c>
      <c r="T687" s="22" t="str">
        <f t="shared" si="53"/>
        <v/>
      </c>
      <c r="U687" s="25"/>
      <c r="V687" s="25"/>
      <c r="W687" s="25"/>
      <c r="X687" s="25"/>
      <c r="Y687" s="22" t="str">
        <f t="shared" si="54"/>
        <v/>
      </c>
      <c r="Z687" s="25"/>
      <c r="AA687" s="25"/>
      <c r="AB687" s="25"/>
      <c r="AC687" s="25"/>
      <c r="AD687" s="25"/>
      <c r="AE687" s="25"/>
      <c r="AF687" s="25"/>
      <c r="AG687" s="9"/>
      <c r="AH687" s="29"/>
      <c r="AI687" s="29"/>
      <c r="AM687" s="50"/>
      <c r="AN687" s="51" t="s">
        <v>3415</v>
      </c>
      <c r="AO687" s="55" t="s">
        <v>3416</v>
      </c>
    </row>
    <row r="688" spans="1:41" ht="57" hidden="1" x14ac:dyDescent="0.3">
      <c r="A688" s="20">
        <v>684</v>
      </c>
      <c r="B688" s="8" t="s">
        <v>3417</v>
      </c>
      <c r="C688" s="26">
        <v>2025</v>
      </c>
      <c r="D688" s="8"/>
      <c r="E688" s="8" t="s">
        <v>3418</v>
      </c>
      <c r="F688" s="20" t="s">
        <v>54</v>
      </c>
      <c r="G688" s="21" t="s">
        <v>64</v>
      </c>
      <c r="H688" s="21" t="s">
        <v>53</v>
      </c>
      <c r="I688" s="21" t="s">
        <v>53</v>
      </c>
      <c r="J688" s="21" t="s">
        <v>53</v>
      </c>
      <c r="K688" s="21" t="s">
        <v>53</v>
      </c>
      <c r="L688" s="22" t="str">
        <f t="shared" si="50"/>
        <v>EXCLUDE</v>
      </c>
      <c r="M688" s="22" t="str">
        <f t="shared" si="51"/>
        <v>Wrong domain (non-AECO)</v>
      </c>
      <c r="N688" s="23"/>
      <c r="O688" s="23"/>
      <c r="P688" s="24"/>
      <c r="Q688" s="24"/>
      <c r="R688" s="24"/>
      <c r="S688" s="22" t="str">
        <f t="shared" si="52"/>
        <v/>
      </c>
      <c r="T688" s="22" t="str">
        <f t="shared" si="53"/>
        <v/>
      </c>
      <c r="U688" s="25"/>
      <c r="V688" s="25"/>
      <c r="W688" s="25"/>
      <c r="X688" s="25"/>
      <c r="Y688" s="22" t="str">
        <f t="shared" si="54"/>
        <v/>
      </c>
      <c r="Z688" s="25"/>
      <c r="AA688" s="25"/>
      <c r="AB688" s="25"/>
      <c r="AC688" s="25"/>
      <c r="AD688" s="25"/>
      <c r="AE688" s="25"/>
      <c r="AF688" s="25"/>
      <c r="AG688" s="9"/>
      <c r="AH688" s="29"/>
      <c r="AI688" s="29"/>
      <c r="AM688" s="50"/>
      <c r="AN688" s="51" t="s">
        <v>3419</v>
      </c>
      <c r="AO688" s="55" t="s">
        <v>3420</v>
      </c>
    </row>
    <row r="689" spans="1:41" ht="102.6" hidden="1" x14ac:dyDescent="0.3">
      <c r="A689" s="20">
        <v>685</v>
      </c>
      <c r="B689" s="8" t="s">
        <v>3421</v>
      </c>
      <c r="C689" s="26">
        <v>2024</v>
      </c>
      <c r="D689" s="8"/>
      <c r="E689" s="8" t="s">
        <v>3422</v>
      </c>
      <c r="F689" s="20" t="s">
        <v>54</v>
      </c>
      <c r="G689" s="21" t="s">
        <v>64</v>
      </c>
      <c r="H689" s="21" t="s">
        <v>53</v>
      </c>
      <c r="I689" s="21" t="s">
        <v>53</v>
      </c>
      <c r="J689" s="21" t="s">
        <v>53</v>
      </c>
      <c r="K689" s="21" t="s">
        <v>53</v>
      </c>
      <c r="L689" s="22" t="str">
        <f t="shared" si="50"/>
        <v>EXCLUDE</v>
      </c>
      <c r="M689" s="22" t="str">
        <f t="shared" si="51"/>
        <v>Wrong domain (non-AECO)</v>
      </c>
      <c r="N689" s="23"/>
      <c r="O689" s="23"/>
      <c r="P689" s="24"/>
      <c r="Q689" s="24"/>
      <c r="R689" s="24"/>
      <c r="S689" s="22" t="str">
        <f t="shared" si="52"/>
        <v/>
      </c>
      <c r="T689" s="22" t="str">
        <f t="shared" si="53"/>
        <v/>
      </c>
      <c r="U689" s="25"/>
      <c r="V689" s="25"/>
      <c r="W689" s="25"/>
      <c r="X689" s="25"/>
      <c r="Y689" s="22" t="str">
        <f t="shared" si="54"/>
        <v/>
      </c>
      <c r="Z689" s="25"/>
      <c r="AA689" s="25"/>
      <c r="AB689" s="25"/>
      <c r="AC689" s="25"/>
      <c r="AD689" s="25"/>
      <c r="AE689" s="25"/>
      <c r="AF689" s="25"/>
      <c r="AG689" s="9"/>
      <c r="AH689" s="29"/>
      <c r="AI689" s="29"/>
      <c r="AM689" s="50"/>
      <c r="AN689" s="51" t="s">
        <v>3423</v>
      </c>
      <c r="AO689" s="55" t="s">
        <v>3424</v>
      </c>
    </row>
    <row r="690" spans="1:41" ht="68.400000000000006" hidden="1" x14ac:dyDescent="0.3">
      <c r="A690" s="20">
        <v>686</v>
      </c>
      <c r="B690" s="8" t="s">
        <v>3425</v>
      </c>
      <c r="C690" s="26">
        <v>2023</v>
      </c>
      <c r="D690" s="8"/>
      <c r="E690" s="8" t="s">
        <v>3426</v>
      </c>
      <c r="F690" s="20" t="s">
        <v>54</v>
      </c>
      <c r="G690" s="21" t="s">
        <v>64</v>
      </c>
      <c r="H690" s="21" t="s">
        <v>53</v>
      </c>
      <c r="I690" s="21" t="s">
        <v>53</v>
      </c>
      <c r="J690" s="21" t="s">
        <v>53</v>
      </c>
      <c r="K690" s="21" t="s">
        <v>53</v>
      </c>
      <c r="L690" s="22" t="str">
        <f t="shared" si="50"/>
        <v>EXCLUDE</v>
      </c>
      <c r="M690" s="22" t="str">
        <f t="shared" si="51"/>
        <v>Wrong domain (non-AECO)</v>
      </c>
      <c r="N690" s="23"/>
      <c r="O690" s="23"/>
      <c r="P690" s="24"/>
      <c r="Q690" s="24"/>
      <c r="R690" s="24"/>
      <c r="S690" s="22" t="str">
        <f t="shared" si="52"/>
        <v/>
      </c>
      <c r="T690" s="22" t="str">
        <f t="shared" si="53"/>
        <v/>
      </c>
      <c r="U690" s="25"/>
      <c r="V690" s="25"/>
      <c r="W690" s="25"/>
      <c r="X690" s="25"/>
      <c r="Y690" s="22" t="str">
        <f t="shared" si="54"/>
        <v/>
      </c>
      <c r="Z690" s="25"/>
      <c r="AA690" s="25"/>
      <c r="AB690" s="25"/>
      <c r="AC690" s="25"/>
      <c r="AD690" s="25"/>
      <c r="AE690" s="25"/>
      <c r="AF690" s="25"/>
      <c r="AG690" s="9"/>
      <c r="AH690" s="29"/>
      <c r="AI690" s="29"/>
      <c r="AM690" s="50"/>
      <c r="AN690" s="51" t="s">
        <v>3427</v>
      </c>
      <c r="AO690" s="55" t="s">
        <v>3428</v>
      </c>
    </row>
    <row r="691" spans="1:41" ht="79.8" x14ac:dyDescent="0.3">
      <c r="A691" s="20">
        <v>687</v>
      </c>
      <c r="B691" s="8" t="s">
        <v>3429</v>
      </c>
      <c r="C691" s="26">
        <v>2024</v>
      </c>
      <c r="D691" s="8"/>
      <c r="E691" s="8" t="s">
        <v>3430</v>
      </c>
      <c r="F691" s="20" t="s">
        <v>54</v>
      </c>
      <c r="G691" s="21" t="s">
        <v>53</v>
      </c>
      <c r="H691" s="21" t="s">
        <v>53</v>
      </c>
      <c r="I691" s="21" t="s">
        <v>53</v>
      </c>
      <c r="J691" s="21" t="s">
        <v>53</v>
      </c>
      <c r="K691" s="21" t="s">
        <v>53</v>
      </c>
      <c r="L691" s="22" t="str">
        <f t="shared" si="50"/>
        <v>INCLUDE</v>
      </c>
      <c r="M691" s="22" t="str">
        <f t="shared" si="51"/>
        <v/>
      </c>
      <c r="N691" s="23" t="s">
        <v>53</v>
      </c>
      <c r="O691" s="23" t="s">
        <v>53</v>
      </c>
      <c r="P691" s="24" t="s">
        <v>53</v>
      </c>
      <c r="Q691" s="24" t="s">
        <v>53</v>
      </c>
      <c r="R691" s="24" t="s">
        <v>53</v>
      </c>
      <c r="S691" s="22" t="str">
        <f t="shared" si="52"/>
        <v>INCLUDE</v>
      </c>
      <c r="T691" s="22" t="str">
        <f t="shared" si="53"/>
        <v/>
      </c>
      <c r="U691" s="25" t="s">
        <v>67</v>
      </c>
      <c r="V691" s="25">
        <v>0</v>
      </c>
      <c r="W691" s="25">
        <v>1</v>
      </c>
      <c r="X691" s="25">
        <v>0</v>
      </c>
      <c r="Y691" s="22" t="str">
        <f t="shared" si="54"/>
        <v>Single</v>
      </c>
      <c r="Z691" s="25" t="s">
        <v>9</v>
      </c>
      <c r="AA691" s="25" t="s">
        <v>57</v>
      </c>
      <c r="AB691" s="25" t="s">
        <v>104</v>
      </c>
      <c r="AC691" s="25" t="s">
        <v>70</v>
      </c>
      <c r="AD691" s="25" t="s">
        <v>89</v>
      </c>
      <c r="AE691" s="25">
        <v>4</v>
      </c>
      <c r="AF691" s="25" t="s">
        <v>90</v>
      </c>
      <c r="AG691" s="9" t="s">
        <v>3431</v>
      </c>
      <c r="AH691" s="29" t="s">
        <v>3432</v>
      </c>
      <c r="AI691" s="29" t="s">
        <v>3433</v>
      </c>
      <c r="AJ691" t="s">
        <v>91</v>
      </c>
      <c r="AK691" t="s">
        <v>3434</v>
      </c>
      <c r="AL691" t="s">
        <v>63</v>
      </c>
      <c r="AM691" s="50"/>
      <c r="AN691" s="51" t="s">
        <v>3435</v>
      </c>
      <c r="AO691" s="55" t="s">
        <v>3436</v>
      </c>
    </row>
    <row r="692" spans="1:41" ht="57" hidden="1" x14ac:dyDescent="0.3">
      <c r="A692" s="20">
        <v>688</v>
      </c>
      <c r="B692" s="8" t="s">
        <v>3437</v>
      </c>
      <c r="C692" s="26">
        <v>2025</v>
      </c>
      <c r="D692" s="8"/>
      <c r="E692" s="8" t="s">
        <v>3438</v>
      </c>
      <c r="F692" s="20" t="s">
        <v>54</v>
      </c>
      <c r="G692" s="21" t="s">
        <v>64</v>
      </c>
      <c r="H692" s="21" t="s">
        <v>53</v>
      </c>
      <c r="I692" s="21" t="s">
        <v>53</v>
      </c>
      <c r="J692" s="21" t="s">
        <v>53</v>
      </c>
      <c r="K692" s="21" t="s">
        <v>53</v>
      </c>
      <c r="L692" s="22" t="str">
        <f t="shared" si="50"/>
        <v>EXCLUDE</v>
      </c>
      <c r="M692" s="22" t="str">
        <f t="shared" si="51"/>
        <v>Wrong domain (non-AECO)</v>
      </c>
      <c r="N692" s="23"/>
      <c r="O692" s="23"/>
      <c r="P692" s="24"/>
      <c r="Q692" s="24"/>
      <c r="R692" s="24"/>
      <c r="S692" s="22" t="str">
        <f t="shared" si="52"/>
        <v/>
      </c>
      <c r="T692" s="22" t="str">
        <f t="shared" si="53"/>
        <v/>
      </c>
      <c r="U692" s="25"/>
      <c r="V692" s="25"/>
      <c r="W692" s="25"/>
      <c r="X692" s="25"/>
      <c r="Y692" s="22" t="str">
        <f t="shared" si="54"/>
        <v/>
      </c>
      <c r="Z692" s="25"/>
      <c r="AA692" s="25"/>
      <c r="AB692" s="25"/>
      <c r="AC692" s="25"/>
      <c r="AD692" s="25"/>
      <c r="AE692" s="25"/>
      <c r="AF692" s="25"/>
      <c r="AG692" s="9"/>
      <c r="AH692" s="29"/>
      <c r="AI692" s="29"/>
      <c r="AM692" s="50"/>
      <c r="AN692" s="51" t="s">
        <v>3439</v>
      </c>
      <c r="AO692" s="55" t="s">
        <v>3440</v>
      </c>
    </row>
    <row r="693" spans="1:41" ht="68.400000000000006" hidden="1" x14ac:dyDescent="0.3">
      <c r="A693" s="20">
        <v>689</v>
      </c>
      <c r="B693" s="8" t="s">
        <v>3441</v>
      </c>
      <c r="C693" s="26">
        <v>2025</v>
      </c>
      <c r="D693" s="8"/>
      <c r="E693" s="8" t="s">
        <v>3442</v>
      </c>
      <c r="F693" s="20" t="s">
        <v>54</v>
      </c>
      <c r="G693" s="21" t="s">
        <v>53</v>
      </c>
      <c r="H693" s="21" t="s">
        <v>64</v>
      </c>
      <c r="I693" s="21" t="s">
        <v>53</v>
      </c>
      <c r="J693" s="21" t="s">
        <v>53</v>
      </c>
      <c r="K693" s="21" t="s">
        <v>53</v>
      </c>
      <c r="L693" s="22" t="str">
        <f t="shared" si="50"/>
        <v>EXCLUDE</v>
      </c>
      <c r="M693" s="22" t="str">
        <f t="shared" si="51"/>
        <v>Digital Twin not core / buzzword</v>
      </c>
      <c r="N693" s="23"/>
      <c r="O693" s="23"/>
      <c r="P693" s="24"/>
      <c r="Q693" s="24"/>
      <c r="R693" s="24"/>
      <c r="S693" s="22" t="str">
        <f t="shared" si="52"/>
        <v/>
      </c>
      <c r="T693" s="22" t="str">
        <f t="shared" si="53"/>
        <v/>
      </c>
      <c r="U693" s="25"/>
      <c r="V693" s="25"/>
      <c r="W693" s="25"/>
      <c r="X693" s="25"/>
      <c r="Y693" s="22" t="str">
        <f t="shared" si="54"/>
        <v/>
      </c>
      <c r="Z693" s="25"/>
      <c r="AA693" s="25"/>
      <c r="AB693" s="25"/>
      <c r="AC693" s="25"/>
      <c r="AD693" s="25"/>
      <c r="AE693" s="25"/>
      <c r="AF693" s="25"/>
      <c r="AG693" s="9"/>
      <c r="AH693" s="29"/>
      <c r="AI693" s="29"/>
      <c r="AM693" s="50"/>
      <c r="AN693" s="51" t="s">
        <v>3443</v>
      </c>
      <c r="AO693" s="55" t="s">
        <v>3444</v>
      </c>
    </row>
    <row r="694" spans="1:41" ht="57" hidden="1" x14ac:dyDescent="0.3">
      <c r="A694" s="20">
        <v>690</v>
      </c>
      <c r="B694" s="8" t="s">
        <v>3445</v>
      </c>
      <c r="C694" s="26">
        <v>2022</v>
      </c>
      <c r="D694" s="8"/>
      <c r="E694" s="8" t="s">
        <v>3446</v>
      </c>
      <c r="F694" s="20" t="s">
        <v>54</v>
      </c>
      <c r="G694" s="21" t="s">
        <v>53</v>
      </c>
      <c r="H694" s="21" t="s">
        <v>64</v>
      </c>
      <c r="I694" s="21" t="s">
        <v>53</v>
      </c>
      <c r="J694" s="21" t="s">
        <v>53</v>
      </c>
      <c r="K694" s="21" t="s">
        <v>53</v>
      </c>
      <c r="L694" s="22" t="str">
        <f t="shared" si="50"/>
        <v>EXCLUDE</v>
      </c>
      <c r="M694" s="22" t="str">
        <f t="shared" si="51"/>
        <v>Digital Twin not core / buzzword</v>
      </c>
      <c r="N694" s="23"/>
      <c r="O694" s="23"/>
      <c r="P694" s="24"/>
      <c r="Q694" s="24"/>
      <c r="R694" s="24"/>
      <c r="S694" s="22" t="str">
        <f t="shared" si="52"/>
        <v/>
      </c>
      <c r="T694" s="22" t="str">
        <f t="shared" si="53"/>
        <v/>
      </c>
      <c r="U694" s="25"/>
      <c r="V694" s="25"/>
      <c r="W694" s="25"/>
      <c r="X694" s="25"/>
      <c r="Y694" s="22" t="str">
        <f t="shared" si="54"/>
        <v/>
      </c>
      <c r="Z694" s="25"/>
      <c r="AA694" s="25"/>
      <c r="AB694" s="25"/>
      <c r="AC694" s="25"/>
      <c r="AD694" s="25"/>
      <c r="AE694" s="25"/>
      <c r="AF694" s="25"/>
      <c r="AG694" s="9"/>
      <c r="AH694" s="29"/>
      <c r="AI694" s="29"/>
      <c r="AM694" s="50"/>
      <c r="AN694" s="51" t="s">
        <v>3447</v>
      </c>
      <c r="AO694" s="55" t="s">
        <v>3448</v>
      </c>
    </row>
    <row r="695" spans="1:41" ht="57" hidden="1" x14ac:dyDescent="0.3">
      <c r="A695" s="20">
        <v>691</v>
      </c>
      <c r="B695" s="8" t="s">
        <v>3449</v>
      </c>
      <c r="C695" s="26">
        <v>2024</v>
      </c>
      <c r="D695" s="8"/>
      <c r="E695" s="8" t="s">
        <v>3450</v>
      </c>
      <c r="F695" s="20" t="s">
        <v>54</v>
      </c>
      <c r="G695" s="21" t="s">
        <v>64</v>
      </c>
      <c r="H695" s="21" t="s">
        <v>53</v>
      </c>
      <c r="I695" s="21" t="s">
        <v>53</v>
      </c>
      <c r="J695" s="21" t="s">
        <v>53</v>
      </c>
      <c r="K695" s="21" t="s">
        <v>53</v>
      </c>
      <c r="L695" s="22" t="str">
        <f t="shared" si="50"/>
        <v>EXCLUDE</v>
      </c>
      <c r="M695" s="22" t="str">
        <f t="shared" si="51"/>
        <v>Wrong domain (non-AECO)</v>
      </c>
      <c r="N695" s="23"/>
      <c r="O695" s="23"/>
      <c r="P695" s="24"/>
      <c r="Q695" s="24"/>
      <c r="R695" s="24"/>
      <c r="S695" s="22" t="str">
        <f t="shared" si="52"/>
        <v/>
      </c>
      <c r="T695" s="22" t="str">
        <f t="shared" si="53"/>
        <v/>
      </c>
      <c r="U695" s="25"/>
      <c r="V695" s="25"/>
      <c r="W695" s="25"/>
      <c r="X695" s="25"/>
      <c r="Y695" s="22" t="str">
        <f t="shared" si="54"/>
        <v/>
      </c>
      <c r="Z695" s="25"/>
      <c r="AA695" s="25"/>
      <c r="AB695" s="25"/>
      <c r="AC695" s="25"/>
      <c r="AD695" s="25"/>
      <c r="AE695" s="25"/>
      <c r="AF695" s="25"/>
      <c r="AG695" s="9"/>
      <c r="AH695" s="29"/>
      <c r="AI695" s="29"/>
      <c r="AM695" s="50"/>
      <c r="AN695" s="51" t="s">
        <v>3451</v>
      </c>
      <c r="AO695" s="55" t="s">
        <v>3452</v>
      </c>
    </row>
    <row r="696" spans="1:41" ht="34.200000000000003" hidden="1" x14ac:dyDescent="0.3">
      <c r="A696" s="20">
        <v>692</v>
      </c>
      <c r="B696" s="8" t="s">
        <v>3453</v>
      </c>
      <c r="C696" s="26">
        <v>2022</v>
      </c>
      <c r="D696" s="8"/>
      <c r="E696" s="8" t="s">
        <v>3454</v>
      </c>
      <c r="F696" s="20" t="s">
        <v>54</v>
      </c>
      <c r="G696" s="21" t="s">
        <v>64</v>
      </c>
      <c r="H696" s="21" t="s">
        <v>53</v>
      </c>
      <c r="I696" s="21" t="s">
        <v>53</v>
      </c>
      <c r="J696" s="21" t="s">
        <v>53</v>
      </c>
      <c r="K696" s="21" t="s">
        <v>53</v>
      </c>
      <c r="L696" s="22" t="str">
        <f t="shared" si="50"/>
        <v>EXCLUDE</v>
      </c>
      <c r="M696" s="22" t="str">
        <f t="shared" si="51"/>
        <v>Wrong domain (non-AECO)</v>
      </c>
      <c r="N696" s="23"/>
      <c r="O696" s="23"/>
      <c r="P696" s="24"/>
      <c r="Q696" s="24"/>
      <c r="R696" s="24"/>
      <c r="S696" s="22" t="str">
        <f t="shared" si="52"/>
        <v/>
      </c>
      <c r="T696" s="22" t="str">
        <f t="shared" si="53"/>
        <v/>
      </c>
      <c r="U696" s="25"/>
      <c r="V696" s="25"/>
      <c r="W696" s="25"/>
      <c r="X696" s="25"/>
      <c r="Y696" s="22" t="str">
        <f t="shared" si="54"/>
        <v/>
      </c>
      <c r="Z696" s="25"/>
      <c r="AA696" s="25"/>
      <c r="AB696" s="25"/>
      <c r="AC696" s="25"/>
      <c r="AD696" s="25"/>
      <c r="AE696" s="25"/>
      <c r="AF696" s="25"/>
      <c r="AG696" s="9"/>
      <c r="AH696" s="29"/>
      <c r="AI696" s="29"/>
      <c r="AM696" s="50"/>
      <c r="AN696" s="51" t="s">
        <v>3455</v>
      </c>
      <c r="AO696" s="55" t="s">
        <v>3456</v>
      </c>
    </row>
    <row r="697" spans="1:41" ht="57" hidden="1" x14ac:dyDescent="0.3">
      <c r="A697" s="20">
        <v>693</v>
      </c>
      <c r="B697" s="8" t="s">
        <v>3457</v>
      </c>
      <c r="C697" s="26">
        <v>2021</v>
      </c>
      <c r="D697" s="8"/>
      <c r="E697" s="8" t="s">
        <v>3458</v>
      </c>
      <c r="F697" s="20" t="s">
        <v>54</v>
      </c>
      <c r="G697" s="21" t="s">
        <v>64</v>
      </c>
      <c r="H697" s="21" t="s">
        <v>53</v>
      </c>
      <c r="I697" s="21" t="s">
        <v>53</v>
      </c>
      <c r="J697" s="21" t="s">
        <v>53</v>
      </c>
      <c r="K697" s="21" t="s">
        <v>53</v>
      </c>
      <c r="L697" s="22" t="str">
        <f t="shared" si="50"/>
        <v>EXCLUDE</v>
      </c>
      <c r="M697" s="22" t="str">
        <f t="shared" si="51"/>
        <v>Wrong domain (non-AECO)</v>
      </c>
      <c r="N697" s="23"/>
      <c r="O697" s="23"/>
      <c r="P697" s="24"/>
      <c r="Q697" s="24"/>
      <c r="R697" s="24"/>
      <c r="S697" s="22" t="str">
        <f t="shared" si="52"/>
        <v/>
      </c>
      <c r="T697" s="22" t="str">
        <f t="shared" si="53"/>
        <v/>
      </c>
      <c r="U697" s="25"/>
      <c r="V697" s="25"/>
      <c r="W697" s="25"/>
      <c r="X697" s="25"/>
      <c r="Y697" s="22" t="str">
        <f t="shared" si="54"/>
        <v/>
      </c>
      <c r="Z697" s="25"/>
      <c r="AA697" s="25"/>
      <c r="AB697" s="25"/>
      <c r="AC697" s="25"/>
      <c r="AD697" s="25"/>
      <c r="AE697" s="25"/>
      <c r="AF697" s="25"/>
      <c r="AG697" s="9"/>
      <c r="AH697" s="29"/>
      <c r="AI697" s="29"/>
      <c r="AM697" s="50"/>
      <c r="AN697" s="51" t="s">
        <v>3459</v>
      </c>
      <c r="AO697" s="55" t="s">
        <v>3460</v>
      </c>
    </row>
    <row r="698" spans="1:41" ht="57" hidden="1" x14ac:dyDescent="0.3">
      <c r="A698" s="20">
        <v>694</v>
      </c>
      <c r="B698" s="8" t="s">
        <v>3461</v>
      </c>
      <c r="C698" s="26">
        <v>2023</v>
      </c>
      <c r="D698" s="8"/>
      <c r="E698" s="8" t="s">
        <v>3462</v>
      </c>
      <c r="F698" s="20" t="s">
        <v>54</v>
      </c>
      <c r="G698" s="21" t="s">
        <v>64</v>
      </c>
      <c r="H698" s="21" t="s">
        <v>53</v>
      </c>
      <c r="I698" s="21" t="s">
        <v>53</v>
      </c>
      <c r="J698" s="21" t="s">
        <v>53</v>
      </c>
      <c r="K698" s="21" t="s">
        <v>53</v>
      </c>
      <c r="L698" s="22" t="str">
        <f t="shared" si="50"/>
        <v>EXCLUDE</v>
      </c>
      <c r="M698" s="22" t="str">
        <f t="shared" si="51"/>
        <v>Wrong domain (non-AECO)</v>
      </c>
      <c r="N698" s="23"/>
      <c r="O698" s="23"/>
      <c r="P698" s="24"/>
      <c r="Q698" s="24"/>
      <c r="R698" s="24"/>
      <c r="S698" s="22" t="str">
        <f t="shared" si="52"/>
        <v/>
      </c>
      <c r="T698" s="22" t="str">
        <f t="shared" si="53"/>
        <v/>
      </c>
      <c r="U698" s="25"/>
      <c r="V698" s="25"/>
      <c r="W698" s="25"/>
      <c r="X698" s="25"/>
      <c r="Y698" s="22" t="str">
        <f t="shared" si="54"/>
        <v/>
      </c>
      <c r="Z698" s="25"/>
      <c r="AA698" s="25"/>
      <c r="AB698" s="25"/>
      <c r="AC698" s="25"/>
      <c r="AD698" s="25"/>
      <c r="AE698" s="25"/>
      <c r="AF698" s="25"/>
      <c r="AG698" s="9"/>
      <c r="AH698" s="29"/>
      <c r="AI698" s="29"/>
      <c r="AM698" s="50"/>
      <c r="AN698" s="51" t="s">
        <v>3463</v>
      </c>
      <c r="AO698" s="55" t="s">
        <v>3464</v>
      </c>
    </row>
    <row r="699" spans="1:41" ht="28.8" hidden="1" x14ac:dyDescent="0.3">
      <c r="A699" s="20">
        <v>695</v>
      </c>
      <c r="B699" s="8" t="s">
        <v>3465</v>
      </c>
      <c r="C699" s="26">
        <v>2024</v>
      </c>
      <c r="D699" s="8"/>
      <c r="E699" s="8" t="s">
        <v>3466</v>
      </c>
      <c r="F699" s="20" t="s">
        <v>54</v>
      </c>
      <c r="G699" s="21" t="s">
        <v>64</v>
      </c>
      <c r="H699" s="21" t="s">
        <v>53</v>
      </c>
      <c r="I699" s="21" t="s">
        <v>53</v>
      </c>
      <c r="J699" s="21" t="s">
        <v>53</v>
      </c>
      <c r="K699" s="21" t="s">
        <v>53</v>
      </c>
      <c r="L699" s="22" t="str">
        <f t="shared" si="50"/>
        <v>EXCLUDE</v>
      </c>
      <c r="M699" s="22" t="str">
        <f t="shared" si="51"/>
        <v>Wrong domain (non-AECO)</v>
      </c>
      <c r="N699" s="23"/>
      <c r="O699" s="23"/>
      <c r="P699" s="24"/>
      <c r="Q699" s="24"/>
      <c r="R699" s="24"/>
      <c r="S699" s="22" t="str">
        <f t="shared" si="52"/>
        <v/>
      </c>
      <c r="T699" s="22" t="str">
        <f t="shared" si="53"/>
        <v/>
      </c>
      <c r="U699" s="25"/>
      <c r="V699" s="25"/>
      <c r="W699" s="25"/>
      <c r="X699" s="25"/>
      <c r="Y699" s="22" t="str">
        <f t="shared" si="54"/>
        <v/>
      </c>
      <c r="Z699" s="25"/>
      <c r="AA699" s="25"/>
      <c r="AB699" s="25"/>
      <c r="AC699" s="25"/>
      <c r="AD699" s="25"/>
      <c r="AE699" s="25"/>
      <c r="AF699" s="25"/>
      <c r="AG699" s="9"/>
      <c r="AH699" s="29"/>
      <c r="AI699" s="29"/>
      <c r="AM699" s="50"/>
      <c r="AN699" s="51" t="s">
        <v>3467</v>
      </c>
      <c r="AO699" s="55" t="s">
        <v>3468</v>
      </c>
    </row>
    <row r="700" spans="1:41" ht="57" hidden="1" x14ac:dyDescent="0.3">
      <c r="A700" s="20">
        <v>696</v>
      </c>
      <c r="B700" s="8" t="s">
        <v>3469</v>
      </c>
      <c r="C700" s="26">
        <v>2024</v>
      </c>
      <c r="D700" s="8"/>
      <c r="E700" s="8" t="s">
        <v>3470</v>
      </c>
      <c r="F700" s="20" t="s">
        <v>54</v>
      </c>
      <c r="G700" s="21" t="s">
        <v>53</v>
      </c>
      <c r="H700" s="21" t="s">
        <v>53</v>
      </c>
      <c r="I700" s="21" t="s">
        <v>64</v>
      </c>
      <c r="J700" s="21" t="s">
        <v>53</v>
      </c>
      <c r="K700" s="21" t="s">
        <v>53</v>
      </c>
      <c r="L700" s="22" t="str">
        <f t="shared" si="50"/>
        <v>EXCLUDE</v>
      </c>
      <c r="M700" s="22" t="str">
        <f t="shared" si="51"/>
        <v>No Design for Safety/Quality/PtD</v>
      </c>
      <c r="N700" s="23"/>
      <c r="O700" s="23"/>
      <c r="P700" s="24"/>
      <c r="Q700" s="24"/>
      <c r="R700" s="24"/>
      <c r="S700" s="22" t="str">
        <f t="shared" si="52"/>
        <v/>
      </c>
      <c r="T700" s="22" t="str">
        <f t="shared" si="53"/>
        <v/>
      </c>
      <c r="U700" s="25"/>
      <c r="V700" s="25"/>
      <c r="W700" s="25"/>
      <c r="X700" s="25"/>
      <c r="Y700" s="22" t="str">
        <f t="shared" si="54"/>
        <v/>
      </c>
      <c r="Z700" s="25"/>
      <c r="AA700" s="25"/>
      <c r="AB700" s="25"/>
      <c r="AC700" s="25"/>
      <c r="AD700" s="25"/>
      <c r="AE700" s="25"/>
      <c r="AF700" s="25"/>
      <c r="AG700" s="9"/>
      <c r="AH700" s="29"/>
      <c r="AI700" s="29"/>
      <c r="AM700" s="50"/>
      <c r="AN700" s="51" t="s">
        <v>3471</v>
      </c>
      <c r="AO700" s="55" t="s">
        <v>3472</v>
      </c>
    </row>
    <row r="701" spans="1:41" ht="68.400000000000006" hidden="1" x14ac:dyDescent="0.3">
      <c r="A701" s="20">
        <v>697</v>
      </c>
      <c r="B701" s="8" t="s">
        <v>3473</v>
      </c>
      <c r="C701" s="26">
        <v>2024</v>
      </c>
      <c r="D701" s="8"/>
      <c r="E701" s="8" t="s">
        <v>3474</v>
      </c>
      <c r="F701" s="20" t="s">
        <v>54</v>
      </c>
      <c r="G701" s="21" t="s">
        <v>53</v>
      </c>
      <c r="H701" s="21" t="s">
        <v>64</v>
      </c>
      <c r="I701" s="21" t="s">
        <v>53</v>
      </c>
      <c r="J701" s="21" t="s">
        <v>53</v>
      </c>
      <c r="K701" s="21" t="s">
        <v>53</v>
      </c>
      <c r="L701" s="22" t="str">
        <f t="shared" si="50"/>
        <v>EXCLUDE</v>
      </c>
      <c r="M701" s="22" t="str">
        <f t="shared" si="51"/>
        <v>Digital Twin not core / buzzword</v>
      </c>
      <c r="N701" s="23"/>
      <c r="O701" s="23"/>
      <c r="P701" s="24"/>
      <c r="Q701" s="24"/>
      <c r="R701" s="24"/>
      <c r="S701" s="22" t="str">
        <f t="shared" si="52"/>
        <v/>
      </c>
      <c r="T701" s="22" t="str">
        <f t="shared" si="53"/>
        <v/>
      </c>
      <c r="U701" s="25"/>
      <c r="V701" s="25"/>
      <c r="W701" s="25"/>
      <c r="X701" s="25"/>
      <c r="Y701" s="22" t="str">
        <f t="shared" si="54"/>
        <v/>
      </c>
      <c r="Z701" s="25"/>
      <c r="AA701" s="25"/>
      <c r="AB701" s="25"/>
      <c r="AC701" s="25"/>
      <c r="AD701" s="25"/>
      <c r="AE701" s="25"/>
      <c r="AF701" s="25"/>
      <c r="AG701" s="9"/>
      <c r="AH701" s="29"/>
      <c r="AI701" s="29"/>
      <c r="AM701" s="50"/>
      <c r="AN701" s="51" t="s">
        <v>3475</v>
      </c>
      <c r="AO701" s="55" t="s">
        <v>3476</v>
      </c>
    </row>
    <row r="702" spans="1:41" ht="57" hidden="1" x14ac:dyDescent="0.3">
      <c r="A702" s="20">
        <v>698</v>
      </c>
      <c r="B702" s="8" t="s">
        <v>3477</v>
      </c>
      <c r="C702" s="26">
        <v>2024</v>
      </c>
      <c r="D702" s="8"/>
      <c r="E702" s="8" t="s">
        <v>3478</v>
      </c>
      <c r="F702" s="20" t="s">
        <v>54</v>
      </c>
      <c r="G702" s="21" t="s">
        <v>64</v>
      </c>
      <c r="H702" s="21" t="s">
        <v>53</v>
      </c>
      <c r="I702" s="21" t="s">
        <v>53</v>
      </c>
      <c r="J702" s="21" t="s">
        <v>53</v>
      </c>
      <c r="K702" s="21" t="s">
        <v>53</v>
      </c>
      <c r="L702" s="22" t="str">
        <f t="shared" si="50"/>
        <v>EXCLUDE</v>
      </c>
      <c r="M702" s="22" t="str">
        <f t="shared" si="51"/>
        <v>Wrong domain (non-AECO)</v>
      </c>
      <c r="N702" s="23"/>
      <c r="O702" s="23"/>
      <c r="P702" s="24"/>
      <c r="Q702" s="24"/>
      <c r="R702" s="24"/>
      <c r="S702" s="22" t="str">
        <f t="shared" si="52"/>
        <v/>
      </c>
      <c r="T702" s="22" t="str">
        <f t="shared" si="53"/>
        <v/>
      </c>
      <c r="U702" s="25"/>
      <c r="V702" s="25"/>
      <c r="W702" s="25"/>
      <c r="X702" s="25"/>
      <c r="Y702" s="22" t="str">
        <f t="shared" si="54"/>
        <v/>
      </c>
      <c r="Z702" s="25"/>
      <c r="AA702" s="25"/>
      <c r="AB702" s="25"/>
      <c r="AC702" s="25"/>
      <c r="AD702" s="25"/>
      <c r="AE702" s="25"/>
      <c r="AF702" s="25"/>
      <c r="AG702" s="9"/>
      <c r="AH702" s="29"/>
      <c r="AI702" s="29"/>
      <c r="AM702" s="50"/>
      <c r="AN702" s="51" t="s">
        <v>3479</v>
      </c>
      <c r="AO702" s="55" t="s">
        <v>3480</v>
      </c>
    </row>
    <row r="703" spans="1:41" ht="34.200000000000003" hidden="1" x14ac:dyDescent="0.3">
      <c r="A703" s="20">
        <v>699</v>
      </c>
      <c r="B703" s="8" t="s">
        <v>3481</v>
      </c>
      <c r="C703" s="26">
        <v>2024</v>
      </c>
      <c r="D703" s="8"/>
      <c r="E703" s="8" t="s">
        <v>3482</v>
      </c>
      <c r="F703" s="20" t="s">
        <v>54</v>
      </c>
      <c r="G703" s="21" t="s">
        <v>64</v>
      </c>
      <c r="H703" s="21" t="s">
        <v>53</v>
      </c>
      <c r="I703" s="21" t="s">
        <v>53</v>
      </c>
      <c r="J703" s="21" t="s">
        <v>53</v>
      </c>
      <c r="K703" s="21" t="s">
        <v>53</v>
      </c>
      <c r="L703" s="22" t="str">
        <f t="shared" si="50"/>
        <v>EXCLUDE</v>
      </c>
      <c r="M703" s="22" t="str">
        <f t="shared" si="51"/>
        <v>Wrong domain (non-AECO)</v>
      </c>
      <c r="N703" s="23"/>
      <c r="O703" s="23"/>
      <c r="P703" s="24"/>
      <c r="Q703" s="24"/>
      <c r="R703" s="24"/>
      <c r="S703" s="22" t="str">
        <f t="shared" si="52"/>
        <v/>
      </c>
      <c r="T703" s="22" t="str">
        <f t="shared" si="53"/>
        <v/>
      </c>
      <c r="U703" s="25"/>
      <c r="V703" s="25"/>
      <c r="W703" s="25"/>
      <c r="X703" s="25"/>
      <c r="Y703" s="22" t="str">
        <f t="shared" si="54"/>
        <v/>
      </c>
      <c r="Z703" s="25"/>
      <c r="AA703" s="25"/>
      <c r="AB703" s="25"/>
      <c r="AC703" s="25"/>
      <c r="AD703" s="25"/>
      <c r="AE703" s="25"/>
      <c r="AF703" s="25"/>
      <c r="AG703" s="9"/>
      <c r="AH703" s="29"/>
      <c r="AI703" s="29"/>
      <c r="AM703" s="50"/>
      <c r="AN703" s="51" t="s">
        <v>3483</v>
      </c>
      <c r="AO703" s="55" t="s">
        <v>3484</v>
      </c>
    </row>
    <row r="704" spans="1:41" ht="102.6" x14ac:dyDescent="0.3">
      <c r="A704" s="20">
        <v>700</v>
      </c>
      <c r="B704" s="8" t="s">
        <v>3485</v>
      </c>
      <c r="C704" s="26">
        <v>2023</v>
      </c>
      <c r="D704" s="8"/>
      <c r="E704" s="8" t="s">
        <v>3486</v>
      </c>
      <c r="F704" s="20" t="s">
        <v>54</v>
      </c>
      <c r="G704" s="21" t="s">
        <v>53</v>
      </c>
      <c r="H704" s="21" t="s">
        <v>53</v>
      </c>
      <c r="I704" s="21" t="s">
        <v>53</v>
      </c>
      <c r="J704" s="21" t="s">
        <v>53</v>
      </c>
      <c r="K704" s="21" t="s">
        <v>53</v>
      </c>
      <c r="L704" s="22" t="str">
        <f t="shared" si="50"/>
        <v>INCLUDE</v>
      </c>
      <c r="M704" s="22" t="str">
        <f t="shared" si="51"/>
        <v/>
      </c>
      <c r="N704" s="23" t="s">
        <v>53</v>
      </c>
      <c r="O704" s="23" t="s">
        <v>53</v>
      </c>
      <c r="P704" s="24" t="s">
        <v>53</v>
      </c>
      <c r="Q704" s="24" t="s">
        <v>53</v>
      </c>
      <c r="R704" s="24" t="s">
        <v>53</v>
      </c>
      <c r="S704" s="22" t="str">
        <f t="shared" si="52"/>
        <v>INCLUDE</v>
      </c>
      <c r="T704" s="22" t="str">
        <f t="shared" si="53"/>
        <v/>
      </c>
      <c r="U704" s="25" t="s">
        <v>76</v>
      </c>
      <c r="V704" s="25">
        <v>0</v>
      </c>
      <c r="W704" s="25">
        <v>0</v>
      </c>
      <c r="X704" s="25">
        <v>1</v>
      </c>
      <c r="Y704" s="22" t="str">
        <f t="shared" si="54"/>
        <v>Single</v>
      </c>
      <c r="Z704" s="25" t="s">
        <v>9</v>
      </c>
      <c r="AA704" s="25" t="s">
        <v>57</v>
      </c>
      <c r="AB704" s="25" t="s">
        <v>103</v>
      </c>
      <c r="AC704" s="25" t="s">
        <v>59</v>
      </c>
      <c r="AD704" s="25" t="s">
        <v>60</v>
      </c>
      <c r="AE704" s="25">
        <v>3</v>
      </c>
      <c r="AF704" s="25" t="s">
        <v>90</v>
      </c>
      <c r="AG704" s="9" t="s">
        <v>3487</v>
      </c>
      <c r="AH704" s="29" t="s">
        <v>3488</v>
      </c>
      <c r="AI704" s="29" t="s">
        <v>3489</v>
      </c>
      <c r="AJ704" t="s">
        <v>62</v>
      </c>
      <c r="AK704" t="s">
        <v>3490</v>
      </c>
      <c r="AL704" t="s">
        <v>74</v>
      </c>
      <c r="AM704" s="50"/>
      <c r="AN704" s="51" t="s">
        <v>3491</v>
      </c>
      <c r="AO704" s="55" t="s">
        <v>3492</v>
      </c>
    </row>
    <row r="705" spans="1:41" ht="68.400000000000006" hidden="1" x14ac:dyDescent="0.3">
      <c r="A705" s="20">
        <v>701</v>
      </c>
      <c r="B705" s="8" t="s">
        <v>3493</v>
      </c>
      <c r="C705" s="26">
        <v>2025</v>
      </c>
      <c r="D705" s="8"/>
      <c r="E705" s="8" t="s">
        <v>3494</v>
      </c>
      <c r="F705" s="20" t="s">
        <v>54</v>
      </c>
      <c r="G705" s="21" t="s">
        <v>64</v>
      </c>
      <c r="H705" s="21" t="s">
        <v>53</v>
      </c>
      <c r="I705" s="21" t="s">
        <v>53</v>
      </c>
      <c r="J705" s="21" t="s">
        <v>53</v>
      </c>
      <c r="K705" s="21" t="s">
        <v>53</v>
      </c>
      <c r="L705" s="22" t="str">
        <f t="shared" si="50"/>
        <v>EXCLUDE</v>
      </c>
      <c r="M705" s="22" t="str">
        <f t="shared" si="51"/>
        <v>Wrong domain (non-AECO)</v>
      </c>
      <c r="N705" s="23"/>
      <c r="O705" s="23"/>
      <c r="P705" s="24"/>
      <c r="Q705" s="24"/>
      <c r="R705" s="24"/>
      <c r="S705" s="22" t="str">
        <f t="shared" si="52"/>
        <v/>
      </c>
      <c r="T705" s="22" t="str">
        <f t="shared" si="53"/>
        <v/>
      </c>
      <c r="U705" s="25"/>
      <c r="V705" s="25"/>
      <c r="W705" s="25"/>
      <c r="X705" s="25"/>
      <c r="Y705" s="22" t="str">
        <f t="shared" si="54"/>
        <v/>
      </c>
      <c r="Z705" s="25"/>
      <c r="AA705" s="25"/>
      <c r="AB705" s="25"/>
      <c r="AC705" s="25"/>
      <c r="AD705" s="25"/>
      <c r="AE705" s="25"/>
      <c r="AF705" s="25"/>
      <c r="AG705" s="9"/>
      <c r="AH705" s="29"/>
      <c r="AI705" s="29"/>
      <c r="AM705" s="50"/>
      <c r="AN705" s="51" t="s">
        <v>3495</v>
      </c>
      <c r="AO705" s="55" t="s">
        <v>3496</v>
      </c>
    </row>
    <row r="706" spans="1:41" ht="57" hidden="1" x14ac:dyDescent="0.3">
      <c r="A706" s="20">
        <v>702</v>
      </c>
      <c r="B706" s="8" t="s">
        <v>3497</v>
      </c>
      <c r="C706" s="26">
        <v>2025</v>
      </c>
      <c r="D706" s="8"/>
      <c r="E706" s="8" t="s">
        <v>3498</v>
      </c>
      <c r="F706" s="20" t="s">
        <v>54</v>
      </c>
      <c r="G706" s="21" t="s">
        <v>64</v>
      </c>
      <c r="H706" s="21" t="s">
        <v>53</v>
      </c>
      <c r="I706" s="21" t="s">
        <v>53</v>
      </c>
      <c r="J706" s="21" t="s">
        <v>53</v>
      </c>
      <c r="K706" s="21" t="s">
        <v>53</v>
      </c>
      <c r="L706" s="22" t="str">
        <f t="shared" si="50"/>
        <v>EXCLUDE</v>
      </c>
      <c r="M706" s="22" t="str">
        <f t="shared" si="51"/>
        <v>Wrong domain (non-AECO)</v>
      </c>
      <c r="N706" s="23"/>
      <c r="O706" s="23"/>
      <c r="P706" s="24"/>
      <c r="Q706" s="24"/>
      <c r="R706" s="24"/>
      <c r="S706" s="22" t="str">
        <f t="shared" si="52"/>
        <v/>
      </c>
      <c r="T706" s="22" t="str">
        <f t="shared" si="53"/>
        <v/>
      </c>
      <c r="U706" s="25"/>
      <c r="V706" s="25"/>
      <c r="W706" s="25"/>
      <c r="X706" s="25"/>
      <c r="Y706" s="22" t="str">
        <f t="shared" si="54"/>
        <v/>
      </c>
      <c r="Z706" s="25"/>
      <c r="AA706" s="25"/>
      <c r="AB706" s="25"/>
      <c r="AC706" s="25"/>
      <c r="AD706" s="25"/>
      <c r="AE706" s="25"/>
      <c r="AF706" s="25"/>
      <c r="AG706" s="9"/>
      <c r="AH706" s="29"/>
      <c r="AI706" s="29"/>
      <c r="AM706" s="50"/>
      <c r="AN706" s="51" t="s">
        <v>3499</v>
      </c>
      <c r="AO706" s="55" t="s">
        <v>3500</v>
      </c>
    </row>
    <row r="707" spans="1:41" ht="68.400000000000006" hidden="1" x14ac:dyDescent="0.3">
      <c r="A707" s="20">
        <v>703</v>
      </c>
      <c r="B707" s="8" t="s">
        <v>3501</v>
      </c>
      <c r="C707" s="26">
        <v>2025</v>
      </c>
      <c r="D707" s="8"/>
      <c r="E707" s="8" t="s">
        <v>3502</v>
      </c>
      <c r="F707" s="20" t="s">
        <v>54</v>
      </c>
      <c r="G707" s="21" t="s">
        <v>53</v>
      </c>
      <c r="H707" s="21" t="s">
        <v>64</v>
      </c>
      <c r="I707" s="21" t="s">
        <v>53</v>
      </c>
      <c r="J707" s="21" t="s">
        <v>53</v>
      </c>
      <c r="K707" s="21" t="s">
        <v>53</v>
      </c>
      <c r="L707" s="22" t="str">
        <f t="shared" si="50"/>
        <v>EXCLUDE</v>
      </c>
      <c r="M707" s="22" t="str">
        <f t="shared" si="51"/>
        <v>Digital Twin not core / buzzword</v>
      </c>
      <c r="N707" s="23"/>
      <c r="O707" s="23"/>
      <c r="P707" s="24"/>
      <c r="Q707" s="24"/>
      <c r="R707" s="24"/>
      <c r="S707" s="22" t="str">
        <f t="shared" si="52"/>
        <v/>
      </c>
      <c r="T707" s="22" t="str">
        <f t="shared" si="53"/>
        <v/>
      </c>
      <c r="U707" s="25"/>
      <c r="V707" s="25"/>
      <c r="W707" s="25"/>
      <c r="X707" s="25"/>
      <c r="Y707" s="22" t="str">
        <f t="shared" si="54"/>
        <v/>
      </c>
      <c r="Z707" s="25"/>
      <c r="AA707" s="25"/>
      <c r="AB707" s="25"/>
      <c r="AC707" s="25"/>
      <c r="AD707" s="25"/>
      <c r="AE707" s="25"/>
      <c r="AF707" s="25"/>
      <c r="AG707" s="9"/>
      <c r="AH707" s="29"/>
      <c r="AI707" s="29"/>
      <c r="AM707" s="50"/>
      <c r="AN707" s="51" t="s">
        <v>3503</v>
      </c>
      <c r="AO707" s="55" t="s">
        <v>3504</v>
      </c>
    </row>
    <row r="708" spans="1:41" ht="79.8" x14ac:dyDescent="0.3">
      <c r="A708" s="20">
        <v>704</v>
      </c>
      <c r="B708" s="8" t="s">
        <v>3441</v>
      </c>
      <c r="C708" s="26">
        <v>2025</v>
      </c>
      <c r="D708" s="8"/>
      <c r="E708" s="8" t="s">
        <v>3505</v>
      </c>
      <c r="F708" s="20" t="s">
        <v>54</v>
      </c>
      <c r="G708" s="21" t="s">
        <v>53</v>
      </c>
      <c r="H708" s="21" t="s">
        <v>53</v>
      </c>
      <c r="I708" s="21" t="s">
        <v>53</v>
      </c>
      <c r="J708" s="21" t="s">
        <v>53</v>
      </c>
      <c r="K708" s="21" t="s">
        <v>53</v>
      </c>
      <c r="L708" s="22" t="str">
        <f t="shared" si="50"/>
        <v>INCLUDE</v>
      </c>
      <c r="M708" s="22" t="str">
        <f t="shared" si="51"/>
        <v/>
      </c>
      <c r="N708" s="23" t="s">
        <v>53</v>
      </c>
      <c r="O708" s="23" t="s">
        <v>53</v>
      </c>
      <c r="P708" s="24" t="s">
        <v>53</v>
      </c>
      <c r="Q708" s="24" t="s">
        <v>53</v>
      </c>
      <c r="R708" s="24" t="s">
        <v>53</v>
      </c>
      <c r="S708" s="22" t="str">
        <f t="shared" si="52"/>
        <v>INCLUDE</v>
      </c>
      <c r="T708" s="22" t="str">
        <f t="shared" si="53"/>
        <v/>
      </c>
      <c r="U708" s="25" t="s">
        <v>67</v>
      </c>
      <c r="V708" s="25">
        <v>0</v>
      </c>
      <c r="W708" s="25">
        <v>1</v>
      </c>
      <c r="X708" s="25">
        <v>0</v>
      </c>
      <c r="Y708" s="22" t="str">
        <f t="shared" si="54"/>
        <v>Single</v>
      </c>
      <c r="Z708" s="25" t="s">
        <v>9</v>
      </c>
      <c r="AA708" s="25" t="s">
        <v>57</v>
      </c>
      <c r="AB708" s="25" t="s">
        <v>104</v>
      </c>
      <c r="AC708" s="25" t="s">
        <v>70</v>
      </c>
      <c r="AD708" s="25" t="s">
        <v>89</v>
      </c>
      <c r="AE708" s="25">
        <v>4</v>
      </c>
      <c r="AF708" s="25" t="s">
        <v>96</v>
      </c>
      <c r="AG708" s="9" t="s">
        <v>3506</v>
      </c>
      <c r="AH708" s="29" t="s">
        <v>3507</v>
      </c>
      <c r="AI708" s="29" t="s">
        <v>3508</v>
      </c>
      <c r="AJ708" t="s">
        <v>91</v>
      </c>
      <c r="AK708" t="s">
        <v>3509</v>
      </c>
      <c r="AL708" t="s">
        <v>63</v>
      </c>
      <c r="AM708" s="50"/>
      <c r="AN708" s="51" t="s">
        <v>3510</v>
      </c>
      <c r="AO708" s="55" t="s">
        <v>3511</v>
      </c>
    </row>
    <row r="709" spans="1:41" ht="79.8" hidden="1" x14ac:dyDescent="0.3">
      <c r="A709" s="20">
        <v>705</v>
      </c>
      <c r="B709" s="8" t="s">
        <v>3512</v>
      </c>
      <c r="C709" s="26">
        <v>2025</v>
      </c>
      <c r="D709" s="8"/>
      <c r="E709" s="8" t="s">
        <v>3513</v>
      </c>
      <c r="F709" s="20" t="s">
        <v>54</v>
      </c>
      <c r="G709" s="21" t="s">
        <v>53</v>
      </c>
      <c r="H709" s="21" t="s">
        <v>53</v>
      </c>
      <c r="I709" s="21" t="s">
        <v>53</v>
      </c>
      <c r="J709" s="21" t="s">
        <v>53</v>
      </c>
      <c r="K709" s="21" t="s">
        <v>53</v>
      </c>
      <c r="L709" s="22" t="str">
        <f t="shared" ref="L709:L772" si="55">IF(COUNTBLANK(G709:K709)=5,"",IF(COUNTIF(G709:K709,"No")&gt;0,"EXCLUDE","INCLUDE"))</f>
        <v>INCLUDE</v>
      </c>
      <c r="M709" s="22" t="str">
        <f t="shared" ref="M709:M772" si="56">IF(L709&lt;&gt;"EXCLUDE","",IF(G709="No","Wrong domain (non-AECO)",IF(H709="No","Digital Twin not core / buzzword",IF(I709="No","No Design for Safety/Quality/PtD",IF(J709="No","Wrong publication type",IF(K709="No","Non-English",""))))))</f>
        <v/>
      </c>
      <c r="N709" s="23" t="s">
        <v>64</v>
      </c>
      <c r="O709" s="23" t="s">
        <v>64</v>
      </c>
      <c r="P709" s="24"/>
      <c r="Q709" s="24"/>
      <c r="R709" s="24"/>
      <c r="S709" s="22" t="str">
        <f t="shared" ref="S709:S772" si="57">IF(N709&lt;&gt;"Yes","",IF(COUNTBLANK(P709:R709)=3,"",IF(COUNTIF(P709:R709,"No")&gt;0,"EXCLUDE","INCLUDE")))</f>
        <v/>
      </c>
      <c r="T709" s="22" t="str">
        <f t="shared" ref="T709:T772" si="58">IF(S709&lt;&gt;"EXCLUDE","",IF(P709="No","Digital Twin mentioned only, not the subject",IF(Q709="No","No Design for Safety/Quality in full text",IF(R709="No","Methodology not codable",""))))</f>
        <v/>
      </c>
      <c r="U709" s="25"/>
      <c r="V709" s="25"/>
      <c r="W709" s="25"/>
      <c r="X709" s="25"/>
      <c r="Y709" s="22" t="str">
        <f t="shared" ref="Y709:Y772" si="59">IF(SUM(V709:X709)=0,"",IF(SUM(V709:X709)&gt;=2,"Multi","Single"))</f>
        <v/>
      </c>
      <c r="Z709" s="25"/>
      <c r="AA709" s="25"/>
      <c r="AB709" s="25"/>
      <c r="AC709" s="25"/>
      <c r="AD709" s="25"/>
      <c r="AE709" s="25"/>
      <c r="AF709" s="25"/>
      <c r="AG709" s="9"/>
      <c r="AH709" s="29"/>
      <c r="AI709" s="29"/>
      <c r="AM709" s="50"/>
      <c r="AN709" s="51" t="s">
        <v>3514</v>
      </c>
      <c r="AO709" s="55" t="s">
        <v>3515</v>
      </c>
    </row>
    <row r="710" spans="1:41" ht="45.6" hidden="1" x14ac:dyDescent="0.3">
      <c r="A710" s="20">
        <v>706</v>
      </c>
      <c r="B710" s="8" t="s">
        <v>3516</v>
      </c>
      <c r="C710" s="26">
        <v>2025</v>
      </c>
      <c r="D710" s="8"/>
      <c r="E710" s="8" t="s">
        <v>3517</v>
      </c>
      <c r="F710" s="20" t="s">
        <v>54</v>
      </c>
      <c r="G710" s="21" t="s">
        <v>53</v>
      </c>
      <c r="H710" s="21" t="s">
        <v>64</v>
      </c>
      <c r="I710" s="21" t="s">
        <v>53</v>
      </c>
      <c r="J710" s="21" t="s">
        <v>53</v>
      </c>
      <c r="K710" s="21" t="s">
        <v>53</v>
      </c>
      <c r="L710" s="22" t="str">
        <f t="shared" si="55"/>
        <v>EXCLUDE</v>
      </c>
      <c r="M710" s="22" t="str">
        <f t="shared" si="56"/>
        <v>Digital Twin not core / buzzword</v>
      </c>
      <c r="N710" s="23"/>
      <c r="O710" s="23"/>
      <c r="P710" s="24"/>
      <c r="Q710" s="24"/>
      <c r="R710" s="24"/>
      <c r="S710" s="22" t="str">
        <f t="shared" si="57"/>
        <v/>
      </c>
      <c r="T710" s="22" t="str">
        <f t="shared" si="58"/>
        <v/>
      </c>
      <c r="U710" s="25"/>
      <c r="V710" s="25"/>
      <c r="W710" s="25"/>
      <c r="X710" s="25"/>
      <c r="Y710" s="22" t="str">
        <f t="shared" si="59"/>
        <v/>
      </c>
      <c r="Z710" s="25"/>
      <c r="AA710" s="25"/>
      <c r="AB710" s="25"/>
      <c r="AC710" s="25"/>
      <c r="AD710" s="25"/>
      <c r="AE710" s="25"/>
      <c r="AF710" s="25"/>
      <c r="AG710" s="9"/>
      <c r="AH710" s="29"/>
      <c r="AI710" s="29"/>
      <c r="AM710" s="50"/>
      <c r="AN710" s="51" t="s">
        <v>3518</v>
      </c>
      <c r="AO710" s="55" t="s">
        <v>3519</v>
      </c>
    </row>
    <row r="711" spans="1:41" ht="68.400000000000006" hidden="1" x14ac:dyDescent="0.3">
      <c r="A711" s="20">
        <v>707</v>
      </c>
      <c r="B711" s="8" t="s">
        <v>2680</v>
      </c>
      <c r="C711" s="26">
        <v>2024</v>
      </c>
      <c r="D711" s="8"/>
      <c r="E711" s="8" t="s">
        <v>3520</v>
      </c>
      <c r="F711" s="20" t="s">
        <v>54</v>
      </c>
      <c r="G711" s="21" t="s">
        <v>53</v>
      </c>
      <c r="H711" s="21" t="s">
        <v>64</v>
      </c>
      <c r="I711" s="21" t="s">
        <v>53</v>
      </c>
      <c r="J711" s="21" t="s">
        <v>53</v>
      </c>
      <c r="K711" s="21" t="s">
        <v>53</v>
      </c>
      <c r="L711" s="22" t="str">
        <f t="shared" si="55"/>
        <v>EXCLUDE</v>
      </c>
      <c r="M711" s="22" t="str">
        <f t="shared" si="56"/>
        <v>Digital Twin not core / buzzword</v>
      </c>
      <c r="N711" s="23"/>
      <c r="O711" s="23"/>
      <c r="P711" s="24"/>
      <c r="Q711" s="24"/>
      <c r="R711" s="24"/>
      <c r="S711" s="22" t="str">
        <f t="shared" si="57"/>
        <v/>
      </c>
      <c r="T711" s="22" t="str">
        <f t="shared" si="58"/>
        <v/>
      </c>
      <c r="U711" s="25"/>
      <c r="V711" s="25"/>
      <c r="W711" s="25"/>
      <c r="X711" s="25"/>
      <c r="Y711" s="22" t="str">
        <f t="shared" si="59"/>
        <v/>
      </c>
      <c r="Z711" s="25"/>
      <c r="AA711" s="25"/>
      <c r="AB711" s="25"/>
      <c r="AC711" s="25"/>
      <c r="AD711" s="25"/>
      <c r="AE711" s="25"/>
      <c r="AF711" s="25"/>
      <c r="AG711" s="9"/>
      <c r="AH711" s="29"/>
      <c r="AI711" s="29"/>
      <c r="AM711" s="50"/>
      <c r="AN711" s="51" t="s">
        <v>3521</v>
      </c>
      <c r="AO711" s="55" t="s">
        <v>3522</v>
      </c>
    </row>
    <row r="712" spans="1:41" ht="57" hidden="1" x14ac:dyDescent="0.3">
      <c r="A712" s="20">
        <v>708</v>
      </c>
      <c r="B712" s="8" t="s">
        <v>3523</v>
      </c>
      <c r="C712" s="26">
        <v>2024</v>
      </c>
      <c r="D712" s="8"/>
      <c r="E712" s="8" t="s">
        <v>3524</v>
      </c>
      <c r="F712" s="20" t="s">
        <v>54</v>
      </c>
      <c r="G712" s="21" t="s">
        <v>64</v>
      </c>
      <c r="H712" s="21" t="s">
        <v>53</v>
      </c>
      <c r="I712" s="21" t="s">
        <v>53</v>
      </c>
      <c r="J712" s="21" t="s">
        <v>53</v>
      </c>
      <c r="K712" s="21" t="s">
        <v>53</v>
      </c>
      <c r="L712" s="22" t="str">
        <f t="shared" si="55"/>
        <v>EXCLUDE</v>
      </c>
      <c r="M712" s="22" t="str">
        <f t="shared" si="56"/>
        <v>Wrong domain (non-AECO)</v>
      </c>
      <c r="N712" s="23"/>
      <c r="O712" s="23"/>
      <c r="P712" s="24"/>
      <c r="Q712" s="24"/>
      <c r="R712" s="24"/>
      <c r="S712" s="22" t="str">
        <f t="shared" si="57"/>
        <v/>
      </c>
      <c r="T712" s="22" t="str">
        <f t="shared" si="58"/>
        <v/>
      </c>
      <c r="U712" s="25"/>
      <c r="V712" s="25"/>
      <c r="W712" s="25"/>
      <c r="X712" s="25"/>
      <c r="Y712" s="22" t="str">
        <f t="shared" si="59"/>
        <v/>
      </c>
      <c r="Z712" s="25"/>
      <c r="AA712" s="25"/>
      <c r="AB712" s="25"/>
      <c r="AC712" s="25"/>
      <c r="AD712" s="25"/>
      <c r="AE712" s="25"/>
      <c r="AF712" s="25"/>
      <c r="AG712" s="9"/>
      <c r="AH712" s="29"/>
      <c r="AI712" s="29"/>
      <c r="AM712" s="50"/>
      <c r="AN712" s="51" t="s">
        <v>3525</v>
      </c>
      <c r="AO712" s="55" t="s">
        <v>3526</v>
      </c>
    </row>
    <row r="713" spans="1:41" ht="57" hidden="1" x14ac:dyDescent="0.3">
      <c r="A713" s="20">
        <v>709</v>
      </c>
      <c r="B713" s="8" t="s">
        <v>3527</v>
      </c>
      <c r="C713" s="26">
        <v>2024</v>
      </c>
      <c r="D713" s="8"/>
      <c r="E713" s="8" t="s">
        <v>3528</v>
      </c>
      <c r="F713" s="20" t="s">
        <v>54</v>
      </c>
      <c r="G713" s="21" t="s">
        <v>53</v>
      </c>
      <c r="H713" s="21" t="s">
        <v>53</v>
      </c>
      <c r="I713" s="21" t="s">
        <v>64</v>
      </c>
      <c r="J713" s="21" t="s">
        <v>53</v>
      </c>
      <c r="K713" s="21" t="s">
        <v>53</v>
      </c>
      <c r="L713" s="22" t="str">
        <f t="shared" si="55"/>
        <v>EXCLUDE</v>
      </c>
      <c r="M713" s="22" t="str">
        <f t="shared" si="56"/>
        <v>No Design for Safety/Quality/PtD</v>
      </c>
      <c r="N713" s="23"/>
      <c r="O713" s="23"/>
      <c r="P713" s="24"/>
      <c r="Q713" s="24"/>
      <c r="R713" s="24"/>
      <c r="S713" s="22" t="str">
        <f t="shared" si="57"/>
        <v/>
      </c>
      <c r="T713" s="22" t="str">
        <f t="shared" si="58"/>
        <v/>
      </c>
      <c r="U713" s="25"/>
      <c r="V713" s="25"/>
      <c r="W713" s="25"/>
      <c r="X713" s="25"/>
      <c r="Y713" s="22" t="str">
        <f t="shared" si="59"/>
        <v/>
      </c>
      <c r="Z713" s="25"/>
      <c r="AA713" s="25"/>
      <c r="AB713" s="25"/>
      <c r="AC713" s="25"/>
      <c r="AD713" s="25"/>
      <c r="AE713" s="25"/>
      <c r="AF713" s="25"/>
      <c r="AG713" s="9"/>
      <c r="AH713" s="29"/>
      <c r="AI713" s="29"/>
      <c r="AM713" s="50"/>
      <c r="AN713" s="51" t="s">
        <v>3529</v>
      </c>
      <c r="AO713" s="55" t="s">
        <v>3530</v>
      </c>
    </row>
    <row r="714" spans="1:41" ht="34.200000000000003" hidden="1" x14ac:dyDescent="0.3">
      <c r="A714" s="20">
        <v>710</v>
      </c>
      <c r="B714" s="8" t="s">
        <v>3531</v>
      </c>
      <c r="C714" s="26">
        <v>2022</v>
      </c>
      <c r="D714" s="8"/>
      <c r="E714" s="8" t="s">
        <v>3532</v>
      </c>
      <c r="F714" s="20" t="s">
        <v>54</v>
      </c>
      <c r="G714" s="21" t="s">
        <v>64</v>
      </c>
      <c r="H714" s="21" t="s">
        <v>53</v>
      </c>
      <c r="I714" s="21" t="s">
        <v>53</v>
      </c>
      <c r="J714" s="21" t="s">
        <v>53</v>
      </c>
      <c r="K714" s="21" t="s">
        <v>53</v>
      </c>
      <c r="L714" s="22" t="str">
        <f t="shared" si="55"/>
        <v>EXCLUDE</v>
      </c>
      <c r="M714" s="22" t="str">
        <f t="shared" si="56"/>
        <v>Wrong domain (non-AECO)</v>
      </c>
      <c r="N714" s="23"/>
      <c r="O714" s="23"/>
      <c r="P714" s="24"/>
      <c r="Q714" s="24"/>
      <c r="R714" s="24"/>
      <c r="S714" s="22" t="str">
        <f t="shared" si="57"/>
        <v/>
      </c>
      <c r="T714" s="22" t="str">
        <f t="shared" si="58"/>
        <v/>
      </c>
      <c r="U714" s="25"/>
      <c r="V714" s="25"/>
      <c r="W714" s="25"/>
      <c r="X714" s="25"/>
      <c r="Y714" s="22" t="str">
        <f t="shared" si="59"/>
        <v/>
      </c>
      <c r="Z714" s="25"/>
      <c r="AA714" s="25"/>
      <c r="AB714" s="25"/>
      <c r="AC714" s="25"/>
      <c r="AD714" s="25"/>
      <c r="AE714" s="25"/>
      <c r="AF714" s="25"/>
      <c r="AG714" s="9"/>
      <c r="AH714" s="29"/>
      <c r="AI714" s="29"/>
      <c r="AM714" s="50"/>
      <c r="AN714" s="51" t="s">
        <v>3533</v>
      </c>
      <c r="AO714" s="55" t="s">
        <v>3534</v>
      </c>
    </row>
    <row r="715" spans="1:41" ht="57" hidden="1" x14ac:dyDescent="0.3">
      <c r="A715" s="20">
        <v>711</v>
      </c>
      <c r="B715" s="8" t="s">
        <v>3535</v>
      </c>
      <c r="C715" s="26">
        <v>2023</v>
      </c>
      <c r="D715" s="8"/>
      <c r="E715" s="8" t="s">
        <v>3536</v>
      </c>
      <c r="F715" s="20" t="s">
        <v>54</v>
      </c>
      <c r="G715" s="21" t="s">
        <v>53</v>
      </c>
      <c r="H715" s="21" t="s">
        <v>53</v>
      </c>
      <c r="I715" s="21" t="s">
        <v>64</v>
      </c>
      <c r="J715" s="21" t="s">
        <v>53</v>
      </c>
      <c r="K715" s="21" t="s">
        <v>53</v>
      </c>
      <c r="L715" s="22" t="str">
        <f t="shared" si="55"/>
        <v>EXCLUDE</v>
      </c>
      <c r="M715" s="22" t="str">
        <f t="shared" si="56"/>
        <v>No Design for Safety/Quality/PtD</v>
      </c>
      <c r="N715" s="23"/>
      <c r="O715" s="23"/>
      <c r="P715" s="24"/>
      <c r="Q715" s="24"/>
      <c r="R715" s="24"/>
      <c r="S715" s="22" t="str">
        <f t="shared" si="57"/>
        <v/>
      </c>
      <c r="T715" s="22" t="str">
        <f t="shared" si="58"/>
        <v/>
      </c>
      <c r="U715" s="25"/>
      <c r="V715" s="25"/>
      <c r="W715" s="25"/>
      <c r="X715" s="25"/>
      <c r="Y715" s="22" t="str">
        <f t="shared" si="59"/>
        <v/>
      </c>
      <c r="Z715" s="25"/>
      <c r="AA715" s="25"/>
      <c r="AB715" s="25"/>
      <c r="AC715" s="25"/>
      <c r="AD715" s="25"/>
      <c r="AE715" s="25"/>
      <c r="AF715" s="25"/>
      <c r="AG715" s="9"/>
      <c r="AH715" s="29"/>
      <c r="AI715" s="29"/>
      <c r="AM715" s="50"/>
      <c r="AN715" s="51" t="s">
        <v>3537</v>
      </c>
      <c r="AO715" s="55" t="s">
        <v>3538</v>
      </c>
    </row>
    <row r="716" spans="1:41" ht="57" hidden="1" x14ac:dyDescent="0.3">
      <c r="A716" s="20">
        <v>712</v>
      </c>
      <c r="B716" s="8" t="s">
        <v>3539</v>
      </c>
      <c r="C716" s="26">
        <v>2022</v>
      </c>
      <c r="D716" s="8"/>
      <c r="E716" s="8" t="s">
        <v>3540</v>
      </c>
      <c r="F716" s="20" t="s">
        <v>54</v>
      </c>
      <c r="G716" s="21" t="s">
        <v>64</v>
      </c>
      <c r="H716" s="21" t="s">
        <v>53</v>
      </c>
      <c r="I716" s="21" t="s">
        <v>53</v>
      </c>
      <c r="J716" s="21" t="s">
        <v>53</v>
      </c>
      <c r="K716" s="21" t="s">
        <v>53</v>
      </c>
      <c r="L716" s="22" t="str">
        <f t="shared" si="55"/>
        <v>EXCLUDE</v>
      </c>
      <c r="M716" s="22" t="str">
        <f t="shared" si="56"/>
        <v>Wrong domain (non-AECO)</v>
      </c>
      <c r="N716" s="23"/>
      <c r="O716" s="23"/>
      <c r="P716" s="24"/>
      <c r="Q716" s="24"/>
      <c r="R716" s="24"/>
      <c r="S716" s="22" t="str">
        <f t="shared" si="57"/>
        <v/>
      </c>
      <c r="T716" s="22" t="str">
        <f t="shared" si="58"/>
        <v/>
      </c>
      <c r="U716" s="25"/>
      <c r="V716" s="25"/>
      <c r="W716" s="25"/>
      <c r="X716" s="25"/>
      <c r="Y716" s="22" t="str">
        <f t="shared" si="59"/>
        <v/>
      </c>
      <c r="Z716" s="25"/>
      <c r="AA716" s="25"/>
      <c r="AB716" s="25"/>
      <c r="AC716" s="25"/>
      <c r="AD716" s="25"/>
      <c r="AE716" s="25"/>
      <c r="AF716" s="25"/>
      <c r="AG716" s="9"/>
      <c r="AH716" s="29"/>
      <c r="AI716" s="29"/>
      <c r="AM716" s="50"/>
      <c r="AN716" s="51" t="s">
        <v>3541</v>
      </c>
      <c r="AO716" s="55" t="s">
        <v>3542</v>
      </c>
    </row>
    <row r="717" spans="1:41" ht="45.6" hidden="1" x14ac:dyDescent="0.3">
      <c r="A717" s="20">
        <v>713</v>
      </c>
      <c r="B717" s="8" t="s">
        <v>3543</v>
      </c>
      <c r="C717" s="26">
        <v>2023</v>
      </c>
      <c r="D717" s="8"/>
      <c r="E717" s="8" t="s">
        <v>3544</v>
      </c>
      <c r="F717" s="20" t="s">
        <v>54</v>
      </c>
      <c r="G717" s="21" t="s">
        <v>53</v>
      </c>
      <c r="H717" s="21" t="s">
        <v>64</v>
      </c>
      <c r="I717" s="21" t="s">
        <v>53</v>
      </c>
      <c r="J717" s="21" t="s">
        <v>53</v>
      </c>
      <c r="K717" s="21" t="s">
        <v>53</v>
      </c>
      <c r="L717" s="22" t="str">
        <f t="shared" si="55"/>
        <v>EXCLUDE</v>
      </c>
      <c r="M717" s="22" t="str">
        <f t="shared" si="56"/>
        <v>Digital Twin not core / buzzword</v>
      </c>
      <c r="N717" s="23"/>
      <c r="O717" s="23"/>
      <c r="P717" s="24"/>
      <c r="Q717" s="24"/>
      <c r="R717" s="24"/>
      <c r="S717" s="22" t="str">
        <f t="shared" si="57"/>
        <v/>
      </c>
      <c r="T717" s="22" t="str">
        <f t="shared" si="58"/>
        <v/>
      </c>
      <c r="U717" s="25"/>
      <c r="V717" s="25"/>
      <c r="W717" s="25"/>
      <c r="X717" s="25"/>
      <c r="Y717" s="22" t="str">
        <f t="shared" si="59"/>
        <v/>
      </c>
      <c r="Z717" s="25"/>
      <c r="AA717" s="25"/>
      <c r="AB717" s="25"/>
      <c r="AC717" s="25"/>
      <c r="AD717" s="25"/>
      <c r="AE717" s="25"/>
      <c r="AF717" s="25"/>
      <c r="AG717" s="9"/>
      <c r="AH717" s="29"/>
      <c r="AI717" s="29"/>
      <c r="AM717" s="50"/>
      <c r="AN717" s="51" t="s">
        <v>3545</v>
      </c>
      <c r="AO717" s="55" t="s">
        <v>3546</v>
      </c>
    </row>
    <row r="718" spans="1:41" ht="79.8" hidden="1" x14ac:dyDescent="0.3">
      <c r="A718" s="20">
        <v>714</v>
      </c>
      <c r="B718" s="8" t="s">
        <v>3547</v>
      </c>
      <c r="C718" s="26">
        <v>2018</v>
      </c>
      <c r="D718" s="8"/>
      <c r="E718" s="8" t="s">
        <v>3548</v>
      </c>
      <c r="F718" s="20" t="s">
        <v>54</v>
      </c>
      <c r="G718" s="21" t="s">
        <v>64</v>
      </c>
      <c r="H718" s="21" t="s">
        <v>53</v>
      </c>
      <c r="I718" s="21" t="s">
        <v>53</v>
      </c>
      <c r="J718" s="21" t="s">
        <v>53</v>
      </c>
      <c r="K718" s="21" t="s">
        <v>53</v>
      </c>
      <c r="L718" s="22" t="str">
        <f t="shared" si="55"/>
        <v>EXCLUDE</v>
      </c>
      <c r="M718" s="22" t="str">
        <f t="shared" si="56"/>
        <v>Wrong domain (non-AECO)</v>
      </c>
      <c r="N718" s="23"/>
      <c r="O718" s="23"/>
      <c r="P718" s="24"/>
      <c r="Q718" s="24"/>
      <c r="R718" s="24"/>
      <c r="S718" s="22" t="str">
        <f t="shared" si="57"/>
        <v/>
      </c>
      <c r="T718" s="22" t="str">
        <f t="shared" si="58"/>
        <v/>
      </c>
      <c r="U718" s="25"/>
      <c r="V718" s="25"/>
      <c r="W718" s="25"/>
      <c r="X718" s="25"/>
      <c r="Y718" s="22" t="str">
        <f t="shared" si="59"/>
        <v/>
      </c>
      <c r="Z718" s="25"/>
      <c r="AA718" s="25"/>
      <c r="AB718" s="25"/>
      <c r="AC718" s="25"/>
      <c r="AD718" s="25"/>
      <c r="AE718" s="25"/>
      <c r="AF718" s="25"/>
      <c r="AG718" s="9"/>
      <c r="AH718" s="29"/>
      <c r="AI718" s="29"/>
      <c r="AM718" s="50"/>
      <c r="AN718" s="51" t="s">
        <v>3549</v>
      </c>
      <c r="AO718" s="55" t="s">
        <v>3550</v>
      </c>
    </row>
    <row r="719" spans="1:41" ht="45.6" hidden="1" x14ac:dyDescent="0.3">
      <c r="A719" s="20">
        <v>715</v>
      </c>
      <c r="B719" s="8" t="s">
        <v>3551</v>
      </c>
      <c r="C719" s="26">
        <v>2023</v>
      </c>
      <c r="D719" s="8"/>
      <c r="E719" s="8" t="s">
        <v>3552</v>
      </c>
      <c r="F719" s="20" t="s">
        <v>54</v>
      </c>
      <c r="G719" s="21" t="s">
        <v>64</v>
      </c>
      <c r="H719" s="21" t="s">
        <v>53</v>
      </c>
      <c r="I719" s="21" t="s">
        <v>53</v>
      </c>
      <c r="J719" s="21" t="s">
        <v>53</v>
      </c>
      <c r="K719" s="21" t="s">
        <v>53</v>
      </c>
      <c r="L719" s="22" t="str">
        <f t="shared" si="55"/>
        <v>EXCLUDE</v>
      </c>
      <c r="M719" s="22" t="str">
        <f t="shared" si="56"/>
        <v>Wrong domain (non-AECO)</v>
      </c>
      <c r="N719" s="23"/>
      <c r="O719" s="23"/>
      <c r="P719" s="24"/>
      <c r="Q719" s="24"/>
      <c r="R719" s="24"/>
      <c r="S719" s="22" t="str">
        <f t="shared" si="57"/>
        <v/>
      </c>
      <c r="T719" s="22" t="str">
        <f t="shared" si="58"/>
        <v/>
      </c>
      <c r="U719" s="25"/>
      <c r="V719" s="25"/>
      <c r="W719" s="25"/>
      <c r="X719" s="25"/>
      <c r="Y719" s="22" t="str">
        <f t="shared" si="59"/>
        <v/>
      </c>
      <c r="Z719" s="25"/>
      <c r="AA719" s="25"/>
      <c r="AB719" s="25"/>
      <c r="AC719" s="25"/>
      <c r="AD719" s="25"/>
      <c r="AE719" s="25"/>
      <c r="AF719" s="25"/>
      <c r="AG719" s="9"/>
      <c r="AH719" s="29"/>
      <c r="AI719" s="29"/>
      <c r="AM719" s="50"/>
      <c r="AN719" s="51" t="s">
        <v>3553</v>
      </c>
      <c r="AO719" s="55" t="s">
        <v>3554</v>
      </c>
    </row>
    <row r="720" spans="1:41" ht="79.8" x14ac:dyDescent="0.3">
      <c r="A720" s="20">
        <v>716</v>
      </c>
      <c r="B720" s="8" t="s">
        <v>3555</v>
      </c>
      <c r="C720" s="26">
        <v>2022</v>
      </c>
      <c r="D720" s="8"/>
      <c r="E720" s="8" t="s">
        <v>3556</v>
      </c>
      <c r="F720" s="20" t="s">
        <v>54</v>
      </c>
      <c r="G720" s="21" t="s">
        <v>53</v>
      </c>
      <c r="H720" s="21" t="s">
        <v>53</v>
      </c>
      <c r="I720" s="21" t="s">
        <v>53</v>
      </c>
      <c r="J720" s="21" t="s">
        <v>53</v>
      </c>
      <c r="K720" s="21" t="s">
        <v>53</v>
      </c>
      <c r="L720" s="22" t="str">
        <f t="shared" si="55"/>
        <v>INCLUDE</v>
      </c>
      <c r="M720" s="22" t="str">
        <f t="shared" si="56"/>
        <v/>
      </c>
      <c r="N720" s="23" t="s">
        <v>53</v>
      </c>
      <c r="O720" s="23" t="s">
        <v>53</v>
      </c>
      <c r="P720" s="24" t="s">
        <v>53</v>
      </c>
      <c r="Q720" s="24" t="s">
        <v>53</v>
      </c>
      <c r="R720" s="24" t="s">
        <v>53</v>
      </c>
      <c r="S720" s="22" t="str">
        <f t="shared" si="57"/>
        <v>INCLUDE</v>
      </c>
      <c r="T720" s="22" t="str">
        <f t="shared" si="58"/>
        <v/>
      </c>
      <c r="U720" s="25" t="s">
        <v>56</v>
      </c>
      <c r="V720" s="25">
        <v>1</v>
      </c>
      <c r="W720" s="25">
        <v>0</v>
      </c>
      <c r="X720" s="25">
        <v>0</v>
      </c>
      <c r="Y720" s="22" t="str">
        <f t="shared" si="59"/>
        <v>Single</v>
      </c>
      <c r="Z720" s="25" t="s">
        <v>9</v>
      </c>
      <c r="AA720" s="25" t="s">
        <v>57</v>
      </c>
      <c r="AB720" s="25" t="s">
        <v>103</v>
      </c>
      <c r="AC720" s="25" t="s">
        <v>70</v>
      </c>
      <c r="AD720" s="25" t="s">
        <v>89</v>
      </c>
      <c r="AE720" s="25">
        <v>3</v>
      </c>
      <c r="AF720" s="25" t="s">
        <v>90</v>
      </c>
      <c r="AG720" s="9" t="s">
        <v>3557</v>
      </c>
      <c r="AH720" s="29" t="s">
        <v>3558</v>
      </c>
      <c r="AI720" s="29" t="s">
        <v>3559</v>
      </c>
      <c r="AJ720" t="s">
        <v>91</v>
      </c>
      <c r="AK720" t="s">
        <v>3560</v>
      </c>
      <c r="AL720" t="s">
        <v>74</v>
      </c>
      <c r="AM720" s="50"/>
      <c r="AN720" s="51" t="s">
        <v>3561</v>
      </c>
      <c r="AO720" s="55" t="s">
        <v>3562</v>
      </c>
    </row>
    <row r="721" spans="1:41" ht="45.6" hidden="1" x14ac:dyDescent="0.3">
      <c r="A721" s="20">
        <v>717</v>
      </c>
      <c r="B721" s="8" t="s">
        <v>3563</v>
      </c>
      <c r="C721" s="26">
        <v>2020</v>
      </c>
      <c r="D721" s="8"/>
      <c r="E721" s="8" t="s">
        <v>3564</v>
      </c>
      <c r="F721" s="20" t="s">
        <v>54</v>
      </c>
      <c r="G721" s="21" t="s">
        <v>53</v>
      </c>
      <c r="H721" s="21" t="s">
        <v>64</v>
      </c>
      <c r="I721" s="21" t="s">
        <v>53</v>
      </c>
      <c r="J721" s="21" t="s">
        <v>53</v>
      </c>
      <c r="K721" s="21" t="s">
        <v>53</v>
      </c>
      <c r="L721" s="22" t="str">
        <f t="shared" si="55"/>
        <v>EXCLUDE</v>
      </c>
      <c r="M721" s="22" t="str">
        <f t="shared" si="56"/>
        <v>Digital Twin not core / buzzword</v>
      </c>
      <c r="N721" s="23"/>
      <c r="O721" s="23"/>
      <c r="P721" s="24"/>
      <c r="Q721" s="24"/>
      <c r="R721" s="24"/>
      <c r="S721" s="22" t="str">
        <f t="shared" si="57"/>
        <v/>
      </c>
      <c r="T721" s="22" t="str">
        <f t="shared" si="58"/>
        <v/>
      </c>
      <c r="U721" s="25"/>
      <c r="V721" s="25"/>
      <c r="W721" s="25"/>
      <c r="X721" s="25"/>
      <c r="Y721" s="22" t="str">
        <f t="shared" si="59"/>
        <v/>
      </c>
      <c r="Z721" s="25"/>
      <c r="AA721" s="25"/>
      <c r="AB721" s="25"/>
      <c r="AC721" s="25"/>
      <c r="AD721" s="25"/>
      <c r="AE721" s="25"/>
      <c r="AF721" s="25"/>
      <c r="AG721" s="9"/>
      <c r="AH721" s="29"/>
      <c r="AI721" s="29"/>
      <c r="AM721" s="50"/>
      <c r="AN721" s="51" t="s">
        <v>3565</v>
      </c>
      <c r="AO721" s="55" t="s">
        <v>3566</v>
      </c>
    </row>
    <row r="722" spans="1:41" ht="57" hidden="1" x14ac:dyDescent="0.3">
      <c r="A722" s="20">
        <v>718</v>
      </c>
      <c r="B722" s="8" t="s">
        <v>3567</v>
      </c>
      <c r="C722" s="26">
        <v>2025</v>
      </c>
      <c r="D722" s="8"/>
      <c r="E722" s="8" t="s">
        <v>3568</v>
      </c>
      <c r="F722" s="20" t="s">
        <v>54</v>
      </c>
      <c r="G722" s="21" t="s">
        <v>53</v>
      </c>
      <c r="H722" s="21" t="s">
        <v>64</v>
      </c>
      <c r="I722" s="21" t="s">
        <v>53</v>
      </c>
      <c r="J722" s="21" t="s">
        <v>53</v>
      </c>
      <c r="K722" s="21" t="s">
        <v>53</v>
      </c>
      <c r="L722" s="22" t="str">
        <f t="shared" si="55"/>
        <v>EXCLUDE</v>
      </c>
      <c r="M722" s="22" t="str">
        <f t="shared" si="56"/>
        <v>Digital Twin not core / buzzword</v>
      </c>
      <c r="N722" s="23"/>
      <c r="O722" s="23"/>
      <c r="P722" s="24"/>
      <c r="Q722" s="24"/>
      <c r="R722" s="24"/>
      <c r="S722" s="22" t="str">
        <f t="shared" si="57"/>
        <v/>
      </c>
      <c r="T722" s="22" t="str">
        <f t="shared" si="58"/>
        <v/>
      </c>
      <c r="U722" s="25"/>
      <c r="V722" s="25"/>
      <c r="W722" s="25"/>
      <c r="X722" s="25"/>
      <c r="Y722" s="22" t="str">
        <f t="shared" si="59"/>
        <v/>
      </c>
      <c r="Z722" s="25"/>
      <c r="AA722" s="25"/>
      <c r="AB722" s="25"/>
      <c r="AC722" s="25"/>
      <c r="AD722" s="25"/>
      <c r="AE722" s="25"/>
      <c r="AF722" s="25"/>
      <c r="AG722" s="9"/>
      <c r="AH722" s="29"/>
      <c r="AI722" s="29"/>
      <c r="AM722" s="50"/>
      <c r="AN722" s="51" t="s">
        <v>3569</v>
      </c>
      <c r="AO722" s="55" t="s">
        <v>3570</v>
      </c>
    </row>
    <row r="723" spans="1:41" ht="91.2" hidden="1" x14ac:dyDescent="0.3">
      <c r="A723" s="20">
        <v>719</v>
      </c>
      <c r="B723" s="8" t="s">
        <v>3571</v>
      </c>
      <c r="C723" s="26">
        <v>2025</v>
      </c>
      <c r="D723" s="8"/>
      <c r="E723" s="8" t="s">
        <v>3572</v>
      </c>
      <c r="F723" s="20" t="s">
        <v>54</v>
      </c>
      <c r="G723" s="21" t="s">
        <v>64</v>
      </c>
      <c r="H723" s="21" t="s">
        <v>53</v>
      </c>
      <c r="I723" s="21" t="s">
        <v>53</v>
      </c>
      <c r="J723" s="21" t="s">
        <v>53</v>
      </c>
      <c r="K723" s="21" t="s">
        <v>64</v>
      </c>
      <c r="L723" s="22" t="str">
        <f t="shared" si="55"/>
        <v>EXCLUDE</v>
      </c>
      <c r="M723" s="22" t="str">
        <f t="shared" si="56"/>
        <v>Wrong domain (non-AECO)</v>
      </c>
      <c r="N723" s="23"/>
      <c r="O723" s="23"/>
      <c r="P723" s="24"/>
      <c r="Q723" s="24"/>
      <c r="R723" s="24"/>
      <c r="S723" s="22" t="str">
        <f t="shared" si="57"/>
        <v/>
      </c>
      <c r="T723" s="22" t="str">
        <f t="shared" si="58"/>
        <v/>
      </c>
      <c r="U723" s="25"/>
      <c r="V723" s="25"/>
      <c r="W723" s="25"/>
      <c r="X723" s="25"/>
      <c r="Y723" s="22" t="str">
        <f t="shared" si="59"/>
        <v/>
      </c>
      <c r="Z723" s="25"/>
      <c r="AA723" s="25"/>
      <c r="AB723" s="25"/>
      <c r="AC723" s="25"/>
      <c r="AD723" s="25"/>
      <c r="AE723" s="25"/>
      <c r="AF723" s="25"/>
      <c r="AG723" s="9"/>
      <c r="AH723" s="29"/>
      <c r="AI723" s="29"/>
      <c r="AM723" s="50"/>
      <c r="AN723" s="51" t="s">
        <v>3573</v>
      </c>
      <c r="AO723" s="55" t="s">
        <v>3574</v>
      </c>
    </row>
    <row r="724" spans="1:41" ht="57" hidden="1" x14ac:dyDescent="0.3">
      <c r="A724" s="20">
        <v>720</v>
      </c>
      <c r="B724" s="8" t="s">
        <v>3575</v>
      </c>
      <c r="C724" s="26">
        <v>2023</v>
      </c>
      <c r="D724" s="8"/>
      <c r="E724" s="8" t="s">
        <v>3576</v>
      </c>
      <c r="F724" s="20" t="s">
        <v>54</v>
      </c>
      <c r="G724" s="21" t="s">
        <v>53</v>
      </c>
      <c r="H724" s="21" t="s">
        <v>64</v>
      </c>
      <c r="I724" s="21" t="s">
        <v>53</v>
      </c>
      <c r="J724" s="21" t="s">
        <v>53</v>
      </c>
      <c r="K724" s="21" t="s">
        <v>53</v>
      </c>
      <c r="L724" s="22" t="str">
        <f t="shared" si="55"/>
        <v>EXCLUDE</v>
      </c>
      <c r="M724" s="22" t="str">
        <f t="shared" si="56"/>
        <v>Digital Twin not core / buzzword</v>
      </c>
      <c r="N724" s="23"/>
      <c r="O724" s="23"/>
      <c r="P724" s="24"/>
      <c r="Q724" s="24"/>
      <c r="R724" s="24"/>
      <c r="S724" s="22" t="str">
        <f t="shared" si="57"/>
        <v/>
      </c>
      <c r="T724" s="22" t="str">
        <f t="shared" si="58"/>
        <v/>
      </c>
      <c r="U724" s="25"/>
      <c r="V724" s="25"/>
      <c r="W724" s="25"/>
      <c r="X724" s="25"/>
      <c r="Y724" s="22" t="str">
        <f t="shared" si="59"/>
        <v/>
      </c>
      <c r="Z724" s="25"/>
      <c r="AA724" s="25"/>
      <c r="AB724" s="25"/>
      <c r="AC724" s="25"/>
      <c r="AD724" s="25"/>
      <c r="AE724" s="25"/>
      <c r="AF724" s="25"/>
      <c r="AG724" s="9"/>
      <c r="AH724" s="29"/>
      <c r="AI724" s="29"/>
      <c r="AM724" s="50"/>
      <c r="AN724" s="51" t="s">
        <v>3577</v>
      </c>
      <c r="AO724" s="55" t="s">
        <v>3578</v>
      </c>
    </row>
    <row r="725" spans="1:41" ht="57" hidden="1" x14ac:dyDescent="0.3">
      <c r="A725" s="20">
        <v>721</v>
      </c>
      <c r="B725" s="8" t="s">
        <v>3579</v>
      </c>
      <c r="C725" s="26">
        <v>2019</v>
      </c>
      <c r="D725" s="8"/>
      <c r="E725" s="8" t="s">
        <v>3580</v>
      </c>
      <c r="F725" s="20" t="s">
        <v>54</v>
      </c>
      <c r="G725" s="21" t="s">
        <v>64</v>
      </c>
      <c r="H725" s="21" t="s">
        <v>53</v>
      </c>
      <c r="I725" s="21" t="s">
        <v>53</v>
      </c>
      <c r="J725" s="21" t="s">
        <v>53</v>
      </c>
      <c r="K725" s="21" t="s">
        <v>53</v>
      </c>
      <c r="L725" s="22" t="str">
        <f t="shared" si="55"/>
        <v>EXCLUDE</v>
      </c>
      <c r="M725" s="22" t="str">
        <f t="shared" si="56"/>
        <v>Wrong domain (non-AECO)</v>
      </c>
      <c r="N725" s="23"/>
      <c r="O725" s="23"/>
      <c r="P725" s="24"/>
      <c r="Q725" s="24"/>
      <c r="R725" s="24"/>
      <c r="S725" s="22" t="str">
        <f t="shared" si="57"/>
        <v/>
      </c>
      <c r="T725" s="22" t="str">
        <f t="shared" si="58"/>
        <v/>
      </c>
      <c r="U725" s="25"/>
      <c r="V725" s="25"/>
      <c r="W725" s="25"/>
      <c r="X725" s="25"/>
      <c r="Y725" s="22" t="str">
        <f t="shared" si="59"/>
        <v/>
      </c>
      <c r="Z725" s="25"/>
      <c r="AA725" s="25"/>
      <c r="AB725" s="25"/>
      <c r="AC725" s="25"/>
      <c r="AD725" s="25"/>
      <c r="AE725" s="25"/>
      <c r="AF725" s="25"/>
      <c r="AG725" s="9"/>
      <c r="AH725" s="29"/>
      <c r="AI725" s="29"/>
      <c r="AM725" s="50"/>
      <c r="AN725" s="51" t="s">
        <v>3581</v>
      </c>
      <c r="AO725" s="55" t="s">
        <v>3582</v>
      </c>
    </row>
    <row r="726" spans="1:41" ht="125.4" x14ac:dyDescent="0.3">
      <c r="A726" s="20">
        <v>722</v>
      </c>
      <c r="B726" s="8" t="s">
        <v>3583</v>
      </c>
      <c r="C726" s="26">
        <v>2025</v>
      </c>
      <c r="D726" s="8"/>
      <c r="E726" s="8" t="s">
        <v>3584</v>
      </c>
      <c r="F726" s="20" t="s">
        <v>54</v>
      </c>
      <c r="G726" s="21" t="s">
        <v>53</v>
      </c>
      <c r="H726" s="21" t="s">
        <v>53</v>
      </c>
      <c r="I726" s="21" t="s">
        <v>53</v>
      </c>
      <c r="J726" s="21" t="s">
        <v>53</v>
      </c>
      <c r="K726" s="21" t="s">
        <v>53</v>
      </c>
      <c r="L726" s="22" t="str">
        <f t="shared" si="55"/>
        <v>INCLUDE</v>
      </c>
      <c r="M726" s="22" t="str">
        <f t="shared" si="56"/>
        <v/>
      </c>
      <c r="N726" s="23" t="s">
        <v>53</v>
      </c>
      <c r="O726" s="23" t="s">
        <v>53</v>
      </c>
      <c r="P726" s="24" t="s">
        <v>53</v>
      </c>
      <c r="Q726" s="24" t="s">
        <v>53</v>
      </c>
      <c r="R726" s="24" t="s">
        <v>53</v>
      </c>
      <c r="S726" s="22" t="str">
        <f t="shared" si="57"/>
        <v>INCLUDE</v>
      </c>
      <c r="T726" s="22" t="str">
        <f t="shared" si="58"/>
        <v/>
      </c>
      <c r="U726" s="25" t="s">
        <v>67</v>
      </c>
      <c r="V726" s="25">
        <v>0</v>
      </c>
      <c r="W726" s="25">
        <v>1</v>
      </c>
      <c r="X726" s="25">
        <v>0</v>
      </c>
      <c r="Y726" s="22" t="str">
        <f t="shared" si="59"/>
        <v>Single</v>
      </c>
      <c r="Z726" s="25" t="s">
        <v>9</v>
      </c>
      <c r="AA726" s="25" t="s">
        <v>57</v>
      </c>
      <c r="AB726" s="25" t="s">
        <v>58</v>
      </c>
      <c r="AC726" s="25" t="s">
        <v>70</v>
      </c>
      <c r="AD726" s="25" t="s">
        <v>71</v>
      </c>
      <c r="AE726" s="25">
        <v>4</v>
      </c>
      <c r="AF726" s="25" t="s">
        <v>81</v>
      </c>
      <c r="AG726" s="9" t="s">
        <v>3585</v>
      </c>
      <c r="AH726" s="29" t="s">
        <v>3586</v>
      </c>
      <c r="AI726" s="29" t="s">
        <v>3587</v>
      </c>
      <c r="AJ726" t="s">
        <v>91</v>
      </c>
      <c r="AK726" t="s">
        <v>3588</v>
      </c>
      <c r="AL726" t="s">
        <v>63</v>
      </c>
      <c r="AM726" s="50"/>
      <c r="AN726" s="51" t="s">
        <v>3589</v>
      </c>
      <c r="AO726" s="55" t="s">
        <v>3590</v>
      </c>
    </row>
    <row r="727" spans="1:41" ht="91.2" x14ac:dyDescent="0.3">
      <c r="A727" s="20">
        <v>723</v>
      </c>
      <c r="B727" s="8" t="s">
        <v>3591</v>
      </c>
      <c r="C727" s="26">
        <v>2023</v>
      </c>
      <c r="D727" s="8"/>
      <c r="E727" s="8" t="s">
        <v>3592</v>
      </c>
      <c r="F727" s="20" t="s">
        <v>54</v>
      </c>
      <c r="G727" s="21" t="s">
        <v>53</v>
      </c>
      <c r="H727" s="21" t="s">
        <v>53</v>
      </c>
      <c r="I727" s="21" t="s">
        <v>53</v>
      </c>
      <c r="J727" s="21" t="s">
        <v>53</v>
      </c>
      <c r="K727" s="21" t="s">
        <v>53</v>
      </c>
      <c r="L727" s="22" t="str">
        <f t="shared" si="55"/>
        <v>INCLUDE</v>
      </c>
      <c r="M727" s="22" t="str">
        <f t="shared" si="56"/>
        <v/>
      </c>
      <c r="N727" s="23" t="s">
        <v>53</v>
      </c>
      <c r="O727" s="23" t="s">
        <v>53</v>
      </c>
      <c r="P727" s="24" t="s">
        <v>53</v>
      </c>
      <c r="Q727" s="24" t="s">
        <v>53</v>
      </c>
      <c r="R727" s="24" t="s">
        <v>53</v>
      </c>
      <c r="S727" s="22" t="str">
        <f t="shared" si="57"/>
        <v>INCLUDE</v>
      </c>
      <c r="T727" s="22" t="str">
        <f t="shared" si="58"/>
        <v/>
      </c>
      <c r="U727" s="25" t="s">
        <v>67</v>
      </c>
      <c r="V727" s="25">
        <v>0</v>
      </c>
      <c r="W727" s="25">
        <v>0</v>
      </c>
      <c r="X727" s="25">
        <v>1</v>
      </c>
      <c r="Y727" s="22" t="str">
        <f t="shared" si="59"/>
        <v>Single</v>
      </c>
      <c r="Z727" s="25" t="s">
        <v>9</v>
      </c>
      <c r="AA727" s="25" t="s">
        <v>57</v>
      </c>
      <c r="AB727" s="25" t="s">
        <v>103</v>
      </c>
      <c r="AC727" s="25" t="s">
        <v>70</v>
      </c>
      <c r="AD727" s="25" t="s">
        <v>89</v>
      </c>
      <c r="AE727" s="25">
        <v>4</v>
      </c>
      <c r="AF727" s="25" t="s">
        <v>90</v>
      </c>
      <c r="AG727" s="9" t="s">
        <v>3593</v>
      </c>
      <c r="AH727" s="29" t="s">
        <v>3594</v>
      </c>
      <c r="AI727" s="29" t="s">
        <v>3595</v>
      </c>
      <c r="AJ727" t="s">
        <v>91</v>
      </c>
      <c r="AK727" t="s">
        <v>3596</v>
      </c>
      <c r="AL727" t="s">
        <v>63</v>
      </c>
      <c r="AM727" s="50"/>
      <c r="AN727" s="51" t="s">
        <v>3597</v>
      </c>
      <c r="AO727" s="55" t="s">
        <v>3598</v>
      </c>
    </row>
    <row r="728" spans="1:41" ht="22.8" hidden="1" x14ac:dyDescent="0.3">
      <c r="A728" s="20">
        <v>724</v>
      </c>
      <c r="B728" s="8" t="s">
        <v>3599</v>
      </c>
      <c r="C728" s="26">
        <v>2023</v>
      </c>
      <c r="D728" s="8"/>
      <c r="E728" s="8" t="s">
        <v>3600</v>
      </c>
      <c r="F728" s="20" t="s">
        <v>54</v>
      </c>
      <c r="G728" s="21" t="s">
        <v>64</v>
      </c>
      <c r="H728" s="21" t="s">
        <v>53</v>
      </c>
      <c r="I728" s="21" t="s">
        <v>53</v>
      </c>
      <c r="J728" s="21" t="s">
        <v>53</v>
      </c>
      <c r="K728" s="21" t="s">
        <v>53</v>
      </c>
      <c r="L728" s="22" t="str">
        <f t="shared" si="55"/>
        <v>EXCLUDE</v>
      </c>
      <c r="M728" s="22" t="str">
        <f t="shared" si="56"/>
        <v>Wrong domain (non-AECO)</v>
      </c>
      <c r="N728" s="23"/>
      <c r="O728" s="23"/>
      <c r="P728" s="24"/>
      <c r="Q728" s="24"/>
      <c r="R728" s="24"/>
      <c r="S728" s="22" t="str">
        <f t="shared" si="57"/>
        <v/>
      </c>
      <c r="T728" s="22" t="str">
        <f t="shared" si="58"/>
        <v/>
      </c>
      <c r="U728" s="25"/>
      <c r="V728" s="25"/>
      <c r="W728" s="25"/>
      <c r="X728" s="25"/>
      <c r="Y728" s="22" t="str">
        <f t="shared" si="59"/>
        <v/>
      </c>
      <c r="Z728" s="25"/>
      <c r="AA728" s="25"/>
      <c r="AB728" s="25"/>
      <c r="AC728" s="25"/>
      <c r="AD728" s="25"/>
      <c r="AE728" s="25"/>
      <c r="AF728" s="25"/>
      <c r="AG728" s="9"/>
      <c r="AH728" s="29"/>
      <c r="AI728" s="29"/>
      <c r="AM728" s="50"/>
      <c r="AN728" s="51" t="s">
        <v>3601</v>
      </c>
      <c r="AO728" s="55" t="s">
        <v>3602</v>
      </c>
    </row>
    <row r="729" spans="1:41" ht="68.400000000000006" hidden="1" x14ac:dyDescent="0.3">
      <c r="A729" s="20">
        <v>725</v>
      </c>
      <c r="B729" s="8" t="s">
        <v>3603</v>
      </c>
      <c r="C729" s="26">
        <v>2023</v>
      </c>
      <c r="D729" s="8"/>
      <c r="E729" s="8" t="s">
        <v>3604</v>
      </c>
      <c r="F729" s="20" t="s">
        <v>54</v>
      </c>
      <c r="G729" s="21" t="s">
        <v>64</v>
      </c>
      <c r="H729" s="21" t="s">
        <v>53</v>
      </c>
      <c r="I729" s="21" t="s">
        <v>53</v>
      </c>
      <c r="J729" s="21" t="s">
        <v>53</v>
      </c>
      <c r="K729" s="21" t="s">
        <v>53</v>
      </c>
      <c r="L729" s="22" t="str">
        <f t="shared" si="55"/>
        <v>EXCLUDE</v>
      </c>
      <c r="M729" s="22" t="str">
        <f t="shared" si="56"/>
        <v>Wrong domain (non-AECO)</v>
      </c>
      <c r="N729" s="23"/>
      <c r="O729" s="23"/>
      <c r="P729" s="24"/>
      <c r="Q729" s="24"/>
      <c r="R729" s="24"/>
      <c r="S729" s="22" t="str">
        <f t="shared" si="57"/>
        <v/>
      </c>
      <c r="T729" s="22" t="str">
        <f t="shared" si="58"/>
        <v/>
      </c>
      <c r="U729" s="25"/>
      <c r="V729" s="25"/>
      <c r="W729" s="25"/>
      <c r="X729" s="25"/>
      <c r="Y729" s="22" t="str">
        <f t="shared" si="59"/>
        <v/>
      </c>
      <c r="Z729" s="25"/>
      <c r="AA729" s="25"/>
      <c r="AB729" s="25"/>
      <c r="AC729" s="25"/>
      <c r="AD729" s="25"/>
      <c r="AE729" s="25"/>
      <c r="AF729" s="25"/>
      <c r="AG729" s="9"/>
      <c r="AH729" s="29"/>
      <c r="AI729" s="29"/>
      <c r="AM729" s="50"/>
      <c r="AN729" s="51" t="s">
        <v>3605</v>
      </c>
      <c r="AO729" s="55" t="s">
        <v>3606</v>
      </c>
    </row>
    <row r="730" spans="1:41" ht="57" hidden="1" x14ac:dyDescent="0.3">
      <c r="A730" s="20">
        <v>726</v>
      </c>
      <c r="B730" s="8" t="s">
        <v>3607</v>
      </c>
      <c r="C730" s="26">
        <v>2023</v>
      </c>
      <c r="D730" s="8"/>
      <c r="E730" s="8" t="s">
        <v>3608</v>
      </c>
      <c r="F730" s="20" t="s">
        <v>54</v>
      </c>
      <c r="G730" s="21" t="s">
        <v>64</v>
      </c>
      <c r="H730" s="21" t="s">
        <v>53</v>
      </c>
      <c r="I730" s="21" t="s">
        <v>53</v>
      </c>
      <c r="J730" s="21" t="s">
        <v>53</v>
      </c>
      <c r="K730" s="21" t="s">
        <v>53</v>
      </c>
      <c r="L730" s="22" t="str">
        <f t="shared" si="55"/>
        <v>EXCLUDE</v>
      </c>
      <c r="M730" s="22" t="str">
        <f t="shared" si="56"/>
        <v>Wrong domain (non-AECO)</v>
      </c>
      <c r="N730" s="23"/>
      <c r="O730" s="23"/>
      <c r="P730" s="24"/>
      <c r="Q730" s="24"/>
      <c r="R730" s="24"/>
      <c r="S730" s="22" t="str">
        <f t="shared" si="57"/>
        <v/>
      </c>
      <c r="T730" s="22" t="str">
        <f t="shared" si="58"/>
        <v/>
      </c>
      <c r="U730" s="25"/>
      <c r="V730" s="25"/>
      <c r="W730" s="25"/>
      <c r="X730" s="25"/>
      <c r="Y730" s="22" t="str">
        <f t="shared" si="59"/>
        <v/>
      </c>
      <c r="Z730" s="25"/>
      <c r="AA730" s="25"/>
      <c r="AB730" s="25"/>
      <c r="AC730" s="25"/>
      <c r="AD730" s="25"/>
      <c r="AE730" s="25"/>
      <c r="AF730" s="25"/>
      <c r="AG730" s="9"/>
      <c r="AH730" s="29"/>
      <c r="AI730" s="29"/>
      <c r="AM730" s="50"/>
      <c r="AN730" s="51" t="s">
        <v>3609</v>
      </c>
      <c r="AO730" s="55" t="s">
        <v>3610</v>
      </c>
    </row>
    <row r="731" spans="1:41" ht="34.200000000000003" hidden="1" x14ac:dyDescent="0.3">
      <c r="A731" s="20">
        <v>727</v>
      </c>
      <c r="B731" s="8" t="s">
        <v>3611</v>
      </c>
      <c r="C731" s="26">
        <v>2022</v>
      </c>
      <c r="D731" s="8"/>
      <c r="E731" s="8" t="s">
        <v>3612</v>
      </c>
      <c r="F731" s="20" t="s">
        <v>54</v>
      </c>
      <c r="G731" s="21" t="s">
        <v>64</v>
      </c>
      <c r="H731" s="21" t="s">
        <v>53</v>
      </c>
      <c r="I731" s="21" t="s">
        <v>53</v>
      </c>
      <c r="J731" s="21" t="s">
        <v>53</v>
      </c>
      <c r="K731" s="21" t="s">
        <v>53</v>
      </c>
      <c r="L731" s="22" t="str">
        <f t="shared" si="55"/>
        <v>EXCLUDE</v>
      </c>
      <c r="M731" s="22" t="str">
        <f t="shared" si="56"/>
        <v>Wrong domain (non-AECO)</v>
      </c>
      <c r="N731" s="23"/>
      <c r="O731" s="23"/>
      <c r="P731" s="24"/>
      <c r="Q731" s="24"/>
      <c r="R731" s="24"/>
      <c r="S731" s="22" t="str">
        <f t="shared" si="57"/>
        <v/>
      </c>
      <c r="T731" s="22" t="str">
        <f t="shared" si="58"/>
        <v/>
      </c>
      <c r="U731" s="25"/>
      <c r="V731" s="25"/>
      <c r="W731" s="25"/>
      <c r="X731" s="25"/>
      <c r="Y731" s="22" t="str">
        <f t="shared" si="59"/>
        <v/>
      </c>
      <c r="Z731" s="25"/>
      <c r="AA731" s="25"/>
      <c r="AB731" s="25"/>
      <c r="AC731" s="25"/>
      <c r="AD731" s="25"/>
      <c r="AE731" s="25"/>
      <c r="AF731" s="25"/>
      <c r="AG731" s="9"/>
      <c r="AH731" s="29"/>
      <c r="AI731" s="29"/>
      <c r="AM731" s="50"/>
      <c r="AN731" s="51" t="s">
        <v>3613</v>
      </c>
      <c r="AO731" s="55" t="s">
        <v>3614</v>
      </c>
    </row>
    <row r="732" spans="1:41" ht="57" hidden="1" x14ac:dyDescent="0.3">
      <c r="A732" s="20">
        <v>728</v>
      </c>
      <c r="B732" s="8" t="s">
        <v>3615</v>
      </c>
      <c r="C732" s="26">
        <v>2021</v>
      </c>
      <c r="D732" s="8"/>
      <c r="E732" s="8" t="s">
        <v>3616</v>
      </c>
      <c r="F732" s="20" t="s">
        <v>54</v>
      </c>
      <c r="G732" s="21" t="s">
        <v>64</v>
      </c>
      <c r="H732" s="21" t="s">
        <v>53</v>
      </c>
      <c r="I732" s="21" t="s">
        <v>53</v>
      </c>
      <c r="J732" s="21" t="s">
        <v>53</v>
      </c>
      <c r="K732" s="21" t="s">
        <v>53</v>
      </c>
      <c r="L732" s="22" t="str">
        <f t="shared" si="55"/>
        <v>EXCLUDE</v>
      </c>
      <c r="M732" s="22" t="str">
        <f t="shared" si="56"/>
        <v>Wrong domain (non-AECO)</v>
      </c>
      <c r="N732" s="23"/>
      <c r="O732" s="23"/>
      <c r="P732" s="24"/>
      <c r="Q732" s="24"/>
      <c r="R732" s="24"/>
      <c r="S732" s="22" t="str">
        <f t="shared" si="57"/>
        <v/>
      </c>
      <c r="T732" s="22" t="str">
        <f t="shared" si="58"/>
        <v/>
      </c>
      <c r="U732" s="25"/>
      <c r="V732" s="25"/>
      <c r="W732" s="25"/>
      <c r="X732" s="25"/>
      <c r="Y732" s="22" t="str">
        <f t="shared" si="59"/>
        <v/>
      </c>
      <c r="Z732" s="25"/>
      <c r="AA732" s="25"/>
      <c r="AB732" s="25"/>
      <c r="AC732" s="25"/>
      <c r="AD732" s="25"/>
      <c r="AE732" s="25"/>
      <c r="AF732" s="25"/>
      <c r="AG732" s="9"/>
      <c r="AH732" s="29"/>
      <c r="AI732" s="29"/>
      <c r="AM732" s="50"/>
      <c r="AN732" s="51" t="s">
        <v>3617</v>
      </c>
      <c r="AO732" s="55" t="s">
        <v>3618</v>
      </c>
    </row>
    <row r="733" spans="1:41" ht="45.6" hidden="1" x14ac:dyDescent="0.3">
      <c r="A733" s="20">
        <v>729</v>
      </c>
      <c r="B733" s="8" t="s">
        <v>3619</v>
      </c>
      <c r="C733" s="26">
        <v>2024</v>
      </c>
      <c r="D733" s="8"/>
      <c r="E733" s="8" t="s">
        <v>3620</v>
      </c>
      <c r="F733" s="20" t="s">
        <v>54</v>
      </c>
      <c r="G733" s="21" t="s">
        <v>64</v>
      </c>
      <c r="H733" s="21" t="s">
        <v>53</v>
      </c>
      <c r="I733" s="21" t="s">
        <v>53</v>
      </c>
      <c r="J733" s="21" t="s">
        <v>53</v>
      </c>
      <c r="K733" s="21" t="s">
        <v>53</v>
      </c>
      <c r="L733" s="22" t="str">
        <f t="shared" si="55"/>
        <v>EXCLUDE</v>
      </c>
      <c r="M733" s="22" t="str">
        <f t="shared" si="56"/>
        <v>Wrong domain (non-AECO)</v>
      </c>
      <c r="N733" s="23"/>
      <c r="O733" s="23"/>
      <c r="P733" s="24"/>
      <c r="Q733" s="24"/>
      <c r="R733" s="24"/>
      <c r="S733" s="22" t="str">
        <f t="shared" si="57"/>
        <v/>
      </c>
      <c r="T733" s="22" t="str">
        <f t="shared" si="58"/>
        <v/>
      </c>
      <c r="U733" s="25"/>
      <c r="V733" s="25"/>
      <c r="W733" s="25"/>
      <c r="X733" s="25"/>
      <c r="Y733" s="22" t="str">
        <f t="shared" si="59"/>
        <v/>
      </c>
      <c r="Z733" s="25"/>
      <c r="AA733" s="25"/>
      <c r="AB733" s="25"/>
      <c r="AC733" s="25"/>
      <c r="AD733" s="25"/>
      <c r="AE733" s="25"/>
      <c r="AF733" s="25"/>
      <c r="AG733" s="9"/>
      <c r="AH733" s="29"/>
      <c r="AI733" s="29"/>
      <c r="AM733" s="50"/>
      <c r="AN733" s="51" t="s">
        <v>3621</v>
      </c>
      <c r="AO733" s="55" t="s">
        <v>3622</v>
      </c>
    </row>
    <row r="734" spans="1:41" ht="28.8" hidden="1" x14ac:dyDescent="0.3">
      <c r="A734" s="20">
        <v>730</v>
      </c>
      <c r="B734" s="8" t="s">
        <v>3623</v>
      </c>
      <c r="C734" s="26">
        <v>2020</v>
      </c>
      <c r="D734" s="8"/>
      <c r="E734" s="8" t="s">
        <v>3624</v>
      </c>
      <c r="F734" s="20" t="s">
        <v>54</v>
      </c>
      <c r="G734" s="21" t="s">
        <v>64</v>
      </c>
      <c r="H734" s="21" t="s">
        <v>53</v>
      </c>
      <c r="I734" s="21" t="s">
        <v>53</v>
      </c>
      <c r="J734" s="21" t="s">
        <v>53</v>
      </c>
      <c r="K734" s="21" t="s">
        <v>53</v>
      </c>
      <c r="L734" s="22" t="str">
        <f t="shared" si="55"/>
        <v>EXCLUDE</v>
      </c>
      <c r="M734" s="22" t="str">
        <f t="shared" si="56"/>
        <v>Wrong domain (non-AECO)</v>
      </c>
      <c r="N734" s="23"/>
      <c r="O734" s="23"/>
      <c r="P734" s="24"/>
      <c r="Q734" s="24"/>
      <c r="R734" s="24"/>
      <c r="S734" s="22" t="str">
        <f t="shared" si="57"/>
        <v/>
      </c>
      <c r="T734" s="22" t="str">
        <f t="shared" si="58"/>
        <v/>
      </c>
      <c r="U734" s="25"/>
      <c r="V734" s="25"/>
      <c r="W734" s="25"/>
      <c r="X734" s="25"/>
      <c r="Y734" s="22" t="str">
        <f t="shared" si="59"/>
        <v/>
      </c>
      <c r="Z734" s="25"/>
      <c r="AA734" s="25"/>
      <c r="AB734" s="25"/>
      <c r="AC734" s="25"/>
      <c r="AD734" s="25"/>
      <c r="AE734" s="25"/>
      <c r="AF734" s="25"/>
      <c r="AG734" s="9"/>
      <c r="AH734" s="29"/>
      <c r="AI734" s="29"/>
      <c r="AM734" s="50"/>
      <c r="AN734" s="51" t="s">
        <v>3625</v>
      </c>
      <c r="AO734" s="55" t="s">
        <v>3626</v>
      </c>
    </row>
    <row r="735" spans="1:41" ht="86.4" hidden="1" x14ac:dyDescent="0.3">
      <c r="A735" s="20">
        <v>731</v>
      </c>
      <c r="B735" s="8" t="s">
        <v>3627</v>
      </c>
      <c r="C735" s="26">
        <v>2025</v>
      </c>
      <c r="D735" s="8"/>
      <c r="E735" s="8" t="s">
        <v>3628</v>
      </c>
      <c r="F735" s="20" t="s">
        <v>54</v>
      </c>
      <c r="G735" s="21" t="s">
        <v>53</v>
      </c>
      <c r="H735" s="21" t="s">
        <v>53</v>
      </c>
      <c r="I735" s="21" t="s">
        <v>53</v>
      </c>
      <c r="J735" s="21" t="s">
        <v>53</v>
      </c>
      <c r="K735" s="21" t="s">
        <v>53</v>
      </c>
      <c r="L735" s="22" t="str">
        <f t="shared" si="55"/>
        <v>INCLUDE</v>
      </c>
      <c r="M735" s="22" t="str">
        <f t="shared" si="56"/>
        <v/>
      </c>
      <c r="N735" s="23" t="s">
        <v>53</v>
      </c>
      <c r="O735" s="23" t="s">
        <v>53</v>
      </c>
      <c r="P735" s="24" t="s">
        <v>64</v>
      </c>
      <c r="Q735" s="24" t="s">
        <v>64</v>
      </c>
      <c r="R735" s="24" t="s">
        <v>64</v>
      </c>
      <c r="S735" s="22" t="str">
        <f t="shared" si="57"/>
        <v>EXCLUDE</v>
      </c>
      <c r="T735" s="22" t="str">
        <f t="shared" si="58"/>
        <v>Digital Twin mentioned only, not the subject</v>
      </c>
      <c r="U735" s="25"/>
      <c r="V735" s="25"/>
      <c r="W735" s="25"/>
      <c r="X735" s="25"/>
      <c r="Y735" s="22" t="str">
        <f t="shared" si="59"/>
        <v/>
      </c>
      <c r="Z735" s="25"/>
      <c r="AA735" s="25"/>
      <c r="AB735" s="25"/>
      <c r="AC735" s="25"/>
      <c r="AD735" s="25"/>
      <c r="AE735" s="25"/>
      <c r="AF735" s="25"/>
      <c r="AG735" s="9" t="s">
        <v>3629</v>
      </c>
      <c r="AH735" s="29"/>
      <c r="AI735" s="29"/>
      <c r="AM735" s="50"/>
      <c r="AN735" s="51" t="s">
        <v>3630</v>
      </c>
      <c r="AO735" s="55" t="s">
        <v>3631</v>
      </c>
    </row>
    <row r="736" spans="1:41" ht="57" hidden="1" x14ac:dyDescent="0.3">
      <c r="A736" s="20">
        <v>732</v>
      </c>
      <c r="B736" s="8" t="s">
        <v>3632</v>
      </c>
      <c r="C736" s="26">
        <v>2021</v>
      </c>
      <c r="D736" s="8"/>
      <c r="E736" s="8" t="s">
        <v>3633</v>
      </c>
      <c r="F736" s="20" t="s">
        <v>54</v>
      </c>
      <c r="G736" s="21" t="s">
        <v>64</v>
      </c>
      <c r="H736" s="21" t="s">
        <v>53</v>
      </c>
      <c r="I736" s="21" t="s">
        <v>53</v>
      </c>
      <c r="J736" s="21" t="s">
        <v>53</v>
      </c>
      <c r="K736" s="21" t="s">
        <v>53</v>
      </c>
      <c r="L736" s="22" t="str">
        <f t="shared" si="55"/>
        <v>EXCLUDE</v>
      </c>
      <c r="M736" s="22" t="str">
        <f t="shared" si="56"/>
        <v>Wrong domain (non-AECO)</v>
      </c>
      <c r="N736" s="23"/>
      <c r="O736" s="23"/>
      <c r="P736" s="24"/>
      <c r="Q736" s="24"/>
      <c r="R736" s="24"/>
      <c r="S736" s="22" t="str">
        <f t="shared" si="57"/>
        <v/>
      </c>
      <c r="T736" s="22" t="str">
        <f t="shared" si="58"/>
        <v/>
      </c>
      <c r="U736" s="25"/>
      <c r="V736" s="25"/>
      <c r="W736" s="25"/>
      <c r="X736" s="25"/>
      <c r="Y736" s="22" t="str">
        <f t="shared" si="59"/>
        <v/>
      </c>
      <c r="Z736" s="25"/>
      <c r="AA736" s="25"/>
      <c r="AB736" s="25"/>
      <c r="AC736" s="25"/>
      <c r="AD736" s="25"/>
      <c r="AE736" s="25"/>
      <c r="AF736" s="25"/>
      <c r="AG736" s="9"/>
      <c r="AH736" s="29"/>
      <c r="AI736" s="29"/>
      <c r="AM736" s="50"/>
      <c r="AN736" s="51" t="s">
        <v>3634</v>
      </c>
      <c r="AO736" s="55" t="s">
        <v>3635</v>
      </c>
    </row>
    <row r="737" spans="1:41" ht="57" hidden="1" x14ac:dyDescent="0.3">
      <c r="A737" s="20">
        <v>733</v>
      </c>
      <c r="B737" s="8" t="s">
        <v>3636</v>
      </c>
      <c r="C737" s="26">
        <v>2023</v>
      </c>
      <c r="D737" s="8"/>
      <c r="E737" s="8" t="s">
        <v>3637</v>
      </c>
      <c r="F737" s="20" t="s">
        <v>54</v>
      </c>
      <c r="G737" s="21" t="s">
        <v>53</v>
      </c>
      <c r="H737" s="21" t="s">
        <v>64</v>
      </c>
      <c r="I737" s="21" t="s">
        <v>53</v>
      </c>
      <c r="J737" s="21" t="s">
        <v>53</v>
      </c>
      <c r="K737" s="21" t="s">
        <v>53</v>
      </c>
      <c r="L737" s="22" t="str">
        <f t="shared" si="55"/>
        <v>EXCLUDE</v>
      </c>
      <c r="M737" s="22" t="str">
        <f t="shared" si="56"/>
        <v>Digital Twin not core / buzzword</v>
      </c>
      <c r="N737" s="23"/>
      <c r="O737" s="23"/>
      <c r="P737" s="24"/>
      <c r="Q737" s="24"/>
      <c r="R737" s="24"/>
      <c r="S737" s="22" t="str">
        <f t="shared" si="57"/>
        <v/>
      </c>
      <c r="T737" s="22" t="str">
        <f t="shared" si="58"/>
        <v/>
      </c>
      <c r="U737" s="25"/>
      <c r="V737" s="25"/>
      <c r="W737" s="25"/>
      <c r="X737" s="25"/>
      <c r="Y737" s="22" t="str">
        <f t="shared" si="59"/>
        <v/>
      </c>
      <c r="Z737" s="25"/>
      <c r="AA737" s="25"/>
      <c r="AB737" s="25"/>
      <c r="AC737" s="25"/>
      <c r="AD737" s="25"/>
      <c r="AE737" s="25"/>
      <c r="AF737" s="25"/>
      <c r="AG737" s="9"/>
      <c r="AH737" s="29"/>
      <c r="AI737" s="29"/>
      <c r="AM737" s="50"/>
      <c r="AN737" s="51" t="s">
        <v>3638</v>
      </c>
      <c r="AO737" s="55" t="s">
        <v>3639</v>
      </c>
    </row>
    <row r="738" spans="1:41" ht="34.200000000000003" hidden="1" x14ac:dyDescent="0.3">
      <c r="A738" s="20">
        <v>734</v>
      </c>
      <c r="B738" s="8" t="s">
        <v>3640</v>
      </c>
      <c r="C738" s="26">
        <v>2025</v>
      </c>
      <c r="D738" s="8"/>
      <c r="E738" s="8" t="s">
        <v>3641</v>
      </c>
      <c r="F738" s="20" t="s">
        <v>54</v>
      </c>
      <c r="G738" s="21" t="s">
        <v>64</v>
      </c>
      <c r="H738" s="21" t="s">
        <v>53</v>
      </c>
      <c r="I738" s="21" t="s">
        <v>53</v>
      </c>
      <c r="J738" s="21" t="s">
        <v>53</v>
      </c>
      <c r="K738" s="21" t="s">
        <v>53</v>
      </c>
      <c r="L738" s="22" t="str">
        <f t="shared" si="55"/>
        <v>EXCLUDE</v>
      </c>
      <c r="M738" s="22" t="str">
        <f t="shared" si="56"/>
        <v>Wrong domain (non-AECO)</v>
      </c>
      <c r="N738" s="23"/>
      <c r="O738" s="23"/>
      <c r="P738" s="24"/>
      <c r="Q738" s="24"/>
      <c r="R738" s="24"/>
      <c r="S738" s="22" t="str">
        <f t="shared" si="57"/>
        <v/>
      </c>
      <c r="T738" s="22" t="str">
        <f t="shared" si="58"/>
        <v/>
      </c>
      <c r="U738" s="25"/>
      <c r="V738" s="25"/>
      <c r="W738" s="25"/>
      <c r="X738" s="25"/>
      <c r="Y738" s="22" t="str">
        <f t="shared" si="59"/>
        <v/>
      </c>
      <c r="Z738" s="25"/>
      <c r="AA738" s="25"/>
      <c r="AB738" s="25"/>
      <c r="AC738" s="25"/>
      <c r="AD738" s="25"/>
      <c r="AE738" s="25"/>
      <c r="AF738" s="25"/>
      <c r="AG738" s="9"/>
      <c r="AH738" s="29"/>
      <c r="AI738" s="29"/>
      <c r="AM738" s="50"/>
      <c r="AN738" s="51" t="s">
        <v>3642</v>
      </c>
      <c r="AO738" s="55" t="s">
        <v>3643</v>
      </c>
    </row>
    <row r="739" spans="1:41" ht="57" hidden="1" x14ac:dyDescent="0.3">
      <c r="A739" s="20">
        <v>735</v>
      </c>
      <c r="B739" s="8" t="s">
        <v>3644</v>
      </c>
      <c r="C739" s="26">
        <v>2025</v>
      </c>
      <c r="D739" s="8"/>
      <c r="E739" s="8" t="s">
        <v>3645</v>
      </c>
      <c r="F739" s="20" t="s">
        <v>54</v>
      </c>
      <c r="G739" s="21" t="s">
        <v>53</v>
      </c>
      <c r="H739" s="21" t="s">
        <v>64</v>
      </c>
      <c r="I739" s="21" t="s">
        <v>53</v>
      </c>
      <c r="J739" s="21" t="s">
        <v>53</v>
      </c>
      <c r="K739" s="21" t="s">
        <v>53</v>
      </c>
      <c r="L739" s="22" t="str">
        <f t="shared" si="55"/>
        <v>EXCLUDE</v>
      </c>
      <c r="M739" s="22" t="str">
        <f t="shared" si="56"/>
        <v>Digital Twin not core / buzzword</v>
      </c>
      <c r="N739" s="23"/>
      <c r="O739" s="23"/>
      <c r="P739" s="24"/>
      <c r="Q739" s="24"/>
      <c r="R739" s="24"/>
      <c r="S739" s="22" t="str">
        <f t="shared" si="57"/>
        <v/>
      </c>
      <c r="T739" s="22" t="str">
        <f t="shared" si="58"/>
        <v/>
      </c>
      <c r="U739" s="25"/>
      <c r="V739" s="25"/>
      <c r="W739" s="25"/>
      <c r="X739" s="25"/>
      <c r="Y739" s="22" t="str">
        <f t="shared" si="59"/>
        <v/>
      </c>
      <c r="Z739" s="25"/>
      <c r="AA739" s="25"/>
      <c r="AB739" s="25"/>
      <c r="AC739" s="25"/>
      <c r="AD739" s="25"/>
      <c r="AE739" s="25"/>
      <c r="AF739" s="25"/>
      <c r="AG739" s="9"/>
      <c r="AH739" s="29"/>
      <c r="AI739" s="29"/>
      <c r="AM739" s="50"/>
      <c r="AN739" s="51" t="s">
        <v>3646</v>
      </c>
      <c r="AO739" s="55" t="s">
        <v>3647</v>
      </c>
    </row>
    <row r="740" spans="1:41" ht="91.2" x14ac:dyDescent="0.3">
      <c r="A740" s="20">
        <v>736</v>
      </c>
      <c r="B740" s="8" t="s">
        <v>3648</v>
      </c>
      <c r="C740" s="26">
        <v>2024</v>
      </c>
      <c r="D740" s="8"/>
      <c r="E740" s="8" t="s">
        <v>3649</v>
      </c>
      <c r="F740" s="20" t="s">
        <v>54</v>
      </c>
      <c r="G740" s="21" t="s">
        <v>53</v>
      </c>
      <c r="H740" s="21" t="s">
        <v>53</v>
      </c>
      <c r="I740" s="21" t="s">
        <v>53</v>
      </c>
      <c r="J740" s="21" t="s">
        <v>53</v>
      </c>
      <c r="K740" s="21" t="s">
        <v>53</v>
      </c>
      <c r="L740" s="22" t="str">
        <f t="shared" si="55"/>
        <v>INCLUDE</v>
      </c>
      <c r="M740" s="22" t="str">
        <f t="shared" si="56"/>
        <v/>
      </c>
      <c r="N740" s="23" t="s">
        <v>53</v>
      </c>
      <c r="O740" s="23" t="s">
        <v>53</v>
      </c>
      <c r="P740" s="24" t="s">
        <v>53</v>
      </c>
      <c r="Q740" s="24" t="s">
        <v>53</v>
      </c>
      <c r="R740" s="24" t="s">
        <v>53</v>
      </c>
      <c r="S740" s="22" t="str">
        <f t="shared" si="57"/>
        <v>INCLUDE</v>
      </c>
      <c r="T740" s="22" t="str">
        <f t="shared" si="58"/>
        <v/>
      </c>
      <c r="U740" s="25" t="s">
        <v>67</v>
      </c>
      <c r="V740" s="25">
        <v>0</v>
      </c>
      <c r="W740" s="25">
        <v>1</v>
      </c>
      <c r="X740" s="25">
        <v>0</v>
      </c>
      <c r="Y740" s="22" t="str">
        <f t="shared" si="59"/>
        <v>Single</v>
      </c>
      <c r="Z740" s="25" t="s">
        <v>9</v>
      </c>
      <c r="AA740" s="25" t="s">
        <v>57</v>
      </c>
      <c r="AB740" s="25" t="s">
        <v>104</v>
      </c>
      <c r="AC740" s="25" t="s">
        <v>70</v>
      </c>
      <c r="AD740" s="25" t="s">
        <v>89</v>
      </c>
      <c r="AE740" s="25">
        <v>4</v>
      </c>
      <c r="AF740" s="25" t="s">
        <v>90</v>
      </c>
      <c r="AG740" s="9" t="s">
        <v>3650</v>
      </c>
      <c r="AH740" s="29" t="s">
        <v>3651</v>
      </c>
      <c r="AI740" s="29" t="s">
        <v>3652</v>
      </c>
      <c r="AJ740" t="s">
        <v>91</v>
      </c>
      <c r="AK740" t="s">
        <v>3653</v>
      </c>
      <c r="AL740" t="s">
        <v>74</v>
      </c>
      <c r="AM740" s="50"/>
      <c r="AN740" s="51" t="s">
        <v>3654</v>
      </c>
      <c r="AO740" s="55" t="s">
        <v>3655</v>
      </c>
    </row>
    <row r="741" spans="1:41" ht="57" hidden="1" x14ac:dyDescent="0.3">
      <c r="A741" s="20">
        <v>737</v>
      </c>
      <c r="B741" s="8" t="s">
        <v>3656</v>
      </c>
      <c r="C741" s="26">
        <v>2020</v>
      </c>
      <c r="D741" s="8"/>
      <c r="E741" s="8" t="s">
        <v>3657</v>
      </c>
      <c r="F741" s="20" t="s">
        <v>54</v>
      </c>
      <c r="G741" s="21" t="s">
        <v>64</v>
      </c>
      <c r="H741" s="21" t="s">
        <v>53</v>
      </c>
      <c r="I741" s="21" t="s">
        <v>53</v>
      </c>
      <c r="J741" s="21" t="s">
        <v>53</v>
      </c>
      <c r="K741" s="21" t="s">
        <v>53</v>
      </c>
      <c r="L741" s="22" t="str">
        <f t="shared" si="55"/>
        <v>EXCLUDE</v>
      </c>
      <c r="M741" s="22" t="str">
        <f t="shared" si="56"/>
        <v>Wrong domain (non-AECO)</v>
      </c>
      <c r="N741" s="23"/>
      <c r="O741" s="23"/>
      <c r="P741" s="24"/>
      <c r="Q741" s="24"/>
      <c r="R741" s="24"/>
      <c r="S741" s="22" t="str">
        <f t="shared" si="57"/>
        <v/>
      </c>
      <c r="T741" s="22" t="str">
        <f t="shared" si="58"/>
        <v/>
      </c>
      <c r="U741" s="25"/>
      <c r="V741" s="25"/>
      <c r="W741" s="25"/>
      <c r="X741" s="25"/>
      <c r="Y741" s="22" t="str">
        <f t="shared" si="59"/>
        <v/>
      </c>
      <c r="Z741" s="25"/>
      <c r="AA741" s="25"/>
      <c r="AB741" s="25"/>
      <c r="AC741" s="25"/>
      <c r="AD741" s="25"/>
      <c r="AE741" s="25"/>
      <c r="AF741" s="25"/>
      <c r="AG741" s="9"/>
      <c r="AH741" s="29"/>
      <c r="AI741" s="29"/>
      <c r="AM741" s="50"/>
      <c r="AN741" s="51" t="s">
        <v>3658</v>
      </c>
      <c r="AO741" s="55" t="s">
        <v>3659</v>
      </c>
    </row>
    <row r="742" spans="1:41" ht="45.6" hidden="1" x14ac:dyDescent="0.3">
      <c r="A742" s="20">
        <v>738</v>
      </c>
      <c r="B742" s="8" t="s">
        <v>3660</v>
      </c>
      <c r="C742" s="26">
        <v>2024</v>
      </c>
      <c r="D742" s="8"/>
      <c r="E742" s="8" t="s">
        <v>3661</v>
      </c>
      <c r="F742" s="20" t="s">
        <v>54</v>
      </c>
      <c r="G742" s="21" t="s">
        <v>64</v>
      </c>
      <c r="H742" s="21" t="s">
        <v>53</v>
      </c>
      <c r="I742" s="21" t="s">
        <v>53</v>
      </c>
      <c r="J742" s="21" t="s">
        <v>53</v>
      </c>
      <c r="K742" s="21" t="s">
        <v>53</v>
      </c>
      <c r="L742" s="22" t="str">
        <f t="shared" si="55"/>
        <v>EXCLUDE</v>
      </c>
      <c r="M742" s="22" t="str">
        <f t="shared" si="56"/>
        <v>Wrong domain (non-AECO)</v>
      </c>
      <c r="N742" s="23"/>
      <c r="O742" s="23"/>
      <c r="P742" s="24"/>
      <c r="Q742" s="24"/>
      <c r="R742" s="24"/>
      <c r="S742" s="22" t="str">
        <f t="shared" si="57"/>
        <v/>
      </c>
      <c r="T742" s="22" t="str">
        <f t="shared" si="58"/>
        <v/>
      </c>
      <c r="U742" s="25"/>
      <c r="V742" s="25"/>
      <c r="W742" s="25"/>
      <c r="X742" s="25"/>
      <c r="Y742" s="22" t="str">
        <f t="shared" si="59"/>
        <v/>
      </c>
      <c r="Z742" s="25"/>
      <c r="AA742" s="25"/>
      <c r="AB742" s="25"/>
      <c r="AC742" s="25"/>
      <c r="AD742" s="25"/>
      <c r="AE742" s="25"/>
      <c r="AF742" s="25"/>
      <c r="AG742" s="9"/>
      <c r="AH742" s="29"/>
      <c r="AI742" s="29"/>
      <c r="AM742" s="50"/>
      <c r="AN742" s="51" t="s">
        <v>3662</v>
      </c>
      <c r="AO742" s="55" t="s">
        <v>3663</v>
      </c>
    </row>
    <row r="743" spans="1:41" ht="45.6" hidden="1" x14ac:dyDescent="0.3">
      <c r="A743" s="20">
        <v>739</v>
      </c>
      <c r="B743" s="8" t="s">
        <v>3664</v>
      </c>
      <c r="C743" s="26">
        <v>2023</v>
      </c>
      <c r="D743" s="8"/>
      <c r="E743" s="8" t="s">
        <v>3665</v>
      </c>
      <c r="F743" s="20" t="s">
        <v>54</v>
      </c>
      <c r="G743" s="21" t="s">
        <v>64</v>
      </c>
      <c r="H743" s="21" t="s">
        <v>53</v>
      </c>
      <c r="I743" s="21" t="s">
        <v>53</v>
      </c>
      <c r="J743" s="21" t="s">
        <v>53</v>
      </c>
      <c r="K743" s="21" t="s">
        <v>53</v>
      </c>
      <c r="L743" s="22" t="str">
        <f t="shared" si="55"/>
        <v>EXCLUDE</v>
      </c>
      <c r="M743" s="22" t="str">
        <f t="shared" si="56"/>
        <v>Wrong domain (non-AECO)</v>
      </c>
      <c r="N743" s="23"/>
      <c r="O743" s="23"/>
      <c r="P743" s="24"/>
      <c r="Q743" s="24"/>
      <c r="R743" s="24"/>
      <c r="S743" s="22" t="str">
        <f t="shared" si="57"/>
        <v/>
      </c>
      <c r="T743" s="22" t="str">
        <f t="shared" si="58"/>
        <v/>
      </c>
      <c r="U743" s="25"/>
      <c r="V743" s="25"/>
      <c r="W743" s="25"/>
      <c r="X743" s="25"/>
      <c r="Y743" s="22" t="str">
        <f t="shared" si="59"/>
        <v/>
      </c>
      <c r="Z743" s="25"/>
      <c r="AA743" s="25"/>
      <c r="AB743" s="25"/>
      <c r="AC743" s="25"/>
      <c r="AD743" s="25"/>
      <c r="AE743" s="25"/>
      <c r="AF743" s="25"/>
      <c r="AG743" s="9"/>
      <c r="AH743" s="29"/>
      <c r="AI743" s="29"/>
      <c r="AM743" s="50"/>
      <c r="AN743" s="51" t="s">
        <v>3666</v>
      </c>
      <c r="AO743" s="55" t="s">
        <v>3667</v>
      </c>
    </row>
    <row r="744" spans="1:41" ht="79.8" x14ac:dyDescent="0.3">
      <c r="A744" s="20">
        <v>740</v>
      </c>
      <c r="B744" s="8" t="s">
        <v>3668</v>
      </c>
      <c r="C744" s="26">
        <v>2022</v>
      </c>
      <c r="D744" s="8"/>
      <c r="E744" s="8" t="s">
        <v>3669</v>
      </c>
      <c r="F744" s="20" t="s">
        <v>54</v>
      </c>
      <c r="G744" s="21" t="s">
        <v>53</v>
      </c>
      <c r="H744" s="21" t="s">
        <v>53</v>
      </c>
      <c r="I744" s="21" t="s">
        <v>53</v>
      </c>
      <c r="J744" s="21" t="s">
        <v>53</v>
      </c>
      <c r="K744" s="21" t="s">
        <v>53</v>
      </c>
      <c r="L744" s="22" t="str">
        <f t="shared" si="55"/>
        <v>INCLUDE</v>
      </c>
      <c r="M744" s="22" t="str">
        <f t="shared" si="56"/>
        <v/>
      </c>
      <c r="N744" s="23" t="s">
        <v>53</v>
      </c>
      <c r="O744" s="23" t="s">
        <v>53</v>
      </c>
      <c r="P744" s="24" t="s">
        <v>53</v>
      </c>
      <c r="Q744" s="24" t="s">
        <v>53</v>
      </c>
      <c r="R744" s="24" t="s">
        <v>53</v>
      </c>
      <c r="S744" s="22" t="str">
        <f t="shared" si="57"/>
        <v>INCLUDE</v>
      </c>
      <c r="T744" s="22" t="str">
        <f t="shared" si="58"/>
        <v/>
      </c>
      <c r="U744" s="25" t="s">
        <v>67</v>
      </c>
      <c r="V744" s="25">
        <v>0</v>
      </c>
      <c r="W744" s="25">
        <v>1</v>
      </c>
      <c r="X744" s="25">
        <v>0</v>
      </c>
      <c r="Y744" s="22" t="str">
        <f t="shared" si="59"/>
        <v>Single</v>
      </c>
      <c r="Z744" s="25" t="s">
        <v>9</v>
      </c>
      <c r="AA744" s="25" t="s">
        <v>57</v>
      </c>
      <c r="AB744" s="25" t="s">
        <v>104</v>
      </c>
      <c r="AC744" s="25" t="s">
        <v>70</v>
      </c>
      <c r="AD744" s="25" t="s">
        <v>89</v>
      </c>
      <c r="AE744" s="25">
        <v>3</v>
      </c>
      <c r="AF744" s="25" t="s">
        <v>90</v>
      </c>
      <c r="AG744" s="9" t="s">
        <v>3670</v>
      </c>
      <c r="AH744" s="29" t="s">
        <v>3671</v>
      </c>
      <c r="AI744" s="29" t="s">
        <v>3672</v>
      </c>
      <c r="AJ744" t="s">
        <v>91</v>
      </c>
      <c r="AK744" t="s">
        <v>3673</v>
      </c>
      <c r="AL744" t="s">
        <v>74</v>
      </c>
      <c r="AM744" s="50"/>
      <c r="AN744" s="51" t="s">
        <v>3674</v>
      </c>
      <c r="AO744" s="55" t="s">
        <v>3675</v>
      </c>
    </row>
    <row r="745" spans="1:41" ht="57" hidden="1" x14ac:dyDescent="0.3">
      <c r="A745" s="20">
        <v>741</v>
      </c>
      <c r="B745" s="8" t="s">
        <v>3676</v>
      </c>
      <c r="C745" s="26">
        <v>2022</v>
      </c>
      <c r="D745" s="8"/>
      <c r="E745" s="8" t="s">
        <v>3677</v>
      </c>
      <c r="F745" s="20" t="s">
        <v>54</v>
      </c>
      <c r="G745" s="21" t="s">
        <v>53</v>
      </c>
      <c r="H745" s="21" t="s">
        <v>53</v>
      </c>
      <c r="I745" s="21" t="s">
        <v>64</v>
      </c>
      <c r="J745" s="21" t="s">
        <v>53</v>
      </c>
      <c r="K745" s="21" t="s">
        <v>53</v>
      </c>
      <c r="L745" s="22" t="str">
        <f t="shared" si="55"/>
        <v>EXCLUDE</v>
      </c>
      <c r="M745" s="22" t="str">
        <f t="shared" si="56"/>
        <v>No Design for Safety/Quality/PtD</v>
      </c>
      <c r="N745" s="23"/>
      <c r="O745" s="23"/>
      <c r="P745" s="24"/>
      <c r="Q745" s="24"/>
      <c r="R745" s="24"/>
      <c r="S745" s="22" t="str">
        <f t="shared" si="57"/>
        <v/>
      </c>
      <c r="T745" s="22" t="str">
        <f t="shared" si="58"/>
        <v/>
      </c>
      <c r="U745" s="25"/>
      <c r="V745" s="25"/>
      <c r="W745" s="25"/>
      <c r="X745" s="25"/>
      <c r="Y745" s="22" t="str">
        <f t="shared" si="59"/>
        <v/>
      </c>
      <c r="Z745" s="25"/>
      <c r="AA745" s="25"/>
      <c r="AB745" s="25"/>
      <c r="AC745" s="25"/>
      <c r="AD745" s="25"/>
      <c r="AE745" s="25"/>
      <c r="AF745" s="25"/>
      <c r="AG745" s="9"/>
      <c r="AH745" s="29"/>
      <c r="AI745" s="29"/>
      <c r="AM745" s="50"/>
      <c r="AN745" s="51" t="s">
        <v>3678</v>
      </c>
      <c r="AO745" s="55" t="s">
        <v>3679</v>
      </c>
    </row>
    <row r="746" spans="1:41" ht="57" hidden="1" x14ac:dyDescent="0.3">
      <c r="A746" s="20">
        <v>742</v>
      </c>
      <c r="B746" s="8" t="s">
        <v>3680</v>
      </c>
      <c r="C746" s="26">
        <v>2023</v>
      </c>
      <c r="D746" s="8"/>
      <c r="E746" s="8" t="s">
        <v>3681</v>
      </c>
      <c r="F746" s="20" t="s">
        <v>54</v>
      </c>
      <c r="G746" s="21" t="s">
        <v>64</v>
      </c>
      <c r="H746" s="21" t="s">
        <v>53</v>
      </c>
      <c r="I746" s="21" t="s">
        <v>53</v>
      </c>
      <c r="J746" s="21" t="s">
        <v>53</v>
      </c>
      <c r="K746" s="21" t="s">
        <v>53</v>
      </c>
      <c r="L746" s="22" t="str">
        <f t="shared" si="55"/>
        <v>EXCLUDE</v>
      </c>
      <c r="M746" s="22" t="str">
        <f t="shared" si="56"/>
        <v>Wrong domain (non-AECO)</v>
      </c>
      <c r="N746" s="23"/>
      <c r="O746" s="23"/>
      <c r="P746" s="24"/>
      <c r="Q746" s="24"/>
      <c r="R746" s="24"/>
      <c r="S746" s="22" t="str">
        <f t="shared" si="57"/>
        <v/>
      </c>
      <c r="T746" s="22" t="str">
        <f t="shared" si="58"/>
        <v/>
      </c>
      <c r="U746" s="25"/>
      <c r="V746" s="25"/>
      <c r="W746" s="25"/>
      <c r="X746" s="25"/>
      <c r="Y746" s="22" t="str">
        <f t="shared" si="59"/>
        <v/>
      </c>
      <c r="Z746" s="25"/>
      <c r="AA746" s="25"/>
      <c r="AB746" s="25"/>
      <c r="AC746" s="25"/>
      <c r="AD746" s="25"/>
      <c r="AE746" s="25"/>
      <c r="AF746" s="25"/>
      <c r="AG746" s="9"/>
      <c r="AH746" s="29"/>
      <c r="AI746" s="29"/>
      <c r="AM746" s="50"/>
      <c r="AN746" s="51" t="s">
        <v>3682</v>
      </c>
      <c r="AO746" s="55" t="s">
        <v>3683</v>
      </c>
    </row>
    <row r="747" spans="1:41" ht="57" hidden="1" x14ac:dyDescent="0.3">
      <c r="A747" s="20">
        <v>743</v>
      </c>
      <c r="B747" s="8" t="s">
        <v>2129</v>
      </c>
      <c r="C747" s="26">
        <v>2025</v>
      </c>
      <c r="D747" s="8"/>
      <c r="E747" s="8" t="s">
        <v>3684</v>
      </c>
      <c r="F747" s="20" t="s">
        <v>54</v>
      </c>
      <c r="G747" s="21" t="s">
        <v>64</v>
      </c>
      <c r="H747" s="21" t="s">
        <v>53</v>
      </c>
      <c r="I747" s="21" t="s">
        <v>53</v>
      </c>
      <c r="J747" s="21" t="s">
        <v>53</v>
      </c>
      <c r="K747" s="21" t="s">
        <v>53</v>
      </c>
      <c r="L747" s="22" t="str">
        <f t="shared" si="55"/>
        <v>EXCLUDE</v>
      </c>
      <c r="M747" s="22" t="str">
        <f t="shared" si="56"/>
        <v>Wrong domain (non-AECO)</v>
      </c>
      <c r="N747" s="23"/>
      <c r="O747" s="23"/>
      <c r="P747" s="24"/>
      <c r="Q747" s="24"/>
      <c r="R747" s="24"/>
      <c r="S747" s="22" t="str">
        <f t="shared" si="57"/>
        <v/>
      </c>
      <c r="T747" s="22" t="str">
        <f t="shared" si="58"/>
        <v/>
      </c>
      <c r="U747" s="25"/>
      <c r="V747" s="25"/>
      <c r="W747" s="25"/>
      <c r="X747" s="25"/>
      <c r="Y747" s="22" t="str">
        <f t="shared" si="59"/>
        <v/>
      </c>
      <c r="Z747" s="25"/>
      <c r="AA747" s="25"/>
      <c r="AB747" s="25"/>
      <c r="AC747" s="25"/>
      <c r="AD747" s="25"/>
      <c r="AE747" s="25"/>
      <c r="AF747" s="25"/>
      <c r="AG747" s="9"/>
      <c r="AH747" s="29"/>
      <c r="AI747" s="29"/>
      <c r="AM747" s="50"/>
      <c r="AN747" s="51" t="s">
        <v>3685</v>
      </c>
      <c r="AO747" s="55" t="s">
        <v>3686</v>
      </c>
    </row>
    <row r="748" spans="1:41" ht="79.8" hidden="1" x14ac:dyDescent="0.3">
      <c r="A748" s="20">
        <v>744</v>
      </c>
      <c r="B748" s="8" t="s">
        <v>3687</v>
      </c>
      <c r="C748" s="26">
        <v>2022</v>
      </c>
      <c r="D748" s="8"/>
      <c r="E748" s="8" t="s">
        <v>3688</v>
      </c>
      <c r="F748" s="20" t="s">
        <v>54</v>
      </c>
      <c r="G748" s="21" t="s">
        <v>64</v>
      </c>
      <c r="H748" s="21" t="s">
        <v>53</v>
      </c>
      <c r="I748" s="21" t="s">
        <v>53</v>
      </c>
      <c r="J748" s="21" t="s">
        <v>53</v>
      </c>
      <c r="K748" s="21" t="s">
        <v>53</v>
      </c>
      <c r="L748" s="22" t="str">
        <f t="shared" si="55"/>
        <v>EXCLUDE</v>
      </c>
      <c r="M748" s="22" t="str">
        <f t="shared" si="56"/>
        <v>Wrong domain (non-AECO)</v>
      </c>
      <c r="N748" s="23"/>
      <c r="O748" s="23"/>
      <c r="P748" s="24"/>
      <c r="Q748" s="24"/>
      <c r="R748" s="24"/>
      <c r="S748" s="22" t="str">
        <f t="shared" si="57"/>
        <v/>
      </c>
      <c r="T748" s="22" t="str">
        <f t="shared" si="58"/>
        <v/>
      </c>
      <c r="U748" s="25"/>
      <c r="V748" s="25"/>
      <c r="W748" s="25"/>
      <c r="X748" s="25"/>
      <c r="Y748" s="22" t="str">
        <f t="shared" si="59"/>
        <v/>
      </c>
      <c r="Z748" s="25"/>
      <c r="AA748" s="25"/>
      <c r="AB748" s="25"/>
      <c r="AC748" s="25"/>
      <c r="AD748" s="25"/>
      <c r="AE748" s="25"/>
      <c r="AF748" s="25"/>
      <c r="AG748" s="9"/>
      <c r="AH748" s="29"/>
      <c r="AI748" s="29"/>
      <c r="AM748" s="50"/>
      <c r="AN748" s="51" t="s">
        <v>3689</v>
      </c>
      <c r="AO748" s="55" t="s">
        <v>3690</v>
      </c>
    </row>
    <row r="749" spans="1:41" ht="91.2" x14ac:dyDescent="0.3">
      <c r="A749" s="20">
        <v>745</v>
      </c>
      <c r="B749" s="8" t="s">
        <v>2732</v>
      </c>
      <c r="C749" s="26">
        <v>2022</v>
      </c>
      <c r="D749" s="8"/>
      <c r="E749" s="8" t="s">
        <v>3691</v>
      </c>
      <c r="F749" s="20" t="s">
        <v>54</v>
      </c>
      <c r="G749" s="21" t="s">
        <v>53</v>
      </c>
      <c r="H749" s="21" t="s">
        <v>53</v>
      </c>
      <c r="I749" s="21" t="s">
        <v>53</v>
      </c>
      <c r="J749" s="21" t="s">
        <v>53</v>
      </c>
      <c r="K749" s="21" t="s">
        <v>53</v>
      </c>
      <c r="L749" s="22" t="str">
        <f t="shared" si="55"/>
        <v>INCLUDE</v>
      </c>
      <c r="M749" s="22" t="str">
        <f t="shared" si="56"/>
        <v/>
      </c>
      <c r="N749" s="23" t="s">
        <v>53</v>
      </c>
      <c r="O749" s="23" t="s">
        <v>53</v>
      </c>
      <c r="P749" s="24" t="s">
        <v>53</v>
      </c>
      <c r="Q749" s="24" t="s">
        <v>53</v>
      </c>
      <c r="R749" s="24" t="s">
        <v>53</v>
      </c>
      <c r="S749" s="22" t="str">
        <f t="shared" si="57"/>
        <v>INCLUDE</v>
      </c>
      <c r="T749" s="22" t="str">
        <f t="shared" si="58"/>
        <v/>
      </c>
      <c r="U749" s="25" t="s">
        <v>67</v>
      </c>
      <c r="V749" s="25">
        <v>0</v>
      </c>
      <c r="W749" s="25">
        <v>1</v>
      </c>
      <c r="X749" s="25">
        <v>0</v>
      </c>
      <c r="Y749" s="22" t="str">
        <f t="shared" si="59"/>
        <v>Single</v>
      </c>
      <c r="Z749" s="25" t="s">
        <v>9</v>
      </c>
      <c r="AA749" s="25" t="s">
        <v>57</v>
      </c>
      <c r="AB749" s="25" t="s">
        <v>97</v>
      </c>
      <c r="AC749" s="25" t="s">
        <v>70</v>
      </c>
      <c r="AD749" s="25" t="s">
        <v>89</v>
      </c>
      <c r="AE749" s="25">
        <v>4</v>
      </c>
      <c r="AF749" s="25" t="s">
        <v>96</v>
      </c>
      <c r="AG749" s="9" t="s">
        <v>3692</v>
      </c>
      <c r="AH749" s="29" t="s">
        <v>3693</v>
      </c>
      <c r="AI749" s="29" t="s">
        <v>3694</v>
      </c>
      <c r="AJ749" t="s">
        <v>91</v>
      </c>
      <c r="AK749" t="s">
        <v>3695</v>
      </c>
      <c r="AL749" t="s">
        <v>74</v>
      </c>
      <c r="AM749" s="50"/>
      <c r="AN749" s="51" t="s">
        <v>3696</v>
      </c>
      <c r="AO749" s="55" t="s">
        <v>3697</v>
      </c>
    </row>
    <row r="750" spans="1:41" ht="91.2" x14ac:dyDescent="0.3">
      <c r="A750" s="20">
        <v>746</v>
      </c>
      <c r="B750" s="8" t="s">
        <v>3698</v>
      </c>
      <c r="C750" s="26">
        <v>2024</v>
      </c>
      <c r="D750" s="8"/>
      <c r="E750" s="8" t="s">
        <v>3699</v>
      </c>
      <c r="F750" s="20" t="s">
        <v>54</v>
      </c>
      <c r="G750" s="21" t="s">
        <v>53</v>
      </c>
      <c r="H750" s="21" t="s">
        <v>53</v>
      </c>
      <c r="I750" s="21" t="s">
        <v>53</v>
      </c>
      <c r="J750" s="21" t="s">
        <v>53</v>
      </c>
      <c r="K750" s="21" t="s">
        <v>53</v>
      </c>
      <c r="L750" s="22" t="str">
        <f t="shared" si="55"/>
        <v>INCLUDE</v>
      </c>
      <c r="M750" s="22" t="str">
        <f t="shared" si="56"/>
        <v/>
      </c>
      <c r="N750" s="23" t="s">
        <v>53</v>
      </c>
      <c r="O750" s="23" t="s">
        <v>53</v>
      </c>
      <c r="P750" s="24" t="s">
        <v>53</v>
      </c>
      <c r="Q750" s="24" t="s">
        <v>53</v>
      </c>
      <c r="R750" s="24" t="s">
        <v>53</v>
      </c>
      <c r="S750" s="22" t="str">
        <f t="shared" si="57"/>
        <v>INCLUDE</v>
      </c>
      <c r="T750" s="22" t="str">
        <f t="shared" si="58"/>
        <v/>
      </c>
      <c r="U750" s="25" t="s">
        <v>67</v>
      </c>
      <c r="V750" s="25">
        <v>0</v>
      </c>
      <c r="W750" s="25">
        <v>0</v>
      </c>
      <c r="X750" s="25">
        <v>1</v>
      </c>
      <c r="Y750" s="22" t="str">
        <f t="shared" si="59"/>
        <v>Single</v>
      </c>
      <c r="Z750" s="25" t="s">
        <v>9</v>
      </c>
      <c r="AA750" s="25" t="s">
        <v>57</v>
      </c>
      <c r="AB750" s="25" t="s">
        <v>104</v>
      </c>
      <c r="AC750" s="25" t="s">
        <v>70</v>
      </c>
      <c r="AD750" s="25" t="s">
        <v>71</v>
      </c>
      <c r="AE750" s="25">
        <v>3</v>
      </c>
      <c r="AF750" s="25" t="s">
        <v>96</v>
      </c>
      <c r="AG750" s="9" t="s">
        <v>3700</v>
      </c>
      <c r="AH750" s="29" t="s">
        <v>3701</v>
      </c>
      <c r="AI750" s="29" t="s">
        <v>3702</v>
      </c>
      <c r="AJ750" t="s">
        <v>91</v>
      </c>
      <c r="AK750" t="s">
        <v>3703</v>
      </c>
      <c r="AL750" t="s">
        <v>74</v>
      </c>
      <c r="AM750" s="50"/>
      <c r="AN750" s="51" t="s">
        <v>3704</v>
      </c>
      <c r="AO750" s="55" t="s">
        <v>3705</v>
      </c>
    </row>
    <row r="751" spans="1:41" ht="45.6" hidden="1" x14ac:dyDescent="0.3">
      <c r="A751" s="20">
        <v>747</v>
      </c>
      <c r="B751" s="8" t="s">
        <v>3706</v>
      </c>
      <c r="C751" s="26">
        <v>2024</v>
      </c>
      <c r="D751" s="8"/>
      <c r="E751" s="8" t="s">
        <v>3707</v>
      </c>
      <c r="F751" s="20" t="s">
        <v>54</v>
      </c>
      <c r="G751" s="21" t="s">
        <v>64</v>
      </c>
      <c r="H751" s="21" t="s">
        <v>53</v>
      </c>
      <c r="I751" s="21" t="s">
        <v>53</v>
      </c>
      <c r="J751" s="21" t="s">
        <v>53</v>
      </c>
      <c r="K751" s="21" t="s">
        <v>53</v>
      </c>
      <c r="L751" s="22" t="str">
        <f t="shared" si="55"/>
        <v>EXCLUDE</v>
      </c>
      <c r="M751" s="22" t="str">
        <f t="shared" si="56"/>
        <v>Wrong domain (non-AECO)</v>
      </c>
      <c r="N751" s="23"/>
      <c r="O751" s="23"/>
      <c r="P751" s="24"/>
      <c r="Q751" s="24"/>
      <c r="R751" s="24"/>
      <c r="S751" s="22" t="str">
        <f t="shared" si="57"/>
        <v/>
      </c>
      <c r="T751" s="22" t="str">
        <f t="shared" si="58"/>
        <v/>
      </c>
      <c r="U751" s="25"/>
      <c r="V751" s="25"/>
      <c r="W751" s="25"/>
      <c r="X751" s="25"/>
      <c r="Y751" s="22" t="str">
        <f t="shared" si="59"/>
        <v/>
      </c>
      <c r="Z751" s="25"/>
      <c r="AA751" s="25"/>
      <c r="AB751" s="25"/>
      <c r="AC751" s="25"/>
      <c r="AD751" s="25"/>
      <c r="AE751" s="25"/>
      <c r="AF751" s="25"/>
      <c r="AG751" s="9"/>
      <c r="AH751" s="29"/>
      <c r="AI751" s="29"/>
      <c r="AM751" s="50"/>
      <c r="AN751" s="51" t="s">
        <v>3708</v>
      </c>
      <c r="AO751" s="55" t="s">
        <v>3709</v>
      </c>
    </row>
    <row r="752" spans="1:41" ht="57" hidden="1" x14ac:dyDescent="0.3">
      <c r="A752" s="20">
        <v>748</v>
      </c>
      <c r="B752" s="8" t="s">
        <v>3710</v>
      </c>
      <c r="C752" s="26">
        <v>2023</v>
      </c>
      <c r="D752" s="8"/>
      <c r="E752" s="8" t="s">
        <v>3711</v>
      </c>
      <c r="F752" s="20" t="s">
        <v>54</v>
      </c>
      <c r="G752" s="21" t="s">
        <v>53</v>
      </c>
      <c r="H752" s="21" t="s">
        <v>64</v>
      </c>
      <c r="I752" s="21" t="s">
        <v>53</v>
      </c>
      <c r="J752" s="21" t="s">
        <v>53</v>
      </c>
      <c r="K752" s="21" t="s">
        <v>53</v>
      </c>
      <c r="L752" s="22" t="str">
        <f t="shared" si="55"/>
        <v>EXCLUDE</v>
      </c>
      <c r="M752" s="22" t="str">
        <f t="shared" si="56"/>
        <v>Digital Twin not core / buzzword</v>
      </c>
      <c r="N752" s="23"/>
      <c r="O752" s="23"/>
      <c r="P752" s="24"/>
      <c r="Q752" s="24"/>
      <c r="R752" s="24"/>
      <c r="S752" s="22" t="str">
        <f t="shared" si="57"/>
        <v/>
      </c>
      <c r="T752" s="22" t="str">
        <f t="shared" si="58"/>
        <v/>
      </c>
      <c r="U752" s="25"/>
      <c r="V752" s="25"/>
      <c r="W752" s="25"/>
      <c r="X752" s="25"/>
      <c r="Y752" s="22" t="str">
        <f t="shared" si="59"/>
        <v/>
      </c>
      <c r="Z752" s="25"/>
      <c r="AA752" s="25"/>
      <c r="AB752" s="25"/>
      <c r="AC752" s="25"/>
      <c r="AD752" s="25"/>
      <c r="AE752" s="25"/>
      <c r="AF752" s="25"/>
      <c r="AG752" s="9"/>
      <c r="AH752" s="29"/>
      <c r="AI752" s="29"/>
      <c r="AM752" s="50"/>
      <c r="AN752" s="51" t="s">
        <v>3712</v>
      </c>
      <c r="AO752" s="55" t="s">
        <v>3713</v>
      </c>
    </row>
    <row r="753" spans="1:41" ht="57" hidden="1" x14ac:dyDescent="0.3">
      <c r="A753" s="20">
        <v>749</v>
      </c>
      <c r="B753" s="8" t="s">
        <v>3714</v>
      </c>
      <c r="C753" s="26">
        <v>2024</v>
      </c>
      <c r="D753" s="8"/>
      <c r="E753" s="8" t="s">
        <v>3715</v>
      </c>
      <c r="F753" s="20" t="s">
        <v>54</v>
      </c>
      <c r="G753" s="21" t="s">
        <v>64</v>
      </c>
      <c r="H753" s="21" t="s">
        <v>53</v>
      </c>
      <c r="I753" s="21" t="s">
        <v>53</v>
      </c>
      <c r="J753" s="21" t="s">
        <v>53</v>
      </c>
      <c r="K753" s="21" t="s">
        <v>53</v>
      </c>
      <c r="L753" s="22" t="str">
        <f t="shared" si="55"/>
        <v>EXCLUDE</v>
      </c>
      <c r="M753" s="22" t="str">
        <f t="shared" si="56"/>
        <v>Wrong domain (non-AECO)</v>
      </c>
      <c r="N753" s="23"/>
      <c r="O753" s="23"/>
      <c r="P753" s="24"/>
      <c r="Q753" s="24"/>
      <c r="R753" s="24"/>
      <c r="S753" s="22" t="str">
        <f t="shared" si="57"/>
        <v/>
      </c>
      <c r="T753" s="22" t="str">
        <f t="shared" si="58"/>
        <v/>
      </c>
      <c r="U753" s="25"/>
      <c r="V753" s="25"/>
      <c r="W753" s="25"/>
      <c r="X753" s="25"/>
      <c r="Y753" s="22" t="str">
        <f t="shared" si="59"/>
        <v/>
      </c>
      <c r="Z753" s="25"/>
      <c r="AA753" s="25"/>
      <c r="AB753" s="25"/>
      <c r="AC753" s="25"/>
      <c r="AD753" s="25"/>
      <c r="AE753" s="25"/>
      <c r="AF753" s="25"/>
      <c r="AG753" s="9"/>
      <c r="AH753" s="29"/>
      <c r="AI753" s="29"/>
      <c r="AM753" s="50"/>
      <c r="AN753" s="51" t="s">
        <v>3716</v>
      </c>
      <c r="AO753" s="55" t="s">
        <v>3717</v>
      </c>
    </row>
    <row r="754" spans="1:41" ht="68.400000000000006" hidden="1" x14ac:dyDescent="0.3">
      <c r="A754" s="20">
        <v>750</v>
      </c>
      <c r="B754" s="8" t="s">
        <v>3718</v>
      </c>
      <c r="C754" s="26">
        <v>2024</v>
      </c>
      <c r="D754" s="8"/>
      <c r="E754" s="8" t="s">
        <v>3719</v>
      </c>
      <c r="F754" s="20" t="s">
        <v>54</v>
      </c>
      <c r="G754" s="21" t="s">
        <v>64</v>
      </c>
      <c r="H754" s="21" t="s">
        <v>53</v>
      </c>
      <c r="I754" s="21" t="s">
        <v>53</v>
      </c>
      <c r="J754" s="21" t="s">
        <v>53</v>
      </c>
      <c r="K754" s="21" t="s">
        <v>53</v>
      </c>
      <c r="L754" s="22" t="str">
        <f t="shared" si="55"/>
        <v>EXCLUDE</v>
      </c>
      <c r="M754" s="22" t="str">
        <f t="shared" si="56"/>
        <v>Wrong domain (non-AECO)</v>
      </c>
      <c r="N754" s="23"/>
      <c r="O754" s="23"/>
      <c r="P754" s="24"/>
      <c r="Q754" s="24"/>
      <c r="R754" s="24"/>
      <c r="S754" s="22" t="str">
        <f t="shared" si="57"/>
        <v/>
      </c>
      <c r="T754" s="22" t="str">
        <f t="shared" si="58"/>
        <v/>
      </c>
      <c r="U754" s="25"/>
      <c r="V754" s="25"/>
      <c r="W754" s="25"/>
      <c r="X754" s="25"/>
      <c r="Y754" s="22" t="str">
        <f t="shared" si="59"/>
        <v/>
      </c>
      <c r="Z754" s="25"/>
      <c r="AA754" s="25"/>
      <c r="AB754" s="25"/>
      <c r="AC754" s="25"/>
      <c r="AD754" s="25"/>
      <c r="AE754" s="25"/>
      <c r="AF754" s="25"/>
      <c r="AG754" s="9"/>
      <c r="AH754" s="29"/>
      <c r="AI754" s="29"/>
      <c r="AM754" s="50"/>
      <c r="AN754" s="51" t="s">
        <v>3720</v>
      </c>
      <c r="AO754" s="55" t="s">
        <v>3721</v>
      </c>
    </row>
    <row r="755" spans="1:41" ht="57" hidden="1" x14ac:dyDescent="0.3">
      <c r="A755" s="20">
        <v>751</v>
      </c>
      <c r="B755" s="8" t="s">
        <v>3722</v>
      </c>
      <c r="C755" s="26">
        <v>2022</v>
      </c>
      <c r="D755" s="8"/>
      <c r="E755" s="8" t="s">
        <v>3723</v>
      </c>
      <c r="F755" s="20" t="s">
        <v>54</v>
      </c>
      <c r="G755" s="21" t="s">
        <v>64</v>
      </c>
      <c r="H755" s="21" t="s">
        <v>53</v>
      </c>
      <c r="I755" s="21" t="s">
        <v>53</v>
      </c>
      <c r="J755" s="21" t="s">
        <v>53</v>
      </c>
      <c r="K755" s="21" t="s">
        <v>53</v>
      </c>
      <c r="L755" s="22" t="str">
        <f t="shared" si="55"/>
        <v>EXCLUDE</v>
      </c>
      <c r="M755" s="22" t="str">
        <f t="shared" si="56"/>
        <v>Wrong domain (non-AECO)</v>
      </c>
      <c r="N755" s="23"/>
      <c r="O755" s="23"/>
      <c r="P755" s="24"/>
      <c r="Q755" s="24"/>
      <c r="R755" s="24"/>
      <c r="S755" s="22" t="str">
        <f t="shared" si="57"/>
        <v/>
      </c>
      <c r="T755" s="22" t="str">
        <f t="shared" si="58"/>
        <v/>
      </c>
      <c r="U755" s="25"/>
      <c r="V755" s="25"/>
      <c r="W755" s="25"/>
      <c r="X755" s="25"/>
      <c r="Y755" s="22" t="str">
        <f t="shared" si="59"/>
        <v/>
      </c>
      <c r="Z755" s="25"/>
      <c r="AA755" s="25"/>
      <c r="AB755" s="25"/>
      <c r="AC755" s="25"/>
      <c r="AD755" s="25"/>
      <c r="AE755" s="25"/>
      <c r="AF755" s="25"/>
      <c r="AG755" s="9"/>
      <c r="AH755" s="29"/>
      <c r="AI755" s="29"/>
      <c r="AM755" s="50"/>
      <c r="AN755" s="51" t="s">
        <v>3724</v>
      </c>
      <c r="AO755" s="55" t="s">
        <v>3725</v>
      </c>
    </row>
    <row r="756" spans="1:41" ht="45.6" hidden="1" x14ac:dyDescent="0.3">
      <c r="A756" s="20">
        <v>752</v>
      </c>
      <c r="B756" s="8" t="s">
        <v>3726</v>
      </c>
      <c r="C756" s="26">
        <v>2024</v>
      </c>
      <c r="D756" s="8"/>
      <c r="E756" s="8" t="s">
        <v>3727</v>
      </c>
      <c r="F756" s="20" t="s">
        <v>54</v>
      </c>
      <c r="G756" s="21" t="s">
        <v>64</v>
      </c>
      <c r="H756" s="21" t="s">
        <v>53</v>
      </c>
      <c r="I756" s="21" t="s">
        <v>53</v>
      </c>
      <c r="J756" s="21" t="s">
        <v>53</v>
      </c>
      <c r="K756" s="21" t="s">
        <v>53</v>
      </c>
      <c r="L756" s="22" t="str">
        <f t="shared" si="55"/>
        <v>EXCLUDE</v>
      </c>
      <c r="M756" s="22" t="str">
        <f t="shared" si="56"/>
        <v>Wrong domain (non-AECO)</v>
      </c>
      <c r="N756" s="23"/>
      <c r="O756" s="23"/>
      <c r="P756" s="24"/>
      <c r="Q756" s="24"/>
      <c r="R756" s="24"/>
      <c r="S756" s="22" t="str">
        <f t="shared" si="57"/>
        <v/>
      </c>
      <c r="T756" s="22" t="str">
        <f t="shared" si="58"/>
        <v/>
      </c>
      <c r="U756" s="25"/>
      <c r="V756" s="25"/>
      <c r="W756" s="25"/>
      <c r="X756" s="25"/>
      <c r="Y756" s="22" t="str">
        <f t="shared" si="59"/>
        <v/>
      </c>
      <c r="Z756" s="25"/>
      <c r="AA756" s="25"/>
      <c r="AB756" s="25"/>
      <c r="AC756" s="25"/>
      <c r="AD756" s="25"/>
      <c r="AE756" s="25"/>
      <c r="AF756" s="25"/>
      <c r="AG756" s="9"/>
      <c r="AH756" s="29"/>
      <c r="AI756" s="29"/>
      <c r="AM756" s="50"/>
      <c r="AN756" s="51" t="s">
        <v>3728</v>
      </c>
      <c r="AO756" s="55" t="s">
        <v>3729</v>
      </c>
    </row>
    <row r="757" spans="1:41" ht="102.6" x14ac:dyDescent="0.3">
      <c r="A757" s="20">
        <v>753</v>
      </c>
      <c r="B757" s="8" t="s">
        <v>3730</v>
      </c>
      <c r="C757" s="26">
        <v>2022</v>
      </c>
      <c r="D757" s="8"/>
      <c r="E757" s="8" t="s">
        <v>3731</v>
      </c>
      <c r="F757" s="20" t="s">
        <v>54</v>
      </c>
      <c r="G757" s="21" t="s">
        <v>53</v>
      </c>
      <c r="H757" s="21" t="s">
        <v>53</v>
      </c>
      <c r="I757" s="21" t="s">
        <v>53</v>
      </c>
      <c r="J757" s="21" t="s">
        <v>53</v>
      </c>
      <c r="K757" s="21" t="s">
        <v>53</v>
      </c>
      <c r="L757" s="22" t="str">
        <f t="shared" si="55"/>
        <v>INCLUDE</v>
      </c>
      <c r="M757" s="22" t="str">
        <f t="shared" si="56"/>
        <v/>
      </c>
      <c r="N757" s="23" t="s">
        <v>53</v>
      </c>
      <c r="O757" s="23" t="s">
        <v>53</v>
      </c>
      <c r="P757" s="24" t="s">
        <v>53</v>
      </c>
      <c r="Q757" s="24" t="s">
        <v>53</v>
      </c>
      <c r="R757" s="24" t="s">
        <v>53</v>
      </c>
      <c r="S757" s="22" t="str">
        <f t="shared" si="57"/>
        <v>INCLUDE</v>
      </c>
      <c r="T757" s="22" t="str">
        <f t="shared" si="58"/>
        <v/>
      </c>
      <c r="U757" s="25" t="s">
        <v>93</v>
      </c>
      <c r="V757" s="25">
        <v>0</v>
      </c>
      <c r="W757" s="25">
        <v>1</v>
      </c>
      <c r="X757" s="25">
        <v>0</v>
      </c>
      <c r="Y757" s="22" t="str">
        <f t="shared" si="59"/>
        <v>Single</v>
      </c>
      <c r="Z757" s="25" t="s">
        <v>77</v>
      </c>
      <c r="AA757" s="25" t="s">
        <v>57</v>
      </c>
      <c r="AB757" s="25" t="s">
        <v>103</v>
      </c>
      <c r="AC757" s="25" t="s">
        <v>70</v>
      </c>
      <c r="AD757" s="25" t="s">
        <v>60</v>
      </c>
      <c r="AE757" s="25">
        <v>2</v>
      </c>
      <c r="AF757" s="25" t="s">
        <v>61</v>
      </c>
      <c r="AG757" s="9" t="s">
        <v>3732</v>
      </c>
      <c r="AH757" s="29" t="s">
        <v>3733</v>
      </c>
      <c r="AI757" s="29" t="s">
        <v>3734</v>
      </c>
      <c r="AJ757" t="s">
        <v>93</v>
      </c>
      <c r="AK757" t="s">
        <v>3735</v>
      </c>
      <c r="AL757" t="s">
        <v>63</v>
      </c>
      <c r="AM757" s="50" t="s">
        <v>213</v>
      </c>
      <c r="AN757" s="51" t="s">
        <v>3736</v>
      </c>
      <c r="AO757" s="55" t="s">
        <v>3737</v>
      </c>
    </row>
    <row r="758" spans="1:41" ht="91.2" hidden="1" x14ac:dyDescent="0.3">
      <c r="A758" s="20">
        <v>754</v>
      </c>
      <c r="B758" s="8" t="s">
        <v>3738</v>
      </c>
      <c r="C758" s="26">
        <v>2023</v>
      </c>
      <c r="D758" s="8"/>
      <c r="E758" s="8" t="s">
        <v>3739</v>
      </c>
      <c r="F758" s="20" t="s">
        <v>54</v>
      </c>
      <c r="G758" s="21" t="s">
        <v>53</v>
      </c>
      <c r="H758" s="21" t="s">
        <v>64</v>
      </c>
      <c r="I758" s="21" t="s">
        <v>53</v>
      </c>
      <c r="J758" s="21" t="s">
        <v>53</v>
      </c>
      <c r="K758" s="21" t="s">
        <v>53</v>
      </c>
      <c r="L758" s="22" t="str">
        <f t="shared" si="55"/>
        <v>EXCLUDE</v>
      </c>
      <c r="M758" s="22" t="str">
        <f t="shared" si="56"/>
        <v>Digital Twin not core / buzzword</v>
      </c>
      <c r="N758" s="23"/>
      <c r="O758" s="23"/>
      <c r="P758" s="24"/>
      <c r="Q758" s="24"/>
      <c r="R758" s="24"/>
      <c r="S758" s="22" t="str">
        <f t="shared" si="57"/>
        <v/>
      </c>
      <c r="T758" s="22" t="str">
        <f t="shared" si="58"/>
        <v/>
      </c>
      <c r="U758" s="25"/>
      <c r="V758" s="25"/>
      <c r="W758" s="25"/>
      <c r="X758" s="25"/>
      <c r="Y758" s="22" t="str">
        <f t="shared" si="59"/>
        <v/>
      </c>
      <c r="Z758" s="25"/>
      <c r="AA758" s="25"/>
      <c r="AB758" s="25"/>
      <c r="AC758" s="25"/>
      <c r="AD758" s="25"/>
      <c r="AE758" s="25"/>
      <c r="AF758" s="25"/>
      <c r="AG758" s="9"/>
      <c r="AH758" s="29"/>
      <c r="AI758" s="29"/>
      <c r="AM758" s="50"/>
      <c r="AN758" s="51" t="s">
        <v>3740</v>
      </c>
      <c r="AO758" s="55" t="s">
        <v>3741</v>
      </c>
    </row>
    <row r="759" spans="1:41" ht="57" hidden="1" x14ac:dyDescent="0.3">
      <c r="A759" s="20">
        <v>755</v>
      </c>
      <c r="B759" s="8" t="s">
        <v>3742</v>
      </c>
      <c r="C759" s="26">
        <v>2023</v>
      </c>
      <c r="D759" s="8"/>
      <c r="E759" s="8" t="s">
        <v>3743</v>
      </c>
      <c r="F759" s="20" t="s">
        <v>54</v>
      </c>
      <c r="G759" s="21" t="s">
        <v>64</v>
      </c>
      <c r="H759" s="21" t="s">
        <v>53</v>
      </c>
      <c r="I759" s="21" t="s">
        <v>53</v>
      </c>
      <c r="J759" s="21" t="s">
        <v>53</v>
      </c>
      <c r="K759" s="21" t="s">
        <v>53</v>
      </c>
      <c r="L759" s="22" t="str">
        <f t="shared" si="55"/>
        <v>EXCLUDE</v>
      </c>
      <c r="M759" s="22" t="str">
        <f t="shared" si="56"/>
        <v>Wrong domain (non-AECO)</v>
      </c>
      <c r="N759" s="23"/>
      <c r="O759" s="23"/>
      <c r="P759" s="24"/>
      <c r="Q759" s="24"/>
      <c r="R759" s="24"/>
      <c r="S759" s="22" t="str">
        <f t="shared" si="57"/>
        <v/>
      </c>
      <c r="T759" s="22" t="str">
        <f t="shared" si="58"/>
        <v/>
      </c>
      <c r="U759" s="25"/>
      <c r="V759" s="25"/>
      <c r="W759" s="25"/>
      <c r="X759" s="25"/>
      <c r="Y759" s="22" t="str">
        <f t="shared" si="59"/>
        <v/>
      </c>
      <c r="Z759" s="25"/>
      <c r="AA759" s="25"/>
      <c r="AB759" s="25"/>
      <c r="AC759" s="25"/>
      <c r="AD759" s="25"/>
      <c r="AE759" s="25"/>
      <c r="AF759" s="25"/>
      <c r="AG759" s="9"/>
      <c r="AH759" s="29"/>
      <c r="AI759" s="29"/>
      <c r="AM759" s="50"/>
      <c r="AN759" s="51" t="s">
        <v>3744</v>
      </c>
      <c r="AO759" s="55" t="s">
        <v>3745</v>
      </c>
    </row>
    <row r="760" spans="1:41" ht="57" hidden="1" x14ac:dyDescent="0.3">
      <c r="A760" s="20">
        <v>756</v>
      </c>
      <c r="B760" s="8" t="s">
        <v>3746</v>
      </c>
      <c r="C760" s="26">
        <v>2023</v>
      </c>
      <c r="D760" s="8"/>
      <c r="E760" s="8" t="s">
        <v>3747</v>
      </c>
      <c r="F760" s="20" t="s">
        <v>54</v>
      </c>
      <c r="G760" s="21" t="s">
        <v>64</v>
      </c>
      <c r="H760" s="21" t="s">
        <v>53</v>
      </c>
      <c r="I760" s="21" t="s">
        <v>53</v>
      </c>
      <c r="J760" s="21" t="s">
        <v>53</v>
      </c>
      <c r="K760" s="21" t="s">
        <v>53</v>
      </c>
      <c r="L760" s="22" t="str">
        <f t="shared" si="55"/>
        <v>EXCLUDE</v>
      </c>
      <c r="M760" s="22" t="str">
        <f t="shared" si="56"/>
        <v>Wrong domain (non-AECO)</v>
      </c>
      <c r="N760" s="23"/>
      <c r="O760" s="23"/>
      <c r="P760" s="24"/>
      <c r="Q760" s="24"/>
      <c r="R760" s="24"/>
      <c r="S760" s="22" t="str">
        <f t="shared" si="57"/>
        <v/>
      </c>
      <c r="T760" s="22" t="str">
        <f t="shared" si="58"/>
        <v/>
      </c>
      <c r="U760" s="25"/>
      <c r="V760" s="25"/>
      <c r="W760" s="25"/>
      <c r="X760" s="25"/>
      <c r="Y760" s="22" t="str">
        <f t="shared" si="59"/>
        <v/>
      </c>
      <c r="Z760" s="25"/>
      <c r="AA760" s="25"/>
      <c r="AB760" s="25"/>
      <c r="AC760" s="25"/>
      <c r="AD760" s="25"/>
      <c r="AE760" s="25"/>
      <c r="AF760" s="25"/>
      <c r="AG760" s="9"/>
      <c r="AH760" s="29"/>
      <c r="AI760" s="29"/>
      <c r="AM760" s="50"/>
      <c r="AN760" s="51" t="s">
        <v>3748</v>
      </c>
      <c r="AO760" s="55" t="s">
        <v>3749</v>
      </c>
    </row>
    <row r="761" spans="1:41" ht="57" hidden="1" x14ac:dyDescent="0.3">
      <c r="A761" s="20">
        <v>757</v>
      </c>
      <c r="B761" s="8" t="s">
        <v>3750</v>
      </c>
      <c r="C761" s="26">
        <v>2024</v>
      </c>
      <c r="D761" s="8"/>
      <c r="E761" s="8" t="s">
        <v>3751</v>
      </c>
      <c r="F761" s="20" t="s">
        <v>54</v>
      </c>
      <c r="G761" s="21" t="s">
        <v>53</v>
      </c>
      <c r="H761" s="21" t="s">
        <v>53</v>
      </c>
      <c r="I761" s="21" t="s">
        <v>53</v>
      </c>
      <c r="J761" s="21" t="s">
        <v>53</v>
      </c>
      <c r="K761" s="21" t="s">
        <v>53</v>
      </c>
      <c r="L761" s="22" t="str">
        <f t="shared" si="55"/>
        <v>INCLUDE</v>
      </c>
      <c r="M761" s="22" t="str">
        <f t="shared" si="56"/>
        <v/>
      </c>
      <c r="N761" s="23" t="s">
        <v>64</v>
      </c>
      <c r="O761" s="23" t="s">
        <v>64</v>
      </c>
      <c r="P761" s="24"/>
      <c r="Q761" s="24"/>
      <c r="R761" s="24"/>
      <c r="S761" s="22" t="str">
        <f t="shared" si="57"/>
        <v/>
      </c>
      <c r="T761" s="22" t="str">
        <f t="shared" si="58"/>
        <v/>
      </c>
      <c r="U761" s="25"/>
      <c r="V761" s="25"/>
      <c r="W761" s="25"/>
      <c r="X761" s="25"/>
      <c r="Y761" s="22" t="str">
        <f t="shared" si="59"/>
        <v/>
      </c>
      <c r="Z761" s="25"/>
      <c r="AA761" s="25"/>
      <c r="AB761" s="25"/>
      <c r="AC761" s="25"/>
      <c r="AD761" s="25"/>
      <c r="AE761" s="25"/>
      <c r="AF761" s="25"/>
      <c r="AG761" s="9"/>
      <c r="AH761" s="29"/>
      <c r="AI761" s="29"/>
      <c r="AM761" s="50"/>
      <c r="AN761" s="51" t="s">
        <v>3752</v>
      </c>
      <c r="AO761" s="55" t="s">
        <v>3753</v>
      </c>
    </row>
    <row r="762" spans="1:41" ht="102.6" x14ac:dyDescent="0.3">
      <c r="A762" s="20">
        <v>758</v>
      </c>
      <c r="B762" s="8" t="s">
        <v>3754</v>
      </c>
      <c r="C762" s="26">
        <v>2022</v>
      </c>
      <c r="D762" s="8"/>
      <c r="E762" s="8" t="s">
        <v>3755</v>
      </c>
      <c r="F762" s="20" t="s">
        <v>54</v>
      </c>
      <c r="G762" s="21" t="s">
        <v>53</v>
      </c>
      <c r="H762" s="21" t="s">
        <v>53</v>
      </c>
      <c r="I762" s="21" t="s">
        <v>53</v>
      </c>
      <c r="J762" s="21" t="s">
        <v>53</v>
      </c>
      <c r="K762" s="21" t="s">
        <v>53</v>
      </c>
      <c r="L762" s="22" t="str">
        <f t="shared" si="55"/>
        <v>INCLUDE</v>
      </c>
      <c r="M762" s="22" t="str">
        <f t="shared" si="56"/>
        <v/>
      </c>
      <c r="N762" s="23" t="s">
        <v>53</v>
      </c>
      <c r="O762" s="23" t="s">
        <v>53</v>
      </c>
      <c r="P762" s="24" t="s">
        <v>53</v>
      </c>
      <c r="Q762" s="24" t="s">
        <v>53</v>
      </c>
      <c r="R762" s="24" t="s">
        <v>53</v>
      </c>
      <c r="S762" s="22" t="str">
        <f t="shared" si="57"/>
        <v>INCLUDE</v>
      </c>
      <c r="T762" s="22" t="str">
        <f t="shared" si="58"/>
        <v/>
      </c>
      <c r="U762" s="25" t="s">
        <v>67</v>
      </c>
      <c r="V762" s="25">
        <v>1</v>
      </c>
      <c r="W762" s="25">
        <v>0</v>
      </c>
      <c r="X762" s="25">
        <v>1</v>
      </c>
      <c r="Y762" s="22" t="str">
        <f t="shared" si="59"/>
        <v>Multi</v>
      </c>
      <c r="Z762" s="25" t="s">
        <v>9</v>
      </c>
      <c r="AA762" s="25" t="s">
        <v>57</v>
      </c>
      <c r="AB762" s="25" t="s">
        <v>104</v>
      </c>
      <c r="AC762" s="25" t="s">
        <v>70</v>
      </c>
      <c r="AD762" s="25" t="s">
        <v>71</v>
      </c>
      <c r="AE762" s="25">
        <v>4</v>
      </c>
      <c r="AF762" s="25" t="s">
        <v>90</v>
      </c>
      <c r="AG762" s="9" t="s">
        <v>3756</v>
      </c>
      <c r="AH762" s="29" t="s">
        <v>3757</v>
      </c>
      <c r="AI762" s="29" t="s">
        <v>3758</v>
      </c>
      <c r="AJ762" t="s">
        <v>91</v>
      </c>
      <c r="AK762" t="s">
        <v>3759</v>
      </c>
      <c r="AL762" t="s">
        <v>63</v>
      </c>
      <c r="AM762" s="50"/>
      <c r="AN762" s="51" t="s">
        <v>3760</v>
      </c>
      <c r="AO762" s="55" t="s">
        <v>3761</v>
      </c>
    </row>
    <row r="763" spans="1:41" ht="57" hidden="1" x14ac:dyDescent="0.3">
      <c r="A763" s="20">
        <v>759</v>
      </c>
      <c r="B763" s="8" t="s">
        <v>3762</v>
      </c>
      <c r="C763" s="26">
        <v>2022</v>
      </c>
      <c r="D763" s="8"/>
      <c r="E763" s="8" t="s">
        <v>3763</v>
      </c>
      <c r="F763" s="20" t="s">
        <v>54</v>
      </c>
      <c r="G763" s="21" t="s">
        <v>64</v>
      </c>
      <c r="H763" s="21" t="s">
        <v>53</v>
      </c>
      <c r="I763" s="21" t="s">
        <v>53</v>
      </c>
      <c r="J763" s="21" t="s">
        <v>53</v>
      </c>
      <c r="K763" s="21" t="s">
        <v>53</v>
      </c>
      <c r="L763" s="22" t="str">
        <f t="shared" si="55"/>
        <v>EXCLUDE</v>
      </c>
      <c r="M763" s="22" t="str">
        <f t="shared" si="56"/>
        <v>Wrong domain (non-AECO)</v>
      </c>
      <c r="N763" s="23"/>
      <c r="O763" s="23"/>
      <c r="P763" s="24"/>
      <c r="Q763" s="24"/>
      <c r="R763" s="24"/>
      <c r="S763" s="22" t="str">
        <f t="shared" si="57"/>
        <v/>
      </c>
      <c r="T763" s="22" t="str">
        <f t="shared" si="58"/>
        <v/>
      </c>
      <c r="U763" s="25"/>
      <c r="V763" s="25"/>
      <c r="W763" s="25"/>
      <c r="X763" s="25"/>
      <c r="Y763" s="22" t="str">
        <f t="shared" si="59"/>
        <v/>
      </c>
      <c r="Z763" s="25"/>
      <c r="AA763" s="25"/>
      <c r="AB763" s="25"/>
      <c r="AC763" s="25"/>
      <c r="AD763" s="25"/>
      <c r="AE763" s="25"/>
      <c r="AF763" s="25"/>
      <c r="AG763" s="9"/>
      <c r="AH763" s="29"/>
      <c r="AI763" s="29"/>
      <c r="AM763" s="50"/>
      <c r="AN763" s="51" t="s">
        <v>3764</v>
      </c>
      <c r="AO763" s="55" t="s">
        <v>3765</v>
      </c>
    </row>
    <row r="764" spans="1:41" ht="34.200000000000003" hidden="1" x14ac:dyDescent="0.3">
      <c r="A764" s="20">
        <v>760</v>
      </c>
      <c r="B764" s="8" t="s">
        <v>3766</v>
      </c>
      <c r="C764" s="26">
        <v>2024</v>
      </c>
      <c r="D764" s="8"/>
      <c r="E764" s="8" t="s">
        <v>3767</v>
      </c>
      <c r="F764" s="20" t="s">
        <v>54</v>
      </c>
      <c r="G764" s="21" t="s">
        <v>64</v>
      </c>
      <c r="H764" s="21" t="s">
        <v>53</v>
      </c>
      <c r="I764" s="21" t="s">
        <v>53</v>
      </c>
      <c r="J764" s="21" t="s">
        <v>53</v>
      </c>
      <c r="K764" s="21" t="s">
        <v>53</v>
      </c>
      <c r="L764" s="22" t="str">
        <f t="shared" si="55"/>
        <v>EXCLUDE</v>
      </c>
      <c r="M764" s="22" t="str">
        <f t="shared" si="56"/>
        <v>Wrong domain (non-AECO)</v>
      </c>
      <c r="N764" s="23"/>
      <c r="O764" s="23"/>
      <c r="P764" s="24"/>
      <c r="Q764" s="24"/>
      <c r="R764" s="24"/>
      <c r="S764" s="22" t="str">
        <f t="shared" si="57"/>
        <v/>
      </c>
      <c r="T764" s="22" t="str">
        <f t="shared" si="58"/>
        <v/>
      </c>
      <c r="U764" s="25"/>
      <c r="V764" s="25"/>
      <c r="W764" s="25"/>
      <c r="X764" s="25"/>
      <c r="Y764" s="22" t="str">
        <f t="shared" si="59"/>
        <v/>
      </c>
      <c r="Z764" s="25"/>
      <c r="AA764" s="25"/>
      <c r="AB764" s="25"/>
      <c r="AC764" s="25"/>
      <c r="AD764" s="25"/>
      <c r="AE764" s="25"/>
      <c r="AF764" s="25"/>
      <c r="AG764" s="9"/>
      <c r="AH764" s="29"/>
      <c r="AI764" s="29"/>
      <c r="AM764" s="50"/>
      <c r="AN764" s="51" t="s">
        <v>3768</v>
      </c>
      <c r="AO764" s="55" t="s">
        <v>3769</v>
      </c>
    </row>
    <row r="765" spans="1:41" ht="45.6" hidden="1" x14ac:dyDescent="0.3">
      <c r="A765" s="20">
        <v>761</v>
      </c>
      <c r="B765" s="8" t="s">
        <v>3770</v>
      </c>
      <c r="C765" s="26">
        <v>2024</v>
      </c>
      <c r="D765" s="8"/>
      <c r="E765" s="8" t="s">
        <v>3771</v>
      </c>
      <c r="F765" s="20" t="s">
        <v>54</v>
      </c>
      <c r="G765" s="21" t="s">
        <v>53</v>
      </c>
      <c r="H765" s="21" t="s">
        <v>64</v>
      </c>
      <c r="I765" s="21" t="s">
        <v>53</v>
      </c>
      <c r="J765" s="21" t="s">
        <v>53</v>
      </c>
      <c r="K765" s="21" t="s">
        <v>53</v>
      </c>
      <c r="L765" s="22" t="str">
        <f t="shared" si="55"/>
        <v>EXCLUDE</v>
      </c>
      <c r="M765" s="22" t="str">
        <f t="shared" si="56"/>
        <v>Digital Twin not core / buzzword</v>
      </c>
      <c r="N765" s="23"/>
      <c r="O765" s="23"/>
      <c r="P765" s="24"/>
      <c r="Q765" s="24"/>
      <c r="R765" s="24"/>
      <c r="S765" s="22" t="str">
        <f t="shared" si="57"/>
        <v/>
      </c>
      <c r="T765" s="22" t="str">
        <f t="shared" si="58"/>
        <v/>
      </c>
      <c r="U765" s="25"/>
      <c r="V765" s="25"/>
      <c r="W765" s="25"/>
      <c r="X765" s="25"/>
      <c r="Y765" s="22" t="str">
        <f t="shared" si="59"/>
        <v/>
      </c>
      <c r="Z765" s="25"/>
      <c r="AA765" s="25"/>
      <c r="AB765" s="25"/>
      <c r="AC765" s="25"/>
      <c r="AD765" s="25"/>
      <c r="AE765" s="25"/>
      <c r="AF765" s="25"/>
      <c r="AG765" s="9"/>
      <c r="AH765" s="29"/>
      <c r="AI765" s="29"/>
      <c r="AM765" s="50"/>
      <c r="AN765" s="51" t="s">
        <v>3772</v>
      </c>
      <c r="AO765" s="55" t="s">
        <v>3773</v>
      </c>
    </row>
    <row r="766" spans="1:41" ht="91.2" hidden="1" x14ac:dyDescent="0.3">
      <c r="A766" s="20">
        <v>762</v>
      </c>
      <c r="B766" s="8" t="s">
        <v>3774</v>
      </c>
      <c r="C766" s="26">
        <v>2025</v>
      </c>
      <c r="D766" s="8"/>
      <c r="E766" s="8" t="s">
        <v>3775</v>
      </c>
      <c r="F766" s="20" t="s">
        <v>54</v>
      </c>
      <c r="G766" s="21" t="s">
        <v>53</v>
      </c>
      <c r="H766" s="21" t="s">
        <v>64</v>
      </c>
      <c r="I766" s="21" t="s">
        <v>53</v>
      </c>
      <c r="J766" s="21" t="s">
        <v>53</v>
      </c>
      <c r="K766" s="21" t="s">
        <v>53</v>
      </c>
      <c r="L766" s="22" t="str">
        <f t="shared" si="55"/>
        <v>EXCLUDE</v>
      </c>
      <c r="M766" s="22" t="str">
        <f t="shared" si="56"/>
        <v>Digital Twin not core / buzzword</v>
      </c>
      <c r="N766" s="23"/>
      <c r="O766" s="23"/>
      <c r="P766" s="24"/>
      <c r="Q766" s="24"/>
      <c r="R766" s="24"/>
      <c r="S766" s="22" t="str">
        <f t="shared" si="57"/>
        <v/>
      </c>
      <c r="T766" s="22" t="str">
        <f t="shared" si="58"/>
        <v/>
      </c>
      <c r="U766" s="25"/>
      <c r="V766" s="25"/>
      <c r="W766" s="25"/>
      <c r="X766" s="25"/>
      <c r="Y766" s="22" t="str">
        <f t="shared" si="59"/>
        <v/>
      </c>
      <c r="Z766" s="25"/>
      <c r="AA766" s="25"/>
      <c r="AB766" s="25"/>
      <c r="AC766" s="25"/>
      <c r="AD766" s="25"/>
      <c r="AE766" s="25"/>
      <c r="AF766" s="25"/>
      <c r="AG766" s="9"/>
      <c r="AH766" s="29"/>
      <c r="AI766" s="29"/>
      <c r="AM766" s="50"/>
      <c r="AN766" s="51" t="s">
        <v>3776</v>
      </c>
      <c r="AO766" s="55" t="s">
        <v>3777</v>
      </c>
    </row>
    <row r="767" spans="1:41" ht="68.400000000000006" hidden="1" x14ac:dyDescent="0.3">
      <c r="A767" s="20">
        <v>763</v>
      </c>
      <c r="B767" s="8" t="s">
        <v>3778</v>
      </c>
      <c r="C767" s="26">
        <v>2023</v>
      </c>
      <c r="D767" s="8"/>
      <c r="E767" s="8" t="s">
        <v>3779</v>
      </c>
      <c r="F767" s="20" t="s">
        <v>54</v>
      </c>
      <c r="G767" s="21" t="s">
        <v>64</v>
      </c>
      <c r="H767" s="21" t="s">
        <v>53</v>
      </c>
      <c r="I767" s="21" t="s">
        <v>53</v>
      </c>
      <c r="J767" s="21" t="s">
        <v>53</v>
      </c>
      <c r="K767" s="21" t="s">
        <v>53</v>
      </c>
      <c r="L767" s="22" t="str">
        <f t="shared" si="55"/>
        <v>EXCLUDE</v>
      </c>
      <c r="M767" s="22" t="str">
        <f t="shared" si="56"/>
        <v>Wrong domain (non-AECO)</v>
      </c>
      <c r="N767" s="23"/>
      <c r="O767" s="23"/>
      <c r="P767" s="24"/>
      <c r="Q767" s="24"/>
      <c r="R767" s="24"/>
      <c r="S767" s="22" t="str">
        <f t="shared" si="57"/>
        <v/>
      </c>
      <c r="T767" s="22" t="str">
        <f t="shared" si="58"/>
        <v/>
      </c>
      <c r="U767" s="25"/>
      <c r="V767" s="25"/>
      <c r="W767" s="25"/>
      <c r="X767" s="25"/>
      <c r="Y767" s="22" t="str">
        <f t="shared" si="59"/>
        <v/>
      </c>
      <c r="Z767" s="25"/>
      <c r="AA767" s="25"/>
      <c r="AB767" s="25"/>
      <c r="AC767" s="25"/>
      <c r="AD767" s="25"/>
      <c r="AE767" s="25"/>
      <c r="AF767" s="25"/>
      <c r="AG767" s="9"/>
      <c r="AH767" s="29"/>
      <c r="AI767" s="29"/>
      <c r="AM767" s="50"/>
      <c r="AN767" s="51" t="s">
        <v>3780</v>
      </c>
      <c r="AO767" s="55" t="s">
        <v>3781</v>
      </c>
    </row>
    <row r="768" spans="1:41" ht="45.6" hidden="1" x14ac:dyDescent="0.3">
      <c r="A768" s="20">
        <v>764</v>
      </c>
      <c r="B768" s="8" t="s">
        <v>3782</v>
      </c>
      <c r="C768" s="26">
        <v>2023</v>
      </c>
      <c r="D768" s="8"/>
      <c r="E768" s="8" t="s">
        <v>3783</v>
      </c>
      <c r="F768" s="20" t="s">
        <v>54</v>
      </c>
      <c r="G768" s="21" t="s">
        <v>64</v>
      </c>
      <c r="H768" s="21" t="s">
        <v>53</v>
      </c>
      <c r="I768" s="21" t="s">
        <v>53</v>
      </c>
      <c r="J768" s="21" t="s">
        <v>53</v>
      </c>
      <c r="K768" s="21" t="s">
        <v>53</v>
      </c>
      <c r="L768" s="22" t="str">
        <f t="shared" si="55"/>
        <v>EXCLUDE</v>
      </c>
      <c r="M768" s="22" t="str">
        <f t="shared" si="56"/>
        <v>Wrong domain (non-AECO)</v>
      </c>
      <c r="N768" s="23"/>
      <c r="O768" s="23"/>
      <c r="P768" s="24"/>
      <c r="Q768" s="24"/>
      <c r="R768" s="24"/>
      <c r="S768" s="22" t="str">
        <f t="shared" si="57"/>
        <v/>
      </c>
      <c r="T768" s="22" t="str">
        <f t="shared" si="58"/>
        <v/>
      </c>
      <c r="U768" s="25"/>
      <c r="V768" s="25"/>
      <c r="W768" s="25"/>
      <c r="X768" s="25"/>
      <c r="Y768" s="22" t="str">
        <f t="shared" si="59"/>
        <v/>
      </c>
      <c r="Z768" s="25"/>
      <c r="AA768" s="25"/>
      <c r="AB768" s="25"/>
      <c r="AC768" s="25"/>
      <c r="AD768" s="25"/>
      <c r="AE768" s="25"/>
      <c r="AF768" s="25"/>
      <c r="AG768" s="9"/>
      <c r="AH768" s="29"/>
      <c r="AI768" s="29"/>
      <c r="AM768" s="50"/>
      <c r="AN768" s="51" t="s">
        <v>3784</v>
      </c>
      <c r="AO768" s="55" t="s">
        <v>3785</v>
      </c>
    </row>
    <row r="769" spans="1:41" ht="34.200000000000003" hidden="1" x14ac:dyDescent="0.3">
      <c r="A769" s="20">
        <v>765</v>
      </c>
      <c r="B769" s="8" t="s">
        <v>3786</v>
      </c>
      <c r="C769" s="26">
        <v>2025</v>
      </c>
      <c r="D769" s="8"/>
      <c r="E769" s="8" t="s">
        <v>3787</v>
      </c>
      <c r="F769" s="20" t="s">
        <v>54</v>
      </c>
      <c r="G769" s="21" t="s">
        <v>64</v>
      </c>
      <c r="H769" s="21" t="s">
        <v>53</v>
      </c>
      <c r="I769" s="21" t="s">
        <v>53</v>
      </c>
      <c r="J769" s="21" t="s">
        <v>53</v>
      </c>
      <c r="K769" s="21" t="s">
        <v>53</v>
      </c>
      <c r="L769" s="22" t="str">
        <f t="shared" si="55"/>
        <v>EXCLUDE</v>
      </c>
      <c r="M769" s="22" t="str">
        <f t="shared" si="56"/>
        <v>Wrong domain (non-AECO)</v>
      </c>
      <c r="N769" s="23"/>
      <c r="O769" s="23"/>
      <c r="P769" s="24"/>
      <c r="Q769" s="24"/>
      <c r="R769" s="24"/>
      <c r="S769" s="22" t="str">
        <f t="shared" si="57"/>
        <v/>
      </c>
      <c r="T769" s="22" t="str">
        <f t="shared" si="58"/>
        <v/>
      </c>
      <c r="U769" s="25"/>
      <c r="V769" s="25"/>
      <c r="W769" s="25"/>
      <c r="X769" s="25"/>
      <c r="Y769" s="22" t="str">
        <f t="shared" si="59"/>
        <v/>
      </c>
      <c r="Z769" s="25"/>
      <c r="AA769" s="25"/>
      <c r="AB769" s="25"/>
      <c r="AC769" s="25"/>
      <c r="AD769" s="25"/>
      <c r="AE769" s="25"/>
      <c r="AF769" s="25"/>
      <c r="AG769" s="9"/>
      <c r="AH769" s="29"/>
      <c r="AI769" s="29"/>
      <c r="AM769" s="50"/>
      <c r="AN769" s="51" t="s">
        <v>3788</v>
      </c>
      <c r="AO769" s="55" t="s">
        <v>3789</v>
      </c>
    </row>
    <row r="770" spans="1:41" ht="72" hidden="1" x14ac:dyDescent="0.3">
      <c r="A770" s="20">
        <v>766</v>
      </c>
      <c r="B770" s="8" t="s">
        <v>3790</v>
      </c>
      <c r="C770" s="26">
        <v>2025</v>
      </c>
      <c r="D770" s="8"/>
      <c r="E770" s="8" t="s">
        <v>3791</v>
      </c>
      <c r="F770" s="20" t="s">
        <v>54</v>
      </c>
      <c r="G770" s="21" t="s">
        <v>53</v>
      </c>
      <c r="H770" s="21" t="s">
        <v>53</v>
      </c>
      <c r="I770" s="21" t="s">
        <v>53</v>
      </c>
      <c r="J770" s="21" t="s">
        <v>53</v>
      </c>
      <c r="K770" s="21" t="s">
        <v>53</v>
      </c>
      <c r="L770" s="22" t="str">
        <f t="shared" si="55"/>
        <v>INCLUDE</v>
      </c>
      <c r="M770" s="22" t="str">
        <f t="shared" si="56"/>
        <v/>
      </c>
      <c r="N770" s="23" t="s">
        <v>53</v>
      </c>
      <c r="O770" s="23" t="s">
        <v>53</v>
      </c>
      <c r="P770" s="24" t="s">
        <v>64</v>
      </c>
      <c r="Q770" s="24" t="s">
        <v>53</v>
      </c>
      <c r="R770" s="24" t="s">
        <v>64</v>
      </c>
      <c r="S770" s="22" t="str">
        <f t="shared" si="57"/>
        <v>EXCLUDE</v>
      </c>
      <c r="T770" s="22" t="str">
        <f t="shared" si="58"/>
        <v>Digital Twin mentioned only, not the subject</v>
      </c>
      <c r="U770" s="25"/>
      <c r="V770" s="25"/>
      <c r="W770" s="25"/>
      <c r="X770" s="25"/>
      <c r="Y770" s="22" t="str">
        <f t="shared" si="59"/>
        <v/>
      </c>
      <c r="Z770" s="25"/>
      <c r="AA770" s="25"/>
      <c r="AB770" s="25"/>
      <c r="AC770" s="25"/>
      <c r="AD770" s="25"/>
      <c r="AE770" s="25"/>
      <c r="AF770" s="25"/>
      <c r="AG770" s="9" t="s">
        <v>3792</v>
      </c>
      <c r="AH770" s="29"/>
      <c r="AI770" s="29"/>
      <c r="AM770" s="50"/>
      <c r="AN770" s="51" t="s">
        <v>3793</v>
      </c>
      <c r="AO770" s="55" t="s">
        <v>3794</v>
      </c>
    </row>
    <row r="771" spans="1:41" ht="102.6" x14ac:dyDescent="0.3">
      <c r="A771" s="20">
        <v>767</v>
      </c>
      <c r="B771" s="8" t="s">
        <v>3795</v>
      </c>
      <c r="C771" s="26">
        <v>2024</v>
      </c>
      <c r="D771" s="8"/>
      <c r="E771" s="8" t="s">
        <v>3796</v>
      </c>
      <c r="F771" s="20" t="s">
        <v>54</v>
      </c>
      <c r="G771" s="21" t="s">
        <v>53</v>
      </c>
      <c r="H771" s="21" t="s">
        <v>53</v>
      </c>
      <c r="I771" s="21" t="s">
        <v>53</v>
      </c>
      <c r="J771" s="21" t="s">
        <v>53</v>
      </c>
      <c r="K771" s="21" t="s">
        <v>53</v>
      </c>
      <c r="L771" s="22" t="str">
        <f t="shared" si="55"/>
        <v>INCLUDE</v>
      </c>
      <c r="M771" s="22" t="str">
        <f t="shared" si="56"/>
        <v/>
      </c>
      <c r="N771" s="23" t="s">
        <v>53</v>
      </c>
      <c r="O771" s="23" t="s">
        <v>53</v>
      </c>
      <c r="P771" s="24" t="s">
        <v>53</v>
      </c>
      <c r="Q771" s="24" t="s">
        <v>53</v>
      </c>
      <c r="R771" s="24" t="s">
        <v>53</v>
      </c>
      <c r="S771" s="22" t="str">
        <f t="shared" si="57"/>
        <v>INCLUDE</v>
      </c>
      <c r="T771" s="22" t="str">
        <f t="shared" si="58"/>
        <v/>
      </c>
      <c r="U771" s="25" t="s">
        <v>56</v>
      </c>
      <c r="V771" s="25">
        <v>0</v>
      </c>
      <c r="W771" s="25">
        <v>0</v>
      </c>
      <c r="X771" s="25">
        <v>1</v>
      </c>
      <c r="Y771" s="22" t="str">
        <f t="shared" si="59"/>
        <v>Single</v>
      </c>
      <c r="Z771" s="25" t="s">
        <v>9</v>
      </c>
      <c r="AA771" s="25" t="s">
        <v>57</v>
      </c>
      <c r="AB771" s="25" t="s">
        <v>103</v>
      </c>
      <c r="AC771" s="25" t="s">
        <v>70</v>
      </c>
      <c r="AD771" s="25" t="s">
        <v>89</v>
      </c>
      <c r="AE771" s="25">
        <v>3</v>
      </c>
      <c r="AF771" s="25" t="s">
        <v>86</v>
      </c>
      <c r="AG771" s="9" t="s">
        <v>3797</v>
      </c>
      <c r="AH771" s="29" t="s">
        <v>3798</v>
      </c>
      <c r="AI771" s="29" t="s">
        <v>3799</v>
      </c>
      <c r="AJ771" t="s">
        <v>82</v>
      </c>
      <c r="AK771" t="s">
        <v>3800</v>
      </c>
      <c r="AL771" t="s">
        <v>74</v>
      </c>
      <c r="AM771" s="50"/>
      <c r="AN771" s="51" t="s">
        <v>3801</v>
      </c>
      <c r="AO771" s="55" t="s">
        <v>3802</v>
      </c>
    </row>
    <row r="772" spans="1:41" ht="68.400000000000006" hidden="1" x14ac:dyDescent="0.3">
      <c r="A772" s="20">
        <v>768</v>
      </c>
      <c r="B772" s="8" t="s">
        <v>3803</v>
      </c>
      <c r="C772" s="26">
        <v>2024</v>
      </c>
      <c r="D772" s="8"/>
      <c r="E772" s="8" t="s">
        <v>3804</v>
      </c>
      <c r="F772" s="20" t="s">
        <v>54</v>
      </c>
      <c r="G772" s="21" t="s">
        <v>64</v>
      </c>
      <c r="H772" s="21" t="s">
        <v>53</v>
      </c>
      <c r="I772" s="21" t="s">
        <v>53</v>
      </c>
      <c r="J772" s="21" t="s">
        <v>53</v>
      </c>
      <c r="K772" s="21" t="s">
        <v>53</v>
      </c>
      <c r="L772" s="22" t="str">
        <f t="shared" si="55"/>
        <v>EXCLUDE</v>
      </c>
      <c r="M772" s="22" t="str">
        <f t="shared" si="56"/>
        <v>Wrong domain (non-AECO)</v>
      </c>
      <c r="N772" s="23"/>
      <c r="O772" s="23"/>
      <c r="P772" s="24"/>
      <c r="Q772" s="24"/>
      <c r="R772" s="24"/>
      <c r="S772" s="22" t="str">
        <f t="shared" si="57"/>
        <v/>
      </c>
      <c r="T772" s="22" t="str">
        <f t="shared" si="58"/>
        <v/>
      </c>
      <c r="U772" s="25"/>
      <c r="V772" s="25"/>
      <c r="W772" s="25"/>
      <c r="X772" s="25"/>
      <c r="Y772" s="22" t="str">
        <f t="shared" si="59"/>
        <v/>
      </c>
      <c r="Z772" s="25"/>
      <c r="AA772" s="25"/>
      <c r="AB772" s="25"/>
      <c r="AC772" s="25"/>
      <c r="AD772" s="25"/>
      <c r="AE772" s="25"/>
      <c r="AF772" s="25"/>
      <c r="AG772" s="9"/>
      <c r="AH772" s="29"/>
      <c r="AI772" s="29"/>
      <c r="AM772" s="50"/>
      <c r="AN772" s="51" t="s">
        <v>3805</v>
      </c>
      <c r="AO772" s="55" t="s">
        <v>3806</v>
      </c>
    </row>
    <row r="773" spans="1:41" ht="57" hidden="1" x14ac:dyDescent="0.3">
      <c r="A773" s="20">
        <v>769</v>
      </c>
      <c r="B773" s="8" t="s">
        <v>3807</v>
      </c>
      <c r="C773" s="26">
        <v>2021</v>
      </c>
      <c r="D773" s="8"/>
      <c r="E773" s="8" t="s">
        <v>3808</v>
      </c>
      <c r="F773" s="20" t="s">
        <v>54</v>
      </c>
      <c r="G773" s="21" t="s">
        <v>64</v>
      </c>
      <c r="H773" s="21" t="s">
        <v>53</v>
      </c>
      <c r="I773" s="21" t="s">
        <v>53</v>
      </c>
      <c r="J773" s="21" t="s">
        <v>53</v>
      </c>
      <c r="K773" s="21" t="s">
        <v>53</v>
      </c>
      <c r="L773" s="22" t="str">
        <f t="shared" ref="L773:L836" si="60">IF(COUNTBLANK(G773:K773)=5,"",IF(COUNTIF(G773:K773,"No")&gt;0,"EXCLUDE","INCLUDE"))</f>
        <v>EXCLUDE</v>
      </c>
      <c r="M773" s="22" t="str">
        <f t="shared" ref="M773:M836" si="61">IF(L773&lt;&gt;"EXCLUDE","",IF(G773="No","Wrong domain (non-AECO)",IF(H773="No","Digital Twin not core / buzzword",IF(I773="No","No Design for Safety/Quality/PtD",IF(J773="No","Wrong publication type",IF(K773="No","Non-English",""))))))</f>
        <v>Wrong domain (non-AECO)</v>
      </c>
      <c r="N773" s="23"/>
      <c r="O773" s="23"/>
      <c r="P773" s="24"/>
      <c r="Q773" s="24"/>
      <c r="R773" s="24"/>
      <c r="S773" s="22" t="str">
        <f t="shared" ref="S773:S836" si="62">IF(N773&lt;&gt;"Yes","",IF(COUNTBLANK(P773:R773)=3,"",IF(COUNTIF(P773:R773,"No")&gt;0,"EXCLUDE","INCLUDE")))</f>
        <v/>
      </c>
      <c r="T773" s="22" t="str">
        <f t="shared" ref="T773:T836" si="63">IF(S773&lt;&gt;"EXCLUDE","",IF(P773="No","Digital Twin mentioned only, not the subject",IF(Q773="No","No Design for Safety/Quality in full text",IF(R773="No","Methodology not codable",""))))</f>
        <v/>
      </c>
      <c r="U773" s="25"/>
      <c r="V773" s="25"/>
      <c r="W773" s="25"/>
      <c r="X773" s="25"/>
      <c r="Y773" s="22" t="str">
        <f t="shared" ref="Y773:Y836" si="64">IF(SUM(V773:X773)=0,"",IF(SUM(V773:X773)&gt;=2,"Multi","Single"))</f>
        <v/>
      </c>
      <c r="Z773" s="25"/>
      <c r="AA773" s="25"/>
      <c r="AB773" s="25"/>
      <c r="AC773" s="25"/>
      <c r="AD773" s="25"/>
      <c r="AE773" s="25"/>
      <c r="AF773" s="25"/>
      <c r="AG773" s="9"/>
      <c r="AH773" s="29"/>
      <c r="AI773" s="29"/>
      <c r="AM773" s="50"/>
      <c r="AN773" s="51" t="s">
        <v>3809</v>
      </c>
      <c r="AO773" s="55" t="s">
        <v>3810</v>
      </c>
    </row>
    <row r="774" spans="1:41" ht="45.6" hidden="1" x14ac:dyDescent="0.3">
      <c r="A774" s="20">
        <v>770</v>
      </c>
      <c r="B774" s="8" t="s">
        <v>3811</v>
      </c>
      <c r="C774" s="26">
        <v>2022</v>
      </c>
      <c r="D774" s="8"/>
      <c r="E774" s="8" t="s">
        <v>3812</v>
      </c>
      <c r="F774" s="20" t="s">
        <v>54</v>
      </c>
      <c r="G774" s="21" t="s">
        <v>64</v>
      </c>
      <c r="H774" s="21" t="s">
        <v>53</v>
      </c>
      <c r="I774" s="21" t="s">
        <v>53</v>
      </c>
      <c r="J774" s="21" t="s">
        <v>53</v>
      </c>
      <c r="K774" s="21" t="s">
        <v>53</v>
      </c>
      <c r="L774" s="22" t="str">
        <f t="shared" si="60"/>
        <v>EXCLUDE</v>
      </c>
      <c r="M774" s="22" t="str">
        <f t="shared" si="61"/>
        <v>Wrong domain (non-AECO)</v>
      </c>
      <c r="N774" s="23"/>
      <c r="O774" s="23"/>
      <c r="P774" s="24"/>
      <c r="Q774" s="24"/>
      <c r="R774" s="24"/>
      <c r="S774" s="22" t="str">
        <f t="shared" si="62"/>
        <v/>
      </c>
      <c r="T774" s="22" t="str">
        <f t="shared" si="63"/>
        <v/>
      </c>
      <c r="U774" s="25"/>
      <c r="V774" s="25"/>
      <c r="W774" s="25"/>
      <c r="X774" s="25"/>
      <c r="Y774" s="22" t="str">
        <f t="shared" si="64"/>
        <v/>
      </c>
      <c r="Z774" s="25"/>
      <c r="AA774" s="25"/>
      <c r="AB774" s="25"/>
      <c r="AC774" s="25"/>
      <c r="AD774" s="25"/>
      <c r="AE774" s="25"/>
      <c r="AF774" s="25"/>
      <c r="AG774" s="9"/>
      <c r="AH774" s="29"/>
      <c r="AI774" s="29"/>
      <c r="AM774" s="50"/>
      <c r="AN774" s="51" t="s">
        <v>3813</v>
      </c>
      <c r="AO774" s="55" t="s">
        <v>3814</v>
      </c>
    </row>
    <row r="775" spans="1:41" ht="79.8" hidden="1" x14ac:dyDescent="0.3">
      <c r="A775" s="20">
        <v>771</v>
      </c>
      <c r="B775" s="8" t="s">
        <v>3815</v>
      </c>
      <c r="C775" s="26">
        <v>2022</v>
      </c>
      <c r="D775" s="8"/>
      <c r="E775" s="8" t="s">
        <v>3816</v>
      </c>
      <c r="F775" s="20" t="s">
        <v>54</v>
      </c>
      <c r="G775" s="21" t="s">
        <v>64</v>
      </c>
      <c r="H775" s="21" t="s">
        <v>53</v>
      </c>
      <c r="I775" s="21" t="s">
        <v>53</v>
      </c>
      <c r="J775" s="21" t="s">
        <v>53</v>
      </c>
      <c r="K775" s="21" t="s">
        <v>53</v>
      </c>
      <c r="L775" s="22" t="str">
        <f t="shared" si="60"/>
        <v>EXCLUDE</v>
      </c>
      <c r="M775" s="22" t="str">
        <f t="shared" si="61"/>
        <v>Wrong domain (non-AECO)</v>
      </c>
      <c r="N775" s="23"/>
      <c r="O775" s="23"/>
      <c r="P775" s="24"/>
      <c r="Q775" s="24"/>
      <c r="R775" s="24"/>
      <c r="S775" s="22" t="str">
        <f t="shared" si="62"/>
        <v/>
      </c>
      <c r="T775" s="22" t="str">
        <f t="shared" si="63"/>
        <v/>
      </c>
      <c r="U775" s="25"/>
      <c r="V775" s="25"/>
      <c r="W775" s="25"/>
      <c r="X775" s="25"/>
      <c r="Y775" s="22" t="str">
        <f t="shared" si="64"/>
        <v/>
      </c>
      <c r="Z775" s="25"/>
      <c r="AA775" s="25"/>
      <c r="AB775" s="25"/>
      <c r="AC775" s="25"/>
      <c r="AD775" s="25"/>
      <c r="AE775" s="25"/>
      <c r="AF775" s="25"/>
      <c r="AG775" s="9"/>
      <c r="AH775" s="29"/>
      <c r="AI775" s="29"/>
      <c r="AM775" s="50"/>
      <c r="AN775" s="51" t="s">
        <v>3817</v>
      </c>
      <c r="AO775" s="55" t="s">
        <v>3818</v>
      </c>
    </row>
    <row r="776" spans="1:41" ht="91.2" x14ac:dyDescent="0.3">
      <c r="A776" s="20">
        <v>772</v>
      </c>
      <c r="B776" s="8" t="s">
        <v>3668</v>
      </c>
      <c r="C776" s="26">
        <v>2022</v>
      </c>
      <c r="D776" s="8"/>
      <c r="E776" s="8" t="s">
        <v>3819</v>
      </c>
      <c r="F776" s="20" t="s">
        <v>54</v>
      </c>
      <c r="G776" s="21" t="s">
        <v>53</v>
      </c>
      <c r="H776" s="21" t="s">
        <v>53</v>
      </c>
      <c r="I776" s="21" t="s">
        <v>53</v>
      </c>
      <c r="J776" s="21" t="s">
        <v>53</v>
      </c>
      <c r="K776" s="21" t="s">
        <v>53</v>
      </c>
      <c r="L776" s="22" t="str">
        <f t="shared" si="60"/>
        <v>INCLUDE</v>
      </c>
      <c r="M776" s="22" t="str">
        <f t="shared" si="61"/>
        <v/>
      </c>
      <c r="N776" s="23" t="s">
        <v>53</v>
      </c>
      <c r="O776" s="23" t="s">
        <v>53</v>
      </c>
      <c r="P776" s="24" t="s">
        <v>53</v>
      </c>
      <c r="Q776" s="24" t="s">
        <v>53</v>
      </c>
      <c r="R776" s="24" t="s">
        <v>53</v>
      </c>
      <c r="S776" s="22" t="str">
        <f t="shared" si="62"/>
        <v>INCLUDE</v>
      </c>
      <c r="T776" s="22" t="str">
        <f t="shared" si="63"/>
        <v/>
      </c>
      <c r="U776" s="25" t="s">
        <v>67</v>
      </c>
      <c r="V776" s="25">
        <v>0</v>
      </c>
      <c r="W776" s="25">
        <v>1</v>
      </c>
      <c r="X776" s="25">
        <v>0</v>
      </c>
      <c r="Y776" s="22" t="str">
        <f t="shared" si="64"/>
        <v>Single</v>
      </c>
      <c r="Z776" s="25" t="s">
        <v>9</v>
      </c>
      <c r="AA776" s="25" t="s">
        <v>57</v>
      </c>
      <c r="AB776" s="25" t="s">
        <v>104</v>
      </c>
      <c r="AC776" s="25" t="s">
        <v>70</v>
      </c>
      <c r="AD776" s="25" t="s">
        <v>89</v>
      </c>
      <c r="AE776" s="25">
        <v>4</v>
      </c>
      <c r="AF776" s="25" t="s">
        <v>96</v>
      </c>
      <c r="AG776" s="9" t="s">
        <v>3820</v>
      </c>
      <c r="AH776" s="29" t="s">
        <v>3821</v>
      </c>
      <c r="AI776" s="29" t="s">
        <v>3822</v>
      </c>
      <c r="AJ776" t="s">
        <v>82</v>
      </c>
      <c r="AK776" t="s">
        <v>3823</v>
      </c>
      <c r="AL776" t="s">
        <v>74</v>
      </c>
      <c r="AM776" s="50"/>
      <c r="AN776" s="51" t="s">
        <v>3824</v>
      </c>
      <c r="AO776" s="55" t="s">
        <v>3825</v>
      </c>
    </row>
    <row r="777" spans="1:41" ht="57" hidden="1" x14ac:dyDescent="0.3">
      <c r="A777" s="20">
        <v>773</v>
      </c>
      <c r="B777" s="8" t="s">
        <v>3826</v>
      </c>
      <c r="C777" s="26">
        <v>2023</v>
      </c>
      <c r="D777" s="8"/>
      <c r="E777" s="8" t="s">
        <v>3827</v>
      </c>
      <c r="F777" s="20" t="s">
        <v>54</v>
      </c>
      <c r="G777" s="21" t="s">
        <v>64</v>
      </c>
      <c r="H777" s="21" t="s">
        <v>53</v>
      </c>
      <c r="I777" s="21" t="s">
        <v>53</v>
      </c>
      <c r="J777" s="21" t="s">
        <v>53</v>
      </c>
      <c r="K777" s="21" t="s">
        <v>53</v>
      </c>
      <c r="L777" s="22" t="str">
        <f t="shared" si="60"/>
        <v>EXCLUDE</v>
      </c>
      <c r="M777" s="22" t="str">
        <f t="shared" si="61"/>
        <v>Wrong domain (non-AECO)</v>
      </c>
      <c r="N777" s="23"/>
      <c r="O777" s="23"/>
      <c r="P777" s="24"/>
      <c r="Q777" s="24"/>
      <c r="R777" s="24"/>
      <c r="S777" s="22" t="str">
        <f t="shared" si="62"/>
        <v/>
      </c>
      <c r="T777" s="22" t="str">
        <f t="shared" si="63"/>
        <v/>
      </c>
      <c r="U777" s="25"/>
      <c r="V777" s="25"/>
      <c r="W777" s="25"/>
      <c r="X777" s="25"/>
      <c r="Y777" s="22" t="str">
        <f t="shared" si="64"/>
        <v/>
      </c>
      <c r="Z777" s="25"/>
      <c r="AA777" s="25"/>
      <c r="AB777" s="25"/>
      <c r="AC777" s="25"/>
      <c r="AD777" s="25"/>
      <c r="AE777" s="25"/>
      <c r="AF777" s="25"/>
      <c r="AG777" s="9"/>
      <c r="AH777" s="29"/>
      <c r="AI777" s="29"/>
      <c r="AM777" s="50"/>
      <c r="AN777" s="51" t="s">
        <v>3828</v>
      </c>
      <c r="AO777" s="55" t="s">
        <v>3829</v>
      </c>
    </row>
    <row r="778" spans="1:41" ht="91.2" x14ac:dyDescent="0.3">
      <c r="A778" s="20">
        <v>774</v>
      </c>
      <c r="B778" s="8" t="s">
        <v>3830</v>
      </c>
      <c r="C778" s="26">
        <v>2024</v>
      </c>
      <c r="D778" s="8"/>
      <c r="E778" s="8" t="s">
        <v>3831</v>
      </c>
      <c r="F778" s="20" t="s">
        <v>54</v>
      </c>
      <c r="G778" s="21" t="s">
        <v>53</v>
      </c>
      <c r="H778" s="21" t="s">
        <v>53</v>
      </c>
      <c r="I778" s="21" t="s">
        <v>53</v>
      </c>
      <c r="J778" s="21" t="s">
        <v>53</v>
      </c>
      <c r="K778" s="21" t="s">
        <v>53</v>
      </c>
      <c r="L778" s="22" t="str">
        <f t="shared" si="60"/>
        <v>INCLUDE</v>
      </c>
      <c r="M778" s="22" t="str">
        <f t="shared" si="61"/>
        <v/>
      </c>
      <c r="N778" s="23" t="s">
        <v>53</v>
      </c>
      <c r="O778" s="23" t="s">
        <v>53</v>
      </c>
      <c r="P778" s="24" t="s">
        <v>53</v>
      </c>
      <c r="Q778" s="24" t="s">
        <v>53</v>
      </c>
      <c r="R778" s="24" t="s">
        <v>53</v>
      </c>
      <c r="S778" s="22" t="str">
        <f t="shared" si="62"/>
        <v>INCLUDE</v>
      </c>
      <c r="T778" s="22" t="str">
        <f t="shared" si="63"/>
        <v/>
      </c>
      <c r="U778" s="25" t="s">
        <v>67</v>
      </c>
      <c r="V778" s="25">
        <v>0</v>
      </c>
      <c r="W778" s="25">
        <v>1</v>
      </c>
      <c r="X778" s="25">
        <v>0</v>
      </c>
      <c r="Y778" s="22" t="str">
        <f t="shared" si="64"/>
        <v>Single</v>
      </c>
      <c r="Z778" s="25" t="s">
        <v>9</v>
      </c>
      <c r="AA778" s="25" t="s">
        <v>57</v>
      </c>
      <c r="AB778" s="25" t="s">
        <v>104</v>
      </c>
      <c r="AC778" s="25" t="s">
        <v>70</v>
      </c>
      <c r="AD778" s="25" t="s">
        <v>71</v>
      </c>
      <c r="AE778" s="25">
        <v>3</v>
      </c>
      <c r="AF778" s="25" t="s">
        <v>90</v>
      </c>
      <c r="AG778" s="9" t="s">
        <v>3832</v>
      </c>
      <c r="AH778" s="29" t="s">
        <v>3833</v>
      </c>
      <c r="AI778" s="29" t="s">
        <v>3834</v>
      </c>
      <c r="AJ778" t="s">
        <v>91</v>
      </c>
      <c r="AK778" t="s">
        <v>3835</v>
      </c>
      <c r="AL778" t="s">
        <v>74</v>
      </c>
      <c r="AM778" s="50"/>
      <c r="AN778" s="51" t="s">
        <v>3836</v>
      </c>
      <c r="AO778" s="55" t="s">
        <v>3837</v>
      </c>
    </row>
    <row r="779" spans="1:41" ht="45.6" hidden="1" x14ac:dyDescent="0.3">
      <c r="A779" s="20">
        <v>775</v>
      </c>
      <c r="B779" s="8" t="s">
        <v>3838</v>
      </c>
      <c r="C779" s="26">
        <v>2024</v>
      </c>
      <c r="D779" s="8"/>
      <c r="E779" s="8" t="s">
        <v>3839</v>
      </c>
      <c r="F779" s="20" t="s">
        <v>54</v>
      </c>
      <c r="G779" s="21" t="s">
        <v>53</v>
      </c>
      <c r="H779" s="21" t="s">
        <v>53</v>
      </c>
      <c r="I779" s="21" t="s">
        <v>64</v>
      </c>
      <c r="J779" s="21" t="s">
        <v>53</v>
      </c>
      <c r="K779" s="21" t="s">
        <v>53</v>
      </c>
      <c r="L779" s="22" t="str">
        <f t="shared" si="60"/>
        <v>EXCLUDE</v>
      </c>
      <c r="M779" s="22" t="str">
        <f t="shared" si="61"/>
        <v>No Design for Safety/Quality/PtD</v>
      </c>
      <c r="N779" s="23"/>
      <c r="O779" s="23"/>
      <c r="P779" s="24"/>
      <c r="Q779" s="24"/>
      <c r="R779" s="24"/>
      <c r="S779" s="22" t="str">
        <f t="shared" si="62"/>
        <v/>
      </c>
      <c r="T779" s="22" t="str">
        <f t="shared" si="63"/>
        <v/>
      </c>
      <c r="U779" s="25"/>
      <c r="V779" s="25"/>
      <c r="W779" s="25"/>
      <c r="X779" s="25"/>
      <c r="Y779" s="22" t="str">
        <f t="shared" si="64"/>
        <v/>
      </c>
      <c r="Z779" s="25"/>
      <c r="AA779" s="25"/>
      <c r="AB779" s="25"/>
      <c r="AC779" s="25"/>
      <c r="AD779" s="25"/>
      <c r="AE779" s="25"/>
      <c r="AF779" s="25"/>
      <c r="AG779" s="9"/>
      <c r="AH779" s="29"/>
      <c r="AI779" s="29"/>
      <c r="AM779" s="50"/>
      <c r="AN779" s="51" t="s">
        <v>3840</v>
      </c>
      <c r="AO779" s="55" t="s">
        <v>3841</v>
      </c>
    </row>
    <row r="780" spans="1:41" ht="79.8" hidden="1" x14ac:dyDescent="0.3">
      <c r="A780" s="20">
        <v>776</v>
      </c>
      <c r="B780" s="8" t="s">
        <v>3842</v>
      </c>
      <c r="C780" s="26">
        <v>2021</v>
      </c>
      <c r="D780" s="8"/>
      <c r="E780" s="8" t="s">
        <v>3843</v>
      </c>
      <c r="F780" s="20" t="s">
        <v>54</v>
      </c>
      <c r="G780" s="21" t="s">
        <v>53</v>
      </c>
      <c r="H780" s="21" t="s">
        <v>64</v>
      </c>
      <c r="I780" s="21" t="s">
        <v>53</v>
      </c>
      <c r="J780" s="21" t="s">
        <v>53</v>
      </c>
      <c r="K780" s="21" t="s">
        <v>53</v>
      </c>
      <c r="L780" s="22" t="str">
        <f t="shared" si="60"/>
        <v>EXCLUDE</v>
      </c>
      <c r="M780" s="22" t="str">
        <f t="shared" si="61"/>
        <v>Digital Twin not core / buzzword</v>
      </c>
      <c r="N780" s="23"/>
      <c r="O780" s="23"/>
      <c r="P780" s="24"/>
      <c r="Q780" s="24"/>
      <c r="R780" s="24"/>
      <c r="S780" s="22" t="str">
        <f t="shared" si="62"/>
        <v/>
      </c>
      <c r="T780" s="22" t="str">
        <f t="shared" si="63"/>
        <v/>
      </c>
      <c r="U780" s="25"/>
      <c r="V780" s="25"/>
      <c r="W780" s="25"/>
      <c r="X780" s="25"/>
      <c r="Y780" s="22" t="str">
        <f t="shared" si="64"/>
        <v/>
      </c>
      <c r="Z780" s="25"/>
      <c r="AA780" s="25"/>
      <c r="AB780" s="25"/>
      <c r="AC780" s="25"/>
      <c r="AD780" s="25"/>
      <c r="AE780" s="25"/>
      <c r="AF780" s="25"/>
      <c r="AG780" s="9"/>
      <c r="AH780" s="29"/>
      <c r="AI780" s="29"/>
      <c r="AM780" s="50"/>
      <c r="AN780" s="51" t="s">
        <v>3844</v>
      </c>
      <c r="AO780" s="55" t="s">
        <v>3845</v>
      </c>
    </row>
    <row r="781" spans="1:41" ht="57" hidden="1" x14ac:dyDescent="0.3">
      <c r="A781" s="20">
        <v>777</v>
      </c>
      <c r="B781" s="8" t="s">
        <v>3846</v>
      </c>
      <c r="C781" s="26">
        <v>2023</v>
      </c>
      <c r="D781" s="8"/>
      <c r="E781" s="8" t="s">
        <v>3847</v>
      </c>
      <c r="F781" s="20" t="s">
        <v>54</v>
      </c>
      <c r="G781" s="21" t="s">
        <v>64</v>
      </c>
      <c r="H781" s="21" t="s">
        <v>53</v>
      </c>
      <c r="I781" s="21" t="s">
        <v>53</v>
      </c>
      <c r="J781" s="21" t="s">
        <v>53</v>
      </c>
      <c r="K781" s="21" t="s">
        <v>53</v>
      </c>
      <c r="L781" s="22" t="str">
        <f t="shared" si="60"/>
        <v>EXCLUDE</v>
      </c>
      <c r="M781" s="22" t="str">
        <f t="shared" si="61"/>
        <v>Wrong domain (non-AECO)</v>
      </c>
      <c r="N781" s="23"/>
      <c r="O781" s="23"/>
      <c r="P781" s="24"/>
      <c r="Q781" s="24"/>
      <c r="R781" s="24"/>
      <c r="S781" s="22" t="str">
        <f t="shared" si="62"/>
        <v/>
      </c>
      <c r="T781" s="22" t="str">
        <f t="shared" si="63"/>
        <v/>
      </c>
      <c r="U781" s="25"/>
      <c r="V781" s="25"/>
      <c r="W781" s="25"/>
      <c r="X781" s="25"/>
      <c r="Y781" s="22" t="str">
        <f t="shared" si="64"/>
        <v/>
      </c>
      <c r="Z781" s="25"/>
      <c r="AA781" s="25"/>
      <c r="AB781" s="25"/>
      <c r="AC781" s="25"/>
      <c r="AD781" s="25"/>
      <c r="AE781" s="25"/>
      <c r="AF781" s="25"/>
      <c r="AG781" s="9"/>
      <c r="AH781" s="29"/>
      <c r="AI781" s="29"/>
      <c r="AM781" s="50"/>
      <c r="AN781" s="51" t="s">
        <v>3848</v>
      </c>
      <c r="AO781" s="55" t="s">
        <v>3849</v>
      </c>
    </row>
    <row r="782" spans="1:41" ht="79.8" x14ac:dyDescent="0.3">
      <c r="A782" s="20">
        <v>778</v>
      </c>
      <c r="B782" s="8" t="s">
        <v>3850</v>
      </c>
      <c r="C782" s="26">
        <v>2024</v>
      </c>
      <c r="D782" s="8"/>
      <c r="E782" s="8" t="s">
        <v>3851</v>
      </c>
      <c r="F782" s="20" t="s">
        <v>54</v>
      </c>
      <c r="G782" s="21" t="s">
        <v>53</v>
      </c>
      <c r="H782" s="21" t="s">
        <v>53</v>
      </c>
      <c r="I782" s="21" t="s">
        <v>53</v>
      </c>
      <c r="J782" s="21" t="s">
        <v>53</v>
      </c>
      <c r="K782" s="21" t="s">
        <v>53</v>
      </c>
      <c r="L782" s="22" t="str">
        <f t="shared" si="60"/>
        <v>INCLUDE</v>
      </c>
      <c r="M782" s="22" t="str">
        <f t="shared" si="61"/>
        <v/>
      </c>
      <c r="N782" s="23" t="s">
        <v>53</v>
      </c>
      <c r="O782" s="23" t="s">
        <v>53</v>
      </c>
      <c r="P782" s="24" t="s">
        <v>53</v>
      </c>
      <c r="Q782" s="24" t="s">
        <v>53</v>
      </c>
      <c r="R782" s="24" t="s">
        <v>53</v>
      </c>
      <c r="S782" s="22" t="str">
        <f t="shared" si="62"/>
        <v>INCLUDE</v>
      </c>
      <c r="T782" s="22" t="str">
        <f t="shared" si="63"/>
        <v/>
      </c>
      <c r="U782" s="25" t="s">
        <v>67</v>
      </c>
      <c r="V782" s="25">
        <v>0</v>
      </c>
      <c r="W782" s="25">
        <v>0</v>
      </c>
      <c r="X782" s="25">
        <v>1</v>
      </c>
      <c r="Y782" s="22" t="str">
        <f t="shared" si="64"/>
        <v>Single</v>
      </c>
      <c r="Z782" s="25" t="s">
        <v>9</v>
      </c>
      <c r="AA782" s="25" t="s">
        <v>57</v>
      </c>
      <c r="AB782" s="25" t="s">
        <v>103</v>
      </c>
      <c r="AC782" s="25" t="s">
        <v>70</v>
      </c>
      <c r="AD782" s="25" t="s">
        <v>71</v>
      </c>
      <c r="AE782" s="25">
        <v>3</v>
      </c>
      <c r="AF782" s="25" t="s">
        <v>98</v>
      </c>
      <c r="AG782" s="9" t="s">
        <v>3852</v>
      </c>
      <c r="AH782" s="29" t="s">
        <v>3853</v>
      </c>
      <c r="AI782" s="29" t="s">
        <v>3854</v>
      </c>
      <c r="AJ782" t="s">
        <v>91</v>
      </c>
      <c r="AK782" t="s">
        <v>3855</v>
      </c>
      <c r="AL782" t="s">
        <v>83</v>
      </c>
      <c r="AM782" s="50" t="s">
        <v>213</v>
      </c>
      <c r="AN782" s="51" t="s">
        <v>3856</v>
      </c>
      <c r="AO782" s="55" t="s">
        <v>3857</v>
      </c>
    </row>
    <row r="783" spans="1:41" ht="57" hidden="1" x14ac:dyDescent="0.3">
      <c r="A783" s="20">
        <v>779</v>
      </c>
      <c r="B783" s="8" t="s">
        <v>2903</v>
      </c>
      <c r="C783" s="26">
        <v>2023</v>
      </c>
      <c r="D783" s="8"/>
      <c r="E783" s="8" t="s">
        <v>3858</v>
      </c>
      <c r="F783" s="20" t="s">
        <v>54</v>
      </c>
      <c r="G783" s="21" t="s">
        <v>64</v>
      </c>
      <c r="H783" s="21" t="s">
        <v>53</v>
      </c>
      <c r="I783" s="21" t="s">
        <v>53</v>
      </c>
      <c r="J783" s="21" t="s">
        <v>53</v>
      </c>
      <c r="K783" s="21" t="s">
        <v>53</v>
      </c>
      <c r="L783" s="22" t="str">
        <f t="shared" si="60"/>
        <v>EXCLUDE</v>
      </c>
      <c r="M783" s="22" t="str">
        <f t="shared" si="61"/>
        <v>Wrong domain (non-AECO)</v>
      </c>
      <c r="N783" s="23"/>
      <c r="O783" s="23"/>
      <c r="P783" s="24"/>
      <c r="Q783" s="24"/>
      <c r="R783" s="24"/>
      <c r="S783" s="22" t="str">
        <f t="shared" si="62"/>
        <v/>
      </c>
      <c r="T783" s="22" t="str">
        <f t="shared" si="63"/>
        <v/>
      </c>
      <c r="U783" s="25"/>
      <c r="V783" s="25"/>
      <c r="W783" s="25"/>
      <c r="X783" s="25"/>
      <c r="Y783" s="22" t="str">
        <f t="shared" si="64"/>
        <v/>
      </c>
      <c r="Z783" s="25"/>
      <c r="AA783" s="25"/>
      <c r="AB783" s="25"/>
      <c r="AC783" s="25"/>
      <c r="AD783" s="25"/>
      <c r="AE783" s="25"/>
      <c r="AF783" s="25"/>
      <c r="AG783" s="9"/>
      <c r="AH783" s="29"/>
      <c r="AI783" s="29"/>
      <c r="AM783" s="50"/>
      <c r="AN783" s="51" t="s">
        <v>3859</v>
      </c>
      <c r="AO783" s="55" t="s">
        <v>3860</v>
      </c>
    </row>
    <row r="784" spans="1:41" ht="45.6" hidden="1" x14ac:dyDescent="0.3">
      <c r="A784" s="20">
        <v>780</v>
      </c>
      <c r="B784" s="8" t="s">
        <v>3322</v>
      </c>
      <c r="C784" s="26">
        <v>2022</v>
      </c>
      <c r="D784" s="8"/>
      <c r="E784" s="8" t="s">
        <v>3861</v>
      </c>
      <c r="F784" s="20" t="s">
        <v>54</v>
      </c>
      <c r="G784" s="21" t="s">
        <v>64</v>
      </c>
      <c r="H784" s="21" t="s">
        <v>53</v>
      </c>
      <c r="I784" s="21" t="s">
        <v>53</v>
      </c>
      <c r="J784" s="21" t="s">
        <v>53</v>
      </c>
      <c r="K784" s="21" t="s">
        <v>53</v>
      </c>
      <c r="L784" s="22" t="str">
        <f t="shared" si="60"/>
        <v>EXCLUDE</v>
      </c>
      <c r="M784" s="22" t="str">
        <f t="shared" si="61"/>
        <v>Wrong domain (non-AECO)</v>
      </c>
      <c r="N784" s="23"/>
      <c r="O784" s="23"/>
      <c r="P784" s="24"/>
      <c r="Q784" s="24"/>
      <c r="R784" s="24"/>
      <c r="S784" s="22" t="str">
        <f t="shared" si="62"/>
        <v/>
      </c>
      <c r="T784" s="22" t="str">
        <f t="shared" si="63"/>
        <v/>
      </c>
      <c r="U784" s="25"/>
      <c r="V784" s="25"/>
      <c r="W784" s="25"/>
      <c r="X784" s="25"/>
      <c r="Y784" s="22" t="str">
        <f t="shared" si="64"/>
        <v/>
      </c>
      <c r="Z784" s="25"/>
      <c r="AA784" s="25"/>
      <c r="AB784" s="25"/>
      <c r="AC784" s="25"/>
      <c r="AD784" s="25"/>
      <c r="AE784" s="25"/>
      <c r="AF784" s="25"/>
      <c r="AG784" s="9"/>
      <c r="AH784" s="29"/>
      <c r="AI784" s="29"/>
      <c r="AM784" s="50"/>
      <c r="AN784" s="51" t="s">
        <v>3862</v>
      </c>
      <c r="AO784" s="55" t="s">
        <v>3863</v>
      </c>
    </row>
    <row r="785" spans="1:41" ht="34.200000000000003" hidden="1" x14ac:dyDescent="0.3">
      <c r="A785" s="20">
        <v>781</v>
      </c>
      <c r="B785" s="8" t="s">
        <v>3864</v>
      </c>
      <c r="C785" s="26">
        <v>2023</v>
      </c>
      <c r="D785" s="8"/>
      <c r="E785" s="8" t="s">
        <v>3865</v>
      </c>
      <c r="F785" s="20" t="s">
        <v>54</v>
      </c>
      <c r="G785" s="21" t="s">
        <v>53</v>
      </c>
      <c r="H785" s="21" t="s">
        <v>53</v>
      </c>
      <c r="I785" s="21" t="s">
        <v>64</v>
      </c>
      <c r="J785" s="21" t="s">
        <v>53</v>
      </c>
      <c r="K785" s="21" t="s">
        <v>53</v>
      </c>
      <c r="L785" s="22" t="str">
        <f t="shared" si="60"/>
        <v>EXCLUDE</v>
      </c>
      <c r="M785" s="22" t="str">
        <f t="shared" si="61"/>
        <v>No Design for Safety/Quality/PtD</v>
      </c>
      <c r="N785" s="23"/>
      <c r="O785" s="23"/>
      <c r="P785" s="24"/>
      <c r="Q785" s="24"/>
      <c r="R785" s="24"/>
      <c r="S785" s="22" t="str">
        <f t="shared" si="62"/>
        <v/>
      </c>
      <c r="T785" s="22" t="str">
        <f t="shared" si="63"/>
        <v/>
      </c>
      <c r="U785" s="25"/>
      <c r="V785" s="25"/>
      <c r="W785" s="25"/>
      <c r="X785" s="25"/>
      <c r="Y785" s="22" t="str">
        <f t="shared" si="64"/>
        <v/>
      </c>
      <c r="Z785" s="25"/>
      <c r="AA785" s="25"/>
      <c r="AB785" s="25"/>
      <c r="AC785" s="25"/>
      <c r="AD785" s="25"/>
      <c r="AE785" s="25"/>
      <c r="AF785" s="25"/>
      <c r="AG785" s="9"/>
      <c r="AH785" s="29"/>
      <c r="AI785" s="29"/>
      <c r="AM785" s="50"/>
      <c r="AN785" s="51" t="s">
        <v>3866</v>
      </c>
      <c r="AO785" s="55" t="s">
        <v>3867</v>
      </c>
    </row>
    <row r="786" spans="1:41" ht="45.6" hidden="1" x14ac:dyDescent="0.3">
      <c r="A786" s="20">
        <v>782</v>
      </c>
      <c r="B786" s="8" t="s">
        <v>3868</v>
      </c>
      <c r="C786" s="26">
        <v>2024</v>
      </c>
      <c r="D786" s="8"/>
      <c r="E786" s="8" t="s">
        <v>3869</v>
      </c>
      <c r="F786" s="20" t="s">
        <v>54</v>
      </c>
      <c r="G786" s="21" t="s">
        <v>64</v>
      </c>
      <c r="H786" s="21" t="s">
        <v>53</v>
      </c>
      <c r="I786" s="21" t="s">
        <v>53</v>
      </c>
      <c r="J786" s="21" t="s">
        <v>53</v>
      </c>
      <c r="K786" s="21" t="s">
        <v>53</v>
      </c>
      <c r="L786" s="22" t="str">
        <f t="shared" si="60"/>
        <v>EXCLUDE</v>
      </c>
      <c r="M786" s="22" t="str">
        <f t="shared" si="61"/>
        <v>Wrong domain (non-AECO)</v>
      </c>
      <c r="N786" s="23"/>
      <c r="O786" s="23"/>
      <c r="P786" s="24"/>
      <c r="Q786" s="24"/>
      <c r="R786" s="24"/>
      <c r="S786" s="22" t="str">
        <f t="shared" si="62"/>
        <v/>
      </c>
      <c r="T786" s="22" t="str">
        <f t="shared" si="63"/>
        <v/>
      </c>
      <c r="U786" s="25"/>
      <c r="V786" s="25"/>
      <c r="W786" s="25"/>
      <c r="X786" s="25"/>
      <c r="Y786" s="22" t="str">
        <f t="shared" si="64"/>
        <v/>
      </c>
      <c r="Z786" s="25"/>
      <c r="AA786" s="25"/>
      <c r="AB786" s="25"/>
      <c r="AC786" s="25"/>
      <c r="AD786" s="25"/>
      <c r="AE786" s="25"/>
      <c r="AF786" s="25"/>
      <c r="AG786" s="9"/>
      <c r="AH786" s="29"/>
      <c r="AI786" s="29"/>
      <c r="AM786" s="50"/>
      <c r="AN786" s="51" t="s">
        <v>3870</v>
      </c>
      <c r="AO786" s="55" t="s">
        <v>3871</v>
      </c>
    </row>
    <row r="787" spans="1:41" ht="57" hidden="1" x14ac:dyDescent="0.3">
      <c r="A787" s="20">
        <v>783</v>
      </c>
      <c r="B787" s="8" t="s">
        <v>3872</v>
      </c>
      <c r="C787" s="26">
        <v>2025</v>
      </c>
      <c r="D787" s="8"/>
      <c r="E787" s="8" t="s">
        <v>3873</v>
      </c>
      <c r="F787" s="20" t="s">
        <v>54</v>
      </c>
      <c r="G787" s="21" t="s">
        <v>64</v>
      </c>
      <c r="H787" s="21" t="s">
        <v>53</v>
      </c>
      <c r="I787" s="21" t="s">
        <v>53</v>
      </c>
      <c r="J787" s="21" t="s">
        <v>53</v>
      </c>
      <c r="K787" s="21" t="s">
        <v>53</v>
      </c>
      <c r="L787" s="22" t="str">
        <f t="shared" si="60"/>
        <v>EXCLUDE</v>
      </c>
      <c r="M787" s="22" t="str">
        <f t="shared" si="61"/>
        <v>Wrong domain (non-AECO)</v>
      </c>
      <c r="N787" s="23"/>
      <c r="O787" s="23"/>
      <c r="P787" s="24"/>
      <c r="Q787" s="24"/>
      <c r="R787" s="24"/>
      <c r="S787" s="22" t="str">
        <f t="shared" si="62"/>
        <v/>
      </c>
      <c r="T787" s="22" t="str">
        <f t="shared" si="63"/>
        <v/>
      </c>
      <c r="U787" s="25"/>
      <c r="V787" s="25"/>
      <c r="W787" s="25"/>
      <c r="X787" s="25"/>
      <c r="Y787" s="22" t="str">
        <f t="shared" si="64"/>
        <v/>
      </c>
      <c r="Z787" s="25"/>
      <c r="AA787" s="25"/>
      <c r="AB787" s="25"/>
      <c r="AC787" s="25"/>
      <c r="AD787" s="25"/>
      <c r="AE787" s="25"/>
      <c r="AF787" s="25"/>
      <c r="AG787" s="9"/>
      <c r="AH787" s="29"/>
      <c r="AI787" s="29"/>
      <c r="AM787" s="50"/>
      <c r="AN787" s="51" t="s">
        <v>3874</v>
      </c>
      <c r="AO787" s="55" t="s">
        <v>3875</v>
      </c>
    </row>
    <row r="788" spans="1:41" ht="102.6" x14ac:dyDescent="0.3">
      <c r="A788" s="20">
        <v>784</v>
      </c>
      <c r="B788" s="8" t="s">
        <v>2764</v>
      </c>
      <c r="C788" s="26">
        <v>2020</v>
      </c>
      <c r="D788" s="8"/>
      <c r="E788" s="8" t="s">
        <v>3876</v>
      </c>
      <c r="F788" s="20" t="s">
        <v>54</v>
      </c>
      <c r="G788" s="21" t="s">
        <v>53</v>
      </c>
      <c r="H788" s="21" t="s">
        <v>53</v>
      </c>
      <c r="I788" s="21" t="s">
        <v>53</v>
      </c>
      <c r="J788" s="21" t="s">
        <v>53</v>
      </c>
      <c r="K788" s="21" t="s">
        <v>53</v>
      </c>
      <c r="L788" s="22" t="str">
        <f t="shared" si="60"/>
        <v>INCLUDE</v>
      </c>
      <c r="M788" s="22" t="str">
        <f t="shared" si="61"/>
        <v/>
      </c>
      <c r="N788" s="23" t="s">
        <v>53</v>
      </c>
      <c r="O788" s="23" t="s">
        <v>53</v>
      </c>
      <c r="P788" s="24" t="s">
        <v>53</v>
      </c>
      <c r="Q788" s="24" t="s">
        <v>53</v>
      </c>
      <c r="R788" s="24" t="s">
        <v>53</v>
      </c>
      <c r="S788" s="22" t="str">
        <f t="shared" si="62"/>
        <v>INCLUDE</v>
      </c>
      <c r="T788" s="22" t="str">
        <f t="shared" si="63"/>
        <v/>
      </c>
      <c r="U788" s="25" t="s">
        <v>67</v>
      </c>
      <c r="V788" s="25">
        <v>0</v>
      </c>
      <c r="W788" s="25">
        <v>0</v>
      </c>
      <c r="X788" s="25">
        <v>1</v>
      </c>
      <c r="Y788" s="22" t="str">
        <f t="shared" si="64"/>
        <v>Single</v>
      </c>
      <c r="Z788" s="25" t="s">
        <v>9</v>
      </c>
      <c r="AA788" s="25" t="s">
        <v>57</v>
      </c>
      <c r="AB788" s="25" t="s">
        <v>104</v>
      </c>
      <c r="AC788" s="25" t="s">
        <v>70</v>
      </c>
      <c r="AD788" s="25" t="s">
        <v>89</v>
      </c>
      <c r="AE788" s="25">
        <v>4</v>
      </c>
      <c r="AF788" s="25" t="s">
        <v>96</v>
      </c>
      <c r="AG788" s="9" t="s">
        <v>3877</v>
      </c>
      <c r="AH788" s="29" t="s">
        <v>3878</v>
      </c>
      <c r="AI788" s="29" t="s">
        <v>3879</v>
      </c>
      <c r="AJ788" t="s">
        <v>91</v>
      </c>
      <c r="AK788" t="s">
        <v>3880</v>
      </c>
      <c r="AL788" t="s">
        <v>63</v>
      </c>
      <c r="AM788" s="50"/>
      <c r="AN788" s="51" t="s">
        <v>3881</v>
      </c>
      <c r="AO788" s="55" t="s">
        <v>3882</v>
      </c>
    </row>
    <row r="789" spans="1:41" ht="91.2" x14ac:dyDescent="0.3">
      <c r="A789" s="20">
        <v>785</v>
      </c>
      <c r="B789" s="8" t="s">
        <v>3883</v>
      </c>
      <c r="C789" s="26">
        <v>2022</v>
      </c>
      <c r="D789" s="8"/>
      <c r="E789" s="8" t="s">
        <v>3884</v>
      </c>
      <c r="F789" s="20" t="s">
        <v>54</v>
      </c>
      <c r="G789" s="21" t="s">
        <v>53</v>
      </c>
      <c r="H789" s="21" t="s">
        <v>53</v>
      </c>
      <c r="I789" s="21" t="s">
        <v>53</v>
      </c>
      <c r="J789" s="21" t="s">
        <v>53</v>
      </c>
      <c r="K789" s="21" t="s">
        <v>53</v>
      </c>
      <c r="L789" s="22" t="str">
        <f t="shared" si="60"/>
        <v>INCLUDE</v>
      </c>
      <c r="M789" s="22" t="str">
        <f t="shared" si="61"/>
        <v/>
      </c>
      <c r="N789" s="23" t="s">
        <v>53</v>
      </c>
      <c r="O789" s="23" t="s">
        <v>53</v>
      </c>
      <c r="P789" s="24" t="s">
        <v>53</v>
      </c>
      <c r="Q789" s="24" t="s">
        <v>53</v>
      </c>
      <c r="R789" s="24" t="s">
        <v>53</v>
      </c>
      <c r="S789" s="22" t="str">
        <f t="shared" si="62"/>
        <v>INCLUDE</v>
      </c>
      <c r="T789" s="22" t="str">
        <f t="shared" si="63"/>
        <v/>
      </c>
      <c r="U789" s="25" t="s">
        <v>56</v>
      </c>
      <c r="V789" s="25">
        <v>0</v>
      </c>
      <c r="W789" s="25">
        <v>1</v>
      </c>
      <c r="X789" s="25">
        <v>0</v>
      </c>
      <c r="Y789" s="22" t="str">
        <f t="shared" si="64"/>
        <v>Single</v>
      </c>
      <c r="Z789" s="25" t="s">
        <v>9</v>
      </c>
      <c r="AA789" s="25" t="s">
        <v>57</v>
      </c>
      <c r="AB789" s="25" t="s">
        <v>58</v>
      </c>
      <c r="AC789" s="25" t="s">
        <v>70</v>
      </c>
      <c r="AD789" s="25" t="s">
        <v>89</v>
      </c>
      <c r="AE789" s="25">
        <v>4</v>
      </c>
      <c r="AF789" s="25" t="s">
        <v>90</v>
      </c>
      <c r="AG789" s="9" t="s">
        <v>3885</v>
      </c>
      <c r="AH789" s="29" t="s">
        <v>3886</v>
      </c>
      <c r="AI789" s="29" t="s">
        <v>3887</v>
      </c>
      <c r="AJ789" t="s">
        <v>91</v>
      </c>
      <c r="AK789" t="s">
        <v>3888</v>
      </c>
      <c r="AL789" t="s">
        <v>63</v>
      </c>
      <c r="AM789" s="50"/>
      <c r="AN789" s="51" t="s">
        <v>3889</v>
      </c>
      <c r="AO789" s="55" t="s">
        <v>3890</v>
      </c>
    </row>
    <row r="790" spans="1:41" ht="57" hidden="1" x14ac:dyDescent="0.3">
      <c r="A790" s="20">
        <v>786</v>
      </c>
      <c r="B790" s="8" t="s">
        <v>3473</v>
      </c>
      <c r="C790" s="26">
        <v>2024</v>
      </c>
      <c r="D790" s="8"/>
      <c r="E790" s="8" t="s">
        <v>3891</v>
      </c>
      <c r="F790" s="20" t="s">
        <v>54</v>
      </c>
      <c r="G790" s="21" t="s">
        <v>53</v>
      </c>
      <c r="H790" s="21" t="s">
        <v>64</v>
      </c>
      <c r="I790" s="21" t="s">
        <v>53</v>
      </c>
      <c r="J790" s="21" t="s">
        <v>53</v>
      </c>
      <c r="K790" s="21" t="s">
        <v>53</v>
      </c>
      <c r="L790" s="22" t="str">
        <f t="shared" si="60"/>
        <v>EXCLUDE</v>
      </c>
      <c r="M790" s="22" t="str">
        <f t="shared" si="61"/>
        <v>Digital Twin not core / buzzword</v>
      </c>
      <c r="N790" s="23"/>
      <c r="O790" s="23"/>
      <c r="P790" s="24"/>
      <c r="Q790" s="24"/>
      <c r="R790" s="24"/>
      <c r="S790" s="22" t="str">
        <f t="shared" si="62"/>
        <v/>
      </c>
      <c r="T790" s="22" t="str">
        <f t="shared" si="63"/>
        <v/>
      </c>
      <c r="U790" s="25"/>
      <c r="V790" s="25"/>
      <c r="W790" s="25"/>
      <c r="X790" s="25"/>
      <c r="Y790" s="22" t="str">
        <f t="shared" si="64"/>
        <v/>
      </c>
      <c r="Z790" s="25"/>
      <c r="AA790" s="25"/>
      <c r="AB790" s="25"/>
      <c r="AC790" s="25"/>
      <c r="AD790" s="25"/>
      <c r="AE790" s="25"/>
      <c r="AF790" s="25"/>
      <c r="AG790" s="9"/>
      <c r="AH790" s="29"/>
      <c r="AI790" s="29"/>
      <c r="AM790" s="50"/>
      <c r="AN790" s="51" t="s">
        <v>3892</v>
      </c>
      <c r="AO790" s="55" t="s">
        <v>3893</v>
      </c>
    </row>
    <row r="791" spans="1:41" ht="45.6" hidden="1" x14ac:dyDescent="0.3">
      <c r="A791" s="20">
        <v>787</v>
      </c>
      <c r="B791" s="8" t="s">
        <v>3894</v>
      </c>
      <c r="C791" s="26">
        <v>2024</v>
      </c>
      <c r="D791" s="8"/>
      <c r="E791" s="8" t="s">
        <v>3895</v>
      </c>
      <c r="F791" s="20" t="s">
        <v>54</v>
      </c>
      <c r="G791" s="21" t="s">
        <v>64</v>
      </c>
      <c r="H791" s="21" t="s">
        <v>53</v>
      </c>
      <c r="I791" s="21" t="s">
        <v>53</v>
      </c>
      <c r="J791" s="21" t="s">
        <v>53</v>
      </c>
      <c r="K791" s="21" t="s">
        <v>53</v>
      </c>
      <c r="L791" s="22" t="str">
        <f t="shared" si="60"/>
        <v>EXCLUDE</v>
      </c>
      <c r="M791" s="22" t="str">
        <f t="shared" si="61"/>
        <v>Wrong domain (non-AECO)</v>
      </c>
      <c r="N791" s="23"/>
      <c r="O791" s="23"/>
      <c r="P791" s="24"/>
      <c r="Q791" s="24"/>
      <c r="R791" s="24"/>
      <c r="S791" s="22" t="str">
        <f t="shared" si="62"/>
        <v/>
      </c>
      <c r="T791" s="22" t="str">
        <f t="shared" si="63"/>
        <v/>
      </c>
      <c r="U791" s="25"/>
      <c r="V791" s="25"/>
      <c r="W791" s="25"/>
      <c r="X791" s="25"/>
      <c r="Y791" s="22" t="str">
        <f t="shared" si="64"/>
        <v/>
      </c>
      <c r="Z791" s="25"/>
      <c r="AA791" s="25"/>
      <c r="AB791" s="25"/>
      <c r="AC791" s="25"/>
      <c r="AD791" s="25"/>
      <c r="AE791" s="25"/>
      <c r="AF791" s="25"/>
      <c r="AG791" s="9"/>
      <c r="AH791" s="29"/>
      <c r="AI791" s="29"/>
      <c r="AM791" s="50"/>
      <c r="AN791" s="51" t="s">
        <v>3896</v>
      </c>
      <c r="AO791" s="55" t="s">
        <v>3897</v>
      </c>
    </row>
    <row r="792" spans="1:41" ht="34.200000000000003" hidden="1" x14ac:dyDescent="0.3">
      <c r="A792" s="20">
        <v>788</v>
      </c>
      <c r="B792" s="8" t="s">
        <v>3898</v>
      </c>
      <c r="C792" s="26">
        <v>2024</v>
      </c>
      <c r="D792" s="8"/>
      <c r="E792" s="8" t="s">
        <v>3899</v>
      </c>
      <c r="F792" s="20" t="s">
        <v>54</v>
      </c>
      <c r="G792" s="21" t="s">
        <v>64</v>
      </c>
      <c r="H792" s="21" t="s">
        <v>53</v>
      </c>
      <c r="I792" s="21" t="s">
        <v>53</v>
      </c>
      <c r="J792" s="21" t="s">
        <v>53</v>
      </c>
      <c r="K792" s="21" t="s">
        <v>53</v>
      </c>
      <c r="L792" s="22" t="str">
        <f t="shared" si="60"/>
        <v>EXCLUDE</v>
      </c>
      <c r="M792" s="22" t="str">
        <f t="shared" si="61"/>
        <v>Wrong domain (non-AECO)</v>
      </c>
      <c r="N792" s="23"/>
      <c r="O792" s="23"/>
      <c r="P792" s="24"/>
      <c r="Q792" s="24"/>
      <c r="R792" s="24"/>
      <c r="S792" s="22" t="str">
        <f t="shared" si="62"/>
        <v/>
      </c>
      <c r="T792" s="22" t="str">
        <f t="shared" si="63"/>
        <v/>
      </c>
      <c r="U792" s="25"/>
      <c r="V792" s="25"/>
      <c r="W792" s="25"/>
      <c r="X792" s="25"/>
      <c r="Y792" s="22" t="str">
        <f t="shared" si="64"/>
        <v/>
      </c>
      <c r="Z792" s="25"/>
      <c r="AA792" s="25"/>
      <c r="AB792" s="25"/>
      <c r="AC792" s="25"/>
      <c r="AD792" s="25"/>
      <c r="AE792" s="25"/>
      <c r="AF792" s="25"/>
      <c r="AG792" s="9"/>
      <c r="AH792" s="29"/>
      <c r="AI792" s="29"/>
      <c r="AM792" s="50"/>
      <c r="AN792" s="51" t="s">
        <v>3900</v>
      </c>
      <c r="AO792" s="55" t="s">
        <v>3901</v>
      </c>
    </row>
    <row r="793" spans="1:41" ht="68.400000000000006" hidden="1" x14ac:dyDescent="0.3">
      <c r="A793" s="20">
        <v>789</v>
      </c>
      <c r="B793" s="8" t="s">
        <v>3902</v>
      </c>
      <c r="C793" s="26">
        <v>2025</v>
      </c>
      <c r="D793" s="8"/>
      <c r="E793" s="8" t="s">
        <v>3903</v>
      </c>
      <c r="F793" s="20" t="s">
        <v>54</v>
      </c>
      <c r="G793" s="21" t="s">
        <v>53</v>
      </c>
      <c r="H793" s="21" t="s">
        <v>64</v>
      </c>
      <c r="I793" s="21" t="s">
        <v>53</v>
      </c>
      <c r="J793" s="21" t="s">
        <v>53</v>
      </c>
      <c r="K793" s="21" t="s">
        <v>53</v>
      </c>
      <c r="L793" s="22" t="str">
        <f t="shared" si="60"/>
        <v>EXCLUDE</v>
      </c>
      <c r="M793" s="22" t="str">
        <f t="shared" si="61"/>
        <v>Digital Twin not core / buzzword</v>
      </c>
      <c r="N793" s="23"/>
      <c r="O793" s="23"/>
      <c r="P793" s="24"/>
      <c r="Q793" s="24"/>
      <c r="R793" s="24"/>
      <c r="S793" s="22" t="str">
        <f t="shared" si="62"/>
        <v/>
      </c>
      <c r="T793" s="22" t="str">
        <f t="shared" si="63"/>
        <v/>
      </c>
      <c r="U793" s="25"/>
      <c r="V793" s="25"/>
      <c r="W793" s="25"/>
      <c r="X793" s="25"/>
      <c r="Y793" s="22" t="str">
        <f t="shared" si="64"/>
        <v/>
      </c>
      <c r="Z793" s="25"/>
      <c r="AA793" s="25"/>
      <c r="AB793" s="25"/>
      <c r="AC793" s="25"/>
      <c r="AD793" s="25"/>
      <c r="AE793" s="25"/>
      <c r="AF793" s="25"/>
      <c r="AG793" s="9"/>
      <c r="AH793" s="29"/>
      <c r="AI793" s="29"/>
      <c r="AM793" s="50"/>
      <c r="AN793" s="51" t="s">
        <v>3904</v>
      </c>
      <c r="AO793" s="55" t="s">
        <v>3905</v>
      </c>
    </row>
    <row r="794" spans="1:41" ht="57" hidden="1" x14ac:dyDescent="0.3">
      <c r="A794" s="20">
        <v>790</v>
      </c>
      <c r="B794" s="8" t="s">
        <v>3906</v>
      </c>
      <c r="C794" s="26">
        <v>2023</v>
      </c>
      <c r="D794" s="8"/>
      <c r="E794" s="8" t="s">
        <v>3907</v>
      </c>
      <c r="F794" s="20" t="s">
        <v>54</v>
      </c>
      <c r="G794" s="21" t="s">
        <v>64</v>
      </c>
      <c r="H794" s="21" t="s">
        <v>53</v>
      </c>
      <c r="I794" s="21" t="s">
        <v>53</v>
      </c>
      <c r="J794" s="21" t="s">
        <v>53</v>
      </c>
      <c r="K794" s="21" t="s">
        <v>53</v>
      </c>
      <c r="L794" s="22" t="str">
        <f t="shared" si="60"/>
        <v>EXCLUDE</v>
      </c>
      <c r="M794" s="22" t="str">
        <f t="shared" si="61"/>
        <v>Wrong domain (non-AECO)</v>
      </c>
      <c r="N794" s="23"/>
      <c r="O794" s="23"/>
      <c r="P794" s="24"/>
      <c r="Q794" s="24"/>
      <c r="R794" s="24"/>
      <c r="S794" s="22" t="str">
        <f t="shared" si="62"/>
        <v/>
      </c>
      <c r="T794" s="22" t="str">
        <f t="shared" si="63"/>
        <v/>
      </c>
      <c r="U794" s="25"/>
      <c r="V794" s="25"/>
      <c r="W794" s="25"/>
      <c r="X794" s="25"/>
      <c r="Y794" s="22" t="str">
        <f t="shared" si="64"/>
        <v/>
      </c>
      <c r="Z794" s="25"/>
      <c r="AA794" s="25"/>
      <c r="AB794" s="25"/>
      <c r="AC794" s="25"/>
      <c r="AD794" s="25"/>
      <c r="AE794" s="25"/>
      <c r="AF794" s="25"/>
      <c r="AG794" s="9"/>
      <c r="AH794" s="29"/>
      <c r="AI794" s="29"/>
      <c r="AM794" s="50"/>
      <c r="AN794" s="51" t="s">
        <v>3908</v>
      </c>
      <c r="AO794" s="55" t="s">
        <v>3909</v>
      </c>
    </row>
    <row r="795" spans="1:41" ht="79.8" x14ac:dyDescent="0.3">
      <c r="A795" s="20">
        <v>791</v>
      </c>
      <c r="B795" s="8" t="s">
        <v>3910</v>
      </c>
      <c r="C795" s="26">
        <v>2022</v>
      </c>
      <c r="D795" s="8"/>
      <c r="E795" s="8" t="s">
        <v>3911</v>
      </c>
      <c r="F795" s="20" t="s">
        <v>54</v>
      </c>
      <c r="G795" s="21" t="s">
        <v>53</v>
      </c>
      <c r="H795" s="21" t="s">
        <v>53</v>
      </c>
      <c r="I795" s="21" t="s">
        <v>53</v>
      </c>
      <c r="J795" s="21" t="s">
        <v>53</v>
      </c>
      <c r="K795" s="21" t="s">
        <v>53</v>
      </c>
      <c r="L795" s="22" t="str">
        <f t="shared" si="60"/>
        <v>INCLUDE</v>
      </c>
      <c r="M795" s="22" t="str">
        <f t="shared" si="61"/>
        <v/>
      </c>
      <c r="N795" s="23" t="s">
        <v>53</v>
      </c>
      <c r="O795" s="23" t="s">
        <v>53</v>
      </c>
      <c r="P795" s="24" t="s">
        <v>53</v>
      </c>
      <c r="Q795" s="24" t="s">
        <v>53</v>
      </c>
      <c r="R795" s="24" t="s">
        <v>53</v>
      </c>
      <c r="S795" s="22" t="str">
        <f t="shared" si="62"/>
        <v>INCLUDE</v>
      </c>
      <c r="T795" s="22" t="str">
        <f t="shared" si="63"/>
        <v/>
      </c>
      <c r="U795" s="25" t="s">
        <v>67</v>
      </c>
      <c r="V795" s="25">
        <v>0</v>
      </c>
      <c r="W795" s="25">
        <v>1</v>
      </c>
      <c r="X795" s="25">
        <v>0</v>
      </c>
      <c r="Y795" s="22" t="str">
        <f t="shared" si="64"/>
        <v>Single</v>
      </c>
      <c r="Z795" s="25" t="s">
        <v>9</v>
      </c>
      <c r="AA795" s="25" t="s">
        <v>57</v>
      </c>
      <c r="AB795" s="25" t="s">
        <v>79</v>
      </c>
      <c r="AC795" s="25" t="s">
        <v>70</v>
      </c>
      <c r="AD795" s="25" t="s">
        <v>89</v>
      </c>
      <c r="AE795" s="25">
        <v>3</v>
      </c>
      <c r="AF795" s="25" t="s">
        <v>96</v>
      </c>
      <c r="AG795" s="9" t="s">
        <v>3912</v>
      </c>
      <c r="AH795" s="29" t="s">
        <v>3913</v>
      </c>
      <c r="AI795" s="29" t="s">
        <v>3914</v>
      </c>
      <c r="AJ795" t="s">
        <v>91</v>
      </c>
      <c r="AK795" t="s">
        <v>3915</v>
      </c>
      <c r="AL795" t="s">
        <v>63</v>
      </c>
      <c r="AM795" s="50"/>
      <c r="AN795" s="51" t="s">
        <v>3916</v>
      </c>
      <c r="AO795" s="55" t="s">
        <v>3917</v>
      </c>
    </row>
    <row r="796" spans="1:41" ht="57" hidden="1" x14ac:dyDescent="0.3">
      <c r="A796" s="20">
        <v>792</v>
      </c>
      <c r="B796" s="8" t="s">
        <v>3918</v>
      </c>
      <c r="C796" s="26">
        <v>2023</v>
      </c>
      <c r="D796" s="8"/>
      <c r="E796" s="8" t="s">
        <v>3919</v>
      </c>
      <c r="F796" s="20" t="s">
        <v>54</v>
      </c>
      <c r="G796" s="21" t="s">
        <v>64</v>
      </c>
      <c r="H796" s="21" t="s">
        <v>53</v>
      </c>
      <c r="I796" s="21" t="s">
        <v>53</v>
      </c>
      <c r="J796" s="21" t="s">
        <v>53</v>
      </c>
      <c r="K796" s="21" t="s">
        <v>53</v>
      </c>
      <c r="L796" s="22" t="str">
        <f t="shared" si="60"/>
        <v>EXCLUDE</v>
      </c>
      <c r="M796" s="22" t="str">
        <f t="shared" si="61"/>
        <v>Wrong domain (non-AECO)</v>
      </c>
      <c r="N796" s="23"/>
      <c r="O796" s="23"/>
      <c r="P796" s="24"/>
      <c r="Q796" s="24"/>
      <c r="R796" s="24"/>
      <c r="S796" s="22" t="str">
        <f t="shared" si="62"/>
        <v/>
      </c>
      <c r="T796" s="22" t="str">
        <f t="shared" si="63"/>
        <v/>
      </c>
      <c r="U796" s="25"/>
      <c r="V796" s="25"/>
      <c r="W796" s="25"/>
      <c r="X796" s="25"/>
      <c r="Y796" s="22" t="str">
        <f t="shared" si="64"/>
        <v/>
      </c>
      <c r="Z796" s="25"/>
      <c r="AA796" s="25"/>
      <c r="AB796" s="25"/>
      <c r="AC796" s="25"/>
      <c r="AD796" s="25"/>
      <c r="AE796" s="25"/>
      <c r="AF796" s="25"/>
      <c r="AG796" s="9"/>
      <c r="AH796" s="29"/>
      <c r="AI796" s="29"/>
      <c r="AM796" s="50"/>
      <c r="AN796" s="51" t="s">
        <v>3920</v>
      </c>
      <c r="AO796" s="55" t="s">
        <v>3921</v>
      </c>
    </row>
    <row r="797" spans="1:41" ht="102.6" x14ac:dyDescent="0.3">
      <c r="A797" s="20">
        <v>793</v>
      </c>
      <c r="B797" s="8" t="s">
        <v>3922</v>
      </c>
      <c r="C797" s="26">
        <v>2024</v>
      </c>
      <c r="D797" s="8"/>
      <c r="E797" s="8" t="s">
        <v>3923</v>
      </c>
      <c r="F797" s="20" t="s">
        <v>54</v>
      </c>
      <c r="G797" s="21" t="s">
        <v>53</v>
      </c>
      <c r="H797" s="21" t="s">
        <v>53</v>
      </c>
      <c r="I797" s="21" t="s">
        <v>53</v>
      </c>
      <c r="J797" s="21" t="s">
        <v>53</v>
      </c>
      <c r="K797" s="21" t="s">
        <v>53</v>
      </c>
      <c r="L797" s="22" t="str">
        <f t="shared" si="60"/>
        <v>INCLUDE</v>
      </c>
      <c r="M797" s="22" t="str">
        <f t="shared" si="61"/>
        <v/>
      </c>
      <c r="N797" s="23" t="s">
        <v>53</v>
      </c>
      <c r="O797" s="23" t="s">
        <v>53</v>
      </c>
      <c r="P797" s="24" t="s">
        <v>53</v>
      </c>
      <c r="Q797" s="24" t="s">
        <v>53</v>
      </c>
      <c r="R797" s="24" t="s">
        <v>53</v>
      </c>
      <c r="S797" s="22" t="str">
        <f t="shared" si="62"/>
        <v>INCLUDE</v>
      </c>
      <c r="T797" s="22" t="str">
        <f t="shared" si="63"/>
        <v/>
      </c>
      <c r="U797" s="25" t="s">
        <v>56</v>
      </c>
      <c r="V797" s="25">
        <v>0</v>
      </c>
      <c r="W797" s="25">
        <v>0</v>
      </c>
      <c r="X797" s="25">
        <v>1</v>
      </c>
      <c r="Y797" s="22" t="str">
        <f t="shared" si="64"/>
        <v>Single</v>
      </c>
      <c r="Z797" s="25" t="s">
        <v>11</v>
      </c>
      <c r="AA797" s="25" t="s">
        <v>57</v>
      </c>
      <c r="AB797" s="25" t="s">
        <v>58</v>
      </c>
      <c r="AC797" s="25" t="s">
        <v>70</v>
      </c>
      <c r="AD797" s="25" t="s">
        <v>95</v>
      </c>
      <c r="AE797" s="25">
        <v>4</v>
      </c>
      <c r="AF797" s="25" t="s">
        <v>81</v>
      </c>
      <c r="AG797" s="9" t="s">
        <v>3924</v>
      </c>
      <c r="AH797" s="29" t="s">
        <v>3925</v>
      </c>
      <c r="AI797" s="29" t="s">
        <v>3926</v>
      </c>
      <c r="AJ797" t="s">
        <v>91</v>
      </c>
      <c r="AK797" t="s">
        <v>3927</v>
      </c>
      <c r="AL797" t="s">
        <v>74</v>
      </c>
      <c r="AM797" s="50"/>
      <c r="AN797" s="51" t="s">
        <v>3928</v>
      </c>
      <c r="AO797" s="55" t="s">
        <v>3929</v>
      </c>
    </row>
    <row r="798" spans="1:41" ht="57.6" x14ac:dyDescent="0.3">
      <c r="A798" s="20">
        <v>794</v>
      </c>
      <c r="B798" s="8" t="s">
        <v>3930</v>
      </c>
      <c r="C798" s="26">
        <v>2024</v>
      </c>
      <c r="D798" s="8"/>
      <c r="E798" s="8" t="s">
        <v>3931</v>
      </c>
      <c r="F798" s="20" t="s">
        <v>54</v>
      </c>
      <c r="G798" s="21" t="s">
        <v>53</v>
      </c>
      <c r="H798" s="21" t="s">
        <v>53</v>
      </c>
      <c r="I798" s="21" t="s">
        <v>53</v>
      </c>
      <c r="J798" s="21" t="s">
        <v>53</v>
      </c>
      <c r="K798" s="21" t="s">
        <v>53</v>
      </c>
      <c r="L798" s="22" t="str">
        <f t="shared" si="60"/>
        <v>INCLUDE</v>
      </c>
      <c r="M798" s="22" t="str">
        <f t="shared" si="61"/>
        <v/>
      </c>
      <c r="N798" s="23" t="s">
        <v>53</v>
      </c>
      <c r="O798" s="23" t="s">
        <v>53</v>
      </c>
      <c r="P798" s="24" t="s">
        <v>53</v>
      </c>
      <c r="Q798" s="24" t="s">
        <v>53</v>
      </c>
      <c r="R798" s="24" t="s">
        <v>53</v>
      </c>
      <c r="S798" s="22" t="str">
        <f t="shared" si="62"/>
        <v>INCLUDE</v>
      </c>
      <c r="T798" s="22" t="str">
        <f t="shared" si="63"/>
        <v/>
      </c>
      <c r="U798" s="25" t="s">
        <v>67</v>
      </c>
      <c r="V798" s="25">
        <v>0</v>
      </c>
      <c r="W798" s="25">
        <v>0</v>
      </c>
      <c r="X798" s="25">
        <v>1</v>
      </c>
      <c r="Y798" s="22" t="str">
        <f t="shared" si="64"/>
        <v>Single</v>
      </c>
      <c r="Z798" s="25" t="s">
        <v>9</v>
      </c>
      <c r="AA798" s="25" t="s">
        <v>78</v>
      </c>
      <c r="AB798" s="25" t="s">
        <v>104</v>
      </c>
      <c r="AC798" s="25" t="s">
        <v>59</v>
      </c>
      <c r="AD798" s="25" t="s">
        <v>89</v>
      </c>
      <c r="AE798" s="25">
        <v>4</v>
      </c>
      <c r="AF798" s="25" t="s">
        <v>96</v>
      </c>
      <c r="AG798" s="9" t="s">
        <v>3932</v>
      </c>
      <c r="AH798" s="29" t="s">
        <v>3933</v>
      </c>
      <c r="AI798" s="29" t="s">
        <v>3934</v>
      </c>
      <c r="AJ798" t="s">
        <v>62</v>
      </c>
      <c r="AK798" t="s">
        <v>3935</v>
      </c>
      <c r="AL798" t="s">
        <v>63</v>
      </c>
      <c r="AM798" s="50"/>
      <c r="AN798" s="51" t="s">
        <v>3936</v>
      </c>
      <c r="AO798" s="55" t="s">
        <v>3937</v>
      </c>
    </row>
    <row r="799" spans="1:41" ht="57" hidden="1" x14ac:dyDescent="0.3">
      <c r="A799" s="20">
        <v>795</v>
      </c>
      <c r="B799" s="8" t="s">
        <v>3938</v>
      </c>
      <c r="C799" s="26">
        <v>2024</v>
      </c>
      <c r="D799" s="8"/>
      <c r="E799" s="8" t="s">
        <v>3939</v>
      </c>
      <c r="F799" s="20" t="s">
        <v>54</v>
      </c>
      <c r="G799" s="21" t="s">
        <v>64</v>
      </c>
      <c r="H799" s="21" t="s">
        <v>53</v>
      </c>
      <c r="I799" s="21" t="s">
        <v>53</v>
      </c>
      <c r="J799" s="21" t="s">
        <v>53</v>
      </c>
      <c r="K799" s="21" t="s">
        <v>53</v>
      </c>
      <c r="L799" s="22" t="str">
        <f t="shared" si="60"/>
        <v>EXCLUDE</v>
      </c>
      <c r="M799" s="22" t="str">
        <f t="shared" si="61"/>
        <v>Wrong domain (non-AECO)</v>
      </c>
      <c r="N799" s="23"/>
      <c r="O799" s="23"/>
      <c r="P799" s="24"/>
      <c r="Q799" s="24"/>
      <c r="R799" s="24"/>
      <c r="S799" s="22" t="str">
        <f t="shared" si="62"/>
        <v/>
      </c>
      <c r="T799" s="22" t="str">
        <f t="shared" si="63"/>
        <v/>
      </c>
      <c r="U799" s="25"/>
      <c r="V799" s="25"/>
      <c r="W799" s="25"/>
      <c r="X799" s="25"/>
      <c r="Y799" s="22" t="str">
        <f t="shared" si="64"/>
        <v/>
      </c>
      <c r="Z799" s="25"/>
      <c r="AA799" s="25"/>
      <c r="AB799" s="25"/>
      <c r="AC799" s="25"/>
      <c r="AD799" s="25"/>
      <c r="AE799" s="25"/>
      <c r="AF799" s="25"/>
      <c r="AG799" s="9"/>
      <c r="AH799" s="29"/>
      <c r="AI799" s="29"/>
      <c r="AM799" s="50"/>
      <c r="AN799" s="51" t="s">
        <v>3940</v>
      </c>
      <c r="AO799" s="55" t="s">
        <v>3941</v>
      </c>
    </row>
    <row r="800" spans="1:41" ht="79.8" x14ac:dyDescent="0.3">
      <c r="A800" s="20">
        <v>796</v>
      </c>
      <c r="B800" s="8" t="s">
        <v>3942</v>
      </c>
      <c r="C800" s="26">
        <v>2024</v>
      </c>
      <c r="D800" s="8"/>
      <c r="E800" s="8" t="s">
        <v>3943</v>
      </c>
      <c r="F800" s="20" t="s">
        <v>54</v>
      </c>
      <c r="G800" s="21" t="s">
        <v>53</v>
      </c>
      <c r="H800" s="21" t="s">
        <v>53</v>
      </c>
      <c r="I800" s="21" t="s">
        <v>53</v>
      </c>
      <c r="J800" s="21" t="s">
        <v>53</v>
      </c>
      <c r="K800" s="21" t="s">
        <v>53</v>
      </c>
      <c r="L800" s="22" t="str">
        <f t="shared" si="60"/>
        <v>INCLUDE</v>
      </c>
      <c r="M800" s="22" t="str">
        <f t="shared" si="61"/>
        <v/>
      </c>
      <c r="N800" s="23" t="s">
        <v>53</v>
      </c>
      <c r="O800" s="23" t="s">
        <v>53</v>
      </c>
      <c r="P800" s="24" t="s">
        <v>53</v>
      </c>
      <c r="Q800" s="24" t="s">
        <v>53</v>
      </c>
      <c r="R800" s="24" t="s">
        <v>53</v>
      </c>
      <c r="S800" s="22" t="str">
        <f t="shared" si="62"/>
        <v>INCLUDE</v>
      </c>
      <c r="T800" s="22" t="str">
        <f t="shared" si="63"/>
        <v/>
      </c>
      <c r="U800" s="25" t="s">
        <v>67</v>
      </c>
      <c r="V800" s="25">
        <v>0</v>
      </c>
      <c r="W800" s="25">
        <v>1</v>
      </c>
      <c r="X800" s="25">
        <v>0</v>
      </c>
      <c r="Y800" s="22" t="str">
        <f t="shared" si="64"/>
        <v>Single</v>
      </c>
      <c r="Z800" s="25" t="s">
        <v>9</v>
      </c>
      <c r="AA800" s="25" t="s">
        <v>57</v>
      </c>
      <c r="AB800" s="25" t="s">
        <v>104</v>
      </c>
      <c r="AC800" s="25" t="s">
        <v>70</v>
      </c>
      <c r="AD800" s="25" t="s">
        <v>89</v>
      </c>
      <c r="AE800" s="25">
        <v>4</v>
      </c>
      <c r="AF800" s="25" t="s">
        <v>96</v>
      </c>
      <c r="AG800" s="9" t="s">
        <v>3944</v>
      </c>
      <c r="AH800" s="29" t="s">
        <v>3945</v>
      </c>
      <c r="AI800" s="29" t="s">
        <v>3946</v>
      </c>
      <c r="AJ800" t="s">
        <v>91</v>
      </c>
      <c r="AK800" t="s">
        <v>3947</v>
      </c>
      <c r="AL800" t="s">
        <v>63</v>
      </c>
      <c r="AM800" s="50"/>
      <c r="AN800" s="51" t="s">
        <v>3948</v>
      </c>
      <c r="AO800" s="55" t="s">
        <v>3949</v>
      </c>
    </row>
    <row r="801" spans="1:41" ht="57" hidden="1" x14ac:dyDescent="0.3">
      <c r="A801" s="20">
        <v>797</v>
      </c>
      <c r="B801" s="8" t="s">
        <v>3950</v>
      </c>
      <c r="C801" s="26">
        <v>2023</v>
      </c>
      <c r="D801" s="8"/>
      <c r="E801" s="8" t="s">
        <v>3951</v>
      </c>
      <c r="F801" s="20" t="s">
        <v>54</v>
      </c>
      <c r="G801" s="21" t="s">
        <v>64</v>
      </c>
      <c r="H801" s="21" t="s">
        <v>53</v>
      </c>
      <c r="I801" s="21" t="s">
        <v>53</v>
      </c>
      <c r="J801" s="21" t="s">
        <v>53</v>
      </c>
      <c r="K801" s="21" t="s">
        <v>53</v>
      </c>
      <c r="L801" s="22" t="str">
        <f t="shared" si="60"/>
        <v>EXCLUDE</v>
      </c>
      <c r="M801" s="22" t="str">
        <f t="shared" si="61"/>
        <v>Wrong domain (non-AECO)</v>
      </c>
      <c r="N801" s="23"/>
      <c r="O801" s="23"/>
      <c r="P801" s="24"/>
      <c r="Q801" s="24"/>
      <c r="R801" s="24"/>
      <c r="S801" s="22" t="str">
        <f t="shared" si="62"/>
        <v/>
      </c>
      <c r="T801" s="22" t="str">
        <f t="shared" si="63"/>
        <v/>
      </c>
      <c r="U801" s="25"/>
      <c r="V801" s="25"/>
      <c r="W801" s="25"/>
      <c r="X801" s="25"/>
      <c r="Y801" s="22" t="str">
        <f t="shared" si="64"/>
        <v/>
      </c>
      <c r="Z801" s="25"/>
      <c r="AA801" s="25"/>
      <c r="AB801" s="25"/>
      <c r="AC801" s="25"/>
      <c r="AD801" s="25"/>
      <c r="AE801" s="25"/>
      <c r="AF801" s="25"/>
      <c r="AG801" s="9"/>
      <c r="AH801" s="29"/>
      <c r="AI801" s="29"/>
      <c r="AM801" s="50"/>
      <c r="AN801" s="51" t="s">
        <v>3952</v>
      </c>
      <c r="AO801" s="55" t="s">
        <v>3953</v>
      </c>
    </row>
    <row r="802" spans="1:41" ht="57" hidden="1" x14ac:dyDescent="0.3">
      <c r="A802" s="20">
        <v>798</v>
      </c>
      <c r="B802" s="8" t="s">
        <v>3954</v>
      </c>
      <c r="C802" s="26">
        <v>2025</v>
      </c>
      <c r="D802" s="8"/>
      <c r="E802" s="8" t="s">
        <v>3955</v>
      </c>
      <c r="F802" s="20" t="s">
        <v>54</v>
      </c>
      <c r="G802" s="21" t="s">
        <v>53</v>
      </c>
      <c r="H802" s="21" t="s">
        <v>64</v>
      </c>
      <c r="I802" s="21" t="s">
        <v>53</v>
      </c>
      <c r="J802" s="21" t="s">
        <v>53</v>
      </c>
      <c r="K802" s="21" t="s">
        <v>53</v>
      </c>
      <c r="L802" s="22" t="str">
        <f t="shared" si="60"/>
        <v>EXCLUDE</v>
      </c>
      <c r="M802" s="22" t="str">
        <f t="shared" si="61"/>
        <v>Digital Twin not core / buzzword</v>
      </c>
      <c r="N802" s="23"/>
      <c r="O802" s="23"/>
      <c r="P802" s="24"/>
      <c r="Q802" s="24"/>
      <c r="R802" s="24"/>
      <c r="S802" s="22" t="str">
        <f t="shared" si="62"/>
        <v/>
      </c>
      <c r="T802" s="22" t="str">
        <f t="shared" si="63"/>
        <v/>
      </c>
      <c r="U802" s="25"/>
      <c r="V802" s="25"/>
      <c r="W802" s="25"/>
      <c r="X802" s="25"/>
      <c r="Y802" s="22" t="str">
        <f t="shared" si="64"/>
        <v/>
      </c>
      <c r="Z802" s="25"/>
      <c r="AA802" s="25"/>
      <c r="AB802" s="25"/>
      <c r="AC802" s="25"/>
      <c r="AD802" s="25"/>
      <c r="AE802" s="25"/>
      <c r="AF802" s="25"/>
      <c r="AG802" s="9"/>
      <c r="AH802" s="29"/>
      <c r="AI802" s="29"/>
      <c r="AM802" s="50"/>
      <c r="AN802" s="51" t="s">
        <v>3956</v>
      </c>
      <c r="AO802" s="55" t="s">
        <v>3957</v>
      </c>
    </row>
    <row r="803" spans="1:41" ht="68.400000000000006" hidden="1" x14ac:dyDescent="0.3">
      <c r="A803" s="20">
        <v>799</v>
      </c>
      <c r="B803" s="8" t="s">
        <v>2732</v>
      </c>
      <c r="C803" s="26">
        <v>2022</v>
      </c>
      <c r="D803" s="8"/>
      <c r="E803" s="8" t="s">
        <v>3958</v>
      </c>
      <c r="F803" s="20" t="s">
        <v>54</v>
      </c>
      <c r="G803" s="21" t="s">
        <v>53</v>
      </c>
      <c r="H803" s="21" t="s">
        <v>53</v>
      </c>
      <c r="I803" s="21" t="s">
        <v>64</v>
      </c>
      <c r="J803" s="21" t="s">
        <v>53</v>
      </c>
      <c r="K803" s="21" t="s">
        <v>53</v>
      </c>
      <c r="L803" s="22" t="str">
        <f t="shared" si="60"/>
        <v>EXCLUDE</v>
      </c>
      <c r="M803" s="22" t="str">
        <f t="shared" si="61"/>
        <v>No Design for Safety/Quality/PtD</v>
      </c>
      <c r="N803" s="23"/>
      <c r="O803" s="23"/>
      <c r="P803" s="24"/>
      <c r="Q803" s="24"/>
      <c r="R803" s="24"/>
      <c r="S803" s="22" t="str">
        <f t="shared" si="62"/>
        <v/>
      </c>
      <c r="T803" s="22" t="str">
        <f t="shared" si="63"/>
        <v/>
      </c>
      <c r="U803" s="25"/>
      <c r="V803" s="25"/>
      <c r="W803" s="25"/>
      <c r="X803" s="25"/>
      <c r="Y803" s="22" t="str">
        <f t="shared" si="64"/>
        <v/>
      </c>
      <c r="Z803" s="25"/>
      <c r="AA803" s="25"/>
      <c r="AB803" s="25"/>
      <c r="AC803" s="25"/>
      <c r="AD803" s="25"/>
      <c r="AE803" s="25"/>
      <c r="AF803" s="25"/>
      <c r="AG803" s="9"/>
      <c r="AH803" s="29"/>
      <c r="AI803" s="29"/>
      <c r="AM803" s="50"/>
      <c r="AN803" s="51" t="s">
        <v>3959</v>
      </c>
      <c r="AO803" s="55" t="s">
        <v>3960</v>
      </c>
    </row>
    <row r="804" spans="1:41" ht="91.2" x14ac:dyDescent="0.3">
      <c r="A804" s="20">
        <v>800</v>
      </c>
      <c r="B804" s="8" t="s">
        <v>3961</v>
      </c>
      <c r="C804" s="26">
        <v>2022</v>
      </c>
      <c r="D804" s="8"/>
      <c r="E804" s="8" t="s">
        <v>3962</v>
      </c>
      <c r="F804" s="20" t="s">
        <v>54</v>
      </c>
      <c r="G804" s="21" t="s">
        <v>53</v>
      </c>
      <c r="H804" s="21" t="s">
        <v>53</v>
      </c>
      <c r="I804" s="21" t="s">
        <v>53</v>
      </c>
      <c r="J804" s="21" t="s">
        <v>53</v>
      </c>
      <c r="K804" s="21" t="s">
        <v>53</v>
      </c>
      <c r="L804" s="22" t="str">
        <f t="shared" si="60"/>
        <v>INCLUDE</v>
      </c>
      <c r="M804" s="22" t="str">
        <f t="shared" si="61"/>
        <v/>
      </c>
      <c r="N804" s="23" t="s">
        <v>53</v>
      </c>
      <c r="O804" s="23" t="s">
        <v>53</v>
      </c>
      <c r="P804" s="24" t="s">
        <v>53</v>
      </c>
      <c r="Q804" s="24" t="s">
        <v>53</v>
      </c>
      <c r="R804" s="24" t="s">
        <v>53</v>
      </c>
      <c r="S804" s="22" t="str">
        <f t="shared" si="62"/>
        <v>INCLUDE</v>
      </c>
      <c r="T804" s="22" t="str">
        <f t="shared" si="63"/>
        <v/>
      </c>
      <c r="U804" s="25" t="s">
        <v>67</v>
      </c>
      <c r="V804" s="25">
        <v>0</v>
      </c>
      <c r="W804" s="25">
        <v>0</v>
      </c>
      <c r="X804" s="25">
        <v>1</v>
      </c>
      <c r="Y804" s="22" t="str">
        <f t="shared" si="64"/>
        <v>Single</v>
      </c>
      <c r="Z804" s="25" t="s">
        <v>9</v>
      </c>
      <c r="AA804" s="25" t="s">
        <v>57</v>
      </c>
      <c r="AB804" s="25" t="s">
        <v>100</v>
      </c>
      <c r="AC804" s="25" t="s">
        <v>70</v>
      </c>
      <c r="AD804" s="25" t="s">
        <v>89</v>
      </c>
      <c r="AE804" s="25">
        <v>4</v>
      </c>
      <c r="AF804" s="25" t="s">
        <v>90</v>
      </c>
      <c r="AG804" s="9" t="s">
        <v>3963</v>
      </c>
      <c r="AH804" s="29" t="s">
        <v>3964</v>
      </c>
      <c r="AI804" s="29" t="s">
        <v>3965</v>
      </c>
      <c r="AJ804" t="s">
        <v>82</v>
      </c>
      <c r="AK804" t="s">
        <v>3966</v>
      </c>
      <c r="AL804" t="s">
        <v>74</v>
      </c>
      <c r="AM804" s="50"/>
      <c r="AN804" s="51" t="s">
        <v>3967</v>
      </c>
      <c r="AO804" s="55" t="s">
        <v>3968</v>
      </c>
    </row>
    <row r="805" spans="1:41" ht="45.6" hidden="1" x14ac:dyDescent="0.3">
      <c r="A805" s="20">
        <v>801</v>
      </c>
      <c r="B805" s="8" t="s">
        <v>3969</v>
      </c>
      <c r="C805" s="26">
        <v>2024</v>
      </c>
      <c r="D805" s="8"/>
      <c r="E805" s="8" t="s">
        <v>3970</v>
      </c>
      <c r="F805" s="20" t="s">
        <v>54</v>
      </c>
      <c r="G805" s="21" t="s">
        <v>64</v>
      </c>
      <c r="H805" s="21" t="s">
        <v>53</v>
      </c>
      <c r="I805" s="21" t="s">
        <v>53</v>
      </c>
      <c r="J805" s="21" t="s">
        <v>53</v>
      </c>
      <c r="K805" s="21" t="s">
        <v>53</v>
      </c>
      <c r="L805" s="22" t="str">
        <f t="shared" si="60"/>
        <v>EXCLUDE</v>
      </c>
      <c r="M805" s="22" t="str">
        <f t="shared" si="61"/>
        <v>Wrong domain (non-AECO)</v>
      </c>
      <c r="N805" s="23"/>
      <c r="O805" s="23"/>
      <c r="P805" s="24"/>
      <c r="Q805" s="24"/>
      <c r="R805" s="24"/>
      <c r="S805" s="22" t="str">
        <f t="shared" si="62"/>
        <v/>
      </c>
      <c r="T805" s="22" t="str">
        <f t="shared" si="63"/>
        <v/>
      </c>
      <c r="U805" s="25"/>
      <c r="V805" s="25"/>
      <c r="W805" s="25"/>
      <c r="X805" s="25"/>
      <c r="Y805" s="22" t="str">
        <f t="shared" si="64"/>
        <v/>
      </c>
      <c r="Z805" s="25"/>
      <c r="AA805" s="25"/>
      <c r="AB805" s="25"/>
      <c r="AC805" s="25"/>
      <c r="AD805" s="25"/>
      <c r="AE805" s="25"/>
      <c r="AF805" s="25"/>
      <c r="AG805" s="9"/>
      <c r="AH805" s="29"/>
      <c r="AI805" s="29"/>
      <c r="AM805" s="50"/>
      <c r="AN805" s="51" t="s">
        <v>3971</v>
      </c>
      <c r="AO805" s="55" t="s">
        <v>3972</v>
      </c>
    </row>
    <row r="806" spans="1:41" ht="68.400000000000006" hidden="1" x14ac:dyDescent="0.3">
      <c r="A806" s="20">
        <v>802</v>
      </c>
      <c r="B806" s="8" t="s">
        <v>3973</v>
      </c>
      <c r="C806" s="26">
        <v>2025</v>
      </c>
      <c r="D806" s="8"/>
      <c r="E806" s="8" t="s">
        <v>3974</v>
      </c>
      <c r="F806" s="20" t="s">
        <v>54</v>
      </c>
      <c r="G806" s="21" t="s">
        <v>64</v>
      </c>
      <c r="H806" s="21" t="s">
        <v>53</v>
      </c>
      <c r="I806" s="21" t="s">
        <v>53</v>
      </c>
      <c r="J806" s="21" t="s">
        <v>53</v>
      </c>
      <c r="K806" s="21" t="s">
        <v>53</v>
      </c>
      <c r="L806" s="22" t="str">
        <f t="shared" si="60"/>
        <v>EXCLUDE</v>
      </c>
      <c r="M806" s="22" t="str">
        <f t="shared" si="61"/>
        <v>Wrong domain (non-AECO)</v>
      </c>
      <c r="N806" s="23"/>
      <c r="O806" s="23"/>
      <c r="P806" s="24"/>
      <c r="Q806" s="24"/>
      <c r="R806" s="24"/>
      <c r="S806" s="22" t="str">
        <f t="shared" si="62"/>
        <v/>
      </c>
      <c r="T806" s="22" t="str">
        <f t="shared" si="63"/>
        <v/>
      </c>
      <c r="U806" s="25"/>
      <c r="V806" s="25"/>
      <c r="W806" s="25"/>
      <c r="X806" s="25"/>
      <c r="Y806" s="22" t="str">
        <f t="shared" si="64"/>
        <v/>
      </c>
      <c r="Z806" s="25"/>
      <c r="AA806" s="25"/>
      <c r="AB806" s="25"/>
      <c r="AC806" s="25"/>
      <c r="AD806" s="25"/>
      <c r="AE806" s="25"/>
      <c r="AF806" s="25"/>
      <c r="AG806" s="9"/>
      <c r="AH806" s="29"/>
      <c r="AI806" s="29"/>
      <c r="AM806" s="50"/>
      <c r="AN806" s="51" t="s">
        <v>3975</v>
      </c>
      <c r="AO806" s="55" t="s">
        <v>3976</v>
      </c>
    </row>
    <row r="807" spans="1:41" ht="57" hidden="1" x14ac:dyDescent="0.3">
      <c r="A807" s="20">
        <v>803</v>
      </c>
      <c r="B807" s="8" t="s">
        <v>3977</v>
      </c>
      <c r="C807" s="26">
        <v>2020</v>
      </c>
      <c r="D807" s="8"/>
      <c r="E807" s="8" t="s">
        <v>3978</v>
      </c>
      <c r="F807" s="20" t="s">
        <v>54</v>
      </c>
      <c r="G807" s="21" t="s">
        <v>64</v>
      </c>
      <c r="H807" s="21" t="s">
        <v>53</v>
      </c>
      <c r="I807" s="21" t="s">
        <v>53</v>
      </c>
      <c r="J807" s="21" t="s">
        <v>53</v>
      </c>
      <c r="K807" s="21" t="s">
        <v>53</v>
      </c>
      <c r="L807" s="22" t="str">
        <f t="shared" si="60"/>
        <v>EXCLUDE</v>
      </c>
      <c r="M807" s="22" t="str">
        <f t="shared" si="61"/>
        <v>Wrong domain (non-AECO)</v>
      </c>
      <c r="N807" s="23"/>
      <c r="O807" s="23"/>
      <c r="P807" s="24"/>
      <c r="Q807" s="24"/>
      <c r="R807" s="24"/>
      <c r="S807" s="22" t="str">
        <f t="shared" si="62"/>
        <v/>
      </c>
      <c r="T807" s="22" t="str">
        <f t="shared" si="63"/>
        <v/>
      </c>
      <c r="U807" s="25"/>
      <c r="V807" s="25"/>
      <c r="W807" s="25"/>
      <c r="X807" s="25"/>
      <c r="Y807" s="22" t="str">
        <f t="shared" si="64"/>
        <v/>
      </c>
      <c r="Z807" s="25"/>
      <c r="AA807" s="25"/>
      <c r="AB807" s="25"/>
      <c r="AC807" s="25"/>
      <c r="AD807" s="25"/>
      <c r="AE807" s="25"/>
      <c r="AF807" s="25"/>
      <c r="AG807" s="9"/>
      <c r="AH807" s="29"/>
      <c r="AI807" s="29"/>
      <c r="AM807" s="50"/>
      <c r="AN807" s="51" t="s">
        <v>3979</v>
      </c>
      <c r="AO807" s="55" t="s">
        <v>3980</v>
      </c>
    </row>
    <row r="808" spans="1:41" ht="79.8" x14ac:dyDescent="0.3">
      <c r="A808" s="20">
        <v>804</v>
      </c>
      <c r="B808" s="8" t="s">
        <v>2871</v>
      </c>
      <c r="C808" s="26">
        <v>2021</v>
      </c>
      <c r="D808" s="8"/>
      <c r="E808" s="8" t="s">
        <v>3981</v>
      </c>
      <c r="F808" s="20" t="s">
        <v>54</v>
      </c>
      <c r="G808" s="21" t="s">
        <v>53</v>
      </c>
      <c r="H808" s="21" t="s">
        <v>53</v>
      </c>
      <c r="I808" s="21" t="s">
        <v>53</v>
      </c>
      <c r="J808" s="21" t="s">
        <v>53</v>
      </c>
      <c r="K808" s="21" t="s">
        <v>53</v>
      </c>
      <c r="L808" s="22" t="str">
        <f t="shared" si="60"/>
        <v>INCLUDE</v>
      </c>
      <c r="M808" s="22" t="str">
        <f t="shared" si="61"/>
        <v/>
      </c>
      <c r="N808" s="23" t="s">
        <v>53</v>
      </c>
      <c r="O808" s="23" t="s">
        <v>53</v>
      </c>
      <c r="P808" s="24" t="s">
        <v>53</v>
      </c>
      <c r="Q808" s="24" t="s">
        <v>53</v>
      </c>
      <c r="R808" s="24" t="s">
        <v>53</v>
      </c>
      <c r="S808" s="22" t="str">
        <f t="shared" si="62"/>
        <v>INCLUDE</v>
      </c>
      <c r="T808" s="22" t="str">
        <f t="shared" si="63"/>
        <v/>
      </c>
      <c r="U808" s="25" t="s">
        <v>67</v>
      </c>
      <c r="V808" s="25">
        <v>0</v>
      </c>
      <c r="W808" s="25">
        <v>1</v>
      </c>
      <c r="X808" s="25">
        <v>0</v>
      </c>
      <c r="Y808" s="22" t="str">
        <f t="shared" si="64"/>
        <v>Single</v>
      </c>
      <c r="Z808" s="25" t="s">
        <v>9</v>
      </c>
      <c r="AA808" s="25" t="s">
        <v>57</v>
      </c>
      <c r="AB808" s="25" t="s">
        <v>100</v>
      </c>
      <c r="AC808" s="25" t="s">
        <v>70</v>
      </c>
      <c r="AD808" s="25" t="s">
        <v>89</v>
      </c>
      <c r="AE808" s="25">
        <v>3</v>
      </c>
      <c r="AF808" s="25" t="s">
        <v>90</v>
      </c>
      <c r="AG808" s="9" t="s">
        <v>3982</v>
      </c>
      <c r="AH808" s="29" t="s">
        <v>3983</v>
      </c>
      <c r="AI808" s="29" t="s">
        <v>3984</v>
      </c>
      <c r="AJ808" t="s">
        <v>91</v>
      </c>
      <c r="AK808" t="s">
        <v>3985</v>
      </c>
      <c r="AL808" t="s">
        <v>74</v>
      </c>
      <c r="AM808" s="50"/>
      <c r="AN808" s="51" t="s">
        <v>3986</v>
      </c>
      <c r="AO808" s="55" t="s">
        <v>3987</v>
      </c>
    </row>
    <row r="809" spans="1:41" ht="68.400000000000006" hidden="1" x14ac:dyDescent="0.3">
      <c r="A809" s="20">
        <v>805</v>
      </c>
      <c r="B809" s="8" t="s">
        <v>3988</v>
      </c>
      <c r="C809" s="26">
        <v>2024</v>
      </c>
      <c r="D809" s="8"/>
      <c r="E809" s="8" t="s">
        <v>3989</v>
      </c>
      <c r="F809" s="20" t="s">
        <v>54</v>
      </c>
      <c r="G809" s="21" t="s">
        <v>64</v>
      </c>
      <c r="H809" s="21" t="s">
        <v>53</v>
      </c>
      <c r="I809" s="21" t="s">
        <v>53</v>
      </c>
      <c r="J809" s="21" t="s">
        <v>53</v>
      </c>
      <c r="K809" s="21" t="s">
        <v>53</v>
      </c>
      <c r="L809" s="22" t="str">
        <f t="shared" si="60"/>
        <v>EXCLUDE</v>
      </c>
      <c r="M809" s="22" t="str">
        <f t="shared" si="61"/>
        <v>Wrong domain (non-AECO)</v>
      </c>
      <c r="N809" s="23"/>
      <c r="O809" s="23"/>
      <c r="P809" s="24"/>
      <c r="Q809" s="24"/>
      <c r="R809" s="24"/>
      <c r="S809" s="22" t="str">
        <f t="shared" si="62"/>
        <v/>
      </c>
      <c r="T809" s="22" t="str">
        <f t="shared" si="63"/>
        <v/>
      </c>
      <c r="U809" s="25"/>
      <c r="V809" s="25"/>
      <c r="W809" s="25"/>
      <c r="X809" s="25"/>
      <c r="Y809" s="22" t="str">
        <f t="shared" si="64"/>
        <v/>
      </c>
      <c r="Z809" s="25"/>
      <c r="AA809" s="25"/>
      <c r="AB809" s="25"/>
      <c r="AC809" s="25"/>
      <c r="AD809" s="25"/>
      <c r="AE809" s="25"/>
      <c r="AF809" s="25"/>
      <c r="AG809" s="9"/>
      <c r="AH809" s="29"/>
      <c r="AI809" s="29"/>
      <c r="AM809" s="50"/>
      <c r="AN809" s="51" t="s">
        <v>3990</v>
      </c>
      <c r="AO809" s="55" t="s">
        <v>3991</v>
      </c>
    </row>
    <row r="810" spans="1:41" ht="125.4" hidden="1" x14ac:dyDescent="0.3">
      <c r="A810" s="20">
        <v>806</v>
      </c>
      <c r="B810" s="8" t="s">
        <v>3992</v>
      </c>
      <c r="C810" s="26">
        <v>2023</v>
      </c>
      <c r="D810" s="8"/>
      <c r="E810" s="8" t="s">
        <v>3993</v>
      </c>
      <c r="F810" s="20" t="s">
        <v>54</v>
      </c>
      <c r="G810" s="21" t="s">
        <v>64</v>
      </c>
      <c r="H810" s="21" t="s">
        <v>53</v>
      </c>
      <c r="I810" s="21" t="s">
        <v>53</v>
      </c>
      <c r="J810" s="21" t="s">
        <v>53</v>
      </c>
      <c r="K810" s="21" t="s">
        <v>53</v>
      </c>
      <c r="L810" s="22" t="str">
        <f t="shared" si="60"/>
        <v>EXCLUDE</v>
      </c>
      <c r="M810" s="22" t="str">
        <f t="shared" si="61"/>
        <v>Wrong domain (non-AECO)</v>
      </c>
      <c r="N810" s="23"/>
      <c r="O810" s="23"/>
      <c r="P810" s="24"/>
      <c r="Q810" s="24"/>
      <c r="R810" s="24"/>
      <c r="S810" s="22" t="str">
        <f t="shared" si="62"/>
        <v/>
      </c>
      <c r="T810" s="22" t="str">
        <f t="shared" si="63"/>
        <v/>
      </c>
      <c r="U810" s="25"/>
      <c r="V810" s="25"/>
      <c r="W810" s="25"/>
      <c r="X810" s="25"/>
      <c r="Y810" s="22" t="str">
        <f t="shared" si="64"/>
        <v/>
      </c>
      <c r="Z810" s="25"/>
      <c r="AA810" s="25"/>
      <c r="AB810" s="25"/>
      <c r="AC810" s="25"/>
      <c r="AD810" s="25"/>
      <c r="AE810" s="25"/>
      <c r="AF810" s="25"/>
      <c r="AG810" s="9"/>
      <c r="AH810" s="29"/>
      <c r="AI810" s="29"/>
      <c r="AM810" s="50"/>
      <c r="AN810" s="51" t="s">
        <v>3994</v>
      </c>
      <c r="AO810" s="55" t="s">
        <v>3995</v>
      </c>
    </row>
    <row r="811" spans="1:41" ht="57" hidden="1" x14ac:dyDescent="0.3">
      <c r="A811" s="20">
        <v>807</v>
      </c>
      <c r="B811" s="8" t="s">
        <v>3996</v>
      </c>
      <c r="C811" s="26">
        <v>2021</v>
      </c>
      <c r="D811" s="8"/>
      <c r="E811" s="8" t="s">
        <v>3997</v>
      </c>
      <c r="F811" s="20" t="s">
        <v>54</v>
      </c>
      <c r="G811" s="21" t="s">
        <v>53</v>
      </c>
      <c r="H811" s="21" t="s">
        <v>64</v>
      </c>
      <c r="I811" s="21" t="s">
        <v>53</v>
      </c>
      <c r="J811" s="21" t="s">
        <v>53</v>
      </c>
      <c r="K811" s="21" t="s">
        <v>53</v>
      </c>
      <c r="L811" s="22" t="str">
        <f t="shared" si="60"/>
        <v>EXCLUDE</v>
      </c>
      <c r="M811" s="22" t="str">
        <f t="shared" si="61"/>
        <v>Digital Twin not core / buzzword</v>
      </c>
      <c r="N811" s="23"/>
      <c r="O811" s="23"/>
      <c r="P811" s="24"/>
      <c r="Q811" s="24"/>
      <c r="R811" s="24"/>
      <c r="S811" s="22" t="str">
        <f t="shared" si="62"/>
        <v/>
      </c>
      <c r="T811" s="22" t="str">
        <f t="shared" si="63"/>
        <v/>
      </c>
      <c r="U811" s="25"/>
      <c r="V811" s="25"/>
      <c r="W811" s="25"/>
      <c r="X811" s="25"/>
      <c r="Y811" s="22" t="str">
        <f t="shared" si="64"/>
        <v/>
      </c>
      <c r="Z811" s="25"/>
      <c r="AA811" s="25"/>
      <c r="AB811" s="25"/>
      <c r="AC811" s="25"/>
      <c r="AD811" s="25"/>
      <c r="AE811" s="25"/>
      <c r="AF811" s="25"/>
      <c r="AG811" s="9"/>
      <c r="AH811" s="29"/>
      <c r="AI811" s="29"/>
      <c r="AM811" s="50"/>
      <c r="AN811" s="51" t="s">
        <v>3998</v>
      </c>
      <c r="AO811" s="55" t="s">
        <v>3999</v>
      </c>
    </row>
    <row r="812" spans="1:41" ht="79.8" x14ac:dyDescent="0.3">
      <c r="A812" s="20">
        <v>808</v>
      </c>
      <c r="B812" s="8" t="s">
        <v>4000</v>
      </c>
      <c r="C812" s="26">
        <v>2024</v>
      </c>
      <c r="D812" s="8"/>
      <c r="E812" s="8" t="s">
        <v>4001</v>
      </c>
      <c r="F812" s="20" t="s">
        <v>54</v>
      </c>
      <c r="G812" s="21" t="s">
        <v>53</v>
      </c>
      <c r="H812" s="21" t="s">
        <v>53</v>
      </c>
      <c r="I812" s="21" t="s">
        <v>53</v>
      </c>
      <c r="J812" s="21" t="s">
        <v>53</v>
      </c>
      <c r="K812" s="21" t="s">
        <v>53</v>
      </c>
      <c r="L812" s="22" t="str">
        <f t="shared" si="60"/>
        <v>INCLUDE</v>
      </c>
      <c r="M812" s="22" t="str">
        <f t="shared" si="61"/>
        <v/>
      </c>
      <c r="N812" s="23" t="s">
        <v>53</v>
      </c>
      <c r="O812" s="23" t="s">
        <v>53</v>
      </c>
      <c r="P812" s="24" t="s">
        <v>53</v>
      </c>
      <c r="Q812" s="24" t="s">
        <v>53</v>
      </c>
      <c r="R812" s="24" t="s">
        <v>53</v>
      </c>
      <c r="S812" s="22" t="str">
        <f t="shared" si="62"/>
        <v>INCLUDE</v>
      </c>
      <c r="T812" s="22" t="str">
        <f t="shared" si="63"/>
        <v/>
      </c>
      <c r="U812" s="25" t="s">
        <v>67</v>
      </c>
      <c r="V812" s="25">
        <v>0</v>
      </c>
      <c r="W812" s="25">
        <v>0</v>
      </c>
      <c r="X812" s="25">
        <v>1</v>
      </c>
      <c r="Y812" s="22" t="str">
        <f t="shared" si="64"/>
        <v>Single</v>
      </c>
      <c r="Z812" s="25" t="s">
        <v>9</v>
      </c>
      <c r="AA812" s="25" t="s">
        <v>57</v>
      </c>
      <c r="AB812" s="25" t="s">
        <v>103</v>
      </c>
      <c r="AC812" s="25" t="s">
        <v>70</v>
      </c>
      <c r="AD812" s="25" t="s">
        <v>89</v>
      </c>
      <c r="AE812" s="25">
        <v>3</v>
      </c>
      <c r="AF812" s="25" t="s">
        <v>98</v>
      </c>
      <c r="AG812" s="9" t="s">
        <v>4002</v>
      </c>
      <c r="AH812" s="29" t="s">
        <v>4003</v>
      </c>
      <c r="AI812" s="29" t="s">
        <v>4004</v>
      </c>
      <c r="AJ812" t="s">
        <v>91</v>
      </c>
      <c r="AK812" t="s">
        <v>4005</v>
      </c>
      <c r="AL812" t="s">
        <v>74</v>
      </c>
      <c r="AM812" s="50"/>
      <c r="AN812" s="51" t="s">
        <v>4006</v>
      </c>
      <c r="AO812" s="55" t="s">
        <v>4007</v>
      </c>
    </row>
    <row r="813" spans="1:41" ht="34.200000000000003" hidden="1" x14ac:dyDescent="0.3">
      <c r="A813" s="20">
        <v>809</v>
      </c>
      <c r="B813" s="8" t="s">
        <v>4008</v>
      </c>
      <c r="C813" s="26">
        <v>2023</v>
      </c>
      <c r="D813" s="8"/>
      <c r="E813" s="8" t="s">
        <v>4009</v>
      </c>
      <c r="F813" s="20" t="s">
        <v>54</v>
      </c>
      <c r="G813" s="21" t="s">
        <v>64</v>
      </c>
      <c r="H813" s="21" t="s">
        <v>53</v>
      </c>
      <c r="I813" s="21" t="s">
        <v>53</v>
      </c>
      <c r="J813" s="21" t="s">
        <v>53</v>
      </c>
      <c r="K813" s="21" t="s">
        <v>53</v>
      </c>
      <c r="L813" s="22" t="str">
        <f t="shared" si="60"/>
        <v>EXCLUDE</v>
      </c>
      <c r="M813" s="22" t="str">
        <f t="shared" si="61"/>
        <v>Wrong domain (non-AECO)</v>
      </c>
      <c r="N813" s="23"/>
      <c r="O813" s="23"/>
      <c r="P813" s="24"/>
      <c r="Q813" s="24"/>
      <c r="R813" s="24"/>
      <c r="S813" s="22" t="str">
        <f t="shared" si="62"/>
        <v/>
      </c>
      <c r="T813" s="22" t="str">
        <f t="shared" si="63"/>
        <v/>
      </c>
      <c r="U813" s="25"/>
      <c r="V813" s="25"/>
      <c r="W813" s="25"/>
      <c r="X813" s="25"/>
      <c r="Y813" s="22" t="str">
        <f t="shared" si="64"/>
        <v/>
      </c>
      <c r="Z813" s="25"/>
      <c r="AA813" s="25"/>
      <c r="AB813" s="25"/>
      <c r="AC813" s="25"/>
      <c r="AD813" s="25"/>
      <c r="AE813" s="25"/>
      <c r="AF813" s="25"/>
      <c r="AG813" s="9"/>
      <c r="AH813" s="29"/>
      <c r="AI813" s="29"/>
      <c r="AM813" s="50"/>
      <c r="AN813" s="51" t="s">
        <v>4010</v>
      </c>
      <c r="AO813" s="55" t="s">
        <v>4011</v>
      </c>
    </row>
    <row r="814" spans="1:41" ht="68.400000000000006" hidden="1" x14ac:dyDescent="0.3">
      <c r="A814" s="20">
        <v>810</v>
      </c>
      <c r="B814" s="8" t="s">
        <v>4012</v>
      </c>
      <c r="C814" s="26">
        <v>2025</v>
      </c>
      <c r="D814" s="8"/>
      <c r="E814" s="8" t="s">
        <v>4013</v>
      </c>
      <c r="F814" s="20" t="s">
        <v>54</v>
      </c>
      <c r="G814" s="21" t="s">
        <v>53</v>
      </c>
      <c r="H814" s="21" t="s">
        <v>64</v>
      </c>
      <c r="I814" s="21" t="s">
        <v>53</v>
      </c>
      <c r="J814" s="21" t="s">
        <v>53</v>
      </c>
      <c r="K814" s="21" t="s">
        <v>53</v>
      </c>
      <c r="L814" s="22" t="str">
        <f t="shared" si="60"/>
        <v>EXCLUDE</v>
      </c>
      <c r="M814" s="22" t="str">
        <f t="shared" si="61"/>
        <v>Digital Twin not core / buzzword</v>
      </c>
      <c r="N814" s="23"/>
      <c r="O814" s="23"/>
      <c r="P814" s="24"/>
      <c r="Q814" s="24"/>
      <c r="R814" s="24"/>
      <c r="S814" s="22" t="str">
        <f t="shared" si="62"/>
        <v/>
      </c>
      <c r="T814" s="22" t="str">
        <f t="shared" si="63"/>
        <v/>
      </c>
      <c r="U814" s="25"/>
      <c r="V814" s="25"/>
      <c r="W814" s="25"/>
      <c r="X814" s="25"/>
      <c r="Y814" s="22" t="str">
        <f t="shared" si="64"/>
        <v/>
      </c>
      <c r="Z814" s="25"/>
      <c r="AA814" s="25"/>
      <c r="AB814" s="25"/>
      <c r="AC814" s="25"/>
      <c r="AD814" s="25"/>
      <c r="AE814" s="25"/>
      <c r="AF814" s="25"/>
      <c r="AG814" s="9"/>
      <c r="AH814" s="29"/>
      <c r="AI814" s="29"/>
      <c r="AM814" s="50"/>
      <c r="AN814" s="51" t="s">
        <v>4014</v>
      </c>
      <c r="AO814" s="55" t="s">
        <v>4015</v>
      </c>
    </row>
    <row r="815" spans="1:41" ht="91.2" x14ac:dyDescent="0.3">
      <c r="A815" s="20">
        <v>811</v>
      </c>
      <c r="B815" s="8" t="s">
        <v>4016</v>
      </c>
      <c r="C815" s="26">
        <v>2024</v>
      </c>
      <c r="D815" s="8"/>
      <c r="E815" s="8" t="s">
        <v>4017</v>
      </c>
      <c r="F815" s="20" t="s">
        <v>54</v>
      </c>
      <c r="G815" s="21" t="s">
        <v>53</v>
      </c>
      <c r="H815" s="21" t="s">
        <v>53</v>
      </c>
      <c r="I815" s="21" t="s">
        <v>53</v>
      </c>
      <c r="J815" s="21" t="s">
        <v>53</v>
      </c>
      <c r="K815" s="21" t="s">
        <v>53</v>
      </c>
      <c r="L815" s="22" t="str">
        <f t="shared" si="60"/>
        <v>INCLUDE</v>
      </c>
      <c r="M815" s="22" t="str">
        <f t="shared" si="61"/>
        <v/>
      </c>
      <c r="N815" s="23" t="s">
        <v>53</v>
      </c>
      <c r="O815" s="23" t="s">
        <v>53</v>
      </c>
      <c r="P815" s="24" t="s">
        <v>53</v>
      </c>
      <c r="Q815" s="24" t="s">
        <v>53</v>
      </c>
      <c r="R815" s="24" t="s">
        <v>53</v>
      </c>
      <c r="S815" s="22" t="str">
        <f t="shared" si="62"/>
        <v>INCLUDE</v>
      </c>
      <c r="T815" s="22" t="str">
        <f t="shared" si="63"/>
        <v/>
      </c>
      <c r="U815" s="25" t="s">
        <v>67</v>
      </c>
      <c r="V815" s="25">
        <v>0</v>
      </c>
      <c r="W815" s="25">
        <v>0</v>
      </c>
      <c r="X815" s="25">
        <v>1</v>
      </c>
      <c r="Y815" s="22" t="str">
        <f t="shared" si="64"/>
        <v>Single</v>
      </c>
      <c r="Z815" s="25" t="s">
        <v>9</v>
      </c>
      <c r="AA815" s="25" t="s">
        <v>57</v>
      </c>
      <c r="AB815" s="25" t="s">
        <v>102</v>
      </c>
      <c r="AC815" s="25" t="s">
        <v>70</v>
      </c>
      <c r="AD815" s="25" t="s">
        <v>89</v>
      </c>
      <c r="AE815" s="25">
        <v>4</v>
      </c>
      <c r="AF815" s="25" t="s">
        <v>90</v>
      </c>
      <c r="AG815" s="9" t="s">
        <v>4018</v>
      </c>
      <c r="AH815" s="29" t="s">
        <v>4019</v>
      </c>
      <c r="AI815" s="29" t="s">
        <v>4020</v>
      </c>
      <c r="AJ815" t="s">
        <v>91</v>
      </c>
      <c r="AK815" t="s">
        <v>4021</v>
      </c>
      <c r="AL815" t="s">
        <v>74</v>
      </c>
      <c r="AM815" s="50"/>
      <c r="AN815" s="51" t="s">
        <v>4022</v>
      </c>
      <c r="AO815" s="55" t="s">
        <v>4023</v>
      </c>
    </row>
    <row r="816" spans="1:41" ht="91.2" x14ac:dyDescent="0.3">
      <c r="A816" s="20">
        <v>812</v>
      </c>
      <c r="B816" s="8" t="s">
        <v>4024</v>
      </c>
      <c r="C816" s="26">
        <v>2024</v>
      </c>
      <c r="D816" s="8"/>
      <c r="E816" s="8" t="s">
        <v>4025</v>
      </c>
      <c r="F816" s="20" t="s">
        <v>54</v>
      </c>
      <c r="G816" s="21" t="s">
        <v>53</v>
      </c>
      <c r="H816" s="21" t="s">
        <v>53</v>
      </c>
      <c r="I816" s="21" t="s">
        <v>53</v>
      </c>
      <c r="J816" s="21" t="s">
        <v>53</v>
      </c>
      <c r="K816" s="21" t="s">
        <v>53</v>
      </c>
      <c r="L816" s="22" t="str">
        <f t="shared" si="60"/>
        <v>INCLUDE</v>
      </c>
      <c r="M816" s="22" t="str">
        <f t="shared" si="61"/>
        <v/>
      </c>
      <c r="N816" s="23" t="s">
        <v>53</v>
      </c>
      <c r="O816" s="23" t="s">
        <v>53</v>
      </c>
      <c r="P816" s="24" t="s">
        <v>53</v>
      </c>
      <c r="Q816" s="24" t="s">
        <v>53</v>
      </c>
      <c r="R816" s="24" t="s">
        <v>53</v>
      </c>
      <c r="S816" s="22" t="str">
        <f t="shared" si="62"/>
        <v>INCLUDE</v>
      </c>
      <c r="T816" s="22" t="str">
        <f t="shared" si="63"/>
        <v/>
      </c>
      <c r="U816" s="25" t="s">
        <v>67</v>
      </c>
      <c r="V816" s="25">
        <v>0</v>
      </c>
      <c r="W816" s="25">
        <v>1</v>
      </c>
      <c r="X816" s="25">
        <v>0</v>
      </c>
      <c r="Y816" s="22" t="str">
        <f t="shared" si="64"/>
        <v>Single</v>
      </c>
      <c r="Z816" s="25" t="s">
        <v>9</v>
      </c>
      <c r="AA816" s="25" t="s">
        <v>57</v>
      </c>
      <c r="AB816" s="25" t="s">
        <v>103</v>
      </c>
      <c r="AC816" s="25" t="s">
        <v>70</v>
      </c>
      <c r="AD816" s="25" t="s">
        <v>89</v>
      </c>
      <c r="AE816" s="25">
        <v>4</v>
      </c>
      <c r="AF816" s="25" t="s">
        <v>90</v>
      </c>
      <c r="AG816" s="9" t="s">
        <v>4026</v>
      </c>
      <c r="AH816" s="29" t="s">
        <v>4027</v>
      </c>
      <c r="AI816" s="29" t="s">
        <v>4028</v>
      </c>
      <c r="AJ816" t="s">
        <v>91</v>
      </c>
      <c r="AK816" t="s">
        <v>4029</v>
      </c>
      <c r="AL816" t="s">
        <v>74</v>
      </c>
      <c r="AM816" s="50"/>
      <c r="AN816" s="51" t="s">
        <v>4030</v>
      </c>
      <c r="AO816" s="55" t="s">
        <v>4031</v>
      </c>
    </row>
    <row r="817" spans="1:41" ht="91.2" x14ac:dyDescent="0.3">
      <c r="A817" s="20">
        <v>813</v>
      </c>
      <c r="B817" s="8" t="s">
        <v>4032</v>
      </c>
      <c r="C817" s="26">
        <v>2023</v>
      </c>
      <c r="D817" s="8"/>
      <c r="E817" s="8" t="s">
        <v>4033</v>
      </c>
      <c r="F817" s="20" t="s">
        <v>54</v>
      </c>
      <c r="G817" s="21" t="s">
        <v>53</v>
      </c>
      <c r="H817" s="21" t="s">
        <v>53</v>
      </c>
      <c r="I817" s="21" t="s">
        <v>53</v>
      </c>
      <c r="J817" s="21" t="s">
        <v>53</v>
      </c>
      <c r="K817" s="21" t="s">
        <v>53</v>
      </c>
      <c r="L817" s="22" t="str">
        <f t="shared" si="60"/>
        <v>INCLUDE</v>
      </c>
      <c r="M817" s="22" t="str">
        <f t="shared" si="61"/>
        <v/>
      </c>
      <c r="N817" s="23" t="s">
        <v>53</v>
      </c>
      <c r="O817" s="23" t="s">
        <v>53</v>
      </c>
      <c r="P817" s="24" t="s">
        <v>53</v>
      </c>
      <c r="Q817" s="24" t="s">
        <v>53</v>
      </c>
      <c r="R817" s="24" t="s">
        <v>53</v>
      </c>
      <c r="S817" s="22" t="str">
        <f t="shared" si="62"/>
        <v>INCLUDE</v>
      </c>
      <c r="T817" s="22" t="str">
        <f t="shared" si="63"/>
        <v/>
      </c>
      <c r="U817" s="25" t="s">
        <v>67</v>
      </c>
      <c r="V817" s="25">
        <v>0</v>
      </c>
      <c r="W817" s="25">
        <v>1</v>
      </c>
      <c r="X817" s="25">
        <v>0</v>
      </c>
      <c r="Y817" s="22" t="str">
        <f t="shared" si="64"/>
        <v>Single</v>
      </c>
      <c r="Z817" s="25" t="s">
        <v>9</v>
      </c>
      <c r="AA817" s="25" t="s">
        <v>57</v>
      </c>
      <c r="AB817" s="25" t="s">
        <v>103</v>
      </c>
      <c r="AC817" s="25" t="s">
        <v>70</v>
      </c>
      <c r="AD817" s="25" t="s">
        <v>89</v>
      </c>
      <c r="AE817" s="25">
        <v>4</v>
      </c>
      <c r="AF817" s="25" t="s">
        <v>90</v>
      </c>
      <c r="AG817" s="9" t="s">
        <v>4034</v>
      </c>
      <c r="AH817" s="29" t="s">
        <v>4035</v>
      </c>
      <c r="AI817" s="29" t="s">
        <v>4036</v>
      </c>
      <c r="AJ817" t="s">
        <v>82</v>
      </c>
      <c r="AK817" t="s">
        <v>4037</v>
      </c>
      <c r="AL817" t="s">
        <v>63</v>
      </c>
      <c r="AM817" s="50"/>
      <c r="AN817" s="51" t="s">
        <v>4038</v>
      </c>
      <c r="AO817" s="55" t="s">
        <v>4039</v>
      </c>
    </row>
    <row r="818" spans="1:41" ht="34.200000000000003" hidden="1" x14ac:dyDescent="0.3">
      <c r="A818" s="20">
        <v>814</v>
      </c>
      <c r="B818" s="8" t="s">
        <v>4040</v>
      </c>
      <c r="C818" s="26">
        <v>2023</v>
      </c>
      <c r="D818" s="8"/>
      <c r="E818" s="8" t="s">
        <v>4041</v>
      </c>
      <c r="F818" s="20" t="s">
        <v>54</v>
      </c>
      <c r="G818" s="21" t="s">
        <v>64</v>
      </c>
      <c r="H818" s="21" t="s">
        <v>53</v>
      </c>
      <c r="I818" s="21" t="s">
        <v>53</v>
      </c>
      <c r="J818" s="21" t="s">
        <v>53</v>
      </c>
      <c r="K818" s="21" t="s">
        <v>53</v>
      </c>
      <c r="L818" s="22" t="str">
        <f t="shared" si="60"/>
        <v>EXCLUDE</v>
      </c>
      <c r="M818" s="22" t="str">
        <f t="shared" si="61"/>
        <v>Wrong domain (non-AECO)</v>
      </c>
      <c r="N818" s="23"/>
      <c r="O818" s="23"/>
      <c r="P818" s="24"/>
      <c r="Q818" s="24"/>
      <c r="R818" s="24"/>
      <c r="S818" s="22" t="str">
        <f t="shared" si="62"/>
        <v/>
      </c>
      <c r="T818" s="22" t="str">
        <f t="shared" si="63"/>
        <v/>
      </c>
      <c r="U818" s="25"/>
      <c r="V818" s="25"/>
      <c r="W818" s="25"/>
      <c r="X818" s="25"/>
      <c r="Y818" s="22" t="str">
        <f t="shared" si="64"/>
        <v/>
      </c>
      <c r="Z818" s="25"/>
      <c r="AA818" s="25"/>
      <c r="AB818" s="25"/>
      <c r="AC818" s="25"/>
      <c r="AD818" s="25"/>
      <c r="AE818" s="25"/>
      <c r="AF818" s="25"/>
      <c r="AG818" s="9"/>
      <c r="AH818" s="29"/>
      <c r="AI818" s="29"/>
      <c r="AM818" s="50"/>
      <c r="AN818" s="51" t="s">
        <v>4042</v>
      </c>
      <c r="AO818" s="55" t="s">
        <v>4043</v>
      </c>
    </row>
    <row r="819" spans="1:41" ht="57" hidden="1" x14ac:dyDescent="0.3">
      <c r="A819" s="20">
        <v>815</v>
      </c>
      <c r="B819" s="8" t="s">
        <v>4044</v>
      </c>
      <c r="C819" s="26">
        <v>2025</v>
      </c>
      <c r="D819" s="8"/>
      <c r="E819" s="8" t="s">
        <v>4045</v>
      </c>
      <c r="F819" s="20" t="s">
        <v>54</v>
      </c>
      <c r="G819" s="21" t="s">
        <v>64</v>
      </c>
      <c r="H819" s="21" t="s">
        <v>53</v>
      </c>
      <c r="I819" s="21" t="s">
        <v>53</v>
      </c>
      <c r="J819" s="21" t="s">
        <v>53</v>
      </c>
      <c r="K819" s="21" t="s">
        <v>53</v>
      </c>
      <c r="L819" s="22" t="str">
        <f t="shared" si="60"/>
        <v>EXCLUDE</v>
      </c>
      <c r="M819" s="22" t="str">
        <f t="shared" si="61"/>
        <v>Wrong domain (non-AECO)</v>
      </c>
      <c r="N819" s="23"/>
      <c r="O819" s="23"/>
      <c r="P819" s="24"/>
      <c r="Q819" s="24"/>
      <c r="R819" s="24"/>
      <c r="S819" s="22" t="str">
        <f t="shared" si="62"/>
        <v/>
      </c>
      <c r="T819" s="22" t="str">
        <f t="shared" si="63"/>
        <v/>
      </c>
      <c r="U819" s="25"/>
      <c r="V819" s="25"/>
      <c r="W819" s="25"/>
      <c r="X819" s="25"/>
      <c r="Y819" s="22" t="str">
        <f t="shared" si="64"/>
        <v/>
      </c>
      <c r="Z819" s="25"/>
      <c r="AA819" s="25"/>
      <c r="AB819" s="25"/>
      <c r="AC819" s="25"/>
      <c r="AD819" s="25"/>
      <c r="AE819" s="25"/>
      <c r="AF819" s="25"/>
      <c r="AG819" s="9"/>
      <c r="AH819" s="29"/>
      <c r="AI819" s="29"/>
      <c r="AM819" s="50"/>
      <c r="AN819" s="51" t="s">
        <v>4046</v>
      </c>
      <c r="AO819" s="55" t="s">
        <v>4047</v>
      </c>
    </row>
    <row r="820" spans="1:41" ht="45.6" hidden="1" x14ac:dyDescent="0.3">
      <c r="A820" s="20">
        <v>816</v>
      </c>
      <c r="B820" s="8" t="s">
        <v>4048</v>
      </c>
      <c r="C820" s="26">
        <v>2025</v>
      </c>
      <c r="D820" s="8"/>
      <c r="E820" s="8" t="s">
        <v>4049</v>
      </c>
      <c r="F820" s="20" t="s">
        <v>54</v>
      </c>
      <c r="G820" s="21" t="s">
        <v>53</v>
      </c>
      <c r="H820" s="21" t="s">
        <v>64</v>
      </c>
      <c r="I820" s="21" t="s">
        <v>53</v>
      </c>
      <c r="J820" s="21" t="s">
        <v>53</v>
      </c>
      <c r="K820" s="21" t="s">
        <v>53</v>
      </c>
      <c r="L820" s="22" t="str">
        <f t="shared" si="60"/>
        <v>EXCLUDE</v>
      </c>
      <c r="M820" s="22" t="str">
        <f t="shared" si="61"/>
        <v>Digital Twin not core / buzzword</v>
      </c>
      <c r="N820" s="23"/>
      <c r="O820" s="23"/>
      <c r="P820" s="24"/>
      <c r="Q820" s="24"/>
      <c r="R820" s="24"/>
      <c r="S820" s="22" t="str">
        <f t="shared" si="62"/>
        <v/>
      </c>
      <c r="T820" s="22" t="str">
        <f t="shared" si="63"/>
        <v/>
      </c>
      <c r="U820" s="25"/>
      <c r="V820" s="25"/>
      <c r="W820" s="25"/>
      <c r="X820" s="25"/>
      <c r="Y820" s="22" t="str">
        <f t="shared" si="64"/>
        <v/>
      </c>
      <c r="Z820" s="25"/>
      <c r="AA820" s="25"/>
      <c r="AB820" s="25"/>
      <c r="AC820" s="25"/>
      <c r="AD820" s="25"/>
      <c r="AE820" s="25"/>
      <c r="AF820" s="25"/>
      <c r="AG820" s="9"/>
      <c r="AH820" s="29"/>
      <c r="AI820" s="29"/>
      <c r="AM820" s="50"/>
      <c r="AN820" s="51" t="s">
        <v>4050</v>
      </c>
      <c r="AO820" s="55" t="s">
        <v>4051</v>
      </c>
    </row>
    <row r="821" spans="1:41" ht="79.8" hidden="1" x14ac:dyDescent="0.3">
      <c r="A821" s="20">
        <v>817</v>
      </c>
      <c r="B821" s="8" t="s">
        <v>4052</v>
      </c>
      <c r="C821" s="26">
        <v>2024</v>
      </c>
      <c r="D821" s="8"/>
      <c r="E821" s="8" t="s">
        <v>4053</v>
      </c>
      <c r="F821" s="20" t="s">
        <v>54</v>
      </c>
      <c r="G821" s="21" t="s">
        <v>64</v>
      </c>
      <c r="H821" s="21" t="s">
        <v>53</v>
      </c>
      <c r="I821" s="21" t="s">
        <v>53</v>
      </c>
      <c r="J821" s="21" t="s">
        <v>53</v>
      </c>
      <c r="K821" s="21" t="s">
        <v>53</v>
      </c>
      <c r="L821" s="22" t="str">
        <f t="shared" si="60"/>
        <v>EXCLUDE</v>
      </c>
      <c r="M821" s="22" t="str">
        <f t="shared" si="61"/>
        <v>Wrong domain (non-AECO)</v>
      </c>
      <c r="N821" s="23"/>
      <c r="O821" s="23"/>
      <c r="P821" s="24"/>
      <c r="Q821" s="24"/>
      <c r="R821" s="24"/>
      <c r="S821" s="22" t="str">
        <f t="shared" si="62"/>
        <v/>
      </c>
      <c r="T821" s="22" t="str">
        <f t="shared" si="63"/>
        <v/>
      </c>
      <c r="U821" s="25"/>
      <c r="V821" s="25"/>
      <c r="W821" s="25"/>
      <c r="X821" s="25"/>
      <c r="Y821" s="22" t="str">
        <f t="shared" si="64"/>
        <v/>
      </c>
      <c r="Z821" s="25"/>
      <c r="AA821" s="25"/>
      <c r="AB821" s="25"/>
      <c r="AC821" s="25"/>
      <c r="AD821" s="25"/>
      <c r="AE821" s="25"/>
      <c r="AF821" s="25"/>
      <c r="AG821" s="9"/>
      <c r="AH821" s="29"/>
      <c r="AI821" s="29"/>
      <c r="AM821" s="50"/>
      <c r="AN821" s="51" t="s">
        <v>4054</v>
      </c>
      <c r="AO821" s="55" t="s">
        <v>4055</v>
      </c>
    </row>
    <row r="822" spans="1:41" ht="79.8" hidden="1" x14ac:dyDescent="0.3">
      <c r="A822" s="20">
        <v>818</v>
      </c>
      <c r="B822" s="8" t="s">
        <v>4056</v>
      </c>
      <c r="C822" s="26">
        <v>2024</v>
      </c>
      <c r="D822" s="8"/>
      <c r="E822" s="8" t="s">
        <v>4057</v>
      </c>
      <c r="F822" s="20" t="s">
        <v>54</v>
      </c>
      <c r="G822" s="21" t="s">
        <v>64</v>
      </c>
      <c r="H822" s="21" t="s">
        <v>53</v>
      </c>
      <c r="I822" s="21" t="s">
        <v>53</v>
      </c>
      <c r="J822" s="21" t="s">
        <v>53</v>
      </c>
      <c r="K822" s="21" t="s">
        <v>53</v>
      </c>
      <c r="L822" s="22" t="str">
        <f t="shared" si="60"/>
        <v>EXCLUDE</v>
      </c>
      <c r="M822" s="22" t="str">
        <f t="shared" si="61"/>
        <v>Wrong domain (non-AECO)</v>
      </c>
      <c r="N822" s="23"/>
      <c r="O822" s="23"/>
      <c r="P822" s="24"/>
      <c r="Q822" s="24"/>
      <c r="R822" s="24"/>
      <c r="S822" s="22" t="str">
        <f t="shared" si="62"/>
        <v/>
      </c>
      <c r="T822" s="22" t="str">
        <f t="shared" si="63"/>
        <v/>
      </c>
      <c r="U822" s="25"/>
      <c r="V822" s="25"/>
      <c r="W822" s="25"/>
      <c r="X822" s="25"/>
      <c r="Y822" s="22" t="str">
        <f t="shared" si="64"/>
        <v/>
      </c>
      <c r="Z822" s="25"/>
      <c r="AA822" s="25"/>
      <c r="AB822" s="25"/>
      <c r="AC822" s="25"/>
      <c r="AD822" s="25"/>
      <c r="AE822" s="25"/>
      <c r="AF822" s="25"/>
      <c r="AG822" s="9"/>
      <c r="AH822" s="29"/>
      <c r="AI822" s="29"/>
      <c r="AM822" s="50"/>
      <c r="AN822" s="51" t="s">
        <v>4058</v>
      </c>
      <c r="AO822" s="55" t="s">
        <v>4059</v>
      </c>
    </row>
    <row r="823" spans="1:41" ht="34.200000000000003" hidden="1" x14ac:dyDescent="0.3">
      <c r="A823" s="20">
        <v>819</v>
      </c>
      <c r="B823" s="8" t="s">
        <v>4060</v>
      </c>
      <c r="C823" s="26">
        <v>2023</v>
      </c>
      <c r="D823" s="8"/>
      <c r="E823" s="8" t="s">
        <v>4061</v>
      </c>
      <c r="F823" s="20" t="s">
        <v>54</v>
      </c>
      <c r="G823" s="21" t="s">
        <v>64</v>
      </c>
      <c r="H823" s="21" t="s">
        <v>53</v>
      </c>
      <c r="I823" s="21" t="s">
        <v>53</v>
      </c>
      <c r="J823" s="21" t="s">
        <v>53</v>
      </c>
      <c r="K823" s="21" t="s">
        <v>53</v>
      </c>
      <c r="L823" s="22" t="str">
        <f t="shared" si="60"/>
        <v>EXCLUDE</v>
      </c>
      <c r="M823" s="22" t="str">
        <f t="shared" si="61"/>
        <v>Wrong domain (non-AECO)</v>
      </c>
      <c r="N823" s="23"/>
      <c r="O823" s="23"/>
      <c r="P823" s="24"/>
      <c r="Q823" s="24"/>
      <c r="R823" s="24"/>
      <c r="S823" s="22" t="str">
        <f t="shared" si="62"/>
        <v/>
      </c>
      <c r="T823" s="22" t="str">
        <f t="shared" si="63"/>
        <v/>
      </c>
      <c r="U823" s="25"/>
      <c r="V823" s="25"/>
      <c r="W823" s="25"/>
      <c r="X823" s="25"/>
      <c r="Y823" s="22" t="str">
        <f t="shared" si="64"/>
        <v/>
      </c>
      <c r="Z823" s="25"/>
      <c r="AA823" s="25"/>
      <c r="AB823" s="25"/>
      <c r="AC823" s="25"/>
      <c r="AD823" s="25"/>
      <c r="AE823" s="25"/>
      <c r="AF823" s="25"/>
      <c r="AG823" s="9"/>
      <c r="AH823" s="29"/>
      <c r="AI823" s="29"/>
      <c r="AM823" s="50"/>
      <c r="AN823" s="51" t="s">
        <v>4062</v>
      </c>
      <c r="AO823" s="55" t="s">
        <v>4063</v>
      </c>
    </row>
    <row r="824" spans="1:41" ht="57" hidden="1" x14ac:dyDescent="0.3">
      <c r="A824" s="20">
        <v>820</v>
      </c>
      <c r="B824" s="8" t="s">
        <v>3322</v>
      </c>
      <c r="C824" s="26">
        <v>2022</v>
      </c>
      <c r="D824" s="8"/>
      <c r="E824" s="8" t="s">
        <v>4064</v>
      </c>
      <c r="F824" s="20" t="s">
        <v>54</v>
      </c>
      <c r="G824" s="21" t="s">
        <v>64</v>
      </c>
      <c r="H824" s="21" t="s">
        <v>53</v>
      </c>
      <c r="I824" s="21" t="s">
        <v>53</v>
      </c>
      <c r="J824" s="21" t="s">
        <v>53</v>
      </c>
      <c r="K824" s="21" t="s">
        <v>53</v>
      </c>
      <c r="L824" s="22" t="str">
        <f t="shared" si="60"/>
        <v>EXCLUDE</v>
      </c>
      <c r="M824" s="22" t="str">
        <f t="shared" si="61"/>
        <v>Wrong domain (non-AECO)</v>
      </c>
      <c r="N824" s="23"/>
      <c r="O824" s="23"/>
      <c r="P824" s="24"/>
      <c r="Q824" s="24"/>
      <c r="R824" s="24"/>
      <c r="S824" s="22" t="str">
        <f t="shared" si="62"/>
        <v/>
      </c>
      <c r="T824" s="22" t="str">
        <f t="shared" si="63"/>
        <v/>
      </c>
      <c r="U824" s="25"/>
      <c r="V824" s="25"/>
      <c r="W824" s="25"/>
      <c r="X824" s="25"/>
      <c r="Y824" s="22" t="str">
        <f t="shared" si="64"/>
        <v/>
      </c>
      <c r="Z824" s="25"/>
      <c r="AA824" s="25"/>
      <c r="AB824" s="25"/>
      <c r="AC824" s="25"/>
      <c r="AD824" s="25"/>
      <c r="AE824" s="25"/>
      <c r="AF824" s="25"/>
      <c r="AG824" s="9"/>
      <c r="AH824" s="29"/>
      <c r="AI824" s="29"/>
      <c r="AM824" s="50"/>
      <c r="AN824" s="51" t="s">
        <v>4065</v>
      </c>
      <c r="AO824" s="55" t="s">
        <v>4066</v>
      </c>
    </row>
    <row r="825" spans="1:41" ht="79.8" hidden="1" x14ac:dyDescent="0.3">
      <c r="A825" s="20">
        <v>821</v>
      </c>
      <c r="B825" s="8" t="s">
        <v>4067</v>
      </c>
      <c r="C825" s="26">
        <v>2025</v>
      </c>
      <c r="D825" s="8"/>
      <c r="E825" s="8" t="s">
        <v>4068</v>
      </c>
      <c r="F825" s="20" t="s">
        <v>54</v>
      </c>
      <c r="G825" s="21" t="s">
        <v>53</v>
      </c>
      <c r="H825" s="21" t="s">
        <v>64</v>
      </c>
      <c r="I825" s="21" t="s">
        <v>53</v>
      </c>
      <c r="J825" s="21" t="s">
        <v>53</v>
      </c>
      <c r="K825" s="21" t="s">
        <v>53</v>
      </c>
      <c r="L825" s="22" t="str">
        <f t="shared" si="60"/>
        <v>EXCLUDE</v>
      </c>
      <c r="M825" s="22" t="str">
        <f t="shared" si="61"/>
        <v>Digital Twin not core / buzzword</v>
      </c>
      <c r="N825" s="23"/>
      <c r="O825" s="23"/>
      <c r="P825" s="24"/>
      <c r="Q825" s="24"/>
      <c r="R825" s="24"/>
      <c r="S825" s="22" t="str">
        <f t="shared" si="62"/>
        <v/>
      </c>
      <c r="T825" s="22" t="str">
        <f t="shared" si="63"/>
        <v/>
      </c>
      <c r="U825" s="25"/>
      <c r="V825" s="25"/>
      <c r="W825" s="25"/>
      <c r="X825" s="25"/>
      <c r="Y825" s="22" t="str">
        <f t="shared" si="64"/>
        <v/>
      </c>
      <c r="Z825" s="25"/>
      <c r="AA825" s="25"/>
      <c r="AB825" s="25"/>
      <c r="AC825" s="25"/>
      <c r="AD825" s="25"/>
      <c r="AE825" s="25"/>
      <c r="AF825" s="25"/>
      <c r="AG825" s="9"/>
      <c r="AH825" s="29"/>
      <c r="AI825" s="29"/>
      <c r="AM825" s="50"/>
      <c r="AN825" s="51" t="s">
        <v>4069</v>
      </c>
      <c r="AO825" s="55" t="s">
        <v>4070</v>
      </c>
    </row>
    <row r="826" spans="1:41" ht="45.6" hidden="1" x14ac:dyDescent="0.3">
      <c r="A826" s="20">
        <v>822</v>
      </c>
      <c r="B826" s="8" t="s">
        <v>4071</v>
      </c>
      <c r="C826" s="26">
        <v>2024</v>
      </c>
      <c r="D826" s="8"/>
      <c r="E826" s="8" t="s">
        <v>4072</v>
      </c>
      <c r="F826" s="20" t="s">
        <v>54</v>
      </c>
      <c r="G826" s="21" t="s">
        <v>64</v>
      </c>
      <c r="H826" s="21" t="s">
        <v>53</v>
      </c>
      <c r="I826" s="21" t="s">
        <v>53</v>
      </c>
      <c r="J826" s="21" t="s">
        <v>53</v>
      </c>
      <c r="K826" s="21" t="s">
        <v>53</v>
      </c>
      <c r="L826" s="22" t="str">
        <f t="shared" si="60"/>
        <v>EXCLUDE</v>
      </c>
      <c r="M826" s="22" t="str">
        <f t="shared" si="61"/>
        <v>Wrong domain (non-AECO)</v>
      </c>
      <c r="N826" s="23"/>
      <c r="O826" s="23"/>
      <c r="P826" s="24"/>
      <c r="Q826" s="24"/>
      <c r="R826" s="24"/>
      <c r="S826" s="22" t="str">
        <f t="shared" si="62"/>
        <v/>
      </c>
      <c r="T826" s="22" t="str">
        <f t="shared" si="63"/>
        <v/>
      </c>
      <c r="U826" s="25"/>
      <c r="V826" s="25"/>
      <c r="W826" s="25"/>
      <c r="X826" s="25"/>
      <c r="Y826" s="22" t="str">
        <f t="shared" si="64"/>
        <v/>
      </c>
      <c r="Z826" s="25"/>
      <c r="AA826" s="25"/>
      <c r="AB826" s="25"/>
      <c r="AC826" s="25"/>
      <c r="AD826" s="25"/>
      <c r="AE826" s="25"/>
      <c r="AF826" s="25"/>
      <c r="AG826" s="9"/>
      <c r="AH826" s="29"/>
      <c r="AI826" s="29"/>
      <c r="AM826" s="50"/>
      <c r="AN826" s="51" t="s">
        <v>4073</v>
      </c>
      <c r="AO826" s="55" t="s">
        <v>4074</v>
      </c>
    </row>
    <row r="827" spans="1:41" ht="57" hidden="1" x14ac:dyDescent="0.3">
      <c r="A827" s="20">
        <v>823</v>
      </c>
      <c r="B827" s="8" t="s">
        <v>4075</v>
      </c>
      <c r="C827" s="26">
        <v>2024</v>
      </c>
      <c r="D827" s="8"/>
      <c r="E827" s="8" t="s">
        <v>4076</v>
      </c>
      <c r="F827" s="20" t="s">
        <v>54</v>
      </c>
      <c r="G827" s="21" t="s">
        <v>64</v>
      </c>
      <c r="H827" s="21" t="s">
        <v>53</v>
      </c>
      <c r="I827" s="21" t="s">
        <v>53</v>
      </c>
      <c r="J827" s="21" t="s">
        <v>53</v>
      </c>
      <c r="K827" s="21" t="s">
        <v>53</v>
      </c>
      <c r="L827" s="22" t="str">
        <f t="shared" si="60"/>
        <v>EXCLUDE</v>
      </c>
      <c r="M827" s="22" t="str">
        <f t="shared" si="61"/>
        <v>Wrong domain (non-AECO)</v>
      </c>
      <c r="N827" s="23"/>
      <c r="O827" s="23"/>
      <c r="P827" s="24"/>
      <c r="Q827" s="24"/>
      <c r="R827" s="24"/>
      <c r="S827" s="22" t="str">
        <f t="shared" si="62"/>
        <v/>
      </c>
      <c r="T827" s="22" t="str">
        <f t="shared" si="63"/>
        <v/>
      </c>
      <c r="U827" s="25"/>
      <c r="V827" s="25"/>
      <c r="W827" s="25"/>
      <c r="X827" s="25"/>
      <c r="Y827" s="22" t="str">
        <f t="shared" si="64"/>
        <v/>
      </c>
      <c r="Z827" s="25"/>
      <c r="AA827" s="25"/>
      <c r="AB827" s="25"/>
      <c r="AC827" s="25"/>
      <c r="AD827" s="25"/>
      <c r="AE827" s="25"/>
      <c r="AF827" s="25"/>
      <c r="AG827" s="9"/>
      <c r="AH827" s="29"/>
      <c r="AI827" s="29"/>
      <c r="AM827" s="50"/>
      <c r="AN827" s="51" t="s">
        <v>4077</v>
      </c>
      <c r="AO827" s="55" t="s">
        <v>4078</v>
      </c>
    </row>
    <row r="828" spans="1:41" ht="68.400000000000006" hidden="1" x14ac:dyDescent="0.3">
      <c r="A828" s="20">
        <v>824</v>
      </c>
      <c r="B828" s="8" t="s">
        <v>4079</v>
      </c>
      <c r="C828" s="26">
        <v>2023</v>
      </c>
      <c r="D828" s="8"/>
      <c r="E828" s="8" t="s">
        <v>4080</v>
      </c>
      <c r="F828" s="20" t="s">
        <v>54</v>
      </c>
      <c r="G828" s="21" t="s">
        <v>53</v>
      </c>
      <c r="H828" s="21" t="s">
        <v>53</v>
      </c>
      <c r="I828" s="21" t="s">
        <v>64</v>
      </c>
      <c r="J828" s="21" t="s">
        <v>53</v>
      </c>
      <c r="K828" s="21" t="s">
        <v>53</v>
      </c>
      <c r="L828" s="22" t="str">
        <f t="shared" si="60"/>
        <v>EXCLUDE</v>
      </c>
      <c r="M828" s="22" t="str">
        <f t="shared" si="61"/>
        <v>No Design for Safety/Quality/PtD</v>
      </c>
      <c r="N828" s="23"/>
      <c r="O828" s="23"/>
      <c r="P828" s="24"/>
      <c r="Q828" s="24"/>
      <c r="R828" s="24"/>
      <c r="S828" s="22" t="str">
        <f t="shared" si="62"/>
        <v/>
      </c>
      <c r="T828" s="22" t="str">
        <f t="shared" si="63"/>
        <v/>
      </c>
      <c r="U828" s="25"/>
      <c r="V828" s="25"/>
      <c r="W828" s="25"/>
      <c r="X828" s="25"/>
      <c r="Y828" s="22" t="str">
        <f t="shared" si="64"/>
        <v/>
      </c>
      <c r="Z828" s="25"/>
      <c r="AA828" s="25"/>
      <c r="AB828" s="25"/>
      <c r="AC828" s="25"/>
      <c r="AD828" s="25"/>
      <c r="AE828" s="25"/>
      <c r="AF828" s="25"/>
      <c r="AG828" s="9"/>
      <c r="AH828" s="29"/>
      <c r="AI828" s="29"/>
      <c r="AM828" s="50"/>
      <c r="AN828" s="51" t="s">
        <v>4081</v>
      </c>
      <c r="AO828" s="55" t="s">
        <v>4082</v>
      </c>
    </row>
    <row r="829" spans="1:41" ht="57" hidden="1" x14ac:dyDescent="0.3">
      <c r="A829" s="20">
        <v>825</v>
      </c>
      <c r="B829" s="8" t="s">
        <v>4083</v>
      </c>
      <c r="C829" s="26">
        <v>2024</v>
      </c>
      <c r="D829" s="8"/>
      <c r="E829" s="8" t="s">
        <v>4084</v>
      </c>
      <c r="F829" s="20" t="s">
        <v>54</v>
      </c>
      <c r="G829" s="21" t="s">
        <v>53</v>
      </c>
      <c r="H829" s="21" t="s">
        <v>53</v>
      </c>
      <c r="I829" s="21" t="s">
        <v>53</v>
      </c>
      <c r="J829" s="21" t="s">
        <v>53</v>
      </c>
      <c r="K829" s="21" t="s">
        <v>53</v>
      </c>
      <c r="L829" s="22" t="str">
        <f t="shared" si="60"/>
        <v>INCLUDE</v>
      </c>
      <c r="M829" s="22" t="str">
        <f t="shared" si="61"/>
        <v/>
      </c>
      <c r="N829" s="23" t="s">
        <v>64</v>
      </c>
      <c r="O829" s="23" t="s">
        <v>64</v>
      </c>
      <c r="P829" s="24"/>
      <c r="Q829" s="24"/>
      <c r="R829" s="24"/>
      <c r="S829" s="22" t="str">
        <f t="shared" si="62"/>
        <v/>
      </c>
      <c r="T829" s="22" t="str">
        <f t="shared" si="63"/>
        <v/>
      </c>
      <c r="U829" s="25"/>
      <c r="V829" s="25"/>
      <c r="W829" s="25"/>
      <c r="X829" s="25"/>
      <c r="Y829" s="22" t="str">
        <f t="shared" si="64"/>
        <v/>
      </c>
      <c r="Z829" s="25"/>
      <c r="AA829" s="25"/>
      <c r="AB829" s="25"/>
      <c r="AC829" s="25"/>
      <c r="AD829" s="25"/>
      <c r="AE829" s="25"/>
      <c r="AF829" s="25"/>
      <c r="AG829" s="9"/>
      <c r="AH829" s="29"/>
      <c r="AI829" s="29"/>
      <c r="AM829" s="50"/>
      <c r="AN829" s="51" t="s">
        <v>4085</v>
      </c>
      <c r="AO829" s="55" t="s">
        <v>4086</v>
      </c>
    </row>
    <row r="830" spans="1:41" ht="91.2" x14ac:dyDescent="0.3">
      <c r="A830" s="20">
        <v>826</v>
      </c>
      <c r="B830" s="8" t="s">
        <v>4087</v>
      </c>
      <c r="C830" s="26">
        <v>2023</v>
      </c>
      <c r="D830" s="8"/>
      <c r="E830" s="8" t="s">
        <v>4088</v>
      </c>
      <c r="F830" s="20" t="s">
        <v>54</v>
      </c>
      <c r="G830" s="21" t="s">
        <v>53</v>
      </c>
      <c r="H830" s="21" t="s">
        <v>53</v>
      </c>
      <c r="I830" s="21" t="s">
        <v>53</v>
      </c>
      <c r="J830" s="21" t="s">
        <v>53</v>
      </c>
      <c r="K830" s="21" t="s">
        <v>53</v>
      </c>
      <c r="L830" s="22" t="str">
        <f t="shared" si="60"/>
        <v>INCLUDE</v>
      </c>
      <c r="M830" s="22" t="str">
        <f t="shared" si="61"/>
        <v/>
      </c>
      <c r="N830" s="23" t="s">
        <v>53</v>
      </c>
      <c r="O830" s="23" t="s">
        <v>53</v>
      </c>
      <c r="P830" s="24" t="s">
        <v>53</v>
      </c>
      <c r="Q830" s="24" t="s">
        <v>53</v>
      </c>
      <c r="R830" s="24" t="s">
        <v>53</v>
      </c>
      <c r="S830" s="22" t="str">
        <f t="shared" si="62"/>
        <v>INCLUDE</v>
      </c>
      <c r="T830" s="22" t="str">
        <f t="shared" si="63"/>
        <v/>
      </c>
      <c r="U830" s="25" t="s">
        <v>67</v>
      </c>
      <c r="V830" s="25">
        <v>0</v>
      </c>
      <c r="W830" s="25">
        <v>0</v>
      </c>
      <c r="X830" s="25">
        <v>1</v>
      </c>
      <c r="Y830" s="22" t="str">
        <f t="shared" si="64"/>
        <v>Single</v>
      </c>
      <c r="Z830" s="25" t="s">
        <v>9</v>
      </c>
      <c r="AA830" s="25" t="s">
        <v>57</v>
      </c>
      <c r="AB830" s="25" t="s">
        <v>100</v>
      </c>
      <c r="AC830" s="25" t="s">
        <v>70</v>
      </c>
      <c r="AD830" s="25" t="s">
        <v>89</v>
      </c>
      <c r="AE830" s="25">
        <v>3</v>
      </c>
      <c r="AF830" s="25" t="s">
        <v>90</v>
      </c>
      <c r="AG830" s="9" t="s">
        <v>4089</v>
      </c>
      <c r="AH830" s="29" t="s">
        <v>4090</v>
      </c>
      <c r="AI830" s="29" t="s">
        <v>4091</v>
      </c>
      <c r="AJ830" t="s">
        <v>91</v>
      </c>
      <c r="AK830" t="s">
        <v>4092</v>
      </c>
      <c r="AL830" t="s">
        <v>74</v>
      </c>
      <c r="AM830" s="50"/>
      <c r="AN830" s="51" t="s">
        <v>4093</v>
      </c>
      <c r="AO830" s="55" t="s">
        <v>4094</v>
      </c>
    </row>
    <row r="831" spans="1:41" ht="86.4" x14ac:dyDescent="0.3">
      <c r="A831" s="20">
        <v>827</v>
      </c>
      <c r="B831" s="8" t="s">
        <v>4095</v>
      </c>
      <c r="C831" s="26">
        <v>2022</v>
      </c>
      <c r="D831" s="8"/>
      <c r="E831" s="8" t="s">
        <v>4096</v>
      </c>
      <c r="F831" s="20" t="s">
        <v>54</v>
      </c>
      <c r="G831" s="21" t="s">
        <v>53</v>
      </c>
      <c r="H831" s="21" t="s">
        <v>53</v>
      </c>
      <c r="I831" s="21" t="s">
        <v>53</v>
      </c>
      <c r="J831" s="21" t="s">
        <v>53</v>
      </c>
      <c r="K831" s="21" t="s">
        <v>53</v>
      </c>
      <c r="L831" s="22" t="str">
        <f t="shared" si="60"/>
        <v>INCLUDE</v>
      </c>
      <c r="M831" s="22" t="str">
        <f t="shared" si="61"/>
        <v/>
      </c>
      <c r="N831" s="23" t="s">
        <v>53</v>
      </c>
      <c r="O831" s="23" t="s">
        <v>53</v>
      </c>
      <c r="P831" s="24" t="s">
        <v>53</v>
      </c>
      <c r="Q831" s="24" t="s">
        <v>53</v>
      </c>
      <c r="R831" s="24" t="s">
        <v>53</v>
      </c>
      <c r="S831" s="22" t="str">
        <f t="shared" si="62"/>
        <v>INCLUDE</v>
      </c>
      <c r="T831" s="22" t="str">
        <f t="shared" si="63"/>
        <v/>
      </c>
      <c r="U831" s="25" t="s">
        <v>67</v>
      </c>
      <c r="V831" s="25">
        <v>0</v>
      </c>
      <c r="W831" s="25">
        <v>1</v>
      </c>
      <c r="X831" s="25">
        <v>0</v>
      </c>
      <c r="Y831" s="22" t="str">
        <f t="shared" si="64"/>
        <v>Single</v>
      </c>
      <c r="Z831" s="25" t="s">
        <v>9</v>
      </c>
      <c r="AA831" s="25" t="s">
        <v>57</v>
      </c>
      <c r="AB831" s="25" t="s">
        <v>58</v>
      </c>
      <c r="AC831" s="25" t="s">
        <v>70</v>
      </c>
      <c r="AD831" s="25" t="s">
        <v>89</v>
      </c>
      <c r="AE831" s="25">
        <v>4</v>
      </c>
      <c r="AF831" s="25" t="s">
        <v>90</v>
      </c>
      <c r="AG831" s="9" t="s">
        <v>4097</v>
      </c>
      <c r="AH831" s="29" t="s">
        <v>4098</v>
      </c>
      <c r="AI831" s="29" t="s">
        <v>4099</v>
      </c>
      <c r="AJ831" t="s">
        <v>91</v>
      </c>
      <c r="AK831" t="s">
        <v>4100</v>
      </c>
      <c r="AL831" t="s">
        <v>63</v>
      </c>
      <c r="AM831" s="50"/>
      <c r="AN831" s="51" t="s">
        <v>4101</v>
      </c>
      <c r="AO831" s="55" t="s">
        <v>4102</v>
      </c>
    </row>
    <row r="832" spans="1:41" ht="45.6" hidden="1" x14ac:dyDescent="0.3">
      <c r="A832" s="20">
        <v>828</v>
      </c>
      <c r="B832" s="8" t="s">
        <v>4103</v>
      </c>
      <c r="C832" s="26">
        <v>2025</v>
      </c>
      <c r="D832" s="8"/>
      <c r="E832" s="8" t="s">
        <v>4104</v>
      </c>
      <c r="F832" s="20" t="s">
        <v>54</v>
      </c>
      <c r="G832" s="21" t="s">
        <v>53</v>
      </c>
      <c r="H832" s="21" t="s">
        <v>64</v>
      </c>
      <c r="I832" s="21" t="s">
        <v>53</v>
      </c>
      <c r="J832" s="21" t="s">
        <v>53</v>
      </c>
      <c r="K832" s="21" t="s">
        <v>53</v>
      </c>
      <c r="L832" s="22" t="str">
        <f t="shared" si="60"/>
        <v>EXCLUDE</v>
      </c>
      <c r="M832" s="22" t="str">
        <f t="shared" si="61"/>
        <v>Digital Twin not core / buzzword</v>
      </c>
      <c r="N832" s="23"/>
      <c r="O832" s="23"/>
      <c r="P832" s="24"/>
      <c r="Q832" s="24"/>
      <c r="R832" s="24"/>
      <c r="S832" s="22" t="str">
        <f t="shared" si="62"/>
        <v/>
      </c>
      <c r="T832" s="22" t="str">
        <f t="shared" si="63"/>
        <v/>
      </c>
      <c r="U832" s="25"/>
      <c r="V832" s="25"/>
      <c r="W832" s="25"/>
      <c r="X832" s="25"/>
      <c r="Y832" s="22" t="str">
        <f t="shared" si="64"/>
        <v/>
      </c>
      <c r="Z832" s="25"/>
      <c r="AA832" s="25"/>
      <c r="AB832" s="25"/>
      <c r="AC832" s="25"/>
      <c r="AD832" s="25"/>
      <c r="AE832" s="25"/>
      <c r="AF832" s="25"/>
      <c r="AG832" s="9"/>
      <c r="AH832" s="29"/>
      <c r="AI832" s="29"/>
      <c r="AM832" s="50"/>
      <c r="AN832" s="51" t="s">
        <v>4105</v>
      </c>
      <c r="AO832" s="55" t="s">
        <v>4106</v>
      </c>
    </row>
    <row r="833" spans="1:41" ht="68.400000000000006" hidden="1" x14ac:dyDescent="0.3">
      <c r="A833" s="20">
        <v>829</v>
      </c>
      <c r="B833" s="8" t="s">
        <v>4107</v>
      </c>
      <c r="C833" s="26">
        <v>2023</v>
      </c>
      <c r="D833" s="8"/>
      <c r="E833" s="8" t="s">
        <v>4108</v>
      </c>
      <c r="F833" s="20" t="s">
        <v>54</v>
      </c>
      <c r="G833" s="21" t="s">
        <v>53</v>
      </c>
      <c r="H833" s="21" t="s">
        <v>64</v>
      </c>
      <c r="I833" s="21" t="s">
        <v>53</v>
      </c>
      <c r="J833" s="21" t="s">
        <v>53</v>
      </c>
      <c r="K833" s="21" t="s">
        <v>53</v>
      </c>
      <c r="L833" s="22" t="str">
        <f t="shared" si="60"/>
        <v>EXCLUDE</v>
      </c>
      <c r="M833" s="22" t="str">
        <f t="shared" si="61"/>
        <v>Digital Twin not core / buzzword</v>
      </c>
      <c r="N833" s="23"/>
      <c r="O833" s="23"/>
      <c r="P833" s="24"/>
      <c r="Q833" s="24"/>
      <c r="R833" s="24"/>
      <c r="S833" s="22" t="str">
        <f t="shared" si="62"/>
        <v/>
      </c>
      <c r="T833" s="22" t="str">
        <f t="shared" si="63"/>
        <v/>
      </c>
      <c r="U833" s="25"/>
      <c r="V833" s="25"/>
      <c r="W833" s="25"/>
      <c r="X833" s="25"/>
      <c r="Y833" s="22" t="str">
        <f t="shared" si="64"/>
        <v/>
      </c>
      <c r="Z833" s="25"/>
      <c r="AA833" s="25"/>
      <c r="AB833" s="25"/>
      <c r="AC833" s="25"/>
      <c r="AD833" s="25"/>
      <c r="AE833" s="25"/>
      <c r="AF833" s="25"/>
      <c r="AG833" s="9"/>
      <c r="AH833" s="29"/>
      <c r="AI833" s="29"/>
      <c r="AM833" s="50"/>
      <c r="AN833" s="51" t="s">
        <v>4109</v>
      </c>
      <c r="AO833" s="55" t="s">
        <v>4110</v>
      </c>
    </row>
    <row r="834" spans="1:41" ht="45.6" hidden="1" x14ac:dyDescent="0.3">
      <c r="A834" s="20">
        <v>830</v>
      </c>
      <c r="B834" s="8" t="s">
        <v>4111</v>
      </c>
      <c r="C834" s="26">
        <v>2023</v>
      </c>
      <c r="D834" s="8"/>
      <c r="E834" s="8" t="s">
        <v>4112</v>
      </c>
      <c r="F834" s="20" t="s">
        <v>54</v>
      </c>
      <c r="G834" s="21" t="s">
        <v>53</v>
      </c>
      <c r="H834" s="21" t="s">
        <v>53</v>
      </c>
      <c r="I834" s="21" t="s">
        <v>53</v>
      </c>
      <c r="J834" s="21" t="s">
        <v>53</v>
      </c>
      <c r="K834" s="21" t="s">
        <v>53</v>
      </c>
      <c r="L834" s="22" t="str">
        <f t="shared" si="60"/>
        <v>INCLUDE</v>
      </c>
      <c r="M834" s="22" t="str">
        <f t="shared" si="61"/>
        <v/>
      </c>
      <c r="N834" s="23" t="s">
        <v>64</v>
      </c>
      <c r="O834" s="23" t="s">
        <v>64</v>
      </c>
      <c r="P834" s="24"/>
      <c r="Q834" s="24"/>
      <c r="R834" s="24"/>
      <c r="S834" s="22" t="str">
        <f t="shared" si="62"/>
        <v/>
      </c>
      <c r="T834" s="22" t="str">
        <f t="shared" si="63"/>
        <v/>
      </c>
      <c r="U834" s="25"/>
      <c r="V834" s="25"/>
      <c r="W834" s="25"/>
      <c r="X834" s="25"/>
      <c r="Y834" s="22" t="str">
        <f t="shared" si="64"/>
        <v/>
      </c>
      <c r="Z834" s="25"/>
      <c r="AA834" s="25"/>
      <c r="AB834" s="25"/>
      <c r="AC834" s="25"/>
      <c r="AD834" s="25"/>
      <c r="AE834" s="25"/>
      <c r="AF834" s="25"/>
      <c r="AG834" s="9"/>
      <c r="AH834" s="29"/>
      <c r="AI834" s="29"/>
      <c r="AM834" s="50"/>
      <c r="AN834" s="51" t="s">
        <v>4113</v>
      </c>
      <c r="AO834" s="55" t="s">
        <v>4114</v>
      </c>
    </row>
    <row r="835" spans="1:41" ht="57" hidden="1" x14ac:dyDescent="0.3">
      <c r="A835" s="20">
        <v>831</v>
      </c>
      <c r="B835" s="8" t="s">
        <v>1634</v>
      </c>
      <c r="C835" s="26">
        <v>2025</v>
      </c>
      <c r="D835" s="8"/>
      <c r="E835" s="8" t="s">
        <v>4115</v>
      </c>
      <c r="F835" s="20" t="s">
        <v>54</v>
      </c>
      <c r="G835" s="21" t="s">
        <v>64</v>
      </c>
      <c r="H835" s="21" t="s">
        <v>53</v>
      </c>
      <c r="I835" s="21" t="s">
        <v>53</v>
      </c>
      <c r="J835" s="21" t="s">
        <v>53</v>
      </c>
      <c r="K835" s="21" t="s">
        <v>64</v>
      </c>
      <c r="L835" s="22" t="str">
        <f t="shared" si="60"/>
        <v>EXCLUDE</v>
      </c>
      <c r="M835" s="22" t="str">
        <f t="shared" si="61"/>
        <v>Wrong domain (non-AECO)</v>
      </c>
      <c r="N835" s="23"/>
      <c r="O835" s="23"/>
      <c r="P835" s="24"/>
      <c r="Q835" s="24"/>
      <c r="R835" s="24"/>
      <c r="S835" s="22" t="str">
        <f t="shared" si="62"/>
        <v/>
      </c>
      <c r="T835" s="22" t="str">
        <f t="shared" si="63"/>
        <v/>
      </c>
      <c r="U835" s="25"/>
      <c r="V835" s="25"/>
      <c r="W835" s="25"/>
      <c r="X835" s="25"/>
      <c r="Y835" s="22" t="str">
        <f t="shared" si="64"/>
        <v/>
      </c>
      <c r="Z835" s="25"/>
      <c r="AA835" s="25"/>
      <c r="AB835" s="25"/>
      <c r="AC835" s="25"/>
      <c r="AD835" s="25"/>
      <c r="AE835" s="25"/>
      <c r="AF835" s="25"/>
      <c r="AG835" s="9"/>
      <c r="AH835" s="29"/>
      <c r="AI835" s="29"/>
      <c r="AM835" s="50"/>
      <c r="AN835" s="51" t="s">
        <v>4116</v>
      </c>
      <c r="AO835" s="55" t="s">
        <v>4117</v>
      </c>
    </row>
    <row r="836" spans="1:41" ht="91.2" hidden="1" x14ac:dyDescent="0.3">
      <c r="A836" s="20">
        <v>832</v>
      </c>
      <c r="B836" s="8" t="s">
        <v>4118</v>
      </c>
      <c r="C836" s="26">
        <v>2024</v>
      </c>
      <c r="D836" s="8"/>
      <c r="E836" s="8" t="s">
        <v>4119</v>
      </c>
      <c r="F836" s="20" t="s">
        <v>54</v>
      </c>
      <c r="G836" s="21" t="s">
        <v>64</v>
      </c>
      <c r="H836" s="21" t="s">
        <v>53</v>
      </c>
      <c r="I836" s="21" t="s">
        <v>53</v>
      </c>
      <c r="J836" s="21" t="s">
        <v>53</v>
      </c>
      <c r="K836" s="21" t="s">
        <v>53</v>
      </c>
      <c r="L836" s="22" t="str">
        <f t="shared" si="60"/>
        <v>EXCLUDE</v>
      </c>
      <c r="M836" s="22" t="str">
        <f t="shared" si="61"/>
        <v>Wrong domain (non-AECO)</v>
      </c>
      <c r="N836" s="23"/>
      <c r="O836" s="23"/>
      <c r="P836" s="24"/>
      <c r="Q836" s="24"/>
      <c r="R836" s="24"/>
      <c r="S836" s="22" t="str">
        <f t="shared" si="62"/>
        <v/>
      </c>
      <c r="T836" s="22" t="str">
        <f t="shared" si="63"/>
        <v/>
      </c>
      <c r="U836" s="25"/>
      <c r="V836" s="25"/>
      <c r="W836" s="25"/>
      <c r="X836" s="25"/>
      <c r="Y836" s="22" t="str">
        <f t="shared" si="64"/>
        <v/>
      </c>
      <c r="Z836" s="25"/>
      <c r="AA836" s="25"/>
      <c r="AB836" s="25"/>
      <c r="AC836" s="25"/>
      <c r="AD836" s="25"/>
      <c r="AE836" s="25"/>
      <c r="AF836" s="25"/>
      <c r="AG836" s="9"/>
      <c r="AH836" s="29"/>
      <c r="AI836" s="29"/>
      <c r="AM836" s="50"/>
      <c r="AN836" s="51" t="s">
        <v>4120</v>
      </c>
      <c r="AO836" s="55" t="s">
        <v>4121</v>
      </c>
    </row>
    <row r="837" spans="1:41" ht="57" hidden="1" x14ac:dyDescent="0.3">
      <c r="A837" s="20">
        <v>833</v>
      </c>
      <c r="B837" s="8" t="s">
        <v>4122</v>
      </c>
      <c r="C837" s="26">
        <v>2025</v>
      </c>
      <c r="D837" s="8"/>
      <c r="E837" s="8" t="s">
        <v>4123</v>
      </c>
      <c r="F837" s="20" t="s">
        <v>54</v>
      </c>
      <c r="G837" s="21" t="s">
        <v>64</v>
      </c>
      <c r="H837" s="21" t="s">
        <v>53</v>
      </c>
      <c r="I837" s="21" t="s">
        <v>53</v>
      </c>
      <c r="J837" s="21" t="s">
        <v>53</v>
      </c>
      <c r="K837" s="21" t="s">
        <v>53</v>
      </c>
      <c r="L837" s="22" t="str">
        <f t="shared" ref="L837:L900" si="65">IF(COUNTBLANK(G837:K837)=5,"",IF(COUNTIF(G837:K837,"No")&gt;0,"EXCLUDE","INCLUDE"))</f>
        <v>EXCLUDE</v>
      </c>
      <c r="M837" s="22" t="str">
        <f t="shared" ref="M837:M900" si="66">IF(L837&lt;&gt;"EXCLUDE","",IF(G837="No","Wrong domain (non-AECO)",IF(H837="No","Digital Twin not core / buzzword",IF(I837="No","No Design for Safety/Quality/PtD",IF(J837="No","Wrong publication type",IF(K837="No","Non-English",""))))))</f>
        <v>Wrong domain (non-AECO)</v>
      </c>
      <c r="N837" s="23"/>
      <c r="O837" s="23"/>
      <c r="P837" s="24"/>
      <c r="Q837" s="24"/>
      <c r="R837" s="24"/>
      <c r="S837" s="22" t="str">
        <f t="shared" ref="S837:S900" si="67">IF(N837&lt;&gt;"Yes","",IF(COUNTBLANK(P837:R837)=3,"",IF(COUNTIF(P837:R837,"No")&gt;0,"EXCLUDE","INCLUDE")))</f>
        <v/>
      </c>
      <c r="T837" s="22" t="str">
        <f t="shared" ref="T837:T900" si="68">IF(S837&lt;&gt;"EXCLUDE","",IF(P837="No","Digital Twin mentioned only, not the subject",IF(Q837="No","No Design for Safety/Quality in full text",IF(R837="No","Methodology not codable",""))))</f>
        <v/>
      </c>
      <c r="U837" s="25"/>
      <c r="V837" s="25"/>
      <c r="W837" s="25"/>
      <c r="X837" s="25"/>
      <c r="Y837" s="22" t="str">
        <f t="shared" ref="Y837:Y900" si="69">IF(SUM(V837:X837)=0,"",IF(SUM(V837:X837)&gt;=2,"Multi","Single"))</f>
        <v/>
      </c>
      <c r="Z837" s="25"/>
      <c r="AA837" s="25"/>
      <c r="AB837" s="25"/>
      <c r="AC837" s="25"/>
      <c r="AD837" s="25"/>
      <c r="AE837" s="25"/>
      <c r="AF837" s="25"/>
      <c r="AG837" s="9"/>
      <c r="AH837" s="29"/>
      <c r="AI837" s="29"/>
      <c r="AM837" s="50"/>
      <c r="AN837" s="51" t="s">
        <v>4124</v>
      </c>
      <c r="AO837" s="55" t="s">
        <v>4125</v>
      </c>
    </row>
    <row r="838" spans="1:41" ht="79.8" hidden="1" x14ac:dyDescent="0.3">
      <c r="A838" s="20">
        <v>834</v>
      </c>
      <c r="B838" s="8" t="s">
        <v>4126</v>
      </c>
      <c r="C838" s="26">
        <v>2023</v>
      </c>
      <c r="D838" s="8"/>
      <c r="E838" s="8" t="s">
        <v>4127</v>
      </c>
      <c r="F838" s="20" t="s">
        <v>54</v>
      </c>
      <c r="G838" s="21" t="s">
        <v>53</v>
      </c>
      <c r="H838" s="21" t="s">
        <v>64</v>
      </c>
      <c r="I838" s="21" t="s">
        <v>53</v>
      </c>
      <c r="J838" s="21" t="s">
        <v>53</v>
      </c>
      <c r="K838" s="21" t="s">
        <v>53</v>
      </c>
      <c r="L838" s="22" t="str">
        <f t="shared" si="65"/>
        <v>EXCLUDE</v>
      </c>
      <c r="M838" s="22" t="str">
        <f t="shared" si="66"/>
        <v>Digital Twin not core / buzzword</v>
      </c>
      <c r="N838" s="23"/>
      <c r="O838" s="23"/>
      <c r="P838" s="24"/>
      <c r="Q838" s="24"/>
      <c r="R838" s="24"/>
      <c r="S838" s="22" t="str">
        <f t="shared" si="67"/>
        <v/>
      </c>
      <c r="T838" s="22" t="str">
        <f t="shared" si="68"/>
        <v/>
      </c>
      <c r="U838" s="25"/>
      <c r="V838" s="25"/>
      <c r="W838" s="25"/>
      <c r="X838" s="25"/>
      <c r="Y838" s="22" t="str">
        <f t="shared" si="69"/>
        <v/>
      </c>
      <c r="Z838" s="25"/>
      <c r="AA838" s="25"/>
      <c r="AB838" s="25"/>
      <c r="AC838" s="25"/>
      <c r="AD838" s="25"/>
      <c r="AE838" s="25"/>
      <c r="AF838" s="25"/>
      <c r="AG838" s="9"/>
      <c r="AH838" s="29"/>
      <c r="AI838" s="29"/>
      <c r="AM838" s="50"/>
      <c r="AN838" s="51" t="s">
        <v>4128</v>
      </c>
      <c r="AO838" s="55" t="s">
        <v>4129</v>
      </c>
    </row>
    <row r="839" spans="1:41" ht="57" hidden="1" x14ac:dyDescent="0.3">
      <c r="A839" s="20">
        <v>835</v>
      </c>
      <c r="B839" s="8" t="s">
        <v>4130</v>
      </c>
      <c r="C839" s="26">
        <v>2023</v>
      </c>
      <c r="D839" s="8"/>
      <c r="E839" s="8" t="s">
        <v>4131</v>
      </c>
      <c r="F839" s="20" t="s">
        <v>54</v>
      </c>
      <c r="G839" s="21" t="s">
        <v>53</v>
      </c>
      <c r="H839" s="21" t="s">
        <v>64</v>
      </c>
      <c r="I839" s="21" t="s">
        <v>53</v>
      </c>
      <c r="J839" s="21" t="s">
        <v>53</v>
      </c>
      <c r="K839" s="21" t="s">
        <v>53</v>
      </c>
      <c r="L839" s="22" t="str">
        <f t="shared" si="65"/>
        <v>EXCLUDE</v>
      </c>
      <c r="M839" s="22" t="str">
        <f t="shared" si="66"/>
        <v>Digital Twin not core / buzzword</v>
      </c>
      <c r="N839" s="23"/>
      <c r="O839" s="23"/>
      <c r="P839" s="24"/>
      <c r="Q839" s="24"/>
      <c r="R839" s="24"/>
      <c r="S839" s="22" t="str">
        <f t="shared" si="67"/>
        <v/>
      </c>
      <c r="T839" s="22" t="str">
        <f t="shared" si="68"/>
        <v/>
      </c>
      <c r="U839" s="25"/>
      <c r="V839" s="25"/>
      <c r="W839" s="25"/>
      <c r="X839" s="25"/>
      <c r="Y839" s="22" t="str">
        <f t="shared" si="69"/>
        <v/>
      </c>
      <c r="Z839" s="25"/>
      <c r="AA839" s="25"/>
      <c r="AB839" s="25"/>
      <c r="AC839" s="25"/>
      <c r="AD839" s="25"/>
      <c r="AE839" s="25"/>
      <c r="AF839" s="25"/>
      <c r="AG839" s="9"/>
      <c r="AH839" s="29"/>
      <c r="AI839" s="29"/>
      <c r="AM839" s="50"/>
      <c r="AN839" s="51" t="s">
        <v>4132</v>
      </c>
      <c r="AO839" s="55" t="s">
        <v>4133</v>
      </c>
    </row>
    <row r="840" spans="1:41" ht="79.8" hidden="1" x14ac:dyDescent="0.3">
      <c r="A840" s="20">
        <v>836</v>
      </c>
      <c r="B840" s="8" t="s">
        <v>4134</v>
      </c>
      <c r="C840" s="26">
        <v>2024</v>
      </c>
      <c r="D840" s="8"/>
      <c r="E840" s="8" t="s">
        <v>4135</v>
      </c>
      <c r="F840" s="20" t="s">
        <v>54</v>
      </c>
      <c r="G840" s="21" t="s">
        <v>53</v>
      </c>
      <c r="H840" s="21" t="s">
        <v>64</v>
      </c>
      <c r="I840" s="21" t="s">
        <v>53</v>
      </c>
      <c r="J840" s="21" t="s">
        <v>53</v>
      </c>
      <c r="K840" s="21" t="s">
        <v>53</v>
      </c>
      <c r="L840" s="22" t="str">
        <f t="shared" si="65"/>
        <v>EXCLUDE</v>
      </c>
      <c r="M840" s="22" t="str">
        <f t="shared" si="66"/>
        <v>Digital Twin not core / buzzword</v>
      </c>
      <c r="N840" s="23"/>
      <c r="O840" s="23"/>
      <c r="P840" s="24"/>
      <c r="Q840" s="24"/>
      <c r="R840" s="24"/>
      <c r="S840" s="22" t="str">
        <f t="shared" si="67"/>
        <v/>
      </c>
      <c r="T840" s="22" t="str">
        <f t="shared" si="68"/>
        <v/>
      </c>
      <c r="U840" s="25"/>
      <c r="V840" s="25"/>
      <c r="W840" s="25"/>
      <c r="X840" s="25"/>
      <c r="Y840" s="22" t="str">
        <f t="shared" si="69"/>
        <v/>
      </c>
      <c r="Z840" s="25"/>
      <c r="AA840" s="25"/>
      <c r="AB840" s="25"/>
      <c r="AC840" s="25"/>
      <c r="AD840" s="25"/>
      <c r="AE840" s="25"/>
      <c r="AF840" s="25"/>
      <c r="AG840" s="9"/>
      <c r="AH840" s="29"/>
      <c r="AI840" s="29"/>
      <c r="AM840" s="50"/>
      <c r="AN840" s="51" t="s">
        <v>4136</v>
      </c>
      <c r="AO840" s="55" t="s">
        <v>4137</v>
      </c>
    </row>
    <row r="841" spans="1:41" ht="57" hidden="1" x14ac:dyDescent="0.3">
      <c r="A841" s="20">
        <v>837</v>
      </c>
      <c r="B841" s="8" t="s">
        <v>4138</v>
      </c>
      <c r="C841" s="26">
        <v>2022</v>
      </c>
      <c r="D841" s="8"/>
      <c r="E841" s="8" t="s">
        <v>4139</v>
      </c>
      <c r="F841" s="20" t="s">
        <v>54</v>
      </c>
      <c r="G841" s="21" t="s">
        <v>53</v>
      </c>
      <c r="H841" s="21" t="s">
        <v>53</v>
      </c>
      <c r="I841" s="21" t="s">
        <v>64</v>
      </c>
      <c r="J841" s="21" t="s">
        <v>53</v>
      </c>
      <c r="K841" s="21" t="s">
        <v>53</v>
      </c>
      <c r="L841" s="22" t="str">
        <f t="shared" si="65"/>
        <v>EXCLUDE</v>
      </c>
      <c r="M841" s="22" t="str">
        <f t="shared" si="66"/>
        <v>No Design for Safety/Quality/PtD</v>
      </c>
      <c r="N841" s="23"/>
      <c r="O841" s="23"/>
      <c r="P841" s="24"/>
      <c r="Q841" s="24"/>
      <c r="R841" s="24"/>
      <c r="S841" s="22" t="str">
        <f t="shared" si="67"/>
        <v/>
      </c>
      <c r="T841" s="22" t="str">
        <f t="shared" si="68"/>
        <v/>
      </c>
      <c r="U841" s="25"/>
      <c r="V841" s="25"/>
      <c r="W841" s="25"/>
      <c r="X841" s="25"/>
      <c r="Y841" s="22" t="str">
        <f t="shared" si="69"/>
        <v/>
      </c>
      <c r="Z841" s="25"/>
      <c r="AA841" s="25"/>
      <c r="AB841" s="25"/>
      <c r="AC841" s="25"/>
      <c r="AD841" s="25"/>
      <c r="AE841" s="25"/>
      <c r="AF841" s="25"/>
      <c r="AG841" s="9"/>
      <c r="AH841" s="29"/>
      <c r="AI841" s="29"/>
      <c r="AM841" s="50"/>
      <c r="AN841" s="51" t="s">
        <v>4140</v>
      </c>
      <c r="AO841" s="55" t="s">
        <v>4141</v>
      </c>
    </row>
    <row r="842" spans="1:41" ht="79.8" hidden="1" x14ac:dyDescent="0.3">
      <c r="A842" s="20">
        <v>838</v>
      </c>
      <c r="B842" s="8" t="s">
        <v>4142</v>
      </c>
      <c r="C842" s="26">
        <v>2025</v>
      </c>
      <c r="D842" s="8"/>
      <c r="E842" s="8" t="s">
        <v>4143</v>
      </c>
      <c r="F842" s="20" t="s">
        <v>54</v>
      </c>
      <c r="G842" s="21" t="s">
        <v>53</v>
      </c>
      <c r="H842" s="21" t="s">
        <v>64</v>
      </c>
      <c r="I842" s="21" t="s">
        <v>53</v>
      </c>
      <c r="J842" s="21" t="s">
        <v>53</v>
      </c>
      <c r="K842" s="21" t="s">
        <v>53</v>
      </c>
      <c r="L842" s="22" t="str">
        <f t="shared" si="65"/>
        <v>EXCLUDE</v>
      </c>
      <c r="M842" s="22" t="str">
        <f t="shared" si="66"/>
        <v>Digital Twin not core / buzzword</v>
      </c>
      <c r="N842" s="23"/>
      <c r="O842" s="23"/>
      <c r="P842" s="24"/>
      <c r="Q842" s="24"/>
      <c r="R842" s="24"/>
      <c r="S842" s="22" t="str">
        <f t="shared" si="67"/>
        <v/>
      </c>
      <c r="T842" s="22" t="str">
        <f t="shared" si="68"/>
        <v/>
      </c>
      <c r="U842" s="25"/>
      <c r="V842" s="25"/>
      <c r="W842" s="25"/>
      <c r="X842" s="25"/>
      <c r="Y842" s="22" t="str">
        <f t="shared" si="69"/>
        <v/>
      </c>
      <c r="Z842" s="25"/>
      <c r="AA842" s="25"/>
      <c r="AB842" s="25"/>
      <c r="AC842" s="25"/>
      <c r="AD842" s="25"/>
      <c r="AE842" s="25"/>
      <c r="AF842" s="25"/>
      <c r="AG842" s="9"/>
      <c r="AH842" s="29"/>
      <c r="AI842" s="29"/>
      <c r="AM842" s="50"/>
      <c r="AN842" s="51" t="s">
        <v>4144</v>
      </c>
      <c r="AO842" s="55" t="s">
        <v>4145</v>
      </c>
    </row>
    <row r="843" spans="1:41" ht="57" hidden="1" x14ac:dyDescent="0.3">
      <c r="A843" s="20">
        <v>839</v>
      </c>
      <c r="B843" s="8" t="s">
        <v>4146</v>
      </c>
      <c r="C843" s="26">
        <v>2025</v>
      </c>
      <c r="D843" s="8"/>
      <c r="E843" s="8" t="s">
        <v>4147</v>
      </c>
      <c r="F843" s="20" t="s">
        <v>54</v>
      </c>
      <c r="G843" s="21" t="s">
        <v>64</v>
      </c>
      <c r="H843" s="21" t="s">
        <v>53</v>
      </c>
      <c r="I843" s="21" t="s">
        <v>53</v>
      </c>
      <c r="J843" s="21" t="s">
        <v>53</v>
      </c>
      <c r="K843" s="21" t="s">
        <v>53</v>
      </c>
      <c r="L843" s="22" t="str">
        <f t="shared" si="65"/>
        <v>EXCLUDE</v>
      </c>
      <c r="M843" s="22" t="str">
        <f t="shared" si="66"/>
        <v>Wrong domain (non-AECO)</v>
      </c>
      <c r="N843" s="23"/>
      <c r="O843" s="23"/>
      <c r="P843" s="24"/>
      <c r="Q843" s="24"/>
      <c r="R843" s="24"/>
      <c r="S843" s="22" t="str">
        <f t="shared" si="67"/>
        <v/>
      </c>
      <c r="T843" s="22" t="str">
        <f t="shared" si="68"/>
        <v/>
      </c>
      <c r="U843" s="25"/>
      <c r="V843" s="25"/>
      <c r="W843" s="25"/>
      <c r="X843" s="25"/>
      <c r="Y843" s="22" t="str">
        <f t="shared" si="69"/>
        <v/>
      </c>
      <c r="Z843" s="25"/>
      <c r="AA843" s="25"/>
      <c r="AB843" s="25"/>
      <c r="AC843" s="25"/>
      <c r="AD843" s="25"/>
      <c r="AE843" s="25"/>
      <c r="AF843" s="25"/>
      <c r="AG843" s="9"/>
      <c r="AH843" s="29"/>
      <c r="AI843" s="29"/>
      <c r="AM843" s="50"/>
      <c r="AN843" s="51" t="s">
        <v>4148</v>
      </c>
      <c r="AO843" s="55" t="s">
        <v>4149</v>
      </c>
    </row>
    <row r="844" spans="1:41" ht="34.200000000000003" hidden="1" x14ac:dyDescent="0.3">
      <c r="A844" s="20">
        <v>840</v>
      </c>
      <c r="B844" s="8" t="s">
        <v>4150</v>
      </c>
      <c r="C844" s="26">
        <v>2025</v>
      </c>
      <c r="D844" s="8"/>
      <c r="E844" s="8" t="s">
        <v>4151</v>
      </c>
      <c r="F844" s="20" t="s">
        <v>54</v>
      </c>
      <c r="G844" s="21" t="s">
        <v>64</v>
      </c>
      <c r="H844" s="21" t="s">
        <v>53</v>
      </c>
      <c r="I844" s="21" t="s">
        <v>53</v>
      </c>
      <c r="J844" s="21" t="s">
        <v>53</v>
      </c>
      <c r="K844" s="21" t="s">
        <v>53</v>
      </c>
      <c r="L844" s="22" t="str">
        <f t="shared" si="65"/>
        <v>EXCLUDE</v>
      </c>
      <c r="M844" s="22" t="str">
        <f t="shared" si="66"/>
        <v>Wrong domain (non-AECO)</v>
      </c>
      <c r="N844" s="23"/>
      <c r="O844" s="23"/>
      <c r="P844" s="24"/>
      <c r="Q844" s="24"/>
      <c r="R844" s="24"/>
      <c r="S844" s="22" t="str">
        <f t="shared" si="67"/>
        <v/>
      </c>
      <c r="T844" s="22" t="str">
        <f t="shared" si="68"/>
        <v/>
      </c>
      <c r="U844" s="25"/>
      <c r="V844" s="25"/>
      <c r="W844" s="25"/>
      <c r="X844" s="25"/>
      <c r="Y844" s="22" t="str">
        <f t="shared" si="69"/>
        <v/>
      </c>
      <c r="Z844" s="25"/>
      <c r="AA844" s="25"/>
      <c r="AB844" s="25"/>
      <c r="AC844" s="25"/>
      <c r="AD844" s="25"/>
      <c r="AE844" s="25"/>
      <c r="AF844" s="25"/>
      <c r="AG844" s="9"/>
      <c r="AH844" s="29"/>
      <c r="AI844" s="29"/>
      <c r="AM844" s="50"/>
      <c r="AN844" s="51" t="s">
        <v>4152</v>
      </c>
      <c r="AO844" s="55" t="s">
        <v>4153</v>
      </c>
    </row>
    <row r="845" spans="1:41" ht="79.8" x14ac:dyDescent="0.3">
      <c r="A845" s="20">
        <v>841</v>
      </c>
      <c r="B845" s="8" t="s">
        <v>4154</v>
      </c>
      <c r="C845" s="26">
        <v>2022</v>
      </c>
      <c r="D845" s="8"/>
      <c r="E845" s="8" t="s">
        <v>4155</v>
      </c>
      <c r="F845" s="20" t="s">
        <v>54</v>
      </c>
      <c r="G845" s="21" t="s">
        <v>53</v>
      </c>
      <c r="H845" s="21" t="s">
        <v>53</v>
      </c>
      <c r="I845" s="21" t="s">
        <v>53</v>
      </c>
      <c r="J845" s="21" t="s">
        <v>53</v>
      </c>
      <c r="K845" s="21" t="s">
        <v>53</v>
      </c>
      <c r="L845" s="22" t="str">
        <f t="shared" si="65"/>
        <v>INCLUDE</v>
      </c>
      <c r="M845" s="22" t="str">
        <f t="shared" si="66"/>
        <v/>
      </c>
      <c r="N845" s="23" t="s">
        <v>53</v>
      </c>
      <c r="O845" s="23" t="s">
        <v>53</v>
      </c>
      <c r="P845" s="24" t="s">
        <v>53</v>
      </c>
      <c r="Q845" s="24" t="s">
        <v>53</v>
      </c>
      <c r="R845" s="24" t="s">
        <v>53</v>
      </c>
      <c r="S845" s="22" t="str">
        <f t="shared" si="67"/>
        <v>INCLUDE</v>
      </c>
      <c r="T845" s="22" t="str">
        <f t="shared" si="68"/>
        <v/>
      </c>
      <c r="U845" s="25" t="s">
        <v>56</v>
      </c>
      <c r="V845" s="25">
        <v>0</v>
      </c>
      <c r="W845" s="25">
        <v>1</v>
      </c>
      <c r="X845" s="25">
        <v>0</v>
      </c>
      <c r="Y845" s="22" t="str">
        <f t="shared" si="69"/>
        <v>Single</v>
      </c>
      <c r="Z845" s="25" t="s">
        <v>9</v>
      </c>
      <c r="AA845" s="25" t="s">
        <v>57</v>
      </c>
      <c r="AB845" s="25" t="s">
        <v>103</v>
      </c>
      <c r="AC845" s="25" t="s">
        <v>70</v>
      </c>
      <c r="AD845" s="25" t="s">
        <v>89</v>
      </c>
      <c r="AE845" s="25">
        <v>3</v>
      </c>
      <c r="AF845" s="25" t="s">
        <v>98</v>
      </c>
      <c r="AG845" s="9" t="s">
        <v>4156</v>
      </c>
      <c r="AH845" s="29" t="s">
        <v>4157</v>
      </c>
      <c r="AI845" s="29" t="s">
        <v>4158</v>
      </c>
      <c r="AJ845" t="s">
        <v>91</v>
      </c>
      <c r="AK845" t="s">
        <v>4159</v>
      </c>
      <c r="AL845" t="s">
        <v>74</v>
      </c>
      <c r="AM845" s="50"/>
      <c r="AN845" s="51" t="s">
        <v>4160</v>
      </c>
      <c r="AO845" s="55" t="s">
        <v>4161</v>
      </c>
    </row>
    <row r="846" spans="1:41" ht="79.8" x14ac:dyDescent="0.3">
      <c r="A846" s="20">
        <v>842</v>
      </c>
      <c r="B846" s="8" t="s">
        <v>4162</v>
      </c>
      <c r="C846" s="26">
        <v>2024</v>
      </c>
      <c r="D846" s="8"/>
      <c r="E846" s="8" t="s">
        <v>4163</v>
      </c>
      <c r="F846" s="20" t="s">
        <v>54</v>
      </c>
      <c r="G846" s="21" t="s">
        <v>53</v>
      </c>
      <c r="H846" s="21" t="s">
        <v>53</v>
      </c>
      <c r="I846" s="21" t="s">
        <v>53</v>
      </c>
      <c r="J846" s="21" t="s">
        <v>53</v>
      </c>
      <c r="K846" s="21" t="s">
        <v>53</v>
      </c>
      <c r="L846" s="22" t="str">
        <f t="shared" si="65"/>
        <v>INCLUDE</v>
      </c>
      <c r="M846" s="22" t="str">
        <f t="shared" si="66"/>
        <v/>
      </c>
      <c r="N846" s="23" t="s">
        <v>53</v>
      </c>
      <c r="O846" s="23" t="s">
        <v>53</v>
      </c>
      <c r="P846" s="24" t="s">
        <v>53</v>
      </c>
      <c r="Q846" s="24" t="s">
        <v>53</v>
      </c>
      <c r="R846" s="24" t="s">
        <v>53</v>
      </c>
      <c r="S846" s="22" t="str">
        <f t="shared" si="67"/>
        <v>INCLUDE</v>
      </c>
      <c r="T846" s="22" t="str">
        <f t="shared" si="68"/>
        <v/>
      </c>
      <c r="U846" s="25" t="s">
        <v>67</v>
      </c>
      <c r="V846" s="25">
        <v>0</v>
      </c>
      <c r="W846" s="25">
        <v>0</v>
      </c>
      <c r="X846" s="25">
        <v>1</v>
      </c>
      <c r="Y846" s="22" t="str">
        <f t="shared" si="69"/>
        <v>Single</v>
      </c>
      <c r="Z846" s="25" t="s">
        <v>9</v>
      </c>
      <c r="AA846" s="25" t="s">
        <v>57</v>
      </c>
      <c r="AB846" s="25" t="s">
        <v>103</v>
      </c>
      <c r="AC846" s="25" t="s">
        <v>70</v>
      </c>
      <c r="AD846" s="25" t="s">
        <v>89</v>
      </c>
      <c r="AE846" s="25">
        <v>3</v>
      </c>
      <c r="AF846" s="25" t="s">
        <v>98</v>
      </c>
      <c r="AG846" s="9" t="s">
        <v>4164</v>
      </c>
      <c r="AH846" s="29" t="s">
        <v>4165</v>
      </c>
      <c r="AI846" s="29" t="s">
        <v>4166</v>
      </c>
      <c r="AJ846" t="s">
        <v>91</v>
      </c>
      <c r="AK846" t="s">
        <v>4167</v>
      </c>
      <c r="AL846" t="s">
        <v>74</v>
      </c>
      <c r="AM846" s="50"/>
      <c r="AN846" s="51" t="s">
        <v>4168</v>
      </c>
      <c r="AO846" s="55" t="s">
        <v>4169</v>
      </c>
    </row>
    <row r="847" spans="1:41" ht="102.6" x14ac:dyDescent="0.3">
      <c r="A847" s="20">
        <v>843</v>
      </c>
      <c r="B847" s="8" t="s">
        <v>4170</v>
      </c>
      <c r="C847" s="26">
        <v>2021</v>
      </c>
      <c r="D847" s="8"/>
      <c r="E847" s="8" t="s">
        <v>4171</v>
      </c>
      <c r="F847" s="20" t="s">
        <v>54</v>
      </c>
      <c r="G847" s="21" t="s">
        <v>53</v>
      </c>
      <c r="H847" s="21" t="s">
        <v>53</v>
      </c>
      <c r="I847" s="21" t="s">
        <v>53</v>
      </c>
      <c r="J847" s="21" t="s">
        <v>53</v>
      </c>
      <c r="K847" s="21" t="s">
        <v>53</v>
      </c>
      <c r="L847" s="22" t="str">
        <f t="shared" si="65"/>
        <v>INCLUDE</v>
      </c>
      <c r="M847" s="22" t="str">
        <f t="shared" si="66"/>
        <v/>
      </c>
      <c r="N847" s="23" t="s">
        <v>53</v>
      </c>
      <c r="O847" s="23" t="s">
        <v>53</v>
      </c>
      <c r="P847" s="24" t="s">
        <v>53</v>
      </c>
      <c r="Q847" s="24" t="s">
        <v>53</v>
      </c>
      <c r="R847" s="24" t="s">
        <v>53</v>
      </c>
      <c r="S847" s="22" t="str">
        <f t="shared" si="67"/>
        <v>INCLUDE</v>
      </c>
      <c r="T847" s="22" t="str">
        <f t="shared" si="68"/>
        <v/>
      </c>
      <c r="U847" s="25" t="s">
        <v>67</v>
      </c>
      <c r="V847" s="25">
        <v>0</v>
      </c>
      <c r="W847" s="25">
        <v>1</v>
      </c>
      <c r="X847" s="25">
        <v>0</v>
      </c>
      <c r="Y847" s="22" t="str">
        <f t="shared" si="69"/>
        <v>Single</v>
      </c>
      <c r="Z847" s="25" t="s">
        <v>9</v>
      </c>
      <c r="AA847" s="25" t="s">
        <v>57</v>
      </c>
      <c r="AB847" s="25" t="s">
        <v>102</v>
      </c>
      <c r="AC847" s="25" t="s">
        <v>70</v>
      </c>
      <c r="AD847" s="25" t="s">
        <v>89</v>
      </c>
      <c r="AE847" s="25">
        <v>3</v>
      </c>
      <c r="AF847" s="25" t="s">
        <v>90</v>
      </c>
      <c r="AG847" s="9" t="s">
        <v>4172</v>
      </c>
      <c r="AH847" s="29" t="s">
        <v>4173</v>
      </c>
      <c r="AI847" s="29" t="s">
        <v>4174</v>
      </c>
      <c r="AJ847" t="s">
        <v>93</v>
      </c>
      <c r="AK847" t="s">
        <v>4175</v>
      </c>
      <c r="AL847" t="s">
        <v>63</v>
      </c>
      <c r="AM847" s="50" t="s">
        <v>213</v>
      </c>
      <c r="AN847" s="51" t="s">
        <v>4176</v>
      </c>
      <c r="AO847" s="55" t="s">
        <v>4177</v>
      </c>
    </row>
    <row r="848" spans="1:41" ht="34.200000000000003" hidden="1" x14ac:dyDescent="0.3">
      <c r="A848" s="20">
        <v>844</v>
      </c>
      <c r="B848" s="8" t="s">
        <v>4178</v>
      </c>
      <c r="C848" s="26">
        <v>2024</v>
      </c>
      <c r="D848" s="8"/>
      <c r="E848" s="8" t="s">
        <v>4179</v>
      </c>
      <c r="F848" s="20" t="s">
        <v>54</v>
      </c>
      <c r="G848" s="21" t="s">
        <v>53</v>
      </c>
      <c r="H848" s="21" t="s">
        <v>53</v>
      </c>
      <c r="I848" s="21" t="s">
        <v>64</v>
      </c>
      <c r="J848" s="21" t="s">
        <v>53</v>
      </c>
      <c r="K848" s="21" t="s">
        <v>53</v>
      </c>
      <c r="L848" s="22" t="str">
        <f t="shared" si="65"/>
        <v>EXCLUDE</v>
      </c>
      <c r="M848" s="22" t="str">
        <f t="shared" si="66"/>
        <v>No Design for Safety/Quality/PtD</v>
      </c>
      <c r="N848" s="23"/>
      <c r="O848" s="23"/>
      <c r="P848" s="24"/>
      <c r="Q848" s="24"/>
      <c r="R848" s="24"/>
      <c r="S848" s="22" t="str">
        <f t="shared" si="67"/>
        <v/>
      </c>
      <c r="T848" s="22" t="str">
        <f t="shared" si="68"/>
        <v/>
      </c>
      <c r="U848" s="25"/>
      <c r="V848" s="25"/>
      <c r="W848" s="25"/>
      <c r="X848" s="25"/>
      <c r="Y848" s="22" t="str">
        <f t="shared" si="69"/>
        <v/>
      </c>
      <c r="Z848" s="25"/>
      <c r="AA848" s="25"/>
      <c r="AB848" s="25"/>
      <c r="AC848" s="25"/>
      <c r="AD848" s="25"/>
      <c r="AE848" s="25"/>
      <c r="AF848" s="25"/>
      <c r="AG848" s="9"/>
      <c r="AH848" s="29"/>
      <c r="AI848" s="29"/>
      <c r="AM848" s="50"/>
      <c r="AN848" s="51" t="s">
        <v>4180</v>
      </c>
      <c r="AO848" s="55" t="s">
        <v>4181</v>
      </c>
    </row>
    <row r="849" spans="1:41" ht="68.400000000000006" hidden="1" x14ac:dyDescent="0.3">
      <c r="A849" s="20">
        <v>845</v>
      </c>
      <c r="B849" s="8" t="s">
        <v>4182</v>
      </c>
      <c r="C849" s="26">
        <v>2022</v>
      </c>
      <c r="D849" s="8"/>
      <c r="E849" s="8" t="s">
        <v>4183</v>
      </c>
      <c r="F849" s="20" t="s">
        <v>54</v>
      </c>
      <c r="G849" s="21" t="s">
        <v>53</v>
      </c>
      <c r="H849" s="21" t="s">
        <v>64</v>
      </c>
      <c r="I849" s="21" t="s">
        <v>53</v>
      </c>
      <c r="J849" s="21" t="s">
        <v>53</v>
      </c>
      <c r="K849" s="21" t="s">
        <v>53</v>
      </c>
      <c r="L849" s="22" t="str">
        <f t="shared" si="65"/>
        <v>EXCLUDE</v>
      </c>
      <c r="M849" s="22" t="str">
        <f t="shared" si="66"/>
        <v>Digital Twin not core / buzzword</v>
      </c>
      <c r="N849" s="23"/>
      <c r="O849" s="23"/>
      <c r="P849" s="24"/>
      <c r="Q849" s="24"/>
      <c r="R849" s="24"/>
      <c r="S849" s="22" t="str">
        <f t="shared" si="67"/>
        <v/>
      </c>
      <c r="T849" s="22" t="str">
        <f t="shared" si="68"/>
        <v/>
      </c>
      <c r="U849" s="25"/>
      <c r="V849" s="25"/>
      <c r="W849" s="25"/>
      <c r="X849" s="25"/>
      <c r="Y849" s="22" t="str">
        <f t="shared" si="69"/>
        <v/>
      </c>
      <c r="Z849" s="25"/>
      <c r="AA849" s="25"/>
      <c r="AB849" s="25"/>
      <c r="AC849" s="25"/>
      <c r="AD849" s="25"/>
      <c r="AE849" s="25"/>
      <c r="AF849" s="25"/>
      <c r="AG849" s="9"/>
      <c r="AH849" s="29"/>
      <c r="AI849" s="29"/>
      <c r="AM849" s="50"/>
      <c r="AN849" s="51" t="s">
        <v>4184</v>
      </c>
      <c r="AO849" s="55" t="s">
        <v>4185</v>
      </c>
    </row>
    <row r="850" spans="1:41" ht="79.8" x14ac:dyDescent="0.3">
      <c r="A850" s="20">
        <v>846</v>
      </c>
      <c r="B850" s="8" t="s">
        <v>4186</v>
      </c>
      <c r="C850" s="26">
        <v>2025</v>
      </c>
      <c r="D850" s="8"/>
      <c r="E850" s="8" t="s">
        <v>4187</v>
      </c>
      <c r="F850" s="20" t="s">
        <v>54</v>
      </c>
      <c r="G850" s="21" t="s">
        <v>53</v>
      </c>
      <c r="H850" s="21" t="s">
        <v>53</v>
      </c>
      <c r="I850" s="21" t="s">
        <v>53</v>
      </c>
      <c r="J850" s="21" t="s">
        <v>53</v>
      </c>
      <c r="K850" s="21" t="s">
        <v>53</v>
      </c>
      <c r="L850" s="22" t="str">
        <f t="shared" si="65"/>
        <v>INCLUDE</v>
      </c>
      <c r="M850" s="22" t="str">
        <f t="shared" si="66"/>
        <v/>
      </c>
      <c r="N850" s="23" t="s">
        <v>53</v>
      </c>
      <c r="O850" s="23" t="s">
        <v>53</v>
      </c>
      <c r="P850" s="24" t="s">
        <v>53</v>
      </c>
      <c r="Q850" s="24" t="s">
        <v>53</v>
      </c>
      <c r="R850" s="24" t="s">
        <v>53</v>
      </c>
      <c r="S850" s="22" t="str">
        <f t="shared" si="67"/>
        <v>INCLUDE</v>
      </c>
      <c r="T850" s="22" t="str">
        <f t="shared" si="68"/>
        <v/>
      </c>
      <c r="U850" s="25" t="s">
        <v>67</v>
      </c>
      <c r="V850" s="25">
        <v>0</v>
      </c>
      <c r="W850" s="25">
        <v>1</v>
      </c>
      <c r="X850" s="25">
        <v>0</v>
      </c>
      <c r="Y850" s="22" t="str">
        <f t="shared" si="69"/>
        <v>Single</v>
      </c>
      <c r="Z850" s="25" t="s">
        <v>9</v>
      </c>
      <c r="AA850" s="25" t="s">
        <v>57</v>
      </c>
      <c r="AB850" s="25" t="s">
        <v>104</v>
      </c>
      <c r="AC850" s="25" t="s">
        <v>59</v>
      </c>
      <c r="AD850" s="25" t="s">
        <v>71</v>
      </c>
      <c r="AE850" s="25">
        <v>3</v>
      </c>
      <c r="AF850" s="25" t="s">
        <v>96</v>
      </c>
      <c r="AG850" s="9" t="s">
        <v>4188</v>
      </c>
      <c r="AH850" s="29" t="s">
        <v>4189</v>
      </c>
      <c r="AI850" s="29" t="s">
        <v>4190</v>
      </c>
      <c r="AJ850" t="s">
        <v>62</v>
      </c>
      <c r="AK850" t="s">
        <v>4191</v>
      </c>
      <c r="AL850" t="s">
        <v>63</v>
      </c>
      <c r="AM850" s="50"/>
      <c r="AN850" s="51" t="s">
        <v>4192</v>
      </c>
      <c r="AO850" s="55" t="s">
        <v>4193</v>
      </c>
    </row>
    <row r="851" spans="1:41" ht="91.2" x14ac:dyDescent="0.3">
      <c r="A851" s="20">
        <v>847</v>
      </c>
      <c r="B851" s="8" t="s">
        <v>2947</v>
      </c>
      <c r="C851" s="26">
        <v>2024</v>
      </c>
      <c r="D851" s="8"/>
      <c r="E851" s="8" t="s">
        <v>4194</v>
      </c>
      <c r="F851" s="20" t="s">
        <v>54</v>
      </c>
      <c r="G851" s="21" t="s">
        <v>53</v>
      </c>
      <c r="H851" s="21" t="s">
        <v>53</v>
      </c>
      <c r="I851" s="21" t="s">
        <v>53</v>
      </c>
      <c r="J851" s="21" t="s">
        <v>53</v>
      </c>
      <c r="K851" s="21" t="s">
        <v>53</v>
      </c>
      <c r="L851" s="22" t="str">
        <f t="shared" si="65"/>
        <v>INCLUDE</v>
      </c>
      <c r="M851" s="22" t="str">
        <f t="shared" si="66"/>
        <v/>
      </c>
      <c r="N851" s="23" t="s">
        <v>53</v>
      </c>
      <c r="O851" s="23" t="s">
        <v>53</v>
      </c>
      <c r="P851" s="24" t="s">
        <v>53</v>
      </c>
      <c r="Q851" s="24" t="s">
        <v>53</v>
      </c>
      <c r="R851" s="24" t="s">
        <v>53</v>
      </c>
      <c r="S851" s="22" t="str">
        <f t="shared" si="67"/>
        <v>INCLUDE</v>
      </c>
      <c r="T851" s="22" t="str">
        <f t="shared" si="68"/>
        <v/>
      </c>
      <c r="U851" s="25" t="s">
        <v>76</v>
      </c>
      <c r="V851" s="25">
        <v>0</v>
      </c>
      <c r="W851" s="25">
        <v>1</v>
      </c>
      <c r="X851" s="25">
        <v>0</v>
      </c>
      <c r="Y851" s="22" t="str">
        <f t="shared" si="69"/>
        <v>Single</v>
      </c>
      <c r="Z851" s="25" t="s">
        <v>9</v>
      </c>
      <c r="AA851" s="25" t="s">
        <v>57</v>
      </c>
      <c r="AB851" s="25" t="s">
        <v>103</v>
      </c>
      <c r="AC851" s="25" t="s">
        <v>70</v>
      </c>
      <c r="AD851" s="25" t="s">
        <v>89</v>
      </c>
      <c r="AE851" s="25">
        <v>4</v>
      </c>
      <c r="AF851" s="25" t="s">
        <v>90</v>
      </c>
      <c r="AG851" s="9" t="s">
        <v>4195</v>
      </c>
      <c r="AH851" s="29" t="s">
        <v>4196</v>
      </c>
      <c r="AI851" s="29" t="s">
        <v>4197</v>
      </c>
      <c r="AJ851" t="s">
        <v>91</v>
      </c>
      <c r="AK851" t="s">
        <v>4198</v>
      </c>
      <c r="AL851" t="s">
        <v>63</v>
      </c>
      <c r="AM851" s="50"/>
      <c r="AN851" s="51" t="s">
        <v>4199</v>
      </c>
      <c r="AO851" s="55" t="s">
        <v>4200</v>
      </c>
    </row>
    <row r="852" spans="1:41" ht="68.400000000000006" hidden="1" x14ac:dyDescent="0.3">
      <c r="A852" s="20">
        <v>848</v>
      </c>
      <c r="B852" s="8" t="s">
        <v>4201</v>
      </c>
      <c r="C852" s="26">
        <v>2024</v>
      </c>
      <c r="D852" s="8"/>
      <c r="E852" s="8" t="s">
        <v>4202</v>
      </c>
      <c r="F852" s="20" t="s">
        <v>54</v>
      </c>
      <c r="G852" s="21" t="s">
        <v>53</v>
      </c>
      <c r="H852" s="21" t="s">
        <v>64</v>
      </c>
      <c r="I852" s="21" t="s">
        <v>53</v>
      </c>
      <c r="J852" s="21" t="s">
        <v>53</v>
      </c>
      <c r="K852" s="21" t="s">
        <v>53</v>
      </c>
      <c r="L852" s="22" t="str">
        <f t="shared" si="65"/>
        <v>EXCLUDE</v>
      </c>
      <c r="M852" s="22" t="str">
        <f t="shared" si="66"/>
        <v>Digital Twin not core / buzzword</v>
      </c>
      <c r="N852" s="23"/>
      <c r="O852" s="23"/>
      <c r="P852" s="24"/>
      <c r="Q852" s="24"/>
      <c r="R852" s="24"/>
      <c r="S852" s="22" t="str">
        <f t="shared" si="67"/>
        <v/>
      </c>
      <c r="T852" s="22" t="str">
        <f t="shared" si="68"/>
        <v/>
      </c>
      <c r="U852" s="25"/>
      <c r="V852" s="25"/>
      <c r="W852" s="25"/>
      <c r="X852" s="25"/>
      <c r="Y852" s="22" t="str">
        <f t="shared" si="69"/>
        <v/>
      </c>
      <c r="Z852" s="25"/>
      <c r="AA852" s="25"/>
      <c r="AB852" s="25"/>
      <c r="AC852" s="25"/>
      <c r="AD852" s="25"/>
      <c r="AE852" s="25"/>
      <c r="AF852" s="25"/>
      <c r="AG852" s="9"/>
      <c r="AH852" s="29"/>
      <c r="AI852" s="29"/>
      <c r="AM852" s="50"/>
      <c r="AN852" s="51" t="s">
        <v>4203</v>
      </c>
      <c r="AO852" s="55" t="s">
        <v>4204</v>
      </c>
    </row>
    <row r="853" spans="1:41" ht="45.6" hidden="1" x14ac:dyDescent="0.3">
      <c r="A853" s="20">
        <v>849</v>
      </c>
      <c r="B853" s="8" t="s">
        <v>4205</v>
      </c>
      <c r="C853" s="26">
        <v>2022</v>
      </c>
      <c r="D853" s="8"/>
      <c r="E853" s="8" t="s">
        <v>4206</v>
      </c>
      <c r="F853" s="20" t="s">
        <v>54</v>
      </c>
      <c r="G853" s="21" t="s">
        <v>64</v>
      </c>
      <c r="H853" s="21" t="s">
        <v>53</v>
      </c>
      <c r="I853" s="21" t="s">
        <v>53</v>
      </c>
      <c r="J853" s="21" t="s">
        <v>53</v>
      </c>
      <c r="K853" s="21" t="s">
        <v>53</v>
      </c>
      <c r="L853" s="22" t="str">
        <f t="shared" si="65"/>
        <v>EXCLUDE</v>
      </c>
      <c r="M853" s="22" t="str">
        <f t="shared" si="66"/>
        <v>Wrong domain (non-AECO)</v>
      </c>
      <c r="N853" s="23"/>
      <c r="O853" s="23"/>
      <c r="P853" s="24"/>
      <c r="Q853" s="24"/>
      <c r="R853" s="24"/>
      <c r="S853" s="22" t="str">
        <f t="shared" si="67"/>
        <v/>
      </c>
      <c r="T853" s="22" t="str">
        <f t="shared" si="68"/>
        <v/>
      </c>
      <c r="U853" s="25"/>
      <c r="V853" s="25"/>
      <c r="W853" s="25"/>
      <c r="X853" s="25"/>
      <c r="Y853" s="22" t="str">
        <f t="shared" si="69"/>
        <v/>
      </c>
      <c r="Z853" s="25"/>
      <c r="AA853" s="25"/>
      <c r="AB853" s="25"/>
      <c r="AC853" s="25"/>
      <c r="AD853" s="25"/>
      <c r="AE853" s="25"/>
      <c r="AF853" s="25"/>
      <c r="AG853" s="9"/>
      <c r="AH853" s="29"/>
      <c r="AI853" s="29"/>
      <c r="AM853" s="50"/>
      <c r="AN853" s="51" t="s">
        <v>4207</v>
      </c>
      <c r="AO853" s="55" t="s">
        <v>4208</v>
      </c>
    </row>
    <row r="854" spans="1:41" ht="91.2" x14ac:dyDescent="0.3">
      <c r="A854" s="20">
        <v>850</v>
      </c>
      <c r="B854" s="8" t="s">
        <v>4209</v>
      </c>
      <c r="C854" s="26">
        <v>2022</v>
      </c>
      <c r="D854" s="8"/>
      <c r="E854" s="8" t="s">
        <v>4210</v>
      </c>
      <c r="F854" s="20" t="s">
        <v>54</v>
      </c>
      <c r="G854" s="21" t="s">
        <v>53</v>
      </c>
      <c r="H854" s="21" t="s">
        <v>53</v>
      </c>
      <c r="I854" s="21" t="s">
        <v>53</v>
      </c>
      <c r="J854" s="21" t="s">
        <v>53</v>
      </c>
      <c r="K854" s="21" t="s">
        <v>53</v>
      </c>
      <c r="L854" s="22" t="str">
        <f t="shared" si="65"/>
        <v>INCLUDE</v>
      </c>
      <c r="M854" s="22" t="str">
        <f t="shared" si="66"/>
        <v/>
      </c>
      <c r="N854" s="23" t="s">
        <v>53</v>
      </c>
      <c r="O854" s="23" t="s">
        <v>53</v>
      </c>
      <c r="P854" s="24" t="s">
        <v>53</v>
      </c>
      <c r="Q854" s="24" t="s">
        <v>53</v>
      </c>
      <c r="R854" s="24" t="s">
        <v>53</v>
      </c>
      <c r="S854" s="22" t="str">
        <f t="shared" si="67"/>
        <v>INCLUDE</v>
      </c>
      <c r="T854" s="22" t="str">
        <f t="shared" si="68"/>
        <v/>
      </c>
      <c r="U854" s="25" t="s">
        <v>67</v>
      </c>
      <c r="V854" s="25">
        <v>0</v>
      </c>
      <c r="W854" s="25">
        <v>1</v>
      </c>
      <c r="X854" s="25">
        <v>0</v>
      </c>
      <c r="Y854" s="22" t="str">
        <f t="shared" si="69"/>
        <v>Single</v>
      </c>
      <c r="Z854" s="25" t="s">
        <v>9</v>
      </c>
      <c r="AA854" s="25" t="s">
        <v>57</v>
      </c>
      <c r="AB854" s="25" t="s">
        <v>103</v>
      </c>
      <c r="AC854" s="25" t="s">
        <v>70</v>
      </c>
      <c r="AD854" s="25" t="s">
        <v>89</v>
      </c>
      <c r="AE854" s="25">
        <v>3</v>
      </c>
      <c r="AF854" s="25" t="s">
        <v>90</v>
      </c>
      <c r="AG854" s="9" t="s">
        <v>4211</v>
      </c>
      <c r="AH854" s="29" t="s">
        <v>4212</v>
      </c>
      <c r="AI854" s="29" t="s">
        <v>4213</v>
      </c>
      <c r="AJ854" t="s">
        <v>82</v>
      </c>
      <c r="AK854" t="s">
        <v>4214</v>
      </c>
      <c r="AL854" t="s">
        <v>63</v>
      </c>
      <c r="AM854" s="50"/>
      <c r="AN854" s="51" t="s">
        <v>4215</v>
      </c>
      <c r="AO854" s="55" t="s">
        <v>4216</v>
      </c>
    </row>
    <row r="855" spans="1:41" ht="68.400000000000006" hidden="1" x14ac:dyDescent="0.3">
      <c r="A855" s="20">
        <v>851</v>
      </c>
      <c r="B855" s="8" t="s">
        <v>1689</v>
      </c>
      <c r="C855" s="26">
        <v>2025</v>
      </c>
      <c r="D855" s="8"/>
      <c r="E855" s="8" t="s">
        <v>4217</v>
      </c>
      <c r="F855" s="20" t="s">
        <v>54</v>
      </c>
      <c r="G855" s="21" t="s">
        <v>64</v>
      </c>
      <c r="H855" s="21" t="s">
        <v>53</v>
      </c>
      <c r="I855" s="21" t="s">
        <v>53</v>
      </c>
      <c r="J855" s="21" t="s">
        <v>53</v>
      </c>
      <c r="K855" s="21" t="s">
        <v>53</v>
      </c>
      <c r="L855" s="22" t="str">
        <f t="shared" si="65"/>
        <v>EXCLUDE</v>
      </c>
      <c r="M855" s="22" t="str">
        <f t="shared" si="66"/>
        <v>Wrong domain (non-AECO)</v>
      </c>
      <c r="N855" s="23"/>
      <c r="O855" s="23"/>
      <c r="P855" s="24"/>
      <c r="Q855" s="24"/>
      <c r="R855" s="24"/>
      <c r="S855" s="22" t="str">
        <f t="shared" si="67"/>
        <v/>
      </c>
      <c r="T855" s="22" t="str">
        <f t="shared" si="68"/>
        <v/>
      </c>
      <c r="U855" s="25"/>
      <c r="V855" s="25"/>
      <c r="W855" s="25"/>
      <c r="X855" s="25"/>
      <c r="Y855" s="22" t="str">
        <f t="shared" si="69"/>
        <v/>
      </c>
      <c r="Z855" s="25"/>
      <c r="AA855" s="25"/>
      <c r="AB855" s="25"/>
      <c r="AC855" s="25"/>
      <c r="AD855" s="25"/>
      <c r="AE855" s="25"/>
      <c r="AF855" s="25"/>
      <c r="AG855" s="9"/>
      <c r="AH855" s="29"/>
      <c r="AI855" s="29"/>
      <c r="AM855" s="50"/>
      <c r="AN855" s="51" t="s">
        <v>4218</v>
      </c>
      <c r="AO855" s="55" t="s">
        <v>4219</v>
      </c>
    </row>
    <row r="856" spans="1:41" ht="91.2" x14ac:dyDescent="0.3">
      <c r="A856" s="20">
        <v>852</v>
      </c>
      <c r="B856" s="8" t="s">
        <v>4220</v>
      </c>
      <c r="C856" s="26">
        <v>2025</v>
      </c>
      <c r="D856" s="8"/>
      <c r="E856" s="8" t="s">
        <v>4221</v>
      </c>
      <c r="F856" s="20" t="s">
        <v>54</v>
      </c>
      <c r="G856" s="21" t="s">
        <v>53</v>
      </c>
      <c r="H856" s="21" t="s">
        <v>53</v>
      </c>
      <c r="I856" s="21" t="s">
        <v>53</v>
      </c>
      <c r="J856" s="21" t="s">
        <v>53</v>
      </c>
      <c r="K856" s="21" t="s">
        <v>53</v>
      </c>
      <c r="L856" s="22" t="str">
        <f t="shared" si="65"/>
        <v>INCLUDE</v>
      </c>
      <c r="M856" s="22" t="str">
        <f t="shared" si="66"/>
        <v/>
      </c>
      <c r="N856" s="23" t="s">
        <v>53</v>
      </c>
      <c r="O856" s="23" t="s">
        <v>53</v>
      </c>
      <c r="P856" s="24" t="s">
        <v>53</v>
      </c>
      <c r="Q856" s="24" t="s">
        <v>53</v>
      </c>
      <c r="R856" s="24" t="s">
        <v>53</v>
      </c>
      <c r="S856" s="22" t="str">
        <f t="shared" si="67"/>
        <v>INCLUDE</v>
      </c>
      <c r="T856" s="22" t="str">
        <f t="shared" si="68"/>
        <v/>
      </c>
      <c r="U856" s="25" t="s">
        <v>56</v>
      </c>
      <c r="V856" s="25">
        <v>0</v>
      </c>
      <c r="W856" s="25">
        <v>1</v>
      </c>
      <c r="X856" s="25">
        <v>0</v>
      </c>
      <c r="Y856" s="22" t="str">
        <f t="shared" si="69"/>
        <v>Single</v>
      </c>
      <c r="Z856" s="25" t="s">
        <v>9</v>
      </c>
      <c r="AA856" s="25" t="s">
        <v>57</v>
      </c>
      <c r="AB856" s="25" t="s">
        <v>101</v>
      </c>
      <c r="AC856" s="25" t="s">
        <v>70</v>
      </c>
      <c r="AD856" s="25" t="s">
        <v>71</v>
      </c>
      <c r="AE856" s="25">
        <v>3</v>
      </c>
      <c r="AF856" s="25" t="s">
        <v>90</v>
      </c>
      <c r="AG856" s="9" t="s">
        <v>4222</v>
      </c>
      <c r="AH856" s="29" t="s">
        <v>4223</v>
      </c>
      <c r="AI856" s="29" t="s">
        <v>4224</v>
      </c>
      <c r="AJ856" t="s">
        <v>91</v>
      </c>
      <c r="AK856" t="s">
        <v>4225</v>
      </c>
      <c r="AL856" t="s">
        <v>74</v>
      </c>
      <c r="AM856" s="50"/>
      <c r="AN856" s="51" t="s">
        <v>4226</v>
      </c>
      <c r="AO856" s="55" t="s">
        <v>4227</v>
      </c>
    </row>
    <row r="857" spans="1:41" ht="57" hidden="1" x14ac:dyDescent="0.3">
      <c r="A857" s="20">
        <v>853</v>
      </c>
      <c r="B857" s="8" t="s">
        <v>4228</v>
      </c>
      <c r="C857" s="26">
        <v>2024</v>
      </c>
      <c r="D857" s="8"/>
      <c r="E857" s="8" t="s">
        <v>4229</v>
      </c>
      <c r="F857" s="20" t="s">
        <v>54</v>
      </c>
      <c r="G857" s="21" t="s">
        <v>53</v>
      </c>
      <c r="H857" s="21" t="s">
        <v>53</v>
      </c>
      <c r="I857" s="21" t="s">
        <v>53</v>
      </c>
      <c r="J857" s="21" t="s">
        <v>53</v>
      </c>
      <c r="K857" s="21" t="s">
        <v>53</v>
      </c>
      <c r="L857" s="22" t="str">
        <f t="shared" si="65"/>
        <v>INCLUDE</v>
      </c>
      <c r="M857" s="22" t="str">
        <f t="shared" si="66"/>
        <v/>
      </c>
      <c r="N857" s="23" t="s">
        <v>64</v>
      </c>
      <c r="O857" s="23" t="s">
        <v>64</v>
      </c>
      <c r="P857" s="24"/>
      <c r="Q857" s="24"/>
      <c r="R857" s="24"/>
      <c r="S857" s="22" t="str">
        <f t="shared" si="67"/>
        <v/>
      </c>
      <c r="T857" s="22" t="str">
        <f t="shared" si="68"/>
        <v/>
      </c>
      <c r="U857" s="25"/>
      <c r="V857" s="25"/>
      <c r="W857" s="25"/>
      <c r="X857" s="25"/>
      <c r="Y857" s="22" t="str">
        <f t="shared" si="69"/>
        <v/>
      </c>
      <c r="Z857" s="25"/>
      <c r="AA857" s="25"/>
      <c r="AB857" s="25"/>
      <c r="AC857" s="25"/>
      <c r="AD857" s="25"/>
      <c r="AE857" s="25"/>
      <c r="AF857" s="25"/>
      <c r="AG857" s="9"/>
      <c r="AH857" s="29"/>
      <c r="AI857" s="29"/>
      <c r="AM857" s="50"/>
      <c r="AN857" s="51" t="s">
        <v>4230</v>
      </c>
      <c r="AO857" s="55" t="s">
        <v>4231</v>
      </c>
    </row>
    <row r="858" spans="1:41" ht="34.200000000000003" hidden="1" x14ac:dyDescent="0.3">
      <c r="A858" s="20">
        <v>854</v>
      </c>
      <c r="B858" s="8" t="s">
        <v>4232</v>
      </c>
      <c r="C858" s="26">
        <v>2024</v>
      </c>
      <c r="D858" s="8"/>
      <c r="E858" s="8" t="s">
        <v>4233</v>
      </c>
      <c r="F858" s="20" t="s">
        <v>54</v>
      </c>
      <c r="G858" s="21" t="s">
        <v>53</v>
      </c>
      <c r="H858" s="21" t="s">
        <v>64</v>
      </c>
      <c r="I858" s="21" t="s">
        <v>53</v>
      </c>
      <c r="J858" s="21" t="s">
        <v>53</v>
      </c>
      <c r="K858" s="21" t="s">
        <v>53</v>
      </c>
      <c r="L858" s="22" t="str">
        <f t="shared" si="65"/>
        <v>EXCLUDE</v>
      </c>
      <c r="M858" s="22" t="str">
        <f t="shared" si="66"/>
        <v>Digital Twin not core / buzzword</v>
      </c>
      <c r="N858" s="23"/>
      <c r="O858" s="23"/>
      <c r="P858" s="24"/>
      <c r="Q858" s="24"/>
      <c r="R858" s="24"/>
      <c r="S858" s="22" t="str">
        <f t="shared" si="67"/>
        <v/>
      </c>
      <c r="T858" s="22" t="str">
        <f t="shared" si="68"/>
        <v/>
      </c>
      <c r="U858" s="25"/>
      <c r="V858" s="25"/>
      <c r="W858" s="25"/>
      <c r="X858" s="25"/>
      <c r="Y858" s="22" t="str">
        <f t="shared" si="69"/>
        <v/>
      </c>
      <c r="Z858" s="25"/>
      <c r="AA858" s="25"/>
      <c r="AB858" s="25"/>
      <c r="AC858" s="25"/>
      <c r="AD858" s="25"/>
      <c r="AE858" s="25"/>
      <c r="AF858" s="25"/>
      <c r="AG858" s="9"/>
      <c r="AH858" s="29"/>
      <c r="AI858" s="29"/>
      <c r="AM858" s="50"/>
      <c r="AN858" s="51" t="s">
        <v>4234</v>
      </c>
      <c r="AO858" s="55" t="s">
        <v>4235</v>
      </c>
    </row>
    <row r="859" spans="1:41" ht="68.400000000000006" hidden="1" x14ac:dyDescent="0.3">
      <c r="A859" s="20">
        <v>855</v>
      </c>
      <c r="B859" s="8" t="s">
        <v>4236</v>
      </c>
      <c r="C859" s="26">
        <v>2024</v>
      </c>
      <c r="D859" s="8"/>
      <c r="E859" s="8" t="s">
        <v>4237</v>
      </c>
      <c r="F859" s="20" t="s">
        <v>54</v>
      </c>
      <c r="G859" s="21" t="s">
        <v>53</v>
      </c>
      <c r="H859" s="21" t="s">
        <v>64</v>
      </c>
      <c r="I859" s="21" t="s">
        <v>53</v>
      </c>
      <c r="J859" s="21" t="s">
        <v>53</v>
      </c>
      <c r="K859" s="21" t="s">
        <v>53</v>
      </c>
      <c r="L859" s="22" t="str">
        <f t="shared" si="65"/>
        <v>EXCLUDE</v>
      </c>
      <c r="M859" s="22" t="str">
        <f t="shared" si="66"/>
        <v>Digital Twin not core / buzzword</v>
      </c>
      <c r="N859" s="23"/>
      <c r="O859" s="23"/>
      <c r="P859" s="24"/>
      <c r="Q859" s="24"/>
      <c r="R859" s="24"/>
      <c r="S859" s="22" t="str">
        <f t="shared" si="67"/>
        <v/>
      </c>
      <c r="T859" s="22" t="str">
        <f t="shared" si="68"/>
        <v/>
      </c>
      <c r="U859" s="25"/>
      <c r="V859" s="25"/>
      <c r="W859" s="25"/>
      <c r="X859" s="25"/>
      <c r="Y859" s="22" t="str">
        <f t="shared" si="69"/>
        <v/>
      </c>
      <c r="Z859" s="25"/>
      <c r="AA859" s="25"/>
      <c r="AB859" s="25"/>
      <c r="AC859" s="25"/>
      <c r="AD859" s="25"/>
      <c r="AE859" s="25"/>
      <c r="AF859" s="25"/>
      <c r="AG859" s="9"/>
      <c r="AH859" s="29"/>
      <c r="AI859" s="29"/>
      <c r="AM859" s="50"/>
      <c r="AN859" s="51" t="s">
        <v>4238</v>
      </c>
      <c r="AO859" s="55" t="s">
        <v>4239</v>
      </c>
    </row>
    <row r="860" spans="1:41" ht="91.2" x14ac:dyDescent="0.3">
      <c r="A860" s="20">
        <v>856</v>
      </c>
      <c r="B860" s="8" t="s">
        <v>4240</v>
      </c>
      <c r="C860" s="26">
        <v>2022</v>
      </c>
      <c r="D860" s="8"/>
      <c r="E860" s="8" t="s">
        <v>4241</v>
      </c>
      <c r="F860" s="20" t="s">
        <v>54</v>
      </c>
      <c r="G860" s="21" t="s">
        <v>53</v>
      </c>
      <c r="H860" s="21" t="s">
        <v>53</v>
      </c>
      <c r="I860" s="21" t="s">
        <v>53</v>
      </c>
      <c r="J860" s="21" t="s">
        <v>53</v>
      </c>
      <c r="K860" s="21" t="s">
        <v>53</v>
      </c>
      <c r="L860" s="22" t="str">
        <f t="shared" si="65"/>
        <v>INCLUDE</v>
      </c>
      <c r="M860" s="22" t="str">
        <f t="shared" si="66"/>
        <v/>
      </c>
      <c r="N860" s="23" t="s">
        <v>53</v>
      </c>
      <c r="O860" s="23" t="s">
        <v>53</v>
      </c>
      <c r="P860" s="24" t="s">
        <v>53</v>
      </c>
      <c r="Q860" s="24" t="s">
        <v>53</v>
      </c>
      <c r="R860" s="24" t="s">
        <v>53</v>
      </c>
      <c r="S860" s="22" t="str">
        <f t="shared" si="67"/>
        <v>INCLUDE</v>
      </c>
      <c r="T860" s="22" t="str">
        <f t="shared" si="68"/>
        <v/>
      </c>
      <c r="U860" s="25" t="s">
        <v>67</v>
      </c>
      <c r="V860" s="25">
        <v>0</v>
      </c>
      <c r="W860" s="25">
        <v>0</v>
      </c>
      <c r="X860" s="25">
        <v>1</v>
      </c>
      <c r="Y860" s="22" t="str">
        <f t="shared" si="69"/>
        <v>Single</v>
      </c>
      <c r="Z860" s="25" t="s">
        <v>9</v>
      </c>
      <c r="AA860" s="25" t="s">
        <v>57</v>
      </c>
      <c r="AB860" s="25" t="s">
        <v>58</v>
      </c>
      <c r="AC860" s="25" t="s">
        <v>70</v>
      </c>
      <c r="AD860" s="25" t="s">
        <v>89</v>
      </c>
      <c r="AE860" s="25">
        <v>4</v>
      </c>
      <c r="AF860" s="25" t="s">
        <v>96</v>
      </c>
      <c r="AG860" s="9" t="s">
        <v>4242</v>
      </c>
      <c r="AH860" s="29" t="s">
        <v>4243</v>
      </c>
      <c r="AI860" s="29" t="s">
        <v>4244</v>
      </c>
      <c r="AJ860" t="s">
        <v>91</v>
      </c>
      <c r="AK860" t="s">
        <v>4245</v>
      </c>
      <c r="AL860" t="s">
        <v>63</v>
      </c>
      <c r="AM860" s="50"/>
      <c r="AN860" s="51" t="s">
        <v>4246</v>
      </c>
      <c r="AO860" s="55" t="s">
        <v>4247</v>
      </c>
    </row>
    <row r="861" spans="1:41" ht="45.6" hidden="1" x14ac:dyDescent="0.3">
      <c r="A861" s="20">
        <v>857</v>
      </c>
      <c r="B861" s="8" t="s">
        <v>4248</v>
      </c>
      <c r="C861" s="26">
        <v>2022</v>
      </c>
      <c r="D861" s="8"/>
      <c r="E861" s="8" t="s">
        <v>4249</v>
      </c>
      <c r="F861" s="20" t="s">
        <v>54</v>
      </c>
      <c r="G861" s="21" t="s">
        <v>64</v>
      </c>
      <c r="H861" s="21" t="s">
        <v>53</v>
      </c>
      <c r="I861" s="21" t="s">
        <v>53</v>
      </c>
      <c r="J861" s="21" t="s">
        <v>53</v>
      </c>
      <c r="K861" s="21" t="s">
        <v>53</v>
      </c>
      <c r="L861" s="22" t="str">
        <f t="shared" si="65"/>
        <v>EXCLUDE</v>
      </c>
      <c r="M861" s="22" t="str">
        <f t="shared" si="66"/>
        <v>Wrong domain (non-AECO)</v>
      </c>
      <c r="N861" s="23"/>
      <c r="O861" s="23"/>
      <c r="P861" s="24"/>
      <c r="Q861" s="24"/>
      <c r="R861" s="24"/>
      <c r="S861" s="22" t="str">
        <f t="shared" si="67"/>
        <v/>
      </c>
      <c r="T861" s="22" t="str">
        <f t="shared" si="68"/>
        <v/>
      </c>
      <c r="U861" s="25"/>
      <c r="V861" s="25"/>
      <c r="W861" s="25"/>
      <c r="X861" s="25"/>
      <c r="Y861" s="22" t="str">
        <f t="shared" si="69"/>
        <v/>
      </c>
      <c r="Z861" s="25"/>
      <c r="AA861" s="25"/>
      <c r="AB861" s="25"/>
      <c r="AC861" s="25"/>
      <c r="AD861" s="25"/>
      <c r="AE861" s="25"/>
      <c r="AF861" s="25"/>
      <c r="AG861" s="9"/>
      <c r="AH861" s="29"/>
      <c r="AI861" s="29"/>
      <c r="AM861" s="50"/>
      <c r="AN861" s="51" t="s">
        <v>4250</v>
      </c>
      <c r="AO861" s="55" t="s">
        <v>4251</v>
      </c>
    </row>
    <row r="862" spans="1:41" ht="79.8" x14ac:dyDescent="0.3">
      <c r="A862" s="20">
        <v>858</v>
      </c>
      <c r="B862" s="8" t="s">
        <v>4252</v>
      </c>
      <c r="C862" s="26">
        <v>2023</v>
      </c>
      <c r="D862" s="8"/>
      <c r="E862" s="8" t="s">
        <v>4253</v>
      </c>
      <c r="F862" s="20" t="s">
        <v>54</v>
      </c>
      <c r="G862" s="21" t="s">
        <v>53</v>
      </c>
      <c r="H862" s="21" t="s">
        <v>53</v>
      </c>
      <c r="I862" s="21" t="s">
        <v>53</v>
      </c>
      <c r="J862" s="21" t="s">
        <v>53</v>
      </c>
      <c r="K862" s="21" t="s">
        <v>53</v>
      </c>
      <c r="L862" s="22" t="str">
        <f t="shared" si="65"/>
        <v>INCLUDE</v>
      </c>
      <c r="M862" s="22" t="str">
        <f t="shared" si="66"/>
        <v/>
      </c>
      <c r="N862" s="23" t="s">
        <v>53</v>
      </c>
      <c r="O862" s="23" t="s">
        <v>53</v>
      </c>
      <c r="P862" s="24" t="s">
        <v>53</v>
      </c>
      <c r="Q862" s="24" t="s">
        <v>53</v>
      </c>
      <c r="R862" s="24" t="s">
        <v>53</v>
      </c>
      <c r="S862" s="22" t="str">
        <f t="shared" si="67"/>
        <v>INCLUDE</v>
      </c>
      <c r="T862" s="22" t="str">
        <f t="shared" si="68"/>
        <v/>
      </c>
      <c r="U862" s="25" t="s">
        <v>56</v>
      </c>
      <c r="V862" s="25">
        <v>0</v>
      </c>
      <c r="W862" s="25">
        <v>1</v>
      </c>
      <c r="X862" s="25">
        <v>0</v>
      </c>
      <c r="Y862" s="22" t="str">
        <f t="shared" si="69"/>
        <v>Single</v>
      </c>
      <c r="Z862" s="25" t="s">
        <v>9</v>
      </c>
      <c r="AA862" s="25" t="s">
        <v>57</v>
      </c>
      <c r="AB862" s="25" t="s">
        <v>103</v>
      </c>
      <c r="AC862" s="25" t="s">
        <v>70</v>
      </c>
      <c r="AD862" s="25" t="s">
        <v>60</v>
      </c>
      <c r="AE862" s="25">
        <v>3</v>
      </c>
      <c r="AF862" s="25" t="s">
        <v>98</v>
      </c>
      <c r="AG862" s="9" t="s">
        <v>4254</v>
      </c>
      <c r="AH862" s="29" t="s">
        <v>4255</v>
      </c>
      <c r="AI862" s="29" t="s">
        <v>4256</v>
      </c>
      <c r="AJ862" t="s">
        <v>93</v>
      </c>
      <c r="AK862" t="s">
        <v>4257</v>
      </c>
      <c r="AL862" t="s">
        <v>63</v>
      </c>
      <c r="AM862" s="50" t="s">
        <v>213</v>
      </c>
      <c r="AN862" s="51" t="s">
        <v>4258</v>
      </c>
      <c r="AO862" s="55" t="s">
        <v>4259</v>
      </c>
    </row>
    <row r="863" spans="1:41" ht="114" hidden="1" x14ac:dyDescent="0.3">
      <c r="A863" s="20">
        <v>859</v>
      </c>
      <c r="B863" s="8" t="s">
        <v>4260</v>
      </c>
      <c r="C863" s="26">
        <v>2025</v>
      </c>
      <c r="D863" s="8"/>
      <c r="E863" s="8" t="s">
        <v>4261</v>
      </c>
      <c r="F863" s="20" t="s">
        <v>54</v>
      </c>
      <c r="G863" s="21" t="s">
        <v>53</v>
      </c>
      <c r="H863" s="21" t="s">
        <v>53</v>
      </c>
      <c r="I863" s="21" t="s">
        <v>64</v>
      </c>
      <c r="J863" s="21" t="s">
        <v>53</v>
      </c>
      <c r="K863" s="21" t="s">
        <v>53</v>
      </c>
      <c r="L863" s="22" t="str">
        <f t="shared" si="65"/>
        <v>EXCLUDE</v>
      </c>
      <c r="M863" s="22" t="str">
        <f t="shared" si="66"/>
        <v>No Design for Safety/Quality/PtD</v>
      </c>
      <c r="N863" s="23"/>
      <c r="O863" s="23"/>
      <c r="P863" s="24"/>
      <c r="Q863" s="24"/>
      <c r="R863" s="24"/>
      <c r="S863" s="22" t="str">
        <f t="shared" si="67"/>
        <v/>
      </c>
      <c r="T863" s="22" t="str">
        <f t="shared" si="68"/>
        <v/>
      </c>
      <c r="U863" s="25"/>
      <c r="V863" s="25"/>
      <c r="W863" s="25"/>
      <c r="X863" s="25"/>
      <c r="Y863" s="22" t="str">
        <f t="shared" si="69"/>
        <v/>
      </c>
      <c r="Z863" s="25"/>
      <c r="AA863" s="25"/>
      <c r="AB863" s="25"/>
      <c r="AC863" s="25"/>
      <c r="AD863" s="25"/>
      <c r="AE863" s="25"/>
      <c r="AF863" s="25"/>
      <c r="AG863" s="9"/>
      <c r="AH863" s="29"/>
      <c r="AI863" s="29"/>
      <c r="AM863" s="50"/>
      <c r="AN863" s="51" t="s">
        <v>4262</v>
      </c>
      <c r="AO863" s="55" t="s">
        <v>4263</v>
      </c>
    </row>
    <row r="864" spans="1:41" ht="45.6" hidden="1" x14ac:dyDescent="0.3">
      <c r="A864" s="20">
        <v>860</v>
      </c>
      <c r="B864" s="8" t="s">
        <v>4264</v>
      </c>
      <c r="C864" s="26">
        <v>2025</v>
      </c>
      <c r="D864" s="8"/>
      <c r="E864" s="8" t="s">
        <v>4265</v>
      </c>
      <c r="F864" s="20" t="s">
        <v>54</v>
      </c>
      <c r="G864" s="21" t="s">
        <v>64</v>
      </c>
      <c r="H864" s="21" t="s">
        <v>53</v>
      </c>
      <c r="I864" s="21" t="s">
        <v>53</v>
      </c>
      <c r="J864" s="21" t="s">
        <v>53</v>
      </c>
      <c r="K864" s="21" t="s">
        <v>53</v>
      </c>
      <c r="L864" s="22" t="str">
        <f t="shared" si="65"/>
        <v>EXCLUDE</v>
      </c>
      <c r="M864" s="22" t="str">
        <f t="shared" si="66"/>
        <v>Wrong domain (non-AECO)</v>
      </c>
      <c r="N864" s="23"/>
      <c r="O864" s="23"/>
      <c r="P864" s="24"/>
      <c r="Q864" s="24"/>
      <c r="R864" s="24"/>
      <c r="S864" s="22" t="str">
        <f t="shared" si="67"/>
        <v/>
      </c>
      <c r="T864" s="22" t="str">
        <f t="shared" si="68"/>
        <v/>
      </c>
      <c r="U864" s="25"/>
      <c r="V864" s="25"/>
      <c r="W864" s="25"/>
      <c r="X864" s="25"/>
      <c r="Y864" s="22" t="str">
        <f t="shared" si="69"/>
        <v/>
      </c>
      <c r="Z864" s="25"/>
      <c r="AA864" s="25"/>
      <c r="AB864" s="25"/>
      <c r="AC864" s="25"/>
      <c r="AD864" s="25"/>
      <c r="AE864" s="25"/>
      <c r="AF864" s="25"/>
      <c r="AG864" s="9"/>
      <c r="AH864" s="29"/>
      <c r="AI864" s="29"/>
      <c r="AM864" s="50"/>
      <c r="AN864" s="51" t="s">
        <v>4266</v>
      </c>
      <c r="AO864" s="55" t="s">
        <v>4267</v>
      </c>
    </row>
    <row r="865" spans="1:41" ht="79.8" x14ac:dyDescent="0.3">
      <c r="A865" s="20">
        <v>861</v>
      </c>
      <c r="B865" s="8" t="s">
        <v>2572</v>
      </c>
      <c r="C865" s="26">
        <v>2023</v>
      </c>
      <c r="D865" s="8"/>
      <c r="E865" s="8" t="s">
        <v>4268</v>
      </c>
      <c r="F865" s="20" t="s">
        <v>54</v>
      </c>
      <c r="G865" s="21" t="s">
        <v>53</v>
      </c>
      <c r="H865" s="21" t="s">
        <v>53</v>
      </c>
      <c r="I865" s="21" t="s">
        <v>53</v>
      </c>
      <c r="J865" s="21" t="s">
        <v>53</v>
      </c>
      <c r="K865" s="21" t="s">
        <v>53</v>
      </c>
      <c r="L865" s="22" t="str">
        <f t="shared" si="65"/>
        <v>INCLUDE</v>
      </c>
      <c r="M865" s="22" t="str">
        <f t="shared" si="66"/>
        <v/>
      </c>
      <c r="N865" s="23" t="s">
        <v>53</v>
      </c>
      <c r="O865" s="23" t="s">
        <v>53</v>
      </c>
      <c r="P865" s="24" t="s">
        <v>53</v>
      </c>
      <c r="Q865" s="24" t="s">
        <v>53</v>
      </c>
      <c r="R865" s="24" t="s">
        <v>53</v>
      </c>
      <c r="S865" s="22" t="str">
        <f t="shared" si="67"/>
        <v>INCLUDE</v>
      </c>
      <c r="T865" s="22" t="str">
        <f t="shared" si="68"/>
        <v/>
      </c>
      <c r="U865" s="25" t="s">
        <v>67</v>
      </c>
      <c r="V865" s="25">
        <v>0</v>
      </c>
      <c r="W865" s="25">
        <v>1</v>
      </c>
      <c r="X865" s="25">
        <v>0</v>
      </c>
      <c r="Y865" s="22" t="str">
        <f t="shared" si="69"/>
        <v>Single</v>
      </c>
      <c r="Z865" s="25" t="s">
        <v>9</v>
      </c>
      <c r="AA865" s="25" t="s">
        <v>57</v>
      </c>
      <c r="AB865" s="25" t="s">
        <v>100</v>
      </c>
      <c r="AC865" s="25" t="s">
        <v>70</v>
      </c>
      <c r="AD865" s="25" t="s">
        <v>89</v>
      </c>
      <c r="AE865" s="25">
        <v>3</v>
      </c>
      <c r="AF865" s="25" t="s">
        <v>90</v>
      </c>
      <c r="AG865" s="9" t="s">
        <v>4269</v>
      </c>
      <c r="AH865" s="29" t="s">
        <v>4270</v>
      </c>
      <c r="AI865" s="29" t="s">
        <v>4271</v>
      </c>
      <c r="AJ865" t="s">
        <v>91</v>
      </c>
      <c r="AK865" t="s">
        <v>4272</v>
      </c>
      <c r="AL865" t="s">
        <v>74</v>
      </c>
      <c r="AM865" s="50"/>
      <c r="AN865" s="51" t="s">
        <v>4273</v>
      </c>
      <c r="AO865" s="55" t="s">
        <v>4274</v>
      </c>
    </row>
    <row r="866" spans="1:41" ht="28.8" hidden="1" x14ac:dyDescent="0.3">
      <c r="A866" s="20">
        <v>862</v>
      </c>
      <c r="B866" s="8" t="s">
        <v>4275</v>
      </c>
      <c r="C866" s="26">
        <v>2025</v>
      </c>
      <c r="D866" s="8"/>
      <c r="E866" s="8" t="s">
        <v>4276</v>
      </c>
      <c r="F866" s="20" t="s">
        <v>54</v>
      </c>
      <c r="G866" s="21" t="s">
        <v>53</v>
      </c>
      <c r="H866" s="21" t="s">
        <v>64</v>
      </c>
      <c r="I866" s="21" t="s">
        <v>53</v>
      </c>
      <c r="J866" s="21" t="s">
        <v>53</v>
      </c>
      <c r="K866" s="21" t="s">
        <v>53</v>
      </c>
      <c r="L866" s="22" t="str">
        <f t="shared" si="65"/>
        <v>EXCLUDE</v>
      </c>
      <c r="M866" s="22" t="str">
        <f t="shared" si="66"/>
        <v>Digital Twin not core / buzzword</v>
      </c>
      <c r="N866" s="23"/>
      <c r="O866" s="23"/>
      <c r="P866" s="24"/>
      <c r="Q866" s="24"/>
      <c r="R866" s="24"/>
      <c r="S866" s="22" t="str">
        <f t="shared" si="67"/>
        <v/>
      </c>
      <c r="T866" s="22" t="str">
        <f t="shared" si="68"/>
        <v/>
      </c>
      <c r="U866" s="25"/>
      <c r="V866" s="25"/>
      <c r="W866" s="25"/>
      <c r="X866" s="25"/>
      <c r="Y866" s="22" t="str">
        <f t="shared" si="69"/>
        <v/>
      </c>
      <c r="Z866" s="25"/>
      <c r="AA866" s="25"/>
      <c r="AB866" s="25"/>
      <c r="AC866" s="25"/>
      <c r="AD866" s="25"/>
      <c r="AE866" s="25"/>
      <c r="AF866" s="25"/>
      <c r="AG866" s="9"/>
      <c r="AH866" s="29"/>
      <c r="AI866" s="29"/>
      <c r="AM866" s="50"/>
      <c r="AN866" s="51" t="s">
        <v>4277</v>
      </c>
      <c r="AO866" s="55" t="s">
        <v>4278</v>
      </c>
    </row>
    <row r="867" spans="1:41" ht="57" hidden="1" x14ac:dyDescent="0.3">
      <c r="A867" s="20">
        <v>863</v>
      </c>
      <c r="B867" s="8" t="s">
        <v>4279</v>
      </c>
      <c r="C867" s="26">
        <v>2022</v>
      </c>
      <c r="D867" s="8"/>
      <c r="E867" s="8" t="s">
        <v>4280</v>
      </c>
      <c r="F867" s="20" t="s">
        <v>54</v>
      </c>
      <c r="G867" s="21" t="s">
        <v>53</v>
      </c>
      <c r="H867" s="21" t="s">
        <v>64</v>
      </c>
      <c r="I867" s="21" t="s">
        <v>53</v>
      </c>
      <c r="J867" s="21" t="s">
        <v>53</v>
      </c>
      <c r="K867" s="21" t="s">
        <v>53</v>
      </c>
      <c r="L867" s="22" t="str">
        <f t="shared" si="65"/>
        <v>EXCLUDE</v>
      </c>
      <c r="M867" s="22" t="str">
        <f t="shared" si="66"/>
        <v>Digital Twin not core / buzzword</v>
      </c>
      <c r="N867" s="23"/>
      <c r="O867" s="23"/>
      <c r="P867" s="24"/>
      <c r="Q867" s="24"/>
      <c r="R867" s="24"/>
      <c r="S867" s="22" t="str">
        <f t="shared" si="67"/>
        <v/>
      </c>
      <c r="T867" s="22" t="str">
        <f t="shared" si="68"/>
        <v/>
      </c>
      <c r="U867" s="25"/>
      <c r="V867" s="25"/>
      <c r="W867" s="25"/>
      <c r="X867" s="25"/>
      <c r="Y867" s="22" t="str">
        <f t="shared" si="69"/>
        <v/>
      </c>
      <c r="Z867" s="25"/>
      <c r="AA867" s="25"/>
      <c r="AB867" s="25"/>
      <c r="AC867" s="25"/>
      <c r="AD867" s="25"/>
      <c r="AE867" s="25"/>
      <c r="AF867" s="25"/>
      <c r="AG867" s="9"/>
      <c r="AH867" s="29"/>
      <c r="AI867" s="29"/>
      <c r="AM867" s="50"/>
      <c r="AN867" s="51" t="s">
        <v>4281</v>
      </c>
      <c r="AO867" s="55" t="s">
        <v>4282</v>
      </c>
    </row>
    <row r="868" spans="1:41" ht="79.8" hidden="1" x14ac:dyDescent="0.3">
      <c r="A868" s="20">
        <v>864</v>
      </c>
      <c r="B868" s="8" t="s">
        <v>4283</v>
      </c>
      <c r="C868" s="26">
        <v>2025</v>
      </c>
      <c r="D868" s="8"/>
      <c r="E868" s="8" t="s">
        <v>4284</v>
      </c>
      <c r="F868" s="20" t="s">
        <v>54</v>
      </c>
      <c r="G868" s="21" t="s">
        <v>64</v>
      </c>
      <c r="H868" s="21" t="s">
        <v>53</v>
      </c>
      <c r="I868" s="21" t="s">
        <v>53</v>
      </c>
      <c r="J868" s="21" t="s">
        <v>53</v>
      </c>
      <c r="K868" s="21" t="s">
        <v>53</v>
      </c>
      <c r="L868" s="22" t="str">
        <f t="shared" si="65"/>
        <v>EXCLUDE</v>
      </c>
      <c r="M868" s="22" t="str">
        <f t="shared" si="66"/>
        <v>Wrong domain (non-AECO)</v>
      </c>
      <c r="N868" s="23"/>
      <c r="O868" s="23"/>
      <c r="P868" s="24"/>
      <c r="Q868" s="24"/>
      <c r="R868" s="24"/>
      <c r="S868" s="22" t="str">
        <f t="shared" si="67"/>
        <v/>
      </c>
      <c r="T868" s="22" t="str">
        <f t="shared" si="68"/>
        <v/>
      </c>
      <c r="U868" s="25"/>
      <c r="V868" s="25"/>
      <c r="W868" s="25"/>
      <c r="X868" s="25"/>
      <c r="Y868" s="22" t="str">
        <f t="shared" si="69"/>
        <v/>
      </c>
      <c r="Z868" s="25"/>
      <c r="AA868" s="25"/>
      <c r="AB868" s="25"/>
      <c r="AC868" s="25"/>
      <c r="AD868" s="25"/>
      <c r="AE868" s="25"/>
      <c r="AF868" s="25"/>
      <c r="AG868" s="9"/>
      <c r="AH868" s="29"/>
      <c r="AI868" s="29"/>
      <c r="AM868" s="50"/>
      <c r="AN868" s="51" t="s">
        <v>4285</v>
      </c>
      <c r="AO868" s="55" t="s">
        <v>4286</v>
      </c>
    </row>
    <row r="869" spans="1:41" ht="79.8" hidden="1" x14ac:dyDescent="0.3">
      <c r="A869" s="20">
        <v>865</v>
      </c>
      <c r="B869" s="8" t="s">
        <v>4287</v>
      </c>
      <c r="C869" s="26">
        <v>2024</v>
      </c>
      <c r="D869" s="8"/>
      <c r="E869" s="8" t="s">
        <v>4288</v>
      </c>
      <c r="F869" s="20" t="s">
        <v>54</v>
      </c>
      <c r="G869" s="21" t="s">
        <v>64</v>
      </c>
      <c r="H869" s="21" t="s">
        <v>53</v>
      </c>
      <c r="I869" s="21" t="s">
        <v>53</v>
      </c>
      <c r="J869" s="21" t="s">
        <v>53</v>
      </c>
      <c r="K869" s="21" t="s">
        <v>53</v>
      </c>
      <c r="L869" s="22" t="str">
        <f t="shared" si="65"/>
        <v>EXCLUDE</v>
      </c>
      <c r="M869" s="22" t="str">
        <f t="shared" si="66"/>
        <v>Wrong domain (non-AECO)</v>
      </c>
      <c r="N869" s="23"/>
      <c r="O869" s="23"/>
      <c r="P869" s="24"/>
      <c r="Q869" s="24"/>
      <c r="R869" s="24"/>
      <c r="S869" s="22" t="str">
        <f t="shared" si="67"/>
        <v/>
      </c>
      <c r="T869" s="22" t="str">
        <f t="shared" si="68"/>
        <v/>
      </c>
      <c r="U869" s="25"/>
      <c r="V869" s="25"/>
      <c r="W869" s="25"/>
      <c r="X869" s="25"/>
      <c r="Y869" s="22" t="str">
        <f t="shared" si="69"/>
        <v/>
      </c>
      <c r="Z869" s="25"/>
      <c r="AA869" s="25"/>
      <c r="AB869" s="25"/>
      <c r="AC869" s="25"/>
      <c r="AD869" s="25"/>
      <c r="AE869" s="25"/>
      <c r="AF869" s="25"/>
      <c r="AG869" s="9"/>
      <c r="AH869" s="29"/>
      <c r="AI869" s="29"/>
      <c r="AM869" s="50"/>
      <c r="AN869" s="51" t="s">
        <v>4289</v>
      </c>
      <c r="AO869" s="55" t="s">
        <v>4290</v>
      </c>
    </row>
    <row r="870" spans="1:41" ht="68.400000000000006" x14ac:dyDescent="0.3">
      <c r="A870" s="20">
        <v>866</v>
      </c>
      <c r="B870" s="8" t="s">
        <v>4291</v>
      </c>
      <c r="C870" s="26">
        <v>2022</v>
      </c>
      <c r="D870" s="8"/>
      <c r="E870" s="8" t="s">
        <v>4292</v>
      </c>
      <c r="F870" s="20" t="s">
        <v>54</v>
      </c>
      <c r="G870" s="21" t="s">
        <v>53</v>
      </c>
      <c r="H870" s="21" t="s">
        <v>53</v>
      </c>
      <c r="I870" s="21" t="s">
        <v>53</v>
      </c>
      <c r="J870" s="21" t="s">
        <v>53</v>
      </c>
      <c r="K870" s="21" t="s">
        <v>53</v>
      </c>
      <c r="L870" s="22" t="str">
        <f t="shared" si="65"/>
        <v>INCLUDE</v>
      </c>
      <c r="M870" s="22" t="str">
        <f t="shared" si="66"/>
        <v/>
      </c>
      <c r="N870" s="23" t="s">
        <v>53</v>
      </c>
      <c r="O870" s="23" t="s">
        <v>53</v>
      </c>
      <c r="P870" s="24" t="s">
        <v>53</v>
      </c>
      <c r="Q870" s="24" t="s">
        <v>53</v>
      </c>
      <c r="R870" s="24" t="s">
        <v>53</v>
      </c>
      <c r="S870" s="22" t="str">
        <f t="shared" si="67"/>
        <v>INCLUDE</v>
      </c>
      <c r="T870" s="22" t="str">
        <f t="shared" si="68"/>
        <v/>
      </c>
      <c r="U870" s="25" t="s">
        <v>67</v>
      </c>
      <c r="V870" s="25">
        <v>0</v>
      </c>
      <c r="W870" s="25">
        <v>1</v>
      </c>
      <c r="X870" s="25">
        <v>0</v>
      </c>
      <c r="Y870" s="22" t="str">
        <f t="shared" si="69"/>
        <v>Single</v>
      </c>
      <c r="Z870" s="25" t="s">
        <v>9</v>
      </c>
      <c r="AA870" s="25" t="s">
        <v>57</v>
      </c>
      <c r="AB870" s="25" t="s">
        <v>104</v>
      </c>
      <c r="AC870" s="25" t="s">
        <v>70</v>
      </c>
      <c r="AD870" s="25" t="s">
        <v>89</v>
      </c>
      <c r="AE870" s="25">
        <v>3</v>
      </c>
      <c r="AF870" s="25" t="s">
        <v>96</v>
      </c>
      <c r="AG870" s="9" t="s">
        <v>4293</v>
      </c>
      <c r="AH870" s="29" t="s">
        <v>4294</v>
      </c>
      <c r="AI870" s="29" t="s">
        <v>4295</v>
      </c>
      <c r="AJ870" t="s">
        <v>91</v>
      </c>
      <c r="AK870" t="s">
        <v>4296</v>
      </c>
      <c r="AL870" t="s">
        <v>74</v>
      </c>
      <c r="AM870" s="50"/>
      <c r="AN870" s="51" t="s">
        <v>4297</v>
      </c>
      <c r="AO870" s="55" t="s">
        <v>4298</v>
      </c>
    </row>
    <row r="871" spans="1:41" ht="79.8" x14ac:dyDescent="0.3">
      <c r="A871" s="20">
        <v>867</v>
      </c>
      <c r="B871" s="8" t="s">
        <v>3636</v>
      </c>
      <c r="C871" s="26">
        <v>2023</v>
      </c>
      <c r="D871" s="8"/>
      <c r="E871" s="8" t="s">
        <v>4299</v>
      </c>
      <c r="F871" s="20" t="s">
        <v>54</v>
      </c>
      <c r="G871" s="21" t="s">
        <v>53</v>
      </c>
      <c r="H871" s="21" t="s">
        <v>53</v>
      </c>
      <c r="I871" s="21" t="s">
        <v>53</v>
      </c>
      <c r="J871" s="21" t="s">
        <v>53</v>
      </c>
      <c r="K871" s="21" t="s">
        <v>53</v>
      </c>
      <c r="L871" s="22" t="str">
        <f t="shared" si="65"/>
        <v>INCLUDE</v>
      </c>
      <c r="M871" s="22" t="str">
        <f t="shared" si="66"/>
        <v/>
      </c>
      <c r="N871" s="23" t="s">
        <v>53</v>
      </c>
      <c r="O871" s="23" t="s">
        <v>53</v>
      </c>
      <c r="P871" s="24" t="s">
        <v>53</v>
      </c>
      <c r="Q871" s="24" t="s">
        <v>53</v>
      </c>
      <c r="R871" s="24" t="s">
        <v>53</v>
      </c>
      <c r="S871" s="22" t="str">
        <f t="shared" si="67"/>
        <v>INCLUDE</v>
      </c>
      <c r="T871" s="22" t="str">
        <f t="shared" si="68"/>
        <v/>
      </c>
      <c r="U871" s="25" t="s">
        <v>67</v>
      </c>
      <c r="V871" s="25">
        <v>0</v>
      </c>
      <c r="W871" s="25">
        <v>0</v>
      </c>
      <c r="X871" s="25">
        <v>1</v>
      </c>
      <c r="Y871" s="22" t="str">
        <f t="shared" si="69"/>
        <v>Single</v>
      </c>
      <c r="Z871" s="25" t="s">
        <v>9</v>
      </c>
      <c r="AA871" s="25" t="s">
        <v>57</v>
      </c>
      <c r="AB871" s="25" t="s">
        <v>103</v>
      </c>
      <c r="AC871" s="25" t="s">
        <v>70</v>
      </c>
      <c r="AD871" s="25" t="s">
        <v>89</v>
      </c>
      <c r="AE871" s="25">
        <v>4</v>
      </c>
      <c r="AF871" s="25" t="s">
        <v>61</v>
      </c>
      <c r="AG871" s="9" t="s">
        <v>4300</v>
      </c>
      <c r="AH871" s="29" t="s">
        <v>4301</v>
      </c>
      <c r="AI871" s="29" t="s">
        <v>4302</v>
      </c>
      <c r="AJ871" t="s">
        <v>91</v>
      </c>
      <c r="AK871" t="s">
        <v>4303</v>
      </c>
      <c r="AL871" t="s">
        <v>63</v>
      </c>
      <c r="AM871" s="50"/>
      <c r="AN871" s="51" t="s">
        <v>4304</v>
      </c>
      <c r="AO871" s="55" t="s">
        <v>4305</v>
      </c>
    </row>
    <row r="872" spans="1:41" ht="91.2" x14ac:dyDescent="0.3">
      <c r="A872" s="20">
        <v>868</v>
      </c>
      <c r="B872" s="8" t="s">
        <v>4306</v>
      </c>
      <c r="C872" s="26">
        <v>2023</v>
      </c>
      <c r="D872" s="8"/>
      <c r="E872" s="8" t="s">
        <v>4307</v>
      </c>
      <c r="F872" s="20" t="s">
        <v>54</v>
      </c>
      <c r="G872" s="21" t="s">
        <v>53</v>
      </c>
      <c r="H872" s="21" t="s">
        <v>53</v>
      </c>
      <c r="I872" s="21" t="s">
        <v>53</v>
      </c>
      <c r="J872" s="21" t="s">
        <v>53</v>
      </c>
      <c r="K872" s="21" t="s">
        <v>53</v>
      </c>
      <c r="L872" s="22" t="str">
        <f t="shared" si="65"/>
        <v>INCLUDE</v>
      </c>
      <c r="M872" s="22" t="str">
        <f t="shared" si="66"/>
        <v/>
      </c>
      <c r="N872" s="23" t="s">
        <v>53</v>
      </c>
      <c r="O872" s="23" t="s">
        <v>53</v>
      </c>
      <c r="P872" s="24" t="s">
        <v>53</v>
      </c>
      <c r="Q872" s="24" t="s">
        <v>53</v>
      </c>
      <c r="R872" s="24" t="s">
        <v>53</v>
      </c>
      <c r="S872" s="22" t="str">
        <f t="shared" si="67"/>
        <v>INCLUDE</v>
      </c>
      <c r="T872" s="22" t="str">
        <f t="shared" si="68"/>
        <v/>
      </c>
      <c r="U872" s="25" t="s">
        <v>56</v>
      </c>
      <c r="V872" s="25">
        <v>0</v>
      </c>
      <c r="W872" s="25">
        <v>1</v>
      </c>
      <c r="X872" s="25">
        <v>0</v>
      </c>
      <c r="Y872" s="22" t="str">
        <f t="shared" si="69"/>
        <v>Single</v>
      </c>
      <c r="Z872" s="25" t="s">
        <v>9</v>
      </c>
      <c r="AA872" s="25" t="s">
        <v>57</v>
      </c>
      <c r="AB872" s="25" t="s">
        <v>104</v>
      </c>
      <c r="AC872" s="25" t="s">
        <v>59</v>
      </c>
      <c r="AD872" s="25" t="s">
        <v>71</v>
      </c>
      <c r="AE872" s="25">
        <v>4</v>
      </c>
      <c r="AF872" s="25" t="s">
        <v>96</v>
      </c>
      <c r="AG872" s="9" t="s">
        <v>4308</v>
      </c>
      <c r="AH872" s="29" t="s">
        <v>4309</v>
      </c>
      <c r="AI872" s="29" t="s">
        <v>4310</v>
      </c>
      <c r="AJ872" t="s">
        <v>62</v>
      </c>
      <c r="AK872" t="s">
        <v>4311</v>
      </c>
      <c r="AL872" t="s">
        <v>63</v>
      </c>
      <c r="AM872" s="50"/>
      <c r="AN872" s="51" t="s">
        <v>4312</v>
      </c>
      <c r="AO872" s="55" t="s">
        <v>4313</v>
      </c>
    </row>
    <row r="873" spans="1:41" ht="79.8" x14ac:dyDescent="0.3">
      <c r="A873" s="20">
        <v>869</v>
      </c>
      <c r="B873" s="8" t="s">
        <v>4314</v>
      </c>
      <c r="C873" s="26">
        <v>2023</v>
      </c>
      <c r="D873" s="8"/>
      <c r="E873" s="8" t="s">
        <v>4315</v>
      </c>
      <c r="F873" s="20" t="s">
        <v>54</v>
      </c>
      <c r="G873" s="21" t="s">
        <v>53</v>
      </c>
      <c r="H873" s="21" t="s">
        <v>53</v>
      </c>
      <c r="I873" s="21" t="s">
        <v>53</v>
      </c>
      <c r="J873" s="21" t="s">
        <v>53</v>
      </c>
      <c r="K873" s="21" t="s">
        <v>53</v>
      </c>
      <c r="L873" s="22" t="str">
        <f t="shared" si="65"/>
        <v>INCLUDE</v>
      </c>
      <c r="M873" s="22" t="str">
        <f t="shared" si="66"/>
        <v/>
      </c>
      <c r="N873" s="23" t="s">
        <v>53</v>
      </c>
      <c r="O873" s="23" t="s">
        <v>53</v>
      </c>
      <c r="P873" s="24" t="s">
        <v>53</v>
      </c>
      <c r="Q873" s="24" t="s">
        <v>53</v>
      </c>
      <c r="R873" s="24" t="s">
        <v>53</v>
      </c>
      <c r="S873" s="22" t="str">
        <f t="shared" si="67"/>
        <v>INCLUDE</v>
      </c>
      <c r="T873" s="22" t="str">
        <f t="shared" si="68"/>
        <v/>
      </c>
      <c r="U873" s="25" t="s">
        <v>76</v>
      </c>
      <c r="V873" s="25">
        <v>0</v>
      </c>
      <c r="W873" s="25">
        <v>0</v>
      </c>
      <c r="X873" s="25">
        <v>1</v>
      </c>
      <c r="Y873" s="22" t="str">
        <f t="shared" si="69"/>
        <v>Single</v>
      </c>
      <c r="Z873" s="25" t="s">
        <v>9</v>
      </c>
      <c r="AA873" s="25" t="s">
        <v>57</v>
      </c>
      <c r="AB873" s="25" t="s">
        <v>104</v>
      </c>
      <c r="AC873" s="25" t="s">
        <v>70</v>
      </c>
      <c r="AD873" s="25" t="s">
        <v>89</v>
      </c>
      <c r="AE873" s="25">
        <v>3</v>
      </c>
      <c r="AF873" s="25" t="s">
        <v>90</v>
      </c>
      <c r="AG873" s="9" t="s">
        <v>4316</v>
      </c>
      <c r="AH873" s="29" t="s">
        <v>4317</v>
      </c>
      <c r="AI873" s="29" t="s">
        <v>4318</v>
      </c>
      <c r="AJ873" t="s">
        <v>91</v>
      </c>
      <c r="AK873" t="s">
        <v>4319</v>
      </c>
      <c r="AL873" t="s">
        <v>74</v>
      </c>
      <c r="AM873" s="50"/>
      <c r="AN873" s="51" t="s">
        <v>4320</v>
      </c>
      <c r="AO873" s="55" t="s">
        <v>4321</v>
      </c>
    </row>
    <row r="874" spans="1:41" ht="79.8" hidden="1" x14ac:dyDescent="0.3">
      <c r="A874" s="20">
        <v>870</v>
      </c>
      <c r="B874" s="8" t="s">
        <v>4322</v>
      </c>
      <c r="C874" s="26">
        <v>2024</v>
      </c>
      <c r="D874" s="8"/>
      <c r="E874" s="8" t="s">
        <v>4323</v>
      </c>
      <c r="F874" s="20" t="s">
        <v>54</v>
      </c>
      <c r="G874" s="21" t="s">
        <v>64</v>
      </c>
      <c r="H874" s="21" t="s">
        <v>53</v>
      </c>
      <c r="I874" s="21" t="s">
        <v>53</v>
      </c>
      <c r="J874" s="21" t="s">
        <v>53</v>
      </c>
      <c r="K874" s="21" t="s">
        <v>53</v>
      </c>
      <c r="L874" s="22" t="str">
        <f t="shared" si="65"/>
        <v>EXCLUDE</v>
      </c>
      <c r="M874" s="22" t="str">
        <f t="shared" si="66"/>
        <v>Wrong domain (non-AECO)</v>
      </c>
      <c r="N874" s="23"/>
      <c r="O874" s="23"/>
      <c r="P874" s="24"/>
      <c r="Q874" s="24"/>
      <c r="R874" s="24"/>
      <c r="S874" s="22" t="str">
        <f t="shared" si="67"/>
        <v/>
      </c>
      <c r="T874" s="22" t="str">
        <f t="shared" si="68"/>
        <v/>
      </c>
      <c r="U874" s="25"/>
      <c r="V874" s="25"/>
      <c r="W874" s="25"/>
      <c r="X874" s="25"/>
      <c r="Y874" s="22" t="str">
        <f t="shared" si="69"/>
        <v/>
      </c>
      <c r="Z874" s="25"/>
      <c r="AA874" s="25"/>
      <c r="AB874" s="25"/>
      <c r="AC874" s="25"/>
      <c r="AD874" s="25"/>
      <c r="AE874" s="25"/>
      <c r="AF874" s="25"/>
      <c r="AG874" s="9"/>
      <c r="AH874" s="29"/>
      <c r="AI874" s="29"/>
      <c r="AM874" s="50"/>
      <c r="AN874" s="51" t="s">
        <v>4324</v>
      </c>
      <c r="AO874" s="55" t="s">
        <v>4325</v>
      </c>
    </row>
    <row r="875" spans="1:41" ht="79.8" hidden="1" x14ac:dyDescent="0.3">
      <c r="A875" s="20">
        <v>871</v>
      </c>
      <c r="B875" s="8" t="s">
        <v>4326</v>
      </c>
      <c r="C875" s="26">
        <v>2025</v>
      </c>
      <c r="D875" s="8"/>
      <c r="E875" s="8" t="s">
        <v>4327</v>
      </c>
      <c r="F875" s="20" t="s">
        <v>54</v>
      </c>
      <c r="G875" s="21" t="s">
        <v>53</v>
      </c>
      <c r="H875" s="21" t="s">
        <v>64</v>
      </c>
      <c r="I875" s="21" t="s">
        <v>53</v>
      </c>
      <c r="J875" s="21" t="s">
        <v>53</v>
      </c>
      <c r="K875" s="21" t="s">
        <v>53</v>
      </c>
      <c r="L875" s="22" t="str">
        <f t="shared" si="65"/>
        <v>EXCLUDE</v>
      </c>
      <c r="M875" s="22" t="str">
        <f t="shared" si="66"/>
        <v>Digital Twin not core / buzzword</v>
      </c>
      <c r="N875" s="23"/>
      <c r="O875" s="23"/>
      <c r="P875" s="24"/>
      <c r="Q875" s="24"/>
      <c r="R875" s="24"/>
      <c r="S875" s="22" t="str">
        <f t="shared" si="67"/>
        <v/>
      </c>
      <c r="T875" s="22" t="str">
        <f t="shared" si="68"/>
        <v/>
      </c>
      <c r="U875" s="25"/>
      <c r="V875" s="25"/>
      <c r="W875" s="25"/>
      <c r="X875" s="25"/>
      <c r="Y875" s="22" t="str">
        <f t="shared" si="69"/>
        <v/>
      </c>
      <c r="Z875" s="25"/>
      <c r="AA875" s="25"/>
      <c r="AB875" s="25"/>
      <c r="AC875" s="25"/>
      <c r="AD875" s="25"/>
      <c r="AE875" s="25"/>
      <c r="AF875" s="25"/>
      <c r="AG875" s="9"/>
      <c r="AH875" s="29"/>
      <c r="AI875" s="29"/>
      <c r="AM875" s="50"/>
      <c r="AN875" s="51" t="s">
        <v>4328</v>
      </c>
      <c r="AO875" s="55" t="s">
        <v>4329</v>
      </c>
    </row>
    <row r="876" spans="1:41" ht="79.8" hidden="1" x14ac:dyDescent="0.3">
      <c r="A876" s="20">
        <v>872</v>
      </c>
      <c r="B876" s="8" t="s">
        <v>4330</v>
      </c>
      <c r="C876" s="26">
        <v>2025</v>
      </c>
      <c r="D876" s="8"/>
      <c r="E876" s="8" t="s">
        <v>4331</v>
      </c>
      <c r="F876" s="20" t="s">
        <v>54</v>
      </c>
      <c r="G876" s="21" t="s">
        <v>53</v>
      </c>
      <c r="H876" s="21" t="s">
        <v>64</v>
      </c>
      <c r="I876" s="21" t="s">
        <v>53</v>
      </c>
      <c r="J876" s="21" t="s">
        <v>53</v>
      </c>
      <c r="K876" s="21" t="s">
        <v>64</v>
      </c>
      <c r="L876" s="22" t="str">
        <f t="shared" si="65"/>
        <v>EXCLUDE</v>
      </c>
      <c r="M876" s="22" t="str">
        <f t="shared" si="66"/>
        <v>Digital Twin not core / buzzword</v>
      </c>
      <c r="N876" s="23"/>
      <c r="O876" s="23"/>
      <c r="P876" s="24"/>
      <c r="Q876" s="24"/>
      <c r="R876" s="24"/>
      <c r="S876" s="22" t="str">
        <f t="shared" si="67"/>
        <v/>
      </c>
      <c r="T876" s="22" t="str">
        <f t="shared" si="68"/>
        <v/>
      </c>
      <c r="U876" s="25"/>
      <c r="V876" s="25"/>
      <c r="W876" s="25"/>
      <c r="X876" s="25"/>
      <c r="Y876" s="22" t="str">
        <f t="shared" si="69"/>
        <v/>
      </c>
      <c r="Z876" s="25"/>
      <c r="AA876" s="25"/>
      <c r="AB876" s="25"/>
      <c r="AC876" s="25"/>
      <c r="AD876" s="25"/>
      <c r="AE876" s="25"/>
      <c r="AF876" s="25"/>
      <c r="AG876" s="9"/>
      <c r="AH876" s="29"/>
      <c r="AI876" s="29"/>
      <c r="AM876" s="50"/>
      <c r="AN876" s="51" t="s">
        <v>4332</v>
      </c>
      <c r="AO876" s="55" t="s">
        <v>4333</v>
      </c>
    </row>
    <row r="877" spans="1:41" ht="34.200000000000003" hidden="1" x14ac:dyDescent="0.3">
      <c r="A877" s="20">
        <v>873</v>
      </c>
      <c r="B877" s="8" t="s">
        <v>4334</v>
      </c>
      <c r="C877" s="26">
        <v>2019</v>
      </c>
      <c r="D877" s="8"/>
      <c r="E877" s="8" t="s">
        <v>4335</v>
      </c>
      <c r="F877" s="20" t="s">
        <v>54</v>
      </c>
      <c r="G877" s="21" t="s">
        <v>53</v>
      </c>
      <c r="H877" s="21" t="s">
        <v>64</v>
      </c>
      <c r="I877" s="21" t="s">
        <v>53</v>
      </c>
      <c r="J877" s="21" t="s">
        <v>53</v>
      </c>
      <c r="K877" s="21" t="s">
        <v>53</v>
      </c>
      <c r="L877" s="22" t="str">
        <f t="shared" si="65"/>
        <v>EXCLUDE</v>
      </c>
      <c r="M877" s="22" t="str">
        <f t="shared" si="66"/>
        <v>Digital Twin not core / buzzword</v>
      </c>
      <c r="N877" s="23"/>
      <c r="O877" s="23"/>
      <c r="P877" s="24"/>
      <c r="Q877" s="24"/>
      <c r="R877" s="24"/>
      <c r="S877" s="22" t="str">
        <f t="shared" si="67"/>
        <v/>
      </c>
      <c r="T877" s="22" t="str">
        <f t="shared" si="68"/>
        <v/>
      </c>
      <c r="U877" s="25"/>
      <c r="V877" s="25"/>
      <c r="W877" s="25"/>
      <c r="X877" s="25"/>
      <c r="Y877" s="22" t="str">
        <f t="shared" si="69"/>
        <v/>
      </c>
      <c r="Z877" s="25"/>
      <c r="AA877" s="25"/>
      <c r="AB877" s="25"/>
      <c r="AC877" s="25"/>
      <c r="AD877" s="25"/>
      <c r="AE877" s="25"/>
      <c r="AF877" s="25"/>
      <c r="AG877" s="9"/>
      <c r="AH877" s="29"/>
      <c r="AI877" s="29"/>
      <c r="AM877" s="50"/>
      <c r="AN877" s="51" t="s">
        <v>4336</v>
      </c>
      <c r="AO877" s="55" t="s">
        <v>4337</v>
      </c>
    </row>
    <row r="878" spans="1:41" ht="34.200000000000003" hidden="1" x14ac:dyDescent="0.3">
      <c r="A878" s="20">
        <v>874</v>
      </c>
      <c r="B878" s="8" t="s">
        <v>4338</v>
      </c>
      <c r="C878" s="26">
        <v>2024</v>
      </c>
      <c r="D878" s="8"/>
      <c r="E878" s="8" t="s">
        <v>4339</v>
      </c>
      <c r="F878" s="20" t="s">
        <v>54</v>
      </c>
      <c r="G878" s="21" t="s">
        <v>64</v>
      </c>
      <c r="H878" s="21" t="s">
        <v>53</v>
      </c>
      <c r="I878" s="21" t="s">
        <v>53</v>
      </c>
      <c r="J878" s="21" t="s">
        <v>53</v>
      </c>
      <c r="K878" s="21" t="s">
        <v>53</v>
      </c>
      <c r="L878" s="22" t="str">
        <f t="shared" si="65"/>
        <v>EXCLUDE</v>
      </c>
      <c r="M878" s="22" t="str">
        <f t="shared" si="66"/>
        <v>Wrong domain (non-AECO)</v>
      </c>
      <c r="N878" s="23"/>
      <c r="O878" s="23"/>
      <c r="P878" s="24"/>
      <c r="Q878" s="24"/>
      <c r="R878" s="24"/>
      <c r="S878" s="22" t="str">
        <f t="shared" si="67"/>
        <v/>
      </c>
      <c r="T878" s="22" t="str">
        <f t="shared" si="68"/>
        <v/>
      </c>
      <c r="U878" s="25"/>
      <c r="V878" s="25"/>
      <c r="W878" s="25"/>
      <c r="X878" s="25"/>
      <c r="Y878" s="22" t="str">
        <f t="shared" si="69"/>
        <v/>
      </c>
      <c r="Z878" s="25"/>
      <c r="AA878" s="25"/>
      <c r="AB878" s="25"/>
      <c r="AC878" s="25"/>
      <c r="AD878" s="25"/>
      <c r="AE878" s="25"/>
      <c r="AF878" s="25"/>
      <c r="AG878" s="9"/>
      <c r="AH878" s="29"/>
      <c r="AI878" s="29"/>
      <c r="AM878" s="50"/>
      <c r="AN878" s="51" t="s">
        <v>4340</v>
      </c>
      <c r="AO878" s="55" t="s">
        <v>4341</v>
      </c>
    </row>
    <row r="879" spans="1:41" ht="79.8" x14ac:dyDescent="0.3">
      <c r="A879" s="20">
        <v>875</v>
      </c>
      <c r="B879" s="8" t="s">
        <v>4342</v>
      </c>
      <c r="C879" s="26">
        <v>2023</v>
      </c>
      <c r="D879" s="8"/>
      <c r="E879" s="8" t="s">
        <v>4343</v>
      </c>
      <c r="F879" s="20" t="s">
        <v>54</v>
      </c>
      <c r="G879" s="21" t="s">
        <v>53</v>
      </c>
      <c r="H879" s="21" t="s">
        <v>53</v>
      </c>
      <c r="I879" s="21" t="s">
        <v>53</v>
      </c>
      <c r="J879" s="21" t="s">
        <v>53</v>
      </c>
      <c r="K879" s="21" t="s">
        <v>53</v>
      </c>
      <c r="L879" s="22" t="str">
        <f t="shared" si="65"/>
        <v>INCLUDE</v>
      </c>
      <c r="M879" s="22" t="str">
        <f t="shared" si="66"/>
        <v/>
      </c>
      <c r="N879" s="23" t="s">
        <v>53</v>
      </c>
      <c r="O879" s="23" t="s">
        <v>53</v>
      </c>
      <c r="P879" s="24" t="s">
        <v>53</v>
      </c>
      <c r="Q879" s="24" t="s">
        <v>53</v>
      </c>
      <c r="R879" s="24" t="s">
        <v>53</v>
      </c>
      <c r="S879" s="22" t="str">
        <f t="shared" si="67"/>
        <v>INCLUDE</v>
      </c>
      <c r="T879" s="22" t="str">
        <f t="shared" si="68"/>
        <v/>
      </c>
      <c r="U879" s="25" t="s">
        <v>67</v>
      </c>
      <c r="V879" s="25">
        <v>0</v>
      </c>
      <c r="W879" s="25">
        <v>0</v>
      </c>
      <c r="X879" s="25">
        <v>1</v>
      </c>
      <c r="Y879" s="22" t="str">
        <f t="shared" si="69"/>
        <v>Single</v>
      </c>
      <c r="Z879" s="25" t="s">
        <v>9</v>
      </c>
      <c r="AA879" s="25" t="s">
        <v>57</v>
      </c>
      <c r="AB879" s="25" t="s">
        <v>104</v>
      </c>
      <c r="AC879" s="25" t="s">
        <v>70</v>
      </c>
      <c r="AD879" s="25" t="s">
        <v>89</v>
      </c>
      <c r="AE879" s="25">
        <v>3</v>
      </c>
      <c r="AF879" s="25" t="s">
        <v>96</v>
      </c>
      <c r="AG879" s="9" t="s">
        <v>4344</v>
      </c>
      <c r="AH879" s="29" t="s">
        <v>4345</v>
      </c>
      <c r="AI879" s="29" t="s">
        <v>4346</v>
      </c>
      <c r="AJ879" t="s">
        <v>91</v>
      </c>
      <c r="AK879" t="s">
        <v>4347</v>
      </c>
      <c r="AL879" t="s">
        <v>74</v>
      </c>
      <c r="AM879" s="50"/>
      <c r="AN879" s="51" t="s">
        <v>4348</v>
      </c>
      <c r="AO879" s="55" t="s">
        <v>4349</v>
      </c>
    </row>
    <row r="880" spans="1:41" ht="125.4" x14ac:dyDescent="0.3">
      <c r="A880" s="20">
        <v>876</v>
      </c>
      <c r="B880" s="8" t="s">
        <v>4350</v>
      </c>
      <c r="C880" s="26">
        <v>2025</v>
      </c>
      <c r="D880" s="8"/>
      <c r="E880" s="8" t="s">
        <v>4351</v>
      </c>
      <c r="F880" s="20" t="s">
        <v>54</v>
      </c>
      <c r="G880" s="21" t="s">
        <v>53</v>
      </c>
      <c r="H880" s="21" t="s">
        <v>53</v>
      </c>
      <c r="I880" s="21" t="s">
        <v>53</v>
      </c>
      <c r="J880" s="21" t="s">
        <v>53</v>
      </c>
      <c r="K880" s="21" t="s">
        <v>53</v>
      </c>
      <c r="L880" s="22" t="str">
        <f t="shared" si="65"/>
        <v>INCLUDE</v>
      </c>
      <c r="M880" s="22" t="str">
        <f t="shared" si="66"/>
        <v/>
      </c>
      <c r="N880" s="23" t="s">
        <v>53</v>
      </c>
      <c r="O880" s="23" t="s">
        <v>53</v>
      </c>
      <c r="P880" s="24" t="s">
        <v>53</v>
      </c>
      <c r="Q880" s="24" t="s">
        <v>53</v>
      </c>
      <c r="R880" s="24" t="s">
        <v>53</v>
      </c>
      <c r="S880" s="22" t="str">
        <f t="shared" si="67"/>
        <v>INCLUDE</v>
      </c>
      <c r="T880" s="22" t="str">
        <f t="shared" si="68"/>
        <v/>
      </c>
      <c r="U880" s="25" t="s">
        <v>93</v>
      </c>
      <c r="V880" s="25">
        <v>0</v>
      </c>
      <c r="W880" s="25">
        <v>0</v>
      </c>
      <c r="X880" s="25">
        <v>1</v>
      </c>
      <c r="Y880" s="22" t="str">
        <f t="shared" si="69"/>
        <v>Single</v>
      </c>
      <c r="Z880" s="25" t="s">
        <v>9</v>
      </c>
      <c r="AA880" s="25" t="s">
        <v>57</v>
      </c>
      <c r="AB880" s="25" t="s">
        <v>100</v>
      </c>
      <c r="AC880" s="25" t="s">
        <v>70</v>
      </c>
      <c r="AD880" s="25" t="s">
        <v>60</v>
      </c>
      <c r="AE880" s="25">
        <v>2</v>
      </c>
      <c r="AF880" s="25" t="s">
        <v>86</v>
      </c>
      <c r="AG880" s="9" t="s">
        <v>4352</v>
      </c>
      <c r="AH880" s="29" t="s">
        <v>4353</v>
      </c>
      <c r="AI880" s="29" t="s">
        <v>4354</v>
      </c>
      <c r="AJ880" t="s">
        <v>93</v>
      </c>
      <c r="AK880" t="s">
        <v>4355</v>
      </c>
      <c r="AL880" t="s">
        <v>63</v>
      </c>
      <c r="AM880" s="50" t="s">
        <v>213</v>
      </c>
      <c r="AN880" s="51" t="s">
        <v>4356</v>
      </c>
      <c r="AO880" s="55" t="s">
        <v>4357</v>
      </c>
    </row>
    <row r="881" spans="1:41" ht="45.6" hidden="1" x14ac:dyDescent="0.3">
      <c r="A881" s="20">
        <v>877</v>
      </c>
      <c r="B881" s="8" t="s">
        <v>4358</v>
      </c>
      <c r="C881" s="26">
        <v>2023</v>
      </c>
      <c r="D881" s="8"/>
      <c r="E881" s="8" t="s">
        <v>4359</v>
      </c>
      <c r="F881" s="20" t="s">
        <v>54</v>
      </c>
      <c r="G881" s="21" t="s">
        <v>64</v>
      </c>
      <c r="H881" s="21" t="s">
        <v>53</v>
      </c>
      <c r="I881" s="21" t="s">
        <v>53</v>
      </c>
      <c r="J881" s="21" t="s">
        <v>53</v>
      </c>
      <c r="K881" s="21" t="s">
        <v>53</v>
      </c>
      <c r="L881" s="22" t="str">
        <f t="shared" si="65"/>
        <v>EXCLUDE</v>
      </c>
      <c r="M881" s="22" t="str">
        <f t="shared" si="66"/>
        <v>Wrong domain (non-AECO)</v>
      </c>
      <c r="N881" s="23"/>
      <c r="O881" s="23"/>
      <c r="P881" s="24"/>
      <c r="Q881" s="24"/>
      <c r="R881" s="24"/>
      <c r="S881" s="22" t="str">
        <f t="shared" si="67"/>
        <v/>
      </c>
      <c r="T881" s="22" t="str">
        <f t="shared" si="68"/>
        <v/>
      </c>
      <c r="U881" s="25"/>
      <c r="V881" s="25"/>
      <c r="W881" s="25"/>
      <c r="X881" s="25"/>
      <c r="Y881" s="22" t="str">
        <f t="shared" si="69"/>
        <v/>
      </c>
      <c r="Z881" s="25"/>
      <c r="AA881" s="25"/>
      <c r="AB881" s="25"/>
      <c r="AC881" s="25"/>
      <c r="AD881" s="25"/>
      <c r="AE881" s="25"/>
      <c r="AF881" s="25"/>
      <c r="AG881" s="9"/>
      <c r="AH881" s="29"/>
      <c r="AI881" s="29"/>
      <c r="AM881" s="50"/>
      <c r="AN881" s="51" t="s">
        <v>4360</v>
      </c>
      <c r="AO881" s="55" t="s">
        <v>4361</v>
      </c>
    </row>
    <row r="882" spans="1:41" ht="45.6" hidden="1" x14ac:dyDescent="0.3">
      <c r="A882" s="20">
        <v>878</v>
      </c>
      <c r="B882" s="8" t="s">
        <v>4362</v>
      </c>
      <c r="C882" s="26">
        <v>2024</v>
      </c>
      <c r="D882" s="8"/>
      <c r="E882" s="8" t="s">
        <v>4363</v>
      </c>
      <c r="F882" s="20" t="s">
        <v>54</v>
      </c>
      <c r="G882" s="21" t="s">
        <v>64</v>
      </c>
      <c r="H882" s="21" t="s">
        <v>53</v>
      </c>
      <c r="I882" s="21" t="s">
        <v>53</v>
      </c>
      <c r="J882" s="21" t="s">
        <v>53</v>
      </c>
      <c r="K882" s="21" t="s">
        <v>53</v>
      </c>
      <c r="L882" s="22" t="str">
        <f t="shared" si="65"/>
        <v>EXCLUDE</v>
      </c>
      <c r="M882" s="22" t="str">
        <f t="shared" si="66"/>
        <v>Wrong domain (non-AECO)</v>
      </c>
      <c r="N882" s="23"/>
      <c r="O882" s="23"/>
      <c r="P882" s="24"/>
      <c r="Q882" s="24"/>
      <c r="R882" s="24"/>
      <c r="S882" s="22" t="str">
        <f t="shared" si="67"/>
        <v/>
      </c>
      <c r="T882" s="22" t="str">
        <f t="shared" si="68"/>
        <v/>
      </c>
      <c r="U882" s="25"/>
      <c r="V882" s="25"/>
      <c r="W882" s="25"/>
      <c r="X882" s="25"/>
      <c r="Y882" s="22" t="str">
        <f t="shared" si="69"/>
        <v/>
      </c>
      <c r="Z882" s="25"/>
      <c r="AA882" s="25"/>
      <c r="AB882" s="25"/>
      <c r="AC882" s="25"/>
      <c r="AD882" s="25"/>
      <c r="AE882" s="25"/>
      <c r="AF882" s="25"/>
      <c r="AG882" s="9"/>
      <c r="AH882" s="29"/>
      <c r="AI882" s="29"/>
      <c r="AM882" s="50"/>
      <c r="AN882" s="51" t="s">
        <v>4364</v>
      </c>
      <c r="AO882" s="55" t="s">
        <v>4365</v>
      </c>
    </row>
    <row r="883" spans="1:41" ht="57" hidden="1" x14ac:dyDescent="0.3">
      <c r="A883" s="20">
        <v>879</v>
      </c>
      <c r="B883" s="8" t="s">
        <v>4366</v>
      </c>
      <c r="C883" s="26">
        <v>2023</v>
      </c>
      <c r="D883" s="8"/>
      <c r="E883" s="8" t="s">
        <v>4367</v>
      </c>
      <c r="F883" s="20" t="s">
        <v>54</v>
      </c>
      <c r="G883" s="21" t="s">
        <v>64</v>
      </c>
      <c r="H883" s="21" t="s">
        <v>53</v>
      </c>
      <c r="I883" s="21" t="s">
        <v>53</v>
      </c>
      <c r="J883" s="21" t="s">
        <v>53</v>
      </c>
      <c r="K883" s="21" t="s">
        <v>53</v>
      </c>
      <c r="L883" s="22" t="str">
        <f t="shared" si="65"/>
        <v>EXCLUDE</v>
      </c>
      <c r="M883" s="22" t="str">
        <f t="shared" si="66"/>
        <v>Wrong domain (non-AECO)</v>
      </c>
      <c r="N883" s="23"/>
      <c r="O883" s="23"/>
      <c r="P883" s="24"/>
      <c r="Q883" s="24"/>
      <c r="R883" s="24"/>
      <c r="S883" s="22" t="str">
        <f t="shared" si="67"/>
        <v/>
      </c>
      <c r="T883" s="22" t="str">
        <f t="shared" si="68"/>
        <v/>
      </c>
      <c r="U883" s="25"/>
      <c r="V883" s="25"/>
      <c r="W883" s="25"/>
      <c r="X883" s="25"/>
      <c r="Y883" s="22" t="str">
        <f t="shared" si="69"/>
        <v/>
      </c>
      <c r="Z883" s="25"/>
      <c r="AA883" s="25"/>
      <c r="AB883" s="25"/>
      <c r="AC883" s="25"/>
      <c r="AD883" s="25"/>
      <c r="AE883" s="25"/>
      <c r="AF883" s="25"/>
      <c r="AG883" s="9"/>
      <c r="AH883" s="29"/>
      <c r="AI883" s="29"/>
      <c r="AM883" s="50"/>
      <c r="AN883" s="51" t="s">
        <v>4368</v>
      </c>
      <c r="AO883" s="55" t="s">
        <v>4369</v>
      </c>
    </row>
    <row r="884" spans="1:41" ht="79.8" hidden="1" x14ac:dyDescent="0.3">
      <c r="A884" s="20">
        <v>880</v>
      </c>
      <c r="B884" s="8" t="s">
        <v>4370</v>
      </c>
      <c r="C884" s="26">
        <v>2024</v>
      </c>
      <c r="D884" s="8"/>
      <c r="E884" s="8" t="s">
        <v>4371</v>
      </c>
      <c r="F884" s="20" t="s">
        <v>54</v>
      </c>
      <c r="G884" s="21" t="s">
        <v>53</v>
      </c>
      <c r="H884" s="21" t="s">
        <v>53</v>
      </c>
      <c r="I884" s="21" t="s">
        <v>53</v>
      </c>
      <c r="J884" s="21" t="s">
        <v>53</v>
      </c>
      <c r="K884" s="21" t="s">
        <v>53</v>
      </c>
      <c r="L884" s="22" t="str">
        <f t="shared" si="65"/>
        <v>INCLUDE</v>
      </c>
      <c r="M884" s="22" t="str">
        <f t="shared" si="66"/>
        <v/>
      </c>
      <c r="N884" s="23" t="s">
        <v>53</v>
      </c>
      <c r="O884" s="23" t="s">
        <v>53</v>
      </c>
      <c r="P884" s="24" t="s">
        <v>64</v>
      </c>
      <c r="Q884" s="24" t="s">
        <v>53</v>
      </c>
      <c r="R884" s="24" t="s">
        <v>64</v>
      </c>
      <c r="S884" s="22" t="str">
        <f t="shared" si="67"/>
        <v>EXCLUDE</v>
      </c>
      <c r="T884" s="22" t="str">
        <f t="shared" si="68"/>
        <v>Digital Twin mentioned only, not the subject</v>
      </c>
      <c r="U884" s="25"/>
      <c r="V884" s="25"/>
      <c r="W884" s="25"/>
      <c r="X884" s="25"/>
      <c r="Y884" s="22" t="str">
        <f t="shared" si="69"/>
        <v/>
      </c>
      <c r="Z884" s="25"/>
      <c r="AA884" s="25"/>
      <c r="AB884" s="25"/>
      <c r="AC884" s="25"/>
      <c r="AD884" s="25"/>
      <c r="AE884" s="25"/>
      <c r="AF884" s="25"/>
      <c r="AG884" s="9" t="s">
        <v>4372</v>
      </c>
      <c r="AH884" s="29"/>
      <c r="AI884" s="29"/>
      <c r="AM884" s="50"/>
      <c r="AN884" s="51" t="s">
        <v>4373</v>
      </c>
      <c r="AO884" s="55" t="s">
        <v>4374</v>
      </c>
    </row>
    <row r="885" spans="1:41" ht="57" hidden="1" x14ac:dyDescent="0.3">
      <c r="A885" s="20">
        <v>881</v>
      </c>
      <c r="B885" s="8" t="s">
        <v>4375</v>
      </c>
      <c r="C885" s="26">
        <v>2023</v>
      </c>
      <c r="D885" s="8"/>
      <c r="E885" s="8" t="s">
        <v>4376</v>
      </c>
      <c r="F885" s="20" t="s">
        <v>54</v>
      </c>
      <c r="G885" s="21" t="s">
        <v>64</v>
      </c>
      <c r="H885" s="21" t="s">
        <v>53</v>
      </c>
      <c r="I885" s="21" t="s">
        <v>53</v>
      </c>
      <c r="J885" s="21" t="s">
        <v>53</v>
      </c>
      <c r="K885" s="21" t="s">
        <v>53</v>
      </c>
      <c r="L885" s="22" t="str">
        <f t="shared" si="65"/>
        <v>EXCLUDE</v>
      </c>
      <c r="M885" s="22" t="str">
        <f t="shared" si="66"/>
        <v>Wrong domain (non-AECO)</v>
      </c>
      <c r="N885" s="23"/>
      <c r="O885" s="23"/>
      <c r="P885" s="24"/>
      <c r="Q885" s="24"/>
      <c r="R885" s="24"/>
      <c r="S885" s="22" t="str">
        <f t="shared" si="67"/>
        <v/>
      </c>
      <c r="T885" s="22" t="str">
        <f t="shared" si="68"/>
        <v/>
      </c>
      <c r="U885" s="25"/>
      <c r="V885" s="25"/>
      <c r="W885" s="25"/>
      <c r="X885" s="25"/>
      <c r="Y885" s="22" t="str">
        <f t="shared" si="69"/>
        <v/>
      </c>
      <c r="Z885" s="25"/>
      <c r="AA885" s="25"/>
      <c r="AB885" s="25"/>
      <c r="AC885" s="25"/>
      <c r="AD885" s="25"/>
      <c r="AE885" s="25"/>
      <c r="AF885" s="25"/>
      <c r="AG885" s="9"/>
      <c r="AH885" s="29"/>
      <c r="AI885" s="29"/>
      <c r="AM885" s="50"/>
      <c r="AN885" s="51" t="s">
        <v>4377</v>
      </c>
      <c r="AO885" s="55" t="s">
        <v>4378</v>
      </c>
    </row>
    <row r="886" spans="1:41" ht="45.6" hidden="1" x14ac:dyDescent="0.3">
      <c r="A886" s="20">
        <v>882</v>
      </c>
      <c r="B886" s="8" t="s">
        <v>4379</v>
      </c>
      <c r="C886" s="26">
        <v>2022</v>
      </c>
      <c r="D886" s="8"/>
      <c r="E886" s="8" t="s">
        <v>4380</v>
      </c>
      <c r="F886" s="20" t="s">
        <v>54</v>
      </c>
      <c r="G886" s="21" t="s">
        <v>64</v>
      </c>
      <c r="H886" s="21" t="s">
        <v>53</v>
      </c>
      <c r="I886" s="21" t="s">
        <v>53</v>
      </c>
      <c r="J886" s="21" t="s">
        <v>53</v>
      </c>
      <c r="K886" s="21" t="s">
        <v>53</v>
      </c>
      <c r="L886" s="22" t="str">
        <f t="shared" si="65"/>
        <v>EXCLUDE</v>
      </c>
      <c r="M886" s="22" t="str">
        <f t="shared" si="66"/>
        <v>Wrong domain (non-AECO)</v>
      </c>
      <c r="N886" s="23"/>
      <c r="O886" s="23"/>
      <c r="P886" s="24"/>
      <c r="Q886" s="24"/>
      <c r="R886" s="24"/>
      <c r="S886" s="22" t="str">
        <f t="shared" si="67"/>
        <v/>
      </c>
      <c r="T886" s="22" t="str">
        <f t="shared" si="68"/>
        <v/>
      </c>
      <c r="U886" s="25"/>
      <c r="V886" s="25"/>
      <c r="W886" s="25"/>
      <c r="X886" s="25"/>
      <c r="Y886" s="22" t="str">
        <f t="shared" si="69"/>
        <v/>
      </c>
      <c r="Z886" s="25"/>
      <c r="AA886" s="25"/>
      <c r="AB886" s="25"/>
      <c r="AC886" s="25"/>
      <c r="AD886" s="25"/>
      <c r="AE886" s="25"/>
      <c r="AF886" s="25"/>
      <c r="AG886" s="9"/>
      <c r="AH886" s="29"/>
      <c r="AI886" s="29"/>
      <c r="AM886" s="50"/>
      <c r="AN886" s="51" t="s">
        <v>4381</v>
      </c>
      <c r="AO886" s="55" t="s">
        <v>4382</v>
      </c>
    </row>
    <row r="887" spans="1:41" ht="45.6" hidden="1" x14ac:dyDescent="0.3">
      <c r="A887" s="20">
        <v>883</v>
      </c>
      <c r="B887" s="8" t="s">
        <v>4383</v>
      </c>
      <c r="C887" s="26">
        <v>2024</v>
      </c>
      <c r="D887" s="8"/>
      <c r="E887" s="8" t="s">
        <v>4384</v>
      </c>
      <c r="F887" s="20" t="s">
        <v>54</v>
      </c>
      <c r="G887" s="21" t="s">
        <v>64</v>
      </c>
      <c r="H887" s="21" t="s">
        <v>53</v>
      </c>
      <c r="I887" s="21" t="s">
        <v>53</v>
      </c>
      <c r="J887" s="21" t="s">
        <v>53</v>
      </c>
      <c r="K887" s="21" t="s">
        <v>53</v>
      </c>
      <c r="L887" s="22" t="str">
        <f t="shared" si="65"/>
        <v>EXCLUDE</v>
      </c>
      <c r="M887" s="22" t="str">
        <f t="shared" si="66"/>
        <v>Wrong domain (non-AECO)</v>
      </c>
      <c r="N887" s="23"/>
      <c r="O887" s="23"/>
      <c r="P887" s="24"/>
      <c r="Q887" s="24"/>
      <c r="R887" s="24"/>
      <c r="S887" s="22" t="str">
        <f t="shared" si="67"/>
        <v/>
      </c>
      <c r="T887" s="22" t="str">
        <f t="shared" si="68"/>
        <v/>
      </c>
      <c r="U887" s="25"/>
      <c r="V887" s="25"/>
      <c r="W887" s="25"/>
      <c r="X887" s="25"/>
      <c r="Y887" s="22" t="str">
        <f t="shared" si="69"/>
        <v/>
      </c>
      <c r="Z887" s="25"/>
      <c r="AA887" s="25"/>
      <c r="AB887" s="25"/>
      <c r="AC887" s="25"/>
      <c r="AD887" s="25"/>
      <c r="AE887" s="25"/>
      <c r="AF887" s="25"/>
      <c r="AG887" s="9"/>
      <c r="AH887" s="29"/>
      <c r="AI887" s="29"/>
      <c r="AM887" s="50"/>
      <c r="AN887" s="51" t="s">
        <v>4385</v>
      </c>
      <c r="AO887" s="55" t="s">
        <v>4386</v>
      </c>
    </row>
    <row r="888" spans="1:41" ht="102.6" hidden="1" x14ac:dyDescent="0.3">
      <c r="A888" s="20">
        <v>884</v>
      </c>
      <c r="B888" s="8" t="s">
        <v>4387</v>
      </c>
      <c r="C888" s="26">
        <v>2024</v>
      </c>
      <c r="D888" s="8"/>
      <c r="E888" s="8" t="s">
        <v>4388</v>
      </c>
      <c r="F888" s="20" t="s">
        <v>54</v>
      </c>
      <c r="G888" s="21" t="s">
        <v>64</v>
      </c>
      <c r="H888" s="21" t="s">
        <v>53</v>
      </c>
      <c r="I888" s="21" t="s">
        <v>53</v>
      </c>
      <c r="J888" s="21" t="s">
        <v>53</v>
      </c>
      <c r="K888" s="21" t="s">
        <v>53</v>
      </c>
      <c r="L888" s="22" t="str">
        <f t="shared" si="65"/>
        <v>EXCLUDE</v>
      </c>
      <c r="M888" s="22" t="str">
        <f t="shared" si="66"/>
        <v>Wrong domain (non-AECO)</v>
      </c>
      <c r="N888" s="23"/>
      <c r="O888" s="23"/>
      <c r="P888" s="24"/>
      <c r="Q888" s="24"/>
      <c r="R888" s="24"/>
      <c r="S888" s="22" t="str">
        <f t="shared" si="67"/>
        <v/>
      </c>
      <c r="T888" s="22" t="str">
        <f t="shared" si="68"/>
        <v/>
      </c>
      <c r="U888" s="25"/>
      <c r="V888" s="25"/>
      <c r="W888" s="25"/>
      <c r="X888" s="25"/>
      <c r="Y888" s="22" t="str">
        <f t="shared" si="69"/>
        <v/>
      </c>
      <c r="Z888" s="25"/>
      <c r="AA888" s="25"/>
      <c r="AB888" s="25"/>
      <c r="AC888" s="25"/>
      <c r="AD888" s="25"/>
      <c r="AE888" s="25"/>
      <c r="AF888" s="25"/>
      <c r="AG888" s="9"/>
      <c r="AH888" s="29"/>
      <c r="AI888" s="29"/>
      <c r="AM888" s="50"/>
      <c r="AN888" s="51" t="s">
        <v>4389</v>
      </c>
      <c r="AO888" s="55" t="s">
        <v>4390</v>
      </c>
    </row>
    <row r="889" spans="1:41" ht="114" x14ac:dyDescent="0.3">
      <c r="A889" s="20">
        <v>885</v>
      </c>
      <c r="B889" s="8" t="s">
        <v>3155</v>
      </c>
      <c r="C889" s="26">
        <v>2023</v>
      </c>
      <c r="D889" s="8"/>
      <c r="E889" s="8" t="s">
        <v>4391</v>
      </c>
      <c r="F889" s="20" t="s">
        <v>54</v>
      </c>
      <c r="G889" s="21" t="s">
        <v>53</v>
      </c>
      <c r="H889" s="21" t="s">
        <v>53</v>
      </c>
      <c r="I889" s="21" t="s">
        <v>53</v>
      </c>
      <c r="J889" s="21" t="s">
        <v>53</v>
      </c>
      <c r="K889" s="21" t="s">
        <v>53</v>
      </c>
      <c r="L889" s="22" t="str">
        <f t="shared" si="65"/>
        <v>INCLUDE</v>
      </c>
      <c r="M889" s="22" t="str">
        <f t="shared" si="66"/>
        <v/>
      </c>
      <c r="N889" s="23" t="s">
        <v>53</v>
      </c>
      <c r="O889" s="23" t="s">
        <v>53</v>
      </c>
      <c r="P889" s="24" t="s">
        <v>53</v>
      </c>
      <c r="Q889" s="24" t="s">
        <v>53</v>
      </c>
      <c r="R889" s="24" t="s">
        <v>53</v>
      </c>
      <c r="S889" s="22" t="str">
        <f t="shared" si="67"/>
        <v>INCLUDE</v>
      </c>
      <c r="T889" s="22" t="str">
        <f t="shared" si="68"/>
        <v/>
      </c>
      <c r="U889" s="25" t="s">
        <v>67</v>
      </c>
      <c r="V889" s="25">
        <v>0</v>
      </c>
      <c r="W889" s="25">
        <v>0</v>
      </c>
      <c r="X889" s="25">
        <v>1</v>
      </c>
      <c r="Y889" s="22" t="str">
        <f t="shared" si="69"/>
        <v>Single</v>
      </c>
      <c r="Z889" s="25" t="s">
        <v>9</v>
      </c>
      <c r="AA889" s="25" t="s">
        <v>57</v>
      </c>
      <c r="AB889" s="25" t="s">
        <v>102</v>
      </c>
      <c r="AC889" s="25" t="s">
        <v>70</v>
      </c>
      <c r="AD889" s="25" t="s">
        <v>89</v>
      </c>
      <c r="AE889" s="25">
        <v>4</v>
      </c>
      <c r="AF889" s="25" t="s">
        <v>96</v>
      </c>
      <c r="AG889" s="9" t="s">
        <v>4392</v>
      </c>
      <c r="AH889" s="29" t="s">
        <v>4393</v>
      </c>
      <c r="AI889" s="29" t="s">
        <v>4394</v>
      </c>
      <c r="AJ889" t="s">
        <v>91</v>
      </c>
      <c r="AK889" t="s">
        <v>4395</v>
      </c>
      <c r="AL889" t="s">
        <v>63</v>
      </c>
      <c r="AM889" s="50"/>
      <c r="AN889" s="51" t="s">
        <v>4396</v>
      </c>
      <c r="AO889" s="55" t="s">
        <v>4397</v>
      </c>
    </row>
    <row r="890" spans="1:41" ht="102.6" x14ac:dyDescent="0.3">
      <c r="A890" s="20">
        <v>886</v>
      </c>
      <c r="B890" s="8" t="s">
        <v>4398</v>
      </c>
      <c r="C890" s="26">
        <v>2023</v>
      </c>
      <c r="D890" s="8"/>
      <c r="E890" s="8" t="s">
        <v>4399</v>
      </c>
      <c r="F890" s="20" t="s">
        <v>54</v>
      </c>
      <c r="G890" s="21" t="s">
        <v>53</v>
      </c>
      <c r="H890" s="21" t="s">
        <v>53</v>
      </c>
      <c r="I890" s="21" t="s">
        <v>53</v>
      </c>
      <c r="J890" s="21" t="s">
        <v>53</v>
      </c>
      <c r="K890" s="21" t="s">
        <v>53</v>
      </c>
      <c r="L890" s="22" t="str">
        <f t="shared" si="65"/>
        <v>INCLUDE</v>
      </c>
      <c r="M890" s="22" t="str">
        <f t="shared" si="66"/>
        <v/>
      </c>
      <c r="N890" s="23" t="s">
        <v>53</v>
      </c>
      <c r="O890" s="23" t="s">
        <v>53</v>
      </c>
      <c r="P890" s="24" t="s">
        <v>53</v>
      </c>
      <c r="Q890" s="24" t="s">
        <v>53</v>
      </c>
      <c r="R890" s="24" t="s">
        <v>53</v>
      </c>
      <c r="S890" s="22" t="str">
        <f t="shared" si="67"/>
        <v>INCLUDE</v>
      </c>
      <c r="T890" s="22" t="str">
        <f t="shared" si="68"/>
        <v/>
      </c>
      <c r="U890" s="25" t="s">
        <v>76</v>
      </c>
      <c r="V890" s="25">
        <v>0</v>
      </c>
      <c r="W890" s="25">
        <v>1</v>
      </c>
      <c r="X890" s="25">
        <v>0</v>
      </c>
      <c r="Y890" s="22" t="str">
        <f t="shared" si="69"/>
        <v>Single</v>
      </c>
      <c r="Z890" s="25" t="s">
        <v>9</v>
      </c>
      <c r="AA890" s="25" t="s">
        <v>57</v>
      </c>
      <c r="AB890" s="25" t="s">
        <v>100</v>
      </c>
      <c r="AC890" s="25" t="s">
        <v>70</v>
      </c>
      <c r="AD890" s="25" t="s">
        <v>89</v>
      </c>
      <c r="AE890" s="25">
        <v>4</v>
      </c>
      <c r="AF890" s="25" t="s">
        <v>90</v>
      </c>
      <c r="AG890" s="9" t="s">
        <v>4400</v>
      </c>
      <c r="AH890" s="29" t="s">
        <v>4401</v>
      </c>
      <c r="AI890" s="29" t="s">
        <v>4402</v>
      </c>
      <c r="AJ890" t="s">
        <v>91</v>
      </c>
      <c r="AK890" t="s">
        <v>4403</v>
      </c>
      <c r="AL890" t="s">
        <v>63</v>
      </c>
      <c r="AM890" s="50"/>
      <c r="AN890" s="51" t="s">
        <v>4404</v>
      </c>
      <c r="AO890" s="55" t="s">
        <v>4405</v>
      </c>
    </row>
    <row r="891" spans="1:41" ht="68.400000000000006" hidden="1" x14ac:dyDescent="0.3">
      <c r="A891" s="20">
        <v>887</v>
      </c>
      <c r="B891" s="8" t="s">
        <v>4406</v>
      </c>
      <c r="C891" s="26">
        <v>2023</v>
      </c>
      <c r="D891" s="8"/>
      <c r="E891" s="8" t="s">
        <v>4407</v>
      </c>
      <c r="F891" s="20" t="s">
        <v>54</v>
      </c>
      <c r="G891" s="21" t="s">
        <v>53</v>
      </c>
      <c r="H891" s="21" t="s">
        <v>64</v>
      </c>
      <c r="I891" s="21" t="s">
        <v>53</v>
      </c>
      <c r="J891" s="21" t="s">
        <v>53</v>
      </c>
      <c r="K891" s="21" t="s">
        <v>53</v>
      </c>
      <c r="L891" s="22" t="str">
        <f t="shared" si="65"/>
        <v>EXCLUDE</v>
      </c>
      <c r="M891" s="22" t="str">
        <f t="shared" si="66"/>
        <v>Digital Twin not core / buzzword</v>
      </c>
      <c r="N891" s="23"/>
      <c r="O891" s="23"/>
      <c r="P891" s="24"/>
      <c r="Q891" s="24"/>
      <c r="R891" s="24"/>
      <c r="S891" s="22" t="str">
        <f t="shared" si="67"/>
        <v/>
      </c>
      <c r="T891" s="22" t="str">
        <f t="shared" si="68"/>
        <v/>
      </c>
      <c r="U891" s="25"/>
      <c r="V891" s="25"/>
      <c r="W891" s="25"/>
      <c r="X891" s="25"/>
      <c r="Y891" s="22" t="str">
        <f t="shared" si="69"/>
        <v/>
      </c>
      <c r="Z891" s="25"/>
      <c r="AA891" s="25"/>
      <c r="AB891" s="25"/>
      <c r="AC891" s="25"/>
      <c r="AD891" s="25"/>
      <c r="AE891" s="25"/>
      <c r="AF891" s="25"/>
      <c r="AG891" s="9"/>
      <c r="AH891" s="29"/>
      <c r="AI891" s="29"/>
      <c r="AM891" s="50"/>
      <c r="AN891" s="51" t="s">
        <v>4408</v>
      </c>
      <c r="AO891" s="55" t="s">
        <v>4409</v>
      </c>
    </row>
    <row r="892" spans="1:41" ht="45.6" hidden="1" x14ac:dyDescent="0.3">
      <c r="A892" s="20">
        <v>888</v>
      </c>
      <c r="B892" s="8" t="s">
        <v>4410</v>
      </c>
      <c r="C892" s="26">
        <v>2023</v>
      </c>
      <c r="D892" s="8"/>
      <c r="E892" s="8" t="s">
        <v>4411</v>
      </c>
      <c r="F892" s="20" t="s">
        <v>54</v>
      </c>
      <c r="G892" s="21" t="s">
        <v>64</v>
      </c>
      <c r="H892" s="21" t="s">
        <v>53</v>
      </c>
      <c r="I892" s="21" t="s">
        <v>53</v>
      </c>
      <c r="J892" s="21" t="s">
        <v>53</v>
      </c>
      <c r="K892" s="21" t="s">
        <v>53</v>
      </c>
      <c r="L892" s="22" t="str">
        <f t="shared" si="65"/>
        <v>EXCLUDE</v>
      </c>
      <c r="M892" s="22" t="str">
        <f t="shared" si="66"/>
        <v>Wrong domain (non-AECO)</v>
      </c>
      <c r="N892" s="23"/>
      <c r="O892" s="23"/>
      <c r="P892" s="24"/>
      <c r="Q892" s="24"/>
      <c r="R892" s="24"/>
      <c r="S892" s="22" t="str">
        <f t="shared" si="67"/>
        <v/>
      </c>
      <c r="T892" s="22" t="str">
        <f t="shared" si="68"/>
        <v/>
      </c>
      <c r="U892" s="25"/>
      <c r="V892" s="25"/>
      <c r="W892" s="25"/>
      <c r="X892" s="25"/>
      <c r="Y892" s="22" t="str">
        <f t="shared" si="69"/>
        <v/>
      </c>
      <c r="Z892" s="25"/>
      <c r="AA892" s="25"/>
      <c r="AB892" s="25"/>
      <c r="AC892" s="25"/>
      <c r="AD892" s="25"/>
      <c r="AE892" s="25"/>
      <c r="AF892" s="25"/>
      <c r="AG892" s="9"/>
      <c r="AH892" s="29"/>
      <c r="AI892" s="29"/>
      <c r="AM892" s="50"/>
      <c r="AN892" s="51" t="s">
        <v>4412</v>
      </c>
      <c r="AO892" s="55" t="s">
        <v>4413</v>
      </c>
    </row>
    <row r="893" spans="1:41" ht="34.200000000000003" hidden="1" x14ac:dyDescent="0.3">
      <c r="A893" s="20">
        <v>889</v>
      </c>
      <c r="B893" s="8" t="s">
        <v>4414</v>
      </c>
      <c r="C893" s="26">
        <v>2019</v>
      </c>
      <c r="D893" s="8"/>
      <c r="E893" s="8" t="s">
        <v>4415</v>
      </c>
      <c r="F893" s="20" t="s">
        <v>54</v>
      </c>
      <c r="G893" s="21" t="s">
        <v>64</v>
      </c>
      <c r="H893" s="21" t="s">
        <v>53</v>
      </c>
      <c r="I893" s="21" t="s">
        <v>53</v>
      </c>
      <c r="J893" s="21" t="s">
        <v>53</v>
      </c>
      <c r="K893" s="21" t="s">
        <v>53</v>
      </c>
      <c r="L893" s="22" t="str">
        <f t="shared" si="65"/>
        <v>EXCLUDE</v>
      </c>
      <c r="M893" s="22" t="str">
        <f t="shared" si="66"/>
        <v>Wrong domain (non-AECO)</v>
      </c>
      <c r="N893" s="23"/>
      <c r="O893" s="23"/>
      <c r="P893" s="24"/>
      <c r="Q893" s="24"/>
      <c r="R893" s="24"/>
      <c r="S893" s="22" t="str">
        <f t="shared" si="67"/>
        <v/>
      </c>
      <c r="T893" s="22" t="str">
        <f t="shared" si="68"/>
        <v/>
      </c>
      <c r="U893" s="25"/>
      <c r="V893" s="25"/>
      <c r="W893" s="25"/>
      <c r="X893" s="25"/>
      <c r="Y893" s="22" t="str">
        <f t="shared" si="69"/>
        <v/>
      </c>
      <c r="Z893" s="25"/>
      <c r="AA893" s="25"/>
      <c r="AB893" s="25"/>
      <c r="AC893" s="25"/>
      <c r="AD893" s="25"/>
      <c r="AE893" s="25"/>
      <c r="AF893" s="25"/>
      <c r="AG893" s="9"/>
      <c r="AH893" s="29"/>
      <c r="AI893" s="29"/>
      <c r="AM893" s="50"/>
      <c r="AN893" s="51" t="s">
        <v>4416</v>
      </c>
      <c r="AO893" s="55" t="s">
        <v>1328</v>
      </c>
    </row>
    <row r="894" spans="1:41" ht="45.6" hidden="1" x14ac:dyDescent="0.3">
      <c r="A894" s="20">
        <v>890</v>
      </c>
      <c r="B894" s="8" t="s">
        <v>4417</v>
      </c>
      <c r="C894" s="26">
        <v>2022</v>
      </c>
      <c r="D894" s="8"/>
      <c r="E894" s="8" t="s">
        <v>4418</v>
      </c>
      <c r="F894" s="20" t="s">
        <v>54</v>
      </c>
      <c r="G894" s="21" t="s">
        <v>64</v>
      </c>
      <c r="H894" s="21" t="s">
        <v>53</v>
      </c>
      <c r="I894" s="21" t="s">
        <v>53</v>
      </c>
      <c r="J894" s="21" t="s">
        <v>53</v>
      </c>
      <c r="K894" s="21" t="s">
        <v>53</v>
      </c>
      <c r="L894" s="22" t="str">
        <f t="shared" si="65"/>
        <v>EXCLUDE</v>
      </c>
      <c r="M894" s="22" t="str">
        <f t="shared" si="66"/>
        <v>Wrong domain (non-AECO)</v>
      </c>
      <c r="N894" s="23"/>
      <c r="O894" s="23"/>
      <c r="P894" s="24"/>
      <c r="Q894" s="24"/>
      <c r="R894" s="24"/>
      <c r="S894" s="22" t="str">
        <f t="shared" si="67"/>
        <v/>
      </c>
      <c r="T894" s="22" t="str">
        <f t="shared" si="68"/>
        <v/>
      </c>
      <c r="U894" s="25"/>
      <c r="V894" s="25"/>
      <c r="W894" s="25"/>
      <c r="X894" s="25"/>
      <c r="Y894" s="22" t="str">
        <f t="shared" si="69"/>
        <v/>
      </c>
      <c r="Z894" s="25"/>
      <c r="AA894" s="25"/>
      <c r="AB894" s="25"/>
      <c r="AC894" s="25"/>
      <c r="AD894" s="25"/>
      <c r="AE894" s="25"/>
      <c r="AF894" s="25"/>
      <c r="AG894" s="9"/>
      <c r="AH894" s="29"/>
      <c r="AI894" s="29"/>
      <c r="AM894" s="50"/>
      <c r="AN894" s="51" t="s">
        <v>4419</v>
      </c>
      <c r="AO894" s="55" t="s">
        <v>4420</v>
      </c>
    </row>
    <row r="895" spans="1:41" ht="57" hidden="1" x14ac:dyDescent="0.3">
      <c r="A895" s="20">
        <v>891</v>
      </c>
      <c r="B895" s="8" t="s">
        <v>4421</v>
      </c>
      <c r="C895" s="26">
        <v>2020</v>
      </c>
      <c r="D895" s="8"/>
      <c r="E895" s="8" t="s">
        <v>4422</v>
      </c>
      <c r="F895" s="20" t="s">
        <v>54</v>
      </c>
      <c r="G895" s="21" t="s">
        <v>53</v>
      </c>
      <c r="H895" s="21" t="s">
        <v>64</v>
      </c>
      <c r="I895" s="21" t="s">
        <v>53</v>
      </c>
      <c r="J895" s="21" t="s">
        <v>53</v>
      </c>
      <c r="K895" s="21" t="s">
        <v>53</v>
      </c>
      <c r="L895" s="22" t="str">
        <f t="shared" si="65"/>
        <v>EXCLUDE</v>
      </c>
      <c r="M895" s="22" t="str">
        <f t="shared" si="66"/>
        <v>Digital Twin not core / buzzword</v>
      </c>
      <c r="N895" s="23"/>
      <c r="O895" s="23"/>
      <c r="P895" s="24"/>
      <c r="Q895" s="24"/>
      <c r="R895" s="24"/>
      <c r="S895" s="22" t="str">
        <f t="shared" si="67"/>
        <v/>
      </c>
      <c r="T895" s="22" t="str">
        <f t="shared" si="68"/>
        <v/>
      </c>
      <c r="U895" s="25"/>
      <c r="V895" s="25"/>
      <c r="W895" s="25"/>
      <c r="X895" s="25"/>
      <c r="Y895" s="22" t="str">
        <f t="shared" si="69"/>
        <v/>
      </c>
      <c r="Z895" s="25"/>
      <c r="AA895" s="25"/>
      <c r="AB895" s="25"/>
      <c r="AC895" s="25"/>
      <c r="AD895" s="25"/>
      <c r="AE895" s="25"/>
      <c r="AF895" s="25"/>
      <c r="AG895" s="9"/>
      <c r="AH895" s="29"/>
      <c r="AI895" s="29"/>
      <c r="AM895" s="50"/>
      <c r="AN895" s="51" t="s">
        <v>4423</v>
      </c>
      <c r="AO895" s="55" t="s">
        <v>4424</v>
      </c>
    </row>
    <row r="896" spans="1:41" ht="68.400000000000006" hidden="1" x14ac:dyDescent="0.3">
      <c r="A896" s="20">
        <v>892</v>
      </c>
      <c r="B896" s="8" t="s">
        <v>4425</v>
      </c>
      <c r="C896" s="26">
        <v>2023</v>
      </c>
      <c r="D896" s="8"/>
      <c r="E896" s="8" t="s">
        <v>4426</v>
      </c>
      <c r="F896" s="20" t="s">
        <v>54</v>
      </c>
      <c r="G896" s="21" t="s">
        <v>64</v>
      </c>
      <c r="H896" s="21" t="s">
        <v>53</v>
      </c>
      <c r="I896" s="21" t="s">
        <v>53</v>
      </c>
      <c r="J896" s="21" t="s">
        <v>53</v>
      </c>
      <c r="K896" s="21" t="s">
        <v>53</v>
      </c>
      <c r="L896" s="22" t="str">
        <f t="shared" si="65"/>
        <v>EXCLUDE</v>
      </c>
      <c r="M896" s="22" t="str">
        <f t="shared" si="66"/>
        <v>Wrong domain (non-AECO)</v>
      </c>
      <c r="N896" s="23"/>
      <c r="O896" s="23"/>
      <c r="P896" s="24"/>
      <c r="Q896" s="24"/>
      <c r="R896" s="24"/>
      <c r="S896" s="22" t="str">
        <f t="shared" si="67"/>
        <v/>
      </c>
      <c r="T896" s="22" t="str">
        <f t="shared" si="68"/>
        <v/>
      </c>
      <c r="U896" s="25"/>
      <c r="V896" s="25"/>
      <c r="W896" s="25"/>
      <c r="X896" s="25"/>
      <c r="Y896" s="22" t="str">
        <f t="shared" si="69"/>
        <v/>
      </c>
      <c r="Z896" s="25"/>
      <c r="AA896" s="25"/>
      <c r="AB896" s="25"/>
      <c r="AC896" s="25"/>
      <c r="AD896" s="25"/>
      <c r="AE896" s="25"/>
      <c r="AF896" s="25"/>
      <c r="AG896" s="9"/>
      <c r="AH896" s="29"/>
      <c r="AI896" s="29"/>
      <c r="AM896" s="50"/>
      <c r="AN896" s="51" t="s">
        <v>4427</v>
      </c>
      <c r="AO896" s="55" t="s">
        <v>4428</v>
      </c>
    </row>
    <row r="897" spans="1:41" ht="45.6" hidden="1" x14ac:dyDescent="0.3">
      <c r="A897" s="20">
        <v>893</v>
      </c>
      <c r="B897" s="8" t="s">
        <v>4429</v>
      </c>
      <c r="C897" s="26">
        <v>2023</v>
      </c>
      <c r="D897" s="8"/>
      <c r="E897" s="8" t="s">
        <v>4430</v>
      </c>
      <c r="F897" s="20" t="s">
        <v>54</v>
      </c>
      <c r="G897" s="21" t="s">
        <v>64</v>
      </c>
      <c r="H897" s="21" t="s">
        <v>53</v>
      </c>
      <c r="I897" s="21" t="s">
        <v>53</v>
      </c>
      <c r="J897" s="21" t="s">
        <v>53</v>
      </c>
      <c r="K897" s="21" t="s">
        <v>53</v>
      </c>
      <c r="L897" s="22" t="str">
        <f t="shared" si="65"/>
        <v>EXCLUDE</v>
      </c>
      <c r="M897" s="22" t="str">
        <f t="shared" si="66"/>
        <v>Wrong domain (non-AECO)</v>
      </c>
      <c r="N897" s="23"/>
      <c r="O897" s="23"/>
      <c r="P897" s="24"/>
      <c r="Q897" s="24"/>
      <c r="R897" s="24"/>
      <c r="S897" s="22" t="str">
        <f t="shared" si="67"/>
        <v/>
      </c>
      <c r="T897" s="22" t="str">
        <f t="shared" si="68"/>
        <v/>
      </c>
      <c r="U897" s="25"/>
      <c r="V897" s="25"/>
      <c r="W897" s="25"/>
      <c r="X897" s="25"/>
      <c r="Y897" s="22" t="str">
        <f t="shared" si="69"/>
        <v/>
      </c>
      <c r="Z897" s="25"/>
      <c r="AA897" s="25"/>
      <c r="AB897" s="25"/>
      <c r="AC897" s="25"/>
      <c r="AD897" s="25"/>
      <c r="AE897" s="25"/>
      <c r="AF897" s="25"/>
      <c r="AG897" s="9"/>
      <c r="AH897" s="29"/>
      <c r="AI897" s="29"/>
      <c r="AM897" s="50"/>
      <c r="AN897" s="51" t="s">
        <v>4431</v>
      </c>
      <c r="AO897" s="55" t="s">
        <v>4432</v>
      </c>
    </row>
    <row r="898" spans="1:41" ht="86.4" x14ac:dyDescent="0.3">
      <c r="A898" s="20">
        <v>894</v>
      </c>
      <c r="B898" s="8" t="s">
        <v>4433</v>
      </c>
      <c r="C898" s="26">
        <v>2022</v>
      </c>
      <c r="D898" s="8"/>
      <c r="E898" s="8" t="s">
        <v>4434</v>
      </c>
      <c r="F898" s="20" t="s">
        <v>54</v>
      </c>
      <c r="G898" s="21" t="s">
        <v>53</v>
      </c>
      <c r="H898" s="21" t="s">
        <v>53</v>
      </c>
      <c r="I898" s="21" t="s">
        <v>53</v>
      </c>
      <c r="J898" s="21" t="s">
        <v>53</v>
      </c>
      <c r="K898" s="21" t="s">
        <v>53</v>
      </c>
      <c r="L898" s="22" t="str">
        <f t="shared" si="65"/>
        <v>INCLUDE</v>
      </c>
      <c r="M898" s="22" t="str">
        <f t="shared" si="66"/>
        <v/>
      </c>
      <c r="N898" s="23" t="s">
        <v>53</v>
      </c>
      <c r="O898" s="23" t="s">
        <v>53</v>
      </c>
      <c r="P898" s="24" t="s">
        <v>53</v>
      </c>
      <c r="Q898" s="24" t="s">
        <v>53</v>
      </c>
      <c r="R898" s="24" t="s">
        <v>53</v>
      </c>
      <c r="S898" s="22" t="str">
        <f t="shared" si="67"/>
        <v>INCLUDE</v>
      </c>
      <c r="T898" s="22" t="str">
        <f t="shared" si="68"/>
        <v/>
      </c>
      <c r="U898" s="25" t="s">
        <v>56</v>
      </c>
      <c r="V898" s="25">
        <v>0</v>
      </c>
      <c r="W898" s="25">
        <v>0</v>
      </c>
      <c r="X898" s="25">
        <v>1</v>
      </c>
      <c r="Y898" s="22" t="str">
        <f t="shared" si="69"/>
        <v>Single</v>
      </c>
      <c r="Z898" s="25" t="s">
        <v>9</v>
      </c>
      <c r="AA898" s="25" t="s">
        <v>57</v>
      </c>
      <c r="AB898" s="25" t="s">
        <v>58</v>
      </c>
      <c r="AC898" s="25" t="s">
        <v>70</v>
      </c>
      <c r="AD898" s="25" t="s">
        <v>89</v>
      </c>
      <c r="AE898" s="25">
        <v>4</v>
      </c>
      <c r="AF898" s="25" t="s">
        <v>81</v>
      </c>
      <c r="AG898" s="9" t="s">
        <v>4435</v>
      </c>
      <c r="AH898" s="29" t="s">
        <v>4436</v>
      </c>
      <c r="AI898" s="29" t="s">
        <v>4437</v>
      </c>
      <c r="AJ898" t="s">
        <v>91</v>
      </c>
      <c r="AK898" t="s">
        <v>4438</v>
      </c>
      <c r="AL898" t="s">
        <v>63</v>
      </c>
      <c r="AM898" s="50"/>
      <c r="AN898" s="51" t="s">
        <v>4439</v>
      </c>
      <c r="AO898" s="55" t="s">
        <v>4440</v>
      </c>
    </row>
    <row r="899" spans="1:41" ht="68.400000000000006" x14ac:dyDescent="0.3">
      <c r="A899" s="20">
        <v>895</v>
      </c>
      <c r="B899" s="8" t="s">
        <v>4441</v>
      </c>
      <c r="C899" s="26">
        <v>2024</v>
      </c>
      <c r="D899" s="8"/>
      <c r="E899" s="8" t="s">
        <v>4442</v>
      </c>
      <c r="F899" s="20" t="s">
        <v>54</v>
      </c>
      <c r="G899" s="21" t="s">
        <v>53</v>
      </c>
      <c r="H899" s="21" t="s">
        <v>53</v>
      </c>
      <c r="I899" s="21" t="s">
        <v>53</v>
      </c>
      <c r="J899" s="21" t="s">
        <v>53</v>
      </c>
      <c r="K899" s="21" t="s">
        <v>53</v>
      </c>
      <c r="L899" s="22" t="str">
        <f t="shared" si="65"/>
        <v>INCLUDE</v>
      </c>
      <c r="M899" s="22" t="str">
        <f t="shared" si="66"/>
        <v/>
      </c>
      <c r="N899" s="23" t="s">
        <v>53</v>
      </c>
      <c r="O899" s="23" t="s">
        <v>53</v>
      </c>
      <c r="P899" s="24" t="s">
        <v>53</v>
      </c>
      <c r="Q899" s="24" t="s">
        <v>53</v>
      </c>
      <c r="R899" s="24" t="s">
        <v>53</v>
      </c>
      <c r="S899" s="22" t="str">
        <f t="shared" si="67"/>
        <v>INCLUDE</v>
      </c>
      <c r="T899" s="22" t="str">
        <f t="shared" si="68"/>
        <v/>
      </c>
      <c r="U899" s="25" t="s">
        <v>67</v>
      </c>
      <c r="V899" s="25">
        <v>0</v>
      </c>
      <c r="W899" s="25">
        <v>1</v>
      </c>
      <c r="X899" s="25">
        <v>0</v>
      </c>
      <c r="Y899" s="22" t="str">
        <f t="shared" si="69"/>
        <v>Single</v>
      </c>
      <c r="Z899" s="25" t="s">
        <v>9</v>
      </c>
      <c r="AA899" s="25" t="s">
        <v>57</v>
      </c>
      <c r="AB899" s="25" t="s">
        <v>101</v>
      </c>
      <c r="AC899" s="25" t="s">
        <v>70</v>
      </c>
      <c r="AD899" s="25" t="s">
        <v>71</v>
      </c>
      <c r="AE899" s="25">
        <v>4</v>
      </c>
      <c r="AF899" s="25" t="s">
        <v>90</v>
      </c>
      <c r="AG899" s="9" t="s">
        <v>4443</v>
      </c>
      <c r="AH899" s="29" t="s">
        <v>4444</v>
      </c>
      <c r="AI899" s="29" t="s">
        <v>4445</v>
      </c>
      <c r="AJ899" t="s">
        <v>91</v>
      </c>
      <c r="AK899" t="s">
        <v>4446</v>
      </c>
      <c r="AL899" t="s">
        <v>74</v>
      </c>
      <c r="AM899" s="50"/>
      <c r="AN899" s="51" t="s">
        <v>4447</v>
      </c>
      <c r="AO899" s="55" t="s">
        <v>4448</v>
      </c>
    </row>
    <row r="900" spans="1:41" ht="57" hidden="1" x14ac:dyDescent="0.3">
      <c r="A900" s="20">
        <v>896</v>
      </c>
      <c r="B900" s="8" t="s">
        <v>4449</v>
      </c>
      <c r="C900" s="26">
        <v>2023</v>
      </c>
      <c r="D900" s="8"/>
      <c r="E900" s="8" t="s">
        <v>4450</v>
      </c>
      <c r="F900" s="20" t="s">
        <v>65</v>
      </c>
      <c r="G900" s="21" t="s">
        <v>53</v>
      </c>
      <c r="H900" s="21" t="s">
        <v>53</v>
      </c>
      <c r="I900" s="21" t="s">
        <v>64</v>
      </c>
      <c r="J900" s="21" t="s">
        <v>53</v>
      </c>
      <c r="K900" s="21" t="s">
        <v>53</v>
      </c>
      <c r="L900" s="22" t="str">
        <f t="shared" si="65"/>
        <v>EXCLUDE</v>
      </c>
      <c r="M900" s="22" t="str">
        <f t="shared" si="66"/>
        <v>No Design for Safety/Quality/PtD</v>
      </c>
      <c r="N900" s="23"/>
      <c r="O900" s="23"/>
      <c r="P900" s="24"/>
      <c r="Q900" s="24"/>
      <c r="R900" s="24"/>
      <c r="S900" s="22" t="str">
        <f t="shared" si="67"/>
        <v/>
      </c>
      <c r="T900" s="22" t="str">
        <f t="shared" si="68"/>
        <v/>
      </c>
      <c r="U900" s="25"/>
      <c r="V900" s="25"/>
      <c r="W900" s="25"/>
      <c r="X900" s="25"/>
      <c r="Y900" s="22" t="str">
        <f t="shared" si="69"/>
        <v/>
      </c>
      <c r="Z900" s="25"/>
      <c r="AA900" s="25"/>
      <c r="AB900" s="25"/>
      <c r="AC900" s="25"/>
      <c r="AD900" s="25"/>
      <c r="AE900" s="25"/>
      <c r="AF900" s="25"/>
      <c r="AG900" s="9"/>
      <c r="AH900" s="29"/>
      <c r="AI900" s="29"/>
      <c r="AM900" s="50"/>
      <c r="AN900" s="51" t="s">
        <v>4451</v>
      </c>
      <c r="AO900" s="55" t="s">
        <v>4452</v>
      </c>
    </row>
    <row r="901" spans="1:41" ht="57" hidden="1" x14ac:dyDescent="0.3">
      <c r="A901" s="20">
        <v>897</v>
      </c>
      <c r="B901" s="8" t="s">
        <v>4453</v>
      </c>
      <c r="C901" s="26">
        <v>2023</v>
      </c>
      <c r="D901" s="8"/>
      <c r="E901" s="8" t="s">
        <v>4454</v>
      </c>
      <c r="F901" s="20" t="s">
        <v>65</v>
      </c>
      <c r="G901" s="21" t="s">
        <v>53</v>
      </c>
      <c r="H901" s="21" t="s">
        <v>64</v>
      </c>
      <c r="I901" s="21" t="s">
        <v>53</v>
      </c>
      <c r="J901" s="21" t="s">
        <v>53</v>
      </c>
      <c r="K901" s="21" t="s">
        <v>53</v>
      </c>
      <c r="L901" s="22" t="str">
        <f t="shared" ref="L901:L964" si="70">IF(COUNTBLANK(G901:K901)=5,"",IF(COUNTIF(G901:K901,"No")&gt;0,"EXCLUDE","INCLUDE"))</f>
        <v>EXCLUDE</v>
      </c>
      <c r="M901" s="22" t="str">
        <f t="shared" ref="M901:M964" si="71">IF(L901&lt;&gt;"EXCLUDE","",IF(G901="No","Wrong domain (non-AECO)",IF(H901="No","Digital Twin not core / buzzword",IF(I901="No","No Design for Safety/Quality/PtD",IF(J901="No","Wrong publication type",IF(K901="No","Non-English",""))))))</f>
        <v>Digital Twin not core / buzzword</v>
      </c>
      <c r="N901" s="23"/>
      <c r="O901" s="23"/>
      <c r="P901" s="24"/>
      <c r="Q901" s="24"/>
      <c r="R901" s="24"/>
      <c r="S901" s="22" t="str">
        <f t="shared" ref="S901:S964" si="72">IF(N901&lt;&gt;"Yes","",IF(COUNTBLANK(P901:R901)=3,"",IF(COUNTIF(P901:R901,"No")&gt;0,"EXCLUDE","INCLUDE")))</f>
        <v/>
      </c>
      <c r="T901" s="22" t="str">
        <f t="shared" ref="T901:T964" si="73">IF(S901&lt;&gt;"EXCLUDE","",IF(P901="No","Digital Twin mentioned only, not the subject",IF(Q901="No","No Design for Safety/Quality in full text",IF(R901="No","Methodology not codable",""))))</f>
        <v/>
      </c>
      <c r="U901" s="25"/>
      <c r="V901" s="25"/>
      <c r="W901" s="25"/>
      <c r="X901" s="25"/>
      <c r="Y901" s="22" t="str">
        <f t="shared" ref="Y901:Y964" si="74">IF(SUM(V901:X901)=0,"",IF(SUM(V901:X901)&gt;=2,"Multi","Single"))</f>
        <v/>
      </c>
      <c r="Z901" s="25"/>
      <c r="AA901" s="25"/>
      <c r="AB901" s="25"/>
      <c r="AC901" s="25"/>
      <c r="AD901" s="25"/>
      <c r="AE901" s="25"/>
      <c r="AF901" s="25"/>
      <c r="AG901" s="9"/>
      <c r="AH901" s="29"/>
      <c r="AI901" s="29"/>
      <c r="AM901" s="50"/>
      <c r="AN901" s="51" t="s">
        <v>4455</v>
      </c>
      <c r="AO901" s="55" t="s">
        <v>4456</v>
      </c>
    </row>
    <row r="902" spans="1:41" ht="57" hidden="1" x14ac:dyDescent="0.3">
      <c r="A902" s="20">
        <v>898</v>
      </c>
      <c r="B902" s="8" t="s">
        <v>4457</v>
      </c>
      <c r="C902" s="26">
        <v>2023</v>
      </c>
      <c r="D902" s="8"/>
      <c r="E902" s="8" t="s">
        <v>4458</v>
      </c>
      <c r="F902" s="20" t="s">
        <v>65</v>
      </c>
      <c r="G902" s="21" t="s">
        <v>53</v>
      </c>
      <c r="H902" s="21" t="s">
        <v>64</v>
      </c>
      <c r="I902" s="21" t="s">
        <v>53</v>
      </c>
      <c r="J902" s="21" t="s">
        <v>53</v>
      </c>
      <c r="K902" s="21" t="s">
        <v>53</v>
      </c>
      <c r="L902" s="22" t="str">
        <f t="shared" si="70"/>
        <v>EXCLUDE</v>
      </c>
      <c r="M902" s="22" t="str">
        <f t="shared" si="71"/>
        <v>Digital Twin not core / buzzword</v>
      </c>
      <c r="N902" s="23"/>
      <c r="O902" s="23"/>
      <c r="P902" s="24"/>
      <c r="Q902" s="24"/>
      <c r="R902" s="24"/>
      <c r="S902" s="22" t="str">
        <f t="shared" si="72"/>
        <v/>
      </c>
      <c r="T902" s="22" t="str">
        <f t="shared" si="73"/>
        <v/>
      </c>
      <c r="U902" s="25"/>
      <c r="V902" s="25"/>
      <c r="W902" s="25"/>
      <c r="X902" s="25"/>
      <c r="Y902" s="22" t="str">
        <f t="shared" si="74"/>
        <v/>
      </c>
      <c r="Z902" s="25"/>
      <c r="AA902" s="25"/>
      <c r="AB902" s="25"/>
      <c r="AC902" s="25"/>
      <c r="AD902" s="25"/>
      <c r="AE902" s="25"/>
      <c r="AF902" s="25"/>
      <c r="AG902" s="9"/>
      <c r="AH902" s="29"/>
      <c r="AI902" s="29"/>
      <c r="AM902" s="50"/>
      <c r="AN902" s="51" t="s">
        <v>4459</v>
      </c>
      <c r="AO902" s="55" t="s">
        <v>4460</v>
      </c>
    </row>
    <row r="903" spans="1:41" ht="45.6" hidden="1" x14ac:dyDescent="0.3">
      <c r="A903" s="20">
        <v>899</v>
      </c>
      <c r="B903" s="8" t="s">
        <v>4461</v>
      </c>
      <c r="C903" s="26">
        <v>2022</v>
      </c>
      <c r="D903" s="8"/>
      <c r="E903" s="8" t="s">
        <v>4462</v>
      </c>
      <c r="F903" s="20" t="s">
        <v>65</v>
      </c>
      <c r="G903" s="21" t="s">
        <v>53</v>
      </c>
      <c r="H903" s="21" t="s">
        <v>53</v>
      </c>
      <c r="I903" s="21" t="s">
        <v>64</v>
      </c>
      <c r="J903" s="21" t="s">
        <v>53</v>
      </c>
      <c r="K903" s="21" t="s">
        <v>53</v>
      </c>
      <c r="L903" s="22" t="str">
        <f t="shared" si="70"/>
        <v>EXCLUDE</v>
      </c>
      <c r="M903" s="22" t="str">
        <f t="shared" si="71"/>
        <v>No Design for Safety/Quality/PtD</v>
      </c>
      <c r="N903" s="23"/>
      <c r="O903" s="23"/>
      <c r="P903" s="24"/>
      <c r="Q903" s="24"/>
      <c r="R903" s="24"/>
      <c r="S903" s="22" t="str">
        <f t="shared" si="72"/>
        <v/>
      </c>
      <c r="T903" s="22" t="str">
        <f t="shared" si="73"/>
        <v/>
      </c>
      <c r="U903" s="25"/>
      <c r="V903" s="25"/>
      <c r="W903" s="25"/>
      <c r="X903" s="25"/>
      <c r="Y903" s="22" t="str">
        <f t="shared" si="74"/>
        <v/>
      </c>
      <c r="Z903" s="25"/>
      <c r="AA903" s="25"/>
      <c r="AB903" s="25"/>
      <c r="AC903" s="25"/>
      <c r="AD903" s="25"/>
      <c r="AE903" s="25"/>
      <c r="AF903" s="25"/>
      <c r="AG903" s="9"/>
      <c r="AH903" s="29"/>
      <c r="AI903" s="29"/>
      <c r="AM903" s="50"/>
      <c r="AN903" s="51" t="s">
        <v>4463</v>
      </c>
      <c r="AO903" s="55" t="s">
        <v>4464</v>
      </c>
    </row>
    <row r="904" spans="1:41" ht="22.8" hidden="1" x14ac:dyDescent="0.3">
      <c r="A904" s="20">
        <v>900</v>
      </c>
      <c r="B904" s="8" t="s">
        <v>4465</v>
      </c>
      <c r="C904" s="26">
        <v>2026</v>
      </c>
      <c r="D904" s="8"/>
      <c r="E904" s="8" t="s">
        <v>4466</v>
      </c>
      <c r="F904" s="20" t="s">
        <v>65</v>
      </c>
      <c r="G904" s="21" t="s">
        <v>53</v>
      </c>
      <c r="H904" s="21" t="s">
        <v>64</v>
      </c>
      <c r="I904" s="21" t="s">
        <v>53</v>
      </c>
      <c r="J904" s="21" t="s">
        <v>53</v>
      </c>
      <c r="K904" s="21" t="s">
        <v>53</v>
      </c>
      <c r="L904" s="22" t="str">
        <f t="shared" si="70"/>
        <v>EXCLUDE</v>
      </c>
      <c r="M904" s="22" t="str">
        <f t="shared" si="71"/>
        <v>Digital Twin not core / buzzword</v>
      </c>
      <c r="N904" s="23"/>
      <c r="O904" s="23"/>
      <c r="P904" s="24"/>
      <c r="Q904" s="24"/>
      <c r="R904" s="24"/>
      <c r="S904" s="22" t="str">
        <f t="shared" si="72"/>
        <v/>
      </c>
      <c r="T904" s="22" t="str">
        <f t="shared" si="73"/>
        <v/>
      </c>
      <c r="U904" s="25"/>
      <c r="V904" s="25"/>
      <c r="W904" s="25"/>
      <c r="X904" s="25"/>
      <c r="Y904" s="22" t="str">
        <f t="shared" si="74"/>
        <v/>
      </c>
      <c r="Z904" s="25"/>
      <c r="AA904" s="25"/>
      <c r="AB904" s="25"/>
      <c r="AC904" s="25"/>
      <c r="AD904" s="25"/>
      <c r="AE904" s="25"/>
      <c r="AF904" s="25"/>
      <c r="AG904" s="9"/>
      <c r="AH904" s="29"/>
      <c r="AI904" s="29"/>
      <c r="AM904" s="50"/>
      <c r="AN904" s="51" t="s">
        <v>4467</v>
      </c>
      <c r="AO904" s="55" t="s">
        <v>4468</v>
      </c>
    </row>
    <row r="905" spans="1:41" ht="79.8" x14ac:dyDescent="0.3">
      <c r="A905" s="20">
        <v>901</v>
      </c>
      <c r="B905" s="8" t="s">
        <v>4469</v>
      </c>
      <c r="C905" s="26">
        <v>2025</v>
      </c>
      <c r="D905" s="8"/>
      <c r="E905" s="8" t="s">
        <v>4470</v>
      </c>
      <c r="F905" s="20" t="s">
        <v>65</v>
      </c>
      <c r="G905" s="21" t="s">
        <v>53</v>
      </c>
      <c r="H905" s="21" t="s">
        <v>53</v>
      </c>
      <c r="I905" s="21" t="s">
        <v>53</v>
      </c>
      <c r="J905" s="21" t="s">
        <v>53</v>
      </c>
      <c r="K905" s="21" t="s">
        <v>53</v>
      </c>
      <c r="L905" s="22" t="str">
        <f t="shared" si="70"/>
        <v>INCLUDE</v>
      </c>
      <c r="M905" s="22" t="str">
        <f t="shared" si="71"/>
        <v/>
      </c>
      <c r="N905" s="23" t="s">
        <v>53</v>
      </c>
      <c r="O905" s="23" t="s">
        <v>53</v>
      </c>
      <c r="P905" s="24" t="s">
        <v>53</v>
      </c>
      <c r="Q905" s="24" t="s">
        <v>53</v>
      </c>
      <c r="R905" s="24" t="s">
        <v>53</v>
      </c>
      <c r="S905" s="22" t="str">
        <f t="shared" si="72"/>
        <v>INCLUDE</v>
      </c>
      <c r="T905" s="22" t="str">
        <f t="shared" si="73"/>
        <v/>
      </c>
      <c r="U905" s="25" t="s">
        <v>56</v>
      </c>
      <c r="V905" s="25">
        <v>0</v>
      </c>
      <c r="W905" s="25">
        <v>0</v>
      </c>
      <c r="X905" s="25">
        <v>1</v>
      </c>
      <c r="Y905" s="22" t="str">
        <f t="shared" si="74"/>
        <v>Single</v>
      </c>
      <c r="Z905" s="25" t="s">
        <v>9</v>
      </c>
      <c r="AA905" s="25" t="s">
        <v>57</v>
      </c>
      <c r="AB905" s="25" t="s">
        <v>103</v>
      </c>
      <c r="AC905" s="25" t="s">
        <v>70</v>
      </c>
      <c r="AD905" s="25" t="s">
        <v>60</v>
      </c>
      <c r="AE905" s="25">
        <v>3</v>
      </c>
      <c r="AF905" s="25" t="s">
        <v>61</v>
      </c>
      <c r="AG905" s="9" t="s">
        <v>4471</v>
      </c>
      <c r="AH905" s="29" t="s">
        <v>4472</v>
      </c>
      <c r="AI905" s="29" t="s">
        <v>4473</v>
      </c>
      <c r="AJ905" t="s">
        <v>93</v>
      </c>
      <c r="AK905" t="s">
        <v>4474</v>
      </c>
      <c r="AL905" t="s">
        <v>63</v>
      </c>
      <c r="AM905" s="50" t="s">
        <v>213</v>
      </c>
      <c r="AN905" s="51" t="s">
        <v>4475</v>
      </c>
      <c r="AO905" s="55" t="s">
        <v>4476</v>
      </c>
    </row>
    <row r="906" spans="1:41" ht="68.400000000000006" hidden="1" x14ac:dyDescent="0.3">
      <c r="A906" s="20">
        <v>902</v>
      </c>
      <c r="B906" s="8" t="s">
        <v>4477</v>
      </c>
      <c r="C906" s="26">
        <v>2027</v>
      </c>
      <c r="D906" s="8"/>
      <c r="E906" s="8" t="s">
        <v>4478</v>
      </c>
      <c r="F906" s="20" t="s">
        <v>65</v>
      </c>
      <c r="G906" s="21" t="s">
        <v>53</v>
      </c>
      <c r="H906" s="21" t="s">
        <v>53</v>
      </c>
      <c r="I906" s="21" t="s">
        <v>64</v>
      </c>
      <c r="J906" s="21" t="s">
        <v>53</v>
      </c>
      <c r="K906" s="21" t="s">
        <v>53</v>
      </c>
      <c r="L906" s="22" t="str">
        <f t="shared" si="70"/>
        <v>EXCLUDE</v>
      </c>
      <c r="M906" s="22" t="str">
        <f t="shared" si="71"/>
        <v>No Design for Safety/Quality/PtD</v>
      </c>
      <c r="N906" s="23"/>
      <c r="O906" s="23"/>
      <c r="P906" s="24"/>
      <c r="Q906" s="24"/>
      <c r="R906" s="24"/>
      <c r="S906" s="22" t="str">
        <f t="shared" si="72"/>
        <v/>
      </c>
      <c r="T906" s="22" t="str">
        <f t="shared" si="73"/>
        <v/>
      </c>
      <c r="U906" s="25"/>
      <c r="V906" s="25"/>
      <c r="W906" s="25"/>
      <c r="X906" s="25"/>
      <c r="Y906" s="22" t="str">
        <f t="shared" si="74"/>
        <v/>
      </c>
      <c r="Z906" s="25"/>
      <c r="AA906" s="25"/>
      <c r="AB906" s="25"/>
      <c r="AC906" s="25"/>
      <c r="AD906" s="25"/>
      <c r="AE906" s="25"/>
      <c r="AF906" s="25"/>
      <c r="AG906" s="9"/>
      <c r="AH906" s="29"/>
      <c r="AI906" s="29"/>
      <c r="AM906" s="50"/>
      <c r="AN906" s="51" t="s">
        <v>4479</v>
      </c>
      <c r="AO906" s="55" t="s">
        <v>4480</v>
      </c>
    </row>
    <row r="907" spans="1:41" ht="68.400000000000006" hidden="1" x14ac:dyDescent="0.3">
      <c r="A907" s="20">
        <v>903</v>
      </c>
      <c r="B907" s="8" t="s">
        <v>4481</v>
      </c>
      <c r="C907" s="26">
        <v>2025</v>
      </c>
      <c r="D907" s="8"/>
      <c r="E907" s="8" t="s">
        <v>4482</v>
      </c>
      <c r="F907" s="20" t="s">
        <v>65</v>
      </c>
      <c r="G907" s="21" t="s">
        <v>53</v>
      </c>
      <c r="H907" s="21" t="s">
        <v>64</v>
      </c>
      <c r="I907" s="21" t="s">
        <v>53</v>
      </c>
      <c r="J907" s="21" t="s">
        <v>53</v>
      </c>
      <c r="K907" s="21" t="s">
        <v>53</v>
      </c>
      <c r="L907" s="22" t="str">
        <f t="shared" si="70"/>
        <v>EXCLUDE</v>
      </c>
      <c r="M907" s="22" t="str">
        <f t="shared" si="71"/>
        <v>Digital Twin not core / buzzword</v>
      </c>
      <c r="N907" s="23"/>
      <c r="O907" s="23"/>
      <c r="P907" s="24"/>
      <c r="Q907" s="24"/>
      <c r="R907" s="24"/>
      <c r="S907" s="22" t="str">
        <f t="shared" si="72"/>
        <v/>
      </c>
      <c r="T907" s="22" t="str">
        <f t="shared" si="73"/>
        <v/>
      </c>
      <c r="U907" s="25"/>
      <c r="V907" s="25"/>
      <c r="W907" s="25"/>
      <c r="X907" s="25"/>
      <c r="Y907" s="22" t="str">
        <f t="shared" si="74"/>
        <v/>
      </c>
      <c r="Z907" s="25"/>
      <c r="AA907" s="25"/>
      <c r="AB907" s="25"/>
      <c r="AC907" s="25"/>
      <c r="AD907" s="25"/>
      <c r="AE907" s="25"/>
      <c r="AF907" s="25"/>
      <c r="AG907" s="9"/>
      <c r="AH907" s="29"/>
      <c r="AI907" s="29"/>
      <c r="AM907" s="50"/>
      <c r="AN907" s="51" t="s">
        <v>4483</v>
      </c>
      <c r="AO907" s="55" t="s">
        <v>4484</v>
      </c>
    </row>
    <row r="908" spans="1:41" ht="102.6" x14ac:dyDescent="0.3">
      <c r="A908" s="20">
        <v>904</v>
      </c>
      <c r="B908" s="8" t="s">
        <v>4485</v>
      </c>
      <c r="C908" s="26">
        <v>2026</v>
      </c>
      <c r="D908" s="8"/>
      <c r="E908" s="8" t="s">
        <v>4486</v>
      </c>
      <c r="F908" s="20" t="s">
        <v>65</v>
      </c>
      <c r="G908" s="21" t="s">
        <v>53</v>
      </c>
      <c r="H908" s="21" t="s">
        <v>53</v>
      </c>
      <c r="I908" s="21" t="s">
        <v>53</v>
      </c>
      <c r="J908" s="21" t="s">
        <v>53</v>
      </c>
      <c r="K908" s="21" t="s">
        <v>53</v>
      </c>
      <c r="L908" s="22" t="str">
        <f t="shared" si="70"/>
        <v>INCLUDE</v>
      </c>
      <c r="M908" s="22" t="str">
        <f t="shared" si="71"/>
        <v/>
      </c>
      <c r="N908" s="23" t="s">
        <v>53</v>
      </c>
      <c r="O908" s="23" t="s">
        <v>53</v>
      </c>
      <c r="P908" s="24" t="s">
        <v>53</v>
      </c>
      <c r="Q908" s="24" t="s">
        <v>53</v>
      </c>
      <c r="R908" s="24" t="s">
        <v>53</v>
      </c>
      <c r="S908" s="22" t="str">
        <f t="shared" si="72"/>
        <v>INCLUDE</v>
      </c>
      <c r="T908" s="22" t="str">
        <f t="shared" si="73"/>
        <v/>
      </c>
      <c r="U908" s="25" t="s">
        <v>67</v>
      </c>
      <c r="V908" s="25">
        <v>0</v>
      </c>
      <c r="W908" s="25">
        <v>1</v>
      </c>
      <c r="X908" s="25">
        <v>0</v>
      </c>
      <c r="Y908" s="22" t="str">
        <f t="shared" si="74"/>
        <v>Single</v>
      </c>
      <c r="Z908" s="25" t="s">
        <v>9</v>
      </c>
      <c r="AA908" s="25" t="s">
        <v>57</v>
      </c>
      <c r="AB908" s="25" t="s">
        <v>100</v>
      </c>
      <c r="AC908" s="25" t="s">
        <v>70</v>
      </c>
      <c r="AD908" s="25" t="s">
        <v>89</v>
      </c>
      <c r="AE908" s="25">
        <v>4</v>
      </c>
      <c r="AF908" s="25" t="s">
        <v>61</v>
      </c>
      <c r="AG908" s="9" t="s">
        <v>4487</v>
      </c>
      <c r="AH908" s="29" t="s">
        <v>4488</v>
      </c>
      <c r="AI908" s="29" t="s">
        <v>4489</v>
      </c>
      <c r="AJ908" t="s">
        <v>91</v>
      </c>
      <c r="AK908" t="s">
        <v>4490</v>
      </c>
      <c r="AL908" t="s">
        <v>74</v>
      </c>
      <c r="AM908" s="50"/>
      <c r="AN908" s="51" t="s">
        <v>4491</v>
      </c>
      <c r="AO908" s="55" t="s">
        <v>4492</v>
      </c>
    </row>
    <row r="909" spans="1:41" ht="68.400000000000006" hidden="1" x14ac:dyDescent="0.3">
      <c r="A909" s="20">
        <v>905</v>
      </c>
      <c r="B909" s="8" t="s">
        <v>4493</v>
      </c>
      <c r="C909" s="26">
        <v>2026</v>
      </c>
      <c r="D909" s="8"/>
      <c r="E909" s="8" t="s">
        <v>4494</v>
      </c>
      <c r="F909" s="20" t="s">
        <v>65</v>
      </c>
      <c r="G909" s="21" t="s">
        <v>53</v>
      </c>
      <c r="H909" s="21" t="s">
        <v>53</v>
      </c>
      <c r="I909" s="21" t="s">
        <v>64</v>
      </c>
      <c r="J909" s="21" t="s">
        <v>53</v>
      </c>
      <c r="K909" s="21" t="s">
        <v>53</v>
      </c>
      <c r="L909" s="22" t="str">
        <f t="shared" si="70"/>
        <v>EXCLUDE</v>
      </c>
      <c r="M909" s="22" t="str">
        <f t="shared" si="71"/>
        <v>No Design for Safety/Quality/PtD</v>
      </c>
      <c r="N909" s="23"/>
      <c r="O909" s="23"/>
      <c r="P909" s="24"/>
      <c r="Q909" s="24"/>
      <c r="R909" s="24"/>
      <c r="S909" s="22" t="str">
        <f t="shared" si="72"/>
        <v/>
      </c>
      <c r="T909" s="22" t="str">
        <f t="shared" si="73"/>
        <v/>
      </c>
      <c r="U909" s="25"/>
      <c r="V909" s="25"/>
      <c r="W909" s="25"/>
      <c r="X909" s="25"/>
      <c r="Y909" s="22" t="str">
        <f t="shared" si="74"/>
        <v/>
      </c>
      <c r="Z909" s="25"/>
      <c r="AA909" s="25"/>
      <c r="AB909" s="25"/>
      <c r="AC909" s="25"/>
      <c r="AD909" s="25"/>
      <c r="AE909" s="25"/>
      <c r="AF909" s="25"/>
      <c r="AG909" s="9"/>
      <c r="AH909" s="29"/>
      <c r="AI909" s="29"/>
      <c r="AM909" s="50"/>
      <c r="AN909" s="51" t="s">
        <v>4495</v>
      </c>
      <c r="AO909" s="55" t="s">
        <v>4496</v>
      </c>
    </row>
    <row r="910" spans="1:41" ht="79.8" hidden="1" x14ac:dyDescent="0.3">
      <c r="A910" s="20">
        <v>906</v>
      </c>
      <c r="B910" s="8" t="s">
        <v>4497</v>
      </c>
      <c r="C910" s="26">
        <v>2024</v>
      </c>
      <c r="D910" s="8"/>
      <c r="E910" s="8" t="s">
        <v>4498</v>
      </c>
      <c r="F910" s="20" t="s">
        <v>65</v>
      </c>
      <c r="G910" s="21" t="s">
        <v>53</v>
      </c>
      <c r="H910" s="21" t="s">
        <v>53</v>
      </c>
      <c r="I910" s="21" t="s">
        <v>64</v>
      </c>
      <c r="J910" s="21" t="s">
        <v>53</v>
      </c>
      <c r="K910" s="21" t="s">
        <v>53</v>
      </c>
      <c r="L910" s="22" t="str">
        <f t="shared" si="70"/>
        <v>EXCLUDE</v>
      </c>
      <c r="M910" s="22" t="str">
        <f t="shared" si="71"/>
        <v>No Design for Safety/Quality/PtD</v>
      </c>
      <c r="N910" s="23"/>
      <c r="O910" s="23"/>
      <c r="P910" s="24"/>
      <c r="Q910" s="24"/>
      <c r="R910" s="24"/>
      <c r="S910" s="22" t="str">
        <f t="shared" si="72"/>
        <v/>
      </c>
      <c r="T910" s="22" t="str">
        <f t="shared" si="73"/>
        <v/>
      </c>
      <c r="U910" s="25"/>
      <c r="V910" s="25"/>
      <c r="W910" s="25"/>
      <c r="X910" s="25"/>
      <c r="Y910" s="22" t="str">
        <f t="shared" si="74"/>
        <v/>
      </c>
      <c r="Z910" s="25"/>
      <c r="AA910" s="25"/>
      <c r="AB910" s="25"/>
      <c r="AC910" s="25"/>
      <c r="AD910" s="25"/>
      <c r="AE910" s="25"/>
      <c r="AF910" s="25"/>
      <c r="AG910" s="9"/>
      <c r="AH910" s="29"/>
      <c r="AI910" s="29"/>
      <c r="AM910" s="50"/>
      <c r="AN910" s="51" t="s">
        <v>4499</v>
      </c>
      <c r="AO910" s="55" t="s">
        <v>4500</v>
      </c>
    </row>
    <row r="911" spans="1:41" ht="79.8" hidden="1" x14ac:dyDescent="0.3">
      <c r="A911" s="20">
        <v>907</v>
      </c>
      <c r="B911" s="8" t="s">
        <v>4501</v>
      </c>
      <c r="C911" s="26">
        <v>2026</v>
      </c>
      <c r="D911" s="8"/>
      <c r="E911" s="8" t="s">
        <v>4502</v>
      </c>
      <c r="F911" s="20" t="s">
        <v>65</v>
      </c>
      <c r="G911" s="21" t="s">
        <v>53</v>
      </c>
      <c r="H911" s="21" t="s">
        <v>64</v>
      </c>
      <c r="I911" s="21" t="s">
        <v>53</v>
      </c>
      <c r="J911" s="21" t="s">
        <v>53</v>
      </c>
      <c r="K911" s="21" t="s">
        <v>53</v>
      </c>
      <c r="L911" s="22" t="str">
        <f t="shared" si="70"/>
        <v>EXCLUDE</v>
      </c>
      <c r="M911" s="22" t="str">
        <f t="shared" si="71"/>
        <v>Digital Twin not core / buzzword</v>
      </c>
      <c r="N911" s="23"/>
      <c r="O911" s="23"/>
      <c r="P911" s="24"/>
      <c r="Q911" s="24"/>
      <c r="R911" s="24"/>
      <c r="S911" s="22" t="str">
        <f t="shared" si="72"/>
        <v/>
      </c>
      <c r="T911" s="22" t="str">
        <f t="shared" si="73"/>
        <v/>
      </c>
      <c r="U911" s="25"/>
      <c r="V911" s="25"/>
      <c r="W911" s="25"/>
      <c r="X911" s="25"/>
      <c r="Y911" s="22" t="str">
        <f t="shared" si="74"/>
        <v/>
      </c>
      <c r="Z911" s="25"/>
      <c r="AA911" s="25"/>
      <c r="AB911" s="25"/>
      <c r="AC911" s="25"/>
      <c r="AD911" s="25"/>
      <c r="AE911" s="25"/>
      <c r="AF911" s="25"/>
      <c r="AG911" s="9"/>
      <c r="AH911" s="29"/>
      <c r="AI911" s="29"/>
      <c r="AM911" s="50"/>
      <c r="AN911" s="51" t="s">
        <v>4503</v>
      </c>
      <c r="AO911" s="55" t="s">
        <v>4504</v>
      </c>
    </row>
    <row r="912" spans="1:41" ht="45.6" hidden="1" x14ac:dyDescent="0.3">
      <c r="A912" s="20">
        <v>908</v>
      </c>
      <c r="B912" s="8" t="s">
        <v>4505</v>
      </c>
      <c r="C912" s="26">
        <v>2024</v>
      </c>
      <c r="D912" s="8"/>
      <c r="E912" s="8" t="s">
        <v>4506</v>
      </c>
      <c r="F912" s="20" t="s">
        <v>65</v>
      </c>
      <c r="G912" s="21" t="s">
        <v>53</v>
      </c>
      <c r="H912" s="21" t="s">
        <v>64</v>
      </c>
      <c r="I912" s="21" t="s">
        <v>53</v>
      </c>
      <c r="J912" s="21" t="s">
        <v>53</v>
      </c>
      <c r="K912" s="21" t="s">
        <v>53</v>
      </c>
      <c r="L912" s="22" t="str">
        <f t="shared" si="70"/>
        <v>EXCLUDE</v>
      </c>
      <c r="M912" s="22" t="str">
        <f t="shared" si="71"/>
        <v>Digital Twin not core / buzzword</v>
      </c>
      <c r="N912" s="23"/>
      <c r="O912" s="23"/>
      <c r="P912" s="24"/>
      <c r="Q912" s="24"/>
      <c r="R912" s="24"/>
      <c r="S912" s="22" t="str">
        <f t="shared" si="72"/>
        <v/>
      </c>
      <c r="T912" s="22" t="str">
        <f t="shared" si="73"/>
        <v/>
      </c>
      <c r="U912" s="25"/>
      <c r="V912" s="25"/>
      <c r="W912" s="25"/>
      <c r="X912" s="25"/>
      <c r="Y912" s="22" t="str">
        <f t="shared" si="74"/>
        <v/>
      </c>
      <c r="Z912" s="25"/>
      <c r="AA912" s="25"/>
      <c r="AB912" s="25"/>
      <c r="AC912" s="25"/>
      <c r="AD912" s="25"/>
      <c r="AE912" s="25"/>
      <c r="AF912" s="25"/>
      <c r="AG912" s="9"/>
      <c r="AH912" s="29"/>
      <c r="AI912" s="29"/>
      <c r="AM912" s="50"/>
      <c r="AN912" s="51" t="s">
        <v>4507</v>
      </c>
      <c r="AO912" s="55" t="s">
        <v>4508</v>
      </c>
    </row>
    <row r="913" spans="1:41" ht="45.6" hidden="1" x14ac:dyDescent="0.3">
      <c r="A913" s="20">
        <v>909</v>
      </c>
      <c r="B913" s="8" t="s">
        <v>4509</v>
      </c>
      <c r="C913" s="26">
        <v>2024</v>
      </c>
      <c r="D913" s="8"/>
      <c r="E913" s="8" t="s">
        <v>4510</v>
      </c>
      <c r="F913" s="20" t="s">
        <v>65</v>
      </c>
      <c r="G913" s="21" t="s">
        <v>53</v>
      </c>
      <c r="H913" s="21" t="s">
        <v>53</v>
      </c>
      <c r="I913" s="21" t="s">
        <v>64</v>
      </c>
      <c r="J913" s="21" t="s">
        <v>53</v>
      </c>
      <c r="K913" s="21" t="s">
        <v>53</v>
      </c>
      <c r="L913" s="22" t="str">
        <f t="shared" si="70"/>
        <v>EXCLUDE</v>
      </c>
      <c r="M913" s="22" t="str">
        <f t="shared" si="71"/>
        <v>No Design for Safety/Quality/PtD</v>
      </c>
      <c r="N913" s="23"/>
      <c r="O913" s="23"/>
      <c r="P913" s="24"/>
      <c r="Q913" s="24"/>
      <c r="R913" s="24"/>
      <c r="S913" s="22" t="str">
        <f t="shared" si="72"/>
        <v/>
      </c>
      <c r="T913" s="22" t="str">
        <f t="shared" si="73"/>
        <v/>
      </c>
      <c r="U913" s="25"/>
      <c r="V913" s="25"/>
      <c r="W913" s="25"/>
      <c r="X913" s="25"/>
      <c r="Y913" s="22" t="str">
        <f t="shared" si="74"/>
        <v/>
      </c>
      <c r="Z913" s="25"/>
      <c r="AA913" s="25"/>
      <c r="AB913" s="25"/>
      <c r="AC913" s="25"/>
      <c r="AD913" s="25"/>
      <c r="AE913" s="25"/>
      <c r="AF913" s="25"/>
      <c r="AG913" s="9"/>
      <c r="AH913" s="29"/>
      <c r="AI913" s="29"/>
      <c r="AM913" s="50"/>
      <c r="AN913" s="51" t="s">
        <v>4511</v>
      </c>
      <c r="AO913" s="55" t="s">
        <v>4512</v>
      </c>
    </row>
    <row r="914" spans="1:41" ht="45.6" hidden="1" x14ac:dyDescent="0.3">
      <c r="A914" s="20">
        <v>910</v>
      </c>
      <c r="B914" s="8" t="s">
        <v>4513</v>
      </c>
      <c r="C914" s="26">
        <v>2023</v>
      </c>
      <c r="D914" s="8"/>
      <c r="E914" s="8" t="s">
        <v>4514</v>
      </c>
      <c r="F914" s="20" t="s">
        <v>65</v>
      </c>
      <c r="G914" s="21" t="s">
        <v>53</v>
      </c>
      <c r="H914" s="21" t="s">
        <v>53</v>
      </c>
      <c r="I914" s="21" t="s">
        <v>64</v>
      </c>
      <c r="J914" s="21" t="s">
        <v>53</v>
      </c>
      <c r="K914" s="21" t="s">
        <v>53</v>
      </c>
      <c r="L914" s="22" t="str">
        <f t="shared" si="70"/>
        <v>EXCLUDE</v>
      </c>
      <c r="M914" s="22" t="str">
        <f t="shared" si="71"/>
        <v>No Design for Safety/Quality/PtD</v>
      </c>
      <c r="N914" s="23"/>
      <c r="O914" s="23"/>
      <c r="P914" s="24"/>
      <c r="Q914" s="24"/>
      <c r="R914" s="24"/>
      <c r="S914" s="22" t="str">
        <f t="shared" si="72"/>
        <v/>
      </c>
      <c r="T914" s="22" t="str">
        <f t="shared" si="73"/>
        <v/>
      </c>
      <c r="U914" s="25"/>
      <c r="V914" s="25"/>
      <c r="W914" s="25"/>
      <c r="X914" s="25"/>
      <c r="Y914" s="22" t="str">
        <f t="shared" si="74"/>
        <v/>
      </c>
      <c r="Z914" s="25"/>
      <c r="AA914" s="25"/>
      <c r="AB914" s="25"/>
      <c r="AC914" s="25"/>
      <c r="AD914" s="25"/>
      <c r="AE914" s="25"/>
      <c r="AF914" s="25"/>
      <c r="AG914" s="9"/>
      <c r="AH914" s="29"/>
      <c r="AI914" s="29"/>
      <c r="AM914" s="50"/>
      <c r="AN914" s="51" t="s">
        <v>4515</v>
      </c>
      <c r="AO914" s="55" t="s">
        <v>4516</v>
      </c>
    </row>
    <row r="915" spans="1:41" ht="43.2" hidden="1" x14ac:dyDescent="0.3">
      <c r="A915" s="20">
        <v>911</v>
      </c>
      <c r="B915" s="8" t="s">
        <v>4517</v>
      </c>
      <c r="C915" s="26">
        <v>2025</v>
      </c>
      <c r="D915" s="8"/>
      <c r="E915" s="8" t="s">
        <v>4518</v>
      </c>
      <c r="F915" s="20" t="s">
        <v>65</v>
      </c>
      <c r="G915" s="21" t="s">
        <v>53</v>
      </c>
      <c r="H915" s="21" t="s">
        <v>53</v>
      </c>
      <c r="I915" s="21" t="s">
        <v>64</v>
      </c>
      <c r="J915" s="21" t="s">
        <v>53</v>
      </c>
      <c r="K915" s="21" t="s">
        <v>53</v>
      </c>
      <c r="L915" s="22" t="str">
        <f t="shared" si="70"/>
        <v>EXCLUDE</v>
      </c>
      <c r="M915" s="22" t="str">
        <f t="shared" si="71"/>
        <v>No Design for Safety/Quality/PtD</v>
      </c>
      <c r="N915" s="23"/>
      <c r="O915" s="23"/>
      <c r="P915" s="24"/>
      <c r="Q915" s="24"/>
      <c r="R915" s="24"/>
      <c r="S915" s="22" t="str">
        <f t="shared" si="72"/>
        <v/>
      </c>
      <c r="T915" s="22" t="str">
        <f t="shared" si="73"/>
        <v/>
      </c>
      <c r="U915" s="25"/>
      <c r="V915" s="25"/>
      <c r="W915" s="25"/>
      <c r="X915" s="25"/>
      <c r="Y915" s="22" t="str">
        <f t="shared" si="74"/>
        <v/>
      </c>
      <c r="Z915" s="25"/>
      <c r="AA915" s="25"/>
      <c r="AB915" s="25"/>
      <c r="AC915" s="25"/>
      <c r="AD915" s="25"/>
      <c r="AE915" s="25"/>
      <c r="AF915" s="25"/>
      <c r="AG915" s="9"/>
      <c r="AH915" s="29"/>
      <c r="AI915" s="29"/>
      <c r="AM915" s="50"/>
      <c r="AN915" s="51" t="s">
        <v>4519</v>
      </c>
      <c r="AO915" s="55" t="s">
        <v>4520</v>
      </c>
    </row>
    <row r="916" spans="1:41" ht="57" hidden="1" x14ac:dyDescent="0.3">
      <c r="A916" s="20">
        <v>912</v>
      </c>
      <c r="B916" s="8" t="s">
        <v>4521</v>
      </c>
      <c r="C916" s="26">
        <v>2026</v>
      </c>
      <c r="D916" s="8"/>
      <c r="E916" s="8" t="s">
        <v>4522</v>
      </c>
      <c r="F916" s="20" t="s">
        <v>65</v>
      </c>
      <c r="G916" s="21" t="s">
        <v>53</v>
      </c>
      <c r="H916" s="21" t="s">
        <v>64</v>
      </c>
      <c r="I916" s="21" t="s">
        <v>53</v>
      </c>
      <c r="J916" s="21" t="s">
        <v>53</v>
      </c>
      <c r="K916" s="21" t="s">
        <v>53</v>
      </c>
      <c r="L916" s="22" t="str">
        <f t="shared" si="70"/>
        <v>EXCLUDE</v>
      </c>
      <c r="M916" s="22" t="str">
        <f t="shared" si="71"/>
        <v>Digital Twin not core / buzzword</v>
      </c>
      <c r="N916" s="23"/>
      <c r="O916" s="23"/>
      <c r="P916" s="24"/>
      <c r="Q916" s="24"/>
      <c r="R916" s="24"/>
      <c r="S916" s="22" t="str">
        <f t="shared" si="72"/>
        <v/>
      </c>
      <c r="T916" s="22" t="str">
        <f t="shared" si="73"/>
        <v/>
      </c>
      <c r="U916" s="25"/>
      <c r="V916" s="25"/>
      <c r="W916" s="25"/>
      <c r="X916" s="25"/>
      <c r="Y916" s="22" t="str">
        <f t="shared" si="74"/>
        <v/>
      </c>
      <c r="Z916" s="25"/>
      <c r="AA916" s="25"/>
      <c r="AB916" s="25"/>
      <c r="AC916" s="25"/>
      <c r="AD916" s="25"/>
      <c r="AE916" s="25"/>
      <c r="AF916" s="25"/>
      <c r="AG916" s="9"/>
      <c r="AH916" s="29"/>
      <c r="AI916" s="29"/>
      <c r="AM916" s="50"/>
      <c r="AN916" s="51" t="s">
        <v>4523</v>
      </c>
      <c r="AO916" s="55" t="s">
        <v>4524</v>
      </c>
    </row>
    <row r="917" spans="1:41" ht="79.8" hidden="1" x14ac:dyDescent="0.3">
      <c r="A917" s="20">
        <v>913</v>
      </c>
      <c r="B917" s="8" t="s">
        <v>4525</v>
      </c>
      <c r="C917" s="26">
        <v>2024</v>
      </c>
      <c r="D917" s="8"/>
      <c r="E917" s="8" t="s">
        <v>4526</v>
      </c>
      <c r="F917" s="20" t="s">
        <v>65</v>
      </c>
      <c r="G917" s="21" t="s">
        <v>53</v>
      </c>
      <c r="H917" s="21" t="s">
        <v>64</v>
      </c>
      <c r="I917" s="21" t="s">
        <v>53</v>
      </c>
      <c r="J917" s="21" t="s">
        <v>53</v>
      </c>
      <c r="K917" s="21" t="s">
        <v>53</v>
      </c>
      <c r="L917" s="22" t="str">
        <f t="shared" si="70"/>
        <v>EXCLUDE</v>
      </c>
      <c r="M917" s="22" t="str">
        <f t="shared" si="71"/>
        <v>Digital Twin not core / buzzword</v>
      </c>
      <c r="N917" s="23"/>
      <c r="O917" s="23"/>
      <c r="P917" s="24"/>
      <c r="Q917" s="24"/>
      <c r="R917" s="24"/>
      <c r="S917" s="22" t="str">
        <f t="shared" si="72"/>
        <v/>
      </c>
      <c r="T917" s="22" t="str">
        <f t="shared" si="73"/>
        <v/>
      </c>
      <c r="U917" s="25"/>
      <c r="V917" s="25"/>
      <c r="W917" s="25"/>
      <c r="X917" s="25"/>
      <c r="Y917" s="22" t="str">
        <f t="shared" si="74"/>
        <v/>
      </c>
      <c r="Z917" s="25"/>
      <c r="AA917" s="25"/>
      <c r="AB917" s="25"/>
      <c r="AC917" s="25"/>
      <c r="AD917" s="25"/>
      <c r="AE917" s="25"/>
      <c r="AF917" s="25"/>
      <c r="AG917" s="9"/>
      <c r="AH917" s="29"/>
      <c r="AI917" s="29"/>
      <c r="AM917" s="50"/>
      <c r="AN917" s="51" t="s">
        <v>4527</v>
      </c>
      <c r="AO917" s="55" t="s">
        <v>4528</v>
      </c>
    </row>
    <row r="918" spans="1:41" ht="91.2" x14ac:dyDescent="0.3">
      <c r="A918" s="20">
        <v>914</v>
      </c>
      <c r="B918" s="8" t="s">
        <v>4529</v>
      </c>
      <c r="C918" s="26">
        <v>2025</v>
      </c>
      <c r="D918" s="8"/>
      <c r="E918" s="8" t="s">
        <v>4530</v>
      </c>
      <c r="F918" s="20" t="s">
        <v>65</v>
      </c>
      <c r="G918" s="21" t="s">
        <v>53</v>
      </c>
      <c r="H918" s="21" t="s">
        <v>53</v>
      </c>
      <c r="I918" s="21" t="s">
        <v>53</v>
      </c>
      <c r="J918" s="21" t="s">
        <v>53</v>
      </c>
      <c r="K918" s="21" t="s">
        <v>53</v>
      </c>
      <c r="L918" s="22" t="str">
        <f t="shared" si="70"/>
        <v>INCLUDE</v>
      </c>
      <c r="M918" s="22" t="str">
        <f t="shared" si="71"/>
        <v/>
      </c>
      <c r="N918" s="23" t="s">
        <v>53</v>
      </c>
      <c r="O918" s="23" t="s">
        <v>53</v>
      </c>
      <c r="P918" s="24" t="s">
        <v>53</v>
      </c>
      <c r="Q918" s="24" t="s">
        <v>53</v>
      </c>
      <c r="R918" s="24" t="s">
        <v>53</v>
      </c>
      <c r="S918" s="22" t="str">
        <f t="shared" si="72"/>
        <v>INCLUDE</v>
      </c>
      <c r="T918" s="22" t="str">
        <f t="shared" si="73"/>
        <v/>
      </c>
      <c r="U918" s="25" t="s">
        <v>67</v>
      </c>
      <c r="V918" s="25">
        <v>0</v>
      </c>
      <c r="W918" s="25">
        <v>1</v>
      </c>
      <c r="X918" s="25">
        <v>0</v>
      </c>
      <c r="Y918" s="22" t="str">
        <f t="shared" si="74"/>
        <v>Single</v>
      </c>
      <c r="Z918" s="25" t="s">
        <v>77</v>
      </c>
      <c r="AA918" s="25" t="s">
        <v>57</v>
      </c>
      <c r="AB918" s="25" t="s">
        <v>104</v>
      </c>
      <c r="AC918" s="25" t="s">
        <v>70</v>
      </c>
      <c r="AD918" s="25" t="s">
        <v>89</v>
      </c>
      <c r="AE918" s="25">
        <v>3</v>
      </c>
      <c r="AF918" s="25" t="s">
        <v>96</v>
      </c>
      <c r="AG918" s="9" t="s">
        <v>4531</v>
      </c>
      <c r="AH918" s="29" t="s">
        <v>4532</v>
      </c>
      <c r="AI918" s="29" t="s">
        <v>4533</v>
      </c>
      <c r="AJ918" t="s">
        <v>93</v>
      </c>
      <c r="AK918" t="s">
        <v>4534</v>
      </c>
      <c r="AL918" t="s">
        <v>63</v>
      </c>
      <c r="AM918" s="50" t="s">
        <v>213</v>
      </c>
      <c r="AN918" s="51" t="s">
        <v>4535</v>
      </c>
      <c r="AO918" s="55" t="s">
        <v>4536</v>
      </c>
    </row>
    <row r="919" spans="1:41" ht="57" hidden="1" x14ac:dyDescent="0.3">
      <c r="A919" s="20">
        <v>915</v>
      </c>
      <c r="B919" s="8" t="s">
        <v>4537</v>
      </c>
      <c r="C919" s="26">
        <v>2021</v>
      </c>
      <c r="D919" s="8"/>
      <c r="E919" s="8" t="s">
        <v>4538</v>
      </c>
      <c r="F919" s="20" t="s">
        <v>65</v>
      </c>
      <c r="G919" s="21" t="s">
        <v>53</v>
      </c>
      <c r="H919" s="21" t="s">
        <v>53</v>
      </c>
      <c r="I919" s="21" t="s">
        <v>64</v>
      </c>
      <c r="J919" s="21" t="s">
        <v>53</v>
      </c>
      <c r="K919" s="21" t="s">
        <v>53</v>
      </c>
      <c r="L919" s="22" t="str">
        <f t="shared" si="70"/>
        <v>EXCLUDE</v>
      </c>
      <c r="M919" s="22" t="str">
        <f t="shared" si="71"/>
        <v>No Design for Safety/Quality/PtD</v>
      </c>
      <c r="N919" s="23"/>
      <c r="O919" s="23"/>
      <c r="P919" s="24"/>
      <c r="Q919" s="24"/>
      <c r="R919" s="24"/>
      <c r="S919" s="22" t="str">
        <f t="shared" si="72"/>
        <v/>
      </c>
      <c r="T919" s="22" t="str">
        <f t="shared" si="73"/>
        <v/>
      </c>
      <c r="U919" s="25"/>
      <c r="V919" s="25"/>
      <c r="W919" s="25"/>
      <c r="X919" s="25"/>
      <c r="Y919" s="22" t="str">
        <f t="shared" si="74"/>
        <v/>
      </c>
      <c r="Z919" s="25"/>
      <c r="AA919" s="25"/>
      <c r="AB919" s="25"/>
      <c r="AC919" s="25"/>
      <c r="AD919" s="25"/>
      <c r="AE919" s="25"/>
      <c r="AF919" s="25"/>
      <c r="AG919" s="9"/>
      <c r="AH919" s="29"/>
      <c r="AI919" s="29"/>
      <c r="AM919" s="50"/>
      <c r="AN919" s="51" t="s">
        <v>4539</v>
      </c>
      <c r="AO919" s="55" t="s">
        <v>4540</v>
      </c>
    </row>
    <row r="920" spans="1:41" ht="45.6" hidden="1" x14ac:dyDescent="0.3">
      <c r="A920" s="20">
        <v>916</v>
      </c>
      <c r="B920" s="8" t="s">
        <v>4541</v>
      </c>
      <c r="C920" s="26">
        <v>2024</v>
      </c>
      <c r="D920" s="8"/>
      <c r="E920" s="8" t="s">
        <v>4542</v>
      </c>
      <c r="F920" s="20" t="s">
        <v>65</v>
      </c>
      <c r="G920" s="21" t="s">
        <v>64</v>
      </c>
      <c r="H920" s="21" t="s">
        <v>53</v>
      </c>
      <c r="I920" s="21" t="s">
        <v>53</v>
      </c>
      <c r="J920" s="21" t="s">
        <v>53</v>
      </c>
      <c r="K920" s="21" t="s">
        <v>53</v>
      </c>
      <c r="L920" s="22" t="str">
        <f t="shared" si="70"/>
        <v>EXCLUDE</v>
      </c>
      <c r="M920" s="22" t="str">
        <f t="shared" si="71"/>
        <v>Wrong domain (non-AECO)</v>
      </c>
      <c r="N920" s="23"/>
      <c r="O920" s="23"/>
      <c r="P920" s="24"/>
      <c r="Q920" s="24"/>
      <c r="R920" s="24"/>
      <c r="S920" s="22" t="str">
        <f t="shared" si="72"/>
        <v/>
      </c>
      <c r="T920" s="22" t="str">
        <f t="shared" si="73"/>
        <v/>
      </c>
      <c r="U920" s="25"/>
      <c r="V920" s="25"/>
      <c r="W920" s="25"/>
      <c r="X920" s="25"/>
      <c r="Y920" s="22" t="str">
        <f t="shared" si="74"/>
        <v/>
      </c>
      <c r="Z920" s="25"/>
      <c r="AA920" s="25"/>
      <c r="AB920" s="25"/>
      <c r="AC920" s="25"/>
      <c r="AD920" s="25"/>
      <c r="AE920" s="25"/>
      <c r="AF920" s="25"/>
      <c r="AG920" s="9"/>
      <c r="AH920" s="29"/>
      <c r="AI920" s="29"/>
      <c r="AM920" s="50"/>
      <c r="AN920" s="51" t="s">
        <v>4543</v>
      </c>
      <c r="AO920" s="55" t="s">
        <v>4544</v>
      </c>
    </row>
    <row r="921" spans="1:41" ht="57" hidden="1" x14ac:dyDescent="0.3">
      <c r="A921" s="20">
        <v>917</v>
      </c>
      <c r="B921" s="8" t="s">
        <v>4545</v>
      </c>
      <c r="C921" s="26">
        <v>2025</v>
      </c>
      <c r="D921" s="8"/>
      <c r="E921" s="8" t="s">
        <v>4546</v>
      </c>
      <c r="F921" s="20" t="s">
        <v>65</v>
      </c>
      <c r="G921" s="21" t="s">
        <v>53</v>
      </c>
      <c r="H921" s="21" t="s">
        <v>64</v>
      </c>
      <c r="I921" s="21" t="s">
        <v>53</v>
      </c>
      <c r="J921" s="21" t="s">
        <v>53</v>
      </c>
      <c r="K921" s="21" t="s">
        <v>53</v>
      </c>
      <c r="L921" s="22" t="str">
        <f t="shared" si="70"/>
        <v>EXCLUDE</v>
      </c>
      <c r="M921" s="22" t="str">
        <f t="shared" si="71"/>
        <v>Digital Twin not core / buzzword</v>
      </c>
      <c r="N921" s="23"/>
      <c r="O921" s="23"/>
      <c r="P921" s="24"/>
      <c r="Q921" s="24"/>
      <c r="R921" s="24"/>
      <c r="S921" s="22" t="str">
        <f t="shared" si="72"/>
        <v/>
      </c>
      <c r="T921" s="22" t="str">
        <f t="shared" si="73"/>
        <v/>
      </c>
      <c r="U921" s="25"/>
      <c r="V921" s="25"/>
      <c r="W921" s="25"/>
      <c r="X921" s="25"/>
      <c r="Y921" s="22" t="str">
        <f t="shared" si="74"/>
        <v/>
      </c>
      <c r="Z921" s="25"/>
      <c r="AA921" s="25"/>
      <c r="AB921" s="25"/>
      <c r="AC921" s="25"/>
      <c r="AD921" s="25"/>
      <c r="AE921" s="25"/>
      <c r="AF921" s="25"/>
      <c r="AG921" s="9"/>
      <c r="AH921" s="29"/>
      <c r="AI921" s="29"/>
      <c r="AM921" s="50"/>
      <c r="AN921" s="51" t="s">
        <v>4547</v>
      </c>
      <c r="AO921" s="55" t="s">
        <v>4548</v>
      </c>
    </row>
    <row r="922" spans="1:41" ht="79.8" x14ac:dyDescent="0.3">
      <c r="A922" s="20">
        <v>918</v>
      </c>
      <c r="B922" s="8" t="s">
        <v>4549</v>
      </c>
      <c r="C922" s="26">
        <v>2024</v>
      </c>
      <c r="D922" s="8"/>
      <c r="E922" s="8" t="s">
        <v>4550</v>
      </c>
      <c r="F922" s="20" t="s">
        <v>65</v>
      </c>
      <c r="G922" s="21" t="s">
        <v>53</v>
      </c>
      <c r="H922" s="21" t="s">
        <v>53</v>
      </c>
      <c r="I922" s="21" t="s">
        <v>53</v>
      </c>
      <c r="J922" s="21" t="s">
        <v>53</v>
      </c>
      <c r="K922" s="21" t="s">
        <v>53</v>
      </c>
      <c r="L922" s="22" t="str">
        <f t="shared" si="70"/>
        <v>INCLUDE</v>
      </c>
      <c r="M922" s="22" t="str">
        <f t="shared" si="71"/>
        <v/>
      </c>
      <c r="N922" s="23" t="s">
        <v>53</v>
      </c>
      <c r="O922" s="23" t="s">
        <v>53</v>
      </c>
      <c r="P922" s="24" t="s">
        <v>53</v>
      </c>
      <c r="Q922" s="24" t="s">
        <v>53</v>
      </c>
      <c r="R922" s="24" t="s">
        <v>53</v>
      </c>
      <c r="S922" s="22" t="str">
        <f t="shared" si="72"/>
        <v>INCLUDE</v>
      </c>
      <c r="T922" s="22" t="str">
        <f t="shared" si="73"/>
        <v/>
      </c>
      <c r="U922" s="25" t="s">
        <v>67</v>
      </c>
      <c r="V922" s="25">
        <v>0</v>
      </c>
      <c r="W922" s="25">
        <v>0</v>
      </c>
      <c r="X922" s="25">
        <v>1</v>
      </c>
      <c r="Y922" s="22" t="str">
        <f t="shared" si="74"/>
        <v>Single</v>
      </c>
      <c r="Z922" s="25" t="s">
        <v>9</v>
      </c>
      <c r="AA922" s="25" t="s">
        <v>57</v>
      </c>
      <c r="AB922" s="25" t="s">
        <v>88</v>
      </c>
      <c r="AC922" s="25" t="s">
        <v>70</v>
      </c>
      <c r="AD922" s="25" t="s">
        <v>71</v>
      </c>
      <c r="AE922" s="25">
        <v>3</v>
      </c>
      <c r="AF922" s="25" t="s">
        <v>90</v>
      </c>
      <c r="AG922" s="9" t="s">
        <v>4551</v>
      </c>
      <c r="AH922" s="29" t="s">
        <v>4552</v>
      </c>
      <c r="AI922" s="29" t="s">
        <v>4553</v>
      </c>
      <c r="AJ922" t="s">
        <v>91</v>
      </c>
      <c r="AK922" t="s">
        <v>4554</v>
      </c>
      <c r="AL922" t="s">
        <v>74</v>
      </c>
      <c r="AM922" s="50"/>
      <c r="AN922" s="51" t="s">
        <v>4555</v>
      </c>
      <c r="AO922" s="55" t="s">
        <v>4556</v>
      </c>
    </row>
    <row r="923" spans="1:41" ht="114" x14ac:dyDescent="0.3">
      <c r="A923" s="20">
        <v>919</v>
      </c>
      <c r="B923" s="8" t="s">
        <v>4557</v>
      </c>
      <c r="C923" s="26">
        <v>2021</v>
      </c>
      <c r="D923" s="8"/>
      <c r="E923" s="8" t="s">
        <v>4558</v>
      </c>
      <c r="F923" s="20" t="s">
        <v>65</v>
      </c>
      <c r="G923" s="21" t="s">
        <v>53</v>
      </c>
      <c r="H923" s="21" t="s">
        <v>53</v>
      </c>
      <c r="I923" s="21" t="s">
        <v>53</v>
      </c>
      <c r="J923" s="21" t="s">
        <v>53</v>
      </c>
      <c r="K923" s="21" t="s">
        <v>53</v>
      </c>
      <c r="L923" s="22" t="str">
        <f t="shared" si="70"/>
        <v>INCLUDE</v>
      </c>
      <c r="M923" s="22" t="str">
        <f t="shared" si="71"/>
        <v/>
      </c>
      <c r="N923" s="23" t="s">
        <v>53</v>
      </c>
      <c r="O923" s="23" t="s">
        <v>53</v>
      </c>
      <c r="P923" s="24" t="s">
        <v>53</v>
      </c>
      <c r="Q923" s="24" t="s">
        <v>53</v>
      </c>
      <c r="R923" s="24" t="s">
        <v>53</v>
      </c>
      <c r="S923" s="22" t="str">
        <f t="shared" si="72"/>
        <v>INCLUDE</v>
      </c>
      <c r="T923" s="22" t="str">
        <f t="shared" si="73"/>
        <v/>
      </c>
      <c r="U923" s="25" t="s">
        <v>76</v>
      </c>
      <c r="V923" s="25">
        <v>0</v>
      </c>
      <c r="W923" s="25">
        <v>1</v>
      </c>
      <c r="X923" s="25">
        <v>0</v>
      </c>
      <c r="Y923" s="22" t="str">
        <f t="shared" si="74"/>
        <v>Single</v>
      </c>
      <c r="Z923" s="25" t="s">
        <v>9</v>
      </c>
      <c r="AA923" s="25" t="s">
        <v>57</v>
      </c>
      <c r="AB923" s="25" t="s">
        <v>104</v>
      </c>
      <c r="AC923" s="25" t="s">
        <v>70</v>
      </c>
      <c r="AD923" s="25" t="s">
        <v>89</v>
      </c>
      <c r="AE923" s="25">
        <v>4</v>
      </c>
      <c r="AF923" s="25" t="s">
        <v>90</v>
      </c>
      <c r="AG923" s="9" t="s">
        <v>4559</v>
      </c>
      <c r="AH923" s="29" t="s">
        <v>4560</v>
      </c>
      <c r="AI923" s="29" t="s">
        <v>4561</v>
      </c>
      <c r="AJ923" t="s">
        <v>82</v>
      </c>
      <c r="AK923" t="s">
        <v>4562</v>
      </c>
      <c r="AL923" t="s">
        <v>63</v>
      </c>
      <c r="AM923" s="50"/>
      <c r="AN923" s="51" t="s">
        <v>4563</v>
      </c>
      <c r="AO923" s="55" t="s">
        <v>4564</v>
      </c>
    </row>
    <row r="924" spans="1:41" ht="45.6" hidden="1" x14ac:dyDescent="0.3">
      <c r="A924" s="20">
        <v>920</v>
      </c>
      <c r="B924" s="8" t="s">
        <v>4565</v>
      </c>
      <c r="C924" s="26">
        <v>2025</v>
      </c>
      <c r="D924" s="8"/>
      <c r="E924" s="8" t="s">
        <v>4566</v>
      </c>
      <c r="F924" s="20" t="s">
        <v>65</v>
      </c>
      <c r="G924" s="21" t="s">
        <v>53</v>
      </c>
      <c r="H924" s="21" t="s">
        <v>64</v>
      </c>
      <c r="I924" s="21" t="s">
        <v>53</v>
      </c>
      <c r="J924" s="21" t="s">
        <v>53</v>
      </c>
      <c r="K924" s="21" t="s">
        <v>53</v>
      </c>
      <c r="L924" s="22" t="str">
        <f t="shared" si="70"/>
        <v>EXCLUDE</v>
      </c>
      <c r="M924" s="22" t="str">
        <f t="shared" si="71"/>
        <v>Digital Twin not core / buzzword</v>
      </c>
      <c r="N924" s="23"/>
      <c r="O924" s="23"/>
      <c r="P924" s="24"/>
      <c r="Q924" s="24"/>
      <c r="R924" s="24"/>
      <c r="S924" s="22" t="str">
        <f t="shared" si="72"/>
        <v/>
      </c>
      <c r="T924" s="22" t="str">
        <f t="shared" si="73"/>
        <v/>
      </c>
      <c r="U924" s="25"/>
      <c r="V924" s="25"/>
      <c r="W924" s="25"/>
      <c r="X924" s="25"/>
      <c r="Y924" s="22" t="str">
        <f t="shared" si="74"/>
        <v/>
      </c>
      <c r="Z924" s="25"/>
      <c r="AA924" s="25"/>
      <c r="AB924" s="25"/>
      <c r="AC924" s="25"/>
      <c r="AD924" s="25"/>
      <c r="AE924" s="25"/>
      <c r="AF924" s="25"/>
      <c r="AG924" s="9"/>
      <c r="AH924" s="29"/>
      <c r="AI924" s="29"/>
      <c r="AM924" s="50"/>
      <c r="AN924" s="51" t="s">
        <v>4567</v>
      </c>
      <c r="AO924" s="55" t="s">
        <v>4568</v>
      </c>
    </row>
    <row r="925" spans="1:41" ht="45.6" hidden="1" x14ac:dyDescent="0.3">
      <c r="A925" s="20">
        <v>921</v>
      </c>
      <c r="B925" s="8" t="s">
        <v>4569</v>
      </c>
      <c r="C925" s="26">
        <v>2026</v>
      </c>
      <c r="D925" s="8"/>
      <c r="E925" s="8" t="s">
        <v>4570</v>
      </c>
      <c r="F925" s="20" t="s">
        <v>65</v>
      </c>
      <c r="G925" s="21" t="s">
        <v>53</v>
      </c>
      <c r="H925" s="21" t="s">
        <v>64</v>
      </c>
      <c r="I925" s="21" t="s">
        <v>53</v>
      </c>
      <c r="J925" s="21" t="s">
        <v>53</v>
      </c>
      <c r="K925" s="21" t="s">
        <v>53</v>
      </c>
      <c r="L925" s="22" t="str">
        <f t="shared" si="70"/>
        <v>EXCLUDE</v>
      </c>
      <c r="M925" s="22" t="str">
        <f t="shared" si="71"/>
        <v>Digital Twin not core / buzzword</v>
      </c>
      <c r="N925" s="23"/>
      <c r="O925" s="23"/>
      <c r="P925" s="24"/>
      <c r="Q925" s="24"/>
      <c r="R925" s="24"/>
      <c r="S925" s="22" t="str">
        <f t="shared" si="72"/>
        <v/>
      </c>
      <c r="T925" s="22" t="str">
        <f t="shared" si="73"/>
        <v/>
      </c>
      <c r="U925" s="25"/>
      <c r="V925" s="25"/>
      <c r="W925" s="25"/>
      <c r="X925" s="25"/>
      <c r="Y925" s="22" t="str">
        <f t="shared" si="74"/>
        <v/>
      </c>
      <c r="Z925" s="25"/>
      <c r="AA925" s="25"/>
      <c r="AB925" s="25"/>
      <c r="AC925" s="25"/>
      <c r="AD925" s="25"/>
      <c r="AE925" s="25"/>
      <c r="AF925" s="25"/>
      <c r="AG925" s="9"/>
      <c r="AH925" s="29"/>
      <c r="AI925" s="29"/>
      <c r="AM925" s="50"/>
      <c r="AN925" s="51" t="s">
        <v>4571</v>
      </c>
      <c r="AO925" s="55" t="s">
        <v>4572</v>
      </c>
    </row>
    <row r="926" spans="1:41" ht="57" hidden="1" x14ac:dyDescent="0.3">
      <c r="A926" s="20">
        <v>922</v>
      </c>
      <c r="B926" s="8" t="s">
        <v>4573</v>
      </c>
      <c r="C926" s="26">
        <v>2026</v>
      </c>
      <c r="D926" s="8"/>
      <c r="E926" s="8" t="s">
        <v>4574</v>
      </c>
      <c r="F926" s="20" t="s">
        <v>65</v>
      </c>
      <c r="G926" s="21" t="s">
        <v>53</v>
      </c>
      <c r="H926" s="21" t="s">
        <v>64</v>
      </c>
      <c r="I926" s="21" t="s">
        <v>53</v>
      </c>
      <c r="J926" s="21" t="s">
        <v>53</v>
      </c>
      <c r="K926" s="21" t="s">
        <v>53</v>
      </c>
      <c r="L926" s="22" t="str">
        <f t="shared" si="70"/>
        <v>EXCLUDE</v>
      </c>
      <c r="M926" s="22" t="str">
        <f t="shared" si="71"/>
        <v>Digital Twin not core / buzzword</v>
      </c>
      <c r="N926" s="23"/>
      <c r="O926" s="23"/>
      <c r="P926" s="24"/>
      <c r="Q926" s="24"/>
      <c r="R926" s="24"/>
      <c r="S926" s="22" t="str">
        <f t="shared" si="72"/>
        <v/>
      </c>
      <c r="T926" s="22" t="str">
        <f t="shared" si="73"/>
        <v/>
      </c>
      <c r="U926" s="25"/>
      <c r="V926" s="25"/>
      <c r="W926" s="25"/>
      <c r="X926" s="25"/>
      <c r="Y926" s="22" t="str">
        <f t="shared" si="74"/>
        <v/>
      </c>
      <c r="Z926" s="25"/>
      <c r="AA926" s="25"/>
      <c r="AB926" s="25"/>
      <c r="AC926" s="25"/>
      <c r="AD926" s="25"/>
      <c r="AE926" s="25"/>
      <c r="AF926" s="25"/>
      <c r="AG926" s="9"/>
      <c r="AH926" s="29"/>
      <c r="AI926" s="29"/>
      <c r="AM926" s="50"/>
      <c r="AN926" s="51" t="s">
        <v>4575</v>
      </c>
      <c r="AO926" s="55" t="s">
        <v>4576</v>
      </c>
    </row>
    <row r="927" spans="1:41" ht="79.8" hidden="1" x14ac:dyDescent="0.3">
      <c r="A927" s="20">
        <v>923</v>
      </c>
      <c r="B927" s="8" t="s">
        <v>4577</v>
      </c>
      <c r="C927" s="26">
        <v>2026</v>
      </c>
      <c r="D927" s="8"/>
      <c r="E927" s="8" t="s">
        <v>4578</v>
      </c>
      <c r="F927" s="20" t="s">
        <v>65</v>
      </c>
      <c r="G927" s="21" t="s">
        <v>53</v>
      </c>
      <c r="H927" s="21" t="s">
        <v>53</v>
      </c>
      <c r="I927" s="21" t="s">
        <v>64</v>
      </c>
      <c r="J927" s="21" t="s">
        <v>53</v>
      </c>
      <c r="K927" s="21" t="s">
        <v>53</v>
      </c>
      <c r="L927" s="22" t="str">
        <f t="shared" si="70"/>
        <v>EXCLUDE</v>
      </c>
      <c r="M927" s="22" t="str">
        <f t="shared" si="71"/>
        <v>No Design for Safety/Quality/PtD</v>
      </c>
      <c r="N927" s="23"/>
      <c r="O927" s="23"/>
      <c r="P927" s="24"/>
      <c r="Q927" s="24"/>
      <c r="R927" s="24"/>
      <c r="S927" s="22" t="str">
        <f t="shared" si="72"/>
        <v/>
      </c>
      <c r="T927" s="22" t="str">
        <f t="shared" si="73"/>
        <v/>
      </c>
      <c r="U927" s="25"/>
      <c r="V927" s="25"/>
      <c r="W927" s="25"/>
      <c r="X927" s="25"/>
      <c r="Y927" s="22" t="str">
        <f t="shared" si="74"/>
        <v/>
      </c>
      <c r="Z927" s="25"/>
      <c r="AA927" s="25"/>
      <c r="AB927" s="25"/>
      <c r="AC927" s="25"/>
      <c r="AD927" s="25"/>
      <c r="AE927" s="25"/>
      <c r="AF927" s="25"/>
      <c r="AG927" s="9"/>
      <c r="AH927" s="29"/>
      <c r="AI927" s="29"/>
      <c r="AM927" s="50"/>
      <c r="AN927" s="51" t="s">
        <v>4579</v>
      </c>
      <c r="AO927" s="55" t="s">
        <v>4580</v>
      </c>
    </row>
    <row r="928" spans="1:41" ht="102.6" x14ac:dyDescent="0.3">
      <c r="A928" s="20">
        <v>924</v>
      </c>
      <c r="B928" s="8" t="s">
        <v>4581</v>
      </c>
      <c r="C928" s="26">
        <v>2022</v>
      </c>
      <c r="D928" s="8"/>
      <c r="E928" s="8" t="s">
        <v>4582</v>
      </c>
      <c r="F928" s="20" t="s">
        <v>65</v>
      </c>
      <c r="G928" s="21" t="s">
        <v>53</v>
      </c>
      <c r="H928" s="21" t="s">
        <v>53</v>
      </c>
      <c r="I928" s="21" t="s">
        <v>53</v>
      </c>
      <c r="J928" s="21" t="s">
        <v>53</v>
      </c>
      <c r="K928" s="21" t="s">
        <v>53</v>
      </c>
      <c r="L928" s="22" t="str">
        <f t="shared" si="70"/>
        <v>INCLUDE</v>
      </c>
      <c r="M928" s="22" t="str">
        <f t="shared" si="71"/>
        <v/>
      </c>
      <c r="N928" s="23" t="s">
        <v>53</v>
      </c>
      <c r="O928" s="23" t="s">
        <v>53</v>
      </c>
      <c r="P928" s="24" t="s">
        <v>53</v>
      </c>
      <c r="Q928" s="24" t="s">
        <v>53</v>
      </c>
      <c r="R928" s="24" t="s">
        <v>53</v>
      </c>
      <c r="S928" s="22" t="str">
        <f t="shared" si="72"/>
        <v>INCLUDE</v>
      </c>
      <c r="T928" s="22" t="str">
        <f t="shared" si="73"/>
        <v/>
      </c>
      <c r="U928" s="25" t="s">
        <v>67</v>
      </c>
      <c r="V928" s="25">
        <v>0</v>
      </c>
      <c r="W928" s="25">
        <v>0</v>
      </c>
      <c r="X928" s="25">
        <v>1</v>
      </c>
      <c r="Y928" s="22" t="str">
        <f t="shared" si="74"/>
        <v>Single</v>
      </c>
      <c r="Z928" s="25" t="s">
        <v>9</v>
      </c>
      <c r="AA928" s="25" t="s">
        <v>57</v>
      </c>
      <c r="AB928" s="25" t="s">
        <v>104</v>
      </c>
      <c r="AC928" s="25" t="s">
        <v>70</v>
      </c>
      <c r="AD928" s="25" t="s">
        <v>89</v>
      </c>
      <c r="AE928" s="25">
        <v>4</v>
      </c>
      <c r="AF928" s="25" t="s">
        <v>96</v>
      </c>
      <c r="AG928" s="9" t="s">
        <v>4583</v>
      </c>
      <c r="AH928" s="29" t="s">
        <v>4584</v>
      </c>
      <c r="AI928" s="29" t="s">
        <v>4585</v>
      </c>
      <c r="AJ928" t="s">
        <v>91</v>
      </c>
      <c r="AK928" t="s">
        <v>4586</v>
      </c>
      <c r="AL928" t="s">
        <v>63</v>
      </c>
      <c r="AM928" s="50"/>
      <c r="AN928" s="51" t="s">
        <v>4587</v>
      </c>
      <c r="AO928" s="55" t="s">
        <v>4588</v>
      </c>
    </row>
    <row r="929" spans="1:41" ht="68.400000000000006" hidden="1" x14ac:dyDescent="0.3">
      <c r="A929" s="20">
        <v>925</v>
      </c>
      <c r="B929" s="8" t="s">
        <v>4589</v>
      </c>
      <c r="C929" s="26">
        <v>2025</v>
      </c>
      <c r="D929" s="8"/>
      <c r="E929" s="8" t="s">
        <v>4590</v>
      </c>
      <c r="F929" s="20" t="s">
        <v>65</v>
      </c>
      <c r="G929" s="21" t="s">
        <v>53</v>
      </c>
      <c r="H929" s="21" t="s">
        <v>53</v>
      </c>
      <c r="I929" s="21" t="s">
        <v>53</v>
      </c>
      <c r="J929" s="21" t="s">
        <v>53</v>
      </c>
      <c r="K929" s="21" t="s">
        <v>53</v>
      </c>
      <c r="L929" s="22" t="str">
        <f t="shared" si="70"/>
        <v>INCLUDE</v>
      </c>
      <c r="M929" s="22" t="str">
        <f t="shared" si="71"/>
        <v/>
      </c>
      <c r="N929" s="23" t="s">
        <v>53</v>
      </c>
      <c r="O929" s="23" t="s">
        <v>53</v>
      </c>
      <c r="P929" s="24" t="s">
        <v>64</v>
      </c>
      <c r="Q929" s="24" t="s">
        <v>53</v>
      </c>
      <c r="R929" s="24" t="s">
        <v>64</v>
      </c>
      <c r="S929" s="22" t="str">
        <f t="shared" si="72"/>
        <v>EXCLUDE</v>
      </c>
      <c r="T929" s="22" t="str">
        <f t="shared" si="73"/>
        <v>Digital Twin mentioned only, not the subject</v>
      </c>
      <c r="U929" s="25"/>
      <c r="V929" s="25"/>
      <c r="W929" s="25"/>
      <c r="X929" s="25"/>
      <c r="Y929" s="22" t="str">
        <f t="shared" si="74"/>
        <v/>
      </c>
      <c r="Z929" s="25"/>
      <c r="AA929" s="25"/>
      <c r="AB929" s="25"/>
      <c r="AC929" s="25"/>
      <c r="AD929" s="25"/>
      <c r="AE929" s="25"/>
      <c r="AF929" s="25"/>
      <c r="AG929" s="9" t="s">
        <v>4591</v>
      </c>
      <c r="AH929" s="29"/>
      <c r="AI929" s="29"/>
      <c r="AM929" s="50"/>
      <c r="AN929" s="51" t="s">
        <v>4592</v>
      </c>
      <c r="AO929" s="55" t="s">
        <v>4593</v>
      </c>
    </row>
    <row r="930" spans="1:41" ht="57" hidden="1" x14ac:dyDescent="0.3">
      <c r="A930" s="20">
        <v>926</v>
      </c>
      <c r="B930" s="8" t="s">
        <v>4594</v>
      </c>
      <c r="C930" s="26">
        <v>2026</v>
      </c>
      <c r="D930" s="8"/>
      <c r="E930" s="8" t="s">
        <v>4595</v>
      </c>
      <c r="F930" s="20" t="s">
        <v>65</v>
      </c>
      <c r="G930" s="21" t="s">
        <v>53</v>
      </c>
      <c r="H930" s="21" t="s">
        <v>64</v>
      </c>
      <c r="I930" s="21" t="s">
        <v>53</v>
      </c>
      <c r="J930" s="21" t="s">
        <v>53</v>
      </c>
      <c r="K930" s="21" t="s">
        <v>53</v>
      </c>
      <c r="L930" s="22" t="str">
        <f t="shared" si="70"/>
        <v>EXCLUDE</v>
      </c>
      <c r="M930" s="22" t="str">
        <f t="shared" si="71"/>
        <v>Digital Twin not core / buzzword</v>
      </c>
      <c r="N930" s="23"/>
      <c r="O930" s="23"/>
      <c r="P930" s="24"/>
      <c r="Q930" s="24"/>
      <c r="R930" s="24"/>
      <c r="S930" s="22" t="str">
        <f t="shared" si="72"/>
        <v/>
      </c>
      <c r="T930" s="22" t="str">
        <f t="shared" si="73"/>
        <v/>
      </c>
      <c r="U930" s="25"/>
      <c r="V930" s="25"/>
      <c r="W930" s="25"/>
      <c r="X930" s="25"/>
      <c r="Y930" s="22" t="str">
        <f t="shared" si="74"/>
        <v/>
      </c>
      <c r="Z930" s="25"/>
      <c r="AA930" s="25"/>
      <c r="AB930" s="25"/>
      <c r="AC930" s="25"/>
      <c r="AD930" s="25"/>
      <c r="AE930" s="25"/>
      <c r="AF930" s="25"/>
      <c r="AG930" s="9"/>
      <c r="AH930" s="29"/>
      <c r="AI930" s="29"/>
      <c r="AM930" s="50"/>
      <c r="AN930" s="51" t="s">
        <v>4596</v>
      </c>
      <c r="AO930" s="55" t="s">
        <v>4597</v>
      </c>
    </row>
    <row r="931" spans="1:41" ht="114" x14ac:dyDescent="0.3">
      <c r="A931" s="20">
        <v>927</v>
      </c>
      <c r="B931" s="8" t="s">
        <v>4598</v>
      </c>
      <c r="C931" s="26">
        <v>2026</v>
      </c>
      <c r="D931" s="8"/>
      <c r="E931" s="8" t="s">
        <v>4599</v>
      </c>
      <c r="F931" s="20" t="s">
        <v>65</v>
      </c>
      <c r="G931" s="21" t="s">
        <v>53</v>
      </c>
      <c r="H931" s="21" t="s">
        <v>53</v>
      </c>
      <c r="I931" s="21" t="s">
        <v>53</v>
      </c>
      <c r="J931" s="21" t="s">
        <v>53</v>
      </c>
      <c r="K931" s="21" t="s">
        <v>53</v>
      </c>
      <c r="L931" s="22" t="str">
        <f t="shared" si="70"/>
        <v>INCLUDE</v>
      </c>
      <c r="M931" s="22" t="str">
        <f t="shared" si="71"/>
        <v/>
      </c>
      <c r="N931" s="23" t="s">
        <v>53</v>
      </c>
      <c r="O931" s="23" t="s">
        <v>53</v>
      </c>
      <c r="P931" s="24" t="s">
        <v>53</v>
      </c>
      <c r="Q931" s="24" t="s">
        <v>53</v>
      </c>
      <c r="R931" s="24" t="s">
        <v>53</v>
      </c>
      <c r="S931" s="22" t="str">
        <f t="shared" si="72"/>
        <v>INCLUDE</v>
      </c>
      <c r="T931" s="22" t="str">
        <f t="shared" si="73"/>
        <v/>
      </c>
      <c r="U931" s="25" t="s">
        <v>67</v>
      </c>
      <c r="V931" s="25">
        <v>0</v>
      </c>
      <c r="W931" s="25">
        <v>1</v>
      </c>
      <c r="X931" s="25">
        <v>0</v>
      </c>
      <c r="Y931" s="22" t="str">
        <f t="shared" si="74"/>
        <v>Single</v>
      </c>
      <c r="Z931" s="25" t="s">
        <v>11</v>
      </c>
      <c r="AA931" s="25" t="s">
        <v>57</v>
      </c>
      <c r="AB931" s="25" t="s">
        <v>101</v>
      </c>
      <c r="AC931" s="25" t="s">
        <v>70</v>
      </c>
      <c r="AD931" s="25" t="s">
        <v>89</v>
      </c>
      <c r="AE931" s="25">
        <v>4</v>
      </c>
      <c r="AF931" s="25" t="s">
        <v>72</v>
      </c>
      <c r="AG931" s="9" t="s">
        <v>4600</v>
      </c>
      <c r="AH931" s="29" t="s">
        <v>4601</v>
      </c>
      <c r="AI931" s="29" t="s">
        <v>4602</v>
      </c>
      <c r="AJ931" t="s">
        <v>91</v>
      </c>
      <c r="AK931" t="s">
        <v>4603</v>
      </c>
      <c r="AL931" t="s">
        <v>63</v>
      </c>
      <c r="AM931" s="50"/>
      <c r="AN931" s="51" t="s">
        <v>4604</v>
      </c>
      <c r="AO931" s="55" t="s">
        <v>4605</v>
      </c>
    </row>
    <row r="932" spans="1:41" ht="45.6" hidden="1" x14ac:dyDescent="0.3">
      <c r="A932" s="20">
        <v>928</v>
      </c>
      <c r="B932" s="8" t="s">
        <v>4606</v>
      </c>
      <c r="C932" s="26">
        <v>2023</v>
      </c>
      <c r="D932" s="8"/>
      <c r="E932" s="8" t="s">
        <v>4607</v>
      </c>
      <c r="F932" s="20" t="s">
        <v>65</v>
      </c>
      <c r="G932" s="21" t="s">
        <v>64</v>
      </c>
      <c r="H932" s="21" t="s">
        <v>53</v>
      </c>
      <c r="I932" s="21" t="s">
        <v>53</v>
      </c>
      <c r="J932" s="21" t="s">
        <v>53</v>
      </c>
      <c r="K932" s="21" t="s">
        <v>53</v>
      </c>
      <c r="L932" s="22" t="str">
        <f t="shared" si="70"/>
        <v>EXCLUDE</v>
      </c>
      <c r="M932" s="22" t="str">
        <f t="shared" si="71"/>
        <v>Wrong domain (non-AECO)</v>
      </c>
      <c r="N932" s="23"/>
      <c r="O932" s="23"/>
      <c r="P932" s="24"/>
      <c r="Q932" s="24"/>
      <c r="R932" s="24"/>
      <c r="S932" s="22" t="str">
        <f t="shared" si="72"/>
        <v/>
      </c>
      <c r="T932" s="22" t="str">
        <f t="shared" si="73"/>
        <v/>
      </c>
      <c r="U932" s="25"/>
      <c r="V932" s="25"/>
      <c r="W932" s="25"/>
      <c r="X932" s="25"/>
      <c r="Y932" s="22" t="str">
        <f t="shared" si="74"/>
        <v/>
      </c>
      <c r="Z932" s="25"/>
      <c r="AA932" s="25"/>
      <c r="AB932" s="25"/>
      <c r="AC932" s="25"/>
      <c r="AD932" s="25"/>
      <c r="AE932" s="25"/>
      <c r="AF932" s="25"/>
      <c r="AG932" s="9"/>
      <c r="AH932" s="29"/>
      <c r="AI932" s="29"/>
      <c r="AM932" s="50"/>
      <c r="AN932" s="51" t="s">
        <v>4608</v>
      </c>
      <c r="AO932" s="55" t="s">
        <v>4609</v>
      </c>
    </row>
    <row r="933" spans="1:41" ht="57" hidden="1" x14ac:dyDescent="0.3">
      <c r="A933" s="20">
        <v>929</v>
      </c>
      <c r="B933" s="8" t="s">
        <v>4610</v>
      </c>
      <c r="C933" s="26">
        <v>2027</v>
      </c>
      <c r="D933" s="8"/>
      <c r="E933" s="8" t="s">
        <v>4611</v>
      </c>
      <c r="F933" s="20" t="s">
        <v>65</v>
      </c>
      <c r="G933" s="21" t="s">
        <v>64</v>
      </c>
      <c r="H933" s="21" t="s">
        <v>53</v>
      </c>
      <c r="I933" s="21" t="s">
        <v>53</v>
      </c>
      <c r="J933" s="21" t="s">
        <v>53</v>
      </c>
      <c r="K933" s="21" t="s">
        <v>53</v>
      </c>
      <c r="L933" s="22" t="str">
        <f t="shared" si="70"/>
        <v>EXCLUDE</v>
      </c>
      <c r="M933" s="22" t="str">
        <f t="shared" si="71"/>
        <v>Wrong domain (non-AECO)</v>
      </c>
      <c r="N933" s="23"/>
      <c r="O933" s="23"/>
      <c r="P933" s="24"/>
      <c r="Q933" s="24"/>
      <c r="R933" s="24"/>
      <c r="S933" s="22" t="str">
        <f t="shared" si="72"/>
        <v/>
      </c>
      <c r="T933" s="22" t="str">
        <f t="shared" si="73"/>
        <v/>
      </c>
      <c r="U933" s="25"/>
      <c r="V933" s="25"/>
      <c r="W933" s="25"/>
      <c r="X933" s="25"/>
      <c r="Y933" s="22" t="str">
        <f t="shared" si="74"/>
        <v/>
      </c>
      <c r="Z933" s="25"/>
      <c r="AA933" s="25"/>
      <c r="AB933" s="25"/>
      <c r="AC933" s="25"/>
      <c r="AD933" s="25"/>
      <c r="AE933" s="25"/>
      <c r="AF933" s="25"/>
      <c r="AG933" s="9"/>
      <c r="AH933" s="29"/>
      <c r="AI933" s="29"/>
      <c r="AM933" s="50"/>
      <c r="AN933" s="51" t="s">
        <v>4612</v>
      </c>
      <c r="AO933" s="55" t="s">
        <v>4613</v>
      </c>
    </row>
    <row r="934" spans="1:41" ht="79.8" hidden="1" x14ac:dyDescent="0.3">
      <c r="A934" s="20">
        <v>930</v>
      </c>
      <c r="B934" s="8" t="s">
        <v>4614</v>
      </c>
      <c r="C934" s="26">
        <v>2026</v>
      </c>
      <c r="D934" s="8"/>
      <c r="E934" s="8" t="s">
        <v>4615</v>
      </c>
      <c r="F934" s="20" t="s">
        <v>65</v>
      </c>
      <c r="G934" s="21" t="s">
        <v>64</v>
      </c>
      <c r="H934" s="21" t="s">
        <v>53</v>
      </c>
      <c r="I934" s="21" t="s">
        <v>53</v>
      </c>
      <c r="J934" s="21" t="s">
        <v>53</v>
      </c>
      <c r="K934" s="21" t="s">
        <v>53</v>
      </c>
      <c r="L934" s="22" t="str">
        <f t="shared" si="70"/>
        <v>EXCLUDE</v>
      </c>
      <c r="M934" s="22" t="str">
        <f t="shared" si="71"/>
        <v>Wrong domain (non-AECO)</v>
      </c>
      <c r="N934" s="23"/>
      <c r="O934" s="23"/>
      <c r="P934" s="24"/>
      <c r="Q934" s="24"/>
      <c r="R934" s="24"/>
      <c r="S934" s="22" t="str">
        <f t="shared" si="72"/>
        <v/>
      </c>
      <c r="T934" s="22" t="str">
        <f t="shared" si="73"/>
        <v/>
      </c>
      <c r="U934" s="25"/>
      <c r="V934" s="25"/>
      <c r="W934" s="25"/>
      <c r="X934" s="25"/>
      <c r="Y934" s="22" t="str">
        <f t="shared" si="74"/>
        <v/>
      </c>
      <c r="Z934" s="25"/>
      <c r="AA934" s="25"/>
      <c r="AB934" s="25"/>
      <c r="AC934" s="25"/>
      <c r="AD934" s="25"/>
      <c r="AE934" s="25"/>
      <c r="AF934" s="25"/>
      <c r="AG934" s="9"/>
      <c r="AH934" s="29"/>
      <c r="AI934" s="29"/>
      <c r="AM934" s="50"/>
      <c r="AN934" s="51" t="s">
        <v>4616</v>
      </c>
      <c r="AO934" s="55" t="s">
        <v>4617</v>
      </c>
    </row>
    <row r="935" spans="1:41" ht="68.400000000000006" hidden="1" x14ac:dyDescent="0.3">
      <c r="A935" s="20">
        <v>931</v>
      </c>
      <c r="B935" s="8" t="s">
        <v>4618</v>
      </c>
      <c r="C935" s="26">
        <v>2025</v>
      </c>
      <c r="D935" s="8"/>
      <c r="E935" s="8" t="s">
        <v>4619</v>
      </c>
      <c r="F935" s="20" t="s">
        <v>65</v>
      </c>
      <c r="G935" s="21" t="s">
        <v>53</v>
      </c>
      <c r="H935" s="21" t="s">
        <v>53</v>
      </c>
      <c r="I935" s="21" t="s">
        <v>64</v>
      </c>
      <c r="J935" s="21" t="s">
        <v>53</v>
      </c>
      <c r="K935" s="21" t="s">
        <v>53</v>
      </c>
      <c r="L935" s="22" t="str">
        <f t="shared" si="70"/>
        <v>EXCLUDE</v>
      </c>
      <c r="M935" s="22" t="str">
        <f t="shared" si="71"/>
        <v>No Design for Safety/Quality/PtD</v>
      </c>
      <c r="N935" s="23"/>
      <c r="O935" s="23"/>
      <c r="P935" s="24"/>
      <c r="Q935" s="24"/>
      <c r="R935" s="24"/>
      <c r="S935" s="22" t="str">
        <f t="shared" si="72"/>
        <v/>
      </c>
      <c r="T935" s="22" t="str">
        <f t="shared" si="73"/>
        <v/>
      </c>
      <c r="U935" s="25"/>
      <c r="V935" s="25"/>
      <c r="W935" s="25"/>
      <c r="X935" s="25"/>
      <c r="Y935" s="22" t="str">
        <f t="shared" si="74"/>
        <v/>
      </c>
      <c r="Z935" s="25"/>
      <c r="AA935" s="25"/>
      <c r="AB935" s="25"/>
      <c r="AC935" s="25"/>
      <c r="AD935" s="25"/>
      <c r="AE935" s="25"/>
      <c r="AF935" s="25"/>
      <c r="AG935" s="9"/>
      <c r="AH935" s="29"/>
      <c r="AI935" s="29"/>
      <c r="AM935" s="50"/>
      <c r="AN935" s="51" t="s">
        <v>4620</v>
      </c>
      <c r="AO935" s="55" t="s">
        <v>4621</v>
      </c>
    </row>
    <row r="936" spans="1:41" ht="34.200000000000003" hidden="1" x14ac:dyDescent="0.3">
      <c r="A936" s="20">
        <v>932</v>
      </c>
      <c r="B936" s="8" t="s">
        <v>4622</v>
      </c>
      <c r="C936" s="26">
        <v>2023</v>
      </c>
      <c r="D936" s="8"/>
      <c r="E936" s="8" t="s">
        <v>4623</v>
      </c>
      <c r="F936" s="20" t="s">
        <v>65</v>
      </c>
      <c r="G936" s="21" t="s">
        <v>53</v>
      </c>
      <c r="H936" s="21" t="s">
        <v>53</v>
      </c>
      <c r="I936" s="21" t="s">
        <v>64</v>
      </c>
      <c r="J936" s="21" t="s">
        <v>53</v>
      </c>
      <c r="K936" s="21" t="s">
        <v>53</v>
      </c>
      <c r="L936" s="22" t="str">
        <f t="shared" si="70"/>
        <v>EXCLUDE</v>
      </c>
      <c r="M936" s="22" t="str">
        <f t="shared" si="71"/>
        <v>No Design for Safety/Quality/PtD</v>
      </c>
      <c r="N936" s="23"/>
      <c r="O936" s="23"/>
      <c r="P936" s="24"/>
      <c r="Q936" s="24"/>
      <c r="R936" s="24"/>
      <c r="S936" s="22" t="str">
        <f t="shared" si="72"/>
        <v/>
      </c>
      <c r="T936" s="22" t="str">
        <f t="shared" si="73"/>
        <v/>
      </c>
      <c r="U936" s="25"/>
      <c r="V936" s="25"/>
      <c r="W936" s="25"/>
      <c r="X936" s="25"/>
      <c r="Y936" s="22" t="str">
        <f t="shared" si="74"/>
        <v/>
      </c>
      <c r="Z936" s="25"/>
      <c r="AA936" s="25"/>
      <c r="AB936" s="25"/>
      <c r="AC936" s="25"/>
      <c r="AD936" s="25"/>
      <c r="AE936" s="25"/>
      <c r="AF936" s="25"/>
      <c r="AG936" s="9"/>
      <c r="AH936" s="29"/>
      <c r="AI936" s="29"/>
      <c r="AM936" s="50"/>
      <c r="AN936" s="51" t="s">
        <v>4624</v>
      </c>
      <c r="AO936" s="55" t="s">
        <v>4625</v>
      </c>
    </row>
    <row r="937" spans="1:41" ht="34.200000000000003" hidden="1" x14ac:dyDescent="0.3">
      <c r="A937" s="20">
        <v>933</v>
      </c>
      <c r="B937" s="8" t="s">
        <v>4626</v>
      </c>
      <c r="C937" s="26">
        <v>2025</v>
      </c>
      <c r="D937" s="8"/>
      <c r="E937" s="8" t="s">
        <v>4627</v>
      </c>
      <c r="F937" s="20" t="s">
        <v>65</v>
      </c>
      <c r="G937" s="21" t="s">
        <v>53</v>
      </c>
      <c r="H937" s="21" t="s">
        <v>64</v>
      </c>
      <c r="I937" s="21" t="s">
        <v>53</v>
      </c>
      <c r="J937" s="21" t="s">
        <v>53</v>
      </c>
      <c r="K937" s="21" t="s">
        <v>53</v>
      </c>
      <c r="L937" s="22" t="str">
        <f t="shared" si="70"/>
        <v>EXCLUDE</v>
      </c>
      <c r="M937" s="22" t="str">
        <f t="shared" si="71"/>
        <v>Digital Twin not core / buzzword</v>
      </c>
      <c r="N937" s="23"/>
      <c r="O937" s="23"/>
      <c r="P937" s="24"/>
      <c r="Q937" s="24"/>
      <c r="R937" s="24"/>
      <c r="S937" s="22" t="str">
        <f t="shared" si="72"/>
        <v/>
      </c>
      <c r="T937" s="22" t="str">
        <f t="shared" si="73"/>
        <v/>
      </c>
      <c r="U937" s="25"/>
      <c r="V937" s="25"/>
      <c r="W937" s="25"/>
      <c r="X937" s="25"/>
      <c r="Y937" s="22" t="str">
        <f t="shared" si="74"/>
        <v/>
      </c>
      <c r="Z937" s="25"/>
      <c r="AA937" s="25"/>
      <c r="AB937" s="25"/>
      <c r="AC937" s="25"/>
      <c r="AD937" s="25"/>
      <c r="AE937" s="25"/>
      <c r="AF937" s="25"/>
      <c r="AG937" s="9"/>
      <c r="AH937" s="29"/>
      <c r="AI937" s="29"/>
      <c r="AM937" s="50"/>
      <c r="AN937" s="51" t="s">
        <v>4628</v>
      </c>
      <c r="AO937" s="55" t="s">
        <v>4629</v>
      </c>
    </row>
    <row r="938" spans="1:41" ht="34.200000000000003" hidden="1" x14ac:dyDescent="0.3">
      <c r="A938" s="20">
        <v>934</v>
      </c>
      <c r="B938" s="8" t="s">
        <v>4630</v>
      </c>
      <c r="C938" s="26">
        <v>2025</v>
      </c>
      <c r="D938" s="8"/>
      <c r="E938" s="8" t="s">
        <v>4631</v>
      </c>
      <c r="F938" s="20" t="s">
        <v>65</v>
      </c>
      <c r="G938" s="21" t="s">
        <v>53</v>
      </c>
      <c r="H938" s="21" t="s">
        <v>64</v>
      </c>
      <c r="I938" s="21" t="s">
        <v>53</v>
      </c>
      <c r="J938" s="21" t="s">
        <v>53</v>
      </c>
      <c r="K938" s="21" t="s">
        <v>53</v>
      </c>
      <c r="L938" s="22" t="str">
        <f t="shared" si="70"/>
        <v>EXCLUDE</v>
      </c>
      <c r="M938" s="22" t="str">
        <f t="shared" si="71"/>
        <v>Digital Twin not core / buzzword</v>
      </c>
      <c r="N938" s="23"/>
      <c r="O938" s="23"/>
      <c r="P938" s="24"/>
      <c r="Q938" s="24"/>
      <c r="R938" s="24"/>
      <c r="S938" s="22" t="str">
        <f t="shared" si="72"/>
        <v/>
      </c>
      <c r="T938" s="22" t="str">
        <f t="shared" si="73"/>
        <v/>
      </c>
      <c r="U938" s="25"/>
      <c r="V938" s="25"/>
      <c r="W938" s="25"/>
      <c r="X938" s="25"/>
      <c r="Y938" s="22" t="str">
        <f t="shared" si="74"/>
        <v/>
      </c>
      <c r="Z938" s="25"/>
      <c r="AA938" s="25"/>
      <c r="AB938" s="25"/>
      <c r="AC938" s="25"/>
      <c r="AD938" s="25"/>
      <c r="AE938" s="25"/>
      <c r="AF938" s="25"/>
      <c r="AG938" s="9"/>
      <c r="AH938" s="29"/>
      <c r="AI938" s="29"/>
      <c r="AM938" s="50"/>
      <c r="AN938" s="51" t="s">
        <v>4632</v>
      </c>
      <c r="AO938" s="55" t="s">
        <v>4633</v>
      </c>
    </row>
    <row r="939" spans="1:41" ht="68.400000000000006" hidden="1" x14ac:dyDescent="0.3">
      <c r="A939" s="20">
        <v>935</v>
      </c>
      <c r="B939" s="8" t="s">
        <v>4634</v>
      </c>
      <c r="C939" s="26">
        <v>2027</v>
      </c>
      <c r="D939" s="8"/>
      <c r="E939" s="8" t="s">
        <v>4635</v>
      </c>
      <c r="F939" s="20" t="s">
        <v>65</v>
      </c>
      <c r="G939" s="21" t="s">
        <v>64</v>
      </c>
      <c r="H939" s="21" t="s">
        <v>53</v>
      </c>
      <c r="I939" s="21" t="s">
        <v>53</v>
      </c>
      <c r="J939" s="21" t="s">
        <v>53</v>
      </c>
      <c r="K939" s="21" t="s">
        <v>53</v>
      </c>
      <c r="L939" s="22" t="str">
        <f t="shared" si="70"/>
        <v>EXCLUDE</v>
      </c>
      <c r="M939" s="22" t="str">
        <f t="shared" si="71"/>
        <v>Wrong domain (non-AECO)</v>
      </c>
      <c r="N939" s="23"/>
      <c r="O939" s="23"/>
      <c r="P939" s="24"/>
      <c r="Q939" s="24"/>
      <c r="R939" s="24"/>
      <c r="S939" s="22" t="str">
        <f t="shared" si="72"/>
        <v/>
      </c>
      <c r="T939" s="22" t="str">
        <f t="shared" si="73"/>
        <v/>
      </c>
      <c r="U939" s="25"/>
      <c r="V939" s="25"/>
      <c r="W939" s="25"/>
      <c r="X939" s="25"/>
      <c r="Y939" s="22" t="str">
        <f t="shared" si="74"/>
        <v/>
      </c>
      <c r="Z939" s="25"/>
      <c r="AA939" s="25"/>
      <c r="AB939" s="25"/>
      <c r="AC939" s="25"/>
      <c r="AD939" s="25"/>
      <c r="AE939" s="25"/>
      <c r="AF939" s="25"/>
      <c r="AG939" s="9"/>
      <c r="AH939" s="29"/>
      <c r="AI939" s="29"/>
      <c r="AM939" s="50"/>
      <c r="AN939" s="51" t="s">
        <v>4636</v>
      </c>
      <c r="AO939" s="55" t="s">
        <v>4637</v>
      </c>
    </row>
    <row r="940" spans="1:41" ht="57" hidden="1" x14ac:dyDescent="0.3">
      <c r="A940" s="20">
        <v>936</v>
      </c>
      <c r="B940" s="8" t="s">
        <v>4638</v>
      </c>
      <c r="C940" s="26">
        <v>2020</v>
      </c>
      <c r="D940" s="8"/>
      <c r="E940" s="8" t="s">
        <v>4639</v>
      </c>
      <c r="F940" s="20" t="s">
        <v>65</v>
      </c>
      <c r="G940" s="21" t="s">
        <v>53</v>
      </c>
      <c r="H940" s="21" t="s">
        <v>64</v>
      </c>
      <c r="I940" s="21" t="s">
        <v>53</v>
      </c>
      <c r="J940" s="21" t="s">
        <v>53</v>
      </c>
      <c r="K940" s="21" t="s">
        <v>53</v>
      </c>
      <c r="L940" s="22" t="str">
        <f t="shared" si="70"/>
        <v>EXCLUDE</v>
      </c>
      <c r="M940" s="22" t="str">
        <f t="shared" si="71"/>
        <v>Digital Twin not core / buzzword</v>
      </c>
      <c r="N940" s="23"/>
      <c r="O940" s="23"/>
      <c r="P940" s="24"/>
      <c r="Q940" s="24"/>
      <c r="R940" s="24"/>
      <c r="S940" s="22" t="str">
        <f t="shared" si="72"/>
        <v/>
      </c>
      <c r="T940" s="22" t="str">
        <f t="shared" si="73"/>
        <v/>
      </c>
      <c r="U940" s="25"/>
      <c r="V940" s="25"/>
      <c r="W940" s="25"/>
      <c r="X940" s="25"/>
      <c r="Y940" s="22" t="str">
        <f t="shared" si="74"/>
        <v/>
      </c>
      <c r="Z940" s="25"/>
      <c r="AA940" s="25"/>
      <c r="AB940" s="25"/>
      <c r="AC940" s="25"/>
      <c r="AD940" s="25"/>
      <c r="AE940" s="25"/>
      <c r="AF940" s="25"/>
      <c r="AG940" s="9"/>
      <c r="AH940" s="29"/>
      <c r="AI940" s="29"/>
      <c r="AM940" s="50"/>
      <c r="AN940" s="51" t="s">
        <v>4640</v>
      </c>
      <c r="AO940" s="55" t="s">
        <v>4641</v>
      </c>
    </row>
    <row r="941" spans="1:41" ht="86.4" x14ac:dyDescent="0.3">
      <c r="A941" s="20">
        <v>937</v>
      </c>
      <c r="B941" s="8" t="s">
        <v>3883</v>
      </c>
      <c r="C941" s="26">
        <v>2022</v>
      </c>
      <c r="D941" s="8"/>
      <c r="E941" s="8" t="s">
        <v>4642</v>
      </c>
      <c r="F941" s="20" t="s">
        <v>65</v>
      </c>
      <c r="G941" s="21" t="s">
        <v>53</v>
      </c>
      <c r="H941" s="21" t="s">
        <v>53</v>
      </c>
      <c r="I941" s="21" t="s">
        <v>53</v>
      </c>
      <c r="J941" s="21" t="s">
        <v>53</v>
      </c>
      <c r="K941" s="21" t="s">
        <v>53</v>
      </c>
      <c r="L941" s="22" t="str">
        <f t="shared" si="70"/>
        <v>INCLUDE</v>
      </c>
      <c r="M941" s="22" t="str">
        <f t="shared" si="71"/>
        <v/>
      </c>
      <c r="N941" s="23" t="s">
        <v>53</v>
      </c>
      <c r="O941" s="23" t="s">
        <v>53</v>
      </c>
      <c r="P941" s="24" t="s">
        <v>53</v>
      </c>
      <c r="Q941" s="24" t="s">
        <v>53</v>
      </c>
      <c r="R941" s="24" t="s">
        <v>53</v>
      </c>
      <c r="S941" s="22" t="str">
        <f t="shared" si="72"/>
        <v>INCLUDE</v>
      </c>
      <c r="T941" s="22" t="str">
        <f t="shared" si="73"/>
        <v/>
      </c>
      <c r="U941" s="25" t="s">
        <v>56</v>
      </c>
      <c r="V941" s="25">
        <v>0</v>
      </c>
      <c r="W941" s="25">
        <v>1</v>
      </c>
      <c r="X941" s="25">
        <v>0</v>
      </c>
      <c r="Y941" s="22" t="str">
        <f t="shared" si="74"/>
        <v>Single</v>
      </c>
      <c r="Z941" s="25" t="s">
        <v>9</v>
      </c>
      <c r="AA941" s="25" t="s">
        <v>57</v>
      </c>
      <c r="AB941" s="25" t="s">
        <v>58</v>
      </c>
      <c r="AC941" s="25" t="s">
        <v>70</v>
      </c>
      <c r="AD941" s="25" t="s">
        <v>89</v>
      </c>
      <c r="AE941" s="25">
        <v>4</v>
      </c>
      <c r="AF941" s="25" t="s">
        <v>90</v>
      </c>
      <c r="AG941" s="9" t="s">
        <v>4643</v>
      </c>
      <c r="AH941" s="29" t="s">
        <v>4644</v>
      </c>
      <c r="AI941" s="29" t="s">
        <v>4645</v>
      </c>
      <c r="AJ941" t="s">
        <v>91</v>
      </c>
      <c r="AK941" t="s">
        <v>4646</v>
      </c>
      <c r="AL941" t="s">
        <v>63</v>
      </c>
      <c r="AM941" s="50"/>
      <c r="AN941" s="51" t="s">
        <v>4647</v>
      </c>
      <c r="AO941" s="55" t="s">
        <v>4648</v>
      </c>
    </row>
    <row r="942" spans="1:41" ht="125.4" x14ac:dyDescent="0.3">
      <c r="A942" s="20">
        <v>938</v>
      </c>
      <c r="B942" s="8" t="s">
        <v>4649</v>
      </c>
      <c r="C942" s="26">
        <v>2026</v>
      </c>
      <c r="D942" s="8"/>
      <c r="E942" s="8" t="s">
        <v>4650</v>
      </c>
      <c r="F942" s="20" t="s">
        <v>65</v>
      </c>
      <c r="G942" s="21" t="s">
        <v>53</v>
      </c>
      <c r="H942" s="21" t="s">
        <v>53</v>
      </c>
      <c r="I942" s="21" t="s">
        <v>53</v>
      </c>
      <c r="J942" s="21" t="s">
        <v>53</v>
      </c>
      <c r="K942" s="21" t="s">
        <v>53</v>
      </c>
      <c r="L942" s="22" t="str">
        <f t="shared" si="70"/>
        <v>INCLUDE</v>
      </c>
      <c r="M942" s="22" t="str">
        <f t="shared" si="71"/>
        <v/>
      </c>
      <c r="N942" s="23" t="s">
        <v>53</v>
      </c>
      <c r="O942" s="23" t="s">
        <v>53</v>
      </c>
      <c r="P942" s="24" t="s">
        <v>53</v>
      </c>
      <c r="Q942" s="24" t="s">
        <v>53</v>
      </c>
      <c r="R942" s="24" t="s">
        <v>53</v>
      </c>
      <c r="S942" s="22" t="str">
        <f t="shared" si="72"/>
        <v>INCLUDE</v>
      </c>
      <c r="T942" s="22" t="str">
        <f t="shared" si="73"/>
        <v/>
      </c>
      <c r="U942" s="25" t="s">
        <v>56</v>
      </c>
      <c r="V942" s="25">
        <v>0</v>
      </c>
      <c r="W942" s="25">
        <v>1</v>
      </c>
      <c r="X942" s="25">
        <v>0</v>
      </c>
      <c r="Y942" s="22" t="str">
        <f t="shared" si="74"/>
        <v>Single</v>
      </c>
      <c r="Z942" s="25" t="s">
        <v>77</v>
      </c>
      <c r="AA942" s="25" t="s">
        <v>68</v>
      </c>
      <c r="AB942" s="25" t="s">
        <v>104</v>
      </c>
      <c r="AC942" s="25" t="s">
        <v>70</v>
      </c>
      <c r="AD942" s="25" t="s">
        <v>71</v>
      </c>
      <c r="AE942" s="25">
        <v>3</v>
      </c>
      <c r="AF942" s="25" t="s">
        <v>96</v>
      </c>
      <c r="AG942" s="9" t="s">
        <v>4651</v>
      </c>
      <c r="AH942" s="29" t="s">
        <v>4652</v>
      </c>
      <c r="AI942" s="29" t="s">
        <v>4653</v>
      </c>
      <c r="AJ942" t="s">
        <v>91</v>
      </c>
      <c r="AK942" t="s">
        <v>4654</v>
      </c>
      <c r="AL942" t="s">
        <v>74</v>
      </c>
      <c r="AM942" s="50"/>
      <c r="AN942" s="51" t="s">
        <v>4655</v>
      </c>
      <c r="AO942" s="55" t="s">
        <v>4656</v>
      </c>
    </row>
    <row r="943" spans="1:41" ht="57" hidden="1" x14ac:dyDescent="0.3">
      <c r="A943" s="20">
        <v>939</v>
      </c>
      <c r="B943" s="8" t="s">
        <v>4657</v>
      </c>
      <c r="C943" s="26">
        <v>2025</v>
      </c>
      <c r="D943" s="8"/>
      <c r="E943" s="8" t="s">
        <v>4658</v>
      </c>
      <c r="F943" s="20" t="s">
        <v>65</v>
      </c>
      <c r="G943" s="21" t="s">
        <v>53</v>
      </c>
      <c r="H943" s="21" t="s">
        <v>64</v>
      </c>
      <c r="I943" s="21" t="s">
        <v>53</v>
      </c>
      <c r="J943" s="21" t="s">
        <v>53</v>
      </c>
      <c r="K943" s="21" t="s">
        <v>53</v>
      </c>
      <c r="L943" s="22" t="str">
        <f t="shared" si="70"/>
        <v>EXCLUDE</v>
      </c>
      <c r="M943" s="22" t="str">
        <f t="shared" si="71"/>
        <v>Digital Twin not core / buzzword</v>
      </c>
      <c r="N943" s="23"/>
      <c r="O943" s="23"/>
      <c r="P943" s="24"/>
      <c r="Q943" s="24"/>
      <c r="R943" s="24"/>
      <c r="S943" s="22" t="str">
        <f t="shared" si="72"/>
        <v/>
      </c>
      <c r="T943" s="22" t="str">
        <f t="shared" si="73"/>
        <v/>
      </c>
      <c r="U943" s="25"/>
      <c r="V943" s="25"/>
      <c r="W943" s="25"/>
      <c r="X943" s="25"/>
      <c r="Y943" s="22" t="str">
        <f t="shared" si="74"/>
        <v/>
      </c>
      <c r="Z943" s="25"/>
      <c r="AA943" s="25"/>
      <c r="AB943" s="25"/>
      <c r="AC943" s="25"/>
      <c r="AD943" s="25"/>
      <c r="AE943" s="25"/>
      <c r="AF943" s="25"/>
      <c r="AG943" s="9"/>
      <c r="AH943" s="29"/>
      <c r="AI943" s="29"/>
      <c r="AM943" s="50"/>
      <c r="AN943" s="51" t="s">
        <v>4659</v>
      </c>
      <c r="AO943" s="55" t="s">
        <v>4660</v>
      </c>
    </row>
    <row r="944" spans="1:41" ht="68.400000000000006" hidden="1" x14ac:dyDescent="0.3">
      <c r="A944" s="20">
        <v>940</v>
      </c>
      <c r="B944" s="8" t="s">
        <v>4661</v>
      </c>
      <c r="C944" s="26">
        <v>2026</v>
      </c>
      <c r="D944" s="8"/>
      <c r="E944" s="8" t="s">
        <v>4662</v>
      </c>
      <c r="F944" s="20" t="s">
        <v>65</v>
      </c>
      <c r="G944" s="21" t="s">
        <v>53</v>
      </c>
      <c r="H944" s="21" t="s">
        <v>64</v>
      </c>
      <c r="I944" s="21" t="s">
        <v>53</v>
      </c>
      <c r="J944" s="21" t="s">
        <v>53</v>
      </c>
      <c r="K944" s="21" t="s">
        <v>53</v>
      </c>
      <c r="L944" s="22" t="str">
        <f t="shared" si="70"/>
        <v>EXCLUDE</v>
      </c>
      <c r="M944" s="22" t="str">
        <f t="shared" si="71"/>
        <v>Digital Twin not core / buzzword</v>
      </c>
      <c r="N944" s="23"/>
      <c r="O944" s="23"/>
      <c r="P944" s="24"/>
      <c r="Q944" s="24"/>
      <c r="R944" s="24"/>
      <c r="S944" s="22" t="str">
        <f t="shared" si="72"/>
        <v/>
      </c>
      <c r="T944" s="22" t="str">
        <f t="shared" si="73"/>
        <v/>
      </c>
      <c r="U944" s="25"/>
      <c r="V944" s="25"/>
      <c r="W944" s="25"/>
      <c r="X944" s="25"/>
      <c r="Y944" s="22" t="str">
        <f t="shared" si="74"/>
        <v/>
      </c>
      <c r="Z944" s="25"/>
      <c r="AA944" s="25"/>
      <c r="AB944" s="25"/>
      <c r="AC944" s="25"/>
      <c r="AD944" s="25"/>
      <c r="AE944" s="25"/>
      <c r="AF944" s="25"/>
      <c r="AG944" s="9"/>
      <c r="AH944" s="29"/>
      <c r="AI944" s="29"/>
      <c r="AM944" s="50"/>
      <c r="AN944" s="51" t="s">
        <v>4663</v>
      </c>
      <c r="AO944" s="55" t="s">
        <v>4664</v>
      </c>
    </row>
    <row r="945" spans="1:41" ht="79.8" hidden="1" x14ac:dyDescent="0.3">
      <c r="A945" s="20">
        <v>941</v>
      </c>
      <c r="B945" s="8" t="s">
        <v>4665</v>
      </c>
      <c r="C945" s="26">
        <v>2026</v>
      </c>
      <c r="D945" s="8"/>
      <c r="E945" s="8" t="s">
        <v>4666</v>
      </c>
      <c r="F945" s="20" t="s">
        <v>65</v>
      </c>
      <c r="G945" s="21" t="s">
        <v>53</v>
      </c>
      <c r="H945" s="21" t="s">
        <v>64</v>
      </c>
      <c r="I945" s="21" t="s">
        <v>53</v>
      </c>
      <c r="J945" s="21" t="s">
        <v>53</v>
      </c>
      <c r="K945" s="21" t="s">
        <v>53</v>
      </c>
      <c r="L945" s="22" t="str">
        <f t="shared" si="70"/>
        <v>EXCLUDE</v>
      </c>
      <c r="M945" s="22" t="str">
        <f t="shared" si="71"/>
        <v>Digital Twin not core / buzzword</v>
      </c>
      <c r="N945" s="23"/>
      <c r="O945" s="23"/>
      <c r="P945" s="24"/>
      <c r="Q945" s="24"/>
      <c r="R945" s="24"/>
      <c r="S945" s="22" t="str">
        <f t="shared" si="72"/>
        <v/>
      </c>
      <c r="T945" s="22" t="str">
        <f t="shared" si="73"/>
        <v/>
      </c>
      <c r="U945" s="25"/>
      <c r="V945" s="25"/>
      <c r="W945" s="25"/>
      <c r="X945" s="25"/>
      <c r="Y945" s="22" t="str">
        <f t="shared" si="74"/>
        <v/>
      </c>
      <c r="Z945" s="25"/>
      <c r="AA945" s="25"/>
      <c r="AB945" s="25"/>
      <c r="AC945" s="25"/>
      <c r="AD945" s="25"/>
      <c r="AE945" s="25"/>
      <c r="AF945" s="25"/>
      <c r="AG945" s="9"/>
      <c r="AH945" s="29"/>
      <c r="AI945" s="29"/>
      <c r="AM945" s="50"/>
      <c r="AN945" s="51" t="s">
        <v>4667</v>
      </c>
      <c r="AO945" s="55" t="s">
        <v>4668</v>
      </c>
    </row>
    <row r="946" spans="1:41" ht="114" x14ac:dyDescent="0.3">
      <c r="A946" s="20">
        <v>942</v>
      </c>
      <c r="B946" s="8" t="s">
        <v>4669</v>
      </c>
      <c r="C946" s="26">
        <v>2025</v>
      </c>
      <c r="D946" s="8"/>
      <c r="E946" s="8" t="s">
        <v>4670</v>
      </c>
      <c r="F946" s="20" t="s">
        <v>65</v>
      </c>
      <c r="G946" s="21" t="s">
        <v>53</v>
      </c>
      <c r="H946" s="21" t="s">
        <v>53</v>
      </c>
      <c r="I946" s="21" t="s">
        <v>53</v>
      </c>
      <c r="J946" s="21" t="s">
        <v>53</v>
      </c>
      <c r="K946" s="21" t="s">
        <v>53</v>
      </c>
      <c r="L946" s="22" t="str">
        <f t="shared" si="70"/>
        <v>INCLUDE</v>
      </c>
      <c r="M946" s="22" t="str">
        <f t="shared" si="71"/>
        <v/>
      </c>
      <c r="N946" s="23" t="s">
        <v>53</v>
      </c>
      <c r="O946" s="23" t="s">
        <v>53</v>
      </c>
      <c r="P946" s="24" t="s">
        <v>53</v>
      </c>
      <c r="Q946" s="24" t="s">
        <v>53</v>
      </c>
      <c r="R946" s="24" t="s">
        <v>53</v>
      </c>
      <c r="S946" s="22" t="str">
        <f t="shared" si="72"/>
        <v>INCLUDE</v>
      </c>
      <c r="T946" s="22" t="str">
        <f t="shared" si="73"/>
        <v/>
      </c>
      <c r="U946" s="25" t="s">
        <v>67</v>
      </c>
      <c r="V946" s="25">
        <v>0</v>
      </c>
      <c r="W946" s="25">
        <v>0</v>
      </c>
      <c r="X946" s="25">
        <v>1</v>
      </c>
      <c r="Y946" s="22" t="str">
        <f t="shared" si="74"/>
        <v>Single</v>
      </c>
      <c r="Z946" s="25" t="s">
        <v>9</v>
      </c>
      <c r="AA946" s="25" t="s">
        <v>78</v>
      </c>
      <c r="AB946" s="25" t="s">
        <v>97</v>
      </c>
      <c r="AC946" s="25" t="s">
        <v>70</v>
      </c>
      <c r="AD946" s="25" t="s">
        <v>89</v>
      </c>
      <c r="AE946" s="25">
        <v>4</v>
      </c>
      <c r="AF946" s="25" t="s">
        <v>96</v>
      </c>
      <c r="AG946" s="9" t="s">
        <v>4671</v>
      </c>
      <c r="AH946" s="29" t="s">
        <v>4672</v>
      </c>
      <c r="AI946" s="29" t="s">
        <v>4673</v>
      </c>
      <c r="AJ946" t="s">
        <v>91</v>
      </c>
      <c r="AK946" t="s">
        <v>4674</v>
      </c>
      <c r="AL946" t="s">
        <v>63</v>
      </c>
      <c r="AM946" s="50"/>
      <c r="AN946" s="51" t="s">
        <v>4675</v>
      </c>
      <c r="AO946" s="55" t="s">
        <v>4676</v>
      </c>
    </row>
    <row r="947" spans="1:41" ht="68.400000000000006" hidden="1" x14ac:dyDescent="0.3">
      <c r="A947" s="20">
        <v>943</v>
      </c>
      <c r="B947" s="8" t="s">
        <v>4677</v>
      </c>
      <c r="C947" s="26">
        <v>2026</v>
      </c>
      <c r="D947" s="8"/>
      <c r="E947" s="8" t="s">
        <v>4678</v>
      </c>
      <c r="F947" s="20" t="s">
        <v>65</v>
      </c>
      <c r="G947" s="21" t="s">
        <v>64</v>
      </c>
      <c r="H947" s="21" t="s">
        <v>53</v>
      </c>
      <c r="I947" s="21" t="s">
        <v>53</v>
      </c>
      <c r="J947" s="21" t="s">
        <v>53</v>
      </c>
      <c r="K947" s="21" t="s">
        <v>53</v>
      </c>
      <c r="L947" s="22" t="str">
        <f t="shared" si="70"/>
        <v>EXCLUDE</v>
      </c>
      <c r="M947" s="22" t="str">
        <f t="shared" si="71"/>
        <v>Wrong domain (non-AECO)</v>
      </c>
      <c r="N947" s="23"/>
      <c r="O947" s="23"/>
      <c r="P947" s="24"/>
      <c r="Q947" s="24"/>
      <c r="R947" s="24"/>
      <c r="S947" s="22" t="str">
        <f t="shared" si="72"/>
        <v/>
      </c>
      <c r="T947" s="22" t="str">
        <f t="shared" si="73"/>
        <v/>
      </c>
      <c r="U947" s="25"/>
      <c r="V947" s="25"/>
      <c r="W947" s="25"/>
      <c r="X947" s="25"/>
      <c r="Y947" s="22" t="str">
        <f t="shared" si="74"/>
        <v/>
      </c>
      <c r="Z947" s="25"/>
      <c r="AA947" s="25"/>
      <c r="AB947" s="25"/>
      <c r="AC947" s="25"/>
      <c r="AD947" s="25"/>
      <c r="AE947" s="25"/>
      <c r="AF947" s="25"/>
      <c r="AG947" s="9"/>
      <c r="AH947" s="29"/>
      <c r="AI947" s="29"/>
      <c r="AM947" s="50"/>
      <c r="AN947" s="51" t="s">
        <v>4679</v>
      </c>
      <c r="AO947" s="55" t="s">
        <v>4680</v>
      </c>
    </row>
    <row r="948" spans="1:41" ht="68.400000000000006" hidden="1" x14ac:dyDescent="0.3">
      <c r="A948" s="20">
        <v>944</v>
      </c>
      <c r="B948" s="8" t="s">
        <v>4681</v>
      </c>
      <c r="C948" s="26">
        <v>2026</v>
      </c>
      <c r="D948" s="8"/>
      <c r="E948" s="8" t="s">
        <v>4682</v>
      </c>
      <c r="F948" s="20" t="s">
        <v>65</v>
      </c>
      <c r="G948" s="21" t="s">
        <v>53</v>
      </c>
      <c r="H948" s="21" t="s">
        <v>64</v>
      </c>
      <c r="I948" s="21" t="s">
        <v>53</v>
      </c>
      <c r="J948" s="21" t="s">
        <v>53</v>
      </c>
      <c r="K948" s="21" t="s">
        <v>53</v>
      </c>
      <c r="L948" s="22" t="str">
        <f t="shared" si="70"/>
        <v>EXCLUDE</v>
      </c>
      <c r="M948" s="22" t="str">
        <f t="shared" si="71"/>
        <v>Digital Twin not core / buzzword</v>
      </c>
      <c r="N948" s="23"/>
      <c r="O948" s="23"/>
      <c r="P948" s="24"/>
      <c r="Q948" s="24"/>
      <c r="R948" s="24"/>
      <c r="S948" s="22" t="str">
        <f t="shared" si="72"/>
        <v/>
      </c>
      <c r="T948" s="22" t="str">
        <f t="shared" si="73"/>
        <v/>
      </c>
      <c r="U948" s="25"/>
      <c r="V948" s="25"/>
      <c r="W948" s="25"/>
      <c r="X948" s="25"/>
      <c r="Y948" s="22" t="str">
        <f t="shared" si="74"/>
        <v/>
      </c>
      <c r="Z948" s="25"/>
      <c r="AA948" s="25"/>
      <c r="AB948" s="25"/>
      <c r="AC948" s="25"/>
      <c r="AD948" s="25"/>
      <c r="AE948" s="25"/>
      <c r="AF948" s="25"/>
      <c r="AG948" s="9"/>
      <c r="AH948" s="29"/>
      <c r="AI948" s="29"/>
      <c r="AM948" s="50"/>
      <c r="AN948" s="51" t="s">
        <v>4683</v>
      </c>
      <c r="AO948" s="55" t="s">
        <v>4684</v>
      </c>
    </row>
    <row r="949" spans="1:41" ht="68.400000000000006" hidden="1" x14ac:dyDescent="0.3">
      <c r="A949" s="20">
        <v>945</v>
      </c>
      <c r="B949" s="8" t="s">
        <v>4685</v>
      </c>
      <c r="C949" s="26">
        <v>2025</v>
      </c>
      <c r="D949" s="8"/>
      <c r="E949" s="8" t="s">
        <v>4686</v>
      </c>
      <c r="F949" s="20" t="s">
        <v>65</v>
      </c>
      <c r="G949" s="21" t="s">
        <v>64</v>
      </c>
      <c r="H949" s="21" t="s">
        <v>53</v>
      </c>
      <c r="I949" s="21" t="s">
        <v>53</v>
      </c>
      <c r="J949" s="21" t="s">
        <v>53</v>
      </c>
      <c r="K949" s="21" t="s">
        <v>53</v>
      </c>
      <c r="L949" s="22" t="str">
        <f t="shared" si="70"/>
        <v>EXCLUDE</v>
      </c>
      <c r="M949" s="22" t="str">
        <f t="shared" si="71"/>
        <v>Wrong domain (non-AECO)</v>
      </c>
      <c r="N949" s="23"/>
      <c r="O949" s="23"/>
      <c r="P949" s="24"/>
      <c r="Q949" s="24"/>
      <c r="R949" s="24"/>
      <c r="S949" s="22" t="str">
        <f t="shared" si="72"/>
        <v/>
      </c>
      <c r="T949" s="22" t="str">
        <f t="shared" si="73"/>
        <v/>
      </c>
      <c r="U949" s="25"/>
      <c r="V949" s="25"/>
      <c r="W949" s="25"/>
      <c r="X949" s="25"/>
      <c r="Y949" s="22" t="str">
        <f t="shared" si="74"/>
        <v/>
      </c>
      <c r="Z949" s="25"/>
      <c r="AA949" s="25"/>
      <c r="AB949" s="25"/>
      <c r="AC949" s="25"/>
      <c r="AD949" s="25"/>
      <c r="AE949" s="25"/>
      <c r="AF949" s="25"/>
      <c r="AG949" s="9"/>
      <c r="AH949" s="29"/>
      <c r="AI949" s="29"/>
      <c r="AM949" s="50"/>
      <c r="AN949" s="51" t="s">
        <v>4687</v>
      </c>
      <c r="AO949" s="55" t="s">
        <v>4688</v>
      </c>
    </row>
    <row r="950" spans="1:41" ht="68.400000000000006" hidden="1" x14ac:dyDescent="0.3">
      <c r="A950" s="20">
        <v>946</v>
      </c>
      <c r="B950" s="8" t="s">
        <v>4689</v>
      </c>
      <c r="C950" s="26">
        <v>2026</v>
      </c>
      <c r="D950" s="8"/>
      <c r="E950" s="8" t="s">
        <v>4690</v>
      </c>
      <c r="F950" s="20" t="s">
        <v>65</v>
      </c>
      <c r="G950" s="21" t="s">
        <v>64</v>
      </c>
      <c r="H950" s="21" t="s">
        <v>53</v>
      </c>
      <c r="I950" s="21" t="s">
        <v>53</v>
      </c>
      <c r="J950" s="21" t="s">
        <v>53</v>
      </c>
      <c r="K950" s="21" t="s">
        <v>53</v>
      </c>
      <c r="L950" s="22" t="str">
        <f t="shared" si="70"/>
        <v>EXCLUDE</v>
      </c>
      <c r="M950" s="22" t="str">
        <f t="shared" si="71"/>
        <v>Wrong domain (non-AECO)</v>
      </c>
      <c r="N950" s="23"/>
      <c r="O950" s="23"/>
      <c r="P950" s="24"/>
      <c r="Q950" s="24"/>
      <c r="R950" s="24"/>
      <c r="S950" s="22" t="str">
        <f t="shared" si="72"/>
        <v/>
      </c>
      <c r="T950" s="22" t="str">
        <f t="shared" si="73"/>
        <v/>
      </c>
      <c r="U950" s="25"/>
      <c r="V950" s="25"/>
      <c r="W950" s="25"/>
      <c r="X950" s="25"/>
      <c r="Y950" s="22" t="str">
        <f t="shared" si="74"/>
        <v/>
      </c>
      <c r="Z950" s="25"/>
      <c r="AA950" s="25"/>
      <c r="AB950" s="25"/>
      <c r="AC950" s="25"/>
      <c r="AD950" s="25"/>
      <c r="AE950" s="25"/>
      <c r="AF950" s="25"/>
      <c r="AG950" s="9"/>
      <c r="AH950" s="29"/>
      <c r="AI950" s="29"/>
      <c r="AM950" s="50"/>
      <c r="AN950" s="51" t="s">
        <v>4691</v>
      </c>
      <c r="AO950" s="55" t="s">
        <v>4692</v>
      </c>
    </row>
    <row r="951" spans="1:41" ht="79.8" hidden="1" x14ac:dyDescent="0.3">
      <c r="A951" s="20">
        <v>947</v>
      </c>
      <c r="B951" s="8" t="s">
        <v>4693</v>
      </c>
      <c r="C951" s="26">
        <v>2026</v>
      </c>
      <c r="D951" s="8"/>
      <c r="E951" s="8" t="s">
        <v>4694</v>
      </c>
      <c r="F951" s="20" t="s">
        <v>65</v>
      </c>
      <c r="G951" s="21" t="s">
        <v>64</v>
      </c>
      <c r="H951" s="21" t="s">
        <v>53</v>
      </c>
      <c r="I951" s="21" t="s">
        <v>53</v>
      </c>
      <c r="J951" s="21" t="s">
        <v>53</v>
      </c>
      <c r="K951" s="21" t="s">
        <v>53</v>
      </c>
      <c r="L951" s="22" t="str">
        <f t="shared" si="70"/>
        <v>EXCLUDE</v>
      </c>
      <c r="M951" s="22" t="str">
        <f t="shared" si="71"/>
        <v>Wrong domain (non-AECO)</v>
      </c>
      <c r="N951" s="23"/>
      <c r="O951" s="23"/>
      <c r="P951" s="24"/>
      <c r="Q951" s="24"/>
      <c r="R951" s="24"/>
      <c r="S951" s="22" t="str">
        <f t="shared" si="72"/>
        <v/>
      </c>
      <c r="T951" s="22" t="str">
        <f t="shared" si="73"/>
        <v/>
      </c>
      <c r="U951" s="25"/>
      <c r="V951" s="25"/>
      <c r="W951" s="25"/>
      <c r="X951" s="25"/>
      <c r="Y951" s="22" t="str">
        <f t="shared" si="74"/>
        <v/>
      </c>
      <c r="Z951" s="25"/>
      <c r="AA951" s="25"/>
      <c r="AB951" s="25"/>
      <c r="AC951" s="25"/>
      <c r="AD951" s="25"/>
      <c r="AE951" s="25"/>
      <c r="AF951" s="25"/>
      <c r="AG951" s="9"/>
      <c r="AH951" s="29"/>
      <c r="AI951" s="29"/>
      <c r="AM951" s="50"/>
      <c r="AN951" s="51" t="s">
        <v>4695</v>
      </c>
      <c r="AO951" s="55" t="s">
        <v>4696</v>
      </c>
    </row>
    <row r="952" spans="1:41" ht="79.8" hidden="1" x14ac:dyDescent="0.3">
      <c r="A952" s="20">
        <v>948</v>
      </c>
      <c r="B952" s="8" t="s">
        <v>4697</v>
      </c>
      <c r="C952" s="26">
        <v>2026</v>
      </c>
      <c r="D952" s="8"/>
      <c r="E952" s="8" t="s">
        <v>4698</v>
      </c>
      <c r="F952" s="20" t="s">
        <v>65</v>
      </c>
      <c r="G952" s="21" t="s">
        <v>53</v>
      </c>
      <c r="H952" s="21" t="s">
        <v>64</v>
      </c>
      <c r="I952" s="21" t="s">
        <v>53</v>
      </c>
      <c r="J952" s="21" t="s">
        <v>53</v>
      </c>
      <c r="K952" s="21" t="s">
        <v>53</v>
      </c>
      <c r="L952" s="22" t="str">
        <f t="shared" si="70"/>
        <v>EXCLUDE</v>
      </c>
      <c r="M952" s="22" t="str">
        <f t="shared" si="71"/>
        <v>Digital Twin not core / buzzword</v>
      </c>
      <c r="N952" s="23"/>
      <c r="O952" s="23"/>
      <c r="P952" s="24"/>
      <c r="Q952" s="24"/>
      <c r="R952" s="24"/>
      <c r="S952" s="22" t="str">
        <f t="shared" si="72"/>
        <v/>
      </c>
      <c r="T952" s="22" t="str">
        <f t="shared" si="73"/>
        <v/>
      </c>
      <c r="U952" s="25"/>
      <c r="V952" s="25"/>
      <c r="W952" s="25"/>
      <c r="X952" s="25"/>
      <c r="Y952" s="22" t="str">
        <f t="shared" si="74"/>
        <v/>
      </c>
      <c r="Z952" s="25"/>
      <c r="AA952" s="25"/>
      <c r="AB952" s="25"/>
      <c r="AC952" s="25"/>
      <c r="AD952" s="25"/>
      <c r="AE952" s="25"/>
      <c r="AF952" s="25"/>
      <c r="AG952" s="9"/>
      <c r="AH952" s="29"/>
      <c r="AI952" s="29"/>
      <c r="AM952" s="50"/>
      <c r="AN952" s="51" t="s">
        <v>4699</v>
      </c>
      <c r="AO952" s="55" t="s">
        <v>4700</v>
      </c>
    </row>
    <row r="953" spans="1:41" ht="45.6" hidden="1" x14ac:dyDescent="0.3">
      <c r="A953" s="20">
        <v>949</v>
      </c>
      <c r="B953" s="8" t="s">
        <v>4701</v>
      </c>
      <c r="C953" s="26">
        <v>2025</v>
      </c>
      <c r="D953" s="8"/>
      <c r="E953" s="8" t="s">
        <v>4702</v>
      </c>
      <c r="F953" s="20" t="s">
        <v>65</v>
      </c>
      <c r="G953" s="21" t="s">
        <v>53</v>
      </c>
      <c r="H953" s="21" t="s">
        <v>64</v>
      </c>
      <c r="I953" s="21" t="s">
        <v>53</v>
      </c>
      <c r="J953" s="21" t="s">
        <v>53</v>
      </c>
      <c r="K953" s="21" t="s">
        <v>53</v>
      </c>
      <c r="L953" s="22" t="str">
        <f t="shared" si="70"/>
        <v>EXCLUDE</v>
      </c>
      <c r="M953" s="22" t="str">
        <f t="shared" si="71"/>
        <v>Digital Twin not core / buzzword</v>
      </c>
      <c r="N953" s="23"/>
      <c r="O953" s="23"/>
      <c r="P953" s="24"/>
      <c r="Q953" s="24"/>
      <c r="R953" s="24"/>
      <c r="S953" s="22" t="str">
        <f t="shared" si="72"/>
        <v/>
      </c>
      <c r="T953" s="22" t="str">
        <f t="shared" si="73"/>
        <v/>
      </c>
      <c r="U953" s="25"/>
      <c r="V953" s="25"/>
      <c r="W953" s="25"/>
      <c r="X953" s="25"/>
      <c r="Y953" s="22" t="str">
        <f t="shared" si="74"/>
        <v/>
      </c>
      <c r="Z953" s="25"/>
      <c r="AA953" s="25"/>
      <c r="AB953" s="25"/>
      <c r="AC953" s="25"/>
      <c r="AD953" s="25"/>
      <c r="AE953" s="25"/>
      <c r="AF953" s="25"/>
      <c r="AG953" s="9"/>
      <c r="AH953" s="29"/>
      <c r="AI953" s="29"/>
      <c r="AM953" s="50"/>
      <c r="AN953" s="51" t="s">
        <v>4703</v>
      </c>
      <c r="AO953" s="55" t="s">
        <v>4704</v>
      </c>
    </row>
    <row r="954" spans="1:41" ht="68.400000000000006" hidden="1" x14ac:dyDescent="0.3">
      <c r="A954" s="20">
        <v>950</v>
      </c>
      <c r="B954" s="8" t="s">
        <v>4705</v>
      </c>
      <c r="C954" s="26">
        <v>2025</v>
      </c>
      <c r="D954" s="8"/>
      <c r="E954" s="8" t="s">
        <v>4706</v>
      </c>
      <c r="F954" s="20" t="s">
        <v>65</v>
      </c>
      <c r="G954" s="21" t="s">
        <v>53</v>
      </c>
      <c r="H954" s="21" t="s">
        <v>64</v>
      </c>
      <c r="I954" s="21" t="s">
        <v>53</v>
      </c>
      <c r="J954" s="21" t="s">
        <v>53</v>
      </c>
      <c r="K954" s="21" t="s">
        <v>53</v>
      </c>
      <c r="L954" s="22" t="str">
        <f t="shared" si="70"/>
        <v>EXCLUDE</v>
      </c>
      <c r="M954" s="22" t="str">
        <f t="shared" si="71"/>
        <v>Digital Twin not core / buzzword</v>
      </c>
      <c r="N954" s="23"/>
      <c r="O954" s="23"/>
      <c r="P954" s="24"/>
      <c r="Q954" s="24"/>
      <c r="R954" s="24"/>
      <c r="S954" s="22" t="str">
        <f t="shared" si="72"/>
        <v/>
      </c>
      <c r="T954" s="22" t="str">
        <f t="shared" si="73"/>
        <v/>
      </c>
      <c r="U954" s="25"/>
      <c r="V954" s="25"/>
      <c r="W954" s="25"/>
      <c r="X954" s="25"/>
      <c r="Y954" s="22" t="str">
        <f t="shared" si="74"/>
        <v/>
      </c>
      <c r="Z954" s="25"/>
      <c r="AA954" s="25"/>
      <c r="AB954" s="25"/>
      <c r="AC954" s="25"/>
      <c r="AD954" s="25"/>
      <c r="AE954" s="25"/>
      <c r="AF954" s="25"/>
      <c r="AG954" s="9"/>
      <c r="AH954" s="29"/>
      <c r="AI954" s="29"/>
      <c r="AM954" s="50"/>
      <c r="AN954" s="51" t="s">
        <v>4707</v>
      </c>
      <c r="AO954" s="55" t="s">
        <v>4708</v>
      </c>
    </row>
    <row r="955" spans="1:41" ht="45.6" hidden="1" x14ac:dyDescent="0.3">
      <c r="A955" s="20">
        <v>951</v>
      </c>
      <c r="B955" s="8" t="s">
        <v>4709</v>
      </c>
      <c r="C955" s="26">
        <v>2026</v>
      </c>
      <c r="D955" s="8"/>
      <c r="E955" s="8" t="s">
        <v>4710</v>
      </c>
      <c r="F955" s="20" t="s">
        <v>65</v>
      </c>
      <c r="G955" s="21" t="s">
        <v>64</v>
      </c>
      <c r="H955" s="21" t="s">
        <v>53</v>
      </c>
      <c r="I955" s="21" t="s">
        <v>53</v>
      </c>
      <c r="J955" s="21" t="s">
        <v>53</v>
      </c>
      <c r="K955" s="21" t="s">
        <v>53</v>
      </c>
      <c r="L955" s="22" t="str">
        <f t="shared" si="70"/>
        <v>EXCLUDE</v>
      </c>
      <c r="M955" s="22" t="str">
        <f t="shared" si="71"/>
        <v>Wrong domain (non-AECO)</v>
      </c>
      <c r="N955" s="23"/>
      <c r="O955" s="23"/>
      <c r="P955" s="24"/>
      <c r="Q955" s="24"/>
      <c r="R955" s="24"/>
      <c r="S955" s="22" t="str">
        <f t="shared" si="72"/>
        <v/>
      </c>
      <c r="T955" s="22" t="str">
        <f t="shared" si="73"/>
        <v/>
      </c>
      <c r="U955" s="25"/>
      <c r="V955" s="25"/>
      <c r="W955" s="25"/>
      <c r="X955" s="25"/>
      <c r="Y955" s="22" t="str">
        <f t="shared" si="74"/>
        <v/>
      </c>
      <c r="Z955" s="25"/>
      <c r="AA955" s="25"/>
      <c r="AB955" s="25"/>
      <c r="AC955" s="25"/>
      <c r="AD955" s="25"/>
      <c r="AE955" s="25"/>
      <c r="AF955" s="25"/>
      <c r="AG955" s="9"/>
      <c r="AH955" s="29"/>
      <c r="AI955" s="29"/>
      <c r="AM955" s="50"/>
      <c r="AN955" s="51" t="s">
        <v>4711</v>
      </c>
      <c r="AO955" s="55" t="s">
        <v>4712</v>
      </c>
    </row>
    <row r="956" spans="1:41" ht="68.400000000000006" hidden="1" x14ac:dyDescent="0.3">
      <c r="A956" s="20">
        <v>952</v>
      </c>
      <c r="B956" s="8" t="s">
        <v>4713</v>
      </c>
      <c r="C956" s="26">
        <v>2025</v>
      </c>
      <c r="D956" s="8"/>
      <c r="E956" s="8" t="s">
        <v>4714</v>
      </c>
      <c r="F956" s="20" t="s">
        <v>65</v>
      </c>
      <c r="G956" s="21" t="s">
        <v>53</v>
      </c>
      <c r="H956" s="21" t="s">
        <v>64</v>
      </c>
      <c r="I956" s="21" t="s">
        <v>53</v>
      </c>
      <c r="J956" s="21" t="s">
        <v>53</v>
      </c>
      <c r="K956" s="21" t="s">
        <v>53</v>
      </c>
      <c r="L956" s="22" t="str">
        <f t="shared" si="70"/>
        <v>EXCLUDE</v>
      </c>
      <c r="M956" s="22" t="str">
        <f t="shared" si="71"/>
        <v>Digital Twin not core / buzzword</v>
      </c>
      <c r="N956" s="23"/>
      <c r="O956" s="23"/>
      <c r="P956" s="24"/>
      <c r="Q956" s="24"/>
      <c r="R956" s="24"/>
      <c r="S956" s="22" t="str">
        <f t="shared" si="72"/>
        <v/>
      </c>
      <c r="T956" s="22" t="str">
        <f t="shared" si="73"/>
        <v/>
      </c>
      <c r="U956" s="25"/>
      <c r="V956" s="25"/>
      <c r="W956" s="25"/>
      <c r="X956" s="25"/>
      <c r="Y956" s="22" t="str">
        <f t="shared" si="74"/>
        <v/>
      </c>
      <c r="Z956" s="25"/>
      <c r="AA956" s="25"/>
      <c r="AB956" s="25"/>
      <c r="AC956" s="25"/>
      <c r="AD956" s="25"/>
      <c r="AE956" s="25"/>
      <c r="AF956" s="25"/>
      <c r="AG956" s="9"/>
      <c r="AH956" s="29"/>
      <c r="AI956" s="29"/>
      <c r="AM956" s="50"/>
      <c r="AN956" s="51" t="s">
        <v>4715</v>
      </c>
      <c r="AO956" s="55" t="s">
        <v>4716</v>
      </c>
    </row>
    <row r="957" spans="1:41" ht="45.6" hidden="1" x14ac:dyDescent="0.3">
      <c r="A957" s="20">
        <v>953</v>
      </c>
      <c r="B957" s="8" t="s">
        <v>4717</v>
      </c>
      <c r="C957" s="26">
        <v>2026</v>
      </c>
      <c r="D957" s="8"/>
      <c r="E957" s="8" t="s">
        <v>4718</v>
      </c>
      <c r="F957" s="20" t="s">
        <v>65</v>
      </c>
      <c r="G957" s="21" t="s">
        <v>64</v>
      </c>
      <c r="H957" s="21" t="s">
        <v>53</v>
      </c>
      <c r="I957" s="21" t="s">
        <v>53</v>
      </c>
      <c r="J957" s="21" t="s">
        <v>53</v>
      </c>
      <c r="K957" s="21" t="s">
        <v>53</v>
      </c>
      <c r="L957" s="22" t="str">
        <f t="shared" si="70"/>
        <v>EXCLUDE</v>
      </c>
      <c r="M957" s="22" t="str">
        <f t="shared" si="71"/>
        <v>Wrong domain (non-AECO)</v>
      </c>
      <c r="N957" s="23"/>
      <c r="O957" s="23"/>
      <c r="P957" s="24"/>
      <c r="Q957" s="24"/>
      <c r="R957" s="24"/>
      <c r="S957" s="22" t="str">
        <f t="shared" si="72"/>
        <v/>
      </c>
      <c r="T957" s="22" t="str">
        <f t="shared" si="73"/>
        <v/>
      </c>
      <c r="U957" s="25"/>
      <c r="V957" s="25"/>
      <c r="W957" s="25"/>
      <c r="X957" s="25"/>
      <c r="Y957" s="22" t="str">
        <f t="shared" si="74"/>
        <v/>
      </c>
      <c r="Z957" s="25"/>
      <c r="AA957" s="25"/>
      <c r="AB957" s="25"/>
      <c r="AC957" s="25"/>
      <c r="AD957" s="25"/>
      <c r="AE957" s="25"/>
      <c r="AF957" s="25"/>
      <c r="AG957" s="9"/>
      <c r="AH957" s="29"/>
      <c r="AI957" s="29"/>
      <c r="AM957" s="50"/>
      <c r="AN957" s="51" t="s">
        <v>4719</v>
      </c>
      <c r="AO957" s="55" t="s">
        <v>4720</v>
      </c>
    </row>
    <row r="958" spans="1:41" ht="45.6" hidden="1" x14ac:dyDescent="0.3">
      <c r="A958" s="20">
        <v>954</v>
      </c>
      <c r="B958" s="8" t="s">
        <v>4721</v>
      </c>
      <c r="C958" s="26">
        <v>2026</v>
      </c>
      <c r="D958" s="8"/>
      <c r="E958" s="8" t="s">
        <v>4722</v>
      </c>
      <c r="F958" s="20" t="s">
        <v>65</v>
      </c>
      <c r="G958" s="21" t="s">
        <v>53</v>
      </c>
      <c r="H958" s="21" t="s">
        <v>64</v>
      </c>
      <c r="I958" s="21" t="s">
        <v>53</v>
      </c>
      <c r="J958" s="21" t="s">
        <v>53</v>
      </c>
      <c r="K958" s="21" t="s">
        <v>53</v>
      </c>
      <c r="L958" s="22" t="str">
        <f t="shared" si="70"/>
        <v>EXCLUDE</v>
      </c>
      <c r="M958" s="22" t="str">
        <f t="shared" si="71"/>
        <v>Digital Twin not core / buzzword</v>
      </c>
      <c r="N958" s="23"/>
      <c r="O958" s="23"/>
      <c r="P958" s="24"/>
      <c r="Q958" s="24"/>
      <c r="R958" s="24"/>
      <c r="S958" s="22" t="str">
        <f t="shared" si="72"/>
        <v/>
      </c>
      <c r="T958" s="22" t="str">
        <f t="shared" si="73"/>
        <v/>
      </c>
      <c r="U958" s="25"/>
      <c r="V958" s="25"/>
      <c r="W958" s="25"/>
      <c r="X958" s="25"/>
      <c r="Y958" s="22" t="str">
        <f t="shared" si="74"/>
        <v/>
      </c>
      <c r="Z958" s="25"/>
      <c r="AA958" s="25"/>
      <c r="AB958" s="25"/>
      <c r="AC958" s="25"/>
      <c r="AD958" s="25"/>
      <c r="AE958" s="25"/>
      <c r="AF958" s="25"/>
      <c r="AG958" s="9"/>
      <c r="AH958" s="29"/>
      <c r="AI958" s="29"/>
      <c r="AM958" s="50"/>
      <c r="AN958" s="51" t="s">
        <v>4723</v>
      </c>
      <c r="AO958" s="55" t="s">
        <v>4724</v>
      </c>
    </row>
    <row r="959" spans="1:41" ht="45.6" hidden="1" x14ac:dyDescent="0.3">
      <c r="A959" s="20">
        <v>955</v>
      </c>
      <c r="B959" s="8" t="s">
        <v>4725</v>
      </c>
      <c r="C959" s="26">
        <v>2021</v>
      </c>
      <c r="D959" s="8"/>
      <c r="E959" s="8" t="s">
        <v>4726</v>
      </c>
      <c r="F959" s="20" t="s">
        <v>65</v>
      </c>
      <c r="G959" s="21" t="s">
        <v>64</v>
      </c>
      <c r="H959" s="21" t="s">
        <v>53</v>
      </c>
      <c r="I959" s="21" t="s">
        <v>53</v>
      </c>
      <c r="J959" s="21" t="s">
        <v>53</v>
      </c>
      <c r="K959" s="21" t="s">
        <v>53</v>
      </c>
      <c r="L959" s="22" t="str">
        <f t="shared" si="70"/>
        <v>EXCLUDE</v>
      </c>
      <c r="M959" s="22" t="str">
        <f t="shared" si="71"/>
        <v>Wrong domain (non-AECO)</v>
      </c>
      <c r="N959" s="23"/>
      <c r="O959" s="23"/>
      <c r="P959" s="24"/>
      <c r="Q959" s="24"/>
      <c r="R959" s="24"/>
      <c r="S959" s="22" t="str">
        <f t="shared" si="72"/>
        <v/>
      </c>
      <c r="T959" s="22" t="str">
        <f t="shared" si="73"/>
        <v/>
      </c>
      <c r="U959" s="25"/>
      <c r="V959" s="25"/>
      <c r="W959" s="25"/>
      <c r="X959" s="25"/>
      <c r="Y959" s="22" t="str">
        <f t="shared" si="74"/>
        <v/>
      </c>
      <c r="Z959" s="25"/>
      <c r="AA959" s="25"/>
      <c r="AB959" s="25"/>
      <c r="AC959" s="25"/>
      <c r="AD959" s="25"/>
      <c r="AE959" s="25"/>
      <c r="AF959" s="25"/>
      <c r="AG959" s="9"/>
      <c r="AH959" s="29"/>
      <c r="AI959" s="29"/>
      <c r="AM959" s="50"/>
      <c r="AN959" s="51" t="s">
        <v>4727</v>
      </c>
      <c r="AO959" s="55" t="s">
        <v>4728</v>
      </c>
    </row>
    <row r="960" spans="1:41" ht="34.200000000000003" hidden="1" x14ac:dyDescent="0.3">
      <c r="A960" s="20">
        <v>956</v>
      </c>
      <c r="B960" s="8" t="s">
        <v>4729</v>
      </c>
      <c r="C960" s="26">
        <v>2026</v>
      </c>
      <c r="D960" s="8"/>
      <c r="E960" s="8" t="s">
        <v>4730</v>
      </c>
      <c r="F960" s="20" t="s">
        <v>65</v>
      </c>
      <c r="G960" s="21" t="s">
        <v>64</v>
      </c>
      <c r="H960" s="21" t="s">
        <v>53</v>
      </c>
      <c r="I960" s="21" t="s">
        <v>53</v>
      </c>
      <c r="J960" s="21" t="s">
        <v>53</v>
      </c>
      <c r="K960" s="21" t="s">
        <v>53</v>
      </c>
      <c r="L960" s="22" t="str">
        <f t="shared" si="70"/>
        <v>EXCLUDE</v>
      </c>
      <c r="M960" s="22" t="str">
        <f t="shared" si="71"/>
        <v>Wrong domain (non-AECO)</v>
      </c>
      <c r="N960" s="23"/>
      <c r="O960" s="23"/>
      <c r="P960" s="24"/>
      <c r="Q960" s="24"/>
      <c r="R960" s="24"/>
      <c r="S960" s="22" t="str">
        <f t="shared" si="72"/>
        <v/>
      </c>
      <c r="T960" s="22" t="str">
        <f t="shared" si="73"/>
        <v/>
      </c>
      <c r="U960" s="25"/>
      <c r="V960" s="25"/>
      <c r="W960" s="25"/>
      <c r="X960" s="25"/>
      <c r="Y960" s="22" t="str">
        <f t="shared" si="74"/>
        <v/>
      </c>
      <c r="Z960" s="25"/>
      <c r="AA960" s="25"/>
      <c r="AB960" s="25"/>
      <c r="AC960" s="25"/>
      <c r="AD960" s="25"/>
      <c r="AE960" s="25"/>
      <c r="AF960" s="25"/>
      <c r="AG960" s="9"/>
      <c r="AH960" s="29"/>
      <c r="AI960" s="29"/>
      <c r="AM960" s="50"/>
      <c r="AN960" s="51" t="s">
        <v>4731</v>
      </c>
      <c r="AO960" s="55" t="s">
        <v>4732</v>
      </c>
    </row>
  </sheetData>
  <autoFilter ref="A4:AO960" xr:uid="{00000000-0009-0000-0000-000002000000}">
    <filterColumn colId="14">
      <filters>
        <filter val="Yes"/>
      </filters>
    </filterColumn>
    <filterColumn colId="18">
      <filters>
        <filter val="INCLUDE"/>
      </filters>
    </filterColumn>
  </autoFilter>
  <phoneticPr fontId="31" type="noConversion"/>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11">
        <x14:dataValidation type="list" allowBlank="1" xr:uid="{00000000-0002-0000-0200-000000000000}">
          <x14:formula1>
            <xm:f>'1_CodeLists'!$A$2:$A$3</xm:f>
          </x14:formula1>
          <xm:sqref>G5:K960 N5:R960</xm:sqref>
        </x14:dataValidation>
        <x14:dataValidation type="list" allowBlank="1" xr:uid="{00000000-0002-0000-0200-000004000000}">
          <x14:formula1>
            <xm:f>'1_CodeLists'!$D$2:$D$6</xm:f>
          </x14:formula1>
          <xm:sqref>U5:U960</xm:sqref>
        </x14:dataValidation>
        <x14:dataValidation type="list" allowBlank="1" xr:uid="{00000000-0002-0000-0200-000005000000}">
          <x14:formula1>
            <xm:f>'1_CodeLists'!$C$2:$C$3</xm:f>
          </x14:formula1>
          <xm:sqref>V5:X960</xm:sqref>
        </x14:dataValidation>
        <x14:dataValidation type="list" allowBlank="1" xr:uid="{00000000-0002-0000-0200-000006000000}">
          <x14:formula1>
            <xm:f>'1_CodeLists'!$E$2:$E$5</xm:f>
          </x14:formula1>
          <xm:sqref>Z5:Z960</xm:sqref>
        </x14:dataValidation>
        <x14:dataValidation type="list" allowBlank="1" xr:uid="{00000000-0002-0000-0200-000007000000}">
          <x14:formula1>
            <xm:f>'1_CodeLists'!$F$2:$F$5</xm:f>
          </x14:formula1>
          <xm:sqref>AA5:AA960</xm:sqref>
        </x14:dataValidation>
        <x14:dataValidation type="list" allowBlank="1" xr:uid="{00000000-0002-0000-0200-000008000000}">
          <x14:formula1>
            <xm:f>'1_CodeLists'!$G$2:$G$13</xm:f>
          </x14:formula1>
          <xm:sqref>AB5:AB960</xm:sqref>
        </x14:dataValidation>
        <x14:dataValidation type="list" allowBlank="1" xr:uid="{00000000-0002-0000-0200-000009000000}">
          <x14:formula1>
            <xm:f>'1_CodeLists'!$H$2:$H$3</xm:f>
          </x14:formula1>
          <xm:sqref>AC5:AC960</xm:sqref>
        </x14:dataValidation>
        <x14:dataValidation type="list" allowBlank="1" xr:uid="{00000000-0002-0000-0200-00000A000000}">
          <x14:formula1>
            <xm:f>'1_CodeLists'!$I$2:$I$6</xm:f>
          </x14:formula1>
          <xm:sqref>AD5:AD960</xm:sqref>
        </x14:dataValidation>
        <x14:dataValidation type="list" allowBlank="1" xr:uid="{00000000-0002-0000-0200-00000B000000}">
          <x14:formula1>
            <xm:f>'1_CodeLists'!$J$2:$J$8</xm:f>
          </x14:formula1>
          <xm:sqref>AF5:AF960</xm:sqref>
        </x14:dataValidation>
        <x14:dataValidation type="list" allowBlank="1" xr:uid="{00000000-0002-0000-0200-00000C000000}">
          <x14:formula1>
            <xm:f>'1_CodeLists'!$K$2:$K$6</xm:f>
          </x14:formula1>
          <xm:sqref>AJ5:AJ960</xm:sqref>
        </x14:dataValidation>
        <x14:dataValidation type="list" allowBlank="1" xr:uid="{00000000-0002-0000-0200-00000D000000}">
          <x14:formula1>
            <xm:f>'1_CodeLists'!$L$2:$L$4</xm:f>
          </x14:formula1>
          <xm:sqref>AL5:AL960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8"/>
  <sheetViews>
    <sheetView showGridLines="0" zoomScale="130" zoomScaleNormal="130" workbookViewId="0">
      <selection activeCell="C25" sqref="C25"/>
    </sheetView>
  </sheetViews>
  <sheetFormatPr defaultColWidth="8.6640625" defaultRowHeight="14.4" x14ac:dyDescent="0.3"/>
  <cols>
    <col min="1" max="1" width="46" customWidth="1"/>
    <col min="2" max="2" width="14" customWidth="1"/>
  </cols>
  <sheetData>
    <row r="1" spans="1:2" ht="16.95" customHeight="1" x14ac:dyDescent="0.3">
      <c r="A1" s="10" t="s">
        <v>4733</v>
      </c>
    </row>
    <row r="3" spans="1:2" x14ac:dyDescent="0.3">
      <c r="A3" s="11" t="s">
        <v>4734</v>
      </c>
      <c r="B3" s="6" t="s">
        <v>4735</v>
      </c>
    </row>
    <row r="4" spans="1:2" x14ac:dyDescent="0.3">
      <c r="A4" s="12" t="s">
        <v>4736</v>
      </c>
      <c r="B4" s="13">
        <f>COUNTA(Matrix!$A$5:$A$960)</f>
        <v>956</v>
      </c>
    </row>
    <row r="5" spans="1:2" x14ac:dyDescent="0.3">
      <c r="A5" s="12" t="s">
        <v>4737</v>
      </c>
      <c r="B5" s="13">
        <f>COUNTIF(Matrix!$L$5:$L$960,"INCLUDE")+COUNTIF(Matrix!$L$5:$L$960,"EXCLUDE")</f>
        <v>956</v>
      </c>
    </row>
    <row r="6" spans="1:2" x14ac:dyDescent="0.3">
      <c r="A6" s="12" t="s">
        <v>4738</v>
      </c>
      <c r="B6" s="13">
        <f>COUNTIF(Matrix!$L$5:$L$960,"EXCLUDE")</f>
        <v>712</v>
      </c>
    </row>
    <row r="7" spans="1:2" x14ac:dyDescent="0.3">
      <c r="A7" s="14" t="s">
        <v>4739</v>
      </c>
      <c r="B7" s="15">
        <f>COUNTIF(Matrix!$L$5:$L$960,"INCLUDE")</f>
        <v>244</v>
      </c>
    </row>
    <row r="8" spans="1:2" x14ac:dyDescent="0.3">
      <c r="A8" s="12" t="s">
        <v>4740</v>
      </c>
      <c r="B8" s="13">
        <f>COUNTIFS(Matrix!$L$5:$L$960,"INCLUDE",Matrix!$N$5:$N$960,"Yes")</f>
        <v>214</v>
      </c>
    </row>
    <row r="9" spans="1:2" x14ac:dyDescent="0.3">
      <c r="A9" s="12" t="s">
        <v>4741</v>
      </c>
      <c r="B9" s="13">
        <f>COUNTIFS(Matrix!$L$5:$L$960,"INCLUDE",Matrix!$N$5:$N$960,"No")</f>
        <v>30</v>
      </c>
    </row>
    <row r="10" spans="1:2" x14ac:dyDescent="0.3">
      <c r="A10" s="14" t="s">
        <v>4742</v>
      </c>
      <c r="B10" s="15">
        <f>COUNTIFS(Matrix!$N$5:$N$960,"Yes",Matrix!$S$5:$S$960,"INCLUDE")+COUNTIFS(Matrix!$N$5:$N$960,"Yes",Matrix!$S$5:$S$960,"EXCLUDE")</f>
        <v>214</v>
      </c>
    </row>
    <row r="11" spans="1:2" x14ac:dyDescent="0.3">
      <c r="A11" s="12" t="s">
        <v>4743</v>
      </c>
      <c r="B11" s="13">
        <f>COUNTIF(Matrix!$S$5:$S$960,"EXCLUDE")</f>
        <v>14</v>
      </c>
    </row>
    <row r="12" spans="1:2" x14ac:dyDescent="0.3">
      <c r="A12" s="16" t="s">
        <v>4744</v>
      </c>
      <c r="B12" s="17">
        <f>COUNTIF(Matrix!$S$5:$S$960,"INCLUDE")</f>
        <v>200</v>
      </c>
    </row>
    <row r="14" spans="1:2" ht="15.6" customHeight="1" x14ac:dyDescent="0.3">
      <c r="A14" s="3" t="s">
        <v>4745</v>
      </c>
    </row>
    <row r="15" spans="1:2" x14ac:dyDescent="0.3">
      <c r="A15" s="11" t="s">
        <v>4746</v>
      </c>
      <c r="B15" s="6" t="s">
        <v>4735</v>
      </c>
    </row>
    <row r="16" spans="1:2" x14ac:dyDescent="0.3">
      <c r="A16" s="12" t="s">
        <v>4747</v>
      </c>
      <c r="B16" s="13">
        <f>COUNTIF(Matrix!$M$5:$M$960,"Wrong domain (non-AECO)")</f>
        <v>415</v>
      </c>
    </row>
    <row r="17" spans="1:2" x14ac:dyDescent="0.3">
      <c r="A17" s="12" t="s">
        <v>4748</v>
      </c>
      <c r="B17" s="13">
        <f>COUNTIF(Matrix!$M$5:$M$960,"Digital Twin not core / buzzword")</f>
        <v>229</v>
      </c>
    </row>
    <row r="18" spans="1:2" x14ac:dyDescent="0.3">
      <c r="A18" s="12" t="s">
        <v>4749</v>
      </c>
      <c r="B18" s="13">
        <f>COUNTIF(Matrix!$M$5:$M$960,"No Design for Safety/Quality/PtD")</f>
        <v>63</v>
      </c>
    </row>
    <row r="19" spans="1:2" x14ac:dyDescent="0.3">
      <c r="A19" s="12" t="s">
        <v>4750</v>
      </c>
      <c r="B19" s="13">
        <f>COUNTIF(Matrix!$M$5:$M$960,"Wrong publication type")</f>
        <v>1</v>
      </c>
    </row>
    <row r="20" spans="1:2" x14ac:dyDescent="0.3">
      <c r="A20" s="12" t="s">
        <v>4751</v>
      </c>
      <c r="B20" s="13">
        <f>COUNTIF(Matrix!$M$5:$M$960,"Non-English")</f>
        <v>4</v>
      </c>
    </row>
    <row r="21" spans="1:2" x14ac:dyDescent="0.3">
      <c r="A21" s="18" t="s">
        <v>4752</v>
      </c>
      <c r="B21" s="19">
        <f>SUM(B16:B20)</f>
        <v>712</v>
      </c>
    </row>
    <row r="23" spans="1:2" ht="15.6" customHeight="1" x14ac:dyDescent="0.3">
      <c r="A23" s="3" t="s">
        <v>4753</v>
      </c>
    </row>
    <row r="24" spans="1:2" x14ac:dyDescent="0.3">
      <c r="A24" s="11" t="s">
        <v>4746</v>
      </c>
      <c r="B24" s="6" t="s">
        <v>4735</v>
      </c>
    </row>
    <row r="25" spans="1:2" x14ac:dyDescent="0.3">
      <c r="A25" s="12" t="s">
        <v>4754</v>
      </c>
      <c r="B25" s="13">
        <f>COUNTIF(Matrix!$T$5:$T$960,"Digital Twin mentioned only, not the subject")</f>
        <v>14</v>
      </c>
    </row>
    <row r="26" spans="1:2" x14ac:dyDescent="0.3">
      <c r="A26" s="12" t="s">
        <v>4755</v>
      </c>
      <c r="B26" s="13">
        <f>COUNTIF(Matrix!$T$5:$T$960,"No Design for Safety/Quality in full text")</f>
        <v>0</v>
      </c>
    </row>
    <row r="27" spans="1:2" x14ac:dyDescent="0.3">
      <c r="A27" s="12" t="s">
        <v>4756</v>
      </c>
      <c r="B27" s="13">
        <f>COUNTIF(Matrix!$T$5:$T$960,"Methodology not codable")</f>
        <v>0</v>
      </c>
    </row>
    <row r="28" spans="1:2" x14ac:dyDescent="0.3">
      <c r="A28" s="18" t="s">
        <v>4757</v>
      </c>
      <c r="B28" s="19">
        <f>SUM(B25:B27)</f>
        <v>14</v>
      </c>
    </row>
  </sheetData>
  <phoneticPr fontId="31" type="noConversion"/>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95"/>
  <sheetViews>
    <sheetView showGridLines="0" topLeftCell="B1" zoomScaleNormal="100" workbookViewId="0">
      <selection activeCell="D16" sqref="D16"/>
    </sheetView>
  </sheetViews>
  <sheetFormatPr defaultRowHeight="14.4" x14ac:dyDescent="0.3"/>
  <cols>
    <col min="1" max="1" width="82.6640625" bestFit="1" customWidth="1"/>
    <col min="2" max="2" width="96.33203125" customWidth="1"/>
    <col min="16" max="16" width="27.6640625" customWidth="1"/>
  </cols>
  <sheetData>
    <row r="1" spans="5:17" x14ac:dyDescent="0.3">
      <c r="P1" s="30"/>
    </row>
    <row r="2" spans="5:17" x14ac:dyDescent="0.3">
      <c r="P2" s="30"/>
      <c r="Q2" s="30"/>
    </row>
    <row r="8" spans="5:17" x14ac:dyDescent="0.3">
      <c r="P8" s="30"/>
    </row>
    <row r="9" spans="5:17" x14ac:dyDescent="0.3">
      <c r="P9" s="30"/>
      <c r="Q9" s="30"/>
    </row>
    <row r="14" spans="5:17" x14ac:dyDescent="0.3">
      <c r="E14">
        <v>112</v>
      </c>
    </row>
    <row r="15" spans="5:17" x14ac:dyDescent="0.3">
      <c r="E15">
        <v>99</v>
      </c>
    </row>
    <row r="16" spans="5:17" x14ac:dyDescent="0.3">
      <c r="E16">
        <v>30</v>
      </c>
    </row>
    <row r="17" spans="5:5" x14ac:dyDescent="0.3">
      <c r="E17">
        <v>21</v>
      </c>
    </row>
    <row r="58" spans="1:2" x14ac:dyDescent="0.3">
      <c r="A58" s="32" t="s">
        <v>4758</v>
      </c>
      <c r="B58" s="33"/>
    </row>
    <row r="59" spans="1:2" x14ac:dyDescent="0.3">
      <c r="A59" s="34" t="s">
        <v>4759</v>
      </c>
      <c r="B59" s="34" t="s">
        <v>4760</v>
      </c>
    </row>
    <row r="60" spans="1:2" x14ac:dyDescent="0.3">
      <c r="A60" s="35" t="s">
        <v>4761</v>
      </c>
      <c r="B60" s="35" t="str">
        <f>"Records identified from databases"&amp;CHAR(10)&amp;"(Scopus · Web of Science)"&amp;CHAR(10)&amp;"n = "&amp;TEXT(Step1_Report!$B$4,"0")</f>
        <v>Records identified from databases
(Scopus · Web of Science)
n = 956</v>
      </c>
    </row>
    <row r="61" spans="1:2" x14ac:dyDescent="0.3">
      <c r="A61" s="35" t="s">
        <v>4762</v>
      </c>
      <c r="B61" s="35" t="str">
        <f>"Records screened at Stage 1"&amp;CHAR(10)&amp;"(title &amp; abstract)"&amp;CHAR(10)&amp;"n = "&amp;TEXT(Step1_Report!$B$5,"0")</f>
        <v>Records screened at Stage 1
(title &amp; abstract)
n = 956</v>
      </c>
    </row>
    <row r="62" spans="1:2" x14ac:dyDescent="0.3">
      <c r="A62" s="35" t="s">
        <v>4763</v>
      </c>
      <c r="B62" s="35" t="str">
        <f>"Records excluded at Stage 1   n = "&amp;TEXT(Step1_Report!$B$6,"0")&amp;CHAR(10)&amp;"• "&amp;Step1_Report!$A$17&amp;": "&amp;TEXT(Step1_Report!$B$17,"0")&amp;CHAR(10)&amp;"• "&amp;Step1_Report!$A$16&amp;": "&amp;TEXT(Step1_Report!$B$16,"0")&amp;CHAR(10)&amp;"• "&amp;Step1_Report!$A$20&amp;": "&amp;TEXT(Step1_Report!$B$20,"0")&amp;CHAR(10)&amp;"• "&amp;Step1_Report!$A$18&amp;": "&amp;TEXT(Step1_Report!$B$18,"0")&amp;CHAR(10)&amp;"• "&amp;Step1_Report!$A$19&amp;": "&amp;TEXT(Step1_Report!$B$19,"0")</f>
        <v>Records excluded at Stage 1   n = 712
• Digital Twin not core / buzzword: 229
• Wrong domain (non-AECO): 415
• Non-English: 4
• No Design for Safety/Quality/PtD: 63
• Wrong publication type: 1</v>
      </c>
    </row>
    <row r="63" spans="1:2" x14ac:dyDescent="0.3">
      <c r="A63" s="35" t="s">
        <v>4764</v>
      </c>
      <c r="B63" s="35" t="str">
        <f>"Reports sought for retrieval"&amp;CHAR(10)&amp;"n = "&amp;TEXT(Step1_Report!$B$7,"0")</f>
        <v>Reports sought for retrieval
n = 244</v>
      </c>
    </row>
    <row r="64" spans="1:2" x14ac:dyDescent="0.3">
      <c r="A64" s="35" t="s">
        <v>4765</v>
      </c>
      <c r="B64" s="35" t="str">
        <f>"Reports not retrieved"&amp;CHAR(10)&amp;"(full-text PDF not on hand)"&amp;CHAR(10)&amp;"n = "&amp;TEXT(Step1_Report!$B$7-Step1_Report!$B$10,"0")</f>
        <v>Reports not retrieved
(full-text PDF not on hand)
n = 30</v>
      </c>
    </row>
    <row r="65" spans="1:2" x14ac:dyDescent="0.3">
      <c r="A65" s="35" t="s">
        <v>4766</v>
      </c>
      <c r="B65" s="35" t="str">
        <f>"Reports assessed for eligibility"&amp;CHAR(10)&amp;"(Stage 2 — full text)"&amp;CHAR(10)&amp;"n = "&amp;TEXT(Step1_Report!$B$10,"0")</f>
        <v>Reports assessed for eligibility
(Stage 2 — full text)
n = 214</v>
      </c>
    </row>
    <row r="66" spans="1:2" x14ac:dyDescent="0.3">
      <c r="A66" s="35" t="s">
        <v>4767</v>
      </c>
      <c r="B66" s="35" t="str">
        <f>"Reports excluded at Stage 2   n = "&amp;TEXT(Step1_Report!$B$11,"0")&amp;CHAR(10)&amp;"• "&amp;Step1_Report!$A$25&amp;": "&amp;TEXT(Step1_Report!$B$25,"0")&amp;CHAR(10)&amp;"• "&amp;Step1_Report!$A$26&amp;": "&amp;TEXT(Step1_Report!$B$26,"0")&amp;CHAR(10)&amp;"• "&amp;Step1_Report!$A$27&amp;": "&amp;TEXT(Step1_Report!$B$27,"0")</f>
        <v>Reports excluded at Stage 2   n = 14
• Digital Twin mentioned only, not the subject: 14
• No Design for Safety/Quality in full text: 0
• Methodology not codable: 0</v>
      </c>
    </row>
    <row r="67" spans="1:2" x14ac:dyDescent="0.3">
      <c r="A67" s="35" t="s">
        <v>4768</v>
      </c>
      <c r="B67" s="35" t="str">
        <f>"STUDIES INCLUDED IN SYNTHESIS"&amp;CHAR(10)&amp;"n = "&amp;TEXT(Step1_Report!$B$12,"0")</f>
        <v>STUDIES INCLUDED IN SYNTHESIS
n = 200</v>
      </c>
    </row>
    <row r="68" spans="1:2" x14ac:dyDescent="0.3">
      <c r="A68" s="35" t="s">
        <v>4769</v>
      </c>
      <c r="B68" s="35" t="str">
        <f>"Characteristics of the "&amp;TEXT(Step3_Report!$B$2,"0")&amp;" included studies"</f>
        <v>Characteristics of the 200 included studies</v>
      </c>
    </row>
    <row r="69" spans="1:2" x14ac:dyDescent="0.3">
      <c r="A69" s="34" t="s">
        <v>4770</v>
      </c>
      <c r="B69" s="35" t="str">
        <f>"Digital Twin capability tier (Gap 1)"&amp;CHAR(10)&amp;"• Tier 1 – Digital Model: "&amp;TEXT(Step3_Report!$B$6,"0")&amp;"  ("&amp;TEXT(Step3_Report!$C$6,"0.0%")&amp;")"&amp;CHAR(10)&amp;"• Tier 2 – Digital Shadow: "&amp;TEXT(Step3_Report!$B$7,"0")&amp;"  ("&amp;TEXT(Step3_Report!$C$7,"0.0%")&amp;")"&amp;CHAR(10)&amp;"• Tier 3 – Digital Twin: "&amp;TEXT(Step3_Report!$B$8,"0")&amp;"  ("&amp;TEXT(Step3_Report!$C$8,"0.0%")&amp;")"&amp;CHAR(10)&amp;"• Tier 4 – Cognitive: "&amp;TEXT(Step3_Report!$B$9,"0")&amp;"  ("&amp;TEXT(Step3_Report!$C$9,"0.0%")&amp;")"&amp;CHAR(10)&amp;"• Unclear: "&amp;TEXT(Step3_Report!$B$10,"0")&amp;"  ("&amp;TEXT(Step3_Report!$C$10,"0.0%")&amp;")"</f>
        <v>Digital Twin capability tier (Gap 1)
• Tier 1 – Digital Model: 48  (24.0%)
• Tier 2 – Digital Shadow: 124  (62.0%)
• Tier 3 – Digital Twin: 23  (11.5%)
• Tier 4 – Cognitive: 0  (0.0%)
• Unclear: 5  (2.5%)</v>
      </c>
    </row>
    <row r="70" spans="1:2" x14ac:dyDescent="0.3">
      <c r="A70" s="34" t="s">
        <v>4771</v>
      </c>
      <c r="B70" s="35" t="str">
        <f>Step3_Report!$A$13&amp;CHAR(10)&amp;"• None: "&amp;TEXT(Step3_Report!$B$15,"0")&amp;"  ("&amp;TEXT(Step3_Report!$C$15,"0.0%")&amp;")"&amp;CHAR(10)&amp;"• Mentioned only: "&amp;TEXT(Step3_Report!$B$16,"0")&amp;"  ("&amp;TEXT(Step3_Report!$C$16,"0.0%")&amp;")"&amp;CHAR(10)&amp;"• Implemented: "&amp;TEXT(Step3_Report!$B$17,"0")&amp;"  ("&amp;TEXT(Step3_Report!$C$17,"0.0%")&amp;")"&amp;CHAR(10)&amp;"• Convergence-characterised: "&amp;TEXT(Step3_Report!$B$18,"0")&amp;"  ("&amp;TEXT(Step3_Report!$C$18,"0.0%")&amp;")"</f>
        <v>Self-improvement / convergence (Gap 4 - core gap)
• None: 175  (87.5%)
• Mentioned only: 5  (2.5%)
• Implemented: 20  (10.0%)
• Convergence-characterised: 0  (0.0%)</v>
      </c>
    </row>
    <row r="71" spans="1:2" x14ac:dyDescent="0.3">
      <c r="A71" s="34" t="s">
        <v>4772</v>
      </c>
      <c r="B71" s="35" t="str">
        <f>Step3_Report!$A$35&amp;CHAR(10)&amp;"• "&amp;Step3_Report!$A$37&amp;": "&amp;TEXT(Step3_Report!$B$37,"0")&amp;"  ("&amp;TEXT(Step3_Report!$C$37,"0.0%")&amp;")"&amp;CHAR(10)&amp;"• "&amp;Step3_Report!$A$38&amp;": "&amp;TEXT(Step3_Report!$B$38,"0")&amp;"  ("&amp;TEXT(Step3_Report!$C$38,"0.0%")&amp;")"&amp;CHAR(10)&amp;"• "&amp;Step3_Report!$A$39&amp;": "&amp;TEXT(Step3_Report!$B$39,"0")&amp;"  ("&amp;TEXT(Step3_Report!$C$39,"0.0%")&amp;")"&amp;CHAR(10)&amp;"• "&amp;Step3_Report!$A$40&amp;": "&amp;TEXT(Step3_Report!$B$40,"0")&amp;"  ("&amp;TEXT(Step3_Report!$C$40,"0.0%")&amp;")"&amp;CHAR(10)&amp;"• "&amp;Step3_Report!$A$41&amp;": "&amp;TEXT(Step3_Report!$B$41,"0")&amp;"  ("&amp;TEXT(Step3_Report!$C$41,"0.0%")&amp;")"</f>
        <v>Validation level (Gap 5)
• Conceptual (no test): 17  (8.5%)
• Simulation: 39  (19.5%)
• Lab / scale-model experiment: 0  (0.0%)
• Single case study: 135  (67.5%)
• Cross-project (multiple real projects): 9  (4.5%)</v>
      </c>
    </row>
    <row r="72" spans="1:2" x14ac:dyDescent="0.3">
      <c r="A72" s="34" t="s">
        <v>4773</v>
      </c>
      <c r="B72" s="35" t="str">
        <f>"Lifecycle phase coverage (Gap 3)"&amp;CHAR(10)&amp;"• Design (any): "&amp;TEXT(Step3_Report!$B$62,"0")&amp;CHAR(10)&amp;"• Construction (any): "&amp;TEXT(Step3_Report!$B$63,"0")&amp;CHAR(10)&amp;"• Operation (any): "&amp;TEXT(Step3_Report!$B$64,"0")&amp;CHAR(10)&amp;"• Single-phase: "&amp;TEXT(Step3_Report!$B$65,"0")&amp;CHAR(10)&amp;"• Multi-phase (cross-phase): "&amp;TEXT(Step3_Report!$B$66,"0")</f>
        <v>Lifecycle phase coverage (Gap 3)
• Design (any): 9
• Construction (any): 90
• Operation (any): 108
• Single-phase: 194
• Multi-phase (cross-phase): 6</v>
      </c>
    </row>
    <row r="73" spans="1:2" x14ac:dyDescent="0.3">
      <c r="A73" s="35" t="s">
        <v>114</v>
      </c>
      <c r="B73" s="35" t="str">
        <f>"PRISMA 2020 flow diagram — Digital Twins for Design for Safety &amp; Quality in AECO"</f>
        <v>PRISMA 2020 flow diagram — Digital Twins for Design for Safety &amp; Quality in AECO</v>
      </c>
    </row>
    <row r="74" spans="1:2" x14ac:dyDescent="0.3">
      <c r="A74" t="s">
        <v>4774</v>
      </c>
      <c r="B74" t="s">
        <v>4775</v>
      </c>
    </row>
    <row r="75" spans="1:2" x14ac:dyDescent="0.3">
      <c r="A75" s="34" t="s">
        <v>4776</v>
      </c>
      <c r="B75" s="31" t="str">
        <f>Step3_Report!$A$29&amp;CHAR(10)&amp;"• Single (one data type): "&amp;TEXT(Step3_Report!$B$31,"0")&amp;"  ("&amp;TEXT(Step3_Report!$C$31,"0.0%")&amp;")"&amp;CHAR(10)&amp;"• Multi (two or more data types): "&amp;TEXT(Step3_Report!$B$32,"0")&amp;"  ("&amp;TEXT(Step3_Report!$C$32,"0.0%")&amp;")"</f>
        <v>Data modality (Gap 2)
• Single (one data type): 17  (8.5%)
• Multi (two or more data types): 183  (91.5%)</v>
      </c>
    </row>
    <row r="76" spans="1:2" x14ac:dyDescent="0.3">
      <c r="A76" s="34" t="s">
        <v>4777</v>
      </c>
      <c r="B76" s="31" t="str">
        <f>Step3_Report!$A$88&amp;CHAR(10)&amp;"• Single: "&amp;TEXT(Step3_Report!$B$90,"0")&amp;"  ("&amp;TEXT(Step3_Report!$C$90,"0.0%")&amp;")"&amp;CHAR(10)&amp;"• Co-present: "&amp;TEXT(Step3_Report!$B$91,"0")&amp;"  ("&amp;TEXT(Step3_Report!$C$91,"0.0%")&amp;")"&amp;CHAR(10)&amp;"• Aligned: "&amp;TEXT(Step3_Report!$B$92,"0")&amp;"  ("&amp;TEXT(Step3_Report!$C$92,"0.0%")&amp;")"&amp;CHAR(10)&amp;"• Fused: "&amp;TEXT(Step3_Report!$B$93,"0")&amp;"  ("&amp;TEXT(Step3_Report!$C$93,"0.0%")&amp;")"&amp;CHAR(10)&amp;"• Unclear: "&amp;TEXT(Step3_Report!$B$94,"0")&amp;"  ("&amp;TEXT(Step3_Report!$C$94,"0.0%")&amp;")"</f>
        <v>Fusion depth (Gap 2b - how deeply are the data types actually integrated?)
• Single: 18  (9.0%)
• Co-present: 2  (1.0%)
• Aligned: 32  (16.0%)
• Fused: 133  (66.5%)
• Unclear: 15  (7.5%)</v>
      </c>
    </row>
    <row r="77" spans="1:2" x14ac:dyDescent="0.3">
      <c r="A77" s="34" t="s">
        <v>4778</v>
      </c>
      <c r="B77" s="31" t="str">
        <f>Step3_Report!$A$113</f>
        <v>Even among the 133 Fused studies, 114 (85.7%) implement no self-improvement and 0 characterise convergence - deep data integration does NOT translate into adaptive capability.</v>
      </c>
    </row>
    <row r="79" spans="1:2" x14ac:dyDescent="0.3">
      <c r="A79" s="34" t="s">
        <v>4779</v>
      </c>
    </row>
    <row r="80" spans="1:2" x14ac:dyDescent="0.3">
      <c r="A80" s="30" t="s">
        <v>4780</v>
      </c>
      <c r="B80" s="30" t="s">
        <v>4781</v>
      </c>
    </row>
    <row r="81" spans="1:2" x14ac:dyDescent="0.3">
      <c r="A81" t="s">
        <v>4782</v>
      </c>
      <c r="B81" t="str">
        <f>"1st screening by title &amp; abstract"&amp;CHAR(10)&amp;"n = "&amp;TEXT(Step1_Report!$B$5,"0")</f>
        <v>1st screening by title &amp; abstract
n = 956</v>
      </c>
    </row>
    <row r="82" spans="1:2" x14ac:dyDescent="0.3">
      <c r="A82" t="s">
        <v>4783</v>
      </c>
      <c r="B82" t="str">
        <f>"Reports sought for retrieval"&amp;CHAR(10)&amp;"n = "&amp;TEXT(Step1_Report!$B$7,"0")</f>
        <v>Reports sought for retrieval
n = 244</v>
      </c>
    </row>
    <row r="83" spans="1:2" x14ac:dyDescent="0.3">
      <c r="A83" t="s">
        <v>4784</v>
      </c>
      <c r="B83" t="str">
        <f>"Reports assessed for eligibility"&amp;CHAR(10)&amp;"n = "&amp;TEXT(Step1_Report!$B$10,"0")</f>
        <v>Reports assessed for eligibility
n = 214</v>
      </c>
    </row>
    <row r="84" spans="1:2" x14ac:dyDescent="0.3">
      <c r="A84" t="s">
        <v>4785</v>
      </c>
      <c r="B84" t="str">
        <f>"Studies Included In Synthesis (n = "&amp;TEXT(Step1_Report!$B$12,"0")&amp;")"</f>
        <v>Studies Included In Synthesis (n = 200)</v>
      </c>
    </row>
    <row r="85" spans="1:2" x14ac:dyDescent="0.3">
      <c r="A85" t="s">
        <v>4786</v>
      </c>
      <c r="B85" t="str">
        <f>"Records excluded in 1st screening (n = "&amp;TEXT(Step1_Report!$B$6,"0")&amp;")"&amp;CHAR(10)&amp;"1. Digital Twin not core / buzzword: a = "&amp;TEXT(Step1_Report!$B$17,"0")&amp;CHAR(10)&amp;"2. Wrong domain (non-AECO): b = "&amp;TEXT(Step1_Report!$B$16,"0")&amp;CHAR(10)&amp;"3. Non-English: c = "&amp;TEXT(Step1_Report!$B$20,"0")&amp;CHAR(10)&amp;"4. No DfS/DfQ: d = "&amp;TEXT(Step1_Report!$B$18,"0")</f>
        <v>Records excluded in 1st screening (n = 712)
1. Digital Twin not core / buzzword: a = 229
2. Wrong domain (non-AECO): b = 415
3. Non-English: c = 4
4. No DfS/DfQ: d = 63</v>
      </c>
    </row>
    <row r="86" spans="1:2" x14ac:dyDescent="0.3">
      <c r="A86" t="s">
        <v>4787</v>
      </c>
      <c r="B86" t="str">
        <f>"2nd screening (n = "&amp;TEXT(Step1_Report!$B$7-Step1_Report!$B$10,"0")&amp;")"&amp;CHAR(10)&amp;"1. full-text PDF not retrieved: a = "&amp;TEXT(Step1_Report!$B$9-2,"0")&amp;CHAR(10)&amp;"2. 2nd deduplication: b = 2"</f>
        <v>2nd screening (n = 30)
1. full-text PDF not retrieved: a = 28
2. 2nd deduplication: b = 2</v>
      </c>
    </row>
    <row r="87" spans="1:2" x14ac:dyDescent="0.3">
      <c r="A87" t="s">
        <v>4788</v>
      </c>
      <c r="B87" t="str">
        <f>"Reports excluded at 2nd screening (n = "&amp;TEXT(Step1_Report!$B$11,"0")&amp;")"&amp;CHAR(10)&amp;"1. Digital Twin not core / buzzword: a = "&amp;TEXT(Step1_Report!$B$25,"0")&amp;CHAR(10)&amp;"2. No DfS/DfQ: b = "&amp;TEXT(Step1_Report!$B$26,"0")</f>
        <v>Reports excluded at 2nd screening (n = 14)
1. Digital Twin not core / buzzword: a = 14
2. No DfS/DfQ: b = 0</v>
      </c>
    </row>
    <row r="88" spans="1:2" x14ac:dyDescent="0.3">
      <c r="A88" t="s">
        <v>4789</v>
      </c>
      <c r="B88" t="str">
        <f>$B$69</f>
        <v>Digital Twin capability tier (Gap 1)
• Tier 1 – Digital Model: 48  (24.0%)
• Tier 2 – Digital Shadow: 124  (62.0%)
• Tier 3 – Digital Twin: 23  (11.5%)
• Tier 4 – Cognitive: 0  (0.0%)
• Unclear: 5  (2.5%)</v>
      </c>
    </row>
    <row r="89" spans="1:2" x14ac:dyDescent="0.3">
      <c r="A89" t="s">
        <v>4790</v>
      </c>
      <c r="B89" t="str">
        <f>$B$70</f>
        <v>Self-improvement / convergence (Gap 4 - core gap)
• None: 175  (87.5%)
• Mentioned only: 5  (2.5%)
• Implemented: 20  (10.0%)
• Convergence-characterised: 0  (0.0%)</v>
      </c>
    </row>
    <row r="90" spans="1:2" x14ac:dyDescent="0.3">
      <c r="A90" t="s">
        <v>4791</v>
      </c>
      <c r="B90" t="str">
        <f>$B$71</f>
        <v>Validation level (Gap 5)
• Conceptual (no test): 17  (8.5%)
• Simulation: 39  (19.5%)
• Lab / scale-model experiment: 0  (0.0%)
• Single case study: 135  (67.5%)
• Cross-project (multiple real projects): 9  (4.5%)</v>
      </c>
    </row>
    <row r="91" spans="1:2" x14ac:dyDescent="0.3">
      <c r="A91" t="s">
        <v>4792</v>
      </c>
      <c r="B91" t="str">
        <f>$B$72</f>
        <v>Lifecycle phase coverage (Gap 3)
• Design (any): 9
• Construction (any): 90
• Operation (any): 108
• Single-phase: 194
• Multi-phase (cross-phase): 6</v>
      </c>
    </row>
    <row r="92" spans="1:2" x14ac:dyDescent="0.3">
      <c r="A92" t="s">
        <v>4793</v>
      </c>
      <c r="B92" t="str">
        <f>$B$75</f>
        <v>Data modality (Gap 2)
• Single (one data type): 17  (8.5%)
• Multi (two or more data types): 183  (91.5%)</v>
      </c>
    </row>
    <row r="93" spans="1:2" x14ac:dyDescent="0.3">
      <c r="A93" t="s">
        <v>4794</v>
      </c>
      <c r="B93" t="str">
        <f>$B$76</f>
        <v>Fusion depth (Gap 2b - how deeply are the data types actually integrated?)
• Single: 18  (9.0%)
• Co-present: 2  (1.0%)
• Aligned: 32  (16.0%)
• Fused: 133  (66.5%)
• Unclear: 15  (7.5%)</v>
      </c>
    </row>
    <row r="94" spans="1:2" x14ac:dyDescent="0.3">
      <c r="A94" t="s">
        <v>4795</v>
      </c>
      <c r="B94" t="str">
        <f>$B$77</f>
        <v>Even among the 133 Fused studies, 114 (85.7%) implement no self-improvement and 0 characterise convergence - deep data integration does NOT translate into adaptive capability.</v>
      </c>
    </row>
    <row r="95" spans="1:2" x14ac:dyDescent="0.3">
      <c r="A95" t="s">
        <v>4796</v>
      </c>
      <c r="B95" t="str">
        <f>$B$73</f>
        <v>PRISMA 2020 flow diagram — Digital Twins for Design for Safety &amp; Quality in AECO</v>
      </c>
    </row>
  </sheetData>
  <phoneticPr fontId="31"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13"/>
  <sheetViews>
    <sheetView showGridLines="0" tabSelected="1" zoomScale="115" zoomScaleNormal="115" workbookViewId="0">
      <selection activeCell="C27" sqref="C27"/>
    </sheetView>
  </sheetViews>
  <sheetFormatPr defaultColWidth="8.6640625" defaultRowHeight="14.4" x14ac:dyDescent="0.3"/>
  <cols>
    <col min="1" max="1" width="42" style="30" customWidth="1"/>
    <col min="2" max="2" width="10" style="30" customWidth="1"/>
    <col min="3" max="3" width="12" style="30" customWidth="1"/>
    <col min="4" max="4" width="22.44140625" style="30" customWidth="1"/>
    <col min="5" max="5" width="14.33203125" style="30" customWidth="1"/>
    <col min="6" max="6" width="8.6640625" style="30" customWidth="1"/>
    <col min="7" max="16384" width="8.6640625" style="30"/>
  </cols>
  <sheetData>
    <row r="1" spans="1:3" ht="16.95" customHeight="1" x14ac:dyDescent="0.3">
      <c r="A1" s="57" t="s">
        <v>4797</v>
      </c>
    </row>
    <row r="2" spans="1:3" x14ac:dyDescent="0.3">
      <c r="A2" s="58" t="s">
        <v>4798</v>
      </c>
      <c r="B2" s="59">
        <f>COUNTIF(Matrix!$S$5:$S$960,"INCLUDE")</f>
        <v>200</v>
      </c>
    </row>
    <row r="4" spans="1:3" ht="15.6" customHeight="1" x14ac:dyDescent="0.3">
      <c r="A4" s="63" t="s">
        <v>4799</v>
      </c>
    </row>
    <row r="5" spans="1:3" x14ac:dyDescent="0.3">
      <c r="A5" s="64" t="s">
        <v>4800</v>
      </c>
      <c r="B5" s="64" t="s">
        <v>4735</v>
      </c>
      <c r="C5" s="64" t="s">
        <v>4801</v>
      </c>
    </row>
    <row r="6" spans="1:3" x14ac:dyDescent="0.3">
      <c r="A6" s="65" t="s">
        <v>56</v>
      </c>
      <c r="B6" s="66">
        <f>COUNTIFS(Matrix!$S$5:$S$960,"INCLUDE",Matrix!$U$5:$U$960,"Tier 1 - Digital Model (static, no live data)")</f>
        <v>48</v>
      </c>
      <c r="C6" s="67">
        <f>IF($B$2=0,"-",B6/$B$2)</f>
        <v>0.24</v>
      </c>
    </row>
    <row r="7" spans="1:3" x14ac:dyDescent="0.3">
      <c r="A7" s="65" t="s">
        <v>67</v>
      </c>
      <c r="B7" s="66">
        <f>COUNTIFS(Matrix!$S$5:$S$960,"INCLUDE",Matrix!$U$5:$U$960,"Tier 2 - Digital Shadow (one-way physical to virtual)")</f>
        <v>124</v>
      </c>
      <c r="C7" s="67">
        <f>IF($B$2=0,"-",B7/$B$2)</f>
        <v>0.62</v>
      </c>
    </row>
    <row r="8" spans="1:3" x14ac:dyDescent="0.3">
      <c r="A8" s="65" t="s">
        <v>76</v>
      </c>
      <c r="B8" s="66">
        <f>COUNTIFS(Matrix!$S$5:$S$960,"INCLUDE",Matrix!$U$5:$U$960,"Tier 3 - Digital Twin (bidirectional, two-way)")</f>
        <v>23</v>
      </c>
      <c r="C8" s="67">
        <f>IF($B$2=0,"-",B8/$B$2)</f>
        <v>0.115</v>
      </c>
    </row>
    <row r="9" spans="1:3" x14ac:dyDescent="0.3">
      <c r="A9" s="65" t="s">
        <v>85</v>
      </c>
      <c r="B9" s="66">
        <f>COUNTIFS(Matrix!$S$5:$S$960,"INCLUDE",Matrix!$U$5:$U$960,"Tier 4 - Cognitive / Self-improving")</f>
        <v>0</v>
      </c>
      <c r="C9" s="67">
        <f>IF($B$2=0,"-",B9/$B$2)</f>
        <v>0</v>
      </c>
    </row>
    <row r="10" spans="1:3" x14ac:dyDescent="0.3">
      <c r="A10" s="65" t="s">
        <v>93</v>
      </c>
      <c r="B10" s="66">
        <f>COUNTIFS(Matrix!$S$5:$S$960,"INCLUDE",Matrix!$U$5:$U$960,"Unclear")</f>
        <v>5</v>
      </c>
      <c r="C10" s="67">
        <f>IF($B$2=0,"-",B10/$B$2)</f>
        <v>2.5000000000000001E-2</v>
      </c>
    </row>
    <row r="11" spans="1:3" x14ac:dyDescent="0.3">
      <c r="A11" s="69"/>
      <c r="B11" s="70">
        <f>SUM(B6:B10)</f>
        <v>200</v>
      </c>
      <c r="C11" s="68"/>
    </row>
    <row r="13" spans="1:3" ht="15.6" customHeight="1" x14ac:dyDescent="0.3">
      <c r="A13" s="63" t="s">
        <v>4802</v>
      </c>
    </row>
    <row r="14" spans="1:3" x14ac:dyDescent="0.3">
      <c r="A14" s="64" t="s">
        <v>4803</v>
      </c>
      <c r="B14" s="64" t="s">
        <v>4735</v>
      </c>
      <c r="C14" s="64" t="s">
        <v>4801</v>
      </c>
    </row>
    <row r="15" spans="1:3" x14ac:dyDescent="0.3">
      <c r="A15" s="65" t="s">
        <v>57</v>
      </c>
      <c r="B15" s="66">
        <f>COUNTIFS(Matrix!$S$5:$S$960,"INCLUDE",Matrix!$AA$5:$AA$960,"None")</f>
        <v>175</v>
      </c>
      <c r="C15" s="67">
        <f>IF($B$2=0,"-",B15/$B$2)</f>
        <v>0.875</v>
      </c>
    </row>
    <row r="16" spans="1:3" x14ac:dyDescent="0.3">
      <c r="A16" s="65" t="s">
        <v>68</v>
      </c>
      <c r="B16" s="66">
        <f>COUNTIFS(Matrix!$S$5:$S$960,"INCLUDE",Matrix!$AA$5:$AA$960,"Mentioned only")</f>
        <v>5</v>
      </c>
      <c r="C16" s="67">
        <f>IF($B$2=0,"-",B16/$B$2)</f>
        <v>2.5000000000000001E-2</v>
      </c>
    </row>
    <row r="17" spans="1:3" x14ac:dyDescent="0.3">
      <c r="A17" s="65" t="s">
        <v>78</v>
      </c>
      <c r="B17" s="66">
        <f>COUNTIFS(Matrix!$S$5:$S$960,"INCLUDE",Matrix!$AA$5:$AA$960,"Implemented")</f>
        <v>20</v>
      </c>
      <c r="C17" s="67">
        <f>IF($B$2=0,"-",B17/$B$2)</f>
        <v>0.1</v>
      </c>
    </row>
    <row r="18" spans="1:3" x14ac:dyDescent="0.3">
      <c r="A18" s="65" t="s">
        <v>87</v>
      </c>
      <c r="B18" s="66">
        <f>COUNTIFS(Matrix!$S$5:$S$960,"INCLUDE",Matrix!$AA$5:$AA$960,"Convergence-characterised")</f>
        <v>0</v>
      </c>
      <c r="C18" s="67">
        <f>IF($B$2=0,"-",B18/$B$2)</f>
        <v>0</v>
      </c>
    </row>
    <row r="19" spans="1:3" x14ac:dyDescent="0.3">
      <c r="A19" s="69"/>
      <c r="B19" s="70">
        <f>SUM(B15:B18)</f>
        <v>200</v>
      </c>
      <c r="C19" s="73" t="str">
        <f>IF(B19=$B$2,"OK","MISMATCH")</f>
        <v>OK</v>
      </c>
    </row>
    <row r="21" spans="1:3" ht="15.6" customHeight="1" x14ac:dyDescent="0.3">
      <c r="A21" s="63" t="s">
        <v>4804</v>
      </c>
    </row>
    <row r="22" spans="1:3" x14ac:dyDescent="0.3">
      <c r="A22" s="64" t="s">
        <v>4803</v>
      </c>
      <c r="B22" s="64" t="s">
        <v>4735</v>
      </c>
      <c r="C22" s="64" t="s">
        <v>4801</v>
      </c>
    </row>
    <row r="23" spans="1:3" x14ac:dyDescent="0.3">
      <c r="A23" s="65" t="s">
        <v>9</v>
      </c>
      <c r="B23" s="66">
        <f>COUNTIFS(Matrix!$S$5:$S$960,"INCLUDE",Matrix!$Z$5:$Z$960,"Design for Safety (DfS)")</f>
        <v>185</v>
      </c>
      <c r="C23" s="67">
        <f>IF($B$2=0,"-",B23/$B$2)</f>
        <v>0.92500000000000004</v>
      </c>
    </row>
    <row r="24" spans="1:3" x14ac:dyDescent="0.3">
      <c r="A24" s="65" t="s">
        <v>11</v>
      </c>
      <c r="B24" s="66">
        <f>COUNTIFS(Matrix!$S$5:$S$960,"INCLUDE",Matrix!$Z$5:$Z$960,"Design for Quality (DfQ)")</f>
        <v>3</v>
      </c>
      <c r="C24" s="67">
        <f>IF($B$2=0,"-",B24/$B$2)</f>
        <v>1.4999999999999999E-2</v>
      </c>
    </row>
    <row r="25" spans="1:3" x14ac:dyDescent="0.3">
      <c r="A25" s="65" t="s">
        <v>77</v>
      </c>
      <c r="B25" s="66">
        <f>COUNTIFS(Matrix!$S$5:$S$960,"INCLUDE",Matrix!$Z$5:$Z$960,"Both")</f>
        <v>12</v>
      </c>
      <c r="C25" s="67">
        <f>IF($B$2=0,"-",B25/$B$2)</f>
        <v>0.06</v>
      </c>
    </row>
    <row r="26" spans="1:3" x14ac:dyDescent="0.3">
      <c r="A26" s="65" t="s">
        <v>86</v>
      </c>
      <c r="B26" s="66">
        <f>COUNTIFS(Matrix!$S$5:$S$960,"INCLUDE",Matrix!$Z$5:$Z$960,"Other")</f>
        <v>0</v>
      </c>
      <c r="C26" s="67">
        <f>IF($B$2=0,"-",B26/$B$2)</f>
        <v>0</v>
      </c>
    </row>
    <row r="27" spans="1:3" x14ac:dyDescent="0.3">
      <c r="A27" s="69"/>
      <c r="B27" s="70">
        <f>SUM(B23:B26)</f>
        <v>200</v>
      </c>
      <c r="C27" s="73" t="str">
        <f>IF(B27=$B$2,"OK","MISMATCH")</f>
        <v>OK</v>
      </c>
    </row>
    <row r="29" spans="1:3" ht="15.6" customHeight="1" x14ac:dyDescent="0.3">
      <c r="A29" s="63" t="s">
        <v>4805</v>
      </c>
    </row>
    <row r="30" spans="1:3" x14ac:dyDescent="0.3">
      <c r="A30" s="64" t="s">
        <v>4803</v>
      </c>
      <c r="B30" s="64" t="s">
        <v>4735</v>
      </c>
      <c r="C30" s="64" t="s">
        <v>4801</v>
      </c>
    </row>
    <row r="31" spans="1:3" x14ac:dyDescent="0.3">
      <c r="A31" s="65" t="s">
        <v>59</v>
      </c>
      <c r="B31" s="66">
        <f>COUNTIFS(Matrix!$S$5:$S$960,"INCLUDE",Matrix!$AC$5:$AC$960,"Single (one data type)")</f>
        <v>17</v>
      </c>
      <c r="C31" s="67">
        <f>IF($B$2=0,"-",B31/$B$2)</f>
        <v>8.5000000000000006E-2</v>
      </c>
    </row>
    <row r="32" spans="1:3" x14ac:dyDescent="0.3">
      <c r="A32" s="65" t="s">
        <v>70</v>
      </c>
      <c r="B32" s="66">
        <f>COUNTIFS(Matrix!$S$5:$S$960,"INCLUDE",Matrix!$AC$5:$AC$960,"Multi (two or more data types)")</f>
        <v>183</v>
      </c>
      <c r="C32" s="67">
        <f>IF($B$2=0,"-",B32/$B$2)</f>
        <v>0.91500000000000004</v>
      </c>
    </row>
    <row r="33" spans="1:3" x14ac:dyDescent="0.3">
      <c r="B33" s="71">
        <f>SUM(B31:B32)</f>
        <v>200</v>
      </c>
      <c r="C33" s="73" t="str">
        <f>IF(B33=$B$2,"OK","MISMATCH")</f>
        <v>OK</v>
      </c>
    </row>
    <row r="35" spans="1:3" ht="15.6" customHeight="1" x14ac:dyDescent="0.3">
      <c r="A35" s="63" t="s">
        <v>4806</v>
      </c>
    </row>
    <row r="36" spans="1:3" x14ac:dyDescent="0.3">
      <c r="A36" s="64" t="s">
        <v>4803</v>
      </c>
      <c r="B36" s="64" t="s">
        <v>4735</v>
      </c>
      <c r="C36" s="64" t="s">
        <v>4801</v>
      </c>
    </row>
    <row r="37" spans="1:3" x14ac:dyDescent="0.3">
      <c r="A37" s="65" t="str">
        <f>'1_CodeLists'!$I$2</f>
        <v>Conceptual (no test)</v>
      </c>
      <c r="B37" s="66">
        <f>COUNTIFS(Matrix!$S$5:$S$960,"INCLUDE",Matrix!$AD$5:$AD$960,$A37)</f>
        <v>17</v>
      </c>
      <c r="C37" s="67">
        <f>IF($B$2=0,"-",B37/$B$2)</f>
        <v>8.5000000000000006E-2</v>
      </c>
    </row>
    <row r="38" spans="1:3" x14ac:dyDescent="0.3">
      <c r="A38" s="65" t="str">
        <f>'1_CodeLists'!$I$3</f>
        <v>Simulation</v>
      </c>
      <c r="B38" s="66">
        <f>COUNTIFS(Matrix!$S$5:$S$960,"INCLUDE",Matrix!$AD$5:$AD$960,$A38)</f>
        <v>39</v>
      </c>
      <c r="C38" s="67">
        <f>IF($B$2=0,"-",B38/$B$2)</f>
        <v>0.19500000000000001</v>
      </c>
    </row>
    <row r="39" spans="1:3" x14ac:dyDescent="0.3">
      <c r="A39" s="65" t="str">
        <f>'1_CodeLists'!$I$4</f>
        <v>Lab / scale-model experiment</v>
      </c>
      <c r="B39" s="66">
        <f>COUNTIFS(Matrix!$S$5:$S$960,"INCLUDE",Matrix!$AD$5:$AD$960,$A39)</f>
        <v>0</v>
      </c>
      <c r="C39" s="67">
        <f>IF($B$2=0,"-",B39/$B$2)</f>
        <v>0</v>
      </c>
    </row>
    <row r="40" spans="1:3" x14ac:dyDescent="0.3">
      <c r="A40" s="65" t="str">
        <f>'1_CodeLists'!$I$5</f>
        <v>Single case study</v>
      </c>
      <c r="B40" s="66">
        <f>COUNTIFS(Matrix!$S$5:$S$960,"INCLUDE",Matrix!$AD$5:$AD$960,$A40)</f>
        <v>135</v>
      </c>
      <c r="C40" s="67">
        <f>IF($B$2=0,"-",B40/$B$2)</f>
        <v>0.67500000000000004</v>
      </c>
    </row>
    <row r="41" spans="1:3" x14ac:dyDescent="0.3">
      <c r="A41" s="65" t="str">
        <f>'1_CodeLists'!$I$6</f>
        <v>Cross-project (multiple real projects)</v>
      </c>
      <c r="B41" s="66">
        <f>COUNTIFS(Matrix!$S$5:$S$960,"INCLUDE",Matrix!$AD$5:$AD$960,$A41)</f>
        <v>9</v>
      </c>
      <c r="C41" s="67">
        <f>IF($B$2=0,"-",B41/$B$2)</f>
        <v>4.4999999999999998E-2</v>
      </c>
    </row>
    <row r="42" spans="1:3" x14ac:dyDescent="0.3">
      <c r="A42" t="s">
        <v>4807</v>
      </c>
      <c r="B42" s="72">
        <f>SUM(B37:B41)</f>
        <v>200</v>
      </c>
      <c r="C42" s="73" t="str">
        <f>IF(B42=$B$2,"OK","MISMATCH")</f>
        <v>OK</v>
      </c>
    </row>
    <row r="43" spans="1:3" x14ac:dyDescent="0.3">
      <c r="C43" s="68"/>
    </row>
    <row r="44" spans="1:3" ht="15.6" customHeight="1" x14ac:dyDescent="0.3">
      <c r="A44" s="63" t="s">
        <v>4808</v>
      </c>
    </row>
    <row r="45" spans="1:3" x14ac:dyDescent="0.3">
      <c r="A45" s="64" t="s">
        <v>4803</v>
      </c>
      <c r="B45" s="64" t="s">
        <v>4735</v>
      </c>
      <c r="C45" s="64" t="s">
        <v>4801</v>
      </c>
    </row>
    <row r="46" spans="1:3" x14ac:dyDescent="0.3">
      <c r="A46" s="65" t="s">
        <v>58</v>
      </c>
      <c r="B46" s="66">
        <f>COUNTIFS(Matrix!$S$5:$S$960,"INCLUDE",Matrix!$AB$5:$AB$960,"Computer Vision / CNN / object-detection")</f>
        <v>25</v>
      </c>
      <c r="C46" s="67">
        <f t="shared" ref="C46:C57" si="0">IF($B$2=0,"-",B46/$B$2)</f>
        <v>0.125</v>
      </c>
    </row>
    <row r="47" spans="1:3" x14ac:dyDescent="0.3">
      <c r="A47" s="65" t="s">
        <v>69</v>
      </c>
      <c r="B47" s="66">
        <f>COUNTIFS(Matrix!$S$5:$S$960,"INCLUDE",Matrix!$AB$5:$AB$960,"Graph Neural Network (GNN)")</f>
        <v>2</v>
      </c>
      <c r="C47" s="67">
        <f t="shared" si="0"/>
        <v>0.01</v>
      </c>
    </row>
    <row r="48" spans="1:3" x14ac:dyDescent="0.3">
      <c r="A48" s="65" t="s">
        <v>79</v>
      </c>
      <c r="B48" s="66">
        <f>COUNTIFS(Matrix!$S$5:$S$960,"INCLUDE",Matrix!$AB$5:$AB$960,"LSTM / RNN (recurrent networks)")</f>
        <v>5</v>
      </c>
      <c r="C48" s="67">
        <f t="shared" si="0"/>
        <v>2.5000000000000001E-2</v>
      </c>
    </row>
    <row r="49" spans="1:3" x14ac:dyDescent="0.3">
      <c r="A49" s="65" t="s">
        <v>88</v>
      </c>
      <c r="B49" s="66">
        <f>COUNTIFS(Matrix!$S$5:$S$960,"INCLUDE",Matrix!$AB$5:$AB$960,"Transformer / Large Language Model (LLM)")</f>
        <v>11</v>
      </c>
      <c r="C49" s="67">
        <f t="shared" si="0"/>
        <v>5.5E-2</v>
      </c>
    </row>
    <row r="50" spans="1:3" x14ac:dyDescent="0.3">
      <c r="A50" s="65" t="s">
        <v>94</v>
      </c>
      <c r="B50" s="66">
        <f>COUNTIFS(Matrix!$S$5:$S$960,"INCLUDE",Matrix!$AB$5:$AB$960,"Reinforcement Learning (RL)")</f>
        <v>3</v>
      </c>
      <c r="C50" s="67">
        <f t="shared" si="0"/>
        <v>1.4999999999999999E-2</v>
      </c>
    </row>
    <row r="51" spans="1:3" x14ac:dyDescent="0.3">
      <c r="A51" s="65" t="s">
        <v>97</v>
      </c>
      <c r="B51" s="66">
        <f>COUNTIFS(Matrix!$S$5:$S$960,"INCLUDE",Matrix!$AB$5:$AB$960,"Bayesian / probabilistic")</f>
        <v>6</v>
      </c>
      <c r="C51" s="67">
        <f t="shared" si="0"/>
        <v>0.03</v>
      </c>
    </row>
    <row r="52" spans="1:3" x14ac:dyDescent="0.3">
      <c r="A52" s="65" t="s">
        <v>99</v>
      </c>
      <c r="B52" s="66">
        <f>COUNTIFS(Matrix!$S$5:$S$960,"INCLUDE",Matrix!$AB$5:$AB$960,"Agent-based model (ABM)")</f>
        <v>6</v>
      </c>
      <c r="C52" s="67">
        <f t="shared" si="0"/>
        <v>0.03</v>
      </c>
    </row>
    <row r="53" spans="1:3" x14ac:dyDescent="0.3">
      <c r="A53" s="65" t="s">
        <v>100</v>
      </c>
      <c r="B53" s="66">
        <f>COUNTIFS(Matrix!$S$5:$S$960,"INCLUDE",Matrix!$AB$5:$AB$960,"Finite Element Method / physics-based")</f>
        <v>25</v>
      </c>
      <c r="C53" s="67">
        <f t="shared" si="0"/>
        <v>0.125</v>
      </c>
    </row>
    <row r="54" spans="1:3" x14ac:dyDescent="0.3">
      <c r="A54" s="65" t="s">
        <v>101</v>
      </c>
      <c r="B54" s="66">
        <f>COUNTIFS(Matrix!$S$5:$S$960,"INCLUDE",Matrix!$AB$5:$AB$960,"Ontology / semantic")</f>
        <v>12</v>
      </c>
      <c r="C54" s="67">
        <f t="shared" si="0"/>
        <v>0.06</v>
      </c>
    </row>
    <row r="55" spans="1:3" x14ac:dyDescent="0.3">
      <c r="A55" s="65" t="s">
        <v>102</v>
      </c>
      <c r="B55" s="66">
        <f>COUNTIFS(Matrix!$S$5:$S$960,"INCLUDE",Matrix!$AB$5:$AB$960,"Statistical / change-point")</f>
        <v>7</v>
      </c>
      <c r="C55" s="67">
        <f t="shared" si="0"/>
        <v>3.5000000000000003E-2</v>
      </c>
    </row>
    <row r="56" spans="1:3" x14ac:dyDescent="0.3">
      <c r="A56" s="65" t="s">
        <v>103</v>
      </c>
      <c r="B56" s="66">
        <f>COUNTIFS(Matrix!$S$5:$S$960,"INCLUDE",Matrix!$AB$5:$AB$960,"Digital Twin platform (no machine learning)")</f>
        <v>41</v>
      </c>
      <c r="C56" s="67">
        <f t="shared" si="0"/>
        <v>0.20499999999999999</v>
      </c>
    </row>
    <row r="57" spans="1:3" x14ac:dyDescent="0.3">
      <c r="A57" s="65" t="s">
        <v>104</v>
      </c>
      <c r="B57" s="66">
        <f>COUNTIFS(Matrix!$S$5:$S$960,"INCLUDE",Matrix!$AB$5:$AB$960,"Other / Mixed")</f>
        <v>57</v>
      </c>
      <c r="C57" s="67">
        <f t="shared" si="0"/>
        <v>0.28499999999999998</v>
      </c>
    </row>
    <row r="58" spans="1:3" x14ac:dyDescent="0.3">
      <c r="A58" s="69"/>
      <c r="B58" s="70">
        <f>SUM(B46:B57)</f>
        <v>200</v>
      </c>
      <c r="C58" s="73" t="str">
        <f>IF(B58=$B$2,"OK","MISMATCH")</f>
        <v>OK</v>
      </c>
    </row>
    <row r="60" spans="1:3" ht="15.6" customHeight="1" x14ac:dyDescent="0.3">
      <c r="A60" s="63" t="s">
        <v>4809</v>
      </c>
    </row>
    <row r="61" spans="1:3" x14ac:dyDescent="0.3">
      <c r="A61" s="64" t="s">
        <v>4810</v>
      </c>
      <c r="B61" s="64" t="s">
        <v>4735</v>
      </c>
    </row>
    <row r="62" spans="1:3" x14ac:dyDescent="0.3">
      <c r="A62" s="65" t="s">
        <v>4811</v>
      </c>
      <c r="B62" s="66">
        <f>COUNTIFS(Matrix!$S$5:$S$960,"INCLUDE",Matrix!$V$5:$V$960,1)</f>
        <v>9</v>
      </c>
    </row>
    <row r="63" spans="1:3" x14ac:dyDescent="0.3">
      <c r="A63" s="65" t="s">
        <v>4812</v>
      </c>
      <c r="B63" s="66">
        <f>COUNTIFS(Matrix!$S$5:$S$960,"INCLUDE",Matrix!$W$5:$W$960,1)</f>
        <v>90</v>
      </c>
    </row>
    <row r="64" spans="1:3" x14ac:dyDescent="0.3">
      <c r="A64" s="65" t="s">
        <v>4813</v>
      </c>
      <c r="B64" s="66">
        <f>COUNTIFS(Matrix!$S$5:$S$960,"INCLUDE",Matrix!$X$5:$X$960,1)</f>
        <v>108</v>
      </c>
      <c r="C64">
        <f>SUM(B62:B64)</f>
        <v>207</v>
      </c>
    </row>
    <row r="65" spans="1:7" x14ac:dyDescent="0.3">
      <c r="A65" s="65" t="s">
        <v>4814</v>
      </c>
      <c r="B65" s="66">
        <f>COUNTIFS(Matrix!$S$5:$S$960,"INCLUDE",Matrix!$Y$5:$Y$960,"Single")</f>
        <v>194</v>
      </c>
    </row>
    <row r="66" spans="1:7" x14ac:dyDescent="0.3">
      <c r="A66" s="65" t="s">
        <v>4815</v>
      </c>
      <c r="B66" s="66">
        <f>COUNTIFS(Matrix!$S$5:$S$960,"INCLUDE",Matrix!$Y$5:$Y$960,"Multi")</f>
        <v>6</v>
      </c>
      <c r="C66">
        <f>SUM(B65:B66)</f>
        <v>200</v>
      </c>
      <c r="D66" s="73" t="str">
        <f>IF(C66=$B$2,"OK","MISMATCH")</f>
        <v>OK</v>
      </c>
    </row>
    <row r="67" spans="1:7" x14ac:dyDescent="0.3">
      <c r="A67" s="69"/>
      <c r="B67" s="70"/>
    </row>
    <row r="69" spans="1:7" ht="15.6" customHeight="1" x14ac:dyDescent="0.3">
      <c r="A69" s="56" t="s">
        <v>4816</v>
      </c>
    </row>
    <row r="70" spans="1:7" ht="30" customHeight="1" x14ac:dyDescent="0.3">
      <c r="A70" s="40" t="s">
        <v>4817</v>
      </c>
      <c r="B70" s="41" t="str">
        <f>$A$15</f>
        <v>None</v>
      </c>
      <c r="C70" s="41" t="str">
        <f>$A$16</f>
        <v>Mentioned only</v>
      </c>
      <c r="D70" s="41" t="str">
        <f>$A$17</f>
        <v>Implemented</v>
      </c>
      <c r="E70" s="41" t="str">
        <f>$A$18</f>
        <v>Convergence-characterised</v>
      </c>
      <c r="F70" s="42" t="s">
        <v>4818</v>
      </c>
    </row>
    <row r="71" spans="1:7" x14ac:dyDescent="0.3">
      <c r="A71" s="43" t="str">
        <f>$A$31</f>
        <v>Single (one data type)</v>
      </c>
      <c r="B71" s="45">
        <f>COUNTIFS(Matrix!$S$5:$S$960,"INCLUDE",Matrix!$AC$5:$AC$960,$A71,Matrix!$AA$5:$AA$960,B$70)</f>
        <v>15</v>
      </c>
      <c r="C71" s="45">
        <f>COUNTIFS(Matrix!$S$5:$S$960,"INCLUDE",Matrix!$AC$5:$AC$960,$A71,Matrix!$AA$5:$AA$960,C$70)</f>
        <v>0</v>
      </c>
      <c r="D71" s="45">
        <f>COUNTIFS(Matrix!$S$5:$S$960,"INCLUDE",Matrix!$AC$5:$AC$960,$A71,Matrix!$AA$5:$AA$960,D$70)</f>
        <v>2</v>
      </c>
      <c r="E71" s="45">
        <f>COUNTIFS(Matrix!$S$5:$S$960,"INCLUDE",Matrix!$AC$5:$AC$960,$A71,Matrix!$AA$5:$AA$960,E$70)</f>
        <v>0</v>
      </c>
      <c r="F71" s="44">
        <f>SUM(B71:E71)</f>
        <v>17</v>
      </c>
    </row>
    <row r="72" spans="1:7" x14ac:dyDescent="0.3">
      <c r="A72" s="43" t="str">
        <f>$A$32</f>
        <v>Multi (two or more data types)</v>
      </c>
      <c r="B72" s="45">
        <f>COUNTIFS(Matrix!$S$5:$S$960,"INCLUDE",Matrix!$AC$5:$AC$960,$A72,Matrix!$AA$5:$AA$960,B$70)</f>
        <v>160</v>
      </c>
      <c r="C72" s="45">
        <f>COUNTIFS(Matrix!$S$5:$S$960,"INCLUDE",Matrix!$AC$5:$AC$960,$A72,Matrix!$AA$5:$AA$960,C$70)</f>
        <v>5</v>
      </c>
      <c r="D72" s="45">
        <f>COUNTIFS(Matrix!$S$5:$S$960,"INCLUDE",Matrix!$AC$5:$AC$960,$A72,Matrix!$AA$5:$AA$960,D$70)</f>
        <v>18</v>
      </c>
      <c r="E72" s="45">
        <f>COUNTIFS(Matrix!$S$5:$S$960,"INCLUDE",Matrix!$AC$5:$AC$960,$A72,Matrix!$AA$5:$AA$960,E$70)</f>
        <v>0</v>
      </c>
      <c r="F72" s="44">
        <f>SUM(B72:E72)</f>
        <v>183</v>
      </c>
    </row>
    <row r="73" spans="1:7" x14ac:dyDescent="0.3">
      <c r="A73" s="43" t="s">
        <v>4818</v>
      </c>
      <c r="B73" s="45">
        <f>SUM(B71:B72)</f>
        <v>175</v>
      </c>
      <c r="C73" s="45">
        <f>SUM(C71:C72)</f>
        <v>5</v>
      </c>
      <c r="D73" s="45">
        <f>SUM(D71:D72)</f>
        <v>20</v>
      </c>
      <c r="E73" s="45">
        <f>SUM(E71:E72)</f>
        <v>0</v>
      </c>
      <c r="F73" s="44">
        <f>SUM(F71:F72)</f>
        <v>200</v>
      </c>
      <c r="G73" s="73" t="str">
        <f>IF(F73=$B$2,"OK","MISMATCH")</f>
        <v>OK</v>
      </c>
    </row>
    <row r="74" spans="1:7" x14ac:dyDescent="0.3">
      <c r="A74" s="60"/>
      <c r="B74" s="60"/>
      <c r="C74" s="60"/>
      <c r="D74" s="60"/>
      <c r="E74" s="60"/>
      <c r="F74" s="60"/>
    </row>
    <row r="75" spans="1:7" x14ac:dyDescent="0.3">
      <c r="A75" s="46" t="s">
        <v>4819</v>
      </c>
      <c r="B75" s="39"/>
      <c r="C75" s="39"/>
      <c r="D75" s="39"/>
      <c r="E75" s="39"/>
      <c r="F75" s="39"/>
    </row>
    <row r="76" spans="1:7" ht="30" customHeight="1" x14ac:dyDescent="0.3">
      <c r="A76" s="47" t="s">
        <v>4817</v>
      </c>
      <c r="B76" s="41" t="str">
        <f>B$70</f>
        <v>None</v>
      </c>
      <c r="C76" s="41" t="str">
        <f>C$70</f>
        <v>Mentioned only</v>
      </c>
      <c r="D76" s="41" t="str">
        <f>D$70</f>
        <v>Implemented</v>
      </c>
      <c r="E76" s="41" t="str">
        <f>E$70</f>
        <v>Convergence-characterised</v>
      </c>
      <c r="F76" s="42" t="s">
        <v>4818</v>
      </c>
    </row>
    <row r="77" spans="1:7" x14ac:dyDescent="0.3">
      <c r="A77" s="43" t="str">
        <f>$A$71</f>
        <v>Single (one data type)</v>
      </c>
      <c r="B77" s="53">
        <f t="shared" ref="B77:F78" si="1">IF($F71=0,"-",B71/$F71)</f>
        <v>0.88235294117647056</v>
      </c>
      <c r="C77" s="53">
        <f t="shared" si="1"/>
        <v>0</v>
      </c>
      <c r="D77" s="53">
        <f t="shared" si="1"/>
        <v>0.11764705882352941</v>
      </c>
      <c r="E77" s="53">
        <f t="shared" si="1"/>
        <v>0</v>
      </c>
      <c r="F77" s="61">
        <f t="shared" si="1"/>
        <v>1</v>
      </c>
    </row>
    <row r="78" spans="1:7" x14ac:dyDescent="0.3">
      <c r="A78" s="43" t="str">
        <f>$A$72</f>
        <v>Multi (two or more data types)</v>
      </c>
      <c r="B78" s="53">
        <f t="shared" si="1"/>
        <v>0.87431693989071035</v>
      </c>
      <c r="C78" s="53">
        <f t="shared" si="1"/>
        <v>2.7322404371584699E-2</v>
      </c>
      <c r="D78" s="53">
        <f t="shared" si="1"/>
        <v>9.8360655737704916E-2</v>
      </c>
      <c r="E78" s="53">
        <f t="shared" si="1"/>
        <v>0</v>
      </c>
      <c r="F78" s="61">
        <f t="shared" si="1"/>
        <v>1</v>
      </c>
    </row>
    <row r="79" spans="1:7" x14ac:dyDescent="0.3">
      <c r="A79" s="60"/>
      <c r="B79" s="60"/>
      <c r="C79" s="60"/>
      <c r="D79" s="60"/>
      <c r="E79" s="60"/>
      <c r="F79" s="60"/>
    </row>
    <row r="80" spans="1:7" x14ac:dyDescent="0.3">
      <c r="A80" s="38" t="s">
        <v>4820</v>
      </c>
      <c r="B80" s="37"/>
      <c r="C80" s="37"/>
      <c r="D80" s="37"/>
      <c r="E80" s="37"/>
      <c r="F80" s="37"/>
    </row>
    <row r="81" spans="1:6" x14ac:dyDescent="0.3">
      <c r="A81" s="37" t="s">
        <v>4821</v>
      </c>
      <c r="B81" s="37">
        <f>$F$73</f>
        <v>200</v>
      </c>
      <c r="C81" s="37"/>
      <c r="D81" s="37"/>
      <c r="E81" s="37"/>
      <c r="F81" s="37"/>
    </row>
    <row r="82" spans="1:6" x14ac:dyDescent="0.3">
      <c r="A82" s="37" t="s">
        <v>4798</v>
      </c>
      <c r="B82" s="37">
        <f>$B$2</f>
        <v>200</v>
      </c>
      <c r="C82" s="37"/>
      <c r="D82" s="37"/>
      <c r="E82" s="37"/>
      <c r="F82" s="37"/>
    </row>
    <row r="83" spans="1:6" x14ac:dyDescent="0.3">
      <c r="A83" s="39" t="s">
        <v>4822</v>
      </c>
      <c r="B83" s="39" t="str">
        <f>IF($F$73=$B$2,"OK - "&amp;TEXT($F$73,"0")&amp;" studies fully cross-classified","MISMATCH: "&amp;TEXT($F$73-$B$2,"+0;-0")&amp;" - check for blank codes in Matrix AA/AC")</f>
        <v>OK - 200 studies fully cross-classified</v>
      </c>
      <c r="C83" s="39"/>
      <c r="D83" s="39"/>
      <c r="E83" s="39"/>
      <c r="F83" s="39"/>
    </row>
    <row r="85" spans="1:6" x14ac:dyDescent="0.3">
      <c r="A85" s="36" t="s">
        <v>4823</v>
      </c>
    </row>
    <row r="86" spans="1:6" x14ac:dyDescent="0.3">
      <c r="A86" s="62" t="str">
        <f>"Of the "&amp;TEXT($F$72,"0")&amp;" multimodal studies, "&amp;TEXT($B$72,"0")&amp;" ("&amp;TEXT($B$72/$F$72,"0.0%")&amp;") implement no self-improvement at all; only "&amp;TEXT($D$72,"0")&amp;" ("&amp;TEXT($D$72/$F$72,"0.0%")&amp;") implement it and "&amp;TEXT($E$72,"0")&amp;" characterise convergence."</f>
        <v>Of the 183 multimodal studies, 160 (87.4%) implement no self-improvement at all; only 18 (9.8%) implement it and 0 characterise convergence.</v>
      </c>
    </row>
    <row r="88" spans="1:6" ht="15.6" customHeight="1" x14ac:dyDescent="0.3">
      <c r="A88" s="56" t="s">
        <v>4824</v>
      </c>
      <c r="E88" s="36" t="s">
        <v>4825</v>
      </c>
    </row>
    <row r="89" spans="1:6" x14ac:dyDescent="0.3">
      <c r="A89" s="41" t="s">
        <v>4803</v>
      </c>
      <c r="B89" s="41" t="s">
        <v>4735</v>
      </c>
      <c r="C89" s="41" t="s">
        <v>4801</v>
      </c>
      <c r="E89" s="41" t="s">
        <v>4826</v>
      </c>
      <c r="F89" s="41" t="s">
        <v>4735</v>
      </c>
    </row>
    <row r="90" spans="1:6" x14ac:dyDescent="0.3">
      <c r="A90" s="45" t="str">
        <f>'1_CodeLists'!$K$2</f>
        <v>Single</v>
      </c>
      <c r="B90" s="45">
        <f>COUNTIFS(Matrix!$S$5:$S$960,"INCLUDE",Matrix!$AJ$5:$AJ$960,$A90)</f>
        <v>18</v>
      </c>
      <c r="C90" s="53">
        <f t="shared" ref="C90:C95" si="2">IF($B$2=0,"-",B90/$B$2)</f>
        <v>0.09</v>
      </c>
      <c r="E90" s="45" t="str">
        <f>'1_CodeLists'!$L$2</f>
        <v>High</v>
      </c>
      <c r="F90" s="45">
        <f>COUNTIFS(Matrix!$S$5:$S$960,"INCLUDE",Matrix!$AL$5:$AL$960,$E90)</f>
        <v>106</v>
      </c>
    </row>
    <row r="91" spans="1:6" x14ac:dyDescent="0.3">
      <c r="A91" s="45" t="str">
        <f>'1_CodeLists'!$K$3</f>
        <v>Co-present</v>
      </c>
      <c r="B91" s="45">
        <f>COUNTIFS(Matrix!$S$5:$S$960,"INCLUDE",Matrix!$AJ$5:$AJ$960,$A91)</f>
        <v>2</v>
      </c>
      <c r="C91" s="53">
        <f t="shared" si="2"/>
        <v>0.01</v>
      </c>
      <c r="E91" s="45" t="str">
        <f>'1_CodeLists'!$L$3</f>
        <v>Medium</v>
      </c>
      <c r="F91" s="45">
        <f>COUNTIFS(Matrix!$S$5:$S$960,"INCLUDE",Matrix!$AL$5:$AL$960,$E91)</f>
        <v>86</v>
      </c>
    </row>
    <row r="92" spans="1:6" x14ac:dyDescent="0.3">
      <c r="A92" s="45" t="str">
        <f>'1_CodeLists'!$K$4</f>
        <v>Aligned</v>
      </c>
      <c r="B92" s="45">
        <f>COUNTIFS(Matrix!$S$5:$S$960,"INCLUDE",Matrix!$AJ$5:$AJ$960,$A92)</f>
        <v>32</v>
      </c>
      <c r="C92" s="53">
        <f t="shared" si="2"/>
        <v>0.16</v>
      </c>
      <c r="E92" s="45" t="str">
        <f>'1_CodeLists'!$L$4</f>
        <v>Low</v>
      </c>
      <c r="F92" s="45">
        <f>COUNTIFS(Matrix!$S$5:$S$960,"INCLUDE",Matrix!$AL$5:$AL$960,$E92)</f>
        <v>8</v>
      </c>
    </row>
    <row r="93" spans="1:6" x14ac:dyDescent="0.3">
      <c r="A93" s="45" t="str">
        <f>'1_CodeLists'!$K$5</f>
        <v>Fused</v>
      </c>
      <c r="B93" s="45">
        <f>COUNTIFS(Matrix!$S$5:$S$960,"INCLUDE",Matrix!$AJ$5:$AJ$960,$A93)</f>
        <v>133</v>
      </c>
      <c r="C93" s="53">
        <f t="shared" si="2"/>
        <v>0.66500000000000004</v>
      </c>
      <c r="E93" s="45" t="s">
        <v>4827</v>
      </c>
      <c r="F93" s="45">
        <f>COUNTIFS(Matrix!$S$5:$S$960,"INCLUDE",Matrix!$AM$5:$AM$960,"&lt;&gt;")</f>
        <v>24</v>
      </c>
    </row>
    <row r="94" spans="1:6" x14ac:dyDescent="0.3">
      <c r="A94" s="45" t="str">
        <f>'1_CodeLists'!$K$6</f>
        <v>Unclear</v>
      </c>
      <c r="B94" s="45">
        <f>COUNTIFS(Matrix!$S$5:$S$960,"INCLUDE",Matrix!$AJ$5:$AJ$960,$A94)</f>
        <v>15</v>
      </c>
      <c r="C94" s="53">
        <f t="shared" si="2"/>
        <v>7.4999999999999997E-2</v>
      </c>
    </row>
    <row r="95" spans="1:6" x14ac:dyDescent="0.3">
      <c r="A95" s="45" t="s">
        <v>4818</v>
      </c>
      <c r="B95" s="45">
        <f>SUM(B90:B94)</f>
        <v>200</v>
      </c>
      <c r="C95" s="53">
        <f t="shared" si="2"/>
        <v>1</v>
      </c>
    </row>
    <row r="97" spans="1:6" x14ac:dyDescent="0.3">
      <c r="A97" s="36" t="s">
        <v>4828</v>
      </c>
    </row>
    <row r="98" spans="1:6" ht="30" customHeight="1" x14ac:dyDescent="0.3">
      <c r="A98" s="41" t="s">
        <v>4829</v>
      </c>
      <c r="B98" s="41" t="str">
        <f>$A$15</f>
        <v>None</v>
      </c>
      <c r="C98" s="41" t="str">
        <f>$A$16</f>
        <v>Mentioned only</v>
      </c>
      <c r="D98" s="41" t="str">
        <f>$A$17</f>
        <v>Implemented</v>
      </c>
      <c r="E98" s="41" t="str">
        <f>$A$18</f>
        <v>Convergence-characterised</v>
      </c>
      <c r="F98" s="41" t="s">
        <v>4818</v>
      </c>
    </row>
    <row r="99" spans="1:6" x14ac:dyDescent="0.3">
      <c r="A99" s="45" t="str">
        <f>$A$90</f>
        <v>Single</v>
      </c>
      <c r="B99" s="45">
        <f>COUNTIFS(Matrix!$S$5:$S$960,"INCLUDE",Matrix!$AJ$5:$AJ$960,$A99,Matrix!$AA$5:$AA$960,B$98)</f>
        <v>16</v>
      </c>
      <c r="C99" s="45">
        <f>COUNTIFS(Matrix!$S$5:$S$960,"INCLUDE",Matrix!$AJ$5:$AJ$960,$A99,Matrix!$AA$5:$AA$960,C$98)</f>
        <v>0</v>
      </c>
      <c r="D99" s="45">
        <f>COUNTIFS(Matrix!$S$5:$S$960,"INCLUDE",Matrix!$AJ$5:$AJ$960,$A99,Matrix!$AA$5:$AA$960,D$98)</f>
        <v>2</v>
      </c>
      <c r="E99" s="45">
        <f>COUNTIFS(Matrix!$S$5:$S$960,"INCLUDE",Matrix!$AJ$5:$AJ$960,$A99,Matrix!$AA$5:$AA$960,E$98)</f>
        <v>0</v>
      </c>
      <c r="F99" s="45">
        <f>SUM(B99:E99)</f>
        <v>18</v>
      </c>
    </row>
    <row r="100" spans="1:6" x14ac:dyDescent="0.3">
      <c r="A100" s="45" t="str">
        <f>$A$91</f>
        <v>Co-present</v>
      </c>
      <c r="B100" s="45">
        <f>COUNTIFS(Matrix!$S$5:$S$960,"INCLUDE",Matrix!$AJ$5:$AJ$960,$A100,Matrix!$AA$5:$AA$960,B$98)</f>
        <v>2</v>
      </c>
      <c r="C100" s="45">
        <f>COUNTIFS(Matrix!$S$5:$S$960,"INCLUDE",Matrix!$AJ$5:$AJ$960,$A100,Matrix!$AA$5:$AA$960,C$98)</f>
        <v>0</v>
      </c>
      <c r="D100" s="45">
        <f>COUNTIFS(Matrix!$S$5:$S$960,"INCLUDE",Matrix!$AJ$5:$AJ$960,$A100,Matrix!$AA$5:$AA$960,D$98)</f>
        <v>0</v>
      </c>
      <c r="E100" s="45">
        <f>COUNTIFS(Matrix!$S$5:$S$960,"INCLUDE",Matrix!$AJ$5:$AJ$960,$A100,Matrix!$AA$5:$AA$960,E$98)</f>
        <v>0</v>
      </c>
      <c r="F100" s="45">
        <f>SUM(B100:E100)</f>
        <v>2</v>
      </c>
    </row>
    <row r="101" spans="1:6" x14ac:dyDescent="0.3">
      <c r="A101" s="45" t="str">
        <f>$A$92</f>
        <v>Aligned</v>
      </c>
      <c r="B101" s="45">
        <f>COUNTIFS(Matrix!$S$5:$S$960,"INCLUDE",Matrix!$AJ$5:$AJ$960,$A101,Matrix!$AA$5:$AA$960,B$98)</f>
        <v>30</v>
      </c>
      <c r="C101" s="45">
        <f>COUNTIFS(Matrix!$S$5:$S$960,"INCLUDE",Matrix!$AJ$5:$AJ$960,$A101,Matrix!$AA$5:$AA$960,C$98)</f>
        <v>1</v>
      </c>
      <c r="D101" s="45">
        <f>COUNTIFS(Matrix!$S$5:$S$960,"INCLUDE",Matrix!$AJ$5:$AJ$960,$A101,Matrix!$AA$5:$AA$960,D$98)</f>
        <v>1</v>
      </c>
      <c r="E101" s="45">
        <f>COUNTIFS(Matrix!$S$5:$S$960,"INCLUDE",Matrix!$AJ$5:$AJ$960,$A101,Matrix!$AA$5:$AA$960,E$98)</f>
        <v>0</v>
      </c>
      <c r="F101" s="45">
        <f>SUM(B101:E101)</f>
        <v>32</v>
      </c>
    </row>
    <row r="102" spans="1:6" x14ac:dyDescent="0.3">
      <c r="A102" s="45" t="str">
        <f>$A$93</f>
        <v>Fused</v>
      </c>
      <c r="B102" s="45">
        <f>COUNTIFS(Matrix!$S$5:$S$960,"INCLUDE",Matrix!$AJ$5:$AJ$960,$A102,Matrix!$AA$5:$AA$960,B$98)</f>
        <v>114</v>
      </c>
      <c r="C102" s="45">
        <f>COUNTIFS(Matrix!$S$5:$S$960,"INCLUDE",Matrix!$AJ$5:$AJ$960,$A102,Matrix!$AA$5:$AA$960,C$98)</f>
        <v>2</v>
      </c>
      <c r="D102" s="45">
        <f>COUNTIFS(Matrix!$S$5:$S$960,"INCLUDE",Matrix!$AJ$5:$AJ$960,$A102,Matrix!$AA$5:$AA$960,D$98)</f>
        <v>17</v>
      </c>
      <c r="E102" s="45">
        <f>COUNTIFS(Matrix!$S$5:$S$960,"INCLUDE",Matrix!$AJ$5:$AJ$960,$A102,Matrix!$AA$5:$AA$960,E$98)</f>
        <v>0</v>
      </c>
      <c r="F102" s="45">
        <f>SUM(B102:E102)</f>
        <v>133</v>
      </c>
    </row>
    <row r="103" spans="1:6" x14ac:dyDescent="0.3">
      <c r="A103" s="45" t="str">
        <f>$A$94</f>
        <v>Unclear</v>
      </c>
      <c r="B103" s="45">
        <f>COUNTIFS(Matrix!$S$5:$S$960,"INCLUDE",Matrix!$AJ$5:$AJ$960,$A103,Matrix!$AA$5:$AA$960,B$98)</f>
        <v>13</v>
      </c>
      <c r="C103" s="45">
        <f>COUNTIFS(Matrix!$S$5:$S$960,"INCLUDE",Matrix!$AJ$5:$AJ$960,$A103,Matrix!$AA$5:$AA$960,C$98)</f>
        <v>2</v>
      </c>
      <c r="D103" s="45">
        <f>COUNTIFS(Matrix!$S$5:$S$960,"INCLUDE",Matrix!$AJ$5:$AJ$960,$A103,Matrix!$AA$5:$AA$960,D$98)</f>
        <v>0</v>
      </c>
      <c r="E103" s="45">
        <f>COUNTIFS(Matrix!$S$5:$S$960,"INCLUDE",Matrix!$AJ$5:$AJ$960,$A103,Matrix!$AA$5:$AA$960,E$98)</f>
        <v>0</v>
      </c>
      <c r="F103" s="45">
        <f>SUM(B103:E103)</f>
        <v>15</v>
      </c>
    </row>
    <row r="104" spans="1:6" x14ac:dyDescent="0.3">
      <c r="A104" s="45" t="s">
        <v>4818</v>
      </c>
      <c r="B104" s="45">
        <f>SUM(B99:B103)</f>
        <v>175</v>
      </c>
      <c r="C104" s="45">
        <f>SUM(C99:C103)</f>
        <v>5</v>
      </c>
      <c r="D104" s="45">
        <f>SUM(D99:D103)</f>
        <v>20</v>
      </c>
      <c r="E104" s="45">
        <f>SUM(E99:E103)</f>
        <v>0</v>
      </c>
      <c r="F104" s="45">
        <f>SUM(F99:F103)</f>
        <v>200</v>
      </c>
    </row>
    <row r="106" spans="1:6" x14ac:dyDescent="0.3">
      <c r="A106" s="36" t="s">
        <v>4830</v>
      </c>
    </row>
    <row r="107" spans="1:6" x14ac:dyDescent="0.3">
      <c r="A107" s="45" t="s">
        <v>4831</v>
      </c>
      <c r="B107" s="45">
        <f>$F$104</f>
        <v>200</v>
      </c>
    </row>
    <row r="108" spans="1:6" x14ac:dyDescent="0.3">
      <c r="A108" s="45" t="s">
        <v>4798</v>
      </c>
      <c r="B108" s="45">
        <f>$B$2</f>
        <v>200</v>
      </c>
    </row>
    <row r="109" spans="1:6" x14ac:dyDescent="0.3">
      <c r="A109" s="45" t="s">
        <v>4822</v>
      </c>
      <c r="B109" s="45" t="str">
        <f>IF($F$104=$B$2,"OK - "&amp;TEXT($F$104,"0")&amp;" studies fully fusion-coded","MISMATCH: "&amp;TEXT($F$104-$B$2,"+0;-0")&amp;" - check blanks in Matrix AJ")</f>
        <v>OK - 200 studies fully fusion-coded</v>
      </c>
    </row>
    <row r="111" spans="1:6" x14ac:dyDescent="0.3">
      <c r="A111" s="36" t="s">
        <v>4823</v>
      </c>
    </row>
    <row r="112" spans="1:6" x14ac:dyDescent="0.3">
      <c r="A112" s="62" t="str">
        <f>"Of the "&amp;TEXT($B$32,"0")&amp;" multimodal studies only "&amp;TEXT($B$94+$B$93,"0")&amp;" reach Fused or Aligned with genuine joint inference; "&amp;TEXT($B$91,"0")&amp;" remain merely Co-present and "&amp;TEXT($B$94,"0")&amp;" are Unclear. Deepest integration (Fused) = "&amp;TEXT($B$93,"0")&amp;" ("&amp;TEXT($C$93,"0.0%")&amp;" of all included)."</f>
        <v>Of the 183 multimodal studies only 148 reach Fused or Aligned with genuine joint inference; 2 remain merely Co-present and 15 are Unclear. Deepest integration (Fused) = 133 (66.5% of all included).</v>
      </c>
    </row>
    <row r="113" spans="1:1" x14ac:dyDescent="0.3">
      <c r="A113" s="62" t="str">
        <f>"Even among the "&amp;TEXT($F$102,"0")&amp;" Fused studies, "&amp;TEXT($B$102,"0")&amp;" ("&amp;TEXT($B$102/$F$102,"0.0%")&amp;") implement no self-improvement and "&amp;TEXT($E$102,"0")&amp;" characterise convergence - deep data integration does NOT translate into adaptive capability."</f>
        <v>Even among the 133 Fused studies, 114 (85.7%) implement no self-improvement and 0 characterise convergence - deep data integration does NOT translate into adaptive capability.</v>
      </c>
    </row>
  </sheetData>
  <phoneticPr fontId="31" type="noConversion"/>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957"/>
  <sheetViews>
    <sheetView topLeftCell="A919" workbookViewId="0">
      <selection activeCell="D957" sqref="D957"/>
    </sheetView>
  </sheetViews>
  <sheetFormatPr defaultRowHeight="14.4" x14ac:dyDescent="0.3"/>
  <cols>
    <col min="1" max="1" width="5.5546875" bestFit="1" customWidth="1"/>
    <col min="2" max="2" width="41.6640625" bestFit="1" customWidth="1"/>
    <col min="3" max="3" width="50.109375" customWidth="1"/>
    <col min="4" max="4" width="11.88671875" bestFit="1" customWidth="1"/>
  </cols>
  <sheetData>
    <row r="1" spans="1:5" x14ac:dyDescent="0.3">
      <c r="A1" s="30" t="s">
        <v>110</v>
      </c>
      <c r="B1" s="30" t="s">
        <v>150</v>
      </c>
      <c r="C1" s="30" t="s">
        <v>4832</v>
      </c>
      <c r="D1" s="30" t="s">
        <v>4833</v>
      </c>
      <c r="E1" s="30" t="s">
        <v>4834</v>
      </c>
    </row>
    <row r="2" spans="1:5" x14ac:dyDescent="0.3">
      <c r="A2">
        <v>1</v>
      </c>
      <c r="B2" t="s">
        <v>154</v>
      </c>
      <c r="C2" t="s">
        <v>4835</v>
      </c>
      <c r="D2">
        <v>1</v>
      </c>
      <c r="E2" t="s">
        <v>152</v>
      </c>
    </row>
    <row r="3" spans="1:5" x14ac:dyDescent="0.3">
      <c r="A3">
        <v>2</v>
      </c>
      <c r="B3" t="s">
        <v>158</v>
      </c>
      <c r="C3" t="s">
        <v>4835</v>
      </c>
      <c r="D3">
        <v>2</v>
      </c>
      <c r="E3" t="s">
        <v>156</v>
      </c>
    </row>
    <row r="4" spans="1:5" x14ac:dyDescent="0.3">
      <c r="A4">
        <v>3</v>
      </c>
      <c r="B4" t="s">
        <v>162</v>
      </c>
      <c r="C4" t="s">
        <v>4835</v>
      </c>
      <c r="D4">
        <v>3</v>
      </c>
      <c r="E4" t="s">
        <v>160</v>
      </c>
    </row>
    <row r="5" spans="1:5" x14ac:dyDescent="0.3">
      <c r="A5">
        <v>4</v>
      </c>
      <c r="B5" t="s">
        <v>166</v>
      </c>
      <c r="C5" t="s">
        <v>4835</v>
      </c>
      <c r="D5">
        <v>4</v>
      </c>
      <c r="E5" t="s">
        <v>164</v>
      </c>
    </row>
    <row r="6" spans="1:5" x14ac:dyDescent="0.3">
      <c r="A6">
        <v>5</v>
      </c>
      <c r="B6" t="s">
        <v>170</v>
      </c>
      <c r="C6" t="s">
        <v>4835</v>
      </c>
      <c r="D6">
        <v>5</v>
      </c>
      <c r="E6" t="s">
        <v>168</v>
      </c>
    </row>
    <row r="7" spans="1:5" x14ac:dyDescent="0.3">
      <c r="A7">
        <v>6</v>
      </c>
      <c r="B7" t="s">
        <v>174</v>
      </c>
      <c r="C7" t="s">
        <v>4835</v>
      </c>
      <c r="D7">
        <v>6</v>
      </c>
      <c r="E7" t="s">
        <v>172</v>
      </c>
    </row>
    <row r="8" spans="1:5" x14ac:dyDescent="0.3">
      <c r="A8">
        <v>7</v>
      </c>
      <c r="B8" t="s">
        <v>178</v>
      </c>
      <c r="C8" t="s">
        <v>4835</v>
      </c>
      <c r="D8">
        <v>7</v>
      </c>
      <c r="E8" t="s">
        <v>176</v>
      </c>
    </row>
    <row r="9" spans="1:5" x14ac:dyDescent="0.3">
      <c r="A9">
        <v>8</v>
      </c>
      <c r="B9" t="s">
        <v>186</v>
      </c>
      <c r="C9" t="s">
        <v>4835</v>
      </c>
      <c r="D9">
        <v>8</v>
      </c>
      <c r="E9" t="s">
        <v>180</v>
      </c>
    </row>
    <row r="10" spans="1:5" x14ac:dyDescent="0.3">
      <c r="A10">
        <v>9</v>
      </c>
      <c r="B10" t="s">
        <v>190</v>
      </c>
      <c r="C10" t="s">
        <v>4835</v>
      </c>
      <c r="D10">
        <v>9</v>
      </c>
      <c r="E10" t="s">
        <v>188</v>
      </c>
    </row>
    <row r="11" spans="1:5" x14ac:dyDescent="0.3">
      <c r="A11">
        <v>10</v>
      </c>
      <c r="B11" t="s">
        <v>194</v>
      </c>
      <c r="C11" t="s">
        <v>4835</v>
      </c>
      <c r="D11">
        <v>10</v>
      </c>
      <c r="E11" t="s">
        <v>192</v>
      </c>
    </row>
    <row r="12" spans="1:5" x14ac:dyDescent="0.3">
      <c r="A12">
        <v>11</v>
      </c>
      <c r="B12" t="s">
        <v>198</v>
      </c>
      <c r="C12" t="s">
        <v>4835</v>
      </c>
      <c r="D12">
        <v>11</v>
      </c>
      <c r="E12" t="s">
        <v>196</v>
      </c>
    </row>
    <row r="13" spans="1:5" x14ac:dyDescent="0.3">
      <c r="A13">
        <v>12</v>
      </c>
      <c r="B13" t="s">
        <v>202</v>
      </c>
      <c r="C13" t="s">
        <v>4835</v>
      </c>
      <c r="D13">
        <v>12</v>
      </c>
      <c r="E13" t="s">
        <v>200</v>
      </c>
    </row>
    <row r="14" spans="1:5" x14ac:dyDescent="0.3">
      <c r="A14">
        <v>13</v>
      </c>
      <c r="B14" t="s">
        <v>206</v>
      </c>
      <c r="C14" t="s">
        <v>4835</v>
      </c>
      <c r="D14">
        <v>13</v>
      </c>
      <c r="E14" t="s">
        <v>204</v>
      </c>
    </row>
    <row r="15" spans="1:5" x14ac:dyDescent="0.3">
      <c r="A15">
        <v>14</v>
      </c>
      <c r="B15" t="s">
        <v>215</v>
      </c>
      <c r="C15" t="s">
        <v>4835</v>
      </c>
      <c r="D15">
        <v>14</v>
      </c>
      <c r="E15" t="s">
        <v>208</v>
      </c>
    </row>
    <row r="16" spans="1:5" x14ac:dyDescent="0.3">
      <c r="A16">
        <v>15</v>
      </c>
      <c r="B16" t="s">
        <v>219</v>
      </c>
      <c r="C16" t="s">
        <v>4835</v>
      </c>
      <c r="D16">
        <v>15</v>
      </c>
      <c r="E16" t="s">
        <v>217</v>
      </c>
    </row>
    <row r="17" spans="1:5" x14ac:dyDescent="0.3">
      <c r="A17">
        <v>16</v>
      </c>
      <c r="B17" t="s">
        <v>223</v>
      </c>
      <c r="C17" t="s">
        <v>4835</v>
      </c>
      <c r="D17">
        <v>16</v>
      </c>
      <c r="E17" t="s">
        <v>221</v>
      </c>
    </row>
    <row r="18" spans="1:5" x14ac:dyDescent="0.3">
      <c r="A18">
        <v>17</v>
      </c>
      <c r="B18" t="s">
        <v>227</v>
      </c>
      <c r="C18" t="s">
        <v>4835</v>
      </c>
      <c r="D18">
        <v>17</v>
      </c>
      <c r="E18" t="s">
        <v>225</v>
      </c>
    </row>
    <row r="19" spans="1:5" x14ac:dyDescent="0.3">
      <c r="A19">
        <v>18</v>
      </c>
      <c r="B19" t="s">
        <v>231</v>
      </c>
      <c r="C19" t="s">
        <v>4835</v>
      </c>
      <c r="D19">
        <v>18</v>
      </c>
      <c r="E19" t="s">
        <v>229</v>
      </c>
    </row>
    <row r="20" spans="1:5" x14ac:dyDescent="0.3">
      <c r="A20">
        <v>19</v>
      </c>
      <c r="B20" t="s">
        <v>235</v>
      </c>
      <c r="C20" t="s">
        <v>4835</v>
      </c>
      <c r="D20">
        <v>19</v>
      </c>
      <c r="E20" t="s">
        <v>233</v>
      </c>
    </row>
    <row r="21" spans="1:5" x14ac:dyDescent="0.3">
      <c r="A21">
        <v>20</v>
      </c>
      <c r="B21" t="s">
        <v>239</v>
      </c>
      <c r="C21" t="s">
        <v>4835</v>
      </c>
      <c r="D21">
        <v>20</v>
      </c>
      <c r="E21" t="s">
        <v>237</v>
      </c>
    </row>
    <row r="22" spans="1:5" x14ac:dyDescent="0.3">
      <c r="A22">
        <v>21</v>
      </c>
      <c r="B22" t="s">
        <v>243</v>
      </c>
      <c r="C22" t="s">
        <v>4835</v>
      </c>
      <c r="D22">
        <v>21</v>
      </c>
      <c r="E22" t="s">
        <v>241</v>
      </c>
    </row>
    <row r="23" spans="1:5" x14ac:dyDescent="0.3">
      <c r="A23">
        <v>22</v>
      </c>
      <c r="B23" t="s">
        <v>247</v>
      </c>
      <c r="C23" t="s">
        <v>4835</v>
      </c>
      <c r="D23">
        <v>22</v>
      </c>
      <c r="E23" t="s">
        <v>245</v>
      </c>
    </row>
    <row r="24" spans="1:5" x14ac:dyDescent="0.3">
      <c r="A24">
        <v>23</v>
      </c>
      <c r="B24" t="s">
        <v>251</v>
      </c>
      <c r="C24" t="s">
        <v>4835</v>
      </c>
      <c r="D24">
        <v>23</v>
      </c>
      <c r="E24" t="s">
        <v>249</v>
      </c>
    </row>
    <row r="25" spans="1:5" x14ac:dyDescent="0.3">
      <c r="A25">
        <v>24</v>
      </c>
      <c r="B25" t="s">
        <v>255</v>
      </c>
      <c r="C25" t="s">
        <v>4835</v>
      </c>
      <c r="D25">
        <v>24</v>
      </c>
      <c r="E25" t="s">
        <v>253</v>
      </c>
    </row>
    <row r="26" spans="1:5" x14ac:dyDescent="0.3">
      <c r="A26">
        <v>25</v>
      </c>
      <c r="B26" t="s">
        <v>259</v>
      </c>
      <c r="C26" t="s">
        <v>4835</v>
      </c>
      <c r="D26">
        <v>25</v>
      </c>
      <c r="E26" t="s">
        <v>257</v>
      </c>
    </row>
    <row r="27" spans="1:5" x14ac:dyDescent="0.3">
      <c r="A27">
        <v>26</v>
      </c>
      <c r="B27" t="s">
        <v>267</v>
      </c>
      <c r="C27" t="s">
        <v>4835</v>
      </c>
      <c r="D27">
        <v>26</v>
      </c>
      <c r="E27" t="s">
        <v>261</v>
      </c>
    </row>
    <row r="28" spans="1:5" x14ac:dyDescent="0.3">
      <c r="A28">
        <v>27</v>
      </c>
      <c r="B28" t="s">
        <v>271</v>
      </c>
      <c r="C28" t="s">
        <v>4835</v>
      </c>
      <c r="D28">
        <v>27</v>
      </c>
      <c r="E28" t="s">
        <v>269</v>
      </c>
    </row>
    <row r="29" spans="1:5" x14ac:dyDescent="0.3">
      <c r="A29">
        <v>28</v>
      </c>
      <c r="B29" t="s">
        <v>275</v>
      </c>
      <c r="C29" t="s">
        <v>4835</v>
      </c>
      <c r="D29">
        <v>28</v>
      </c>
      <c r="E29" t="s">
        <v>273</v>
      </c>
    </row>
    <row r="30" spans="1:5" x14ac:dyDescent="0.3">
      <c r="A30">
        <v>29</v>
      </c>
      <c r="B30" t="s">
        <v>279</v>
      </c>
      <c r="C30" t="s">
        <v>4835</v>
      </c>
      <c r="D30">
        <v>29</v>
      </c>
      <c r="E30" t="s">
        <v>277</v>
      </c>
    </row>
    <row r="31" spans="1:5" x14ac:dyDescent="0.3">
      <c r="A31">
        <v>30</v>
      </c>
      <c r="B31" t="s">
        <v>283</v>
      </c>
      <c r="C31" t="s">
        <v>4835</v>
      </c>
      <c r="D31">
        <v>30</v>
      </c>
      <c r="E31" t="s">
        <v>281</v>
      </c>
    </row>
    <row r="32" spans="1:5" x14ac:dyDescent="0.3">
      <c r="A32">
        <v>31</v>
      </c>
      <c r="B32" t="s">
        <v>287</v>
      </c>
      <c r="C32" t="s">
        <v>4835</v>
      </c>
      <c r="D32">
        <v>31</v>
      </c>
      <c r="E32" t="s">
        <v>285</v>
      </c>
    </row>
    <row r="33" spans="1:5" x14ac:dyDescent="0.3">
      <c r="A33">
        <v>32</v>
      </c>
      <c r="B33" t="s">
        <v>291</v>
      </c>
      <c r="C33" t="s">
        <v>4835</v>
      </c>
      <c r="D33">
        <v>32</v>
      </c>
      <c r="E33" t="s">
        <v>289</v>
      </c>
    </row>
    <row r="34" spans="1:5" x14ac:dyDescent="0.3">
      <c r="A34">
        <v>33</v>
      </c>
      <c r="B34" t="s">
        <v>295</v>
      </c>
      <c r="C34" t="s">
        <v>4835</v>
      </c>
      <c r="D34">
        <v>33</v>
      </c>
      <c r="E34" t="s">
        <v>293</v>
      </c>
    </row>
    <row r="35" spans="1:5" x14ac:dyDescent="0.3">
      <c r="A35">
        <v>34</v>
      </c>
      <c r="B35" t="s">
        <v>299</v>
      </c>
      <c r="C35" t="s">
        <v>4835</v>
      </c>
      <c r="D35">
        <v>34</v>
      </c>
      <c r="E35" t="s">
        <v>297</v>
      </c>
    </row>
    <row r="36" spans="1:5" x14ac:dyDescent="0.3">
      <c r="A36">
        <v>35</v>
      </c>
      <c r="B36" t="s">
        <v>303</v>
      </c>
      <c r="C36" t="s">
        <v>4835</v>
      </c>
      <c r="D36">
        <v>35</v>
      </c>
      <c r="E36" t="s">
        <v>301</v>
      </c>
    </row>
    <row r="37" spans="1:5" x14ac:dyDescent="0.3">
      <c r="A37">
        <v>36</v>
      </c>
      <c r="B37" t="s">
        <v>307</v>
      </c>
      <c r="C37" t="s">
        <v>4835</v>
      </c>
      <c r="D37">
        <v>36</v>
      </c>
      <c r="E37" t="s">
        <v>305</v>
      </c>
    </row>
    <row r="38" spans="1:5" x14ac:dyDescent="0.3">
      <c r="A38">
        <v>37</v>
      </c>
      <c r="B38" t="s">
        <v>311</v>
      </c>
      <c r="C38" t="s">
        <v>4835</v>
      </c>
      <c r="D38">
        <v>37</v>
      </c>
      <c r="E38" t="s">
        <v>309</v>
      </c>
    </row>
    <row r="39" spans="1:5" x14ac:dyDescent="0.3">
      <c r="A39">
        <v>38</v>
      </c>
      <c r="B39" t="s">
        <v>315</v>
      </c>
      <c r="C39" t="s">
        <v>4835</v>
      </c>
      <c r="D39">
        <v>38</v>
      </c>
      <c r="E39" t="s">
        <v>313</v>
      </c>
    </row>
    <row r="40" spans="1:5" x14ac:dyDescent="0.3">
      <c r="A40">
        <v>39</v>
      </c>
      <c r="B40" t="s">
        <v>319</v>
      </c>
      <c r="C40" t="s">
        <v>4835</v>
      </c>
      <c r="D40">
        <v>39</v>
      </c>
      <c r="E40" t="s">
        <v>317</v>
      </c>
    </row>
    <row r="41" spans="1:5" x14ac:dyDescent="0.3">
      <c r="A41">
        <v>40</v>
      </c>
      <c r="B41" t="s">
        <v>323</v>
      </c>
      <c r="C41" t="s">
        <v>4835</v>
      </c>
      <c r="D41">
        <v>40</v>
      </c>
      <c r="E41" t="s">
        <v>321</v>
      </c>
    </row>
    <row r="42" spans="1:5" x14ac:dyDescent="0.3">
      <c r="A42">
        <v>41</v>
      </c>
      <c r="B42" t="s">
        <v>327</v>
      </c>
      <c r="C42" t="s">
        <v>4835</v>
      </c>
      <c r="D42">
        <v>41</v>
      </c>
      <c r="E42" t="s">
        <v>325</v>
      </c>
    </row>
    <row r="43" spans="1:5" x14ac:dyDescent="0.3">
      <c r="A43">
        <v>42</v>
      </c>
      <c r="B43" t="s">
        <v>331</v>
      </c>
      <c r="C43" t="s">
        <v>4835</v>
      </c>
      <c r="D43">
        <v>42</v>
      </c>
      <c r="E43" t="s">
        <v>329</v>
      </c>
    </row>
    <row r="44" spans="1:5" x14ac:dyDescent="0.3">
      <c r="A44">
        <v>43</v>
      </c>
      <c r="B44" t="s">
        <v>335</v>
      </c>
      <c r="C44" t="s">
        <v>4835</v>
      </c>
      <c r="D44">
        <v>43</v>
      </c>
      <c r="E44" t="s">
        <v>333</v>
      </c>
    </row>
    <row r="45" spans="1:5" x14ac:dyDescent="0.3">
      <c r="A45">
        <v>44</v>
      </c>
      <c r="B45" t="s">
        <v>343</v>
      </c>
      <c r="C45" t="s">
        <v>4835</v>
      </c>
      <c r="D45">
        <v>44</v>
      </c>
      <c r="E45" t="s">
        <v>337</v>
      </c>
    </row>
    <row r="46" spans="1:5" x14ac:dyDescent="0.3">
      <c r="A46">
        <v>45</v>
      </c>
      <c r="B46" t="s">
        <v>347</v>
      </c>
      <c r="C46" t="s">
        <v>4835</v>
      </c>
      <c r="D46">
        <v>45</v>
      </c>
      <c r="E46" t="s">
        <v>345</v>
      </c>
    </row>
    <row r="47" spans="1:5" x14ac:dyDescent="0.3">
      <c r="A47">
        <v>46</v>
      </c>
      <c r="B47" t="s">
        <v>351</v>
      </c>
      <c r="C47" t="s">
        <v>4835</v>
      </c>
      <c r="D47">
        <v>46</v>
      </c>
      <c r="E47" t="s">
        <v>349</v>
      </c>
    </row>
    <row r="48" spans="1:5" x14ac:dyDescent="0.3">
      <c r="A48">
        <v>47</v>
      </c>
      <c r="B48" t="s">
        <v>355</v>
      </c>
      <c r="C48" t="s">
        <v>4835</v>
      </c>
      <c r="D48">
        <v>47</v>
      </c>
      <c r="E48" t="s">
        <v>353</v>
      </c>
    </row>
    <row r="49" spans="1:5" x14ac:dyDescent="0.3">
      <c r="A49">
        <v>48</v>
      </c>
      <c r="B49" t="s">
        <v>359</v>
      </c>
      <c r="C49" t="s">
        <v>4835</v>
      </c>
      <c r="D49">
        <v>48</v>
      </c>
      <c r="E49" t="s">
        <v>357</v>
      </c>
    </row>
    <row r="50" spans="1:5" x14ac:dyDescent="0.3">
      <c r="A50">
        <v>49</v>
      </c>
      <c r="B50" t="s">
        <v>363</v>
      </c>
      <c r="C50" t="s">
        <v>4835</v>
      </c>
      <c r="D50">
        <v>49</v>
      </c>
      <c r="E50" t="s">
        <v>361</v>
      </c>
    </row>
    <row r="51" spans="1:5" x14ac:dyDescent="0.3">
      <c r="A51">
        <v>50</v>
      </c>
      <c r="B51" t="s">
        <v>367</v>
      </c>
      <c r="C51" t="s">
        <v>4835</v>
      </c>
      <c r="D51">
        <v>50</v>
      </c>
      <c r="E51" t="s">
        <v>365</v>
      </c>
    </row>
    <row r="52" spans="1:5" x14ac:dyDescent="0.3">
      <c r="A52">
        <v>51</v>
      </c>
      <c r="B52" t="s">
        <v>371</v>
      </c>
      <c r="C52" t="s">
        <v>4835</v>
      </c>
      <c r="D52">
        <v>51</v>
      </c>
      <c r="E52" t="s">
        <v>369</v>
      </c>
    </row>
    <row r="53" spans="1:5" x14ac:dyDescent="0.3">
      <c r="A53">
        <v>52</v>
      </c>
      <c r="B53" t="s">
        <v>375</v>
      </c>
      <c r="C53" t="s">
        <v>4835</v>
      </c>
      <c r="D53">
        <v>52</v>
      </c>
      <c r="E53" t="s">
        <v>373</v>
      </c>
    </row>
    <row r="54" spans="1:5" x14ac:dyDescent="0.3">
      <c r="A54">
        <v>53</v>
      </c>
      <c r="B54" t="s">
        <v>379</v>
      </c>
      <c r="C54" t="s">
        <v>4835</v>
      </c>
      <c r="D54">
        <v>53</v>
      </c>
      <c r="E54" t="s">
        <v>377</v>
      </c>
    </row>
    <row r="55" spans="1:5" x14ac:dyDescent="0.3">
      <c r="A55">
        <v>54</v>
      </c>
      <c r="B55" t="s">
        <v>383</v>
      </c>
      <c r="C55" t="s">
        <v>4835</v>
      </c>
      <c r="D55">
        <v>54</v>
      </c>
      <c r="E55" t="s">
        <v>381</v>
      </c>
    </row>
    <row r="56" spans="1:5" x14ac:dyDescent="0.3">
      <c r="A56">
        <v>55</v>
      </c>
      <c r="B56" t="s">
        <v>391</v>
      </c>
      <c r="C56" t="s">
        <v>4835</v>
      </c>
      <c r="D56">
        <v>55</v>
      </c>
      <c r="E56" t="s">
        <v>385</v>
      </c>
    </row>
    <row r="57" spans="1:5" x14ac:dyDescent="0.3">
      <c r="A57">
        <v>56</v>
      </c>
      <c r="B57" t="s">
        <v>395</v>
      </c>
      <c r="C57" t="s">
        <v>4835</v>
      </c>
      <c r="D57">
        <v>56</v>
      </c>
      <c r="E57" t="s">
        <v>393</v>
      </c>
    </row>
    <row r="58" spans="1:5" x14ac:dyDescent="0.3">
      <c r="A58">
        <v>57</v>
      </c>
      <c r="B58" t="s">
        <v>403</v>
      </c>
      <c r="C58" t="s">
        <v>4835</v>
      </c>
      <c r="D58">
        <v>57</v>
      </c>
      <c r="E58" t="s">
        <v>397</v>
      </c>
    </row>
    <row r="59" spans="1:5" x14ac:dyDescent="0.3">
      <c r="A59">
        <v>58</v>
      </c>
      <c r="B59" t="s">
        <v>407</v>
      </c>
      <c r="C59" t="s">
        <v>4835</v>
      </c>
      <c r="D59">
        <v>58</v>
      </c>
      <c r="E59" t="s">
        <v>405</v>
      </c>
    </row>
    <row r="60" spans="1:5" x14ac:dyDescent="0.3">
      <c r="A60">
        <v>59</v>
      </c>
      <c r="B60" t="s">
        <v>411</v>
      </c>
      <c r="C60" t="s">
        <v>4835</v>
      </c>
      <c r="D60">
        <v>59</v>
      </c>
      <c r="E60" t="s">
        <v>409</v>
      </c>
    </row>
    <row r="61" spans="1:5" x14ac:dyDescent="0.3">
      <c r="A61">
        <v>60</v>
      </c>
      <c r="B61" t="s">
        <v>415</v>
      </c>
      <c r="C61" t="s">
        <v>4835</v>
      </c>
      <c r="D61">
        <v>60</v>
      </c>
      <c r="E61" t="s">
        <v>413</v>
      </c>
    </row>
    <row r="62" spans="1:5" x14ac:dyDescent="0.3">
      <c r="A62">
        <v>61</v>
      </c>
      <c r="B62" t="s">
        <v>419</v>
      </c>
      <c r="C62" t="s">
        <v>4835</v>
      </c>
      <c r="D62">
        <v>61</v>
      </c>
      <c r="E62" t="s">
        <v>417</v>
      </c>
    </row>
    <row r="63" spans="1:5" x14ac:dyDescent="0.3">
      <c r="A63">
        <v>62</v>
      </c>
      <c r="B63" t="s">
        <v>427</v>
      </c>
      <c r="C63" t="s">
        <v>4835</v>
      </c>
      <c r="D63">
        <v>62</v>
      </c>
      <c r="E63" t="s">
        <v>421</v>
      </c>
    </row>
    <row r="64" spans="1:5" x14ac:dyDescent="0.3">
      <c r="A64">
        <v>63</v>
      </c>
      <c r="B64" t="s">
        <v>435</v>
      </c>
      <c r="C64" t="s">
        <v>4835</v>
      </c>
      <c r="D64">
        <v>63</v>
      </c>
      <c r="E64" t="s">
        <v>429</v>
      </c>
    </row>
    <row r="65" spans="1:5" x14ac:dyDescent="0.3">
      <c r="A65">
        <v>64</v>
      </c>
      <c r="B65" t="s">
        <v>439</v>
      </c>
      <c r="C65" t="s">
        <v>4835</v>
      </c>
      <c r="D65">
        <v>64</v>
      </c>
      <c r="E65" t="s">
        <v>437</v>
      </c>
    </row>
    <row r="66" spans="1:5" x14ac:dyDescent="0.3">
      <c r="A66">
        <v>65</v>
      </c>
      <c r="B66" t="s">
        <v>447</v>
      </c>
      <c r="C66" t="s">
        <v>4835</v>
      </c>
      <c r="D66">
        <v>65</v>
      </c>
      <c r="E66" t="s">
        <v>441</v>
      </c>
    </row>
    <row r="67" spans="1:5" x14ac:dyDescent="0.3">
      <c r="A67">
        <v>66</v>
      </c>
      <c r="B67" t="s">
        <v>451</v>
      </c>
      <c r="C67" t="s">
        <v>4835</v>
      </c>
      <c r="D67">
        <v>66</v>
      </c>
      <c r="E67" t="s">
        <v>449</v>
      </c>
    </row>
    <row r="68" spans="1:5" x14ac:dyDescent="0.3">
      <c r="A68">
        <v>67</v>
      </c>
      <c r="B68" t="s">
        <v>459</v>
      </c>
      <c r="C68" t="s">
        <v>4835</v>
      </c>
      <c r="D68">
        <v>67</v>
      </c>
      <c r="E68" t="s">
        <v>453</v>
      </c>
    </row>
    <row r="69" spans="1:5" x14ac:dyDescent="0.3">
      <c r="A69">
        <v>68</v>
      </c>
      <c r="B69" t="s">
        <v>467</v>
      </c>
      <c r="C69" t="s">
        <v>4835</v>
      </c>
      <c r="D69">
        <v>68</v>
      </c>
      <c r="E69" t="s">
        <v>461</v>
      </c>
    </row>
    <row r="70" spans="1:5" x14ac:dyDescent="0.3">
      <c r="A70">
        <v>69</v>
      </c>
      <c r="B70" t="s">
        <v>471</v>
      </c>
      <c r="C70" t="s">
        <v>4835</v>
      </c>
      <c r="D70">
        <v>69</v>
      </c>
      <c r="E70" t="s">
        <v>469</v>
      </c>
    </row>
    <row r="71" spans="1:5" x14ac:dyDescent="0.3">
      <c r="A71">
        <v>70</v>
      </c>
      <c r="B71" t="s">
        <v>475</v>
      </c>
      <c r="C71" t="s">
        <v>4835</v>
      </c>
      <c r="D71">
        <v>70</v>
      </c>
      <c r="E71" t="s">
        <v>473</v>
      </c>
    </row>
    <row r="72" spans="1:5" x14ac:dyDescent="0.3">
      <c r="A72">
        <v>71</v>
      </c>
      <c r="B72" t="s">
        <v>483</v>
      </c>
      <c r="C72" t="s">
        <v>4835</v>
      </c>
      <c r="D72">
        <v>71</v>
      </c>
      <c r="E72" t="s">
        <v>477</v>
      </c>
    </row>
    <row r="73" spans="1:5" x14ac:dyDescent="0.3">
      <c r="A73">
        <v>72</v>
      </c>
      <c r="B73" t="s">
        <v>487</v>
      </c>
      <c r="C73" t="s">
        <v>4835</v>
      </c>
      <c r="D73">
        <v>72</v>
      </c>
      <c r="E73" t="s">
        <v>485</v>
      </c>
    </row>
    <row r="74" spans="1:5" x14ac:dyDescent="0.3">
      <c r="A74">
        <v>73</v>
      </c>
      <c r="B74" t="s">
        <v>491</v>
      </c>
      <c r="C74" t="s">
        <v>4835</v>
      </c>
      <c r="D74">
        <v>73</v>
      </c>
      <c r="E74" t="s">
        <v>489</v>
      </c>
    </row>
    <row r="75" spans="1:5" x14ac:dyDescent="0.3">
      <c r="A75">
        <v>74</v>
      </c>
      <c r="B75" t="s">
        <v>495</v>
      </c>
      <c r="C75" t="s">
        <v>4835</v>
      </c>
      <c r="D75">
        <v>74</v>
      </c>
      <c r="E75" t="s">
        <v>493</v>
      </c>
    </row>
    <row r="76" spans="1:5" x14ac:dyDescent="0.3">
      <c r="A76">
        <v>75</v>
      </c>
      <c r="B76" t="s">
        <v>499</v>
      </c>
      <c r="C76" t="s">
        <v>4835</v>
      </c>
      <c r="D76">
        <v>75</v>
      </c>
      <c r="E76" t="s">
        <v>497</v>
      </c>
    </row>
    <row r="77" spans="1:5" x14ac:dyDescent="0.3">
      <c r="A77">
        <v>76</v>
      </c>
      <c r="B77" t="s">
        <v>503</v>
      </c>
      <c r="C77" t="s">
        <v>4835</v>
      </c>
      <c r="D77">
        <v>76</v>
      </c>
      <c r="E77" t="s">
        <v>501</v>
      </c>
    </row>
    <row r="78" spans="1:5" x14ac:dyDescent="0.3">
      <c r="A78">
        <v>77</v>
      </c>
      <c r="B78" t="s">
        <v>507</v>
      </c>
      <c r="C78" t="s">
        <v>4835</v>
      </c>
      <c r="D78">
        <v>77</v>
      </c>
      <c r="E78" t="s">
        <v>505</v>
      </c>
    </row>
    <row r="79" spans="1:5" x14ac:dyDescent="0.3">
      <c r="A79">
        <v>78</v>
      </c>
      <c r="B79" t="s">
        <v>511</v>
      </c>
      <c r="C79" t="s">
        <v>4835</v>
      </c>
      <c r="D79">
        <v>78</v>
      </c>
      <c r="E79" t="s">
        <v>509</v>
      </c>
    </row>
    <row r="80" spans="1:5" x14ac:dyDescent="0.3">
      <c r="A80">
        <v>79</v>
      </c>
      <c r="B80" t="s">
        <v>519</v>
      </c>
      <c r="C80" t="s">
        <v>4835</v>
      </c>
      <c r="D80">
        <v>79</v>
      </c>
      <c r="E80" t="s">
        <v>513</v>
      </c>
    </row>
    <row r="81" spans="1:5" x14ac:dyDescent="0.3">
      <c r="A81">
        <v>80</v>
      </c>
      <c r="B81" t="s">
        <v>523</v>
      </c>
      <c r="C81" t="s">
        <v>4835</v>
      </c>
      <c r="D81">
        <v>80</v>
      </c>
      <c r="E81" t="s">
        <v>521</v>
      </c>
    </row>
    <row r="82" spans="1:5" x14ac:dyDescent="0.3">
      <c r="A82">
        <v>81</v>
      </c>
      <c r="B82" t="s">
        <v>527</v>
      </c>
      <c r="C82" t="s">
        <v>4835</v>
      </c>
      <c r="D82">
        <v>81</v>
      </c>
      <c r="E82" t="s">
        <v>525</v>
      </c>
    </row>
    <row r="83" spans="1:5" x14ac:dyDescent="0.3">
      <c r="A83">
        <v>82</v>
      </c>
      <c r="B83" t="s">
        <v>531</v>
      </c>
      <c r="C83" t="s">
        <v>4835</v>
      </c>
      <c r="D83">
        <v>82</v>
      </c>
      <c r="E83" t="s">
        <v>529</v>
      </c>
    </row>
    <row r="84" spans="1:5" x14ac:dyDescent="0.3">
      <c r="A84">
        <v>83</v>
      </c>
      <c r="B84" t="s">
        <v>535</v>
      </c>
      <c r="C84" t="s">
        <v>4835</v>
      </c>
      <c r="D84">
        <v>83</v>
      </c>
      <c r="E84" t="s">
        <v>533</v>
      </c>
    </row>
    <row r="85" spans="1:5" x14ac:dyDescent="0.3">
      <c r="A85">
        <v>84</v>
      </c>
      <c r="B85" t="s">
        <v>539</v>
      </c>
      <c r="C85" t="s">
        <v>4835</v>
      </c>
      <c r="D85">
        <v>84</v>
      </c>
      <c r="E85" t="s">
        <v>537</v>
      </c>
    </row>
    <row r="86" spans="1:5" x14ac:dyDescent="0.3">
      <c r="A86">
        <v>85</v>
      </c>
      <c r="B86" t="s">
        <v>543</v>
      </c>
      <c r="C86" t="s">
        <v>4835</v>
      </c>
      <c r="D86">
        <v>85</v>
      </c>
      <c r="E86" t="s">
        <v>541</v>
      </c>
    </row>
    <row r="87" spans="1:5" x14ac:dyDescent="0.3">
      <c r="A87">
        <v>86</v>
      </c>
      <c r="B87" t="s">
        <v>547</v>
      </c>
      <c r="C87" t="s">
        <v>4835</v>
      </c>
      <c r="D87">
        <v>86</v>
      </c>
      <c r="E87" t="s">
        <v>545</v>
      </c>
    </row>
    <row r="88" spans="1:5" x14ac:dyDescent="0.3">
      <c r="A88">
        <v>87</v>
      </c>
      <c r="B88" t="s">
        <v>555</v>
      </c>
      <c r="C88" t="s">
        <v>4835</v>
      </c>
      <c r="D88">
        <v>87</v>
      </c>
      <c r="E88" t="s">
        <v>549</v>
      </c>
    </row>
    <row r="89" spans="1:5" x14ac:dyDescent="0.3">
      <c r="A89">
        <v>88</v>
      </c>
      <c r="B89" t="s">
        <v>563</v>
      </c>
      <c r="C89" t="s">
        <v>4835</v>
      </c>
      <c r="D89">
        <v>88</v>
      </c>
      <c r="E89" t="s">
        <v>557</v>
      </c>
    </row>
    <row r="90" spans="1:5" x14ac:dyDescent="0.3">
      <c r="A90">
        <v>89</v>
      </c>
      <c r="B90" t="s">
        <v>571</v>
      </c>
      <c r="C90" t="s">
        <v>4835</v>
      </c>
      <c r="D90">
        <v>89</v>
      </c>
      <c r="E90" t="s">
        <v>565</v>
      </c>
    </row>
    <row r="91" spans="1:5" x14ac:dyDescent="0.3">
      <c r="A91">
        <v>90</v>
      </c>
      <c r="B91" t="s">
        <v>575</v>
      </c>
      <c r="C91" t="s">
        <v>4835</v>
      </c>
      <c r="D91">
        <v>90</v>
      </c>
      <c r="E91" t="s">
        <v>573</v>
      </c>
    </row>
    <row r="92" spans="1:5" x14ac:dyDescent="0.3">
      <c r="A92">
        <v>91</v>
      </c>
      <c r="B92" t="s">
        <v>579</v>
      </c>
      <c r="C92" t="s">
        <v>4835</v>
      </c>
      <c r="D92">
        <v>91</v>
      </c>
      <c r="E92" t="s">
        <v>577</v>
      </c>
    </row>
    <row r="93" spans="1:5" x14ac:dyDescent="0.3">
      <c r="A93">
        <v>92</v>
      </c>
      <c r="B93" t="s">
        <v>583</v>
      </c>
      <c r="C93" t="s">
        <v>4835</v>
      </c>
      <c r="D93">
        <v>92</v>
      </c>
      <c r="E93" t="s">
        <v>581</v>
      </c>
    </row>
    <row r="94" spans="1:5" x14ac:dyDescent="0.3">
      <c r="A94">
        <v>93</v>
      </c>
      <c r="B94" t="s">
        <v>587</v>
      </c>
      <c r="C94" t="s">
        <v>4835</v>
      </c>
      <c r="D94">
        <v>93</v>
      </c>
      <c r="E94" t="s">
        <v>585</v>
      </c>
    </row>
    <row r="95" spans="1:5" x14ac:dyDescent="0.3">
      <c r="A95">
        <v>94</v>
      </c>
      <c r="B95" t="s">
        <v>591</v>
      </c>
      <c r="C95" t="s">
        <v>4835</v>
      </c>
      <c r="D95">
        <v>94</v>
      </c>
      <c r="E95" t="s">
        <v>589</v>
      </c>
    </row>
    <row r="96" spans="1:5" x14ac:dyDescent="0.3">
      <c r="A96">
        <v>95</v>
      </c>
      <c r="B96" t="s">
        <v>595</v>
      </c>
      <c r="C96" t="s">
        <v>4835</v>
      </c>
      <c r="D96">
        <v>95</v>
      </c>
      <c r="E96" t="s">
        <v>593</v>
      </c>
    </row>
    <row r="97" spans="1:5" x14ac:dyDescent="0.3">
      <c r="A97">
        <v>96</v>
      </c>
      <c r="B97" t="s">
        <v>599</v>
      </c>
      <c r="C97" t="s">
        <v>4835</v>
      </c>
      <c r="D97">
        <v>96</v>
      </c>
      <c r="E97" t="s">
        <v>597</v>
      </c>
    </row>
    <row r="98" spans="1:5" x14ac:dyDescent="0.3">
      <c r="A98">
        <v>97</v>
      </c>
      <c r="B98" t="s">
        <v>603</v>
      </c>
      <c r="C98" t="s">
        <v>4835</v>
      </c>
      <c r="D98">
        <v>97</v>
      </c>
      <c r="E98" t="s">
        <v>601</v>
      </c>
    </row>
    <row r="99" spans="1:5" x14ac:dyDescent="0.3">
      <c r="A99">
        <v>98</v>
      </c>
      <c r="B99" t="s">
        <v>607</v>
      </c>
      <c r="C99" t="s">
        <v>4835</v>
      </c>
      <c r="D99">
        <v>98</v>
      </c>
      <c r="E99" t="s">
        <v>605</v>
      </c>
    </row>
    <row r="100" spans="1:5" x14ac:dyDescent="0.3">
      <c r="A100">
        <v>99</v>
      </c>
      <c r="B100" t="s">
        <v>616</v>
      </c>
      <c r="C100" t="s">
        <v>4835</v>
      </c>
      <c r="D100">
        <v>99</v>
      </c>
      <c r="E100" t="s">
        <v>609</v>
      </c>
    </row>
    <row r="101" spans="1:5" x14ac:dyDescent="0.3">
      <c r="A101">
        <v>100</v>
      </c>
      <c r="B101" t="s">
        <v>620</v>
      </c>
      <c r="C101" t="s">
        <v>4835</v>
      </c>
      <c r="D101">
        <v>100</v>
      </c>
      <c r="E101" t="s">
        <v>618</v>
      </c>
    </row>
    <row r="102" spans="1:5" x14ac:dyDescent="0.3">
      <c r="A102">
        <v>101</v>
      </c>
      <c r="B102" t="s">
        <v>628</v>
      </c>
      <c r="C102" t="s">
        <v>4835</v>
      </c>
      <c r="D102">
        <v>101</v>
      </c>
      <c r="E102" t="s">
        <v>622</v>
      </c>
    </row>
    <row r="103" spans="1:5" x14ac:dyDescent="0.3">
      <c r="A103">
        <v>102</v>
      </c>
      <c r="B103" t="s">
        <v>636</v>
      </c>
      <c r="C103" t="s">
        <v>4835</v>
      </c>
      <c r="D103">
        <v>102</v>
      </c>
      <c r="E103" t="s">
        <v>630</v>
      </c>
    </row>
    <row r="104" spans="1:5" x14ac:dyDescent="0.3">
      <c r="A104">
        <v>103</v>
      </c>
      <c r="B104" t="s">
        <v>640</v>
      </c>
      <c r="C104" t="s">
        <v>4835</v>
      </c>
      <c r="D104">
        <v>103</v>
      </c>
      <c r="E104" t="s">
        <v>638</v>
      </c>
    </row>
    <row r="105" spans="1:5" x14ac:dyDescent="0.3">
      <c r="A105">
        <v>104</v>
      </c>
      <c r="B105" t="s">
        <v>644</v>
      </c>
      <c r="C105" t="s">
        <v>4835</v>
      </c>
      <c r="D105">
        <v>104</v>
      </c>
      <c r="E105" t="s">
        <v>642</v>
      </c>
    </row>
    <row r="106" spans="1:5" x14ac:dyDescent="0.3">
      <c r="A106">
        <v>105</v>
      </c>
      <c r="B106" t="s">
        <v>648</v>
      </c>
      <c r="C106" t="s">
        <v>4835</v>
      </c>
      <c r="D106">
        <v>105</v>
      </c>
      <c r="E106" t="s">
        <v>646</v>
      </c>
    </row>
    <row r="107" spans="1:5" x14ac:dyDescent="0.3">
      <c r="A107">
        <v>106</v>
      </c>
      <c r="B107" t="s">
        <v>652</v>
      </c>
      <c r="C107" t="s">
        <v>4835</v>
      </c>
      <c r="D107">
        <v>106</v>
      </c>
      <c r="E107" t="s">
        <v>650</v>
      </c>
    </row>
    <row r="108" spans="1:5" x14ac:dyDescent="0.3">
      <c r="A108">
        <v>107</v>
      </c>
      <c r="B108" t="s">
        <v>660</v>
      </c>
      <c r="C108" t="s">
        <v>4835</v>
      </c>
      <c r="D108">
        <v>107</v>
      </c>
      <c r="E108" t="s">
        <v>654</v>
      </c>
    </row>
    <row r="109" spans="1:5" x14ac:dyDescent="0.3">
      <c r="A109">
        <v>108</v>
      </c>
      <c r="B109" t="s">
        <v>668</v>
      </c>
      <c r="C109" t="s">
        <v>4835</v>
      </c>
      <c r="D109">
        <v>108</v>
      </c>
      <c r="E109" t="s">
        <v>662</v>
      </c>
    </row>
    <row r="110" spans="1:5" x14ac:dyDescent="0.3">
      <c r="A110">
        <v>109</v>
      </c>
      <c r="B110" t="s">
        <v>672</v>
      </c>
      <c r="C110" t="s">
        <v>4835</v>
      </c>
      <c r="D110">
        <v>109</v>
      </c>
      <c r="E110" t="s">
        <v>670</v>
      </c>
    </row>
    <row r="111" spans="1:5" x14ac:dyDescent="0.3">
      <c r="A111">
        <v>110</v>
      </c>
      <c r="B111" t="s">
        <v>676</v>
      </c>
      <c r="C111" t="s">
        <v>4835</v>
      </c>
      <c r="D111">
        <v>110</v>
      </c>
      <c r="E111" t="s">
        <v>674</v>
      </c>
    </row>
    <row r="112" spans="1:5" x14ac:dyDescent="0.3">
      <c r="A112">
        <v>111</v>
      </c>
      <c r="B112" t="s">
        <v>684</v>
      </c>
      <c r="C112" t="s">
        <v>4835</v>
      </c>
      <c r="D112">
        <v>111</v>
      </c>
      <c r="E112" t="s">
        <v>678</v>
      </c>
    </row>
    <row r="113" spans="1:5" x14ac:dyDescent="0.3">
      <c r="A113">
        <v>112</v>
      </c>
      <c r="B113" t="s">
        <v>688</v>
      </c>
      <c r="C113" t="s">
        <v>4835</v>
      </c>
      <c r="D113">
        <v>112</v>
      </c>
      <c r="E113" t="s">
        <v>686</v>
      </c>
    </row>
    <row r="114" spans="1:5" x14ac:dyDescent="0.3">
      <c r="A114">
        <v>113</v>
      </c>
      <c r="B114" t="s">
        <v>692</v>
      </c>
      <c r="C114" t="s">
        <v>4835</v>
      </c>
      <c r="D114">
        <v>113</v>
      </c>
      <c r="E114" t="s">
        <v>690</v>
      </c>
    </row>
    <row r="115" spans="1:5" x14ac:dyDescent="0.3">
      <c r="A115">
        <v>114</v>
      </c>
      <c r="B115" t="s">
        <v>696</v>
      </c>
      <c r="C115" t="s">
        <v>4835</v>
      </c>
      <c r="D115">
        <v>114</v>
      </c>
      <c r="E115" t="s">
        <v>694</v>
      </c>
    </row>
    <row r="116" spans="1:5" x14ac:dyDescent="0.3">
      <c r="A116">
        <v>115</v>
      </c>
      <c r="B116" t="s">
        <v>700</v>
      </c>
      <c r="C116" t="s">
        <v>4835</v>
      </c>
      <c r="D116">
        <v>115</v>
      </c>
      <c r="E116" t="s">
        <v>698</v>
      </c>
    </row>
    <row r="117" spans="1:5" x14ac:dyDescent="0.3">
      <c r="A117">
        <v>116</v>
      </c>
      <c r="B117" t="s">
        <v>704</v>
      </c>
      <c r="C117" t="s">
        <v>4835</v>
      </c>
      <c r="D117">
        <v>116</v>
      </c>
      <c r="E117" t="s">
        <v>702</v>
      </c>
    </row>
    <row r="118" spans="1:5" x14ac:dyDescent="0.3">
      <c r="A118">
        <v>117</v>
      </c>
      <c r="B118" t="s">
        <v>708</v>
      </c>
      <c r="C118" t="s">
        <v>4835</v>
      </c>
      <c r="D118">
        <v>117</v>
      </c>
      <c r="E118" t="s">
        <v>706</v>
      </c>
    </row>
    <row r="119" spans="1:5" x14ac:dyDescent="0.3">
      <c r="A119">
        <v>118</v>
      </c>
      <c r="B119" t="s">
        <v>712</v>
      </c>
      <c r="C119" t="s">
        <v>4835</v>
      </c>
      <c r="D119">
        <v>118</v>
      </c>
      <c r="E119" t="s">
        <v>710</v>
      </c>
    </row>
    <row r="120" spans="1:5" x14ac:dyDescent="0.3">
      <c r="A120">
        <v>119</v>
      </c>
      <c r="B120" t="s">
        <v>716</v>
      </c>
      <c r="C120" t="s">
        <v>4835</v>
      </c>
      <c r="D120">
        <v>119</v>
      </c>
      <c r="E120" t="s">
        <v>714</v>
      </c>
    </row>
    <row r="121" spans="1:5" x14ac:dyDescent="0.3">
      <c r="A121">
        <v>120</v>
      </c>
      <c r="B121" t="s">
        <v>720</v>
      </c>
      <c r="C121" t="s">
        <v>4835</v>
      </c>
      <c r="D121">
        <v>120</v>
      </c>
      <c r="E121" t="s">
        <v>718</v>
      </c>
    </row>
    <row r="122" spans="1:5" x14ac:dyDescent="0.3">
      <c r="A122">
        <v>121</v>
      </c>
      <c r="B122" t="s">
        <v>724</v>
      </c>
      <c r="C122" t="s">
        <v>4835</v>
      </c>
      <c r="D122">
        <v>121</v>
      </c>
      <c r="E122" t="s">
        <v>722</v>
      </c>
    </row>
    <row r="123" spans="1:5" x14ac:dyDescent="0.3">
      <c r="A123">
        <v>122</v>
      </c>
      <c r="B123" t="s">
        <v>728</v>
      </c>
      <c r="C123" t="s">
        <v>4835</v>
      </c>
      <c r="D123">
        <v>122</v>
      </c>
      <c r="E123" t="s">
        <v>726</v>
      </c>
    </row>
    <row r="124" spans="1:5" x14ac:dyDescent="0.3">
      <c r="A124">
        <v>123</v>
      </c>
      <c r="B124" t="s">
        <v>736</v>
      </c>
      <c r="C124" t="s">
        <v>4835</v>
      </c>
      <c r="D124">
        <v>123</v>
      </c>
      <c r="E124" t="s">
        <v>730</v>
      </c>
    </row>
    <row r="125" spans="1:5" x14ac:dyDescent="0.3">
      <c r="A125">
        <v>124</v>
      </c>
      <c r="B125" t="s">
        <v>740</v>
      </c>
      <c r="C125" t="s">
        <v>4835</v>
      </c>
      <c r="D125">
        <v>124</v>
      </c>
      <c r="E125" t="s">
        <v>738</v>
      </c>
    </row>
    <row r="126" spans="1:5" x14ac:dyDescent="0.3">
      <c r="A126">
        <v>125</v>
      </c>
      <c r="B126" t="s">
        <v>744</v>
      </c>
      <c r="C126" t="s">
        <v>4835</v>
      </c>
      <c r="D126">
        <v>125</v>
      </c>
      <c r="E126" t="s">
        <v>742</v>
      </c>
    </row>
    <row r="127" spans="1:5" x14ac:dyDescent="0.3">
      <c r="A127">
        <v>126</v>
      </c>
      <c r="B127" t="s">
        <v>748</v>
      </c>
      <c r="C127" t="s">
        <v>4835</v>
      </c>
      <c r="D127">
        <v>126</v>
      </c>
      <c r="E127" t="s">
        <v>746</v>
      </c>
    </row>
    <row r="128" spans="1:5" x14ac:dyDescent="0.3">
      <c r="A128">
        <v>127</v>
      </c>
      <c r="B128" t="s">
        <v>752</v>
      </c>
      <c r="C128" t="s">
        <v>4835</v>
      </c>
      <c r="D128">
        <v>127</v>
      </c>
      <c r="E128" t="s">
        <v>750</v>
      </c>
    </row>
    <row r="129" spans="1:5" x14ac:dyDescent="0.3">
      <c r="A129">
        <v>128</v>
      </c>
      <c r="B129" t="s">
        <v>756</v>
      </c>
      <c r="C129" t="s">
        <v>4835</v>
      </c>
      <c r="D129">
        <v>128</v>
      </c>
      <c r="E129" t="s">
        <v>754</v>
      </c>
    </row>
    <row r="130" spans="1:5" x14ac:dyDescent="0.3">
      <c r="A130">
        <v>129</v>
      </c>
      <c r="B130" t="s">
        <v>764</v>
      </c>
      <c r="C130" t="s">
        <v>4835</v>
      </c>
      <c r="D130">
        <v>129</v>
      </c>
      <c r="E130" t="s">
        <v>758</v>
      </c>
    </row>
    <row r="131" spans="1:5" x14ac:dyDescent="0.3">
      <c r="A131">
        <v>130</v>
      </c>
      <c r="B131" t="s">
        <v>768</v>
      </c>
      <c r="C131" t="s">
        <v>4835</v>
      </c>
      <c r="D131">
        <v>130</v>
      </c>
      <c r="E131" t="s">
        <v>766</v>
      </c>
    </row>
    <row r="132" spans="1:5" x14ac:dyDescent="0.3">
      <c r="A132">
        <v>131</v>
      </c>
      <c r="B132" t="s">
        <v>772</v>
      </c>
      <c r="C132" t="s">
        <v>4835</v>
      </c>
      <c r="D132">
        <v>131</v>
      </c>
      <c r="E132" t="s">
        <v>770</v>
      </c>
    </row>
    <row r="133" spans="1:5" x14ac:dyDescent="0.3">
      <c r="A133">
        <v>132</v>
      </c>
      <c r="B133" t="s">
        <v>776</v>
      </c>
      <c r="C133" t="s">
        <v>4835</v>
      </c>
      <c r="D133">
        <v>132</v>
      </c>
      <c r="E133" t="s">
        <v>774</v>
      </c>
    </row>
    <row r="134" spans="1:5" x14ac:dyDescent="0.3">
      <c r="A134">
        <v>133</v>
      </c>
      <c r="B134" t="s">
        <v>780</v>
      </c>
      <c r="C134" t="s">
        <v>4835</v>
      </c>
      <c r="D134">
        <v>133</v>
      </c>
      <c r="E134" t="s">
        <v>778</v>
      </c>
    </row>
    <row r="135" spans="1:5" x14ac:dyDescent="0.3">
      <c r="A135">
        <v>134</v>
      </c>
      <c r="B135" t="s">
        <v>784</v>
      </c>
      <c r="C135" t="s">
        <v>4835</v>
      </c>
      <c r="D135">
        <v>134</v>
      </c>
      <c r="E135" t="s">
        <v>782</v>
      </c>
    </row>
    <row r="136" spans="1:5" x14ac:dyDescent="0.3">
      <c r="A136">
        <v>135</v>
      </c>
      <c r="B136" t="s">
        <v>788</v>
      </c>
      <c r="C136" t="s">
        <v>4835</v>
      </c>
      <c r="D136">
        <v>135</v>
      </c>
      <c r="E136" t="s">
        <v>786</v>
      </c>
    </row>
    <row r="137" spans="1:5" x14ac:dyDescent="0.3">
      <c r="A137">
        <v>136</v>
      </c>
      <c r="B137" t="s">
        <v>792</v>
      </c>
      <c r="C137" t="s">
        <v>4835</v>
      </c>
      <c r="D137">
        <v>136</v>
      </c>
      <c r="E137" t="s">
        <v>790</v>
      </c>
    </row>
    <row r="138" spans="1:5" x14ac:dyDescent="0.3">
      <c r="A138">
        <v>137</v>
      </c>
      <c r="B138" t="s">
        <v>796</v>
      </c>
      <c r="C138" t="s">
        <v>4835</v>
      </c>
      <c r="D138">
        <v>137</v>
      </c>
      <c r="E138" t="s">
        <v>794</v>
      </c>
    </row>
    <row r="139" spans="1:5" x14ac:dyDescent="0.3">
      <c r="A139">
        <v>138</v>
      </c>
      <c r="B139" t="s">
        <v>804</v>
      </c>
      <c r="C139" t="s">
        <v>4835</v>
      </c>
      <c r="D139">
        <v>138</v>
      </c>
      <c r="E139" t="s">
        <v>798</v>
      </c>
    </row>
    <row r="140" spans="1:5" x14ac:dyDescent="0.3">
      <c r="A140">
        <v>139</v>
      </c>
      <c r="B140" t="s">
        <v>808</v>
      </c>
      <c r="C140" t="s">
        <v>4835</v>
      </c>
      <c r="D140">
        <v>139</v>
      </c>
      <c r="E140" t="s">
        <v>806</v>
      </c>
    </row>
    <row r="141" spans="1:5" x14ac:dyDescent="0.3">
      <c r="A141">
        <v>140</v>
      </c>
      <c r="B141" t="s">
        <v>811</v>
      </c>
      <c r="C141" t="s">
        <v>4835</v>
      </c>
      <c r="D141">
        <v>140</v>
      </c>
      <c r="E141" t="s">
        <v>809</v>
      </c>
    </row>
    <row r="142" spans="1:5" x14ac:dyDescent="0.3">
      <c r="A142">
        <v>141</v>
      </c>
      <c r="B142" t="s">
        <v>815</v>
      </c>
      <c r="C142" t="s">
        <v>4835</v>
      </c>
      <c r="D142">
        <v>141</v>
      </c>
      <c r="E142" t="s">
        <v>813</v>
      </c>
    </row>
    <row r="143" spans="1:5" x14ac:dyDescent="0.3">
      <c r="A143">
        <v>142</v>
      </c>
      <c r="B143" t="s">
        <v>820</v>
      </c>
      <c r="C143" t="s">
        <v>4835</v>
      </c>
      <c r="D143">
        <v>142</v>
      </c>
      <c r="E143" t="s">
        <v>817</v>
      </c>
    </row>
    <row r="144" spans="1:5" x14ac:dyDescent="0.3">
      <c r="A144">
        <v>143</v>
      </c>
      <c r="B144" t="s">
        <v>828</v>
      </c>
      <c r="C144" t="s">
        <v>4835</v>
      </c>
      <c r="D144">
        <v>143</v>
      </c>
      <c r="E144" t="s">
        <v>822</v>
      </c>
    </row>
    <row r="145" spans="1:5" x14ac:dyDescent="0.3">
      <c r="A145">
        <v>144</v>
      </c>
      <c r="B145" t="s">
        <v>832</v>
      </c>
      <c r="C145" t="s">
        <v>4835</v>
      </c>
      <c r="D145">
        <v>144</v>
      </c>
      <c r="E145" t="s">
        <v>830</v>
      </c>
    </row>
    <row r="146" spans="1:5" x14ac:dyDescent="0.3">
      <c r="A146">
        <v>145</v>
      </c>
      <c r="B146" t="s">
        <v>840</v>
      </c>
      <c r="C146" t="s">
        <v>4835</v>
      </c>
      <c r="D146">
        <v>145</v>
      </c>
      <c r="E146" t="s">
        <v>834</v>
      </c>
    </row>
    <row r="147" spans="1:5" x14ac:dyDescent="0.3">
      <c r="A147">
        <v>146</v>
      </c>
      <c r="B147" t="s">
        <v>848</v>
      </c>
      <c r="C147" t="s">
        <v>4835</v>
      </c>
      <c r="D147">
        <v>146</v>
      </c>
      <c r="E147" t="s">
        <v>842</v>
      </c>
    </row>
    <row r="148" spans="1:5" x14ac:dyDescent="0.3">
      <c r="A148">
        <v>147</v>
      </c>
      <c r="B148" t="s">
        <v>856</v>
      </c>
      <c r="C148" t="s">
        <v>4835</v>
      </c>
      <c r="D148">
        <v>147</v>
      </c>
      <c r="E148" t="s">
        <v>850</v>
      </c>
    </row>
    <row r="149" spans="1:5" x14ac:dyDescent="0.3">
      <c r="A149">
        <v>148</v>
      </c>
      <c r="B149" t="s">
        <v>860</v>
      </c>
      <c r="C149" t="s">
        <v>4835</v>
      </c>
      <c r="D149">
        <v>148</v>
      </c>
      <c r="E149" t="s">
        <v>858</v>
      </c>
    </row>
    <row r="150" spans="1:5" x14ac:dyDescent="0.3">
      <c r="A150">
        <v>149</v>
      </c>
      <c r="B150" t="s">
        <v>868</v>
      </c>
      <c r="C150" t="s">
        <v>4835</v>
      </c>
      <c r="D150">
        <v>149</v>
      </c>
      <c r="E150" t="s">
        <v>862</v>
      </c>
    </row>
    <row r="151" spans="1:5" x14ac:dyDescent="0.3">
      <c r="A151">
        <v>150</v>
      </c>
      <c r="B151" t="s">
        <v>872</v>
      </c>
      <c r="C151" t="s">
        <v>4835</v>
      </c>
      <c r="D151">
        <v>150</v>
      </c>
      <c r="E151" t="s">
        <v>870</v>
      </c>
    </row>
    <row r="152" spans="1:5" x14ac:dyDescent="0.3">
      <c r="A152">
        <v>151</v>
      </c>
      <c r="B152" t="s">
        <v>875</v>
      </c>
      <c r="C152" t="s">
        <v>4835</v>
      </c>
      <c r="D152">
        <v>151</v>
      </c>
      <c r="E152" t="s">
        <v>873</v>
      </c>
    </row>
    <row r="153" spans="1:5" x14ac:dyDescent="0.3">
      <c r="A153">
        <v>152</v>
      </c>
      <c r="B153" t="s">
        <v>879</v>
      </c>
      <c r="C153" t="s">
        <v>4835</v>
      </c>
      <c r="D153">
        <v>152</v>
      </c>
      <c r="E153" t="s">
        <v>877</v>
      </c>
    </row>
    <row r="154" spans="1:5" x14ac:dyDescent="0.3">
      <c r="A154">
        <v>153</v>
      </c>
      <c r="B154" t="s">
        <v>883</v>
      </c>
      <c r="C154" t="s">
        <v>4835</v>
      </c>
      <c r="D154">
        <v>153</v>
      </c>
      <c r="E154" t="s">
        <v>881</v>
      </c>
    </row>
    <row r="155" spans="1:5" x14ac:dyDescent="0.3">
      <c r="A155">
        <v>154</v>
      </c>
      <c r="B155" t="s">
        <v>891</v>
      </c>
      <c r="C155" t="s">
        <v>4835</v>
      </c>
      <c r="D155">
        <v>154</v>
      </c>
      <c r="E155" t="s">
        <v>885</v>
      </c>
    </row>
    <row r="156" spans="1:5" x14ac:dyDescent="0.3">
      <c r="A156">
        <v>155</v>
      </c>
      <c r="B156" t="s">
        <v>895</v>
      </c>
      <c r="C156" t="s">
        <v>4835</v>
      </c>
      <c r="D156">
        <v>155</v>
      </c>
      <c r="E156" t="s">
        <v>893</v>
      </c>
    </row>
    <row r="157" spans="1:5" x14ac:dyDescent="0.3">
      <c r="A157">
        <v>156</v>
      </c>
      <c r="B157" t="s">
        <v>899</v>
      </c>
      <c r="C157" t="s">
        <v>4835</v>
      </c>
      <c r="D157">
        <v>156</v>
      </c>
      <c r="E157" t="s">
        <v>897</v>
      </c>
    </row>
    <row r="158" spans="1:5" x14ac:dyDescent="0.3">
      <c r="A158">
        <v>157</v>
      </c>
      <c r="B158" t="s">
        <v>903</v>
      </c>
      <c r="C158" t="s">
        <v>4835</v>
      </c>
      <c r="D158">
        <v>157</v>
      </c>
      <c r="E158" t="s">
        <v>901</v>
      </c>
    </row>
    <row r="159" spans="1:5" x14ac:dyDescent="0.3">
      <c r="A159">
        <v>158</v>
      </c>
      <c r="B159" t="s">
        <v>907</v>
      </c>
      <c r="C159" t="s">
        <v>4835</v>
      </c>
      <c r="D159">
        <v>158</v>
      </c>
      <c r="E159" t="s">
        <v>905</v>
      </c>
    </row>
    <row r="160" spans="1:5" x14ac:dyDescent="0.3">
      <c r="A160">
        <v>159</v>
      </c>
      <c r="B160" t="s">
        <v>911</v>
      </c>
      <c r="C160" t="s">
        <v>4835</v>
      </c>
      <c r="D160">
        <v>159</v>
      </c>
      <c r="E160" t="s">
        <v>909</v>
      </c>
    </row>
    <row r="161" spans="1:5" x14ac:dyDescent="0.3">
      <c r="A161">
        <v>160</v>
      </c>
      <c r="B161" t="s">
        <v>915</v>
      </c>
      <c r="C161" t="s">
        <v>4835</v>
      </c>
      <c r="D161">
        <v>160</v>
      </c>
      <c r="E161" t="s">
        <v>913</v>
      </c>
    </row>
    <row r="162" spans="1:5" x14ac:dyDescent="0.3">
      <c r="A162">
        <v>161</v>
      </c>
      <c r="B162" t="s">
        <v>919</v>
      </c>
      <c r="C162" t="s">
        <v>4835</v>
      </c>
      <c r="D162">
        <v>161</v>
      </c>
      <c r="E162" t="s">
        <v>917</v>
      </c>
    </row>
    <row r="163" spans="1:5" x14ac:dyDescent="0.3">
      <c r="A163">
        <v>162</v>
      </c>
      <c r="B163" t="s">
        <v>923</v>
      </c>
      <c r="C163" t="s">
        <v>4835</v>
      </c>
      <c r="D163">
        <v>162</v>
      </c>
      <c r="E163" t="s">
        <v>921</v>
      </c>
    </row>
    <row r="164" spans="1:5" x14ac:dyDescent="0.3">
      <c r="A164">
        <v>163</v>
      </c>
      <c r="B164" t="s">
        <v>931</v>
      </c>
      <c r="C164" t="s">
        <v>4835</v>
      </c>
      <c r="D164">
        <v>163</v>
      </c>
      <c r="E164" t="s">
        <v>925</v>
      </c>
    </row>
    <row r="165" spans="1:5" x14ac:dyDescent="0.3">
      <c r="A165">
        <v>164</v>
      </c>
      <c r="B165" t="s">
        <v>935</v>
      </c>
      <c r="C165" t="s">
        <v>4835</v>
      </c>
      <c r="D165">
        <v>164</v>
      </c>
      <c r="E165" t="s">
        <v>933</v>
      </c>
    </row>
    <row r="166" spans="1:5" x14ac:dyDescent="0.3">
      <c r="A166">
        <v>165</v>
      </c>
      <c r="B166" t="s">
        <v>939</v>
      </c>
      <c r="C166" t="s">
        <v>4835</v>
      </c>
      <c r="D166">
        <v>165</v>
      </c>
      <c r="E166" t="s">
        <v>937</v>
      </c>
    </row>
    <row r="167" spans="1:5" x14ac:dyDescent="0.3">
      <c r="A167">
        <v>166</v>
      </c>
      <c r="B167" t="s">
        <v>943</v>
      </c>
      <c r="C167" t="s">
        <v>4835</v>
      </c>
      <c r="D167">
        <v>166</v>
      </c>
      <c r="E167" t="s">
        <v>941</v>
      </c>
    </row>
    <row r="168" spans="1:5" x14ac:dyDescent="0.3">
      <c r="A168">
        <v>167</v>
      </c>
      <c r="B168" t="s">
        <v>947</v>
      </c>
      <c r="C168" t="s">
        <v>4835</v>
      </c>
      <c r="D168">
        <v>167</v>
      </c>
      <c r="E168" t="s">
        <v>945</v>
      </c>
    </row>
    <row r="169" spans="1:5" x14ac:dyDescent="0.3">
      <c r="A169">
        <v>168</v>
      </c>
      <c r="B169" t="s">
        <v>951</v>
      </c>
      <c r="C169" t="s">
        <v>4835</v>
      </c>
      <c r="D169">
        <v>168</v>
      </c>
      <c r="E169" t="s">
        <v>949</v>
      </c>
    </row>
    <row r="170" spans="1:5" x14ac:dyDescent="0.3">
      <c r="A170">
        <v>169</v>
      </c>
      <c r="B170" t="s">
        <v>956</v>
      </c>
      <c r="C170" t="s">
        <v>4835</v>
      </c>
      <c r="D170">
        <v>169</v>
      </c>
      <c r="E170" t="s">
        <v>953</v>
      </c>
    </row>
    <row r="171" spans="1:5" x14ac:dyDescent="0.3">
      <c r="A171">
        <v>170</v>
      </c>
      <c r="B171" t="s">
        <v>960</v>
      </c>
      <c r="C171" t="s">
        <v>4835</v>
      </c>
      <c r="D171">
        <v>170</v>
      </c>
      <c r="E171" t="s">
        <v>958</v>
      </c>
    </row>
    <row r="172" spans="1:5" x14ac:dyDescent="0.3">
      <c r="A172">
        <v>171</v>
      </c>
      <c r="B172" t="s">
        <v>964</v>
      </c>
      <c r="C172" t="s">
        <v>4835</v>
      </c>
      <c r="D172">
        <v>171</v>
      </c>
      <c r="E172" t="s">
        <v>962</v>
      </c>
    </row>
    <row r="173" spans="1:5" x14ac:dyDescent="0.3">
      <c r="A173">
        <v>172</v>
      </c>
      <c r="B173" t="s">
        <v>972</v>
      </c>
      <c r="C173" t="s">
        <v>4835</v>
      </c>
      <c r="D173">
        <v>172</v>
      </c>
      <c r="E173" t="s">
        <v>966</v>
      </c>
    </row>
    <row r="174" spans="1:5" x14ac:dyDescent="0.3">
      <c r="A174">
        <v>173</v>
      </c>
      <c r="B174" t="s">
        <v>976</v>
      </c>
      <c r="C174" t="s">
        <v>4835</v>
      </c>
      <c r="D174">
        <v>173</v>
      </c>
      <c r="E174" t="s">
        <v>974</v>
      </c>
    </row>
    <row r="175" spans="1:5" x14ac:dyDescent="0.3">
      <c r="A175">
        <v>174</v>
      </c>
      <c r="B175" t="s">
        <v>980</v>
      </c>
      <c r="C175" t="s">
        <v>4835</v>
      </c>
      <c r="D175">
        <v>174</v>
      </c>
      <c r="E175" t="s">
        <v>978</v>
      </c>
    </row>
    <row r="176" spans="1:5" x14ac:dyDescent="0.3">
      <c r="A176">
        <v>175</v>
      </c>
      <c r="B176" t="s">
        <v>984</v>
      </c>
      <c r="C176" t="s">
        <v>4835</v>
      </c>
      <c r="D176">
        <v>175</v>
      </c>
      <c r="E176" t="s">
        <v>982</v>
      </c>
    </row>
    <row r="177" spans="1:5" x14ac:dyDescent="0.3">
      <c r="A177">
        <v>176</v>
      </c>
      <c r="B177" t="s">
        <v>988</v>
      </c>
      <c r="C177" t="s">
        <v>4835</v>
      </c>
      <c r="D177">
        <v>176</v>
      </c>
      <c r="E177" t="s">
        <v>986</v>
      </c>
    </row>
    <row r="178" spans="1:5" x14ac:dyDescent="0.3">
      <c r="A178">
        <v>177</v>
      </c>
      <c r="B178" t="s">
        <v>992</v>
      </c>
      <c r="C178" t="s">
        <v>4835</v>
      </c>
      <c r="D178">
        <v>177</v>
      </c>
      <c r="E178" t="s">
        <v>990</v>
      </c>
    </row>
    <row r="179" spans="1:5" x14ac:dyDescent="0.3">
      <c r="A179">
        <v>178</v>
      </c>
      <c r="B179" t="s">
        <v>996</v>
      </c>
      <c r="C179" t="s">
        <v>4835</v>
      </c>
      <c r="D179">
        <v>178</v>
      </c>
      <c r="E179" t="s">
        <v>994</v>
      </c>
    </row>
    <row r="180" spans="1:5" x14ac:dyDescent="0.3">
      <c r="A180">
        <v>179</v>
      </c>
      <c r="B180" t="s">
        <v>1000</v>
      </c>
      <c r="C180" t="s">
        <v>4835</v>
      </c>
      <c r="D180">
        <v>179</v>
      </c>
      <c r="E180" t="s">
        <v>998</v>
      </c>
    </row>
    <row r="181" spans="1:5" x14ac:dyDescent="0.3">
      <c r="A181">
        <v>180</v>
      </c>
      <c r="B181" t="s">
        <v>1008</v>
      </c>
      <c r="C181" t="s">
        <v>4835</v>
      </c>
      <c r="D181">
        <v>180</v>
      </c>
      <c r="E181" t="s">
        <v>1002</v>
      </c>
    </row>
    <row r="182" spans="1:5" x14ac:dyDescent="0.3">
      <c r="A182">
        <v>181</v>
      </c>
      <c r="B182" t="s">
        <v>1012</v>
      </c>
      <c r="C182" t="s">
        <v>4835</v>
      </c>
      <c r="D182">
        <v>181</v>
      </c>
      <c r="E182" t="s">
        <v>1010</v>
      </c>
    </row>
    <row r="183" spans="1:5" x14ac:dyDescent="0.3">
      <c r="A183">
        <v>182</v>
      </c>
      <c r="B183" t="s">
        <v>1016</v>
      </c>
      <c r="C183" t="s">
        <v>4835</v>
      </c>
      <c r="D183">
        <v>182</v>
      </c>
      <c r="E183" t="s">
        <v>1014</v>
      </c>
    </row>
    <row r="184" spans="1:5" x14ac:dyDescent="0.3">
      <c r="A184">
        <v>183</v>
      </c>
      <c r="B184" t="s">
        <v>1020</v>
      </c>
      <c r="C184" t="s">
        <v>4835</v>
      </c>
      <c r="D184">
        <v>183</v>
      </c>
      <c r="E184" t="s">
        <v>1018</v>
      </c>
    </row>
    <row r="185" spans="1:5" x14ac:dyDescent="0.3">
      <c r="A185">
        <v>184</v>
      </c>
      <c r="B185" t="s">
        <v>1028</v>
      </c>
      <c r="C185" t="s">
        <v>4835</v>
      </c>
      <c r="D185">
        <v>184</v>
      </c>
      <c r="E185" t="s">
        <v>1022</v>
      </c>
    </row>
    <row r="186" spans="1:5" x14ac:dyDescent="0.3">
      <c r="A186">
        <v>185</v>
      </c>
      <c r="B186" t="s">
        <v>1036</v>
      </c>
      <c r="C186" t="s">
        <v>4835</v>
      </c>
      <c r="D186">
        <v>185</v>
      </c>
      <c r="E186" t="s">
        <v>1030</v>
      </c>
    </row>
    <row r="187" spans="1:5" x14ac:dyDescent="0.3">
      <c r="A187">
        <v>186</v>
      </c>
      <c r="B187" t="s">
        <v>1040</v>
      </c>
      <c r="C187" t="s">
        <v>4835</v>
      </c>
      <c r="D187">
        <v>186</v>
      </c>
      <c r="E187" t="s">
        <v>1038</v>
      </c>
    </row>
    <row r="188" spans="1:5" x14ac:dyDescent="0.3">
      <c r="A188">
        <v>187</v>
      </c>
      <c r="B188" t="s">
        <v>1044</v>
      </c>
      <c r="C188" t="s">
        <v>4835</v>
      </c>
      <c r="D188">
        <v>187</v>
      </c>
      <c r="E188" t="s">
        <v>1042</v>
      </c>
    </row>
    <row r="189" spans="1:5" x14ac:dyDescent="0.3">
      <c r="A189">
        <v>188</v>
      </c>
      <c r="B189" t="s">
        <v>1048</v>
      </c>
      <c r="C189" t="s">
        <v>4835</v>
      </c>
      <c r="D189">
        <v>188</v>
      </c>
      <c r="E189" t="s">
        <v>1046</v>
      </c>
    </row>
    <row r="190" spans="1:5" x14ac:dyDescent="0.3">
      <c r="A190">
        <v>189</v>
      </c>
      <c r="B190" t="s">
        <v>1052</v>
      </c>
      <c r="C190" t="s">
        <v>4835</v>
      </c>
      <c r="D190">
        <v>189</v>
      </c>
      <c r="E190" t="s">
        <v>1050</v>
      </c>
    </row>
    <row r="191" spans="1:5" x14ac:dyDescent="0.3">
      <c r="A191">
        <v>190</v>
      </c>
      <c r="B191" t="s">
        <v>1056</v>
      </c>
      <c r="C191" t="s">
        <v>4835</v>
      </c>
      <c r="D191">
        <v>190</v>
      </c>
      <c r="E191" t="s">
        <v>1054</v>
      </c>
    </row>
    <row r="192" spans="1:5" x14ac:dyDescent="0.3">
      <c r="A192">
        <v>191</v>
      </c>
      <c r="B192" t="s">
        <v>1060</v>
      </c>
      <c r="C192" t="s">
        <v>4835</v>
      </c>
      <c r="D192">
        <v>191</v>
      </c>
      <c r="E192" t="s">
        <v>1058</v>
      </c>
    </row>
    <row r="193" spans="1:5" x14ac:dyDescent="0.3">
      <c r="A193">
        <v>192</v>
      </c>
      <c r="B193" t="s">
        <v>1064</v>
      </c>
      <c r="C193" t="s">
        <v>4835</v>
      </c>
      <c r="D193">
        <v>192</v>
      </c>
      <c r="E193" t="s">
        <v>1062</v>
      </c>
    </row>
    <row r="194" spans="1:5" x14ac:dyDescent="0.3">
      <c r="A194">
        <v>193</v>
      </c>
      <c r="B194" t="s">
        <v>1068</v>
      </c>
      <c r="C194" t="s">
        <v>4835</v>
      </c>
      <c r="D194">
        <v>193</v>
      </c>
      <c r="E194" t="s">
        <v>1066</v>
      </c>
    </row>
    <row r="195" spans="1:5" x14ac:dyDescent="0.3">
      <c r="A195">
        <v>194</v>
      </c>
      <c r="B195" t="s">
        <v>1072</v>
      </c>
      <c r="C195" t="s">
        <v>4835</v>
      </c>
      <c r="D195">
        <v>194</v>
      </c>
      <c r="E195" t="s">
        <v>1070</v>
      </c>
    </row>
    <row r="196" spans="1:5" x14ac:dyDescent="0.3">
      <c r="A196">
        <v>195</v>
      </c>
      <c r="B196" t="s">
        <v>1080</v>
      </c>
      <c r="C196" t="s">
        <v>4835</v>
      </c>
      <c r="D196">
        <v>195</v>
      </c>
      <c r="E196" t="s">
        <v>1074</v>
      </c>
    </row>
    <row r="197" spans="1:5" x14ac:dyDescent="0.3">
      <c r="A197">
        <v>196</v>
      </c>
      <c r="B197" t="s">
        <v>1084</v>
      </c>
      <c r="C197" t="s">
        <v>4835</v>
      </c>
      <c r="D197">
        <v>196</v>
      </c>
      <c r="E197" t="s">
        <v>1082</v>
      </c>
    </row>
    <row r="198" spans="1:5" x14ac:dyDescent="0.3">
      <c r="A198">
        <v>197</v>
      </c>
      <c r="B198" t="s">
        <v>1088</v>
      </c>
      <c r="C198" t="s">
        <v>4835</v>
      </c>
      <c r="D198">
        <v>197</v>
      </c>
      <c r="E198" t="s">
        <v>1086</v>
      </c>
    </row>
    <row r="199" spans="1:5" x14ac:dyDescent="0.3">
      <c r="A199">
        <v>198</v>
      </c>
      <c r="B199" t="s">
        <v>1096</v>
      </c>
      <c r="C199" t="s">
        <v>4835</v>
      </c>
      <c r="D199">
        <v>198</v>
      </c>
      <c r="E199" t="s">
        <v>1090</v>
      </c>
    </row>
    <row r="200" spans="1:5" x14ac:dyDescent="0.3">
      <c r="A200">
        <v>199</v>
      </c>
      <c r="B200" t="s">
        <v>1100</v>
      </c>
      <c r="C200" t="s">
        <v>4835</v>
      </c>
      <c r="D200">
        <v>199</v>
      </c>
      <c r="E200" t="s">
        <v>1098</v>
      </c>
    </row>
    <row r="201" spans="1:5" x14ac:dyDescent="0.3">
      <c r="A201">
        <v>200</v>
      </c>
      <c r="B201" t="s">
        <v>1104</v>
      </c>
      <c r="C201" t="s">
        <v>4835</v>
      </c>
      <c r="D201">
        <v>200</v>
      </c>
      <c r="E201" t="s">
        <v>1102</v>
      </c>
    </row>
    <row r="202" spans="1:5" x14ac:dyDescent="0.3">
      <c r="A202">
        <v>201</v>
      </c>
      <c r="B202" t="s">
        <v>1108</v>
      </c>
      <c r="C202" t="s">
        <v>4835</v>
      </c>
      <c r="D202">
        <v>201</v>
      </c>
      <c r="E202" t="s">
        <v>1106</v>
      </c>
    </row>
    <row r="203" spans="1:5" x14ac:dyDescent="0.3">
      <c r="A203">
        <v>202</v>
      </c>
      <c r="B203" t="s">
        <v>1112</v>
      </c>
      <c r="C203" t="s">
        <v>4835</v>
      </c>
      <c r="D203">
        <v>202</v>
      </c>
      <c r="E203" t="s">
        <v>1110</v>
      </c>
    </row>
    <row r="204" spans="1:5" x14ac:dyDescent="0.3">
      <c r="A204">
        <v>203</v>
      </c>
      <c r="B204" t="s">
        <v>1116</v>
      </c>
      <c r="C204" t="s">
        <v>4835</v>
      </c>
      <c r="D204">
        <v>203</v>
      </c>
      <c r="E204" t="s">
        <v>1114</v>
      </c>
    </row>
    <row r="205" spans="1:5" x14ac:dyDescent="0.3">
      <c r="A205">
        <v>204</v>
      </c>
      <c r="B205" t="s">
        <v>1120</v>
      </c>
      <c r="C205" t="s">
        <v>4835</v>
      </c>
      <c r="D205">
        <v>204</v>
      </c>
      <c r="E205" t="s">
        <v>1118</v>
      </c>
    </row>
    <row r="206" spans="1:5" x14ac:dyDescent="0.3">
      <c r="A206">
        <v>205</v>
      </c>
      <c r="B206" t="s">
        <v>1124</v>
      </c>
      <c r="C206" t="s">
        <v>4835</v>
      </c>
      <c r="D206">
        <v>205</v>
      </c>
      <c r="E206" t="s">
        <v>1122</v>
      </c>
    </row>
    <row r="207" spans="1:5" x14ac:dyDescent="0.3">
      <c r="A207">
        <v>206</v>
      </c>
      <c r="B207" t="s">
        <v>1128</v>
      </c>
      <c r="C207" t="s">
        <v>4835</v>
      </c>
      <c r="D207">
        <v>206</v>
      </c>
      <c r="E207" t="s">
        <v>1126</v>
      </c>
    </row>
    <row r="208" spans="1:5" x14ac:dyDescent="0.3">
      <c r="A208">
        <v>207</v>
      </c>
      <c r="B208" t="s">
        <v>1132</v>
      </c>
      <c r="C208" t="s">
        <v>4835</v>
      </c>
      <c r="D208">
        <v>207</v>
      </c>
      <c r="E208" t="s">
        <v>1130</v>
      </c>
    </row>
    <row r="209" spans="1:5" x14ac:dyDescent="0.3">
      <c r="A209">
        <v>208</v>
      </c>
      <c r="B209" t="s">
        <v>1136</v>
      </c>
      <c r="C209" t="s">
        <v>4835</v>
      </c>
      <c r="D209">
        <v>208</v>
      </c>
      <c r="E209" t="s">
        <v>1134</v>
      </c>
    </row>
    <row r="210" spans="1:5" x14ac:dyDescent="0.3">
      <c r="A210">
        <v>209</v>
      </c>
      <c r="B210" t="s">
        <v>1140</v>
      </c>
      <c r="C210" t="s">
        <v>4835</v>
      </c>
      <c r="D210">
        <v>209</v>
      </c>
      <c r="E210" t="s">
        <v>1138</v>
      </c>
    </row>
    <row r="211" spans="1:5" x14ac:dyDescent="0.3">
      <c r="A211">
        <v>210</v>
      </c>
      <c r="B211" t="s">
        <v>1144</v>
      </c>
      <c r="C211" t="s">
        <v>4835</v>
      </c>
      <c r="D211">
        <v>210</v>
      </c>
      <c r="E211" t="s">
        <v>1142</v>
      </c>
    </row>
    <row r="212" spans="1:5" x14ac:dyDescent="0.3">
      <c r="A212">
        <v>211</v>
      </c>
      <c r="B212" t="s">
        <v>1148</v>
      </c>
      <c r="C212" t="s">
        <v>4835</v>
      </c>
      <c r="D212">
        <v>211</v>
      </c>
      <c r="E212" t="s">
        <v>1146</v>
      </c>
    </row>
    <row r="213" spans="1:5" x14ac:dyDescent="0.3">
      <c r="A213">
        <v>212</v>
      </c>
      <c r="B213" t="s">
        <v>1151</v>
      </c>
      <c r="C213" t="s">
        <v>4835</v>
      </c>
      <c r="D213">
        <v>212</v>
      </c>
      <c r="E213" t="s">
        <v>1149</v>
      </c>
    </row>
    <row r="214" spans="1:5" x14ac:dyDescent="0.3">
      <c r="A214">
        <v>213</v>
      </c>
      <c r="B214" t="s">
        <v>1155</v>
      </c>
      <c r="C214" t="s">
        <v>4835</v>
      </c>
      <c r="D214">
        <v>213</v>
      </c>
      <c r="E214" t="s">
        <v>1153</v>
      </c>
    </row>
    <row r="215" spans="1:5" x14ac:dyDescent="0.3">
      <c r="A215">
        <v>214</v>
      </c>
      <c r="B215" t="s">
        <v>1159</v>
      </c>
      <c r="C215" t="s">
        <v>4835</v>
      </c>
      <c r="D215">
        <v>214</v>
      </c>
      <c r="E215" t="s">
        <v>1157</v>
      </c>
    </row>
    <row r="216" spans="1:5" x14ac:dyDescent="0.3">
      <c r="A216">
        <v>215</v>
      </c>
      <c r="B216" t="s">
        <v>1167</v>
      </c>
      <c r="C216" t="s">
        <v>4835</v>
      </c>
      <c r="D216">
        <v>215</v>
      </c>
      <c r="E216" t="s">
        <v>1161</v>
      </c>
    </row>
    <row r="217" spans="1:5" x14ac:dyDescent="0.3">
      <c r="A217">
        <v>216</v>
      </c>
      <c r="B217" t="s">
        <v>1171</v>
      </c>
      <c r="C217" t="s">
        <v>4835</v>
      </c>
      <c r="D217">
        <v>216</v>
      </c>
      <c r="E217" t="s">
        <v>1169</v>
      </c>
    </row>
    <row r="218" spans="1:5" x14ac:dyDescent="0.3">
      <c r="A218">
        <v>217</v>
      </c>
      <c r="B218" t="s">
        <v>1179</v>
      </c>
      <c r="C218" t="s">
        <v>4835</v>
      </c>
      <c r="D218">
        <v>217</v>
      </c>
      <c r="E218" t="s">
        <v>1173</v>
      </c>
    </row>
    <row r="219" spans="1:5" x14ac:dyDescent="0.3">
      <c r="A219">
        <v>218</v>
      </c>
      <c r="B219" t="s">
        <v>1183</v>
      </c>
      <c r="C219" t="s">
        <v>4835</v>
      </c>
      <c r="D219">
        <v>218</v>
      </c>
      <c r="E219" t="s">
        <v>1181</v>
      </c>
    </row>
    <row r="220" spans="1:5" x14ac:dyDescent="0.3">
      <c r="A220">
        <v>219</v>
      </c>
      <c r="B220" t="s">
        <v>1190</v>
      </c>
      <c r="C220" t="s">
        <v>4835</v>
      </c>
      <c r="D220">
        <v>219</v>
      </c>
      <c r="E220" t="s">
        <v>1184</v>
      </c>
    </row>
    <row r="221" spans="1:5" x14ac:dyDescent="0.3">
      <c r="A221">
        <v>220</v>
      </c>
      <c r="B221" t="s">
        <v>1194</v>
      </c>
      <c r="C221" t="s">
        <v>4835</v>
      </c>
      <c r="D221">
        <v>220</v>
      </c>
      <c r="E221" t="s">
        <v>1192</v>
      </c>
    </row>
    <row r="222" spans="1:5" x14ac:dyDescent="0.3">
      <c r="A222">
        <v>221</v>
      </c>
      <c r="B222" t="s">
        <v>1198</v>
      </c>
      <c r="C222" t="s">
        <v>4835</v>
      </c>
      <c r="D222">
        <v>221</v>
      </c>
      <c r="E222" t="s">
        <v>1196</v>
      </c>
    </row>
    <row r="223" spans="1:5" x14ac:dyDescent="0.3">
      <c r="A223">
        <v>222</v>
      </c>
      <c r="B223" t="s">
        <v>1202</v>
      </c>
      <c r="C223" t="s">
        <v>4835</v>
      </c>
      <c r="D223">
        <v>222</v>
      </c>
      <c r="E223" t="s">
        <v>1200</v>
      </c>
    </row>
    <row r="224" spans="1:5" x14ac:dyDescent="0.3">
      <c r="A224">
        <v>223</v>
      </c>
      <c r="B224" t="s">
        <v>1206</v>
      </c>
      <c r="C224" t="s">
        <v>4835</v>
      </c>
      <c r="D224">
        <v>223</v>
      </c>
      <c r="E224" t="s">
        <v>1204</v>
      </c>
    </row>
    <row r="225" spans="1:5" x14ac:dyDescent="0.3">
      <c r="A225">
        <v>224</v>
      </c>
      <c r="B225" t="s">
        <v>1210</v>
      </c>
      <c r="C225" t="s">
        <v>4835</v>
      </c>
      <c r="D225">
        <v>224</v>
      </c>
      <c r="E225" t="s">
        <v>1208</v>
      </c>
    </row>
    <row r="226" spans="1:5" x14ac:dyDescent="0.3">
      <c r="A226">
        <v>225</v>
      </c>
      <c r="B226" t="s">
        <v>1214</v>
      </c>
      <c r="C226" t="s">
        <v>4835</v>
      </c>
      <c r="D226">
        <v>225</v>
      </c>
      <c r="E226" t="s">
        <v>1212</v>
      </c>
    </row>
    <row r="227" spans="1:5" x14ac:dyDescent="0.3">
      <c r="A227">
        <v>226</v>
      </c>
      <c r="B227" t="s">
        <v>1218</v>
      </c>
      <c r="C227" t="s">
        <v>4835</v>
      </c>
      <c r="D227">
        <v>226</v>
      </c>
      <c r="E227" t="s">
        <v>1216</v>
      </c>
    </row>
    <row r="228" spans="1:5" x14ac:dyDescent="0.3">
      <c r="A228">
        <v>227</v>
      </c>
      <c r="B228" t="s">
        <v>1222</v>
      </c>
      <c r="C228" t="s">
        <v>4835</v>
      </c>
      <c r="D228">
        <v>227</v>
      </c>
      <c r="E228" t="s">
        <v>1220</v>
      </c>
    </row>
    <row r="229" spans="1:5" x14ac:dyDescent="0.3">
      <c r="A229">
        <v>228</v>
      </c>
      <c r="B229" t="s">
        <v>1226</v>
      </c>
      <c r="C229" t="s">
        <v>4835</v>
      </c>
      <c r="D229">
        <v>228</v>
      </c>
      <c r="E229" t="s">
        <v>1224</v>
      </c>
    </row>
    <row r="230" spans="1:5" x14ac:dyDescent="0.3">
      <c r="A230">
        <v>229</v>
      </c>
      <c r="B230" t="s">
        <v>1230</v>
      </c>
      <c r="C230" t="s">
        <v>4835</v>
      </c>
      <c r="D230">
        <v>229</v>
      </c>
      <c r="E230" t="s">
        <v>1228</v>
      </c>
    </row>
    <row r="231" spans="1:5" x14ac:dyDescent="0.3">
      <c r="A231">
        <v>230</v>
      </c>
      <c r="B231" t="s">
        <v>1238</v>
      </c>
      <c r="C231" t="s">
        <v>4835</v>
      </c>
      <c r="D231">
        <v>230</v>
      </c>
      <c r="E231" t="s">
        <v>1232</v>
      </c>
    </row>
    <row r="232" spans="1:5" x14ac:dyDescent="0.3">
      <c r="A232">
        <v>231</v>
      </c>
      <c r="B232" t="s">
        <v>1245</v>
      </c>
      <c r="C232" t="s">
        <v>4835</v>
      </c>
      <c r="D232">
        <v>231</v>
      </c>
      <c r="E232" t="s">
        <v>1239</v>
      </c>
    </row>
    <row r="233" spans="1:5" x14ac:dyDescent="0.3">
      <c r="A233">
        <v>232</v>
      </c>
      <c r="B233" t="s">
        <v>1249</v>
      </c>
      <c r="C233" t="s">
        <v>4835</v>
      </c>
      <c r="D233">
        <v>232</v>
      </c>
      <c r="E233" t="s">
        <v>1247</v>
      </c>
    </row>
    <row r="234" spans="1:5" x14ac:dyDescent="0.3">
      <c r="A234">
        <v>233</v>
      </c>
      <c r="B234" t="s">
        <v>1252</v>
      </c>
      <c r="C234" t="s">
        <v>4835</v>
      </c>
      <c r="D234">
        <v>233</v>
      </c>
      <c r="E234" t="s">
        <v>1250</v>
      </c>
    </row>
    <row r="235" spans="1:5" x14ac:dyDescent="0.3">
      <c r="A235">
        <v>234</v>
      </c>
      <c r="B235" t="s">
        <v>1256</v>
      </c>
      <c r="C235" t="s">
        <v>4835</v>
      </c>
      <c r="D235">
        <v>234</v>
      </c>
      <c r="E235" t="s">
        <v>1254</v>
      </c>
    </row>
    <row r="236" spans="1:5" x14ac:dyDescent="0.3">
      <c r="A236">
        <v>235</v>
      </c>
      <c r="B236" t="s">
        <v>1260</v>
      </c>
      <c r="C236" t="s">
        <v>4835</v>
      </c>
      <c r="D236">
        <v>235</v>
      </c>
      <c r="E236" t="s">
        <v>1258</v>
      </c>
    </row>
    <row r="237" spans="1:5" x14ac:dyDescent="0.3">
      <c r="A237">
        <v>236</v>
      </c>
      <c r="B237" t="s">
        <v>1264</v>
      </c>
      <c r="C237" t="s">
        <v>4835</v>
      </c>
      <c r="D237">
        <v>236</v>
      </c>
      <c r="E237" t="s">
        <v>1262</v>
      </c>
    </row>
    <row r="238" spans="1:5" x14ac:dyDescent="0.3">
      <c r="A238">
        <v>237</v>
      </c>
      <c r="B238" t="s">
        <v>1268</v>
      </c>
      <c r="C238" t="s">
        <v>4835</v>
      </c>
      <c r="D238">
        <v>237</v>
      </c>
      <c r="E238" t="s">
        <v>1266</v>
      </c>
    </row>
    <row r="239" spans="1:5" x14ac:dyDescent="0.3">
      <c r="A239">
        <v>238</v>
      </c>
      <c r="B239" t="s">
        <v>1276</v>
      </c>
      <c r="C239" t="s">
        <v>4835</v>
      </c>
      <c r="D239">
        <v>238</v>
      </c>
      <c r="E239" t="s">
        <v>1270</v>
      </c>
    </row>
    <row r="240" spans="1:5" x14ac:dyDescent="0.3">
      <c r="A240">
        <v>239</v>
      </c>
      <c r="B240" t="s">
        <v>1280</v>
      </c>
      <c r="C240" t="s">
        <v>4835</v>
      </c>
      <c r="D240">
        <v>239</v>
      </c>
      <c r="E240" t="s">
        <v>1278</v>
      </c>
    </row>
    <row r="241" spans="1:5" x14ac:dyDescent="0.3">
      <c r="A241">
        <v>240</v>
      </c>
      <c r="B241" t="s">
        <v>1284</v>
      </c>
      <c r="C241" t="s">
        <v>4835</v>
      </c>
      <c r="D241">
        <v>240</v>
      </c>
      <c r="E241" t="s">
        <v>1282</v>
      </c>
    </row>
    <row r="242" spans="1:5" x14ac:dyDescent="0.3">
      <c r="A242">
        <v>241</v>
      </c>
      <c r="B242" t="s">
        <v>1288</v>
      </c>
      <c r="C242" t="s">
        <v>4835</v>
      </c>
      <c r="D242">
        <v>241</v>
      </c>
      <c r="E242" t="s">
        <v>1286</v>
      </c>
    </row>
    <row r="243" spans="1:5" x14ac:dyDescent="0.3">
      <c r="A243">
        <v>242</v>
      </c>
      <c r="B243" t="s">
        <v>1292</v>
      </c>
      <c r="C243" t="s">
        <v>4835</v>
      </c>
      <c r="D243">
        <v>242</v>
      </c>
      <c r="E243" t="s">
        <v>1290</v>
      </c>
    </row>
    <row r="244" spans="1:5" x14ac:dyDescent="0.3">
      <c r="A244">
        <v>243</v>
      </c>
      <c r="B244" t="s">
        <v>1296</v>
      </c>
      <c r="C244" t="s">
        <v>4835</v>
      </c>
      <c r="D244">
        <v>243</v>
      </c>
      <c r="E244" t="s">
        <v>1294</v>
      </c>
    </row>
    <row r="245" spans="1:5" x14ac:dyDescent="0.3">
      <c r="A245">
        <v>244</v>
      </c>
      <c r="B245" t="s">
        <v>1300</v>
      </c>
      <c r="C245" t="s">
        <v>4835</v>
      </c>
      <c r="D245">
        <v>244</v>
      </c>
      <c r="E245" t="s">
        <v>1298</v>
      </c>
    </row>
    <row r="246" spans="1:5" x14ac:dyDescent="0.3">
      <c r="A246">
        <v>245</v>
      </c>
      <c r="B246" t="s">
        <v>1304</v>
      </c>
      <c r="C246" t="s">
        <v>4835</v>
      </c>
      <c r="D246">
        <v>245</v>
      </c>
      <c r="E246" t="s">
        <v>1302</v>
      </c>
    </row>
    <row r="247" spans="1:5" x14ac:dyDescent="0.3">
      <c r="A247">
        <v>246</v>
      </c>
      <c r="B247" t="s">
        <v>1312</v>
      </c>
      <c r="C247" t="s">
        <v>4835</v>
      </c>
      <c r="D247">
        <v>246</v>
      </c>
      <c r="E247" t="s">
        <v>1306</v>
      </c>
    </row>
    <row r="248" spans="1:5" x14ac:dyDescent="0.3">
      <c r="A248">
        <v>247</v>
      </c>
      <c r="B248" t="s">
        <v>1316</v>
      </c>
      <c r="C248" t="s">
        <v>4835</v>
      </c>
      <c r="D248">
        <v>247</v>
      </c>
      <c r="E248" t="s">
        <v>1314</v>
      </c>
    </row>
    <row r="249" spans="1:5" x14ac:dyDescent="0.3">
      <c r="A249">
        <v>248</v>
      </c>
      <c r="B249" t="s">
        <v>1320</v>
      </c>
      <c r="C249" t="s">
        <v>4835</v>
      </c>
      <c r="D249">
        <v>248</v>
      </c>
      <c r="E249" t="s">
        <v>1318</v>
      </c>
    </row>
    <row r="250" spans="1:5" x14ac:dyDescent="0.3">
      <c r="A250">
        <v>249</v>
      </c>
      <c r="B250" t="s">
        <v>1324</v>
      </c>
      <c r="C250" t="s">
        <v>4835</v>
      </c>
      <c r="D250">
        <v>249</v>
      </c>
      <c r="E250" t="s">
        <v>1322</v>
      </c>
    </row>
    <row r="251" spans="1:5" x14ac:dyDescent="0.3">
      <c r="A251">
        <v>250</v>
      </c>
      <c r="B251" t="s">
        <v>1328</v>
      </c>
      <c r="C251" t="s">
        <v>4835</v>
      </c>
      <c r="D251">
        <v>250</v>
      </c>
      <c r="E251" t="s">
        <v>1326</v>
      </c>
    </row>
    <row r="252" spans="1:5" x14ac:dyDescent="0.3">
      <c r="A252">
        <v>251</v>
      </c>
      <c r="B252" t="s">
        <v>1332</v>
      </c>
      <c r="C252" t="s">
        <v>4835</v>
      </c>
      <c r="D252">
        <v>251</v>
      </c>
      <c r="E252" t="s">
        <v>1330</v>
      </c>
    </row>
    <row r="253" spans="1:5" x14ac:dyDescent="0.3">
      <c r="A253">
        <v>252</v>
      </c>
      <c r="B253" t="s">
        <v>1335</v>
      </c>
      <c r="C253" t="s">
        <v>4835</v>
      </c>
      <c r="D253">
        <v>252</v>
      </c>
      <c r="E253" t="s">
        <v>1333</v>
      </c>
    </row>
    <row r="254" spans="1:5" x14ac:dyDescent="0.3">
      <c r="A254">
        <v>253</v>
      </c>
      <c r="B254" t="s">
        <v>1342</v>
      </c>
      <c r="C254" t="s">
        <v>4835</v>
      </c>
      <c r="D254">
        <v>253</v>
      </c>
      <c r="E254" t="s">
        <v>1336</v>
      </c>
    </row>
    <row r="255" spans="1:5" x14ac:dyDescent="0.3">
      <c r="A255">
        <v>254</v>
      </c>
      <c r="B255" t="s">
        <v>1350</v>
      </c>
      <c r="C255" t="s">
        <v>4835</v>
      </c>
      <c r="D255">
        <v>254</v>
      </c>
      <c r="E255" t="s">
        <v>1344</v>
      </c>
    </row>
    <row r="256" spans="1:5" x14ac:dyDescent="0.3">
      <c r="A256">
        <v>255</v>
      </c>
      <c r="B256" t="s">
        <v>1354</v>
      </c>
      <c r="C256" t="s">
        <v>4835</v>
      </c>
      <c r="D256">
        <v>255</v>
      </c>
      <c r="E256" t="s">
        <v>1352</v>
      </c>
    </row>
    <row r="257" spans="1:5" x14ac:dyDescent="0.3">
      <c r="A257">
        <v>256</v>
      </c>
      <c r="B257" t="s">
        <v>1357</v>
      </c>
      <c r="C257" t="s">
        <v>4835</v>
      </c>
      <c r="D257">
        <v>256</v>
      </c>
      <c r="E257" t="s">
        <v>1355</v>
      </c>
    </row>
    <row r="258" spans="1:5" x14ac:dyDescent="0.3">
      <c r="A258">
        <v>257</v>
      </c>
      <c r="B258" t="s">
        <v>1361</v>
      </c>
      <c r="C258" t="s">
        <v>4835</v>
      </c>
      <c r="D258">
        <v>257</v>
      </c>
      <c r="E258" t="s">
        <v>1359</v>
      </c>
    </row>
    <row r="259" spans="1:5" x14ac:dyDescent="0.3">
      <c r="A259">
        <v>258</v>
      </c>
      <c r="B259" t="s">
        <v>1366</v>
      </c>
      <c r="C259" t="s">
        <v>4835</v>
      </c>
      <c r="D259">
        <v>258</v>
      </c>
      <c r="E259" t="s">
        <v>1363</v>
      </c>
    </row>
    <row r="260" spans="1:5" x14ac:dyDescent="0.3">
      <c r="A260">
        <v>259</v>
      </c>
      <c r="B260" t="s">
        <v>1370</v>
      </c>
      <c r="C260" t="s">
        <v>4835</v>
      </c>
      <c r="D260">
        <v>259</v>
      </c>
      <c r="E260" t="s">
        <v>1368</v>
      </c>
    </row>
    <row r="261" spans="1:5" x14ac:dyDescent="0.3">
      <c r="A261">
        <v>260</v>
      </c>
      <c r="B261" t="s">
        <v>1378</v>
      </c>
      <c r="C261" t="s">
        <v>4835</v>
      </c>
      <c r="D261">
        <v>260</v>
      </c>
      <c r="E261" t="s">
        <v>1372</v>
      </c>
    </row>
    <row r="262" spans="1:5" x14ac:dyDescent="0.3">
      <c r="A262">
        <v>261</v>
      </c>
      <c r="B262" t="s">
        <v>1328</v>
      </c>
      <c r="C262" t="s">
        <v>4835</v>
      </c>
      <c r="D262">
        <v>261</v>
      </c>
      <c r="E262" t="s">
        <v>1380</v>
      </c>
    </row>
    <row r="263" spans="1:5" x14ac:dyDescent="0.3">
      <c r="A263">
        <v>262</v>
      </c>
      <c r="B263" t="s">
        <v>1384</v>
      </c>
      <c r="C263" t="s">
        <v>4835</v>
      </c>
      <c r="D263">
        <v>262</v>
      </c>
      <c r="E263" t="s">
        <v>1382</v>
      </c>
    </row>
    <row r="264" spans="1:5" x14ac:dyDescent="0.3">
      <c r="A264">
        <v>263</v>
      </c>
      <c r="B264" t="s">
        <v>1392</v>
      </c>
      <c r="C264" t="s">
        <v>4835</v>
      </c>
      <c r="D264">
        <v>263</v>
      </c>
      <c r="E264" t="s">
        <v>1386</v>
      </c>
    </row>
    <row r="265" spans="1:5" x14ac:dyDescent="0.3">
      <c r="A265">
        <v>264</v>
      </c>
      <c r="B265" t="s">
        <v>1395</v>
      </c>
      <c r="C265" t="s">
        <v>4835</v>
      </c>
      <c r="D265">
        <v>264</v>
      </c>
      <c r="E265" t="s">
        <v>1394</v>
      </c>
    </row>
    <row r="266" spans="1:5" x14ac:dyDescent="0.3">
      <c r="A266">
        <v>265</v>
      </c>
      <c r="B266" t="s">
        <v>1399</v>
      </c>
      <c r="C266" t="s">
        <v>4835</v>
      </c>
      <c r="D266">
        <v>265</v>
      </c>
      <c r="E266" t="s">
        <v>1397</v>
      </c>
    </row>
    <row r="267" spans="1:5" x14ac:dyDescent="0.3">
      <c r="A267">
        <v>266</v>
      </c>
      <c r="B267" t="s">
        <v>1328</v>
      </c>
      <c r="C267" t="s">
        <v>4835</v>
      </c>
      <c r="D267">
        <v>266</v>
      </c>
      <c r="E267" t="s">
        <v>1401</v>
      </c>
    </row>
    <row r="268" spans="1:5" x14ac:dyDescent="0.3">
      <c r="A268">
        <v>267</v>
      </c>
      <c r="B268" t="s">
        <v>1406</v>
      </c>
      <c r="C268" t="s">
        <v>4835</v>
      </c>
      <c r="D268">
        <v>267</v>
      </c>
      <c r="E268" t="s">
        <v>1404</v>
      </c>
    </row>
    <row r="269" spans="1:5" x14ac:dyDescent="0.3">
      <c r="A269">
        <v>268</v>
      </c>
      <c r="B269" t="s">
        <v>1410</v>
      </c>
      <c r="C269" t="s">
        <v>4835</v>
      </c>
      <c r="D269">
        <v>268</v>
      </c>
      <c r="E269" t="s">
        <v>1408</v>
      </c>
    </row>
    <row r="270" spans="1:5" x14ac:dyDescent="0.3">
      <c r="A270">
        <v>269</v>
      </c>
      <c r="B270" t="s">
        <v>1418</v>
      </c>
      <c r="C270" t="s">
        <v>4835</v>
      </c>
      <c r="D270">
        <v>269</v>
      </c>
      <c r="E270" t="s">
        <v>1412</v>
      </c>
    </row>
    <row r="271" spans="1:5" x14ac:dyDescent="0.3">
      <c r="A271">
        <v>270</v>
      </c>
      <c r="B271" t="s">
        <v>1422</v>
      </c>
      <c r="C271" t="s">
        <v>4835</v>
      </c>
      <c r="D271">
        <v>270</v>
      </c>
      <c r="E271" t="s">
        <v>1420</v>
      </c>
    </row>
    <row r="272" spans="1:5" x14ac:dyDescent="0.3">
      <c r="A272">
        <v>271</v>
      </c>
      <c r="B272" t="s">
        <v>1426</v>
      </c>
      <c r="C272" t="s">
        <v>4835</v>
      </c>
      <c r="D272">
        <v>271</v>
      </c>
      <c r="E272" t="s">
        <v>1424</v>
      </c>
    </row>
    <row r="273" spans="1:5" x14ac:dyDescent="0.3">
      <c r="A273">
        <v>272</v>
      </c>
      <c r="B273" t="s">
        <v>1430</v>
      </c>
      <c r="C273" t="s">
        <v>4835</v>
      </c>
      <c r="D273">
        <v>272</v>
      </c>
      <c r="E273" t="s">
        <v>1428</v>
      </c>
    </row>
    <row r="274" spans="1:5" x14ac:dyDescent="0.3">
      <c r="A274">
        <v>273</v>
      </c>
      <c r="B274" t="s">
        <v>1434</v>
      </c>
      <c r="C274" t="s">
        <v>4835</v>
      </c>
      <c r="D274">
        <v>273</v>
      </c>
      <c r="E274" t="s">
        <v>1432</v>
      </c>
    </row>
    <row r="275" spans="1:5" x14ac:dyDescent="0.3">
      <c r="A275">
        <v>274</v>
      </c>
      <c r="B275" t="s">
        <v>1438</v>
      </c>
      <c r="C275" t="s">
        <v>4835</v>
      </c>
      <c r="D275">
        <v>274</v>
      </c>
      <c r="E275" t="s">
        <v>1436</v>
      </c>
    </row>
    <row r="276" spans="1:5" x14ac:dyDescent="0.3">
      <c r="A276">
        <v>275</v>
      </c>
      <c r="B276" t="s">
        <v>1446</v>
      </c>
      <c r="C276" t="s">
        <v>4835</v>
      </c>
      <c r="D276">
        <v>275</v>
      </c>
      <c r="E276" t="s">
        <v>1440</v>
      </c>
    </row>
    <row r="277" spans="1:5" x14ac:dyDescent="0.3">
      <c r="A277">
        <v>276</v>
      </c>
      <c r="B277" t="s">
        <v>1450</v>
      </c>
      <c r="C277" t="s">
        <v>4835</v>
      </c>
      <c r="D277">
        <v>276</v>
      </c>
      <c r="E277" t="s">
        <v>1448</v>
      </c>
    </row>
    <row r="278" spans="1:5" x14ac:dyDescent="0.3">
      <c r="A278">
        <v>277</v>
      </c>
      <c r="B278" t="s">
        <v>1454</v>
      </c>
      <c r="C278" t="s">
        <v>4835</v>
      </c>
      <c r="D278">
        <v>277</v>
      </c>
      <c r="E278" t="s">
        <v>1452</v>
      </c>
    </row>
    <row r="279" spans="1:5" x14ac:dyDescent="0.3">
      <c r="A279">
        <v>278</v>
      </c>
      <c r="B279" t="s">
        <v>1462</v>
      </c>
      <c r="C279" t="s">
        <v>4835</v>
      </c>
      <c r="D279">
        <v>278</v>
      </c>
      <c r="E279" t="s">
        <v>1456</v>
      </c>
    </row>
    <row r="280" spans="1:5" x14ac:dyDescent="0.3">
      <c r="A280">
        <v>279</v>
      </c>
      <c r="B280" t="s">
        <v>1470</v>
      </c>
      <c r="C280" t="s">
        <v>4835</v>
      </c>
      <c r="D280">
        <v>279</v>
      </c>
      <c r="E280" t="s">
        <v>1464</v>
      </c>
    </row>
    <row r="281" spans="1:5" x14ac:dyDescent="0.3">
      <c r="A281">
        <v>280</v>
      </c>
      <c r="B281" t="s">
        <v>1474</v>
      </c>
      <c r="C281" t="s">
        <v>4835</v>
      </c>
      <c r="D281">
        <v>280</v>
      </c>
      <c r="E281" t="s">
        <v>1472</v>
      </c>
    </row>
    <row r="282" spans="1:5" x14ac:dyDescent="0.3">
      <c r="A282">
        <v>281</v>
      </c>
      <c r="B282" t="s">
        <v>1478</v>
      </c>
      <c r="C282" t="s">
        <v>4835</v>
      </c>
      <c r="D282">
        <v>281</v>
      </c>
      <c r="E282" t="s">
        <v>1476</v>
      </c>
    </row>
    <row r="283" spans="1:5" x14ac:dyDescent="0.3">
      <c r="A283">
        <v>282</v>
      </c>
      <c r="B283" t="s">
        <v>1486</v>
      </c>
      <c r="C283" t="s">
        <v>4835</v>
      </c>
      <c r="D283">
        <v>282</v>
      </c>
      <c r="E283" t="s">
        <v>1480</v>
      </c>
    </row>
    <row r="284" spans="1:5" x14ac:dyDescent="0.3">
      <c r="A284">
        <v>283</v>
      </c>
      <c r="B284" t="s">
        <v>1490</v>
      </c>
      <c r="C284" t="s">
        <v>4835</v>
      </c>
      <c r="D284">
        <v>283</v>
      </c>
      <c r="E284" t="s">
        <v>1488</v>
      </c>
    </row>
    <row r="285" spans="1:5" x14ac:dyDescent="0.3">
      <c r="A285">
        <v>284</v>
      </c>
      <c r="B285" t="s">
        <v>1494</v>
      </c>
      <c r="C285" t="s">
        <v>4835</v>
      </c>
      <c r="D285">
        <v>284</v>
      </c>
      <c r="E285" t="s">
        <v>1492</v>
      </c>
    </row>
    <row r="286" spans="1:5" x14ac:dyDescent="0.3">
      <c r="A286">
        <v>285</v>
      </c>
      <c r="B286" t="s">
        <v>1498</v>
      </c>
      <c r="C286" t="s">
        <v>4835</v>
      </c>
      <c r="D286">
        <v>285</v>
      </c>
      <c r="E286" t="s">
        <v>1496</v>
      </c>
    </row>
    <row r="287" spans="1:5" x14ac:dyDescent="0.3">
      <c r="A287">
        <v>286</v>
      </c>
      <c r="B287" t="s">
        <v>1502</v>
      </c>
      <c r="C287" t="s">
        <v>4835</v>
      </c>
      <c r="D287">
        <v>286</v>
      </c>
      <c r="E287" t="s">
        <v>1500</v>
      </c>
    </row>
    <row r="288" spans="1:5" x14ac:dyDescent="0.3">
      <c r="A288">
        <v>287</v>
      </c>
      <c r="B288" t="s">
        <v>1510</v>
      </c>
      <c r="C288" t="s">
        <v>4835</v>
      </c>
      <c r="D288">
        <v>287</v>
      </c>
      <c r="E288" t="s">
        <v>1504</v>
      </c>
    </row>
    <row r="289" spans="1:5" x14ac:dyDescent="0.3">
      <c r="A289">
        <v>288</v>
      </c>
      <c r="B289" t="s">
        <v>1514</v>
      </c>
      <c r="C289" t="s">
        <v>4835</v>
      </c>
      <c r="D289">
        <v>288</v>
      </c>
      <c r="E289" t="s">
        <v>1512</v>
      </c>
    </row>
    <row r="290" spans="1:5" x14ac:dyDescent="0.3">
      <c r="A290">
        <v>289</v>
      </c>
      <c r="B290" t="s">
        <v>1519</v>
      </c>
      <c r="C290" t="s">
        <v>4835</v>
      </c>
      <c r="D290">
        <v>289</v>
      </c>
      <c r="E290" t="s">
        <v>1516</v>
      </c>
    </row>
    <row r="291" spans="1:5" x14ac:dyDescent="0.3">
      <c r="A291">
        <v>290</v>
      </c>
      <c r="B291" t="s">
        <v>1523</v>
      </c>
      <c r="C291" t="s">
        <v>4835</v>
      </c>
      <c r="D291">
        <v>290</v>
      </c>
      <c r="E291" t="s">
        <v>1521</v>
      </c>
    </row>
    <row r="292" spans="1:5" x14ac:dyDescent="0.3">
      <c r="A292">
        <v>291</v>
      </c>
      <c r="B292" t="s">
        <v>1527</v>
      </c>
      <c r="C292" t="s">
        <v>4835</v>
      </c>
      <c r="D292">
        <v>291</v>
      </c>
      <c r="E292" t="s">
        <v>1525</v>
      </c>
    </row>
    <row r="293" spans="1:5" x14ac:dyDescent="0.3">
      <c r="A293">
        <v>292</v>
      </c>
      <c r="B293" t="s">
        <v>1535</v>
      </c>
      <c r="C293" t="s">
        <v>4835</v>
      </c>
      <c r="D293">
        <v>292</v>
      </c>
      <c r="E293" t="s">
        <v>1529</v>
      </c>
    </row>
    <row r="294" spans="1:5" x14ac:dyDescent="0.3">
      <c r="A294">
        <v>293</v>
      </c>
      <c r="B294" t="s">
        <v>1539</v>
      </c>
      <c r="C294" t="s">
        <v>4835</v>
      </c>
      <c r="D294">
        <v>293</v>
      </c>
      <c r="E294" t="s">
        <v>1537</v>
      </c>
    </row>
    <row r="295" spans="1:5" x14ac:dyDescent="0.3">
      <c r="A295">
        <v>294</v>
      </c>
      <c r="B295" t="s">
        <v>1543</v>
      </c>
      <c r="C295" t="s">
        <v>4835</v>
      </c>
      <c r="D295">
        <v>294</v>
      </c>
      <c r="E295" t="s">
        <v>1541</v>
      </c>
    </row>
    <row r="296" spans="1:5" x14ac:dyDescent="0.3">
      <c r="A296">
        <v>295</v>
      </c>
      <c r="B296" t="s">
        <v>1547</v>
      </c>
      <c r="C296" t="s">
        <v>4835</v>
      </c>
      <c r="D296">
        <v>295</v>
      </c>
      <c r="E296" t="s">
        <v>1545</v>
      </c>
    </row>
    <row r="297" spans="1:5" x14ac:dyDescent="0.3">
      <c r="A297">
        <v>296</v>
      </c>
      <c r="B297" t="s">
        <v>1551</v>
      </c>
      <c r="C297" t="s">
        <v>4835</v>
      </c>
      <c r="D297">
        <v>296</v>
      </c>
      <c r="E297" t="s">
        <v>1549</v>
      </c>
    </row>
    <row r="298" spans="1:5" x14ac:dyDescent="0.3">
      <c r="A298">
        <v>297</v>
      </c>
      <c r="B298" t="s">
        <v>1555</v>
      </c>
      <c r="C298" t="s">
        <v>4835</v>
      </c>
      <c r="D298">
        <v>297</v>
      </c>
      <c r="E298" t="s">
        <v>1553</v>
      </c>
    </row>
    <row r="299" spans="1:5" x14ac:dyDescent="0.3">
      <c r="A299">
        <v>298</v>
      </c>
      <c r="B299" t="s">
        <v>1559</v>
      </c>
      <c r="C299" t="s">
        <v>4835</v>
      </c>
      <c r="D299">
        <v>298</v>
      </c>
      <c r="E299" t="s">
        <v>1557</v>
      </c>
    </row>
    <row r="300" spans="1:5" x14ac:dyDescent="0.3">
      <c r="A300">
        <v>299</v>
      </c>
      <c r="B300" t="s">
        <v>1562</v>
      </c>
      <c r="C300" t="s">
        <v>4835</v>
      </c>
      <c r="D300">
        <v>299</v>
      </c>
      <c r="E300" t="s">
        <v>1560</v>
      </c>
    </row>
    <row r="301" spans="1:5" x14ac:dyDescent="0.3">
      <c r="A301">
        <v>300</v>
      </c>
      <c r="B301" t="s">
        <v>1566</v>
      </c>
      <c r="C301" t="s">
        <v>4835</v>
      </c>
      <c r="D301">
        <v>300</v>
      </c>
      <c r="E301" t="s">
        <v>1564</v>
      </c>
    </row>
    <row r="302" spans="1:5" x14ac:dyDescent="0.3">
      <c r="A302">
        <v>301</v>
      </c>
      <c r="B302" t="s">
        <v>1570</v>
      </c>
      <c r="C302" t="s">
        <v>4835</v>
      </c>
      <c r="D302">
        <v>301</v>
      </c>
      <c r="E302" t="s">
        <v>1568</v>
      </c>
    </row>
    <row r="303" spans="1:5" x14ac:dyDescent="0.3">
      <c r="A303">
        <v>302</v>
      </c>
      <c r="B303" t="s">
        <v>1574</v>
      </c>
      <c r="C303" t="s">
        <v>4835</v>
      </c>
      <c r="D303">
        <v>302</v>
      </c>
      <c r="E303" t="s">
        <v>1572</v>
      </c>
    </row>
    <row r="304" spans="1:5" x14ac:dyDescent="0.3">
      <c r="A304">
        <v>303</v>
      </c>
      <c r="B304" t="s">
        <v>1582</v>
      </c>
      <c r="C304" t="s">
        <v>4835</v>
      </c>
      <c r="D304">
        <v>303</v>
      </c>
      <c r="E304" t="s">
        <v>1576</v>
      </c>
    </row>
    <row r="305" spans="1:5" x14ac:dyDescent="0.3">
      <c r="A305">
        <v>304</v>
      </c>
      <c r="B305" t="s">
        <v>1586</v>
      </c>
      <c r="C305" t="s">
        <v>4835</v>
      </c>
      <c r="D305">
        <v>304</v>
      </c>
      <c r="E305" t="s">
        <v>1584</v>
      </c>
    </row>
    <row r="306" spans="1:5" x14ac:dyDescent="0.3">
      <c r="A306">
        <v>305</v>
      </c>
      <c r="B306" t="s">
        <v>1328</v>
      </c>
      <c r="C306" t="s">
        <v>4835</v>
      </c>
      <c r="D306">
        <v>305</v>
      </c>
      <c r="E306" t="s">
        <v>1588</v>
      </c>
    </row>
    <row r="307" spans="1:5" x14ac:dyDescent="0.3">
      <c r="A307">
        <v>306</v>
      </c>
      <c r="B307" t="s">
        <v>1593</v>
      </c>
      <c r="C307" t="s">
        <v>4835</v>
      </c>
      <c r="D307">
        <v>306</v>
      </c>
      <c r="E307" t="s">
        <v>1591</v>
      </c>
    </row>
    <row r="308" spans="1:5" x14ac:dyDescent="0.3">
      <c r="A308">
        <v>307</v>
      </c>
      <c r="B308" t="s">
        <v>1597</v>
      </c>
      <c r="C308" t="s">
        <v>4835</v>
      </c>
      <c r="D308">
        <v>307</v>
      </c>
      <c r="E308" t="s">
        <v>1595</v>
      </c>
    </row>
    <row r="309" spans="1:5" x14ac:dyDescent="0.3">
      <c r="A309">
        <v>308</v>
      </c>
      <c r="B309" t="s">
        <v>1605</v>
      </c>
      <c r="C309" t="s">
        <v>4835</v>
      </c>
      <c r="D309">
        <v>308</v>
      </c>
      <c r="E309" t="s">
        <v>1599</v>
      </c>
    </row>
    <row r="310" spans="1:5" x14ac:dyDescent="0.3">
      <c r="A310">
        <v>309</v>
      </c>
      <c r="B310" t="s">
        <v>1609</v>
      </c>
      <c r="C310" t="s">
        <v>4835</v>
      </c>
      <c r="D310">
        <v>309</v>
      </c>
      <c r="E310" t="s">
        <v>1607</v>
      </c>
    </row>
    <row r="311" spans="1:5" x14ac:dyDescent="0.3">
      <c r="A311">
        <v>310</v>
      </c>
      <c r="B311" t="s">
        <v>1617</v>
      </c>
      <c r="C311" t="s">
        <v>4835</v>
      </c>
      <c r="D311">
        <v>310</v>
      </c>
      <c r="E311" t="s">
        <v>1611</v>
      </c>
    </row>
    <row r="312" spans="1:5" x14ac:dyDescent="0.3">
      <c r="A312">
        <v>311</v>
      </c>
      <c r="B312" t="s">
        <v>1621</v>
      </c>
      <c r="C312" t="s">
        <v>4835</v>
      </c>
      <c r="D312">
        <v>311</v>
      </c>
      <c r="E312" t="s">
        <v>1619</v>
      </c>
    </row>
    <row r="313" spans="1:5" x14ac:dyDescent="0.3">
      <c r="A313">
        <v>312</v>
      </c>
      <c r="B313" t="s">
        <v>1625</v>
      </c>
      <c r="C313" t="s">
        <v>4835</v>
      </c>
      <c r="D313">
        <v>312</v>
      </c>
      <c r="E313" t="s">
        <v>1623</v>
      </c>
    </row>
    <row r="314" spans="1:5" x14ac:dyDescent="0.3">
      <c r="A314">
        <v>313</v>
      </c>
      <c r="B314" t="s">
        <v>1629</v>
      </c>
      <c r="C314" t="s">
        <v>4835</v>
      </c>
      <c r="D314">
        <v>313</v>
      </c>
      <c r="E314" t="s">
        <v>1627</v>
      </c>
    </row>
    <row r="315" spans="1:5" x14ac:dyDescent="0.3">
      <c r="A315">
        <v>314</v>
      </c>
      <c r="B315" t="s">
        <v>1633</v>
      </c>
      <c r="C315" t="s">
        <v>4835</v>
      </c>
      <c r="D315">
        <v>314</v>
      </c>
      <c r="E315" t="s">
        <v>1631</v>
      </c>
    </row>
    <row r="316" spans="1:5" x14ac:dyDescent="0.3">
      <c r="A316">
        <v>315</v>
      </c>
      <c r="B316" t="s">
        <v>1637</v>
      </c>
      <c r="C316" t="s">
        <v>4835</v>
      </c>
      <c r="D316">
        <v>315</v>
      </c>
      <c r="E316" t="s">
        <v>1635</v>
      </c>
    </row>
    <row r="317" spans="1:5" x14ac:dyDescent="0.3">
      <c r="A317">
        <v>316</v>
      </c>
      <c r="B317" t="s">
        <v>1641</v>
      </c>
      <c r="C317" t="s">
        <v>4835</v>
      </c>
      <c r="D317">
        <v>316</v>
      </c>
      <c r="E317" t="s">
        <v>1639</v>
      </c>
    </row>
    <row r="318" spans="1:5" x14ac:dyDescent="0.3">
      <c r="A318">
        <v>317</v>
      </c>
      <c r="B318" t="s">
        <v>1644</v>
      </c>
      <c r="C318" t="s">
        <v>4835</v>
      </c>
      <c r="D318">
        <v>317</v>
      </c>
      <c r="E318" t="s">
        <v>1642</v>
      </c>
    </row>
    <row r="319" spans="1:5" x14ac:dyDescent="0.3">
      <c r="A319">
        <v>318</v>
      </c>
      <c r="B319" t="s">
        <v>1648</v>
      </c>
      <c r="C319" t="s">
        <v>4835</v>
      </c>
      <c r="D319">
        <v>318</v>
      </c>
      <c r="E319" t="s">
        <v>1646</v>
      </c>
    </row>
    <row r="320" spans="1:5" x14ac:dyDescent="0.3">
      <c r="A320">
        <v>319</v>
      </c>
      <c r="B320" t="s">
        <v>1652</v>
      </c>
      <c r="C320" t="s">
        <v>4835</v>
      </c>
      <c r="D320">
        <v>319</v>
      </c>
      <c r="E320" t="s">
        <v>1650</v>
      </c>
    </row>
    <row r="321" spans="1:5" x14ac:dyDescent="0.3">
      <c r="A321">
        <v>320</v>
      </c>
      <c r="B321" t="s">
        <v>1656</v>
      </c>
      <c r="C321" t="s">
        <v>4835</v>
      </c>
      <c r="D321">
        <v>320</v>
      </c>
      <c r="E321" t="s">
        <v>1654</v>
      </c>
    </row>
    <row r="322" spans="1:5" x14ac:dyDescent="0.3">
      <c r="A322">
        <v>321</v>
      </c>
      <c r="B322" t="s">
        <v>1664</v>
      </c>
      <c r="C322" t="s">
        <v>4835</v>
      </c>
      <c r="D322">
        <v>321</v>
      </c>
      <c r="E322" t="s">
        <v>1658</v>
      </c>
    </row>
    <row r="323" spans="1:5" x14ac:dyDescent="0.3">
      <c r="A323">
        <v>322</v>
      </c>
      <c r="B323" t="s">
        <v>1668</v>
      </c>
      <c r="C323" t="s">
        <v>4835</v>
      </c>
      <c r="D323">
        <v>322</v>
      </c>
      <c r="E323" t="s">
        <v>1666</v>
      </c>
    </row>
    <row r="324" spans="1:5" x14ac:dyDescent="0.3">
      <c r="A324">
        <v>323</v>
      </c>
      <c r="B324" t="s">
        <v>1672</v>
      </c>
      <c r="C324" t="s">
        <v>4835</v>
      </c>
      <c r="D324">
        <v>323</v>
      </c>
      <c r="E324" t="s">
        <v>1670</v>
      </c>
    </row>
    <row r="325" spans="1:5" x14ac:dyDescent="0.3">
      <c r="A325">
        <v>324</v>
      </c>
      <c r="B325" t="s">
        <v>1676</v>
      </c>
      <c r="C325" t="s">
        <v>4835</v>
      </c>
      <c r="D325">
        <v>324</v>
      </c>
      <c r="E325" t="s">
        <v>1674</v>
      </c>
    </row>
    <row r="326" spans="1:5" x14ac:dyDescent="0.3">
      <c r="A326">
        <v>325</v>
      </c>
      <c r="B326" t="s">
        <v>1684</v>
      </c>
      <c r="C326" t="s">
        <v>4835</v>
      </c>
      <c r="D326">
        <v>325</v>
      </c>
      <c r="E326" t="s">
        <v>1678</v>
      </c>
    </row>
    <row r="327" spans="1:5" x14ac:dyDescent="0.3">
      <c r="A327">
        <v>326</v>
      </c>
      <c r="B327" t="s">
        <v>1688</v>
      </c>
      <c r="C327" t="s">
        <v>4835</v>
      </c>
      <c r="D327">
        <v>326</v>
      </c>
      <c r="E327" t="s">
        <v>1686</v>
      </c>
    </row>
    <row r="328" spans="1:5" x14ac:dyDescent="0.3">
      <c r="A328">
        <v>327</v>
      </c>
      <c r="B328" t="s">
        <v>1692</v>
      </c>
      <c r="C328" t="s">
        <v>4835</v>
      </c>
      <c r="D328">
        <v>327</v>
      </c>
      <c r="E328" t="s">
        <v>1690</v>
      </c>
    </row>
    <row r="329" spans="1:5" x14ac:dyDescent="0.3">
      <c r="A329">
        <v>328</v>
      </c>
      <c r="B329" t="s">
        <v>1696</v>
      </c>
      <c r="C329" t="s">
        <v>4835</v>
      </c>
      <c r="D329">
        <v>328</v>
      </c>
      <c r="E329" t="s">
        <v>1694</v>
      </c>
    </row>
    <row r="330" spans="1:5" x14ac:dyDescent="0.3">
      <c r="A330">
        <v>329</v>
      </c>
      <c r="B330" t="s">
        <v>1700</v>
      </c>
      <c r="C330" t="s">
        <v>4835</v>
      </c>
      <c r="D330">
        <v>329</v>
      </c>
      <c r="E330" t="s">
        <v>1698</v>
      </c>
    </row>
    <row r="331" spans="1:5" x14ac:dyDescent="0.3">
      <c r="A331">
        <v>330</v>
      </c>
      <c r="B331" t="s">
        <v>1708</v>
      </c>
      <c r="C331" t="s">
        <v>4835</v>
      </c>
      <c r="D331">
        <v>330</v>
      </c>
      <c r="E331" t="s">
        <v>1702</v>
      </c>
    </row>
    <row r="332" spans="1:5" x14ac:dyDescent="0.3">
      <c r="A332">
        <v>331</v>
      </c>
      <c r="B332" t="s">
        <v>1328</v>
      </c>
      <c r="C332" t="s">
        <v>4835</v>
      </c>
      <c r="D332">
        <v>331</v>
      </c>
      <c r="E332" t="s">
        <v>1710</v>
      </c>
    </row>
    <row r="333" spans="1:5" x14ac:dyDescent="0.3">
      <c r="A333">
        <v>332</v>
      </c>
      <c r="B333" t="s">
        <v>1719</v>
      </c>
      <c r="C333" t="s">
        <v>4835</v>
      </c>
      <c r="D333">
        <v>332</v>
      </c>
      <c r="E333" t="s">
        <v>1717</v>
      </c>
    </row>
    <row r="334" spans="1:5" x14ac:dyDescent="0.3">
      <c r="A334">
        <v>333</v>
      </c>
      <c r="B334" t="s">
        <v>1723</v>
      </c>
      <c r="C334" t="s">
        <v>4835</v>
      </c>
      <c r="D334">
        <v>333</v>
      </c>
      <c r="E334" t="s">
        <v>1721</v>
      </c>
    </row>
    <row r="335" spans="1:5" x14ac:dyDescent="0.3">
      <c r="A335">
        <v>334</v>
      </c>
      <c r="B335" t="s">
        <v>1731</v>
      </c>
      <c r="C335" t="s">
        <v>4835</v>
      </c>
      <c r="D335">
        <v>334</v>
      </c>
      <c r="E335" t="s">
        <v>1725</v>
      </c>
    </row>
    <row r="336" spans="1:5" x14ac:dyDescent="0.3">
      <c r="A336">
        <v>335</v>
      </c>
      <c r="B336" t="s">
        <v>1735</v>
      </c>
      <c r="C336" t="s">
        <v>4835</v>
      </c>
      <c r="D336">
        <v>335</v>
      </c>
      <c r="E336" t="s">
        <v>1733</v>
      </c>
    </row>
    <row r="337" spans="1:5" x14ac:dyDescent="0.3">
      <c r="A337">
        <v>336</v>
      </c>
      <c r="B337" t="s">
        <v>1739</v>
      </c>
      <c r="C337" t="s">
        <v>4835</v>
      </c>
      <c r="D337">
        <v>336</v>
      </c>
      <c r="E337" t="s">
        <v>1737</v>
      </c>
    </row>
    <row r="338" spans="1:5" x14ac:dyDescent="0.3">
      <c r="A338">
        <v>337</v>
      </c>
      <c r="B338" t="s">
        <v>1742</v>
      </c>
      <c r="C338" t="s">
        <v>4835</v>
      </c>
      <c r="D338">
        <v>337</v>
      </c>
      <c r="E338" t="s">
        <v>1740</v>
      </c>
    </row>
    <row r="339" spans="1:5" x14ac:dyDescent="0.3">
      <c r="A339">
        <v>338</v>
      </c>
      <c r="B339" t="s">
        <v>1746</v>
      </c>
      <c r="C339" t="s">
        <v>4835</v>
      </c>
      <c r="D339">
        <v>338</v>
      </c>
      <c r="E339" t="s">
        <v>1744</v>
      </c>
    </row>
    <row r="340" spans="1:5" x14ac:dyDescent="0.3">
      <c r="A340">
        <v>339</v>
      </c>
      <c r="B340" t="s">
        <v>1754</v>
      </c>
      <c r="C340" t="s">
        <v>4835</v>
      </c>
      <c r="D340">
        <v>339</v>
      </c>
      <c r="E340" t="s">
        <v>1748</v>
      </c>
    </row>
    <row r="341" spans="1:5" x14ac:dyDescent="0.3">
      <c r="A341">
        <v>340</v>
      </c>
      <c r="B341" t="s">
        <v>1758</v>
      </c>
      <c r="C341" t="s">
        <v>4835</v>
      </c>
      <c r="D341">
        <v>340</v>
      </c>
      <c r="E341" t="s">
        <v>1756</v>
      </c>
    </row>
    <row r="342" spans="1:5" x14ac:dyDescent="0.3">
      <c r="A342">
        <v>341</v>
      </c>
      <c r="B342" t="s">
        <v>1762</v>
      </c>
      <c r="C342" t="s">
        <v>4835</v>
      </c>
      <c r="D342">
        <v>341</v>
      </c>
      <c r="E342" t="s">
        <v>1760</v>
      </c>
    </row>
    <row r="343" spans="1:5" x14ac:dyDescent="0.3">
      <c r="A343">
        <v>342</v>
      </c>
      <c r="B343" t="s">
        <v>1766</v>
      </c>
      <c r="C343" t="s">
        <v>4835</v>
      </c>
      <c r="D343">
        <v>342</v>
      </c>
      <c r="E343" t="s">
        <v>1764</v>
      </c>
    </row>
    <row r="344" spans="1:5" x14ac:dyDescent="0.3">
      <c r="A344">
        <v>343</v>
      </c>
      <c r="B344" t="s">
        <v>1770</v>
      </c>
      <c r="C344" t="s">
        <v>4835</v>
      </c>
      <c r="D344">
        <v>343</v>
      </c>
      <c r="E344" t="s">
        <v>1768</v>
      </c>
    </row>
    <row r="345" spans="1:5" x14ac:dyDescent="0.3">
      <c r="A345">
        <v>344</v>
      </c>
      <c r="B345" t="s">
        <v>1774</v>
      </c>
      <c r="C345" t="s">
        <v>4835</v>
      </c>
      <c r="D345">
        <v>344</v>
      </c>
      <c r="E345" t="s">
        <v>1772</v>
      </c>
    </row>
    <row r="346" spans="1:5" x14ac:dyDescent="0.3">
      <c r="A346">
        <v>345</v>
      </c>
      <c r="B346" t="s">
        <v>1782</v>
      </c>
      <c r="C346" t="s">
        <v>4835</v>
      </c>
      <c r="D346">
        <v>345</v>
      </c>
      <c r="E346" t="s">
        <v>1776</v>
      </c>
    </row>
    <row r="347" spans="1:5" x14ac:dyDescent="0.3">
      <c r="A347">
        <v>346</v>
      </c>
      <c r="B347" t="s">
        <v>1786</v>
      </c>
      <c r="C347" t="s">
        <v>4835</v>
      </c>
      <c r="D347">
        <v>346</v>
      </c>
      <c r="E347" t="s">
        <v>1784</v>
      </c>
    </row>
    <row r="348" spans="1:5" x14ac:dyDescent="0.3">
      <c r="A348">
        <v>347</v>
      </c>
      <c r="B348" t="s">
        <v>1794</v>
      </c>
      <c r="C348" t="s">
        <v>4835</v>
      </c>
      <c r="D348">
        <v>347</v>
      </c>
      <c r="E348" t="s">
        <v>1788</v>
      </c>
    </row>
    <row r="349" spans="1:5" x14ac:dyDescent="0.3">
      <c r="A349">
        <v>348</v>
      </c>
      <c r="B349" t="s">
        <v>1798</v>
      </c>
      <c r="C349" t="s">
        <v>4835</v>
      </c>
      <c r="D349">
        <v>348</v>
      </c>
      <c r="E349" t="s">
        <v>1796</v>
      </c>
    </row>
    <row r="350" spans="1:5" x14ac:dyDescent="0.3">
      <c r="A350">
        <v>349</v>
      </c>
      <c r="B350" t="s">
        <v>1802</v>
      </c>
      <c r="C350" t="s">
        <v>4835</v>
      </c>
      <c r="D350">
        <v>349</v>
      </c>
      <c r="E350" t="s">
        <v>1800</v>
      </c>
    </row>
    <row r="351" spans="1:5" x14ac:dyDescent="0.3">
      <c r="A351">
        <v>350</v>
      </c>
      <c r="B351" t="s">
        <v>1806</v>
      </c>
      <c r="C351" t="s">
        <v>4835</v>
      </c>
      <c r="D351">
        <v>350</v>
      </c>
      <c r="E351" t="s">
        <v>1804</v>
      </c>
    </row>
    <row r="352" spans="1:5" x14ac:dyDescent="0.3">
      <c r="A352">
        <v>351</v>
      </c>
      <c r="B352" t="s">
        <v>1810</v>
      </c>
      <c r="C352" t="s">
        <v>4835</v>
      </c>
      <c r="D352">
        <v>351</v>
      </c>
      <c r="E352" t="s">
        <v>1808</v>
      </c>
    </row>
    <row r="353" spans="1:5" x14ac:dyDescent="0.3">
      <c r="A353">
        <v>352</v>
      </c>
      <c r="B353" t="s">
        <v>1814</v>
      </c>
      <c r="C353" t="s">
        <v>4835</v>
      </c>
      <c r="D353">
        <v>352</v>
      </c>
      <c r="E353" t="s">
        <v>1812</v>
      </c>
    </row>
    <row r="354" spans="1:5" x14ac:dyDescent="0.3">
      <c r="A354">
        <v>353</v>
      </c>
      <c r="B354" t="s">
        <v>1822</v>
      </c>
      <c r="C354" t="s">
        <v>4835</v>
      </c>
      <c r="D354">
        <v>353</v>
      </c>
      <c r="E354" t="s">
        <v>1816</v>
      </c>
    </row>
    <row r="355" spans="1:5" x14ac:dyDescent="0.3">
      <c r="A355">
        <v>354</v>
      </c>
      <c r="B355" t="s">
        <v>1826</v>
      </c>
      <c r="C355" t="s">
        <v>4835</v>
      </c>
      <c r="D355">
        <v>354</v>
      </c>
      <c r="E355" t="s">
        <v>1824</v>
      </c>
    </row>
    <row r="356" spans="1:5" x14ac:dyDescent="0.3">
      <c r="A356">
        <v>355</v>
      </c>
      <c r="B356" t="s">
        <v>1830</v>
      </c>
      <c r="C356" t="s">
        <v>4835</v>
      </c>
      <c r="D356">
        <v>355</v>
      </c>
      <c r="E356" t="s">
        <v>1828</v>
      </c>
    </row>
    <row r="357" spans="1:5" x14ac:dyDescent="0.3">
      <c r="A357">
        <v>356</v>
      </c>
      <c r="B357" t="s">
        <v>1838</v>
      </c>
      <c r="C357" t="s">
        <v>4835</v>
      </c>
      <c r="D357">
        <v>356</v>
      </c>
      <c r="E357" t="s">
        <v>1832</v>
      </c>
    </row>
    <row r="358" spans="1:5" x14ac:dyDescent="0.3">
      <c r="A358">
        <v>357</v>
      </c>
      <c r="B358" t="s">
        <v>1842</v>
      </c>
      <c r="C358" t="s">
        <v>4835</v>
      </c>
      <c r="D358">
        <v>357</v>
      </c>
      <c r="E358" t="s">
        <v>1840</v>
      </c>
    </row>
    <row r="359" spans="1:5" x14ac:dyDescent="0.3">
      <c r="A359">
        <v>358</v>
      </c>
      <c r="B359" t="s">
        <v>1846</v>
      </c>
      <c r="C359" t="s">
        <v>4835</v>
      </c>
      <c r="D359">
        <v>358</v>
      </c>
      <c r="E359" t="s">
        <v>1844</v>
      </c>
    </row>
    <row r="360" spans="1:5" x14ac:dyDescent="0.3">
      <c r="A360">
        <v>359</v>
      </c>
      <c r="B360" t="s">
        <v>1850</v>
      </c>
      <c r="C360" t="s">
        <v>4835</v>
      </c>
      <c r="D360">
        <v>359</v>
      </c>
      <c r="E360" t="s">
        <v>1848</v>
      </c>
    </row>
    <row r="361" spans="1:5" x14ac:dyDescent="0.3">
      <c r="A361">
        <v>360</v>
      </c>
      <c r="B361" t="s">
        <v>1854</v>
      </c>
      <c r="C361" t="s">
        <v>4835</v>
      </c>
      <c r="D361">
        <v>360</v>
      </c>
      <c r="E361" t="s">
        <v>1852</v>
      </c>
    </row>
    <row r="362" spans="1:5" x14ac:dyDescent="0.3">
      <c r="A362">
        <v>361</v>
      </c>
      <c r="B362" t="s">
        <v>1858</v>
      </c>
      <c r="C362" t="s">
        <v>4835</v>
      </c>
      <c r="D362">
        <v>361</v>
      </c>
      <c r="E362" t="s">
        <v>1856</v>
      </c>
    </row>
    <row r="363" spans="1:5" x14ac:dyDescent="0.3">
      <c r="A363">
        <v>362</v>
      </c>
      <c r="B363" t="s">
        <v>1862</v>
      </c>
      <c r="C363" t="s">
        <v>4835</v>
      </c>
      <c r="D363">
        <v>362</v>
      </c>
      <c r="E363" t="s">
        <v>1860</v>
      </c>
    </row>
    <row r="364" spans="1:5" x14ac:dyDescent="0.3">
      <c r="A364">
        <v>363</v>
      </c>
      <c r="B364" t="s">
        <v>1870</v>
      </c>
      <c r="C364" t="s">
        <v>4835</v>
      </c>
      <c r="D364">
        <v>363</v>
      </c>
      <c r="E364" t="s">
        <v>1864</v>
      </c>
    </row>
    <row r="365" spans="1:5" x14ac:dyDescent="0.3">
      <c r="A365">
        <v>364</v>
      </c>
      <c r="B365" t="s">
        <v>1874</v>
      </c>
      <c r="C365" t="s">
        <v>4835</v>
      </c>
      <c r="D365">
        <v>364</v>
      </c>
      <c r="E365" t="s">
        <v>1872</v>
      </c>
    </row>
    <row r="366" spans="1:5" x14ac:dyDescent="0.3">
      <c r="A366">
        <v>365</v>
      </c>
      <c r="B366" t="s">
        <v>1878</v>
      </c>
      <c r="C366" t="s">
        <v>4835</v>
      </c>
      <c r="D366">
        <v>365</v>
      </c>
      <c r="E366" t="s">
        <v>1876</v>
      </c>
    </row>
    <row r="367" spans="1:5" x14ac:dyDescent="0.3">
      <c r="A367">
        <v>366</v>
      </c>
      <c r="B367" t="s">
        <v>1882</v>
      </c>
      <c r="C367" t="s">
        <v>4835</v>
      </c>
      <c r="D367">
        <v>366</v>
      </c>
      <c r="E367" t="s">
        <v>1880</v>
      </c>
    </row>
    <row r="368" spans="1:5" x14ac:dyDescent="0.3">
      <c r="A368">
        <v>367</v>
      </c>
      <c r="B368" t="s">
        <v>1886</v>
      </c>
      <c r="C368" t="s">
        <v>4835</v>
      </c>
      <c r="D368">
        <v>367</v>
      </c>
      <c r="E368" t="s">
        <v>1884</v>
      </c>
    </row>
    <row r="369" spans="1:5" x14ac:dyDescent="0.3">
      <c r="A369">
        <v>368</v>
      </c>
      <c r="B369" t="s">
        <v>1890</v>
      </c>
      <c r="C369" t="s">
        <v>4835</v>
      </c>
      <c r="D369">
        <v>368</v>
      </c>
      <c r="E369" t="s">
        <v>1888</v>
      </c>
    </row>
    <row r="370" spans="1:5" x14ac:dyDescent="0.3">
      <c r="A370">
        <v>369</v>
      </c>
      <c r="B370" t="s">
        <v>1894</v>
      </c>
      <c r="C370" t="s">
        <v>4835</v>
      </c>
      <c r="D370">
        <v>369</v>
      </c>
      <c r="E370" t="s">
        <v>1892</v>
      </c>
    </row>
    <row r="371" spans="1:5" x14ac:dyDescent="0.3">
      <c r="A371">
        <v>370</v>
      </c>
      <c r="B371" t="s">
        <v>1898</v>
      </c>
      <c r="C371" t="s">
        <v>4835</v>
      </c>
      <c r="D371">
        <v>370</v>
      </c>
      <c r="E371" t="s">
        <v>1896</v>
      </c>
    </row>
    <row r="372" spans="1:5" x14ac:dyDescent="0.3">
      <c r="A372">
        <v>371</v>
      </c>
      <c r="B372" t="s">
        <v>1902</v>
      </c>
      <c r="C372" t="s">
        <v>4835</v>
      </c>
      <c r="D372">
        <v>371</v>
      </c>
      <c r="E372" t="s">
        <v>1900</v>
      </c>
    </row>
    <row r="373" spans="1:5" x14ac:dyDescent="0.3">
      <c r="A373">
        <v>372</v>
      </c>
      <c r="B373" t="s">
        <v>1905</v>
      </c>
      <c r="C373" t="s">
        <v>4835</v>
      </c>
      <c r="D373">
        <v>372</v>
      </c>
      <c r="E373" t="s">
        <v>1903</v>
      </c>
    </row>
    <row r="374" spans="1:5" x14ac:dyDescent="0.3">
      <c r="A374">
        <v>373</v>
      </c>
      <c r="B374" t="s">
        <v>1912</v>
      </c>
      <c r="C374" t="s">
        <v>4835</v>
      </c>
      <c r="D374">
        <v>373</v>
      </c>
      <c r="E374" t="s">
        <v>1906</v>
      </c>
    </row>
    <row r="375" spans="1:5" x14ac:dyDescent="0.3">
      <c r="A375">
        <v>374</v>
      </c>
      <c r="B375" t="s">
        <v>1916</v>
      </c>
      <c r="C375" t="s">
        <v>4835</v>
      </c>
      <c r="D375">
        <v>374</v>
      </c>
      <c r="E375" t="s">
        <v>1914</v>
      </c>
    </row>
    <row r="376" spans="1:5" x14ac:dyDescent="0.3">
      <c r="A376">
        <v>375</v>
      </c>
      <c r="B376" t="s">
        <v>1920</v>
      </c>
      <c r="C376" t="s">
        <v>4835</v>
      </c>
      <c r="D376">
        <v>375</v>
      </c>
      <c r="E376" t="s">
        <v>1918</v>
      </c>
    </row>
    <row r="377" spans="1:5" x14ac:dyDescent="0.3">
      <c r="A377">
        <v>376</v>
      </c>
      <c r="B377" t="s">
        <v>1924</v>
      </c>
      <c r="C377" t="s">
        <v>4835</v>
      </c>
      <c r="D377">
        <v>376</v>
      </c>
      <c r="E377" t="s">
        <v>1922</v>
      </c>
    </row>
    <row r="378" spans="1:5" x14ac:dyDescent="0.3">
      <c r="A378">
        <v>377</v>
      </c>
      <c r="B378" t="s">
        <v>1927</v>
      </c>
      <c r="C378" t="s">
        <v>4835</v>
      </c>
      <c r="D378">
        <v>377</v>
      </c>
      <c r="E378" t="s">
        <v>1925</v>
      </c>
    </row>
    <row r="379" spans="1:5" x14ac:dyDescent="0.3">
      <c r="A379">
        <v>378</v>
      </c>
      <c r="B379" t="s">
        <v>1934</v>
      </c>
      <c r="C379" t="s">
        <v>4835</v>
      </c>
      <c r="D379">
        <v>378</v>
      </c>
      <c r="E379" t="s">
        <v>1928</v>
      </c>
    </row>
    <row r="380" spans="1:5" x14ac:dyDescent="0.3">
      <c r="A380">
        <v>379</v>
      </c>
      <c r="B380" t="s">
        <v>1942</v>
      </c>
      <c r="C380" t="s">
        <v>4835</v>
      </c>
      <c r="D380">
        <v>379</v>
      </c>
      <c r="E380" t="s">
        <v>1936</v>
      </c>
    </row>
    <row r="381" spans="1:5" x14ac:dyDescent="0.3">
      <c r="A381">
        <v>380</v>
      </c>
      <c r="B381" t="s">
        <v>1946</v>
      </c>
      <c r="C381" t="s">
        <v>4835</v>
      </c>
      <c r="D381">
        <v>380</v>
      </c>
      <c r="E381" t="s">
        <v>1944</v>
      </c>
    </row>
    <row r="382" spans="1:5" x14ac:dyDescent="0.3">
      <c r="A382">
        <v>381</v>
      </c>
      <c r="B382" t="s">
        <v>1954</v>
      </c>
      <c r="C382" t="s">
        <v>4835</v>
      </c>
      <c r="D382">
        <v>381</v>
      </c>
      <c r="E382" t="s">
        <v>1948</v>
      </c>
    </row>
    <row r="383" spans="1:5" x14ac:dyDescent="0.3">
      <c r="A383">
        <v>382</v>
      </c>
      <c r="B383" t="s">
        <v>1958</v>
      </c>
      <c r="C383" t="s">
        <v>4835</v>
      </c>
      <c r="D383">
        <v>382</v>
      </c>
      <c r="E383" t="s">
        <v>1956</v>
      </c>
    </row>
    <row r="384" spans="1:5" x14ac:dyDescent="0.3">
      <c r="A384">
        <v>383</v>
      </c>
      <c r="B384" t="s">
        <v>1961</v>
      </c>
      <c r="C384" t="s">
        <v>4835</v>
      </c>
      <c r="D384">
        <v>383</v>
      </c>
      <c r="E384" t="s">
        <v>1960</v>
      </c>
    </row>
    <row r="385" spans="1:5" x14ac:dyDescent="0.3">
      <c r="A385">
        <v>384</v>
      </c>
      <c r="B385" t="s">
        <v>1965</v>
      </c>
      <c r="C385" t="s">
        <v>4835</v>
      </c>
      <c r="D385">
        <v>384</v>
      </c>
      <c r="E385" t="s">
        <v>1963</v>
      </c>
    </row>
    <row r="386" spans="1:5" x14ac:dyDescent="0.3">
      <c r="A386">
        <v>385</v>
      </c>
      <c r="B386" t="s">
        <v>1969</v>
      </c>
      <c r="C386" t="s">
        <v>4835</v>
      </c>
      <c r="D386">
        <v>385</v>
      </c>
      <c r="E386" t="s">
        <v>1967</v>
      </c>
    </row>
    <row r="387" spans="1:5" x14ac:dyDescent="0.3">
      <c r="A387">
        <v>386</v>
      </c>
      <c r="B387" t="s">
        <v>1977</v>
      </c>
      <c r="C387" t="s">
        <v>4835</v>
      </c>
      <c r="D387">
        <v>386</v>
      </c>
      <c r="E387" t="s">
        <v>1971</v>
      </c>
    </row>
    <row r="388" spans="1:5" x14ac:dyDescent="0.3">
      <c r="A388">
        <v>387</v>
      </c>
      <c r="B388" t="s">
        <v>1985</v>
      </c>
      <c r="C388" t="s">
        <v>4835</v>
      </c>
      <c r="D388">
        <v>387</v>
      </c>
      <c r="E388" t="s">
        <v>1979</v>
      </c>
    </row>
    <row r="389" spans="1:5" x14ac:dyDescent="0.3">
      <c r="A389">
        <v>388</v>
      </c>
      <c r="B389" t="s">
        <v>1989</v>
      </c>
      <c r="C389" t="s">
        <v>4835</v>
      </c>
      <c r="D389">
        <v>388</v>
      </c>
      <c r="E389" t="s">
        <v>1987</v>
      </c>
    </row>
    <row r="390" spans="1:5" x14ac:dyDescent="0.3">
      <c r="A390">
        <v>389</v>
      </c>
      <c r="B390" t="s">
        <v>1993</v>
      </c>
      <c r="C390" t="s">
        <v>4835</v>
      </c>
      <c r="D390">
        <v>389</v>
      </c>
      <c r="E390" t="s">
        <v>1991</v>
      </c>
    </row>
    <row r="391" spans="1:5" x14ac:dyDescent="0.3">
      <c r="A391">
        <v>390</v>
      </c>
      <c r="B391" t="s">
        <v>2001</v>
      </c>
      <c r="C391" t="s">
        <v>4835</v>
      </c>
      <c r="D391">
        <v>390</v>
      </c>
      <c r="E391" t="s">
        <v>1995</v>
      </c>
    </row>
    <row r="392" spans="1:5" x14ac:dyDescent="0.3">
      <c r="A392">
        <v>391</v>
      </c>
      <c r="B392" t="s">
        <v>2009</v>
      </c>
      <c r="C392" t="s">
        <v>4835</v>
      </c>
      <c r="D392">
        <v>391</v>
      </c>
      <c r="E392" t="s">
        <v>2003</v>
      </c>
    </row>
    <row r="393" spans="1:5" x14ac:dyDescent="0.3">
      <c r="A393">
        <v>392</v>
      </c>
      <c r="B393" t="s">
        <v>2013</v>
      </c>
      <c r="C393" t="s">
        <v>4835</v>
      </c>
      <c r="D393">
        <v>392</v>
      </c>
      <c r="E393" t="s">
        <v>2011</v>
      </c>
    </row>
    <row r="394" spans="1:5" x14ac:dyDescent="0.3">
      <c r="A394">
        <v>393</v>
      </c>
      <c r="B394" t="s">
        <v>2017</v>
      </c>
      <c r="C394" t="s">
        <v>4835</v>
      </c>
      <c r="D394">
        <v>393</v>
      </c>
      <c r="E394" t="s">
        <v>2015</v>
      </c>
    </row>
    <row r="395" spans="1:5" x14ac:dyDescent="0.3">
      <c r="A395">
        <v>394</v>
      </c>
      <c r="B395" t="s">
        <v>2021</v>
      </c>
      <c r="C395" t="s">
        <v>4835</v>
      </c>
      <c r="D395">
        <v>394</v>
      </c>
      <c r="E395" t="s">
        <v>2019</v>
      </c>
    </row>
    <row r="396" spans="1:5" x14ac:dyDescent="0.3">
      <c r="A396">
        <v>395</v>
      </c>
      <c r="B396" t="s">
        <v>2025</v>
      </c>
      <c r="C396" t="s">
        <v>4835</v>
      </c>
      <c r="D396">
        <v>395</v>
      </c>
      <c r="E396" t="s">
        <v>2023</v>
      </c>
    </row>
    <row r="397" spans="1:5" x14ac:dyDescent="0.3">
      <c r="A397">
        <v>396</v>
      </c>
      <c r="B397" t="s">
        <v>2029</v>
      </c>
      <c r="C397" t="s">
        <v>4835</v>
      </c>
      <c r="D397">
        <v>396</v>
      </c>
      <c r="E397" t="s">
        <v>2027</v>
      </c>
    </row>
    <row r="398" spans="1:5" x14ac:dyDescent="0.3">
      <c r="A398">
        <v>397</v>
      </c>
      <c r="B398" t="s">
        <v>2033</v>
      </c>
      <c r="C398" t="s">
        <v>4835</v>
      </c>
      <c r="D398">
        <v>397</v>
      </c>
      <c r="E398" t="s">
        <v>2031</v>
      </c>
    </row>
    <row r="399" spans="1:5" x14ac:dyDescent="0.3">
      <c r="A399">
        <v>398</v>
      </c>
      <c r="B399" t="s">
        <v>2037</v>
      </c>
      <c r="C399" t="s">
        <v>4835</v>
      </c>
      <c r="D399">
        <v>398</v>
      </c>
      <c r="E399" t="s">
        <v>2035</v>
      </c>
    </row>
    <row r="400" spans="1:5" x14ac:dyDescent="0.3">
      <c r="A400">
        <v>399</v>
      </c>
      <c r="B400" t="s">
        <v>2045</v>
      </c>
      <c r="C400" t="s">
        <v>4835</v>
      </c>
      <c r="D400">
        <v>399</v>
      </c>
      <c r="E400" t="s">
        <v>2039</v>
      </c>
    </row>
    <row r="401" spans="1:5" x14ac:dyDescent="0.3">
      <c r="A401">
        <v>400</v>
      </c>
      <c r="B401" t="s">
        <v>2053</v>
      </c>
      <c r="C401" t="s">
        <v>4835</v>
      </c>
      <c r="D401">
        <v>400</v>
      </c>
      <c r="E401" t="s">
        <v>2047</v>
      </c>
    </row>
    <row r="402" spans="1:5" x14ac:dyDescent="0.3">
      <c r="A402">
        <v>401</v>
      </c>
      <c r="B402" t="s">
        <v>2057</v>
      </c>
      <c r="C402" t="s">
        <v>4835</v>
      </c>
      <c r="D402">
        <v>401</v>
      </c>
      <c r="E402" t="s">
        <v>2055</v>
      </c>
    </row>
    <row r="403" spans="1:5" x14ac:dyDescent="0.3">
      <c r="A403">
        <v>402</v>
      </c>
      <c r="B403" t="s">
        <v>2061</v>
      </c>
      <c r="C403" t="s">
        <v>4835</v>
      </c>
      <c r="D403">
        <v>402</v>
      </c>
      <c r="E403" t="s">
        <v>2059</v>
      </c>
    </row>
    <row r="404" spans="1:5" x14ac:dyDescent="0.3">
      <c r="A404">
        <v>403</v>
      </c>
      <c r="B404" t="s">
        <v>2065</v>
      </c>
      <c r="C404" t="s">
        <v>4835</v>
      </c>
      <c r="D404">
        <v>403</v>
      </c>
      <c r="E404" t="s">
        <v>2063</v>
      </c>
    </row>
    <row r="405" spans="1:5" x14ac:dyDescent="0.3">
      <c r="A405">
        <v>404</v>
      </c>
      <c r="B405" t="s">
        <v>2068</v>
      </c>
      <c r="C405" t="s">
        <v>4835</v>
      </c>
      <c r="D405">
        <v>404</v>
      </c>
      <c r="E405" t="s">
        <v>2066</v>
      </c>
    </row>
    <row r="406" spans="1:5" x14ac:dyDescent="0.3">
      <c r="A406">
        <v>405</v>
      </c>
      <c r="B406" t="s">
        <v>2076</v>
      </c>
      <c r="C406" t="s">
        <v>4835</v>
      </c>
      <c r="D406">
        <v>405</v>
      </c>
      <c r="E406" t="s">
        <v>2070</v>
      </c>
    </row>
    <row r="407" spans="1:5" x14ac:dyDescent="0.3">
      <c r="A407">
        <v>406</v>
      </c>
      <c r="B407" t="s">
        <v>2080</v>
      </c>
      <c r="C407" t="s">
        <v>4835</v>
      </c>
      <c r="D407">
        <v>406</v>
      </c>
      <c r="E407" t="s">
        <v>2078</v>
      </c>
    </row>
    <row r="408" spans="1:5" x14ac:dyDescent="0.3">
      <c r="A408">
        <v>407</v>
      </c>
      <c r="B408" t="s">
        <v>2084</v>
      </c>
      <c r="C408" t="s">
        <v>4835</v>
      </c>
      <c r="D408">
        <v>407</v>
      </c>
      <c r="E408" t="s">
        <v>2082</v>
      </c>
    </row>
    <row r="409" spans="1:5" x14ac:dyDescent="0.3">
      <c r="A409">
        <v>408</v>
      </c>
      <c r="B409" t="s">
        <v>2088</v>
      </c>
      <c r="C409" t="s">
        <v>4835</v>
      </c>
      <c r="D409">
        <v>408</v>
      </c>
      <c r="E409" t="s">
        <v>2086</v>
      </c>
    </row>
    <row r="410" spans="1:5" x14ac:dyDescent="0.3">
      <c r="A410">
        <v>409</v>
      </c>
      <c r="B410" t="s">
        <v>2096</v>
      </c>
      <c r="C410" t="s">
        <v>4835</v>
      </c>
      <c r="D410">
        <v>409</v>
      </c>
      <c r="E410" t="s">
        <v>2090</v>
      </c>
    </row>
    <row r="411" spans="1:5" x14ac:dyDescent="0.3">
      <c r="A411">
        <v>410</v>
      </c>
      <c r="B411" t="s">
        <v>2100</v>
      </c>
      <c r="C411" t="s">
        <v>4835</v>
      </c>
      <c r="D411">
        <v>410</v>
      </c>
      <c r="E411" t="s">
        <v>2098</v>
      </c>
    </row>
    <row r="412" spans="1:5" x14ac:dyDescent="0.3">
      <c r="A412">
        <v>411</v>
      </c>
      <c r="B412" t="s">
        <v>2104</v>
      </c>
      <c r="C412" t="s">
        <v>4835</v>
      </c>
      <c r="D412">
        <v>411</v>
      </c>
      <c r="E412" t="s">
        <v>2102</v>
      </c>
    </row>
    <row r="413" spans="1:5" x14ac:dyDescent="0.3">
      <c r="A413">
        <v>412</v>
      </c>
      <c r="B413" t="s">
        <v>2112</v>
      </c>
      <c r="C413" t="s">
        <v>4835</v>
      </c>
      <c r="D413">
        <v>412</v>
      </c>
      <c r="E413" t="s">
        <v>2106</v>
      </c>
    </row>
    <row r="414" spans="1:5" x14ac:dyDescent="0.3">
      <c r="A414">
        <v>413</v>
      </c>
      <c r="B414" t="s">
        <v>2120</v>
      </c>
      <c r="C414" t="s">
        <v>4835</v>
      </c>
      <c r="D414">
        <v>413</v>
      </c>
      <c r="E414" t="s">
        <v>2114</v>
      </c>
    </row>
    <row r="415" spans="1:5" x14ac:dyDescent="0.3">
      <c r="A415">
        <v>414</v>
      </c>
      <c r="B415" t="s">
        <v>2124</v>
      </c>
      <c r="C415" t="s">
        <v>4835</v>
      </c>
      <c r="D415">
        <v>414</v>
      </c>
      <c r="E415" t="s">
        <v>2122</v>
      </c>
    </row>
    <row r="416" spans="1:5" x14ac:dyDescent="0.3">
      <c r="A416">
        <v>415</v>
      </c>
      <c r="B416" t="s">
        <v>2128</v>
      </c>
      <c r="C416" t="s">
        <v>4835</v>
      </c>
      <c r="D416">
        <v>415</v>
      </c>
      <c r="E416" t="s">
        <v>2126</v>
      </c>
    </row>
    <row r="417" spans="1:5" x14ac:dyDescent="0.3">
      <c r="A417">
        <v>416</v>
      </c>
      <c r="B417" t="s">
        <v>2136</v>
      </c>
      <c r="C417" t="s">
        <v>4835</v>
      </c>
      <c r="D417">
        <v>416</v>
      </c>
      <c r="E417" t="s">
        <v>2130</v>
      </c>
    </row>
    <row r="418" spans="1:5" x14ac:dyDescent="0.3">
      <c r="A418">
        <v>417</v>
      </c>
      <c r="B418" t="s">
        <v>2144</v>
      </c>
      <c r="C418" t="s">
        <v>4835</v>
      </c>
      <c r="D418">
        <v>417</v>
      </c>
      <c r="E418" t="s">
        <v>2138</v>
      </c>
    </row>
    <row r="419" spans="1:5" x14ac:dyDescent="0.3">
      <c r="A419">
        <v>418</v>
      </c>
      <c r="B419" t="s">
        <v>2148</v>
      </c>
      <c r="C419" t="s">
        <v>4835</v>
      </c>
      <c r="D419">
        <v>418</v>
      </c>
      <c r="E419" t="s">
        <v>2146</v>
      </c>
    </row>
    <row r="420" spans="1:5" x14ac:dyDescent="0.3">
      <c r="A420">
        <v>419</v>
      </c>
      <c r="B420" t="s">
        <v>2152</v>
      </c>
      <c r="C420" t="s">
        <v>4835</v>
      </c>
      <c r="D420">
        <v>419</v>
      </c>
      <c r="E420" t="s">
        <v>2150</v>
      </c>
    </row>
    <row r="421" spans="1:5" x14ac:dyDescent="0.3">
      <c r="A421">
        <v>420</v>
      </c>
      <c r="B421" t="s">
        <v>2160</v>
      </c>
      <c r="C421" t="s">
        <v>4835</v>
      </c>
      <c r="D421">
        <v>420</v>
      </c>
      <c r="E421" t="s">
        <v>2154</v>
      </c>
    </row>
    <row r="422" spans="1:5" x14ac:dyDescent="0.3">
      <c r="A422">
        <v>421</v>
      </c>
      <c r="B422" t="s">
        <v>2164</v>
      </c>
      <c r="C422" t="s">
        <v>4835</v>
      </c>
      <c r="D422">
        <v>421</v>
      </c>
      <c r="E422" t="s">
        <v>2162</v>
      </c>
    </row>
    <row r="423" spans="1:5" x14ac:dyDescent="0.3">
      <c r="A423">
        <v>422</v>
      </c>
      <c r="B423" t="s">
        <v>2168</v>
      </c>
      <c r="C423" t="s">
        <v>4835</v>
      </c>
      <c r="D423">
        <v>422</v>
      </c>
      <c r="E423" t="s">
        <v>2166</v>
      </c>
    </row>
    <row r="424" spans="1:5" x14ac:dyDescent="0.3">
      <c r="A424">
        <v>423</v>
      </c>
      <c r="B424" t="s">
        <v>2172</v>
      </c>
      <c r="C424" t="s">
        <v>4835</v>
      </c>
      <c r="D424">
        <v>423</v>
      </c>
      <c r="E424" t="s">
        <v>2170</v>
      </c>
    </row>
    <row r="425" spans="1:5" x14ac:dyDescent="0.3">
      <c r="A425">
        <v>424</v>
      </c>
      <c r="B425" t="s">
        <v>2176</v>
      </c>
      <c r="C425" t="s">
        <v>4835</v>
      </c>
      <c r="D425">
        <v>424</v>
      </c>
      <c r="E425" t="s">
        <v>2174</v>
      </c>
    </row>
    <row r="426" spans="1:5" x14ac:dyDescent="0.3">
      <c r="A426">
        <v>425</v>
      </c>
      <c r="B426" t="s">
        <v>2180</v>
      </c>
      <c r="C426" t="s">
        <v>4835</v>
      </c>
      <c r="D426">
        <v>425</v>
      </c>
      <c r="E426" t="s">
        <v>2178</v>
      </c>
    </row>
    <row r="427" spans="1:5" x14ac:dyDescent="0.3">
      <c r="A427">
        <v>426</v>
      </c>
      <c r="B427" t="s">
        <v>2184</v>
      </c>
      <c r="C427" t="s">
        <v>4835</v>
      </c>
      <c r="D427">
        <v>426</v>
      </c>
      <c r="E427" t="s">
        <v>2182</v>
      </c>
    </row>
    <row r="428" spans="1:5" x14ac:dyDescent="0.3">
      <c r="A428">
        <v>427</v>
      </c>
      <c r="B428" t="s">
        <v>2188</v>
      </c>
      <c r="C428" t="s">
        <v>4835</v>
      </c>
      <c r="D428">
        <v>427</v>
      </c>
      <c r="E428" t="s">
        <v>2186</v>
      </c>
    </row>
    <row r="429" spans="1:5" x14ac:dyDescent="0.3">
      <c r="A429">
        <v>428</v>
      </c>
      <c r="B429" t="s">
        <v>2192</v>
      </c>
      <c r="C429" t="s">
        <v>4835</v>
      </c>
      <c r="D429">
        <v>428</v>
      </c>
      <c r="E429" t="s">
        <v>2190</v>
      </c>
    </row>
    <row r="430" spans="1:5" x14ac:dyDescent="0.3">
      <c r="A430">
        <v>429</v>
      </c>
      <c r="B430" t="s">
        <v>2196</v>
      </c>
      <c r="C430" t="s">
        <v>4835</v>
      </c>
      <c r="D430">
        <v>429</v>
      </c>
      <c r="E430" t="s">
        <v>2194</v>
      </c>
    </row>
    <row r="431" spans="1:5" x14ac:dyDescent="0.3">
      <c r="A431">
        <v>430</v>
      </c>
      <c r="B431" t="s">
        <v>2200</v>
      </c>
      <c r="C431" t="s">
        <v>4835</v>
      </c>
      <c r="D431">
        <v>430</v>
      </c>
      <c r="E431" t="s">
        <v>2198</v>
      </c>
    </row>
    <row r="432" spans="1:5" x14ac:dyDescent="0.3">
      <c r="A432">
        <v>431</v>
      </c>
      <c r="B432" t="s">
        <v>2204</v>
      </c>
      <c r="C432" t="s">
        <v>4835</v>
      </c>
      <c r="D432">
        <v>431</v>
      </c>
      <c r="E432" t="s">
        <v>2202</v>
      </c>
    </row>
    <row r="433" spans="1:5" x14ac:dyDescent="0.3">
      <c r="A433">
        <v>432</v>
      </c>
      <c r="B433" t="s">
        <v>2208</v>
      </c>
      <c r="C433" t="s">
        <v>4835</v>
      </c>
      <c r="D433">
        <v>432</v>
      </c>
      <c r="E433" t="s">
        <v>2206</v>
      </c>
    </row>
    <row r="434" spans="1:5" x14ac:dyDescent="0.3">
      <c r="A434">
        <v>433</v>
      </c>
      <c r="B434" t="s">
        <v>2212</v>
      </c>
      <c r="C434" t="s">
        <v>4835</v>
      </c>
      <c r="D434">
        <v>433</v>
      </c>
      <c r="E434" t="s">
        <v>2210</v>
      </c>
    </row>
    <row r="435" spans="1:5" x14ac:dyDescent="0.3">
      <c r="A435">
        <v>434</v>
      </c>
      <c r="B435" t="s">
        <v>2216</v>
      </c>
      <c r="C435" t="s">
        <v>4835</v>
      </c>
      <c r="D435">
        <v>434</v>
      </c>
      <c r="E435" t="s">
        <v>2214</v>
      </c>
    </row>
    <row r="436" spans="1:5" x14ac:dyDescent="0.3">
      <c r="A436">
        <v>435</v>
      </c>
      <c r="B436" t="s">
        <v>2220</v>
      </c>
      <c r="C436" t="s">
        <v>4835</v>
      </c>
      <c r="D436">
        <v>435</v>
      </c>
      <c r="E436" t="s">
        <v>2218</v>
      </c>
    </row>
    <row r="437" spans="1:5" x14ac:dyDescent="0.3">
      <c r="A437">
        <v>436</v>
      </c>
      <c r="B437" t="s">
        <v>2224</v>
      </c>
      <c r="C437" t="s">
        <v>4835</v>
      </c>
      <c r="D437">
        <v>436</v>
      </c>
      <c r="E437" t="s">
        <v>2222</v>
      </c>
    </row>
    <row r="438" spans="1:5" x14ac:dyDescent="0.3">
      <c r="A438">
        <v>437</v>
      </c>
      <c r="B438" t="s">
        <v>2228</v>
      </c>
      <c r="C438" t="s">
        <v>4835</v>
      </c>
      <c r="D438">
        <v>437</v>
      </c>
      <c r="E438" t="s">
        <v>2226</v>
      </c>
    </row>
    <row r="439" spans="1:5" x14ac:dyDescent="0.3">
      <c r="A439">
        <v>438</v>
      </c>
      <c r="B439" t="s">
        <v>2232</v>
      </c>
      <c r="C439" t="s">
        <v>4835</v>
      </c>
      <c r="D439">
        <v>438</v>
      </c>
      <c r="E439" t="s">
        <v>2230</v>
      </c>
    </row>
    <row r="440" spans="1:5" x14ac:dyDescent="0.3">
      <c r="A440">
        <v>439</v>
      </c>
      <c r="B440" t="s">
        <v>2236</v>
      </c>
      <c r="C440" t="s">
        <v>4835</v>
      </c>
      <c r="D440">
        <v>439</v>
      </c>
      <c r="E440" t="s">
        <v>2234</v>
      </c>
    </row>
    <row r="441" spans="1:5" x14ac:dyDescent="0.3">
      <c r="A441">
        <v>440</v>
      </c>
      <c r="B441" t="s">
        <v>2244</v>
      </c>
      <c r="C441" t="s">
        <v>4835</v>
      </c>
      <c r="D441">
        <v>440</v>
      </c>
      <c r="E441" t="s">
        <v>2238</v>
      </c>
    </row>
    <row r="442" spans="1:5" x14ac:dyDescent="0.3">
      <c r="A442">
        <v>441</v>
      </c>
      <c r="B442" t="s">
        <v>2248</v>
      </c>
      <c r="C442" t="s">
        <v>4835</v>
      </c>
      <c r="D442">
        <v>441</v>
      </c>
      <c r="E442" t="s">
        <v>2246</v>
      </c>
    </row>
    <row r="443" spans="1:5" x14ac:dyDescent="0.3">
      <c r="A443">
        <v>442</v>
      </c>
      <c r="B443" t="s">
        <v>2252</v>
      </c>
      <c r="C443" t="s">
        <v>4835</v>
      </c>
      <c r="D443">
        <v>442</v>
      </c>
      <c r="E443" t="s">
        <v>2250</v>
      </c>
    </row>
    <row r="444" spans="1:5" x14ac:dyDescent="0.3">
      <c r="A444">
        <v>443</v>
      </c>
      <c r="B444" t="s">
        <v>2256</v>
      </c>
      <c r="C444" t="s">
        <v>4835</v>
      </c>
      <c r="D444">
        <v>443</v>
      </c>
      <c r="E444" t="s">
        <v>2254</v>
      </c>
    </row>
    <row r="445" spans="1:5" x14ac:dyDescent="0.3">
      <c r="A445">
        <v>444</v>
      </c>
      <c r="B445" t="s">
        <v>2260</v>
      </c>
      <c r="C445" t="s">
        <v>4835</v>
      </c>
      <c r="D445">
        <v>444</v>
      </c>
      <c r="E445" t="s">
        <v>2258</v>
      </c>
    </row>
    <row r="446" spans="1:5" x14ac:dyDescent="0.3">
      <c r="A446">
        <v>445</v>
      </c>
      <c r="B446" t="s">
        <v>2264</v>
      </c>
      <c r="C446" t="s">
        <v>4835</v>
      </c>
      <c r="D446">
        <v>445</v>
      </c>
      <c r="E446" t="s">
        <v>2262</v>
      </c>
    </row>
    <row r="447" spans="1:5" x14ac:dyDescent="0.3">
      <c r="A447">
        <v>446</v>
      </c>
      <c r="B447" t="s">
        <v>2268</v>
      </c>
      <c r="C447" t="s">
        <v>4835</v>
      </c>
      <c r="D447">
        <v>446</v>
      </c>
      <c r="E447" t="s">
        <v>2266</v>
      </c>
    </row>
    <row r="448" spans="1:5" x14ac:dyDescent="0.3">
      <c r="A448">
        <v>447</v>
      </c>
      <c r="B448" t="s">
        <v>2272</v>
      </c>
      <c r="C448" t="s">
        <v>4835</v>
      </c>
      <c r="D448">
        <v>447</v>
      </c>
      <c r="E448" t="s">
        <v>2270</v>
      </c>
    </row>
    <row r="449" spans="1:5" x14ac:dyDescent="0.3">
      <c r="A449">
        <v>448</v>
      </c>
      <c r="B449" t="s">
        <v>2280</v>
      </c>
      <c r="C449" t="s">
        <v>4835</v>
      </c>
      <c r="D449">
        <v>448</v>
      </c>
      <c r="E449" t="s">
        <v>2274</v>
      </c>
    </row>
    <row r="450" spans="1:5" x14ac:dyDescent="0.3">
      <c r="A450">
        <v>449</v>
      </c>
      <c r="B450" t="s">
        <v>2284</v>
      </c>
      <c r="C450" t="s">
        <v>4835</v>
      </c>
      <c r="D450">
        <v>449</v>
      </c>
      <c r="E450" t="s">
        <v>2282</v>
      </c>
    </row>
    <row r="451" spans="1:5" x14ac:dyDescent="0.3">
      <c r="A451">
        <v>450</v>
      </c>
      <c r="B451" t="s">
        <v>2288</v>
      </c>
      <c r="C451" t="s">
        <v>4835</v>
      </c>
      <c r="D451">
        <v>450</v>
      </c>
      <c r="E451" t="s">
        <v>2286</v>
      </c>
    </row>
    <row r="452" spans="1:5" x14ac:dyDescent="0.3">
      <c r="A452">
        <v>451</v>
      </c>
      <c r="B452" t="s">
        <v>2292</v>
      </c>
      <c r="C452" t="s">
        <v>4835</v>
      </c>
      <c r="D452">
        <v>451</v>
      </c>
      <c r="E452" t="s">
        <v>2290</v>
      </c>
    </row>
    <row r="453" spans="1:5" x14ac:dyDescent="0.3">
      <c r="A453">
        <v>452</v>
      </c>
      <c r="B453" t="s">
        <v>2296</v>
      </c>
      <c r="C453" t="s">
        <v>4835</v>
      </c>
      <c r="D453">
        <v>452</v>
      </c>
      <c r="E453" t="s">
        <v>2294</v>
      </c>
    </row>
    <row r="454" spans="1:5" x14ac:dyDescent="0.3">
      <c r="A454">
        <v>453</v>
      </c>
      <c r="B454" t="s">
        <v>2300</v>
      </c>
      <c r="C454" t="s">
        <v>4835</v>
      </c>
      <c r="D454">
        <v>453</v>
      </c>
      <c r="E454" t="s">
        <v>2298</v>
      </c>
    </row>
    <row r="455" spans="1:5" x14ac:dyDescent="0.3">
      <c r="A455">
        <v>454</v>
      </c>
      <c r="B455" t="s">
        <v>2303</v>
      </c>
      <c r="C455" t="s">
        <v>4835</v>
      </c>
      <c r="D455">
        <v>454</v>
      </c>
      <c r="E455" t="s">
        <v>2301</v>
      </c>
    </row>
    <row r="456" spans="1:5" x14ac:dyDescent="0.3">
      <c r="A456">
        <v>455</v>
      </c>
      <c r="B456" t="s">
        <v>2307</v>
      </c>
      <c r="C456" t="s">
        <v>4835</v>
      </c>
      <c r="D456">
        <v>455</v>
      </c>
      <c r="E456" t="s">
        <v>2305</v>
      </c>
    </row>
    <row r="457" spans="1:5" x14ac:dyDescent="0.3">
      <c r="A457">
        <v>456</v>
      </c>
      <c r="B457" t="s">
        <v>2311</v>
      </c>
      <c r="C457" t="s">
        <v>4835</v>
      </c>
      <c r="D457">
        <v>456</v>
      </c>
      <c r="E457" t="s">
        <v>2309</v>
      </c>
    </row>
    <row r="458" spans="1:5" x14ac:dyDescent="0.3">
      <c r="A458">
        <v>457</v>
      </c>
      <c r="B458" t="s">
        <v>2315</v>
      </c>
      <c r="C458" t="s">
        <v>4835</v>
      </c>
      <c r="D458">
        <v>457</v>
      </c>
      <c r="E458" t="s">
        <v>2313</v>
      </c>
    </row>
    <row r="459" spans="1:5" x14ac:dyDescent="0.3">
      <c r="A459">
        <v>458</v>
      </c>
      <c r="B459" t="s">
        <v>2319</v>
      </c>
      <c r="C459" t="s">
        <v>4835</v>
      </c>
      <c r="D459">
        <v>458</v>
      </c>
      <c r="E459" t="s">
        <v>2317</v>
      </c>
    </row>
    <row r="460" spans="1:5" x14ac:dyDescent="0.3">
      <c r="A460">
        <v>459</v>
      </c>
      <c r="B460" t="s">
        <v>2323</v>
      </c>
      <c r="C460" t="s">
        <v>4835</v>
      </c>
      <c r="D460">
        <v>459</v>
      </c>
      <c r="E460" t="s">
        <v>2321</v>
      </c>
    </row>
    <row r="461" spans="1:5" x14ac:dyDescent="0.3">
      <c r="A461">
        <v>460</v>
      </c>
      <c r="B461" t="s">
        <v>2330</v>
      </c>
      <c r="C461" t="s">
        <v>4835</v>
      </c>
      <c r="D461">
        <v>460</v>
      </c>
      <c r="E461" t="s">
        <v>2324</v>
      </c>
    </row>
    <row r="462" spans="1:5" x14ac:dyDescent="0.3">
      <c r="A462">
        <v>461</v>
      </c>
      <c r="B462" t="s">
        <v>2338</v>
      </c>
      <c r="C462" t="s">
        <v>4835</v>
      </c>
      <c r="D462">
        <v>461</v>
      </c>
      <c r="E462" t="s">
        <v>2332</v>
      </c>
    </row>
    <row r="463" spans="1:5" x14ac:dyDescent="0.3">
      <c r="A463">
        <v>462</v>
      </c>
      <c r="B463" t="s">
        <v>2342</v>
      </c>
      <c r="C463" t="s">
        <v>4835</v>
      </c>
      <c r="D463">
        <v>462</v>
      </c>
      <c r="E463" t="s">
        <v>2340</v>
      </c>
    </row>
    <row r="464" spans="1:5" x14ac:dyDescent="0.3">
      <c r="A464">
        <v>463</v>
      </c>
      <c r="B464" t="s">
        <v>2350</v>
      </c>
      <c r="C464" t="s">
        <v>4835</v>
      </c>
      <c r="D464">
        <v>463</v>
      </c>
      <c r="E464" t="s">
        <v>2344</v>
      </c>
    </row>
    <row r="465" spans="1:5" x14ac:dyDescent="0.3">
      <c r="A465">
        <v>464</v>
      </c>
      <c r="B465" t="s">
        <v>2354</v>
      </c>
      <c r="C465" t="s">
        <v>4835</v>
      </c>
      <c r="D465">
        <v>464</v>
      </c>
      <c r="E465" t="s">
        <v>2352</v>
      </c>
    </row>
    <row r="466" spans="1:5" x14ac:dyDescent="0.3">
      <c r="A466">
        <v>465</v>
      </c>
      <c r="B466" t="s">
        <v>2362</v>
      </c>
      <c r="C466" t="s">
        <v>4835</v>
      </c>
      <c r="D466">
        <v>465</v>
      </c>
      <c r="E466" t="s">
        <v>2356</v>
      </c>
    </row>
    <row r="467" spans="1:5" x14ac:dyDescent="0.3">
      <c r="A467">
        <v>466</v>
      </c>
      <c r="B467" t="s">
        <v>2366</v>
      </c>
      <c r="C467" t="s">
        <v>4835</v>
      </c>
      <c r="D467">
        <v>466</v>
      </c>
      <c r="E467" t="s">
        <v>2364</v>
      </c>
    </row>
    <row r="468" spans="1:5" x14ac:dyDescent="0.3">
      <c r="A468">
        <v>467</v>
      </c>
      <c r="B468" t="s">
        <v>2370</v>
      </c>
      <c r="C468" t="s">
        <v>4835</v>
      </c>
      <c r="D468">
        <v>467</v>
      </c>
      <c r="E468" t="s">
        <v>2368</v>
      </c>
    </row>
    <row r="469" spans="1:5" x14ac:dyDescent="0.3">
      <c r="A469">
        <v>468</v>
      </c>
      <c r="B469" t="s">
        <v>2378</v>
      </c>
      <c r="C469" t="s">
        <v>4835</v>
      </c>
      <c r="D469">
        <v>468</v>
      </c>
      <c r="E469" t="s">
        <v>2372</v>
      </c>
    </row>
    <row r="470" spans="1:5" x14ac:dyDescent="0.3">
      <c r="A470">
        <v>469</v>
      </c>
      <c r="B470" t="s">
        <v>2382</v>
      </c>
      <c r="C470" t="s">
        <v>4835</v>
      </c>
      <c r="D470">
        <v>469</v>
      </c>
      <c r="E470" t="s">
        <v>2380</v>
      </c>
    </row>
    <row r="471" spans="1:5" x14ac:dyDescent="0.3">
      <c r="A471">
        <v>470</v>
      </c>
      <c r="B471" t="s">
        <v>2386</v>
      </c>
      <c r="C471" t="s">
        <v>4835</v>
      </c>
      <c r="D471">
        <v>470</v>
      </c>
      <c r="E471" t="s">
        <v>2384</v>
      </c>
    </row>
    <row r="472" spans="1:5" x14ac:dyDescent="0.3">
      <c r="A472">
        <v>471</v>
      </c>
      <c r="B472" t="s">
        <v>2390</v>
      </c>
      <c r="C472" t="s">
        <v>4835</v>
      </c>
      <c r="D472">
        <v>471</v>
      </c>
      <c r="E472" t="s">
        <v>2388</v>
      </c>
    </row>
    <row r="473" spans="1:5" x14ac:dyDescent="0.3">
      <c r="A473">
        <v>472</v>
      </c>
      <c r="B473" t="s">
        <v>2394</v>
      </c>
      <c r="C473" t="s">
        <v>4835</v>
      </c>
      <c r="D473">
        <v>472</v>
      </c>
      <c r="E473" t="s">
        <v>2392</v>
      </c>
    </row>
    <row r="474" spans="1:5" x14ac:dyDescent="0.3">
      <c r="A474">
        <v>473</v>
      </c>
      <c r="B474" t="s">
        <v>2397</v>
      </c>
      <c r="C474" t="s">
        <v>4835</v>
      </c>
      <c r="D474">
        <v>473</v>
      </c>
      <c r="E474" t="s">
        <v>2395</v>
      </c>
    </row>
    <row r="475" spans="1:5" x14ac:dyDescent="0.3">
      <c r="A475">
        <v>474</v>
      </c>
      <c r="B475" t="s">
        <v>2401</v>
      </c>
      <c r="C475" t="s">
        <v>4835</v>
      </c>
      <c r="D475">
        <v>474</v>
      </c>
      <c r="E475" t="s">
        <v>2399</v>
      </c>
    </row>
    <row r="476" spans="1:5" x14ac:dyDescent="0.3">
      <c r="A476">
        <v>475</v>
      </c>
      <c r="B476" t="s">
        <v>2404</v>
      </c>
      <c r="C476" t="s">
        <v>4835</v>
      </c>
      <c r="D476">
        <v>475</v>
      </c>
      <c r="E476" t="s">
        <v>2402</v>
      </c>
    </row>
    <row r="477" spans="1:5" x14ac:dyDescent="0.3">
      <c r="A477">
        <v>476</v>
      </c>
      <c r="B477" t="s">
        <v>2408</v>
      </c>
      <c r="C477" t="s">
        <v>4835</v>
      </c>
      <c r="D477">
        <v>476</v>
      </c>
      <c r="E477" t="s">
        <v>2406</v>
      </c>
    </row>
    <row r="478" spans="1:5" x14ac:dyDescent="0.3">
      <c r="A478">
        <v>477</v>
      </c>
      <c r="B478" t="s">
        <v>2412</v>
      </c>
      <c r="C478" t="s">
        <v>4835</v>
      </c>
      <c r="D478">
        <v>477</v>
      </c>
      <c r="E478" t="s">
        <v>2409</v>
      </c>
    </row>
    <row r="479" spans="1:5" x14ac:dyDescent="0.3">
      <c r="A479">
        <v>478</v>
      </c>
      <c r="B479" t="s">
        <v>2416</v>
      </c>
      <c r="C479" t="s">
        <v>4835</v>
      </c>
      <c r="D479">
        <v>478</v>
      </c>
      <c r="E479" t="s">
        <v>2414</v>
      </c>
    </row>
    <row r="480" spans="1:5" x14ac:dyDescent="0.3">
      <c r="A480">
        <v>479</v>
      </c>
      <c r="B480" t="s">
        <v>2420</v>
      </c>
      <c r="C480" t="s">
        <v>4835</v>
      </c>
      <c r="D480">
        <v>479</v>
      </c>
      <c r="E480" t="s">
        <v>2418</v>
      </c>
    </row>
    <row r="481" spans="1:5" x14ac:dyDescent="0.3">
      <c r="A481">
        <v>480</v>
      </c>
      <c r="B481" t="s">
        <v>2424</v>
      </c>
      <c r="C481" t="s">
        <v>4835</v>
      </c>
      <c r="D481">
        <v>480</v>
      </c>
      <c r="E481" t="s">
        <v>2422</v>
      </c>
    </row>
    <row r="482" spans="1:5" x14ac:dyDescent="0.3">
      <c r="A482">
        <v>481</v>
      </c>
      <c r="B482" t="s">
        <v>2428</v>
      </c>
      <c r="C482" t="s">
        <v>4835</v>
      </c>
      <c r="D482">
        <v>481</v>
      </c>
      <c r="E482" t="s">
        <v>2426</v>
      </c>
    </row>
    <row r="483" spans="1:5" x14ac:dyDescent="0.3">
      <c r="A483">
        <v>482</v>
      </c>
      <c r="B483" t="s">
        <v>2432</v>
      </c>
      <c r="C483" t="s">
        <v>4835</v>
      </c>
      <c r="D483">
        <v>482</v>
      </c>
      <c r="E483" t="s">
        <v>2430</v>
      </c>
    </row>
    <row r="484" spans="1:5" x14ac:dyDescent="0.3">
      <c r="A484">
        <v>483</v>
      </c>
      <c r="B484" t="s">
        <v>2436</v>
      </c>
      <c r="C484" t="s">
        <v>4835</v>
      </c>
      <c r="D484">
        <v>483</v>
      </c>
      <c r="E484" t="s">
        <v>2434</v>
      </c>
    </row>
    <row r="485" spans="1:5" x14ac:dyDescent="0.3">
      <c r="A485">
        <v>484</v>
      </c>
      <c r="B485" t="s">
        <v>2440</v>
      </c>
      <c r="C485" t="s">
        <v>4835</v>
      </c>
      <c r="D485">
        <v>484</v>
      </c>
      <c r="E485" t="s">
        <v>2438</v>
      </c>
    </row>
    <row r="486" spans="1:5" x14ac:dyDescent="0.3">
      <c r="A486">
        <v>485</v>
      </c>
      <c r="B486" t="s">
        <v>2444</v>
      </c>
      <c r="C486" t="s">
        <v>4835</v>
      </c>
      <c r="D486">
        <v>485</v>
      </c>
      <c r="E486" t="s">
        <v>2442</v>
      </c>
    </row>
    <row r="487" spans="1:5" x14ac:dyDescent="0.3">
      <c r="A487">
        <v>486</v>
      </c>
      <c r="B487" t="s">
        <v>2448</v>
      </c>
      <c r="C487" t="s">
        <v>4835</v>
      </c>
      <c r="D487">
        <v>486</v>
      </c>
      <c r="E487" t="s">
        <v>2446</v>
      </c>
    </row>
    <row r="488" spans="1:5" x14ac:dyDescent="0.3">
      <c r="A488">
        <v>487</v>
      </c>
      <c r="B488" t="s">
        <v>2456</v>
      </c>
      <c r="C488" t="s">
        <v>4835</v>
      </c>
      <c r="D488">
        <v>487</v>
      </c>
      <c r="E488" t="s">
        <v>2450</v>
      </c>
    </row>
    <row r="489" spans="1:5" x14ac:dyDescent="0.3">
      <c r="A489">
        <v>488</v>
      </c>
      <c r="B489" t="s">
        <v>2464</v>
      </c>
      <c r="C489" t="s">
        <v>4835</v>
      </c>
      <c r="D489">
        <v>488</v>
      </c>
      <c r="E489" t="s">
        <v>2458</v>
      </c>
    </row>
    <row r="490" spans="1:5" x14ac:dyDescent="0.3">
      <c r="A490">
        <v>489</v>
      </c>
      <c r="B490" t="s">
        <v>2467</v>
      </c>
      <c r="C490" t="s">
        <v>4835</v>
      </c>
      <c r="D490">
        <v>489</v>
      </c>
      <c r="E490" t="s">
        <v>2465</v>
      </c>
    </row>
    <row r="491" spans="1:5" x14ac:dyDescent="0.3">
      <c r="A491">
        <v>490</v>
      </c>
      <c r="B491" t="s">
        <v>2475</v>
      </c>
      <c r="C491" t="s">
        <v>4835</v>
      </c>
      <c r="D491">
        <v>490</v>
      </c>
      <c r="E491" t="s">
        <v>2469</v>
      </c>
    </row>
    <row r="492" spans="1:5" x14ac:dyDescent="0.3">
      <c r="A492">
        <v>491</v>
      </c>
      <c r="B492" t="s">
        <v>2479</v>
      </c>
      <c r="C492" t="s">
        <v>4835</v>
      </c>
      <c r="D492">
        <v>491</v>
      </c>
      <c r="E492" t="s">
        <v>2477</v>
      </c>
    </row>
    <row r="493" spans="1:5" x14ac:dyDescent="0.3">
      <c r="A493">
        <v>492</v>
      </c>
      <c r="B493" t="s">
        <v>2483</v>
      </c>
      <c r="C493" t="s">
        <v>4835</v>
      </c>
      <c r="D493">
        <v>492</v>
      </c>
      <c r="E493" t="s">
        <v>2481</v>
      </c>
    </row>
    <row r="494" spans="1:5" x14ac:dyDescent="0.3">
      <c r="A494">
        <v>493</v>
      </c>
      <c r="B494" t="s">
        <v>2491</v>
      </c>
      <c r="C494" t="s">
        <v>4835</v>
      </c>
      <c r="D494">
        <v>493</v>
      </c>
      <c r="E494" t="s">
        <v>2485</v>
      </c>
    </row>
    <row r="495" spans="1:5" x14ac:dyDescent="0.3">
      <c r="A495">
        <v>494</v>
      </c>
      <c r="B495" t="s">
        <v>2495</v>
      </c>
      <c r="C495" t="s">
        <v>4835</v>
      </c>
      <c r="D495">
        <v>494</v>
      </c>
      <c r="E495" t="s">
        <v>2493</v>
      </c>
    </row>
    <row r="496" spans="1:5" x14ac:dyDescent="0.3">
      <c r="A496">
        <v>495</v>
      </c>
      <c r="B496" t="s">
        <v>2499</v>
      </c>
      <c r="C496" t="s">
        <v>4835</v>
      </c>
      <c r="D496">
        <v>495</v>
      </c>
      <c r="E496" t="s">
        <v>2497</v>
      </c>
    </row>
    <row r="497" spans="1:5" x14ac:dyDescent="0.3">
      <c r="A497">
        <v>496</v>
      </c>
      <c r="B497" t="s">
        <v>2503</v>
      </c>
      <c r="C497" t="s">
        <v>4835</v>
      </c>
      <c r="D497">
        <v>496</v>
      </c>
      <c r="E497" t="s">
        <v>2501</v>
      </c>
    </row>
    <row r="498" spans="1:5" x14ac:dyDescent="0.3">
      <c r="A498">
        <v>497</v>
      </c>
      <c r="B498" t="s">
        <v>2507</v>
      </c>
      <c r="C498" t="s">
        <v>4835</v>
      </c>
      <c r="D498">
        <v>497</v>
      </c>
      <c r="E498" t="s">
        <v>2505</v>
      </c>
    </row>
    <row r="499" spans="1:5" x14ac:dyDescent="0.3">
      <c r="A499">
        <v>498</v>
      </c>
      <c r="B499" t="s">
        <v>2511</v>
      </c>
      <c r="C499" t="s">
        <v>4835</v>
      </c>
      <c r="D499">
        <v>498</v>
      </c>
      <c r="E499" t="s">
        <v>2509</v>
      </c>
    </row>
    <row r="500" spans="1:5" x14ac:dyDescent="0.3">
      <c r="A500">
        <v>499</v>
      </c>
      <c r="B500" t="s">
        <v>2515</v>
      </c>
      <c r="C500" t="s">
        <v>4835</v>
      </c>
      <c r="D500">
        <v>499</v>
      </c>
      <c r="E500" t="s">
        <v>2513</v>
      </c>
    </row>
    <row r="501" spans="1:5" x14ac:dyDescent="0.3">
      <c r="A501">
        <v>500</v>
      </c>
      <c r="B501" t="s">
        <v>2519</v>
      </c>
      <c r="C501" t="s">
        <v>4835</v>
      </c>
      <c r="D501">
        <v>500</v>
      </c>
      <c r="E501" t="s">
        <v>2517</v>
      </c>
    </row>
    <row r="502" spans="1:5" x14ac:dyDescent="0.3">
      <c r="A502">
        <v>501</v>
      </c>
      <c r="B502" t="s">
        <v>2527</v>
      </c>
      <c r="C502" t="s">
        <v>4835</v>
      </c>
      <c r="D502">
        <v>501</v>
      </c>
      <c r="E502" t="s">
        <v>2521</v>
      </c>
    </row>
    <row r="503" spans="1:5" x14ac:dyDescent="0.3">
      <c r="A503">
        <v>502</v>
      </c>
      <c r="B503" t="s">
        <v>2531</v>
      </c>
      <c r="C503" t="s">
        <v>4835</v>
      </c>
      <c r="D503">
        <v>502</v>
      </c>
      <c r="E503" t="s">
        <v>2529</v>
      </c>
    </row>
    <row r="504" spans="1:5" x14ac:dyDescent="0.3">
      <c r="A504">
        <v>503</v>
      </c>
      <c r="B504" t="s">
        <v>2535</v>
      </c>
      <c r="C504" t="s">
        <v>4835</v>
      </c>
      <c r="D504">
        <v>503</v>
      </c>
      <c r="E504" t="s">
        <v>2533</v>
      </c>
    </row>
    <row r="505" spans="1:5" x14ac:dyDescent="0.3">
      <c r="A505">
        <v>504</v>
      </c>
      <c r="B505" t="s">
        <v>2543</v>
      </c>
      <c r="C505" t="s">
        <v>4835</v>
      </c>
      <c r="D505">
        <v>504</v>
      </c>
      <c r="E505" t="s">
        <v>2537</v>
      </c>
    </row>
    <row r="506" spans="1:5" x14ac:dyDescent="0.3">
      <c r="A506">
        <v>505</v>
      </c>
      <c r="B506" t="s">
        <v>2547</v>
      </c>
      <c r="C506" t="s">
        <v>4835</v>
      </c>
      <c r="D506">
        <v>505</v>
      </c>
      <c r="E506" t="s">
        <v>2545</v>
      </c>
    </row>
    <row r="507" spans="1:5" x14ac:dyDescent="0.3">
      <c r="A507">
        <v>506</v>
      </c>
      <c r="B507" t="s">
        <v>2551</v>
      </c>
      <c r="C507" t="s">
        <v>4835</v>
      </c>
      <c r="D507">
        <v>506</v>
      </c>
      <c r="E507" t="s">
        <v>2549</v>
      </c>
    </row>
    <row r="508" spans="1:5" x14ac:dyDescent="0.3">
      <c r="A508">
        <v>507</v>
      </c>
      <c r="B508" t="s">
        <v>2555</v>
      </c>
      <c r="C508" t="s">
        <v>4835</v>
      </c>
      <c r="D508">
        <v>507</v>
      </c>
      <c r="E508" t="s">
        <v>2553</v>
      </c>
    </row>
    <row r="509" spans="1:5" x14ac:dyDescent="0.3">
      <c r="A509">
        <v>508</v>
      </c>
      <c r="B509" t="s">
        <v>2559</v>
      </c>
      <c r="C509" t="s">
        <v>4835</v>
      </c>
      <c r="D509">
        <v>508</v>
      </c>
      <c r="E509" t="s">
        <v>2557</v>
      </c>
    </row>
    <row r="510" spans="1:5" x14ac:dyDescent="0.3">
      <c r="A510">
        <v>509</v>
      </c>
      <c r="B510" t="s">
        <v>2563</v>
      </c>
      <c r="C510" t="s">
        <v>4835</v>
      </c>
      <c r="D510">
        <v>509</v>
      </c>
      <c r="E510" t="s">
        <v>2561</v>
      </c>
    </row>
    <row r="511" spans="1:5" x14ac:dyDescent="0.3">
      <c r="A511">
        <v>510</v>
      </c>
      <c r="B511" t="s">
        <v>2571</v>
      </c>
      <c r="C511" t="s">
        <v>4835</v>
      </c>
      <c r="D511">
        <v>510</v>
      </c>
      <c r="E511" t="s">
        <v>2565</v>
      </c>
    </row>
    <row r="512" spans="1:5" x14ac:dyDescent="0.3">
      <c r="A512">
        <v>511</v>
      </c>
      <c r="B512" t="s">
        <v>2579</v>
      </c>
      <c r="C512" t="s">
        <v>4835</v>
      </c>
      <c r="D512">
        <v>511</v>
      </c>
      <c r="E512" t="s">
        <v>2573</v>
      </c>
    </row>
    <row r="513" spans="1:5" x14ac:dyDescent="0.3">
      <c r="A513">
        <v>512</v>
      </c>
      <c r="B513" t="s">
        <v>2583</v>
      </c>
      <c r="C513" t="s">
        <v>4835</v>
      </c>
      <c r="D513">
        <v>512</v>
      </c>
      <c r="E513" t="s">
        <v>2581</v>
      </c>
    </row>
    <row r="514" spans="1:5" x14ac:dyDescent="0.3">
      <c r="A514">
        <v>513</v>
      </c>
      <c r="B514" t="s">
        <v>2591</v>
      </c>
      <c r="C514" t="s">
        <v>4835</v>
      </c>
      <c r="D514">
        <v>513</v>
      </c>
      <c r="E514" t="s">
        <v>2585</v>
      </c>
    </row>
    <row r="515" spans="1:5" x14ac:dyDescent="0.3">
      <c r="A515">
        <v>514</v>
      </c>
      <c r="B515" t="s">
        <v>2595</v>
      </c>
      <c r="C515" t="s">
        <v>4835</v>
      </c>
      <c r="D515">
        <v>514</v>
      </c>
      <c r="E515" t="s">
        <v>2593</v>
      </c>
    </row>
    <row r="516" spans="1:5" x14ac:dyDescent="0.3">
      <c r="A516">
        <v>515</v>
      </c>
      <c r="B516" t="s">
        <v>2599</v>
      </c>
      <c r="C516" t="s">
        <v>4835</v>
      </c>
      <c r="D516">
        <v>515</v>
      </c>
      <c r="E516" t="s">
        <v>2597</v>
      </c>
    </row>
    <row r="517" spans="1:5" x14ac:dyDescent="0.3">
      <c r="A517">
        <v>516</v>
      </c>
      <c r="B517" t="s">
        <v>2603</v>
      </c>
      <c r="C517" t="s">
        <v>4835</v>
      </c>
      <c r="D517">
        <v>516</v>
      </c>
      <c r="E517" t="s">
        <v>2601</v>
      </c>
    </row>
    <row r="518" spans="1:5" x14ac:dyDescent="0.3">
      <c r="A518">
        <v>517</v>
      </c>
      <c r="B518" t="s">
        <v>2607</v>
      </c>
      <c r="C518" t="s">
        <v>4835</v>
      </c>
      <c r="D518">
        <v>517</v>
      </c>
      <c r="E518" t="s">
        <v>2605</v>
      </c>
    </row>
    <row r="519" spans="1:5" x14ac:dyDescent="0.3">
      <c r="A519">
        <v>518</v>
      </c>
      <c r="B519" t="s">
        <v>2611</v>
      </c>
      <c r="C519" t="s">
        <v>4835</v>
      </c>
      <c r="D519">
        <v>518</v>
      </c>
      <c r="E519" t="s">
        <v>2609</v>
      </c>
    </row>
    <row r="520" spans="1:5" x14ac:dyDescent="0.3">
      <c r="A520">
        <v>519</v>
      </c>
      <c r="B520" t="s">
        <v>2615</v>
      </c>
      <c r="C520" t="s">
        <v>4835</v>
      </c>
      <c r="D520">
        <v>519</v>
      </c>
      <c r="E520" t="s">
        <v>2613</v>
      </c>
    </row>
    <row r="521" spans="1:5" x14ac:dyDescent="0.3">
      <c r="A521">
        <v>520</v>
      </c>
      <c r="B521" t="s">
        <v>2619</v>
      </c>
      <c r="C521" t="s">
        <v>4835</v>
      </c>
      <c r="D521">
        <v>520</v>
      </c>
      <c r="E521" t="s">
        <v>2617</v>
      </c>
    </row>
    <row r="522" spans="1:5" x14ac:dyDescent="0.3">
      <c r="A522">
        <v>521</v>
      </c>
      <c r="B522" t="s">
        <v>2623</v>
      </c>
      <c r="C522" t="s">
        <v>4835</v>
      </c>
      <c r="D522">
        <v>521</v>
      </c>
      <c r="E522" t="s">
        <v>2621</v>
      </c>
    </row>
    <row r="523" spans="1:5" x14ac:dyDescent="0.3">
      <c r="A523">
        <v>522</v>
      </c>
      <c r="B523" t="s">
        <v>2627</v>
      </c>
      <c r="C523" t="s">
        <v>4835</v>
      </c>
      <c r="D523">
        <v>522</v>
      </c>
      <c r="E523" t="s">
        <v>2625</v>
      </c>
    </row>
    <row r="524" spans="1:5" x14ac:dyDescent="0.3">
      <c r="A524">
        <v>523</v>
      </c>
      <c r="B524" t="s">
        <v>2631</v>
      </c>
      <c r="C524" t="s">
        <v>4835</v>
      </c>
      <c r="D524">
        <v>523</v>
      </c>
      <c r="E524" t="s">
        <v>2629</v>
      </c>
    </row>
    <row r="525" spans="1:5" x14ac:dyDescent="0.3">
      <c r="A525">
        <v>524</v>
      </c>
      <c r="B525" t="s">
        <v>2635</v>
      </c>
      <c r="C525" t="s">
        <v>4835</v>
      </c>
      <c r="D525">
        <v>524</v>
      </c>
      <c r="E525" t="s">
        <v>2633</v>
      </c>
    </row>
    <row r="526" spans="1:5" x14ac:dyDescent="0.3">
      <c r="A526">
        <v>525</v>
      </c>
      <c r="B526" t="s">
        <v>2643</v>
      </c>
      <c r="C526" t="s">
        <v>4835</v>
      </c>
      <c r="D526">
        <v>525</v>
      </c>
      <c r="E526" t="s">
        <v>2637</v>
      </c>
    </row>
    <row r="527" spans="1:5" x14ac:dyDescent="0.3">
      <c r="A527">
        <v>526</v>
      </c>
      <c r="B527" t="s">
        <v>2647</v>
      </c>
      <c r="C527" t="s">
        <v>4835</v>
      </c>
      <c r="D527">
        <v>526</v>
      </c>
      <c r="E527" t="s">
        <v>2645</v>
      </c>
    </row>
    <row r="528" spans="1:5" x14ac:dyDescent="0.3">
      <c r="A528">
        <v>527</v>
      </c>
      <c r="B528" t="s">
        <v>2651</v>
      </c>
      <c r="C528" t="s">
        <v>4835</v>
      </c>
      <c r="D528">
        <v>527</v>
      </c>
      <c r="E528" t="s">
        <v>2649</v>
      </c>
    </row>
    <row r="529" spans="1:5" x14ac:dyDescent="0.3">
      <c r="A529">
        <v>528</v>
      </c>
      <c r="B529" t="s">
        <v>2655</v>
      </c>
      <c r="C529" t="s">
        <v>4835</v>
      </c>
      <c r="D529">
        <v>528</v>
      </c>
      <c r="E529" t="s">
        <v>2653</v>
      </c>
    </row>
    <row r="530" spans="1:5" x14ac:dyDescent="0.3">
      <c r="A530">
        <v>529</v>
      </c>
      <c r="B530" t="s">
        <v>2663</v>
      </c>
      <c r="C530" t="s">
        <v>4835</v>
      </c>
      <c r="D530">
        <v>529</v>
      </c>
      <c r="E530" t="s">
        <v>2657</v>
      </c>
    </row>
    <row r="531" spans="1:5" x14ac:dyDescent="0.3">
      <c r="A531">
        <v>530</v>
      </c>
      <c r="B531" t="s">
        <v>2667</v>
      </c>
      <c r="C531" t="s">
        <v>4835</v>
      </c>
      <c r="D531">
        <v>530</v>
      </c>
      <c r="E531" t="s">
        <v>2665</v>
      </c>
    </row>
    <row r="532" spans="1:5" x14ac:dyDescent="0.3">
      <c r="A532">
        <v>531</v>
      </c>
      <c r="B532" t="s">
        <v>2671</v>
      </c>
      <c r="C532" t="s">
        <v>4835</v>
      </c>
      <c r="D532">
        <v>531</v>
      </c>
      <c r="E532" t="s">
        <v>2669</v>
      </c>
    </row>
    <row r="533" spans="1:5" x14ac:dyDescent="0.3">
      <c r="A533">
        <v>532</v>
      </c>
      <c r="B533" t="s">
        <v>2675</v>
      </c>
      <c r="C533" t="s">
        <v>4835</v>
      </c>
      <c r="D533">
        <v>532</v>
      </c>
      <c r="E533" t="s">
        <v>2673</v>
      </c>
    </row>
    <row r="534" spans="1:5" x14ac:dyDescent="0.3">
      <c r="A534">
        <v>533</v>
      </c>
      <c r="B534" t="s">
        <v>2679</v>
      </c>
      <c r="C534" t="s">
        <v>4835</v>
      </c>
      <c r="D534">
        <v>533</v>
      </c>
      <c r="E534" t="s">
        <v>2677</v>
      </c>
    </row>
    <row r="535" spans="1:5" x14ac:dyDescent="0.3">
      <c r="A535">
        <v>534</v>
      </c>
      <c r="B535" t="s">
        <v>2687</v>
      </c>
      <c r="C535" t="s">
        <v>4835</v>
      </c>
      <c r="D535">
        <v>534</v>
      </c>
      <c r="E535" t="s">
        <v>2681</v>
      </c>
    </row>
    <row r="536" spans="1:5" x14ac:dyDescent="0.3">
      <c r="A536">
        <v>535</v>
      </c>
      <c r="B536" t="s">
        <v>2691</v>
      </c>
      <c r="C536" t="s">
        <v>4835</v>
      </c>
      <c r="D536">
        <v>535</v>
      </c>
      <c r="E536" t="s">
        <v>2689</v>
      </c>
    </row>
    <row r="537" spans="1:5" x14ac:dyDescent="0.3">
      <c r="A537">
        <v>536</v>
      </c>
      <c r="B537" t="s">
        <v>2699</v>
      </c>
      <c r="C537" t="s">
        <v>4835</v>
      </c>
      <c r="D537">
        <v>536</v>
      </c>
      <c r="E537" t="s">
        <v>2693</v>
      </c>
    </row>
    <row r="538" spans="1:5" x14ac:dyDescent="0.3">
      <c r="A538">
        <v>537</v>
      </c>
      <c r="B538" t="s">
        <v>2707</v>
      </c>
      <c r="C538" t="s">
        <v>4835</v>
      </c>
      <c r="D538">
        <v>537</v>
      </c>
      <c r="E538" t="s">
        <v>2701</v>
      </c>
    </row>
    <row r="539" spans="1:5" x14ac:dyDescent="0.3">
      <c r="A539">
        <v>538</v>
      </c>
      <c r="B539" t="s">
        <v>2715</v>
      </c>
      <c r="C539" t="s">
        <v>4835</v>
      </c>
      <c r="D539">
        <v>538</v>
      </c>
      <c r="E539" t="s">
        <v>2709</v>
      </c>
    </row>
    <row r="540" spans="1:5" x14ac:dyDescent="0.3">
      <c r="A540">
        <v>539</v>
      </c>
      <c r="B540" t="s">
        <v>2719</v>
      </c>
      <c r="C540" t="s">
        <v>4835</v>
      </c>
      <c r="D540">
        <v>539</v>
      </c>
      <c r="E540" t="s">
        <v>2717</v>
      </c>
    </row>
    <row r="541" spans="1:5" x14ac:dyDescent="0.3">
      <c r="A541">
        <v>540</v>
      </c>
      <c r="B541" t="s">
        <v>2723</v>
      </c>
      <c r="C541" t="s">
        <v>4835</v>
      </c>
      <c r="D541">
        <v>540</v>
      </c>
      <c r="E541" t="s">
        <v>2721</v>
      </c>
    </row>
    <row r="542" spans="1:5" x14ac:dyDescent="0.3">
      <c r="A542">
        <v>541</v>
      </c>
      <c r="B542" t="s">
        <v>2727</v>
      </c>
      <c r="C542" t="s">
        <v>4835</v>
      </c>
      <c r="D542">
        <v>541</v>
      </c>
      <c r="E542" t="s">
        <v>2725</v>
      </c>
    </row>
    <row r="543" spans="1:5" x14ac:dyDescent="0.3">
      <c r="A543">
        <v>542</v>
      </c>
      <c r="B543" t="s">
        <v>2731</v>
      </c>
      <c r="C543" t="s">
        <v>4835</v>
      </c>
      <c r="D543">
        <v>542</v>
      </c>
      <c r="E543" t="s">
        <v>2729</v>
      </c>
    </row>
    <row r="544" spans="1:5" x14ac:dyDescent="0.3">
      <c r="A544">
        <v>543</v>
      </c>
      <c r="B544" t="s">
        <v>2735</v>
      </c>
      <c r="C544" t="s">
        <v>4835</v>
      </c>
      <c r="D544">
        <v>543</v>
      </c>
      <c r="E544" t="s">
        <v>2733</v>
      </c>
    </row>
    <row r="545" spans="1:5" x14ac:dyDescent="0.3">
      <c r="A545">
        <v>544</v>
      </c>
      <c r="B545" t="s">
        <v>2739</v>
      </c>
      <c r="C545" t="s">
        <v>4835</v>
      </c>
      <c r="D545">
        <v>544</v>
      </c>
      <c r="E545" t="s">
        <v>2737</v>
      </c>
    </row>
    <row r="546" spans="1:5" x14ac:dyDescent="0.3">
      <c r="A546">
        <v>545</v>
      </c>
      <c r="B546" t="s">
        <v>2743</v>
      </c>
      <c r="C546" t="s">
        <v>4835</v>
      </c>
      <c r="D546">
        <v>545</v>
      </c>
      <c r="E546" t="s">
        <v>2741</v>
      </c>
    </row>
    <row r="547" spans="1:5" x14ac:dyDescent="0.3">
      <c r="A547">
        <v>546</v>
      </c>
      <c r="B547" t="s">
        <v>2747</v>
      </c>
      <c r="C547" t="s">
        <v>4835</v>
      </c>
      <c r="D547">
        <v>546</v>
      </c>
      <c r="E547" t="s">
        <v>2745</v>
      </c>
    </row>
    <row r="548" spans="1:5" x14ac:dyDescent="0.3">
      <c r="A548">
        <v>547</v>
      </c>
      <c r="B548" t="s">
        <v>2751</v>
      </c>
      <c r="C548" t="s">
        <v>4835</v>
      </c>
      <c r="D548">
        <v>547</v>
      </c>
      <c r="E548" t="s">
        <v>2749</v>
      </c>
    </row>
    <row r="549" spans="1:5" x14ac:dyDescent="0.3">
      <c r="A549">
        <v>548</v>
      </c>
      <c r="B549" t="s">
        <v>2759</v>
      </c>
      <c r="C549" t="s">
        <v>4835</v>
      </c>
      <c r="D549">
        <v>548</v>
      </c>
      <c r="E549" t="s">
        <v>2753</v>
      </c>
    </row>
    <row r="550" spans="1:5" x14ac:dyDescent="0.3">
      <c r="A550">
        <v>549</v>
      </c>
      <c r="B550" t="s">
        <v>2763</v>
      </c>
      <c r="C550" t="s">
        <v>4835</v>
      </c>
      <c r="D550">
        <v>549</v>
      </c>
      <c r="E550" t="s">
        <v>2761</v>
      </c>
    </row>
    <row r="551" spans="1:5" x14ac:dyDescent="0.3">
      <c r="A551">
        <v>550</v>
      </c>
      <c r="B551" t="s">
        <v>2771</v>
      </c>
      <c r="C551" t="s">
        <v>4835</v>
      </c>
      <c r="D551">
        <v>550</v>
      </c>
      <c r="E551" t="s">
        <v>2765</v>
      </c>
    </row>
    <row r="552" spans="1:5" x14ac:dyDescent="0.3">
      <c r="A552">
        <v>551</v>
      </c>
      <c r="B552" t="s">
        <v>2779</v>
      </c>
      <c r="C552" t="s">
        <v>4835</v>
      </c>
      <c r="D552">
        <v>551</v>
      </c>
      <c r="E552" t="s">
        <v>2773</v>
      </c>
    </row>
    <row r="553" spans="1:5" x14ac:dyDescent="0.3">
      <c r="A553">
        <v>552</v>
      </c>
      <c r="B553" t="s">
        <v>2783</v>
      </c>
      <c r="C553" t="s">
        <v>4835</v>
      </c>
      <c r="D553">
        <v>552</v>
      </c>
      <c r="E553" t="s">
        <v>2781</v>
      </c>
    </row>
    <row r="554" spans="1:5" x14ac:dyDescent="0.3">
      <c r="A554">
        <v>553</v>
      </c>
      <c r="B554" t="s">
        <v>2787</v>
      </c>
      <c r="C554" t="s">
        <v>4835</v>
      </c>
      <c r="D554">
        <v>553</v>
      </c>
      <c r="E554" t="s">
        <v>2785</v>
      </c>
    </row>
    <row r="555" spans="1:5" x14ac:dyDescent="0.3">
      <c r="A555">
        <v>554</v>
      </c>
      <c r="B555" t="s">
        <v>2791</v>
      </c>
      <c r="C555" t="s">
        <v>4835</v>
      </c>
      <c r="D555">
        <v>554</v>
      </c>
      <c r="E555" t="s">
        <v>2789</v>
      </c>
    </row>
    <row r="556" spans="1:5" x14ac:dyDescent="0.3">
      <c r="A556">
        <v>555</v>
      </c>
      <c r="B556" t="s">
        <v>2795</v>
      </c>
      <c r="C556" t="s">
        <v>4835</v>
      </c>
      <c r="D556">
        <v>555</v>
      </c>
      <c r="E556" t="s">
        <v>2793</v>
      </c>
    </row>
    <row r="557" spans="1:5" x14ac:dyDescent="0.3">
      <c r="A557">
        <v>556</v>
      </c>
      <c r="B557" t="s">
        <v>2799</v>
      </c>
      <c r="C557" t="s">
        <v>4835</v>
      </c>
      <c r="D557">
        <v>556</v>
      </c>
      <c r="E557" t="s">
        <v>2797</v>
      </c>
    </row>
    <row r="558" spans="1:5" x14ac:dyDescent="0.3">
      <c r="A558">
        <v>557</v>
      </c>
      <c r="B558" t="s">
        <v>2803</v>
      </c>
      <c r="C558" t="s">
        <v>4835</v>
      </c>
      <c r="D558">
        <v>557</v>
      </c>
      <c r="E558" t="s">
        <v>2801</v>
      </c>
    </row>
    <row r="559" spans="1:5" x14ac:dyDescent="0.3">
      <c r="A559">
        <v>558</v>
      </c>
      <c r="B559" t="s">
        <v>2811</v>
      </c>
      <c r="C559" t="s">
        <v>4835</v>
      </c>
      <c r="D559">
        <v>558</v>
      </c>
      <c r="E559" t="s">
        <v>2805</v>
      </c>
    </row>
    <row r="560" spans="1:5" x14ac:dyDescent="0.3">
      <c r="A560">
        <v>559</v>
      </c>
      <c r="B560" t="s">
        <v>2819</v>
      </c>
      <c r="C560" t="s">
        <v>4835</v>
      </c>
      <c r="D560">
        <v>559</v>
      </c>
      <c r="E560" t="s">
        <v>2813</v>
      </c>
    </row>
    <row r="561" spans="1:5" x14ac:dyDescent="0.3">
      <c r="A561">
        <v>560</v>
      </c>
      <c r="B561" t="s">
        <v>2823</v>
      </c>
      <c r="C561" t="s">
        <v>4835</v>
      </c>
      <c r="D561">
        <v>560</v>
      </c>
      <c r="E561" t="s">
        <v>2821</v>
      </c>
    </row>
    <row r="562" spans="1:5" x14ac:dyDescent="0.3">
      <c r="A562">
        <v>561</v>
      </c>
      <c r="B562" t="s">
        <v>2827</v>
      </c>
      <c r="C562" t="s">
        <v>4835</v>
      </c>
      <c r="D562">
        <v>561</v>
      </c>
      <c r="E562" t="s">
        <v>2825</v>
      </c>
    </row>
    <row r="563" spans="1:5" x14ac:dyDescent="0.3">
      <c r="A563">
        <v>562</v>
      </c>
      <c r="B563" t="s">
        <v>2835</v>
      </c>
      <c r="C563" t="s">
        <v>4835</v>
      </c>
      <c r="D563">
        <v>562</v>
      </c>
      <c r="E563" t="s">
        <v>2829</v>
      </c>
    </row>
    <row r="564" spans="1:5" x14ac:dyDescent="0.3">
      <c r="A564">
        <v>563</v>
      </c>
      <c r="B564" t="s">
        <v>2839</v>
      </c>
      <c r="C564" t="s">
        <v>4835</v>
      </c>
      <c r="D564">
        <v>563</v>
      </c>
      <c r="E564" t="s">
        <v>2837</v>
      </c>
    </row>
    <row r="565" spans="1:5" x14ac:dyDescent="0.3">
      <c r="A565">
        <v>564</v>
      </c>
      <c r="B565" t="s">
        <v>2843</v>
      </c>
      <c r="C565" t="s">
        <v>4835</v>
      </c>
      <c r="D565">
        <v>564</v>
      </c>
      <c r="E565" t="s">
        <v>2841</v>
      </c>
    </row>
    <row r="566" spans="1:5" x14ac:dyDescent="0.3">
      <c r="A566">
        <v>565</v>
      </c>
      <c r="B566" t="s">
        <v>2847</v>
      </c>
      <c r="C566" t="s">
        <v>4835</v>
      </c>
      <c r="D566">
        <v>565</v>
      </c>
      <c r="E566" t="s">
        <v>2845</v>
      </c>
    </row>
    <row r="567" spans="1:5" x14ac:dyDescent="0.3">
      <c r="A567">
        <v>566</v>
      </c>
      <c r="B567" t="s">
        <v>2851</v>
      </c>
      <c r="C567" t="s">
        <v>4835</v>
      </c>
      <c r="D567">
        <v>566</v>
      </c>
      <c r="E567" t="s">
        <v>2849</v>
      </c>
    </row>
    <row r="568" spans="1:5" x14ac:dyDescent="0.3">
      <c r="A568">
        <v>567</v>
      </c>
      <c r="B568" t="s">
        <v>2855</v>
      </c>
      <c r="C568" t="s">
        <v>4835</v>
      </c>
      <c r="D568">
        <v>567</v>
      </c>
      <c r="E568" t="s">
        <v>2853</v>
      </c>
    </row>
    <row r="569" spans="1:5" x14ac:dyDescent="0.3">
      <c r="A569">
        <v>568</v>
      </c>
      <c r="B569" t="s">
        <v>2859</v>
      </c>
      <c r="C569" t="s">
        <v>4835</v>
      </c>
      <c r="D569">
        <v>568</v>
      </c>
      <c r="E569" t="s">
        <v>2857</v>
      </c>
    </row>
    <row r="570" spans="1:5" x14ac:dyDescent="0.3">
      <c r="A570">
        <v>569</v>
      </c>
      <c r="B570" t="s">
        <v>2867</v>
      </c>
      <c r="C570" t="s">
        <v>4835</v>
      </c>
      <c r="D570">
        <v>569</v>
      </c>
      <c r="E570" t="s">
        <v>2861</v>
      </c>
    </row>
    <row r="571" spans="1:5" x14ac:dyDescent="0.3">
      <c r="A571">
        <v>570</v>
      </c>
      <c r="B571" t="s">
        <v>2870</v>
      </c>
      <c r="C571" t="s">
        <v>4835</v>
      </c>
      <c r="D571">
        <v>570</v>
      </c>
      <c r="E571" t="s">
        <v>2868</v>
      </c>
    </row>
    <row r="572" spans="1:5" x14ac:dyDescent="0.3">
      <c r="A572">
        <v>571</v>
      </c>
      <c r="B572" t="s">
        <v>2878</v>
      </c>
      <c r="C572" t="s">
        <v>4835</v>
      </c>
      <c r="D572">
        <v>571</v>
      </c>
      <c r="E572" t="s">
        <v>2872</v>
      </c>
    </row>
    <row r="573" spans="1:5" x14ac:dyDescent="0.3">
      <c r="A573">
        <v>572</v>
      </c>
      <c r="B573" t="s">
        <v>2882</v>
      </c>
      <c r="C573" t="s">
        <v>4835</v>
      </c>
      <c r="D573">
        <v>572</v>
      </c>
      <c r="E573" t="s">
        <v>2880</v>
      </c>
    </row>
    <row r="574" spans="1:5" x14ac:dyDescent="0.3">
      <c r="A574">
        <v>573</v>
      </c>
      <c r="B574" t="s">
        <v>2890</v>
      </c>
      <c r="C574" t="s">
        <v>4835</v>
      </c>
      <c r="D574">
        <v>573</v>
      </c>
      <c r="E574" t="s">
        <v>2884</v>
      </c>
    </row>
    <row r="575" spans="1:5" x14ac:dyDescent="0.3">
      <c r="A575">
        <v>574</v>
      </c>
      <c r="B575" t="s">
        <v>2894</v>
      </c>
      <c r="C575" t="s">
        <v>4835</v>
      </c>
      <c r="D575">
        <v>574</v>
      </c>
      <c r="E575" t="s">
        <v>2892</v>
      </c>
    </row>
    <row r="576" spans="1:5" x14ac:dyDescent="0.3">
      <c r="A576">
        <v>575</v>
      </c>
      <c r="B576" t="s">
        <v>2898</v>
      </c>
      <c r="C576" t="s">
        <v>4835</v>
      </c>
      <c r="D576">
        <v>575</v>
      </c>
      <c r="E576" t="s">
        <v>2896</v>
      </c>
    </row>
    <row r="577" spans="1:5" x14ac:dyDescent="0.3">
      <c r="A577">
        <v>576</v>
      </c>
      <c r="B577" t="s">
        <v>2902</v>
      </c>
      <c r="C577" t="s">
        <v>4835</v>
      </c>
      <c r="D577">
        <v>576</v>
      </c>
      <c r="E577" t="s">
        <v>2900</v>
      </c>
    </row>
    <row r="578" spans="1:5" x14ac:dyDescent="0.3">
      <c r="A578">
        <v>577</v>
      </c>
      <c r="B578" t="s">
        <v>2906</v>
      </c>
      <c r="C578" t="s">
        <v>4835</v>
      </c>
      <c r="D578">
        <v>577</v>
      </c>
      <c r="E578" t="s">
        <v>2904</v>
      </c>
    </row>
    <row r="579" spans="1:5" x14ac:dyDescent="0.3">
      <c r="A579">
        <v>578</v>
      </c>
      <c r="B579" t="s">
        <v>2910</v>
      </c>
      <c r="C579" t="s">
        <v>4835</v>
      </c>
      <c r="D579">
        <v>578</v>
      </c>
      <c r="E579" t="s">
        <v>2908</v>
      </c>
    </row>
    <row r="580" spans="1:5" x14ac:dyDescent="0.3">
      <c r="A580">
        <v>579</v>
      </c>
      <c r="B580" t="s">
        <v>2918</v>
      </c>
      <c r="C580" t="s">
        <v>4835</v>
      </c>
      <c r="D580">
        <v>579</v>
      </c>
      <c r="E580" t="s">
        <v>2912</v>
      </c>
    </row>
    <row r="581" spans="1:5" x14ac:dyDescent="0.3">
      <c r="A581">
        <v>580</v>
      </c>
      <c r="B581" t="s">
        <v>2926</v>
      </c>
      <c r="C581" t="s">
        <v>4835</v>
      </c>
      <c r="D581">
        <v>580</v>
      </c>
      <c r="E581" t="s">
        <v>2920</v>
      </c>
    </row>
    <row r="582" spans="1:5" x14ac:dyDescent="0.3">
      <c r="A582">
        <v>581</v>
      </c>
      <c r="B582" t="s">
        <v>2930</v>
      </c>
      <c r="C582" t="s">
        <v>4835</v>
      </c>
      <c r="D582">
        <v>581</v>
      </c>
      <c r="E582" t="s">
        <v>2928</v>
      </c>
    </row>
    <row r="583" spans="1:5" x14ac:dyDescent="0.3">
      <c r="A583">
        <v>582</v>
      </c>
      <c r="B583" t="s">
        <v>2934</v>
      </c>
      <c r="C583" t="s">
        <v>4835</v>
      </c>
      <c r="D583">
        <v>582</v>
      </c>
      <c r="E583" t="s">
        <v>2932</v>
      </c>
    </row>
    <row r="584" spans="1:5" x14ac:dyDescent="0.3">
      <c r="A584">
        <v>583</v>
      </c>
      <c r="B584" t="s">
        <v>2938</v>
      </c>
      <c r="C584" t="s">
        <v>4835</v>
      </c>
      <c r="D584">
        <v>583</v>
      </c>
      <c r="E584" t="s">
        <v>2936</v>
      </c>
    </row>
    <row r="585" spans="1:5" x14ac:dyDescent="0.3">
      <c r="A585">
        <v>584</v>
      </c>
      <c r="B585" t="s">
        <v>2942</v>
      </c>
      <c r="C585" t="s">
        <v>4835</v>
      </c>
      <c r="D585">
        <v>584</v>
      </c>
      <c r="E585" t="s">
        <v>2940</v>
      </c>
    </row>
    <row r="586" spans="1:5" x14ac:dyDescent="0.3">
      <c r="A586">
        <v>585</v>
      </c>
      <c r="B586" t="s">
        <v>2946</v>
      </c>
      <c r="C586" t="s">
        <v>4835</v>
      </c>
      <c r="D586">
        <v>585</v>
      </c>
      <c r="E586" t="s">
        <v>2944</v>
      </c>
    </row>
    <row r="587" spans="1:5" x14ac:dyDescent="0.3">
      <c r="A587">
        <v>586</v>
      </c>
      <c r="B587" t="s">
        <v>2950</v>
      </c>
      <c r="C587" t="s">
        <v>4835</v>
      </c>
      <c r="D587">
        <v>586</v>
      </c>
      <c r="E587" t="s">
        <v>2948</v>
      </c>
    </row>
    <row r="588" spans="1:5" x14ac:dyDescent="0.3">
      <c r="A588">
        <v>587</v>
      </c>
      <c r="B588" t="s">
        <v>2954</v>
      </c>
      <c r="C588" t="s">
        <v>4835</v>
      </c>
      <c r="D588">
        <v>587</v>
      </c>
      <c r="E588" t="s">
        <v>2952</v>
      </c>
    </row>
    <row r="589" spans="1:5" x14ac:dyDescent="0.3">
      <c r="A589">
        <v>588</v>
      </c>
      <c r="B589" t="s">
        <v>2958</v>
      </c>
      <c r="C589" t="s">
        <v>4835</v>
      </c>
      <c r="D589">
        <v>588</v>
      </c>
      <c r="E589" t="s">
        <v>2956</v>
      </c>
    </row>
    <row r="590" spans="1:5" x14ac:dyDescent="0.3">
      <c r="A590">
        <v>589</v>
      </c>
      <c r="B590" t="s">
        <v>2962</v>
      </c>
      <c r="C590" t="s">
        <v>4835</v>
      </c>
      <c r="D590">
        <v>589</v>
      </c>
      <c r="E590" t="s">
        <v>2960</v>
      </c>
    </row>
    <row r="591" spans="1:5" x14ac:dyDescent="0.3">
      <c r="A591">
        <v>590</v>
      </c>
      <c r="B591" t="s">
        <v>2970</v>
      </c>
      <c r="C591" t="s">
        <v>4835</v>
      </c>
      <c r="D591">
        <v>590</v>
      </c>
      <c r="E591" t="s">
        <v>2964</v>
      </c>
    </row>
    <row r="592" spans="1:5" x14ac:dyDescent="0.3">
      <c r="A592">
        <v>591</v>
      </c>
      <c r="B592" t="s">
        <v>2978</v>
      </c>
      <c r="C592" t="s">
        <v>4835</v>
      </c>
      <c r="D592">
        <v>591</v>
      </c>
      <c r="E592" t="s">
        <v>2972</v>
      </c>
    </row>
    <row r="593" spans="1:5" x14ac:dyDescent="0.3">
      <c r="A593">
        <v>592</v>
      </c>
      <c r="B593" t="s">
        <v>2982</v>
      </c>
      <c r="C593" t="s">
        <v>4835</v>
      </c>
      <c r="D593">
        <v>592</v>
      </c>
      <c r="E593" t="s">
        <v>2980</v>
      </c>
    </row>
    <row r="594" spans="1:5" x14ac:dyDescent="0.3">
      <c r="A594">
        <v>593</v>
      </c>
      <c r="B594" t="s">
        <v>2986</v>
      </c>
      <c r="C594" t="s">
        <v>4835</v>
      </c>
      <c r="D594">
        <v>593</v>
      </c>
      <c r="E594" t="s">
        <v>2984</v>
      </c>
    </row>
    <row r="595" spans="1:5" x14ac:dyDescent="0.3">
      <c r="A595">
        <v>594</v>
      </c>
      <c r="B595" t="s">
        <v>2990</v>
      </c>
      <c r="C595" t="s">
        <v>4835</v>
      </c>
      <c r="D595">
        <v>594</v>
      </c>
      <c r="E595" t="s">
        <v>2988</v>
      </c>
    </row>
    <row r="596" spans="1:5" x14ac:dyDescent="0.3">
      <c r="A596">
        <v>595</v>
      </c>
      <c r="B596" t="s">
        <v>2998</v>
      </c>
      <c r="C596" t="s">
        <v>4835</v>
      </c>
      <c r="D596">
        <v>595</v>
      </c>
      <c r="E596" t="s">
        <v>2992</v>
      </c>
    </row>
    <row r="597" spans="1:5" x14ac:dyDescent="0.3">
      <c r="A597">
        <v>596</v>
      </c>
      <c r="B597" t="s">
        <v>3002</v>
      </c>
      <c r="C597" t="s">
        <v>4835</v>
      </c>
      <c r="D597">
        <v>596</v>
      </c>
      <c r="E597" t="s">
        <v>3000</v>
      </c>
    </row>
    <row r="598" spans="1:5" x14ac:dyDescent="0.3">
      <c r="A598">
        <v>597</v>
      </c>
      <c r="B598" t="s">
        <v>3006</v>
      </c>
      <c r="C598" t="s">
        <v>4835</v>
      </c>
      <c r="D598">
        <v>597</v>
      </c>
      <c r="E598" t="s">
        <v>3004</v>
      </c>
    </row>
    <row r="599" spans="1:5" x14ac:dyDescent="0.3">
      <c r="A599">
        <v>598</v>
      </c>
      <c r="B599" t="s">
        <v>3011</v>
      </c>
      <c r="C599" t="s">
        <v>4835</v>
      </c>
      <c r="D599">
        <v>598</v>
      </c>
      <c r="E599" t="s">
        <v>3008</v>
      </c>
    </row>
    <row r="600" spans="1:5" x14ac:dyDescent="0.3">
      <c r="A600">
        <v>599</v>
      </c>
      <c r="B600" t="s">
        <v>3019</v>
      </c>
      <c r="C600" t="s">
        <v>4835</v>
      </c>
      <c r="D600">
        <v>599</v>
      </c>
      <c r="E600" t="s">
        <v>3013</v>
      </c>
    </row>
    <row r="601" spans="1:5" x14ac:dyDescent="0.3">
      <c r="A601">
        <v>600</v>
      </c>
      <c r="B601" t="s">
        <v>3023</v>
      </c>
      <c r="C601" t="s">
        <v>4835</v>
      </c>
      <c r="D601">
        <v>600</v>
      </c>
      <c r="E601" t="s">
        <v>3021</v>
      </c>
    </row>
    <row r="602" spans="1:5" x14ac:dyDescent="0.3">
      <c r="A602">
        <v>601</v>
      </c>
      <c r="B602" t="s">
        <v>3027</v>
      </c>
      <c r="C602" t="s">
        <v>4835</v>
      </c>
      <c r="D602">
        <v>601</v>
      </c>
      <c r="E602" t="s">
        <v>3025</v>
      </c>
    </row>
    <row r="603" spans="1:5" x14ac:dyDescent="0.3">
      <c r="A603">
        <v>602</v>
      </c>
      <c r="B603" t="s">
        <v>3031</v>
      </c>
      <c r="C603" t="s">
        <v>4835</v>
      </c>
      <c r="D603">
        <v>602</v>
      </c>
      <c r="E603" t="s">
        <v>3029</v>
      </c>
    </row>
    <row r="604" spans="1:5" x14ac:dyDescent="0.3">
      <c r="A604">
        <v>603</v>
      </c>
      <c r="B604" t="s">
        <v>3035</v>
      </c>
      <c r="C604" t="s">
        <v>4835</v>
      </c>
      <c r="D604">
        <v>603</v>
      </c>
      <c r="E604" t="s">
        <v>3033</v>
      </c>
    </row>
    <row r="605" spans="1:5" x14ac:dyDescent="0.3">
      <c r="A605">
        <v>604</v>
      </c>
      <c r="B605" t="s">
        <v>3043</v>
      </c>
      <c r="C605" t="s">
        <v>4835</v>
      </c>
      <c r="D605">
        <v>604</v>
      </c>
      <c r="E605" t="s">
        <v>3037</v>
      </c>
    </row>
    <row r="606" spans="1:5" x14ac:dyDescent="0.3">
      <c r="A606">
        <v>605</v>
      </c>
      <c r="B606" t="s">
        <v>3047</v>
      </c>
      <c r="C606" t="s">
        <v>4835</v>
      </c>
      <c r="D606">
        <v>605</v>
      </c>
      <c r="E606" t="s">
        <v>3045</v>
      </c>
    </row>
    <row r="607" spans="1:5" x14ac:dyDescent="0.3">
      <c r="A607">
        <v>606</v>
      </c>
      <c r="B607" t="s">
        <v>3051</v>
      </c>
      <c r="C607" t="s">
        <v>4835</v>
      </c>
      <c r="D607">
        <v>606</v>
      </c>
      <c r="E607" t="s">
        <v>3049</v>
      </c>
    </row>
    <row r="608" spans="1:5" x14ac:dyDescent="0.3">
      <c r="A608">
        <v>607</v>
      </c>
      <c r="B608" t="s">
        <v>3055</v>
      </c>
      <c r="C608" t="s">
        <v>4835</v>
      </c>
      <c r="D608">
        <v>607</v>
      </c>
      <c r="E608" t="s">
        <v>3053</v>
      </c>
    </row>
    <row r="609" spans="1:5" x14ac:dyDescent="0.3">
      <c r="A609">
        <v>608</v>
      </c>
      <c r="B609" t="s">
        <v>3062</v>
      </c>
      <c r="C609" t="s">
        <v>4835</v>
      </c>
      <c r="D609">
        <v>608</v>
      </c>
      <c r="E609" t="s">
        <v>3056</v>
      </c>
    </row>
    <row r="610" spans="1:5" x14ac:dyDescent="0.3">
      <c r="A610">
        <v>609</v>
      </c>
      <c r="B610" t="s">
        <v>3066</v>
      </c>
      <c r="C610" t="s">
        <v>4835</v>
      </c>
      <c r="D610">
        <v>609</v>
      </c>
      <c r="E610" t="s">
        <v>3064</v>
      </c>
    </row>
    <row r="611" spans="1:5" x14ac:dyDescent="0.3">
      <c r="A611">
        <v>610</v>
      </c>
      <c r="B611" t="s">
        <v>3070</v>
      </c>
      <c r="C611" t="s">
        <v>4835</v>
      </c>
      <c r="D611">
        <v>610</v>
      </c>
      <c r="E611" t="s">
        <v>3068</v>
      </c>
    </row>
    <row r="612" spans="1:5" x14ac:dyDescent="0.3">
      <c r="A612">
        <v>611</v>
      </c>
      <c r="B612" t="s">
        <v>3074</v>
      </c>
      <c r="C612" t="s">
        <v>4835</v>
      </c>
      <c r="D612">
        <v>611</v>
      </c>
      <c r="E612" t="s">
        <v>3072</v>
      </c>
    </row>
    <row r="613" spans="1:5" x14ac:dyDescent="0.3">
      <c r="A613">
        <v>612</v>
      </c>
      <c r="B613" t="s">
        <v>3079</v>
      </c>
      <c r="C613" t="s">
        <v>4835</v>
      </c>
      <c r="D613">
        <v>612</v>
      </c>
      <c r="E613" t="s">
        <v>3076</v>
      </c>
    </row>
    <row r="614" spans="1:5" x14ac:dyDescent="0.3">
      <c r="A614">
        <v>613</v>
      </c>
      <c r="B614" t="s">
        <v>3083</v>
      </c>
      <c r="C614" t="s">
        <v>4835</v>
      </c>
      <c r="D614">
        <v>613</v>
      </c>
      <c r="E614" t="s">
        <v>3081</v>
      </c>
    </row>
    <row r="615" spans="1:5" x14ac:dyDescent="0.3">
      <c r="A615">
        <v>614</v>
      </c>
      <c r="B615" t="s">
        <v>3087</v>
      </c>
      <c r="C615" t="s">
        <v>4835</v>
      </c>
      <c r="D615">
        <v>614</v>
      </c>
      <c r="E615" t="s">
        <v>3085</v>
      </c>
    </row>
    <row r="616" spans="1:5" x14ac:dyDescent="0.3">
      <c r="A616">
        <v>615</v>
      </c>
      <c r="B616" t="s">
        <v>3091</v>
      </c>
      <c r="C616" t="s">
        <v>4835</v>
      </c>
      <c r="D616">
        <v>615</v>
      </c>
      <c r="E616" t="s">
        <v>3089</v>
      </c>
    </row>
    <row r="617" spans="1:5" x14ac:dyDescent="0.3">
      <c r="A617">
        <v>616</v>
      </c>
      <c r="B617" t="s">
        <v>3099</v>
      </c>
      <c r="C617" t="s">
        <v>4835</v>
      </c>
      <c r="D617">
        <v>616</v>
      </c>
      <c r="E617" t="s">
        <v>3093</v>
      </c>
    </row>
    <row r="618" spans="1:5" x14ac:dyDescent="0.3">
      <c r="A618">
        <v>617</v>
      </c>
      <c r="B618" t="s">
        <v>3103</v>
      </c>
      <c r="C618" t="s">
        <v>4835</v>
      </c>
      <c r="D618">
        <v>617</v>
      </c>
      <c r="E618" t="s">
        <v>3101</v>
      </c>
    </row>
    <row r="619" spans="1:5" x14ac:dyDescent="0.3">
      <c r="A619">
        <v>618</v>
      </c>
      <c r="B619" t="s">
        <v>3107</v>
      </c>
      <c r="C619" t="s">
        <v>4835</v>
      </c>
      <c r="D619">
        <v>618</v>
      </c>
      <c r="E619" t="s">
        <v>3105</v>
      </c>
    </row>
    <row r="620" spans="1:5" x14ac:dyDescent="0.3">
      <c r="A620">
        <v>619</v>
      </c>
      <c r="B620" t="s">
        <v>3110</v>
      </c>
      <c r="C620" t="s">
        <v>4835</v>
      </c>
      <c r="D620">
        <v>619</v>
      </c>
      <c r="E620" t="s">
        <v>3108</v>
      </c>
    </row>
    <row r="621" spans="1:5" x14ac:dyDescent="0.3">
      <c r="A621">
        <v>620</v>
      </c>
      <c r="B621" t="s">
        <v>3114</v>
      </c>
      <c r="C621" t="s">
        <v>4835</v>
      </c>
      <c r="D621">
        <v>620</v>
      </c>
      <c r="E621" t="s">
        <v>3112</v>
      </c>
    </row>
    <row r="622" spans="1:5" x14ac:dyDescent="0.3">
      <c r="A622">
        <v>621</v>
      </c>
      <c r="B622" t="s">
        <v>3122</v>
      </c>
      <c r="C622" t="s">
        <v>4835</v>
      </c>
      <c r="D622">
        <v>621</v>
      </c>
      <c r="E622" t="s">
        <v>3116</v>
      </c>
    </row>
    <row r="623" spans="1:5" x14ac:dyDescent="0.3">
      <c r="A623">
        <v>622</v>
      </c>
      <c r="B623" t="s">
        <v>3130</v>
      </c>
      <c r="C623" t="s">
        <v>4835</v>
      </c>
      <c r="D623">
        <v>622</v>
      </c>
      <c r="E623" t="s">
        <v>3124</v>
      </c>
    </row>
    <row r="624" spans="1:5" x14ac:dyDescent="0.3">
      <c r="A624">
        <v>623</v>
      </c>
      <c r="B624" t="s">
        <v>3134</v>
      </c>
      <c r="C624" t="s">
        <v>4835</v>
      </c>
      <c r="D624">
        <v>623</v>
      </c>
      <c r="E624" t="s">
        <v>3132</v>
      </c>
    </row>
    <row r="625" spans="1:5" x14ac:dyDescent="0.3">
      <c r="A625">
        <v>624</v>
      </c>
      <c r="B625" t="s">
        <v>3142</v>
      </c>
      <c r="C625" t="s">
        <v>4835</v>
      </c>
      <c r="D625">
        <v>624</v>
      </c>
      <c r="E625" t="s">
        <v>3136</v>
      </c>
    </row>
    <row r="626" spans="1:5" x14ac:dyDescent="0.3">
      <c r="A626">
        <v>625</v>
      </c>
      <c r="B626" t="s">
        <v>3150</v>
      </c>
      <c r="C626" t="s">
        <v>4835</v>
      </c>
      <c r="D626">
        <v>625</v>
      </c>
      <c r="E626" t="s">
        <v>3144</v>
      </c>
    </row>
    <row r="627" spans="1:5" x14ac:dyDescent="0.3">
      <c r="A627">
        <v>626</v>
      </c>
      <c r="B627" t="s">
        <v>3154</v>
      </c>
      <c r="C627" t="s">
        <v>4835</v>
      </c>
      <c r="D627">
        <v>626</v>
      </c>
      <c r="E627" t="s">
        <v>3152</v>
      </c>
    </row>
    <row r="628" spans="1:5" x14ac:dyDescent="0.3">
      <c r="A628">
        <v>627</v>
      </c>
      <c r="B628" t="s">
        <v>3158</v>
      </c>
      <c r="C628" t="s">
        <v>4835</v>
      </c>
      <c r="D628">
        <v>627</v>
      </c>
      <c r="E628" t="s">
        <v>3156</v>
      </c>
    </row>
    <row r="629" spans="1:5" x14ac:dyDescent="0.3">
      <c r="A629">
        <v>628</v>
      </c>
      <c r="B629" t="s">
        <v>3162</v>
      </c>
      <c r="C629" t="s">
        <v>4835</v>
      </c>
      <c r="D629">
        <v>628</v>
      </c>
      <c r="E629" t="s">
        <v>3160</v>
      </c>
    </row>
    <row r="630" spans="1:5" x14ac:dyDescent="0.3">
      <c r="A630">
        <v>629</v>
      </c>
      <c r="B630" t="s">
        <v>3166</v>
      </c>
      <c r="C630" t="s">
        <v>4835</v>
      </c>
      <c r="D630">
        <v>629</v>
      </c>
      <c r="E630" t="s">
        <v>3164</v>
      </c>
    </row>
    <row r="631" spans="1:5" x14ac:dyDescent="0.3">
      <c r="A631">
        <v>630</v>
      </c>
      <c r="B631" t="s">
        <v>3171</v>
      </c>
      <c r="C631" t="s">
        <v>4835</v>
      </c>
      <c r="D631">
        <v>630</v>
      </c>
      <c r="E631" t="s">
        <v>3168</v>
      </c>
    </row>
    <row r="632" spans="1:5" x14ac:dyDescent="0.3">
      <c r="A632">
        <v>631</v>
      </c>
      <c r="B632" t="s">
        <v>3175</v>
      </c>
      <c r="C632" t="s">
        <v>4835</v>
      </c>
      <c r="D632">
        <v>631</v>
      </c>
      <c r="E632" t="s">
        <v>3173</v>
      </c>
    </row>
    <row r="633" spans="1:5" x14ac:dyDescent="0.3">
      <c r="A633">
        <v>632</v>
      </c>
      <c r="B633" t="s">
        <v>3183</v>
      </c>
      <c r="C633" t="s">
        <v>4835</v>
      </c>
      <c r="D633">
        <v>632</v>
      </c>
      <c r="E633" t="s">
        <v>3177</v>
      </c>
    </row>
    <row r="634" spans="1:5" x14ac:dyDescent="0.3">
      <c r="A634">
        <v>633</v>
      </c>
      <c r="B634" t="s">
        <v>3187</v>
      </c>
      <c r="C634" t="s">
        <v>4835</v>
      </c>
      <c r="D634">
        <v>633</v>
      </c>
      <c r="E634" t="s">
        <v>3185</v>
      </c>
    </row>
    <row r="635" spans="1:5" x14ac:dyDescent="0.3">
      <c r="A635">
        <v>634</v>
      </c>
      <c r="B635" t="s">
        <v>3191</v>
      </c>
      <c r="C635" t="s">
        <v>4835</v>
      </c>
      <c r="D635">
        <v>634</v>
      </c>
      <c r="E635" t="s">
        <v>3189</v>
      </c>
    </row>
    <row r="636" spans="1:5" x14ac:dyDescent="0.3">
      <c r="A636">
        <v>635</v>
      </c>
      <c r="B636" t="s">
        <v>3195</v>
      </c>
      <c r="C636" t="s">
        <v>4835</v>
      </c>
      <c r="D636">
        <v>635</v>
      </c>
      <c r="E636" t="s">
        <v>3193</v>
      </c>
    </row>
    <row r="637" spans="1:5" x14ac:dyDescent="0.3">
      <c r="A637">
        <v>636</v>
      </c>
      <c r="B637" t="s">
        <v>3199</v>
      </c>
      <c r="C637" t="s">
        <v>4835</v>
      </c>
      <c r="D637">
        <v>636</v>
      </c>
      <c r="E637" t="s">
        <v>3197</v>
      </c>
    </row>
    <row r="638" spans="1:5" x14ac:dyDescent="0.3">
      <c r="A638">
        <v>637</v>
      </c>
      <c r="B638" t="s">
        <v>3203</v>
      </c>
      <c r="C638" t="s">
        <v>4835</v>
      </c>
      <c r="D638">
        <v>637</v>
      </c>
      <c r="E638" t="s">
        <v>3201</v>
      </c>
    </row>
    <row r="639" spans="1:5" x14ac:dyDescent="0.3">
      <c r="A639">
        <v>638</v>
      </c>
      <c r="B639" t="s">
        <v>3207</v>
      </c>
      <c r="C639" t="s">
        <v>4835</v>
      </c>
      <c r="D639">
        <v>638</v>
      </c>
      <c r="E639" t="s">
        <v>3205</v>
      </c>
    </row>
    <row r="640" spans="1:5" x14ac:dyDescent="0.3">
      <c r="A640">
        <v>639</v>
      </c>
      <c r="B640" t="s">
        <v>3212</v>
      </c>
      <c r="C640" t="s">
        <v>4835</v>
      </c>
      <c r="D640">
        <v>639</v>
      </c>
      <c r="E640" t="s">
        <v>3209</v>
      </c>
    </row>
    <row r="641" spans="1:5" x14ac:dyDescent="0.3">
      <c r="A641">
        <v>640</v>
      </c>
      <c r="B641" t="s">
        <v>3216</v>
      </c>
      <c r="C641" t="s">
        <v>4835</v>
      </c>
      <c r="D641">
        <v>640</v>
      </c>
      <c r="E641" t="s">
        <v>3214</v>
      </c>
    </row>
    <row r="642" spans="1:5" x14ac:dyDescent="0.3">
      <c r="A642">
        <v>641</v>
      </c>
      <c r="B642" t="s">
        <v>3224</v>
      </c>
      <c r="C642" t="s">
        <v>4835</v>
      </c>
      <c r="D642">
        <v>641</v>
      </c>
      <c r="E642" t="s">
        <v>3218</v>
      </c>
    </row>
    <row r="643" spans="1:5" x14ac:dyDescent="0.3">
      <c r="A643">
        <v>642</v>
      </c>
      <c r="B643" t="s">
        <v>3228</v>
      </c>
      <c r="C643" t="s">
        <v>4835</v>
      </c>
      <c r="D643">
        <v>642</v>
      </c>
      <c r="E643" t="s">
        <v>3226</v>
      </c>
    </row>
    <row r="644" spans="1:5" x14ac:dyDescent="0.3">
      <c r="A644">
        <v>643</v>
      </c>
      <c r="B644" t="s">
        <v>3232</v>
      </c>
      <c r="C644" t="s">
        <v>4835</v>
      </c>
      <c r="D644">
        <v>643</v>
      </c>
      <c r="E644" t="s">
        <v>3230</v>
      </c>
    </row>
    <row r="645" spans="1:5" x14ac:dyDescent="0.3">
      <c r="A645">
        <v>644</v>
      </c>
      <c r="B645" t="s">
        <v>3236</v>
      </c>
      <c r="C645" t="s">
        <v>4835</v>
      </c>
      <c r="D645">
        <v>644</v>
      </c>
      <c r="E645" t="s">
        <v>3234</v>
      </c>
    </row>
    <row r="646" spans="1:5" x14ac:dyDescent="0.3">
      <c r="A646">
        <v>645</v>
      </c>
      <c r="B646" t="s">
        <v>3240</v>
      </c>
      <c r="C646" t="s">
        <v>4835</v>
      </c>
      <c r="D646">
        <v>645</v>
      </c>
      <c r="E646" t="s">
        <v>3238</v>
      </c>
    </row>
    <row r="647" spans="1:5" x14ac:dyDescent="0.3">
      <c r="A647">
        <v>646</v>
      </c>
      <c r="B647" t="s">
        <v>3244</v>
      </c>
      <c r="C647" t="s">
        <v>4835</v>
      </c>
      <c r="D647">
        <v>646</v>
      </c>
      <c r="E647" t="s">
        <v>3242</v>
      </c>
    </row>
    <row r="648" spans="1:5" x14ac:dyDescent="0.3">
      <c r="A648">
        <v>647</v>
      </c>
      <c r="B648" t="s">
        <v>3248</v>
      </c>
      <c r="C648" t="s">
        <v>4835</v>
      </c>
      <c r="D648">
        <v>647</v>
      </c>
      <c r="E648" t="s">
        <v>3246</v>
      </c>
    </row>
    <row r="649" spans="1:5" x14ac:dyDescent="0.3">
      <c r="A649">
        <v>648</v>
      </c>
      <c r="B649" t="s">
        <v>3252</v>
      </c>
      <c r="C649" t="s">
        <v>4835</v>
      </c>
      <c r="D649">
        <v>648</v>
      </c>
      <c r="E649" t="s">
        <v>3250</v>
      </c>
    </row>
    <row r="650" spans="1:5" x14ac:dyDescent="0.3">
      <c r="A650">
        <v>649</v>
      </c>
      <c r="B650" t="s">
        <v>3256</v>
      </c>
      <c r="C650" t="s">
        <v>4835</v>
      </c>
      <c r="D650">
        <v>649</v>
      </c>
      <c r="E650" t="s">
        <v>3254</v>
      </c>
    </row>
    <row r="651" spans="1:5" x14ac:dyDescent="0.3">
      <c r="A651">
        <v>650</v>
      </c>
      <c r="B651" t="s">
        <v>3260</v>
      </c>
      <c r="C651" t="s">
        <v>4835</v>
      </c>
      <c r="D651">
        <v>650</v>
      </c>
      <c r="E651" t="s">
        <v>3258</v>
      </c>
    </row>
    <row r="652" spans="1:5" x14ac:dyDescent="0.3">
      <c r="A652">
        <v>651</v>
      </c>
      <c r="B652" t="s">
        <v>3268</v>
      </c>
      <c r="C652" t="s">
        <v>4835</v>
      </c>
      <c r="D652">
        <v>651</v>
      </c>
      <c r="E652" t="s">
        <v>3262</v>
      </c>
    </row>
    <row r="653" spans="1:5" x14ac:dyDescent="0.3">
      <c r="A653">
        <v>652</v>
      </c>
      <c r="B653" t="s">
        <v>3272</v>
      </c>
      <c r="C653" t="s">
        <v>4835</v>
      </c>
      <c r="D653">
        <v>652</v>
      </c>
      <c r="E653" t="s">
        <v>3270</v>
      </c>
    </row>
    <row r="654" spans="1:5" x14ac:dyDescent="0.3">
      <c r="A654">
        <v>653</v>
      </c>
      <c r="B654" t="s">
        <v>3276</v>
      </c>
      <c r="C654" t="s">
        <v>4835</v>
      </c>
      <c r="D654">
        <v>653</v>
      </c>
      <c r="E654" t="s">
        <v>3274</v>
      </c>
    </row>
    <row r="655" spans="1:5" x14ac:dyDescent="0.3">
      <c r="A655">
        <v>654</v>
      </c>
      <c r="B655" t="s">
        <v>3281</v>
      </c>
      <c r="C655" t="s">
        <v>4835</v>
      </c>
      <c r="D655">
        <v>654</v>
      </c>
      <c r="E655" t="s">
        <v>3278</v>
      </c>
    </row>
    <row r="656" spans="1:5" x14ac:dyDescent="0.3">
      <c r="A656">
        <v>655</v>
      </c>
      <c r="B656" t="s">
        <v>3285</v>
      </c>
      <c r="C656" t="s">
        <v>4835</v>
      </c>
      <c r="D656">
        <v>655</v>
      </c>
      <c r="E656" t="s">
        <v>3283</v>
      </c>
    </row>
    <row r="657" spans="1:5" x14ac:dyDescent="0.3">
      <c r="A657">
        <v>656</v>
      </c>
      <c r="B657" t="s">
        <v>3289</v>
      </c>
      <c r="C657" t="s">
        <v>4835</v>
      </c>
      <c r="D657">
        <v>656</v>
      </c>
      <c r="E657" t="s">
        <v>3287</v>
      </c>
    </row>
    <row r="658" spans="1:5" x14ac:dyDescent="0.3">
      <c r="A658">
        <v>657</v>
      </c>
      <c r="B658" t="s">
        <v>3293</v>
      </c>
      <c r="C658" t="s">
        <v>4835</v>
      </c>
      <c r="D658">
        <v>657</v>
      </c>
      <c r="E658" t="s">
        <v>3291</v>
      </c>
    </row>
    <row r="659" spans="1:5" x14ac:dyDescent="0.3">
      <c r="A659">
        <v>658</v>
      </c>
      <c r="B659" t="s">
        <v>3297</v>
      </c>
      <c r="C659" t="s">
        <v>4835</v>
      </c>
      <c r="D659">
        <v>658</v>
      </c>
      <c r="E659" t="s">
        <v>3295</v>
      </c>
    </row>
    <row r="660" spans="1:5" x14ac:dyDescent="0.3">
      <c r="A660">
        <v>659</v>
      </c>
      <c r="B660" t="s">
        <v>3301</v>
      </c>
      <c r="C660" t="s">
        <v>4835</v>
      </c>
      <c r="D660">
        <v>659</v>
      </c>
      <c r="E660" t="s">
        <v>3299</v>
      </c>
    </row>
    <row r="661" spans="1:5" x14ac:dyDescent="0.3">
      <c r="A661">
        <v>660</v>
      </c>
      <c r="B661" t="s">
        <v>3305</v>
      </c>
      <c r="C661" t="s">
        <v>4835</v>
      </c>
      <c r="D661">
        <v>660</v>
      </c>
      <c r="E661" t="s">
        <v>3303</v>
      </c>
    </row>
    <row r="662" spans="1:5" x14ac:dyDescent="0.3">
      <c r="A662">
        <v>661</v>
      </c>
      <c r="B662" t="s">
        <v>3309</v>
      </c>
      <c r="C662" t="s">
        <v>4835</v>
      </c>
      <c r="D662">
        <v>661</v>
      </c>
      <c r="E662" t="s">
        <v>3307</v>
      </c>
    </row>
    <row r="663" spans="1:5" x14ac:dyDescent="0.3">
      <c r="A663">
        <v>662</v>
      </c>
      <c r="B663" t="s">
        <v>3313</v>
      </c>
      <c r="C663" t="s">
        <v>4835</v>
      </c>
      <c r="D663">
        <v>662</v>
      </c>
      <c r="E663" t="s">
        <v>3311</v>
      </c>
    </row>
    <row r="664" spans="1:5" x14ac:dyDescent="0.3">
      <c r="A664">
        <v>663</v>
      </c>
      <c r="B664" t="s">
        <v>3317</v>
      </c>
      <c r="C664" t="s">
        <v>4835</v>
      </c>
      <c r="D664">
        <v>663</v>
      </c>
      <c r="E664" t="s">
        <v>3315</v>
      </c>
    </row>
    <row r="665" spans="1:5" x14ac:dyDescent="0.3">
      <c r="A665">
        <v>664</v>
      </c>
      <c r="B665" t="s">
        <v>3321</v>
      </c>
      <c r="C665" t="s">
        <v>4835</v>
      </c>
      <c r="D665">
        <v>664</v>
      </c>
      <c r="E665" t="s">
        <v>3319</v>
      </c>
    </row>
    <row r="666" spans="1:5" x14ac:dyDescent="0.3">
      <c r="A666">
        <v>665</v>
      </c>
      <c r="B666" t="s">
        <v>3325</v>
      </c>
      <c r="C666" t="s">
        <v>4835</v>
      </c>
      <c r="D666">
        <v>665</v>
      </c>
      <c r="E666" t="s">
        <v>3323</v>
      </c>
    </row>
    <row r="667" spans="1:5" x14ac:dyDescent="0.3">
      <c r="A667">
        <v>666</v>
      </c>
      <c r="B667" t="s">
        <v>3333</v>
      </c>
      <c r="C667" t="s">
        <v>4835</v>
      </c>
      <c r="D667">
        <v>666</v>
      </c>
      <c r="E667" t="s">
        <v>3327</v>
      </c>
    </row>
    <row r="668" spans="1:5" x14ac:dyDescent="0.3">
      <c r="A668">
        <v>667</v>
      </c>
      <c r="B668" t="s">
        <v>3337</v>
      </c>
      <c r="C668" t="s">
        <v>4835</v>
      </c>
      <c r="D668">
        <v>667</v>
      </c>
      <c r="E668" t="s">
        <v>3335</v>
      </c>
    </row>
    <row r="669" spans="1:5" x14ac:dyDescent="0.3">
      <c r="A669">
        <v>668</v>
      </c>
      <c r="B669" t="s">
        <v>3341</v>
      </c>
      <c r="C669" t="s">
        <v>4835</v>
      </c>
      <c r="D669">
        <v>668</v>
      </c>
      <c r="E669" t="s">
        <v>3339</v>
      </c>
    </row>
    <row r="670" spans="1:5" x14ac:dyDescent="0.3">
      <c r="A670">
        <v>669</v>
      </c>
      <c r="B670" t="s">
        <v>3349</v>
      </c>
      <c r="C670" t="s">
        <v>4835</v>
      </c>
      <c r="D670">
        <v>669</v>
      </c>
      <c r="E670" t="s">
        <v>3343</v>
      </c>
    </row>
    <row r="671" spans="1:5" x14ac:dyDescent="0.3">
      <c r="A671">
        <v>670</v>
      </c>
      <c r="B671" t="s">
        <v>3353</v>
      </c>
      <c r="C671" t="s">
        <v>4835</v>
      </c>
      <c r="D671">
        <v>670</v>
      </c>
      <c r="E671" t="s">
        <v>3351</v>
      </c>
    </row>
    <row r="672" spans="1:5" x14ac:dyDescent="0.3">
      <c r="A672">
        <v>671</v>
      </c>
      <c r="B672" t="s">
        <v>3361</v>
      </c>
      <c r="C672" t="s">
        <v>4835</v>
      </c>
      <c r="D672">
        <v>671</v>
      </c>
      <c r="E672" t="s">
        <v>3355</v>
      </c>
    </row>
    <row r="673" spans="1:5" x14ac:dyDescent="0.3">
      <c r="A673">
        <v>672</v>
      </c>
      <c r="B673" t="s">
        <v>3365</v>
      </c>
      <c r="C673" t="s">
        <v>4835</v>
      </c>
      <c r="D673">
        <v>672</v>
      </c>
      <c r="E673" t="s">
        <v>3363</v>
      </c>
    </row>
    <row r="674" spans="1:5" x14ac:dyDescent="0.3">
      <c r="A674">
        <v>673</v>
      </c>
      <c r="B674" t="s">
        <v>3369</v>
      </c>
      <c r="C674" t="s">
        <v>4835</v>
      </c>
      <c r="D674">
        <v>673</v>
      </c>
      <c r="E674" t="s">
        <v>3367</v>
      </c>
    </row>
    <row r="675" spans="1:5" x14ac:dyDescent="0.3">
      <c r="A675">
        <v>674</v>
      </c>
      <c r="B675" t="s">
        <v>3373</v>
      </c>
      <c r="C675" t="s">
        <v>4835</v>
      </c>
      <c r="D675">
        <v>674</v>
      </c>
      <c r="E675" t="s">
        <v>3371</v>
      </c>
    </row>
    <row r="676" spans="1:5" x14ac:dyDescent="0.3">
      <c r="A676">
        <v>675</v>
      </c>
      <c r="B676" t="s">
        <v>3377</v>
      </c>
      <c r="C676" t="s">
        <v>4835</v>
      </c>
      <c r="D676">
        <v>675</v>
      </c>
      <c r="E676" t="s">
        <v>3375</v>
      </c>
    </row>
    <row r="677" spans="1:5" x14ac:dyDescent="0.3">
      <c r="A677">
        <v>676</v>
      </c>
      <c r="B677" t="s">
        <v>3381</v>
      </c>
      <c r="C677" t="s">
        <v>4835</v>
      </c>
      <c r="D677">
        <v>676</v>
      </c>
      <c r="E677" t="s">
        <v>3379</v>
      </c>
    </row>
    <row r="678" spans="1:5" x14ac:dyDescent="0.3">
      <c r="A678">
        <v>677</v>
      </c>
      <c r="B678" t="s">
        <v>3388</v>
      </c>
      <c r="C678" t="s">
        <v>4835</v>
      </c>
      <c r="D678">
        <v>677</v>
      </c>
      <c r="E678" t="s">
        <v>3382</v>
      </c>
    </row>
    <row r="679" spans="1:5" x14ac:dyDescent="0.3">
      <c r="A679">
        <v>678</v>
      </c>
      <c r="B679" t="s">
        <v>3396</v>
      </c>
      <c r="C679" t="s">
        <v>4835</v>
      </c>
      <c r="D679">
        <v>678</v>
      </c>
      <c r="E679" t="s">
        <v>3390</v>
      </c>
    </row>
    <row r="680" spans="1:5" x14ac:dyDescent="0.3">
      <c r="A680">
        <v>679</v>
      </c>
      <c r="B680" t="s">
        <v>3400</v>
      </c>
      <c r="C680" t="s">
        <v>4835</v>
      </c>
      <c r="D680">
        <v>679</v>
      </c>
      <c r="E680" t="s">
        <v>3398</v>
      </c>
    </row>
    <row r="681" spans="1:5" x14ac:dyDescent="0.3">
      <c r="A681">
        <v>680</v>
      </c>
      <c r="B681" t="s">
        <v>3404</v>
      </c>
      <c r="C681" t="s">
        <v>4835</v>
      </c>
      <c r="D681">
        <v>680</v>
      </c>
      <c r="E681" t="s">
        <v>3402</v>
      </c>
    </row>
    <row r="682" spans="1:5" x14ac:dyDescent="0.3">
      <c r="A682">
        <v>681</v>
      </c>
      <c r="B682" t="s">
        <v>3408</v>
      </c>
      <c r="C682" t="s">
        <v>4835</v>
      </c>
      <c r="D682">
        <v>681</v>
      </c>
      <c r="E682" t="s">
        <v>3406</v>
      </c>
    </row>
    <row r="683" spans="1:5" x14ac:dyDescent="0.3">
      <c r="A683">
        <v>682</v>
      </c>
      <c r="B683" t="s">
        <v>3412</v>
      </c>
      <c r="C683" t="s">
        <v>4835</v>
      </c>
      <c r="D683">
        <v>682</v>
      </c>
      <c r="E683" t="s">
        <v>3410</v>
      </c>
    </row>
    <row r="684" spans="1:5" x14ac:dyDescent="0.3">
      <c r="A684">
        <v>683</v>
      </c>
      <c r="B684" t="s">
        <v>3416</v>
      </c>
      <c r="C684" t="s">
        <v>4835</v>
      </c>
      <c r="D684">
        <v>683</v>
      </c>
      <c r="E684" t="s">
        <v>3414</v>
      </c>
    </row>
    <row r="685" spans="1:5" x14ac:dyDescent="0.3">
      <c r="A685">
        <v>684</v>
      </c>
      <c r="B685" t="s">
        <v>3420</v>
      </c>
      <c r="C685" t="s">
        <v>4835</v>
      </c>
      <c r="D685">
        <v>684</v>
      </c>
      <c r="E685" t="s">
        <v>3418</v>
      </c>
    </row>
    <row r="686" spans="1:5" x14ac:dyDescent="0.3">
      <c r="A686">
        <v>685</v>
      </c>
      <c r="B686" t="s">
        <v>3424</v>
      </c>
      <c r="C686" t="s">
        <v>4835</v>
      </c>
      <c r="D686">
        <v>685</v>
      </c>
      <c r="E686" t="s">
        <v>3422</v>
      </c>
    </row>
    <row r="687" spans="1:5" x14ac:dyDescent="0.3">
      <c r="A687">
        <v>686</v>
      </c>
      <c r="B687" t="s">
        <v>3428</v>
      </c>
      <c r="C687" t="s">
        <v>4835</v>
      </c>
      <c r="D687">
        <v>686</v>
      </c>
      <c r="E687" t="s">
        <v>3426</v>
      </c>
    </row>
    <row r="688" spans="1:5" x14ac:dyDescent="0.3">
      <c r="A688">
        <v>687</v>
      </c>
      <c r="B688" t="s">
        <v>3436</v>
      </c>
      <c r="C688" t="s">
        <v>4835</v>
      </c>
      <c r="D688">
        <v>687</v>
      </c>
      <c r="E688" t="s">
        <v>3430</v>
      </c>
    </row>
    <row r="689" spans="1:5" x14ac:dyDescent="0.3">
      <c r="A689">
        <v>688</v>
      </c>
      <c r="B689" t="s">
        <v>3440</v>
      </c>
      <c r="C689" t="s">
        <v>4835</v>
      </c>
      <c r="D689">
        <v>688</v>
      </c>
      <c r="E689" t="s">
        <v>3438</v>
      </c>
    </row>
    <row r="690" spans="1:5" x14ac:dyDescent="0.3">
      <c r="A690">
        <v>689</v>
      </c>
      <c r="B690" t="s">
        <v>3444</v>
      </c>
      <c r="C690" t="s">
        <v>4835</v>
      </c>
      <c r="D690">
        <v>689</v>
      </c>
      <c r="E690" t="s">
        <v>3442</v>
      </c>
    </row>
    <row r="691" spans="1:5" x14ac:dyDescent="0.3">
      <c r="A691">
        <v>690</v>
      </c>
      <c r="B691" t="s">
        <v>3448</v>
      </c>
      <c r="C691" t="s">
        <v>4835</v>
      </c>
      <c r="D691">
        <v>690</v>
      </c>
      <c r="E691" t="s">
        <v>3446</v>
      </c>
    </row>
    <row r="692" spans="1:5" x14ac:dyDescent="0.3">
      <c r="A692">
        <v>691</v>
      </c>
      <c r="B692" t="s">
        <v>3452</v>
      </c>
      <c r="C692" t="s">
        <v>4835</v>
      </c>
      <c r="D692">
        <v>691</v>
      </c>
      <c r="E692" t="s">
        <v>3450</v>
      </c>
    </row>
    <row r="693" spans="1:5" x14ac:dyDescent="0.3">
      <c r="A693">
        <v>692</v>
      </c>
      <c r="B693" t="s">
        <v>3456</v>
      </c>
      <c r="C693" t="s">
        <v>4835</v>
      </c>
      <c r="D693">
        <v>692</v>
      </c>
      <c r="E693" t="s">
        <v>3454</v>
      </c>
    </row>
    <row r="694" spans="1:5" x14ac:dyDescent="0.3">
      <c r="A694">
        <v>693</v>
      </c>
      <c r="B694" t="s">
        <v>3460</v>
      </c>
      <c r="C694" t="s">
        <v>4835</v>
      </c>
      <c r="D694">
        <v>693</v>
      </c>
      <c r="E694" t="s">
        <v>3458</v>
      </c>
    </row>
    <row r="695" spans="1:5" x14ac:dyDescent="0.3">
      <c r="A695">
        <v>694</v>
      </c>
      <c r="B695" t="s">
        <v>3464</v>
      </c>
      <c r="C695" t="s">
        <v>4835</v>
      </c>
      <c r="D695">
        <v>694</v>
      </c>
      <c r="E695" t="s">
        <v>3462</v>
      </c>
    </row>
    <row r="696" spans="1:5" x14ac:dyDescent="0.3">
      <c r="A696">
        <v>695</v>
      </c>
      <c r="B696" t="s">
        <v>3468</v>
      </c>
      <c r="C696" t="s">
        <v>4835</v>
      </c>
      <c r="D696">
        <v>695</v>
      </c>
      <c r="E696" t="s">
        <v>3466</v>
      </c>
    </row>
    <row r="697" spans="1:5" x14ac:dyDescent="0.3">
      <c r="A697">
        <v>696</v>
      </c>
      <c r="B697" t="s">
        <v>3472</v>
      </c>
      <c r="C697" t="s">
        <v>4835</v>
      </c>
      <c r="D697">
        <v>696</v>
      </c>
      <c r="E697" t="s">
        <v>3470</v>
      </c>
    </row>
    <row r="698" spans="1:5" x14ac:dyDescent="0.3">
      <c r="A698">
        <v>697</v>
      </c>
      <c r="B698" t="s">
        <v>3476</v>
      </c>
      <c r="C698" t="s">
        <v>4835</v>
      </c>
      <c r="D698">
        <v>697</v>
      </c>
      <c r="E698" t="s">
        <v>3474</v>
      </c>
    </row>
    <row r="699" spans="1:5" x14ac:dyDescent="0.3">
      <c r="A699">
        <v>698</v>
      </c>
      <c r="B699" t="s">
        <v>3480</v>
      </c>
      <c r="C699" t="s">
        <v>4835</v>
      </c>
      <c r="D699">
        <v>698</v>
      </c>
      <c r="E699" t="s">
        <v>3478</v>
      </c>
    </row>
    <row r="700" spans="1:5" x14ac:dyDescent="0.3">
      <c r="A700">
        <v>699</v>
      </c>
      <c r="B700" t="s">
        <v>3484</v>
      </c>
      <c r="C700" t="s">
        <v>4835</v>
      </c>
      <c r="D700">
        <v>699</v>
      </c>
      <c r="E700" t="s">
        <v>3482</v>
      </c>
    </row>
    <row r="701" spans="1:5" x14ac:dyDescent="0.3">
      <c r="A701">
        <v>700</v>
      </c>
      <c r="B701" t="s">
        <v>3492</v>
      </c>
      <c r="C701" t="s">
        <v>4835</v>
      </c>
      <c r="D701">
        <v>700</v>
      </c>
      <c r="E701" t="s">
        <v>3486</v>
      </c>
    </row>
    <row r="702" spans="1:5" x14ac:dyDescent="0.3">
      <c r="A702">
        <v>701</v>
      </c>
      <c r="B702" t="s">
        <v>3496</v>
      </c>
      <c r="C702" t="s">
        <v>4835</v>
      </c>
      <c r="D702">
        <v>701</v>
      </c>
      <c r="E702" t="s">
        <v>3494</v>
      </c>
    </row>
    <row r="703" spans="1:5" x14ac:dyDescent="0.3">
      <c r="A703">
        <v>702</v>
      </c>
      <c r="B703" t="s">
        <v>3500</v>
      </c>
      <c r="C703" t="s">
        <v>4835</v>
      </c>
      <c r="D703">
        <v>702</v>
      </c>
      <c r="E703" t="s">
        <v>3498</v>
      </c>
    </row>
    <row r="704" spans="1:5" x14ac:dyDescent="0.3">
      <c r="A704">
        <v>703</v>
      </c>
      <c r="B704" t="s">
        <v>3504</v>
      </c>
      <c r="C704" t="s">
        <v>4835</v>
      </c>
      <c r="D704">
        <v>703</v>
      </c>
      <c r="E704" t="s">
        <v>3502</v>
      </c>
    </row>
    <row r="705" spans="1:5" x14ac:dyDescent="0.3">
      <c r="A705">
        <v>704</v>
      </c>
      <c r="B705" t="s">
        <v>3511</v>
      </c>
      <c r="C705" t="s">
        <v>4835</v>
      </c>
      <c r="D705">
        <v>704</v>
      </c>
      <c r="E705" t="s">
        <v>3505</v>
      </c>
    </row>
    <row r="706" spans="1:5" x14ac:dyDescent="0.3">
      <c r="A706">
        <v>705</v>
      </c>
      <c r="B706" t="s">
        <v>3515</v>
      </c>
      <c r="C706" t="s">
        <v>4835</v>
      </c>
      <c r="D706">
        <v>705</v>
      </c>
      <c r="E706" t="s">
        <v>3513</v>
      </c>
    </row>
    <row r="707" spans="1:5" x14ac:dyDescent="0.3">
      <c r="A707">
        <v>706</v>
      </c>
      <c r="B707" t="s">
        <v>3519</v>
      </c>
      <c r="C707" t="s">
        <v>4835</v>
      </c>
      <c r="D707">
        <v>706</v>
      </c>
      <c r="E707" t="s">
        <v>3517</v>
      </c>
    </row>
    <row r="708" spans="1:5" x14ac:dyDescent="0.3">
      <c r="A708">
        <v>707</v>
      </c>
      <c r="B708" t="s">
        <v>3522</v>
      </c>
      <c r="C708" t="s">
        <v>4835</v>
      </c>
      <c r="D708">
        <v>707</v>
      </c>
      <c r="E708" t="s">
        <v>3520</v>
      </c>
    </row>
    <row r="709" spans="1:5" x14ac:dyDescent="0.3">
      <c r="A709">
        <v>708</v>
      </c>
      <c r="B709" t="s">
        <v>3526</v>
      </c>
      <c r="C709" t="s">
        <v>4835</v>
      </c>
      <c r="D709">
        <v>708</v>
      </c>
      <c r="E709" t="s">
        <v>3524</v>
      </c>
    </row>
    <row r="710" spans="1:5" x14ac:dyDescent="0.3">
      <c r="A710">
        <v>709</v>
      </c>
      <c r="B710" t="s">
        <v>3530</v>
      </c>
      <c r="C710" t="s">
        <v>4835</v>
      </c>
      <c r="D710">
        <v>709</v>
      </c>
      <c r="E710" t="s">
        <v>3528</v>
      </c>
    </row>
    <row r="711" spans="1:5" x14ac:dyDescent="0.3">
      <c r="A711">
        <v>710</v>
      </c>
      <c r="B711" t="s">
        <v>3534</v>
      </c>
      <c r="C711" t="s">
        <v>4835</v>
      </c>
      <c r="D711">
        <v>710</v>
      </c>
      <c r="E711" t="s">
        <v>3532</v>
      </c>
    </row>
    <row r="712" spans="1:5" x14ac:dyDescent="0.3">
      <c r="A712">
        <v>711</v>
      </c>
      <c r="B712" t="s">
        <v>3538</v>
      </c>
      <c r="C712" t="s">
        <v>4835</v>
      </c>
      <c r="D712">
        <v>711</v>
      </c>
      <c r="E712" t="s">
        <v>3536</v>
      </c>
    </row>
    <row r="713" spans="1:5" x14ac:dyDescent="0.3">
      <c r="A713">
        <v>712</v>
      </c>
      <c r="B713" t="s">
        <v>3542</v>
      </c>
      <c r="C713" t="s">
        <v>4835</v>
      </c>
      <c r="D713">
        <v>712</v>
      </c>
      <c r="E713" t="s">
        <v>3540</v>
      </c>
    </row>
    <row r="714" spans="1:5" x14ac:dyDescent="0.3">
      <c r="A714">
        <v>713</v>
      </c>
      <c r="B714" t="s">
        <v>3546</v>
      </c>
      <c r="C714" t="s">
        <v>4835</v>
      </c>
      <c r="D714">
        <v>713</v>
      </c>
      <c r="E714" t="s">
        <v>3544</v>
      </c>
    </row>
    <row r="715" spans="1:5" x14ac:dyDescent="0.3">
      <c r="A715">
        <v>714</v>
      </c>
      <c r="B715" t="s">
        <v>3550</v>
      </c>
      <c r="C715" t="s">
        <v>4835</v>
      </c>
      <c r="D715">
        <v>714</v>
      </c>
      <c r="E715" t="s">
        <v>3548</v>
      </c>
    </row>
    <row r="716" spans="1:5" x14ac:dyDescent="0.3">
      <c r="A716">
        <v>715</v>
      </c>
      <c r="B716" t="s">
        <v>3554</v>
      </c>
      <c r="C716" t="s">
        <v>4835</v>
      </c>
      <c r="D716">
        <v>715</v>
      </c>
      <c r="E716" t="s">
        <v>3552</v>
      </c>
    </row>
    <row r="717" spans="1:5" x14ac:dyDescent="0.3">
      <c r="A717">
        <v>716</v>
      </c>
      <c r="B717" t="s">
        <v>3562</v>
      </c>
      <c r="C717" t="s">
        <v>4835</v>
      </c>
      <c r="D717">
        <v>716</v>
      </c>
      <c r="E717" t="s">
        <v>3556</v>
      </c>
    </row>
    <row r="718" spans="1:5" x14ac:dyDescent="0.3">
      <c r="A718">
        <v>717</v>
      </c>
      <c r="B718" t="s">
        <v>3566</v>
      </c>
      <c r="C718" t="s">
        <v>4835</v>
      </c>
      <c r="D718">
        <v>717</v>
      </c>
      <c r="E718" t="s">
        <v>3564</v>
      </c>
    </row>
    <row r="719" spans="1:5" x14ac:dyDescent="0.3">
      <c r="A719">
        <v>718</v>
      </c>
      <c r="B719" t="s">
        <v>3570</v>
      </c>
      <c r="C719" t="s">
        <v>4835</v>
      </c>
      <c r="D719">
        <v>718</v>
      </c>
      <c r="E719" t="s">
        <v>3568</v>
      </c>
    </row>
    <row r="720" spans="1:5" x14ac:dyDescent="0.3">
      <c r="A720">
        <v>719</v>
      </c>
      <c r="B720" t="s">
        <v>3574</v>
      </c>
      <c r="C720" t="s">
        <v>4835</v>
      </c>
      <c r="D720">
        <v>719</v>
      </c>
      <c r="E720" t="s">
        <v>3572</v>
      </c>
    </row>
    <row r="721" spans="1:5" x14ac:dyDescent="0.3">
      <c r="A721">
        <v>720</v>
      </c>
      <c r="B721" t="s">
        <v>3578</v>
      </c>
      <c r="C721" t="s">
        <v>4835</v>
      </c>
      <c r="D721">
        <v>720</v>
      </c>
      <c r="E721" t="s">
        <v>3576</v>
      </c>
    </row>
    <row r="722" spans="1:5" x14ac:dyDescent="0.3">
      <c r="A722">
        <v>721</v>
      </c>
      <c r="B722" t="s">
        <v>3582</v>
      </c>
      <c r="C722" t="s">
        <v>4835</v>
      </c>
      <c r="D722">
        <v>721</v>
      </c>
      <c r="E722" t="s">
        <v>3580</v>
      </c>
    </row>
    <row r="723" spans="1:5" x14ac:dyDescent="0.3">
      <c r="A723">
        <v>722</v>
      </c>
      <c r="B723" t="s">
        <v>3590</v>
      </c>
      <c r="C723" t="s">
        <v>4835</v>
      </c>
      <c r="D723">
        <v>722</v>
      </c>
      <c r="E723" t="s">
        <v>3584</v>
      </c>
    </row>
    <row r="724" spans="1:5" x14ac:dyDescent="0.3">
      <c r="A724">
        <v>723</v>
      </c>
      <c r="B724" t="s">
        <v>3598</v>
      </c>
      <c r="C724" t="s">
        <v>4835</v>
      </c>
      <c r="D724">
        <v>723</v>
      </c>
      <c r="E724" t="s">
        <v>3592</v>
      </c>
    </row>
    <row r="725" spans="1:5" x14ac:dyDescent="0.3">
      <c r="A725">
        <v>724</v>
      </c>
      <c r="B725" t="s">
        <v>3602</v>
      </c>
      <c r="C725" t="s">
        <v>4835</v>
      </c>
      <c r="D725">
        <v>724</v>
      </c>
      <c r="E725" t="s">
        <v>3600</v>
      </c>
    </row>
    <row r="726" spans="1:5" x14ac:dyDescent="0.3">
      <c r="A726">
        <v>725</v>
      </c>
      <c r="B726" t="s">
        <v>3606</v>
      </c>
      <c r="C726" t="s">
        <v>4835</v>
      </c>
      <c r="D726">
        <v>725</v>
      </c>
      <c r="E726" t="s">
        <v>3604</v>
      </c>
    </row>
    <row r="727" spans="1:5" x14ac:dyDescent="0.3">
      <c r="A727">
        <v>726</v>
      </c>
      <c r="B727" t="s">
        <v>3610</v>
      </c>
      <c r="C727" t="s">
        <v>4835</v>
      </c>
      <c r="D727">
        <v>726</v>
      </c>
      <c r="E727" t="s">
        <v>3608</v>
      </c>
    </row>
    <row r="728" spans="1:5" x14ac:dyDescent="0.3">
      <c r="A728">
        <v>727</v>
      </c>
      <c r="B728" t="s">
        <v>3614</v>
      </c>
      <c r="C728" t="s">
        <v>4835</v>
      </c>
      <c r="D728">
        <v>727</v>
      </c>
      <c r="E728" t="s">
        <v>3612</v>
      </c>
    </row>
    <row r="729" spans="1:5" x14ac:dyDescent="0.3">
      <c r="A729">
        <v>728</v>
      </c>
      <c r="B729" t="s">
        <v>3618</v>
      </c>
      <c r="C729" t="s">
        <v>4835</v>
      </c>
      <c r="D729">
        <v>728</v>
      </c>
      <c r="E729" t="s">
        <v>3616</v>
      </c>
    </row>
    <row r="730" spans="1:5" x14ac:dyDescent="0.3">
      <c r="A730">
        <v>729</v>
      </c>
      <c r="B730" t="s">
        <v>3622</v>
      </c>
      <c r="C730" t="s">
        <v>4835</v>
      </c>
      <c r="D730">
        <v>729</v>
      </c>
      <c r="E730" t="s">
        <v>3620</v>
      </c>
    </row>
    <row r="731" spans="1:5" x14ac:dyDescent="0.3">
      <c r="A731">
        <v>730</v>
      </c>
      <c r="B731" t="s">
        <v>3626</v>
      </c>
      <c r="C731" t="s">
        <v>4835</v>
      </c>
      <c r="D731">
        <v>730</v>
      </c>
      <c r="E731" t="s">
        <v>3624</v>
      </c>
    </row>
    <row r="732" spans="1:5" x14ac:dyDescent="0.3">
      <c r="A732">
        <v>731</v>
      </c>
      <c r="B732" t="s">
        <v>3631</v>
      </c>
      <c r="C732" t="s">
        <v>4835</v>
      </c>
      <c r="D732">
        <v>731</v>
      </c>
      <c r="E732" t="s">
        <v>3628</v>
      </c>
    </row>
    <row r="733" spans="1:5" x14ac:dyDescent="0.3">
      <c r="A733">
        <v>732</v>
      </c>
      <c r="B733" t="s">
        <v>3635</v>
      </c>
      <c r="C733" t="s">
        <v>4835</v>
      </c>
      <c r="D733">
        <v>732</v>
      </c>
      <c r="E733" t="s">
        <v>3633</v>
      </c>
    </row>
    <row r="734" spans="1:5" x14ac:dyDescent="0.3">
      <c r="A734">
        <v>733</v>
      </c>
      <c r="B734" t="s">
        <v>3639</v>
      </c>
      <c r="C734" t="s">
        <v>4835</v>
      </c>
      <c r="D734">
        <v>733</v>
      </c>
      <c r="E734" t="s">
        <v>3637</v>
      </c>
    </row>
    <row r="735" spans="1:5" x14ac:dyDescent="0.3">
      <c r="A735">
        <v>734</v>
      </c>
      <c r="B735" t="s">
        <v>3643</v>
      </c>
      <c r="C735" t="s">
        <v>4835</v>
      </c>
      <c r="D735">
        <v>734</v>
      </c>
      <c r="E735" t="s">
        <v>3641</v>
      </c>
    </row>
    <row r="736" spans="1:5" x14ac:dyDescent="0.3">
      <c r="A736">
        <v>735</v>
      </c>
      <c r="B736" t="s">
        <v>3647</v>
      </c>
      <c r="C736" t="s">
        <v>4835</v>
      </c>
      <c r="D736">
        <v>735</v>
      </c>
      <c r="E736" t="s">
        <v>3645</v>
      </c>
    </row>
    <row r="737" spans="1:5" x14ac:dyDescent="0.3">
      <c r="A737">
        <v>736</v>
      </c>
      <c r="B737" t="s">
        <v>3655</v>
      </c>
      <c r="C737" t="s">
        <v>4835</v>
      </c>
      <c r="D737">
        <v>736</v>
      </c>
      <c r="E737" t="s">
        <v>3649</v>
      </c>
    </row>
    <row r="738" spans="1:5" x14ac:dyDescent="0.3">
      <c r="A738">
        <v>737</v>
      </c>
      <c r="B738" t="s">
        <v>3659</v>
      </c>
      <c r="C738" t="s">
        <v>4835</v>
      </c>
      <c r="D738">
        <v>737</v>
      </c>
      <c r="E738" t="s">
        <v>3657</v>
      </c>
    </row>
    <row r="739" spans="1:5" x14ac:dyDescent="0.3">
      <c r="A739">
        <v>738</v>
      </c>
      <c r="B739" t="s">
        <v>3663</v>
      </c>
      <c r="C739" t="s">
        <v>4835</v>
      </c>
      <c r="D739">
        <v>738</v>
      </c>
      <c r="E739" t="s">
        <v>3661</v>
      </c>
    </row>
    <row r="740" spans="1:5" x14ac:dyDescent="0.3">
      <c r="A740">
        <v>739</v>
      </c>
      <c r="B740" t="s">
        <v>3667</v>
      </c>
      <c r="C740" t="s">
        <v>4835</v>
      </c>
      <c r="D740">
        <v>739</v>
      </c>
      <c r="E740" t="s">
        <v>3665</v>
      </c>
    </row>
    <row r="741" spans="1:5" x14ac:dyDescent="0.3">
      <c r="A741">
        <v>740</v>
      </c>
      <c r="B741" t="s">
        <v>3675</v>
      </c>
      <c r="C741" t="s">
        <v>4835</v>
      </c>
      <c r="D741">
        <v>740</v>
      </c>
      <c r="E741" t="s">
        <v>3669</v>
      </c>
    </row>
    <row r="742" spans="1:5" x14ac:dyDescent="0.3">
      <c r="A742">
        <v>741</v>
      </c>
      <c r="B742" t="s">
        <v>3679</v>
      </c>
      <c r="C742" t="s">
        <v>4835</v>
      </c>
      <c r="D742">
        <v>741</v>
      </c>
      <c r="E742" t="s">
        <v>3677</v>
      </c>
    </row>
    <row r="743" spans="1:5" x14ac:dyDescent="0.3">
      <c r="A743">
        <v>742</v>
      </c>
      <c r="B743" t="s">
        <v>3683</v>
      </c>
      <c r="C743" t="s">
        <v>4835</v>
      </c>
      <c r="D743">
        <v>742</v>
      </c>
      <c r="E743" t="s">
        <v>3681</v>
      </c>
    </row>
    <row r="744" spans="1:5" x14ac:dyDescent="0.3">
      <c r="A744">
        <v>743</v>
      </c>
      <c r="B744" t="s">
        <v>3686</v>
      </c>
      <c r="C744" t="s">
        <v>4835</v>
      </c>
      <c r="D744">
        <v>743</v>
      </c>
      <c r="E744" t="s">
        <v>3684</v>
      </c>
    </row>
    <row r="745" spans="1:5" x14ac:dyDescent="0.3">
      <c r="A745">
        <v>744</v>
      </c>
      <c r="B745" t="s">
        <v>3690</v>
      </c>
      <c r="C745" t="s">
        <v>4835</v>
      </c>
      <c r="D745">
        <v>744</v>
      </c>
      <c r="E745" t="s">
        <v>3688</v>
      </c>
    </row>
    <row r="746" spans="1:5" x14ac:dyDescent="0.3">
      <c r="A746">
        <v>745</v>
      </c>
      <c r="B746" t="s">
        <v>3697</v>
      </c>
      <c r="C746" t="s">
        <v>4835</v>
      </c>
      <c r="D746">
        <v>745</v>
      </c>
      <c r="E746" t="s">
        <v>3691</v>
      </c>
    </row>
    <row r="747" spans="1:5" x14ac:dyDescent="0.3">
      <c r="A747">
        <v>746</v>
      </c>
      <c r="B747" t="s">
        <v>3705</v>
      </c>
      <c r="C747" t="s">
        <v>4835</v>
      </c>
      <c r="D747">
        <v>746</v>
      </c>
      <c r="E747" t="s">
        <v>3699</v>
      </c>
    </row>
    <row r="748" spans="1:5" x14ac:dyDescent="0.3">
      <c r="A748">
        <v>747</v>
      </c>
      <c r="B748" t="s">
        <v>3709</v>
      </c>
      <c r="C748" t="s">
        <v>4835</v>
      </c>
      <c r="D748">
        <v>747</v>
      </c>
      <c r="E748" t="s">
        <v>3707</v>
      </c>
    </row>
    <row r="749" spans="1:5" x14ac:dyDescent="0.3">
      <c r="A749">
        <v>748</v>
      </c>
      <c r="B749" t="s">
        <v>3713</v>
      </c>
      <c r="C749" t="s">
        <v>4835</v>
      </c>
      <c r="D749">
        <v>748</v>
      </c>
      <c r="E749" t="s">
        <v>3711</v>
      </c>
    </row>
    <row r="750" spans="1:5" x14ac:dyDescent="0.3">
      <c r="A750">
        <v>749</v>
      </c>
      <c r="B750" t="s">
        <v>3717</v>
      </c>
      <c r="C750" t="s">
        <v>4835</v>
      </c>
      <c r="D750">
        <v>749</v>
      </c>
      <c r="E750" t="s">
        <v>3715</v>
      </c>
    </row>
    <row r="751" spans="1:5" x14ac:dyDescent="0.3">
      <c r="A751">
        <v>750</v>
      </c>
      <c r="B751" t="s">
        <v>3721</v>
      </c>
      <c r="C751" t="s">
        <v>4835</v>
      </c>
      <c r="D751">
        <v>750</v>
      </c>
      <c r="E751" t="s">
        <v>3719</v>
      </c>
    </row>
    <row r="752" spans="1:5" x14ac:dyDescent="0.3">
      <c r="A752">
        <v>751</v>
      </c>
      <c r="B752" t="s">
        <v>3725</v>
      </c>
      <c r="C752" t="s">
        <v>4835</v>
      </c>
      <c r="D752">
        <v>751</v>
      </c>
      <c r="E752" t="s">
        <v>3723</v>
      </c>
    </row>
    <row r="753" spans="1:5" x14ac:dyDescent="0.3">
      <c r="A753">
        <v>752</v>
      </c>
      <c r="B753" t="s">
        <v>3729</v>
      </c>
      <c r="C753" t="s">
        <v>4835</v>
      </c>
      <c r="D753">
        <v>752</v>
      </c>
      <c r="E753" t="s">
        <v>3727</v>
      </c>
    </row>
    <row r="754" spans="1:5" x14ac:dyDescent="0.3">
      <c r="A754">
        <v>753</v>
      </c>
      <c r="B754" t="s">
        <v>3737</v>
      </c>
      <c r="C754" t="s">
        <v>4835</v>
      </c>
      <c r="D754">
        <v>753</v>
      </c>
      <c r="E754" t="s">
        <v>3731</v>
      </c>
    </row>
    <row r="755" spans="1:5" x14ac:dyDescent="0.3">
      <c r="A755">
        <v>754</v>
      </c>
      <c r="B755" t="s">
        <v>3741</v>
      </c>
      <c r="C755" t="s">
        <v>4835</v>
      </c>
      <c r="D755">
        <v>754</v>
      </c>
      <c r="E755" t="s">
        <v>3739</v>
      </c>
    </row>
    <row r="756" spans="1:5" x14ac:dyDescent="0.3">
      <c r="A756">
        <v>755</v>
      </c>
      <c r="B756" t="s">
        <v>3745</v>
      </c>
      <c r="C756" t="s">
        <v>4835</v>
      </c>
      <c r="D756">
        <v>755</v>
      </c>
      <c r="E756" t="s">
        <v>3743</v>
      </c>
    </row>
    <row r="757" spans="1:5" x14ac:dyDescent="0.3">
      <c r="A757">
        <v>756</v>
      </c>
      <c r="B757" t="s">
        <v>3749</v>
      </c>
      <c r="C757" t="s">
        <v>4835</v>
      </c>
      <c r="D757">
        <v>756</v>
      </c>
      <c r="E757" t="s">
        <v>3747</v>
      </c>
    </row>
    <row r="758" spans="1:5" x14ac:dyDescent="0.3">
      <c r="A758">
        <v>757</v>
      </c>
      <c r="B758" t="s">
        <v>3753</v>
      </c>
      <c r="C758" t="s">
        <v>4835</v>
      </c>
      <c r="D758">
        <v>757</v>
      </c>
      <c r="E758" t="s">
        <v>3751</v>
      </c>
    </row>
    <row r="759" spans="1:5" x14ac:dyDescent="0.3">
      <c r="A759">
        <v>758</v>
      </c>
      <c r="B759" t="s">
        <v>3761</v>
      </c>
      <c r="C759" t="s">
        <v>4835</v>
      </c>
      <c r="D759">
        <v>758</v>
      </c>
      <c r="E759" t="s">
        <v>3755</v>
      </c>
    </row>
    <row r="760" spans="1:5" x14ac:dyDescent="0.3">
      <c r="A760">
        <v>759</v>
      </c>
      <c r="B760" t="s">
        <v>3765</v>
      </c>
      <c r="C760" t="s">
        <v>4835</v>
      </c>
      <c r="D760">
        <v>759</v>
      </c>
      <c r="E760" t="s">
        <v>3763</v>
      </c>
    </row>
    <row r="761" spans="1:5" x14ac:dyDescent="0.3">
      <c r="A761">
        <v>760</v>
      </c>
      <c r="B761" t="s">
        <v>3769</v>
      </c>
      <c r="C761" t="s">
        <v>4835</v>
      </c>
      <c r="D761">
        <v>760</v>
      </c>
      <c r="E761" t="s">
        <v>3767</v>
      </c>
    </row>
    <row r="762" spans="1:5" x14ac:dyDescent="0.3">
      <c r="A762">
        <v>761</v>
      </c>
      <c r="B762" t="s">
        <v>3773</v>
      </c>
      <c r="C762" t="s">
        <v>4835</v>
      </c>
      <c r="D762">
        <v>761</v>
      </c>
      <c r="E762" t="s">
        <v>3771</v>
      </c>
    </row>
    <row r="763" spans="1:5" x14ac:dyDescent="0.3">
      <c r="A763">
        <v>762</v>
      </c>
      <c r="B763" t="s">
        <v>3777</v>
      </c>
      <c r="C763" t="s">
        <v>4835</v>
      </c>
      <c r="D763">
        <v>762</v>
      </c>
      <c r="E763" t="s">
        <v>3775</v>
      </c>
    </row>
    <row r="764" spans="1:5" x14ac:dyDescent="0.3">
      <c r="A764">
        <v>763</v>
      </c>
      <c r="B764" t="s">
        <v>3781</v>
      </c>
      <c r="C764" t="s">
        <v>4835</v>
      </c>
      <c r="D764">
        <v>763</v>
      </c>
      <c r="E764" t="s">
        <v>3779</v>
      </c>
    </row>
    <row r="765" spans="1:5" x14ac:dyDescent="0.3">
      <c r="A765">
        <v>764</v>
      </c>
      <c r="B765" t="s">
        <v>3785</v>
      </c>
      <c r="C765" t="s">
        <v>4835</v>
      </c>
      <c r="D765">
        <v>764</v>
      </c>
      <c r="E765" t="s">
        <v>3783</v>
      </c>
    </row>
    <row r="766" spans="1:5" x14ac:dyDescent="0.3">
      <c r="A766">
        <v>765</v>
      </c>
      <c r="B766" t="s">
        <v>3789</v>
      </c>
      <c r="C766" t="s">
        <v>4835</v>
      </c>
      <c r="D766">
        <v>765</v>
      </c>
      <c r="E766" t="s">
        <v>3787</v>
      </c>
    </row>
    <row r="767" spans="1:5" x14ac:dyDescent="0.3">
      <c r="A767">
        <v>766</v>
      </c>
      <c r="B767" t="s">
        <v>3794</v>
      </c>
      <c r="C767" t="s">
        <v>4835</v>
      </c>
      <c r="D767">
        <v>766</v>
      </c>
      <c r="E767" t="s">
        <v>3791</v>
      </c>
    </row>
    <row r="768" spans="1:5" x14ac:dyDescent="0.3">
      <c r="A768">
        <v>767</v>
      </c>
      <c r="B768" t="s">
        <v>3802</v>
      </c>
      <c r="C768" t="s">
        <v>4835</v>
      </c>
      <c r="D768">
        <v>767</v>
      </c>
      <c r="E768" t="s">
        <v>3796</v>
      </c>
    </row>
    <row r="769" spans="1:5" x14ac:dyDescent="0.3">
      <c r="A769">
        <v>768</v>
      </c>
      <c r="B769" t="s">
        <v>3806</v>
      </c>
      <c r="C769" t="s">
        <v>4835</v>
      </c>
      <c r="D769">
        <v>768</v>
      </c>
      <c r="E769" t="s">
        <v>3804</v>
      </c>
    </row>
    <row r="770" spans="1:5" x14ac:dyDescent="0.3">
      <c r="A770">
        <v>769</v>
      </c>
      <c r="B770" t="s">
        <v>3810</v>
      </c>
      <c r="C770" t="s">
        <v>4835</v>
      </c>
      <c r="D770">
        <v>769</v>
      </c>
      <c r="E770" t="s">
        <v>3808</v>
      </c>
    </row>
    <row r="771" spans="1:5" x14ac:dyDescent="0.3">
      <c r="A771">
        <v>770</v>
      </c>
      <c r="B771" t="s">
        <v>3814</v>
      </c>
      <c r="C771" t="s">
        <v>4835</v>
      </c>
      <c r="D771">
        <v>770</v>
      </c>
      <c r="E771" t="s">
        <v>3812</v>
      </c>
    </row>
    <row r="772" spans="1:5" x14ac:dyDescent="0.3">
      <c r="A772">
        <v>771</v>
      </c>
      <c r="B772" t="s">
        <v>3818</v>
      </c>
      <c r="C772" t="s">
        <v>4835</v>
      </c>
      <c r="D772">
        <v>771</v>
      </c>
      <c r="E772" t="s">
        <v>3816</v>
      </c>
    </row>
    <row r="773" spans="1:5" x14ac:dyDescent="0.3">
      <c r="A773">
        <v>772</v>
      </c>
      <c r="B773" t="s">
        <v>3825</v>
      </c>
      <c r="C773" t="s">
        <v>4835</v>
      </c>
      <c r="D773">
        <v>772</v>
      </c>
      <c r="E773" t="s">
        <v>3819</v>
      </c>
    </row>
    <row r="774" spans="1:5" x14ac:dyDescent="0.3">
      <c r="A774">
        <v>773</v>
      </c>
      <c r="B774" t="s">
        <v>3829</v>
      </c>
      <c r="C774" t="s">
        <v>4835</v>
      </c>
      <c r="D774">
        <v>773</v>
      </c>
      <c r="E774" t="s">
        <v>3827</v>
      </c>
    </row>
    <row r="775" spans="1:5" x14ac:dyDescent="0.3">
      <c r="A775">
        <v>774</v>
      </c>
      <c r="B775" t="s">
        <v>3837</v>
      </c>
      <c r="C775" t="s">
        <v>4835</v>
      </c>
      <c r="D775">
        <v>774</v>
      </c>
      <c r="E775" t="s">
        <v>3831</v>
      </c>
    </row>
    <row r="776" spans="1:5" x14ac:dyDescent="0.3">
      <c r="A776">
        <v>775</v>
      </c>
      <c r="B776" t="s">
        <v>3841</v>
      </c>
      <c r="C776" t="s">
        <v>4835</v>
      </c>
      <c r="D776">
        <v>775</v>
      </c>
      <c r="E776" t="s">
        <v>3839</v>
      </c>
    </row>
    <row r="777" spans="1:5" x14ac:dyDescent="0.3">
      <c r="A777">
        <v>776</v>
      </c>
      <c r="B777" t="s">
        <v>3845</v>
      </c>
      <c r="C777" t="s">
        <v>4835</v>
      </c>
      <c r="D777">
        <v>776</v>
      </c>
      <c r="E777" t="s">
        <v>3843</v>
      </c>
    </row>
    <row r="778" spans="1:5" x14ac:dyDescent="0.3">
      <c r="A778">
        <v>777</v>
      </c>
      <c r="B778" t="s">
        <v>3849</v>
      </c>
      <c r="C778" t="s">
        <v>4835</v>
      </c>
      <c r="D778">
        <v>777</v>
      </c>
      <c r="E778" t="s">
        <v>3847</v>
      </c>
    </row>
    <row r="779" spans="1:5" x14ac:dyDescent="0.3">
      <c r="A779">
        <v>778</v>
      </c>
      <c r="B779" t="s">
        <v>3857</v>
      </c>
      <c r="C779" t="s">
        <v>4835</v>
      </c>
      <c r="D779">
        <v>778</v>
      </c>
      <c r="E779" t="s">
        <v>3851</v>
      </c>
    </row>
    <row r="780" spans="1:5" x14ac:dyDescent="0.3">
      <c r="A780">
        <v>779</v>
      </c>
      <c r="B780" t="s">
        <v>3860</v>
      </c>
      <c r="C780" t="s">
        <v>4835</v>
      </c>
      <c r="D780">
        <v>779</v>
      </c>
      <c r="E780" t="s">
        <v>3858</v>
      </c>
    </row>
    <row r="781" spans="1:5" x14ac:dyDescent="0.3">
      <c r="A781">
        <v>780</v>
      </c>
      <c r="B781" t="s">
        <v>3863</v>
      </c>
      <c r="C781" t="s">
        <v>4835</v>
      </c>
      <c r="D781">
        <v>780</v>
      </c>
      <c r="E781" t="s">
        <v>3861</v>
      </c>
    </row>
    <row r="782" spans="1:5" x14ac:dyDescent="0.3">
      <c r="A782">
        <v>781</v>
      </c>
      <c r="B782" t="s">
        <v>3867</v>
      </c>
      <c r="C782" t="s">
        <v>4835</v>
      </c>
      <c r="D782">
        <v>781</v>
      </c>
      <c r="E782" t="s">
        <v>3865</v>
      </c>
    </row>
    <row r="783" spans="1:5" x14ac:dyDescent="0.3">
      <c r="A783">
        <v>782</v>
      </c>
      <c r="B783" t="s">
        <v>3871</v>
      </c>
      <c r="C783" t="s">
        <v>4835</v>
      </c>
      <c r="D783">
        <v>782</v>
      </c>
      <c r="E783" t="s">
        <v>3869</v>
      </c>
    </row>
    <row r="784" spans="1:5" x14ac:dyDescent="0.3">
      <c r="A784">
        <v>783</v>
      </c>
      <c r="B784" t="s">
        <v>3875</v>
      </c>
      <c r="C784" t="s">
        <v>4835</v>
      </c>
      <c r="D784">
        <v>783</v>
      </c>
      <c r="E784" t="s">
        <v>3873</v>
      </c>
    </row>
    <row r="785" spans="1:5" x14ac:dyDescent="0.3">
      <c r="A785">
        <v>784</v>
      </c>
      <c r="B785" t="s">
        <v>3882</v>
      </c>
      <c r="C785" t="s">
        <v>4835</v>
      </c>
      <c r="D785">
        <v>784</v>
      </c>
      <c r="E785" t="s">
        <v>3876</v>
      </c>
    </row>
    <row r="786" spans="1:5" x14ac:dyDescent="0.3">
      <c r="A786">
        <v>785</v>
      </c>
      <c r="B786" t="s">
        <v>3890</v>
      </c>
      <c r="C786" t="s">
        <v>4835</v>
      </c>
      <c r="D786">
        <v>785</v>
      </c>
      <c r="E786" t="s">
        <v>3884</v>
      </c>
    </row>
    <row r="787" spans="1:5" x14ac:dyDescent="0.3">
      <c r="A787">
        <v>786</v>
      </c>
      <c r="B787" t="s">
        <v>3893</v>
      </c>
      <c r="C787" t="s">
        <v>4835</v>
      </c>
      <c r="D787">
        <v>786</v>
      </c>
      <c r="E787" t="s">
        <v>3891</v>
      </c>
    </row>
    <row r="788" spans="1:5" x14ac:dyDescent="0.3">
      <c r="A788">
        <v>787</v>
      </c>
      <c r="B788" t="s">
        <v>3897</v>
      </c>
      <c r="C788" t="s">
        <v>4835</v>
      </c>
      <c r="D788">
        <v>787</v>
      </c>
      <c r="E788" t="s">
        <v>3895</v>
      </c>
    </row>
    <row r="789" spans="1:5" x14ac:dyDescent="0.3">
      <c r="A789">
        <v>788</v>
      </c>
      <c r="B789" t="s">
        <v>3901</v>
      </c>
      <c r="C789" t="s">
        <v>4835</v>
      </c>
      <c r="D789">
        <v>788</v>
      </c>
      <c r="E789" t="s">
        <v>3899</v>
      </c>
    </row>
    <row r="790" spans="1:5" x14ac:dyDescent="0.3">
      <c r="A790">
        <v>789</v>
      </c>
      <c r="B790" t="s">
        <v>3905</v>
      </c>
      <c r="C790" t="s">
        <v>4835</v>
      </c>
      <c r="D790">
        <v>789</v>
      </c>
      <c r="E790" t="s">
        <v>3903</v>
      </c>
    </row>
    <row r="791" spans="1:5" x14ac:dyDescent="0.3">
      <c r="A791">
        <v>790</v>
      </c>
      <c r="B791" t="s">
        <v>3909</v>
      </c>
      <c r="C791" t="s">
        <v>4835</v>
      </c>
      <c r="D791">
        <v>790</v>
      </c>
      <c r="E791" t="s">
        <v>3907</v>
      </c>
    </row>
    <row r="792" spans="1:5" x14ac:dyDescent="0.3">
      <c r="A792">
        <v>791</v>
      </c>
      <c r="B792" t="s">
        <v>3917</v>
      </c>
      <c r="C792" t="s">
        <v>4835</v>
      </c>
      <c r="D792">
        <v>791</v>
      </c>
      <c r="E792" t="s">
        <v>3911</v>
      </c>
    </row>
    <row r="793" spans="1:5" x14ac:dyDescent="0.3">
      <c r="A793">
        <v>792</v>
      </c>
      <c r="B793" t="s">
        <v>3921</v>
      </c>
      <c r="C793" t="s">
        <v>4835</v>
      </c>
      <c r="D793">
        <v>792</v>
      </c>
      <c r="E793" t="s">
        <v>3919</v>
      </c>
    </row>
    <row r="794" spans="1:5" x14ac:dyDescent="0.3">
      <c r="A794">
        <v>793</v>
      </c>
      <c r="B794" t="s">
        <v>3929</v>
      </c>
      <c r="C794" t="s">
        <v>4835</v>
      </c>
      <c r="D794">
        <v>793</v>
      </c>
      <c r="E794" t="s">
        <v>3923</v>
      </c>
    </row>
    <row r="795" spans="1:5" x14ac:dyDescent="0.3">
      <c r="A795">
        <v>794</v>
      </c>
      <c r="B795" t="s">
        <v>3937</v>
      </c>
      <c r="C795" t="s">
        <v>4835</v>
      </c>
      <c r="D795">
        <v>794</v>
      </c>
      <c r="E795" t="s">
        <v>3931</v>
      </c>
    </row>
    <row r="796" spans="1:5" x14ac:dyDescent="0.3">
      <c r="A796">
        <v>795</v>
      </c>
      <c r="B796" t="s">
        <v>3941</v>
      </c>
      <c r="C796" t="s">
        <v>4835</v>
      </c>
      <c r="D796">
        <v>795</v>
      </c>
      <c r="E796" t="s">
        <v>3939</v>
      </c>
    </row>
    <row r="797" spans="1:5" x14ac:dyDescent="0.3">
      <c r="A797">
        <v>796</v>
      </c>
      <c r="B797" t="s">
        <v>3949</v>
      </c>
      <c r="C797" t="s">
        <v>4835</v>
      </c>
      <c r="D797">
        <v>796</v>
      </c>
      <c r="E797" t="s">
        <v>3943</v>
      </c>
    </row>
    <row r="798" spans="1:5" x14ac:dyDescent="0.3">
      <c r="A798">
        <v>797</v>
      </c>
      <c r="B798" t="s">
        <v>3953</v>
      </c>
      <c r="C798" t="s">
        <v>4835</v>
      </c>
      <c r="D798">
        <v>797</v>
      </c>
      <c r="E798" t="s">
        <v>3951</v>
      </c>
    </row>
    <row r="799" spans="1:5" x14ac:dyDescent="0.3">
      <c r="A799">
        <v>798</v>
      </c>
      <c r="B799" t="s">
        <v>3957</v>
      </c>
      <c r="C799" t="s">
        <v>4835</v>
      </c>
      <c r="D799">
        <v>798</v>
      </c>
      <c r="E799" t="s">
        <v>3955</v>
      </c>
    </row>
    <row r="800" spans="1:5" x14ac:dyDescent="0.3">
      <c r="A800">
        <v>799</v>
      </c>
      <c r="B800" t="s">
        <v>3960</v>
      </c>
      <c r="C800" t="s">
        <v>4835</v>
      </c>
      <c r="D800">
        <v>799</v>
      </c>
      <c r="E800" t="s">
        <v>3958</v>
      </c>
    </row>
    <row r="801" spans="1:5" x14ac:dyDescent="0.3">
      <c r="A801">
        <v>800</v>
      </c>
      <c r="B801" t="s">
        <v>3968</v>
      </c>
      <c r="C801" t="s">
        <v>4835</v>
      </c>
      <c r="D801">
        <v>800</v>
      </c>
      <c r="E801" t="s">
        <v>3962</v>
      </c>
    </row>
    <row r="802" spans="1:5" x14ac:dyDescent="0.3">
      <c r="A802">
        <v>801</v>
      </c>
      <c r="B802" t="s">
        <v>3972</v>
      </c>
      <c r="C802" t="s">
        <v>4835</v>
      </c>
      <c r="D802">
        <v>801</v>
      </c>
      <c r="E802" t="s">
        <v>3970</v>
      </c>
    </row>
    <row r="803" spans="1:5" x14ac:dyDescent="0.3">
      <c r="A803">
        <v>802</v>
      </c>
      <c r="B803" t="s">
        <v>3976</v>
      </c>
      <c r="C803" t="s">
        <v>4835</v>
      </c>
      <c r="D803">
        <v>802</v>
      </c>
      <c r="E803" t="s">
        <v>3974</v>
      </c>
    </row>
    <row r="804" spans="1:5" x14ac:dyDescent="0.3">
      <c r="A804">
        <v>803</v>
      </c>
      <c r="B804" t="s">
        <v>3980</v>
      </c>
      <c r="C804" t="s">
        <v>4835</v>
      </c>
      <c r="D804">
        <v>803</v>
      </c>
      <c r="E804" t="s">
        <v>3978</v>
      </c>
    </row>
    <row r="805" spans="1:5" x14ac:dyDescent="0.3">
      <c r="A805">
        <v>804</v>
      </c>
      <c r="B805" t="s">
        <v>3987</v>
      </c>
      <c r="C805" t="s">
        <v>4835</v>
      </c>
      <c r="D805">
        <v>804</v>
      </c>
      <c r="E805" t="s">
        <v>3981</v>
      </c>
    </row>
    <row r="806" spans="1:5" x14ac:dyDescent="0.3">
      <c r="A806">
        <v>805</v>
      </c>
      <c r="B806" t="s">
        <v>3991</v>
      </c>
      <c r="C806" t="s">
        <v>4835</v>
      </c>
      <c r="D806">
        <v>805</v>
      </c>
      <c r="E806" t="s">
        <v>3989</v>
      </c>
    </row>
    <row r="807" spans="1:5" x14ac:dyDescent="0.3">
      <c r="A807">
        <v>806</v>
      </c>
      <c r="B807" t="s">
        <v>3995</v>
      </c>
      <c r="C807" t="s">
        <v>4835</v>
      </c>
      <c r="D807">
        <v>806</v>
      </c>
      <c r="E807" t="s">
        <v>3993</v>
      </c>
    </row>
    <row r="808" spans="1:5" x14ac:dyDescent="0.3">
      <c r="A808">
        <v>807</v>
      </c>
      <c r="B808" t="s">
        <v>3999</v>
      </c>
      <c r="C808" t="s">
        <v>4835</v>
      </c>
      <c r="D808">
        <v>807</v>
      </c>
      <c r="E808" t="s">
        <v>3997</v>
      </c>
    </row>
    <row r="809" spans="1:5" x14ac:dyDescent="0.3">
      <c r="A809">
        <v>808</v>
      </c>
      <c r="B809" t="s">
        <v>4007</v>
      </c>
      <c r="C809" t="s">
        <v>4835</v>
      </c>
      <c r="D809">
        <v>808</v>
      </c>
      <c r="E809" t="s">
        <v>4001</v>
      </c>
    </row>
    <row r="810" spans="1:5" x14ac:dyDescent="0.3">
      <c r="A810">
        <v>809</v>
      </c>
      <c r="B810" t="s">
        <v>4011</v>
      </c>
      <c r="C810" t="s">
        <v>4835</v>
      </c>
      <c r="D810">
        <v>809</v>
      </c>
      <c r="E810" t="s">
        <v>4009</v>
      </c>
    </row>
    <row r="811" spans="1:5" x14ac:dyDescent="0.3">
      <c r="A811">
        <v>810</v>
      </c>
      <c r="B811" t="s">
        <v>4015</v>
      </c>
      <c r="C811" t="s">
        <v>4835</v>
      </c>
      <c r="D811">
        <v>810</v>
      </c>
      <c r="E811" t="s">
        <v>4013</v>
      </c>
    </row>
    <row r="812" spans="1:5" x14ac:dyDescent="0.3">
      <c r="A812">
        <v>811</v>
      </c>
      <c r="B812" t="s">
        <v>4023</v>
      </c>
      <c r="C812" t="s">
        <v>4835</v>
      </c>
      <c r="D812">
        <v>811</v>
      </c>
      <c r="E812" t="s">
        <v>4017</v>
      </c>
    </row>
    <row r="813" spans="1:5" x14ac:dyDescent="0.3">
      <c r="A813">
        <v>812</v>
      </c>
      <c r="B813" t="s">
        <v>4031</v>
      </c>
      <c r="C813" t="s">
        <v>4835</v>
      </c>
      <c r="D813">
        <v>812</v>
      </c>
      <c r="E813" t="s">
        <v>4025</v>
      </c>
    </row>
    <row r="814" spans="1:5" x14ac:dyDescent="0.3">
      <c r="A814">
        <v>813</v>
      </c>
      <c r="B814" t="s">
        <v>4039</v>
      </c>
      <c r="C814" t="s">
        <v>4835</v>
      </c>
      <c r="D814">
        <v>813</v>
      </c>
      <c r="E814" t="s">
        <v>4033</v>
      </c>
    </row>
    <row r="815" spans="1:5" x14ac:dyDescent="0.3">
      <c r="A815">
        <v>814</v>
      </c>
      <c r="B815" t="s">
        <v>4043</v>
      </c>
      <c r="C815" t="s">
        <v>4835</v>
      </c>
      <c r="D815">
        <v>814</v>
      </c>
      <c r="E815" t="s">
        <v>4041</v>
      </c>
    </row>
    <row r="816" spans="1:5" x14ac:dyDescent="0.3">
      <c r="A816">
        <v>815</v>
      </c>
      <c r="B816" t="s">
        <v>4047</v>
      </c>
      <c r="C816" t="s">
        <v>4835</v>
      </c>
      <c r="D816">
        <v>815</v>
      </c>
      <c r="E816" t="s">
        <v>4045</v>
      </c>
    </row>
    <row r="817" spans="1:5" x14ac:dyDescent="0.3">
      <c r="A817">
        <v>816</v>
      </c>
      <c r="B817" t="s">
        <v>4051</v>
      </c>
      <c r="C817" t="s">
        <v>4835</v>
      </c>
      <c r="D817">
        <v>816</v>
      </c>
      <c r="E817" t="s">
        <v>4049</v>
      </c>
    </row>
    <row r="818" spans="1:5" x14ac:dyDescent="0.3">
      <c r="A818">
        <v>817</v>
      </c>
      <c r="B818" t="s">
        <v>4055</v>
      </c>
      <c r="C818" t="s">
        <v>4835</v>
      </c>
      <c r="D818">
        <v>817</v>
      </c>
      <c r="E818" t="s">
        <v>4053</v>
      </c>
    </row>
    <row r="819" spans="1:5" x14ac:dyDescent="0.3">
      <c r="A819">
        <v>818</v>
      </c>
      <c r="B819" t="s">
        <v>4059</v>
      </c>
      <c r="C819" t="s">
        <v>4835</v>
      </c>
      <c r="D819">
        <v>818</v>
      </c>
      <c r="E819" t="s">
        <v>4057</v>
      </c>
    </row>
    <row r="820" spans="1:5" x14ac:dyDescent="0.3">
      <c r="A820">
        <v>819</v>
      </c>
      <c r="B820" t="s">
        <v>4063</v>
      </c>
      <c r="C820" t="s">
        <v>4835</v>
      </c>
      <c r="D820">
        <v>819</v>
      </c>
      <c r="E820" t="s">
        <v>4061</v>
      </c>
    </row>
    <row r="821" spans="1:5" x14ac:dyDescent="0.3">
      <c r="A821">
        <v>820</v>
      </c>
      <c r="B821" t="s">
        <v>4066</v>
      </c>
      <c r="C821" t="s">
        <v>4835</v>
      </c>
      <c r="D821">
        <v>820</v>
      </c>
      <c r="E821" t="s">
        <v>4064</v>
      </c>
    </row>
    <row r="822" spans="1:5" x14ac:dyDescent="0.3">
      <c r="A822">
        <v>821</v>
      </c>
      <c r="B822" t="s">
        <v>4070</v>
      </c>
      <c r="C822" t="s">
        <v>4835</v>
      </c>
      <c r="D822">
        <v>821</v>
      </c>
      <c r="E822" t="s">
        <v>4068</v>
      </c>
    </row>
    <row r="823" spans="1:5" x14ac:dyDescent="0.3">
      <c r="A823">
        <v>822</v>
      </c>
      <c r="B823" t="s">
        <v>4074</v>
      </c>
      <c r="C823" t="s">
        <v>4835</v>
      </c>
      <c r="D823">
        <v>822</v>
      </c>
      <c r="E823" t="s">
        <v>4072</v>
      </c>
    </row>
    <row r="824" spans="1:5" x14ac:dyDescent="0.3">
      <c r="A824">
        <v>823</v>
      </c>
      <c r="B824" t="s">
        <v>4078</v>
      </c>
      <c r="C824" t="s">
        <v>4835</v>
      </c>
      <c r="D824">
        <v>823</v>
      </c>
      <c r="E824" t="s">
        <v>4076</v>
      </c>
    </row>
    <row r="825" spans="1:5" x14ac:dyDescent="0.3">
      <c r="A825">
        <v>824</v>
      </c>
      <c r="B825" t="s">
        <v>4082</v>
      </c>
      <c r="C825" t="s">
        <v>4835</v>
      </c>
      <c r="D825">
        <v>824</v>
      </c>
      <c r="E825" t="s">
        <v>4080</v>
      </c>
    </row>
    <row r="826" spans="1:5" x14ac:dyDescent="0.3">
      <c r="A826">
        <v>825</v>
      </c>
      <c r="B826" t="s">
        <v>4086</v>
      </c>
      <c r="C826" t="s">
        <v>4835</v>
      </c>
      <c r="D826">
        <v>825</v>
      </c>
      <c r="E826" t="s">
        <v>4084</v>
      </c>
    </row>
    <row r="827" spans="1:5" x14ac:dyDescent="0.3">
      <c r="A827">
        <v>826</v>
      </c>
      <c r="B827" t="s">
        <v>4094</v>
      </c>
      <c r="C827" t="s">
        <v>4835</v>
      </c>
      <c r="D827">
        <v>826</v>
      </c>
      <c r="E827" t="s">
        <v>4088</v>
      </c>
    </row>
    <row r="828" spans="1:5" x14ac:dyDescent="0.3">
      <c r="A828">
        <v>827</v>
      </c>
      <c r="B828" t="s">
        <v>4102</v>
      </c>
      <c r="C828" t="s">
        <v>4835</v>
      </c>
      <c r="D828">
        <v>827</v>
      </c>
      <c r="E828" t="s">
        <v>4096</v>
      </c>
    </row>
    <row r="829" spans="1:5" x14ac:dyDescent="0.3">
      <c r="A829">
        <v>828</v>
      </c>
      <c r="B829" t="s">
        <v>4106</v>
      </c>
      <c r="C829" t="s">
        <v>4835</v>
      </c>
      <c r="D829">
        <v>828</v>
      </c>
      <c r="E829" t="s">
        <v>4104</v>
      </c>
    </row>
    <row r="830" spans="1:5" x14ac:dyDescent="0.3">
      <c r="A830">
        <v>829</v>
      </c>
      <c r="B830" t="s">
        <v>4110</v>
      </c>
      <c r="C830" t="s">
        <v>4835</v>
      </c>
      <c r="D830">
        <v>829</v>
      </c>
      <c r="E830" t="s">
        <v>4108</v>
      </c>
    </row>
    <row r="831" spans="1:5" x14ac:dyDescent="0.3">
      <c r="A831">
        <v>830</v>
      </c>
      <c r="B831" t="s">
        <v>4114</v>
      </c>
      <c r="C831" t="s">
        <v>4835</v>
      </c>
      <c r="D831">
        <v>830</v>
      </c>
      <c r="E831" t="s">
        <v>4112</v>
      </c>
    </row>
    <row r="832" spans="1:5" x14ac:dyDescent="0.3">
      <c r="A832">
        <v>831</v>
      </c>
      <c r="B832" t="s">
        <v>4117</v>
      </c>
      <c r="C832" t="s">
        <v>4835</v>
      </c>
      <c r="D832">
        <v>831</v>
      </c>
      <c r="E832" t="s">
        <v>4115</v>
      </c>
    </row>
    <row r="833" spans="1:5" x14ac:dyDescent="0.3">
      <c r="A833">
        <v>832</v>
      </c>
      <c r="B833" t="s">
        <v>4121</v>
      </c>
      <c r="C833" t="s">
        <v>4835</v>
      </c>
      <c r="D833">
        <v>832</v>
      </c>
      <c r="E833" t="s">
        <v>4119</v>
      </c>
    </row>
    <row r="834" spans="1:5" x14ac:dyDescent="0.3">
      <c r="A834">
        <v>833</v>
      </c>
      <c r="B834" t="s">
        <v>4125</v>
      </c>
      <c r="C834" t="s">
        <v>4835</v>
      </c>
      <c r="D834">
        <v>833</v>
      </c>
      <c r="E834" t="s">
        <v>4123</v>
      </c>
    </row>
    <row r="835" spans="1:5" x14ac:dyDescent="0.3">
      <c r="A835">
        <v>834</v>
      </c>
      <c r="B835" t="s">
        <v>4129</v>
      </c>
      <c r="C835" t="s">
        <v>4835</v>
      </c>
      <c r="D835">
        <v>834</v>
      </c>
      <c r="E835" t="s">
        <v>4127</v>
      </c>
    </row>
    <row r="836" spans="1:5" x14ac:dyDescent="0.3">
      <c r="A836">
        <v>835</v>
      </c>
      <c r="B836" t="s">
        <v>4133</v>
      </c>
      <c r="C836" t="s">
        <v>4835</v>
      </c>
      <c r="D836">
        <v>835</v>
      </c>
      <c r="E836" t="s">
        <v>4131</v>
      </c>
    </row>
    <row r="837" spans="1:5" x14ac:dyDescent="0.3">
      <c r="A837">
        <v>836</v>
      </c>
      <c r="B837" t="s">
        <v>4137</v>
      </c>
      <c r="C837" t="s">
        <v>4835</v>
      </c>
      <c r="D837">
        <v>836</v>
      </c>
      <c r="E837" t="s">
        <v>4135</v>
      </c>
    </row>
    <row r="838" spans="1:5" x14ac:dyDescent="0.3">
      <c r="A838">
        <v>837</v>
      </c>
      <c r="B838" t="s">
        <v>4141</v>
      </c>
      <c r="C838" t="s">
        <v>4835</v>
      </c>
      <c r="D838">
        <v>837</v>
      </c>
      <c r="E838" t="s">
        <v>4139</v>
      </c>
    </row>
    <row r="839" spans="1:5" x14ac:dyDescent="0.3">
      <c r="A839">
        <v>838</v>
      </c>
      <c r="B839" t="s">
        <v>4145</v>
      </c>
      <c r="C839" t="s">
        <v>4835</v>
      </c>
      <c r="D839">
        <v>838</v>
      </c>
      <c r="E839" t="s">
        <v>4143</v>
      </c>
    </row>
    <row r="840" spans="1:5" x14ac:dyDescent="0.3">
      <c r="A840">
        <v>839</v>
      </c>
      <c r="B840" t="s">
        <v>4149</v>
      </c>
      <c r="C840" t="s">
        <v>4835</v>
      </c>
      <c r="D840">
        <v>839</v>
      </c>
      <c r="E840" t="s">
        <v>4147</v>
      </c>
    </row>
    <row r="841" spans="1:5" x14ac:dyDescent="0.3">
      <c r="A841">
        <v>840</v>
      </c>
      <c r="B841" t="s">
        <v>4153</v>
      </c>
      <c r="C841" t="s">
        <v>4835</v>
      </c>
      <c r="D841">
        <v>840</v>
      </c>
      <c r="E841" t="s">
        <v>4151</v>
      </c>
    </row>
    <row r="842" spans="1:5" x14ac:dyDescent="0.3">
      <c r="A842">
        <v>841</v>
      </c>
      <c r="B842" t="s">
        <v>4161</v>
      </c>
      <c r="C842" t="s">
        <v>4835</v>
      </c>
      <c r="D842">
        <v>841</v>
      </c>
      <c r="E842" t="s">
        <v>4155</v>
      </c>
    </row>
    <row r="843" spans="1:5" x14ac:dyDescent="0.3">
      <c r="A843">
        <v>842</v>
      </c>
      <c r="B843" t="s">
        <v>4169</v>
      </c>
      <c r="C843" t="s">
        <v>4835</v>
      </c>
      <c r="D843">
        <v>842</v>
      </c>
      <c r="E843" t="s">
        <v>4163</v>
      </c>
    </row>
    <row r="844" spans="1:5" x14ac:dyDescent="0.3">
      <c r="A844">
        <v>843</v>
      </c>
      <c r="B844" t="s">
        <v>4177</v>
      </c>
      <c r="C844" t="s">
        <v>4835</v>
      </c>
      <c r="D844">
        <v>843</v>
      </c>
      <c r="E844" t="s">
        <v>4171</v>
      </c>
    </row>
    <row r="845" spans="1:5" x14ac:dyDescent="0.3">
      <c r="A845">
        <v>844</v>
      </c>
      <c r="B845" t="s">
        <v>4181</v>
      </c>
      <c r="C845" t="s">
        <v>4835</v>
      </c>
      <c r="D845">
        <v>844</v>
      </c>
      <c r="E845" t="s">
        <v>4179</v>
      </c>
    </row>
    <row r="846" spans="1:5" x14ac:dyDescent="0.3">
      <c r="A846">
        <v>845</v>
      </c>
      <c r="B846" t="s">
        <v>4185</v>
      </c>
      <c r="C846" t="s">
        <v>4835</v>
      </c>
      <c r="D846">
        <v>845</v>
      </c>
      <c r="E846" t="s">
        <v>4183</v>
      </c>
    </row>
    <row r="847" spans="1:5" x14ac:dyDescent="0.3">
      <c r="A847">
        <v>846</v>
      </c>
      <c r="B847" t="s">
        <v>4193</v>
      </c>
      <c r="C847" t="s">
        <v>4835</v>
      </c>
      <c r="D847">
        <v>846</v>
      </c>
      <c r="E847" t="s">
        <v>4187</v>
      </c>
    </row>
    <row r="848" spans="1:5" x14ac:dyDescent="0.3">
      <c r="A848">
        <v>847</v>
      </c>
      <c r="B848" t="s">
        <v>4200</v>
      </c>
      <c r="C848" t="s">
        <v>4835</v>
      </c>
      <c r="D848">
        <v>847</v>
      </c>
      <c r="E848" t="s">
        <v>4194</v>
      </c>
    </row>
    <row r="849" spans="1:5" x14ac:dyDescent="0.3">
      <c r="A849">
        <v>848</v>
      </c>
      <c r="B849" t="s">
        <v>4204</v>
      </c>
      <c r="C849" t="s">
        <v>4835</v>
      </c>
      <c r="D849">
        <v>848</v>
      </c>
      <c r="E849" t="s">
        <v>4202</v>
      </c>
    </row>
    <row r="850" spans="1:5" x14ac:dyDescent="0.3">
      <c r="A850">
        <v>849</v>
      </c>
      <c r="B850" t="s">
        <v>4208</v>
      </c>
      <c r="C850" t="s">
        <v>4835</v>
      </c>
      <c r="D850">
        <v>849</v>
      </c>
      <c r="E850" t="s">
        <v>4206</v>
      </c>
    </row>
    <row r="851" spans="1:5" x14ac:dyDescent="0.3">
      <c r="A851">
        <v>850</v>
      </c>
      <c r="B851" t="s">
        <v>4216</v>
      </c>
      <c r="C851" t="s">
        <v>4835</v>
      </c>
      <c r="D851">
        <v>850</v>
      </c>
      <c r="E851" t="s">
        <v>4210</v>
      </c>
    </row>
    <row r="852" spans="1:5" x14ac:dyDescent="0.3">
      <c r="A852">
        <v>851</v>
      </c>
      <c r="B852" t="s">
        <v>4219</v>
      </c>
      <c r="C852" t="s">
        <v>4835</v>
      </c>
      <c r="D852">
        <v>851</v>
      </c>
      <c r="E852" t="s">
        <v>4217</v>
      </c>
    </row>
    <row r="853" spans="1:5" x14ac:dyDescent="0.3">
      <c r="A853">
        <v>852</v>
      </c>
      <c r="B853" t="s">
        <v>4227</v>
      </c>
      <c r="C853" t="s">
        <v>4835</v>
      </c>
      <c r="D853">
        <v>852</v>
      </c>
      <c r="E853" t="s">
        <v>4221</v>
      </c>
    </row>
    <row r="854" spans="1:5" x14ac:dyDescent="0.3">
      <c r="A854">
        <v>853</v>
      </c>
      <c r="B854" t="s">
        <v>4231</v>
      </c>
      <c r="C854" t="s">
        <v>4835</v>
      </c>
      <c r="D854">
        <v>853</v>
      </c>
      <c r="E854" t="s">
        <v>4229</v>
      </c>
    </row>
    <row r="855" spans="1:5" x14ac:dyDescent="0.3">
      <c r="A855">
        <v>854</v>
      </c>
      <c r="B855" t="s">
        <v>4235</v>
      </c>
      <c r="C855" t="s">
        <v>4835</v>
      </c>
      <c r="D855">
        <v>854</v>
      </c>
      <c r="E855" t="s">
        <v>4233</v>
      </c>
    </row>
    <row r="856" spans="1:5" x14ac:dyDescent="0.3">
      <c r="A856">
        <v>855</v>
      </c>
      <c r="B856" t="s">
        <v>4239</v>
      </c>
      <c r="C856" t="s">
        <v>4835</v>
      </c>
      <c r="D856">
        <v>855</v>
      </c>
      <c r="E856" t="s">
        <v>4237</v>
      </c>
    </row>
    <row r="857" spans="1:5" x14ac:dyDescent="0.3">
      <c r="A857">
        <v>856</v>
      </c>
      <c r="B857" t="s">
        <v>4247</v>
      </c>
      <c r="C857" t="s">
        <v>4835</v>
      </c>
      <c r="D857">
        <v>856</v>
      </c>
      <c r="E857" t="s">
        <v>4241</v>
      </c>
    </row>
    <row r="858" spans="1:5" x14ac:dyDescent="0.3">
      <c r="A858">
        <v>857</v>
      </c>
      <c r="B858" t="s">
        <v>4251</v>
      </c>
      <c r="C858" t="s">
        <v>4835</v>
      </c>
      <c r="D858">
        <v>857</v>
      </c>
      <c r="E858" t="s">
        <v>4249</v>
      </c>
    </row>
    <row r="859" spans="1:5" x14ac:dyDescent="0.3">
      <c r="A859">
        <v>858</v>
      </c>
      <c r="B859" t="s">
        <v>4259</v>
      </c>
      <c r="C859" t="s">
        <v>4835</v>
      </c>
      <c r="D859">
        <v>858</v>
      </c>
      <c r="E859" t="s">
        <v>4253</v>
      </c>
    </row>
    <row r="860" spans="1:5" x14ac:dyDescent="0.3">
      <c r="A860">
        <v>859</v>
      </c>
      <c r="B860" t="s">
        <v>4263</v>
      </c>
      <c r="C860" t="s">
        <v>4835</v>
      </c>
      <c r="D860">
        <v>859</v>
      </c>
      <c r="E860" t="s">
        <v>4261</v>
      </c>
    </row>
    <row r="861" spans="1:5" x14ac:dyDescent="0.3">
      <c r="A861">
        <v>860</v>
      </c>
      <c r="B861" t="s">
        <v>4267</v>
      </c>
      <c r="C861" t="s">
        <v>4835</v>
      </c>
      <c r="D861">
        <v>860</v>
      </c>
      <c r="E861" t="s">
        <v>4265</v>
      </c>
    </row>
    <row r="862" spans="1:5" x14ac:dyDescent="0.3">
      <c r="A862">
        <v>861</v>
      </c>
      <c r="B862" t="s">
        <v>4274</v>
      </c>
      <c r="C862" t="s">
        <v>4835</v>
      </c>
      <c r="D862">
        <v>861</v>
      </c>
      <c r="E862" t="s">
        <v>4268</v>
      </c>
    </row>
    <row r="863" spans="1:5" x14ac:dyDescent="0.3">
      <c r="A863">
        <v>862</v>
      </c>
      <c r="B863" t="s">
        <v>4278</v>
      </c>
      <c r="C863" t="s">
        <v>4835</v>
      </c>
      <c r="D863">
        <v>862</v>
      </c>
      <c r="E863" t="s">
        <v>4276</v>
      </c>
    </row>
    <row r="864" spans="1:5" x14ac:dyDescent="0.3">
      <c r="A864">
        <v>863</v>
      </c>
      <c r="B864" t="s">
        <v>4282</v>
      </c>
      <c r="C864" t="s">
        <v>4835</v>
      </c>
      <c r="D864">
        <v>863</v>
      </c>
      <c r="E864" t="s">
        <v>4280</v>
      </c>
    </row>
    <row r="865" spans="1:5" x14ac:dyDescent="0.3">
      <c r="A865">
        <v>864</v>
      </c>
      <c r="B865" t="s">
        <v>4286</v>
      </c>
      <c r="C865" t="s">
        <v>4835</v>
      </c>
      <c r="D865">
        <v>864</v>
      </c>
      <c r="E865" t="s">
        <v>4284</v>
      </c>
    </row>
    <row r="866" spans="1:5" x14ac:dyDescent="0.3">
      <c r="A866">
        <v>865</v>
      </c>
      <c r="B866" t="s">
        <v>4290</v>
      </c>
      <c r="C866" t="s">
        <v>4835</v>
      </c>
      <c r="D866">
        <v>865</v>
      </c>
      <c r="E866" t="s">
        <v>4288</v>
      </c>
    </row>
    <row r="867" spans="1:5" x14ac:dyDescent="0.3">
      <c r="A867">
        <v>866</v>
      </c>
      <c r="B867" t="s">
        <v>4298</v>
      </c>
      <c r="C867" t="s">
        <v>4835</v>
      </c>
      <c r="D867">
        <v>866</v>
      </c>
      <c r="E867" t="s">
        <v>4292</v>
      </c>
    </row>
    <row r="868" spans="1:5" x14ac:dyDescent="0.3">
      <c r="A868">
        <v>867</v>
      </c>
      <c r="B868" t="s">
        <v>4305</v>
      </c>
      <c r="C868" t="s">
        <v>4835</v>
      </c>
      <c r="D868">
        <v>867</v>
      </c>
      <c r="E868" t="s">
        <v>4299</v>
      </c>
    </row>
    <row r="869" spans="1:5" x14ac:dyDescent="0.3">
      <c r="A869">
        <v>868</v>
      </c>
      <c r="B869" t="s">
        <v>4313</v>
      </c>
      <c r="C869" t="s">
        <v>4835</v>
      </c>
      <c r="D869">
        <v>868</v>
      </c>
      <c r="E869" t="s">
        <v>4307</v>
      </c>
    </row>
    <row r="870" spans="1:5" x14ac:dyDescent="0.3">
      <c r="A870">
        <v>869</v>
      </c>
      <c r="B870" t="s">
        <v>4321</v>
      </c>
      <c r="C870" t="s">
        <v>4835</v>
      </c>
      <c r="D870">
        <v>869</v>
      </c>
      <c r="E870" t="s">
        <v>4315</v>
      </c>
    </row>
    <row r="871" spans="1:5" x14ac:dyDescent="0.3">
      <c r="A871">
        <v>870</v>
      </c>
      <c r="B871" t="s">
        <v>4325</v>
      </c>
      <c r="C871" t="s">
        <v>4835</v>
      </c>
      <c r="D871">
        <v>870</v>
      </c>
      <c r="E871" t="s">
        <v>4323</v>
      </c>
    </row>
    <row r="872" spans="1:5" x14ac:dyDescent="0.3">
      <c r="A872">
        <v>871</v>
      </c>
      <c r="B872" t="s">
        <v>4329</v>
      </c>
      <c r="C872" t="s">
        <v>4835</v>
      </c>
      <c r="D872">
        <v>871</v>
      </c>
      <c r="E872" t="s">
        <v>4327</v>
      </c>
    </row>
    <row r="873" spans="1:5" x14ac:dyDescent="0.3">
      <c r="A873">
        <v>872</v>
      </c>
      <c r="B873" t="s">
        <v>4333</v>
      </c>
      <c r="C873" t="s">
        <v>4835</v>
      </c>
      <c r="D873">
        <v>872</v>
      </c>
      <c r="E873" t="s">
        <v>4331</v>
      </c>
    </row>
    <row r="874" spans="1:5" x14ac:dyDescent="0.3">
      <c r="A874">
        <v>873</v>
      </c>
      <c r="B874" t="s">
        <v>4337</v>
      </c>
      <c r="C874" t="s">
        <v>4835</v>
      </c>
      <c r="D874">
        <v>873</v>
      </c>
      <c r="E874" t="s">
        <v>4335</v>
      </c>
    </row>
    <row r="875" spans="1:5" x14ac:dyDescent="0.3">
      <c r="A875">
        <v>874</v>
      </c>
      <c r="B875" t="s">
        <v>4341</v>
      </c>
      <c r="C875" t="s">
        <v>4835</v>
      </c>
      <c r="D875">
        <v>874</v>
      </c>
      <c r="E875" t="s">
        <v>4339</v>
      </c>
    </row>
    <row r="876" spans="1:5" x14ac:dyDescent="0.3">
      <c r="A876">
        <v>875</v>
      </c>
      <c r="B876" t="s">
        <v>4349</v>
      </c>
      <c r="C876" t="s">
        <v>4835</v>
      </c>
      <c r="D876">
        <v>875</v>
      </c>
      <c r="E876" t="s">
        <v>4343</v>
      </c>
    </row>
    <row r="877" spans="1:5" x14ac:dyDescent="0.3">
      <c r="A877">
        <v>876</v>
      </c>
      <c r="B877" t="s">
        <v>4357</v>
      </c>
      <c r="C877" t="s">
        <v>4835</v>
      </c>
      <c r="D877">
        <v>876</v>
      </c>
      <c r="E877" t="s">
        <v>4351</v>
      </c>
    </row>
    <row r="878" spans="1:5" x14ac:dyDescent="0.3">
      <c r="A878">
        <v>877</v>
      </c>
      <c r="B878" t="s">
        <v>4361</v>
      </c>
      <c r="C878" t="s">
        <v>4835</v>
      </c>
      <c r="D878">
        <v>877</v>
      </c>
      <c r="E878" t="s">
        <v>4359</v>
      </c>
    </row>
    <row r="879" spans="1:5" x14ac:dyDescent="0.3">
      <c r="A879">
        <v>878</v>
      </c>
      <c r="B879" t="s">
        <v>4365</v>
      </c>
      <c r="C879" t="s">
        <v>4835</v>
      </c>
      <c r="D879">
        <v>878</v>
      </c>
      <c r="E879" t="s">
        <v>4363</v>
      </c>
    </row>
    <row r="880" spans="1:5" x14ac:dyDescent="0.3">
      <c r="A880">
        <v>879</v>
      </c>
      <c r="B880" t="s">
        <v>4369</v>
      </c>
      <c r="C880" t="s">
        <v>4835</v>
      </c>
      <c r="D880">
        <v>879</v>
      </c>
      <c r="E880" t="s">
        <v>4367</v>
      </c>
    </row>
    <row r="881" spans="1:5" x14ac:dyDescent="0.3">
      <c r="A881">
        <v>880</v>
      </c>
      <c r="B881" t="s">
        <v>4374</v>
      </c>
      <c r="C881" t="s">
        <v>4835</v>
      </c>
      <c r="D881">
        <v>880</v>
      </c>
      <c r="E881" t="s">
        <v>4371</v>
      </c>
    </row>
    <row r="882" spans="1:5" x14ac:dyDescent="0.3">
      <c r="A882">
        <v>881</v>
      </c>
      <c r="B882" t="s">
        <v>4378</v>
      </c>
      <c r="C882" t="s">
        <v>4835</v>
      </c>
      <c r="D882">
        <v>881</v>
      </c>
      <c r="E882" t="s">
        <v>4376</v>
      </c>
    </row>
    <row r="883" spans="1:5" x14ac:dyDescent="0.3">
      <c r="A883">
        <v>882</v>
      </c>
      <c r="B883" t="s">
        <v>4382</v>
      </c>
      <c r="C883" t="s">
        <v>4835</v>
      </c>
      <c r="D883">
        <v>882</v>
      </c>
      <c r="E883" t="s">
        <v>4380</v>
      </c>
    </row>
    <row r="884" spans="1:5" x14ac:dyDescent="0.3">
      <c r="A884">
        <v>883</v>
      </c>
      <c r="B884" t="s">
        <v>4386</v>
      </c>
      <c r="C884" t="s">
        <v>4835</v>
      </c>
      <c r="D884">
        <v>883</v>
      </c>
      <c r="E884" t="s">
        <v>4384</v>
      </c>
    </row>
    <row r="885" spans="1:5" x14ac:dyDescent="0.3">
      <c r="A885">
        <v>884</v>
      </c>
      <c r="B885" t="s">
        <v>4390</v>
      </c>
      <c r="C885" t="s">
        <v>4835</v>
      </c>
      <c r="D885">
        <v>884</v>
      </c>
      <c r="E885" t="s">
        <v>4388</v>
      </c>
    </row>
    <row r="886" spans="1:5" x14ac:dyDescent="0.3">
      <c r="A886">
        <v>885</v>
      </c>
      <c r="B886" t="s">
        <v>4397</v>
      </c>
      <c r="C886" t="s">
        <v>4835</v>
      </c>
      <c r="D886">
        <v>885</v>
      </c>
      <c r="E886" t="s">
        <v>4391</v>
      </c>
    </row>
    <row r="887" spans="1:5" x14ac:dyDescent="0.3">
      <c r="A887">
        <v>886</v>
      </c>
      <c r="B887" t="s">
        <v>4405</v>
      </c>
      <c r="C887" t="s">
        <v>4835</v>
      </c>
      <c r="D887">
        <v>886</v>
      </c>
      <c r="E887" t="s">
        <v>4399</v>
      </c>
    </row>
    <row r="888" spans="1:5" x14ac:dyDescent="0.3">
      <c r="A888">
        <v>887</v>
      </c>
      <c r="B888" t="s">
        <v>4409</v>
      </c>
      <c r="C888" t="s">
        <v>4835</v>
      </c>
      <c r="D888">
        <v>887</v>
      </c>
      <c r="E888" t="s">
        <v>4407</v>
      </c>
    </row>
    <row r="889" spans="1:5" x14ac:dyDescent="0.3">
      <c r="A889">
        <v>888</v>
      </c>
      <c r="B889" t="s">
        <v>4413</v>
      </c>
      <c r="C889" t="s">
        <v>4835</v>
      </c>
      <c r="D889">
        <v>888</v>
      </c>
      <c r="E889" t="s">
        <v>4411</v>
      </c>
    </row>
    <row r="890" spans="1:5" x14ac:dyDescent="0.3">
      <c r="A890">
        <v>889</v>
      </c>
      <c r="B890" t="s">
        <v>1328</v>
      </c>
      <c r="C890" t="s">
        <v>4835</v>
      </c>
      <c r="D890">
        <v>889</v>
      </c>
      <c r="E890" t="s">
        <v>4415</v>
      </c>
    </row>
    <row r="891" spans="1:5" x14ac:dyDescent="0.3">
      <c r="A891">
        <v>890</v>
      </c>
      <c r="B891" t="s">
        <v>4420</v>
      </c>
      <c r="C891" t="s">
        <v>4835</v>
      </c>
      <c r="D891">
        <v>890</v>
      </c>
      <c r="E891" t="s">
        <v>4418</v>
      </c>
    </row>
    <row r="892" spans="1:5" x14ac:dyDescent="0.3">
      <c r="A892">
        <v>891</v>
      </c>
      <c r="B892" t="s">
        <v>4424</v>
      </c>
      <c r="C892" t="s">
        <v>4835</v>
      </c>
      <c r="D892">
        <v>891</v>
      </c>
      <c r="E892" t="s">
        <v>4422</v>
      </c>
    </row>
    <row r="893" spans="1:5" x14ac:dyDescent="0.3">
      <c r="A893">
        <v>892</v>
      </c>
      <c r="B893" t="s">
        <v>4428</v>
      </c>
      <c r="C893" t="s">
        <v>4835</v>
      </c>
      <c r="D893">
        <v>892</v>
      </c>
      <c r="E893" t="s">
        <v>4426</v>
      </c>
    </row>
    <row r="894" spans="1:5" x14ac:dyDescent="0.3">
      <c r="A894">
        <v>893</v>
      </c>
      <c r="B894" t="s">
        <v>4432</v>
      </c>
      <c r="C894" t="s">
        <v>4835</v>
      </c>
      <c r="D894">
        <v>893</v>
      </c>
      <c r="E894" t="s">
        <v>4430</v>
      </c>
    </row>
    <row r="895" spans="1:5" x14ac:dyDescent="0.3">
      <c r="A895">
        <v>894</v>
      </c>
      <c r="B895" t="s">
        <v>4440</v>
      </c>
      <c r="C895" t="s">
        <v>4835</v>
      </c>
      <c r="D895">
        <v>894</v>
      </c>
      <c r="E895" t="s">
        <v>4434</v>
      </c>
    </row>
    <row r="896" spans="1:5" x14ac:dyDescent="0.3">
      <c r="A896">
        <v>895</v>
      </c>
      <c r="B896" t="s">
        <v>4448</v>
      </c>
      <c r="C896" t="s">
        <v>4835</v>
      </c>
      <c r="D896">
        <v>895</v>
      </c>
      <c r="E896" t="s">
        <v>4442</v>
      </c>
    </row>
    <row r="897" spans="1:5" x14ac:dyDescent="0.3">
      <c r="A897">
        <v>896</v>
      </c>
      <c r="B897" t="s">
        <v>4452</v>
      </c>
      <c r="C897" t="s">
        <v>4835</v>
      </c>
      <c r="D897">
        <v>896</v>
      </c>
      <c r="E897" t="s">
        <v>4450</v>
      </c>
    </row>
    <row r="898" spans="1:5" x14ac:dyDescent="0.3">
      <c r="A898">
        <v>897</v>
      </c>
      <c r="B898" t="s">
        <v>4456</v>
      </c>
      <c r="C898" t="s">
        <v>4835</v>
      </c>
      <c r="D898">
        <v>897</v>
      </c>
      <c r="E898" t="s">
        <v>4454</v>
      </c>
    </row>
    <row r="899" spans="1:5" x14ac:dyDescent="0.3">
      <c r="A899">
        <v>898</v>
      </c>
      <c r="B899" t="s">
        <v>4460</v>
      </c>
      <c r="C899" t="s">
        <v>4835</v>
      </c>
      <c r="D899">
        <v>898</v>
      </c>
      <c r="E899" t="s">
        <v>4458</v>
      </c>
    </row>
    <row r="900" spans="1:5" x14ac:dyDescent="0.3">
      <c r="A900">
        <v>899</v>
      </c>
      <c r="B900" t="s">
        <v>4464</v>
      </c>
      <c r="C900" t="s">
        <v>4835</v>
      </c>
      <c r="D900">
        <v>899</v>
      </c>
      <c r="E900" t="s">
        <v>4462</v>
      </c>
    </row>
    <row r="901" spans="1:5" x14ac:dyDescent="0.3">
      <c r="A901">
        <v>900</v>
      </c>
      <c r="B901" t="s">
        <v>4468</v>
      </c>
      <c r="C901" t="s">
        <v>4835</v>
      </c>
      <c r="D901">
        <v>900</v>
      </c>
      <c r="E901" t="s">
        <v>4466</v>
      </c>
    </row>
    <row r="902" spans="1:5" x14ac:dyDescent="0.3">
      <c r="A902">
        <v>901</v>
      </c>
      <c r="B902" t="s">
        <v>4476</v>
      </c>
      <c r="C902" t="s">
        <v>4835</v>
      </c>
      <c r="D902">
        <v>901</v>
      </c>
      <c r="E902" t="s">
        <v>4470</v>
      </c>
    </row>
    <row r="903" spans="1:5" x14ac:dyDescent="0.3">
      <c r="A903">
        <v>902</v>
      </c>
      <c r="B903" t="s">
        <v>4480</v>
      </c>
      <c r="C903" t="s">
        <v>4835</v>
      </c>
      <c r="D903">
        <v>902</v>
      </c>
      <c r="E903" t="s">
        <v>4478</v>
      </c>
    </row>
    <row r="904" spans="1:5" x14ac:dyDescent="0.3">
      <c r="A904">
        <v>903</v>
      </c>
      <c r="B904" t="s">
        <v>4484</v>
      </c>
      <c r="C904" t="s">
        <v>4835</v>
      </c>
      <c r="D904">
        <v>903</v>
      </c>
      <c r="E904" t="s">
        <v>4482</v>
      </c>
    </row>
    <row r="905" spans="1:5" x14ac:dyDescent="0.3">
      <c r="A905">
        <v>904</v>
      </c>
      <c r="B905" t="s">
        <v>4492</v>
      </c>
      <c r="C905" t="s">
        <v>4835</v>
      </c>
      <c r="D905">
        <v>904</v>
      </c>
      <c r="E905" t="s">
        <v>4486</v>
      </c>
    </row>
    <row r="906" spans="1:5" x14ac:dyDescent="0.3">
      <c r="A906">
        <v>905</v>
      </c>
      <c r="B906" t="s">
        <v>4496</v>
      </c>
      <c r="C906" t="s">
        <v>4835</v>
      </c>
      <c r="D906">
        <v>905</v>
      </c>
      <c r="E906" t="s">
        <v>4494</v>
      </c>
    </row>
    <row r="907" spans="1:5" x14ac:dyDescent="0.3">
      <c r="A907">
        <v>906</v>
      </c>
      <c r="B907" t="s">
        <v>4500</v>
      </c>
      <c r="C907" t="s">
        <v>4835</v>
      </c>
      <c r="D907">
        <v>906</v>
      </c>
      <c r="E907" t="s">
        <v>4498</v>
      </c>
    </row>
    <row r="908" spans="1:5" x14ac:dyDescent="0.3">
      <c r="A908">
        <v>907</v>
      </c>
      <c r="B908" t="s">
        <v>4504</v>
      </c>
      <c r="C908" t="s">
        <v>4835</v>
      </c>
      <c r="D908">
        <v>907</v>
      </c>
      <c r="E908" t="s">
        <v>4502</v>
      </c>
    </row>
    <row r="909" spans="1:5" x14ac:dyDescent="0.3">
      <c r="A909">
        <v>908</v>
      </c>
      <c r="B909" t="s">
        <v>4508</v>
      </c>
      <c r="C909" t="s">
        <v>4835</v>
      </c>
      <c r="D909">
        <v>908</v>
      </c>
      <c r="E909" t="s">
        <v>4506</v>
      </c>
    </row>
    <row r="910" spans="1:5" x14ac:dyDescent="0.3">
      <c r="A910">
        <v>909</v>
      </c>
      <c r="B910" t="s">
        <v>4512</v>
      </c>
      <c r="C910" t="s">
        <v>4835</v>
      </c>
      <c r="D910">
        <v>909</v>
      </c>
      <c r="E910" t="s">
        <v>4510</v>
      </c>
    </row>
    <row r="911" spans="1:5" x14ac:dyDescent="0.3">
      <c r="A911">
        <v>910</v>
      </c>
      <c r="B911" t="s">
        <v>4516</v>
      </c>
      <c r="C911" t="s">
        <v>4835</v>
      </c>
      <c r="D911">
        <v>910</v>
      </c>
      <c r="E911" t="s">
        <v>4514</v>
      </c>
    </row>
    <row r="912" spans="1:5" x14ac:dyDescent="0.3">
      <c r="A912">
        <v>911</v>
      </c>
      <c r="B912" t="s">
        <v>4520</v>
      </c>
      <c r="C912" t="s">
        <v>4835</v>
      </c>
      <c r="D912">
        <v>911</v>
      </c>
      <c r="E912" t="s">
        <v>4518</v>
      </c>
    </row>
    <row r="913" spans="1:5" x14ac:dyDescent="0.3">
      <c r="A913">
        <v>912</v>
      </c>
      <c r="B913" t="s">
        <v>4524</v>
      </c>
      <c r="C913" t="s">
        <v>4835</v>
      </c>
      <c r="D913">
        <v>912</v>
      </c>
      <c r="E913" t="s">
        <v>4522</v>
      </c>
    </row>
    <row r="914" spans="1:5" x14ac:dyDescent="0.3">
      <c r="A914">
        <v>913</v>
      </c>
      <c r="B914" t="s">
        <v>4528</v>
      </c>
      <c r="C914" t="s">
        <v>4835</v>
      </c>
      <c r="D914">
        <v>913</v>
      </c>
      <c r="E914" t="s">
        <v>4526</v>
      </c>
    </row>
    <row r="915" spans="1:5" x14ac:dyDescent="0.3">
      <c r="A915">
        <v>914</v>
      </c>
      <c r="B915" t="s">
        <v>4536</v>
      </c>
      <c r="C915" t="s">
        <v>4835</v>
      </c>
      <c r="D915">
        <v>914</v>
      </c>
      <c r="E915" t="s">
        <v>4530</v>
      </c>
    </row>
    <row r="916" spans="1:5" x14ac:dyDescent="0.3">
      <c r="A916">
        <v>915</v>
      </c>
      <c r="B916" t="s">
        <v>4540</v>
      </c>
      <c r="C916" t="s">
        <v>4835</v>
      </c>
      <c r="D916">
        <v>915</v>
      </c>
      <c r="E916" t="s">
        <v>4538</v>
      </c>
    </row>
    <row r="917" spans="1:5" x14ac:dyDescent="0.3">
      <c r="A917">
        <v>916</v>
      </c>
      <c r="B917" t="s">
        <v>4544</v>
      </c>
      <c r="C917" t="s">
        <v>4835</v>
      </c>
      <c r="D917">
        <v>916</v>
      </c>
      <c r="E917" t="s">
        <v>4542</v>
      </c>
    </row>
    <row r="918" spans="1:5" x14ac:dyDescent="0.3">
      <c r="A918">
        <v>917</v>
      </c>
      <c r="B918" t="s">
        <v>4548</v>
      </c>
      <c r="C918" t="s">
        <v>4835</v>
      </c>
      <c r="D918">
        <v>917</v>
      </c>
      <c r="E918" t="s">
        <v>4546</v>
      </c>
    </row>
    <row r="919" spans="1:5" x14ac:dyDescent="0.3">
      <c r="A919">
        <v>918</v>
      </c>
      <c r="B919" t="s">
        <v>4556</v>
      </c>
      <c r="C919" t="s">
        <v>4835</v>
      </c>
      <c r="D919">
        <v>918</v>
      </c>
      <c r="E919" t="s">
        <v>4550</v>
      </c>
    </row>
    <row r="920" spans="1:5" x14ac:dyDescent="0.3">
      <c r="A920">
        <v>919</v>
      </c>
      <c r="B920" t="s">
        <v>4564</v>
      </c>
      <c r="C920" t="s">
        <v>4835</v>
      </c>
      <c r="D920">
        <v>919</v>
      </c>
      <c r="E920" t="s">
        <v>4558</v>
      </c>
    </row>
    <row r="921" spans="1:5" x14ac:dyDescent="0.3">
      <c r="A921">
        <v>920</v>
      </c>
      <c r="B921" t="s">
        <v>4568</v>
      </c>
      <c r="C921" t="s">
        <v>4835</v>
      </c>
      <c r="D921">
        <v>920</v>
      </c>
      <c r="E921" t="s">
        <v>4566</v>
      </c>
    </row>
    <row r="922" spans="1:5" x14ac:dyDescent="0.3">
      <c r="A922">
        <v>921</v>
      </c>
      <c r="B922" t="s">
        <v>4572</v>
      </c>
      <c r="C922" t="s">
        <v>4835</v>
      </c>
      <c r="D922">
        <v>921</v>
      </c>
      <c r="E922" t="s">
        <v>4570</v>
      </c>
    </row>
    <row r="923" spans="1:5" x14ac:dyDescent="0.3">
      <c r="A923">
        <v>922</v>
      </c>
      <c r="B923" t="s">
        <v>4576</v>
      </c>
      <c r="C923" t="s">
        <v>4835</v>
      </c>
      <c r="D923">
        <v>922</v>
      </c>
      <c r="E923" t="s">
        <v>4574</v>
      </c>
    </row>
    <row r="924" spans="1:5" x14ac:dyDescent="0.3">
      <c r="A924">
        <v>923</v>
      </c>
      <c r="B924" t="s">
        <v>4580</v>
      </c>
      <c r="C924" t="s">
        <v>4835</v>
      </c>
      <c r="D924">
        <v>923</v>
      </c>
      <c r="E924" t="s">
        <v>4578</v>
      </c>
    </row>
    <row r="925" spans="1:5" x14ac:dyDescent="0.3">
      <c r="A925">
        <v>924</v>
      </c>
      <c r="B925" t="s">
        <v>4588</v>
      </c>
      <c r="C925" t="s">
        <v>4835</v>
      </c>
      <c r="D925">
        <v>924</v>
      </c>
      <c r="E925" t="s">
        <v>4582</v>
      </c>
    </row>
    <row r="926" spans="1:5" x14ac:dyDescent="0.3">
      <c r="A926">
        <v>925</v>
      </c>
      <c r="B926" t="s">
        <v>4593</v>
      </c>
      <c r="C926" t="s">
        <v>4835</v>
      </c>
      <c r="D926">
        <v>925</v>
      </c>
      <c r="E926" t="s">
        <v>4590</v>
      </c>
    </row>
    <row r="927" spans="1:5" x14ac:dyDescent="0.3">
      <c r="A927">
        <v>926</v>
      </c>
      <c r="B927" t="s">
        <v>4597</v>
      </c>
      <c r="C927" t="s">
        <v>4835</v>
      </c>
      <c r="D927">
        <v>926</v>
      </c>
      <c r="E927" t="s">
        <v>4595</v>
      </c>
    </row>
    <row r="928" spans="1:5" x14ac:dyDescent="0.3">
      <c r="A928">
        <v>927</v>
      </c>
      <c r="B928" t="s">
        <v>4605</v>
      </c>
      <c r="C928" t="s">
        <v>4835</v>
      </c>
      <c r="D928">
        <v>927</v>
      </c>
      <c r="E928" t="s">
        <v>4599</v>
      </c>
    </row>
    <row r="929" spans="1:5" x14ac:dyDescent="0.3">
      <c r="A929">
        <v>928</v>
      </c>
      <c r="B929" t="s">
        <v>4609</v>
      </c>
      <c r="C929" t="s">
        <v>4835</v>
      </c>
      <c r="D929">
        <v>928</v>
      </c>
      <c r="E929" t="s">
        <v>4607</v>
      </c>
    </row>
    <row r="930" spans="1:5" x14ac:dyDescent="0.3">
      <c r="A930">
        <v>929</v>
      </c>
      <c r="B930" t="s">
        <v>4613</v>
      </c>
      <c r="C930" t="s">
        <v>4835</v>
      </c>
      <c r="D930">
        <v>929</v>
      </c>
      <c r="E930" t="s">
        <v>4611</v>
      </c>
    </row>
    <row r="931" spans="1:5" x14ac:dyDescent="0.3">
      <c r="A931">
        <v>930</v>
      </c>
      <c r="B931" t="s">
        <v>4617</v>
      </c>
      <c r="C931" t="s">
        <v>4835</v>
      </c>
      <c r="D931">
        <v>930</v>
      </c>
      <c r="E931" t="s">
        <v>4615</v>
      </c>
    </row>
    <row r="932" spans="1:5" x14ac:dyDescent="0.3">
      <c r="A932">
        <v>931</v>
      </c>
      <c r="B932" t="s">
        <v>4621</v>
      </c>
      <c r="C932" t="s">
        <v>4835</v>
      </c>
      <c r="D932">
        <v>931</v>
      </c>
      <c r="E932" t="s">
        <v>4619</v>
      </c>
    </row>
    <row r="933" spans="1:5" x14ac:dyDescent="0.3">
      <c r="A933">
        <v>932</v>
      </c>
      <c r="B933" t="s">
        <v>4625</v>
      </c>
      <c r="C933" t="s">
        <v>4835</v>
      </c>
      <c r="D933">
        <v>932</v>
      </c>
      <c r="E933" t="s">
        <v>4623</v>
      </c>
    </row>
    <row r="934" spans="1:5" x14ac:dyDescent="0.3">
      <c r="A934">
        <v>933</v>
      </c>
      <c r="B934" t="s">
        <v>4629</v>
      </c>
      <c r="C934" t="s">
        <v>4835</v>
      </c>
      <c r="D934">
        <v>933</v>
      </c>
      <c r="E934" t="s">
        <v>4627</v>
      </c>
    </row>
    <row r="935" spans="1:5" x14ac:dyDescent="0.3">
      <c r="A935">
        <v>934</v>
      </c>
      <c r="B935" t="s">
        <v>4633</v>
      </c>
      <c r="C935" t="s">
        <v>4835</v>
      </c>
      <c r="D935">
        <v>934</v>
      </c>
      <c r="E935" t="s">
        <v>4631</v>
      </c>
    </row>
    <row r="936" spans="1:5" x14ac:dyDescent="0.3">
      <c r="A936">
        <v>935</v>
      </c>
      <c r="B936" t="s">
        <v>4637</v>
      </c>
      <c r="C936" t="s">
        <v>4835</v>
      </c>
      <c r="D936">
        <v>935</v>
      </c>
      <c r="E936" t="s">
        <v>4635</v>
      </c>
    </row>
    <row r="937" spans="1:5" x14ac:dyDescent="0.3">
      <c r="A937">
        <v>936</v>
      </c>
      <c r="B937" t="s">
        <v>4641</v>
      </c>
      <c r="C937" t="s">
        <v>4835</v>
      </c>
      <c r="D937">
        <v>936</v>
      </c>
      <c r="E937" t="s">
        <v>4639</v>
      </c>
    </row>
    <row r="938" spans="1:5" x14ac:dyDescent="0.3">
      <c r="A938">
        <v>937</v>
      </c>
      <c r="B938" t="s">
        <v>4648</v>
      </c>
      <c r="C938" t="s">
        <v>4835</v>
      </c>
      <c r="D938">
        <v>937</v>
      </c>
      <c r="E938" t="s">
        <v>4642</v>
      </c>
    </row>
    <row r="939" spans="1:5" x14ac:dyDescent="0.3">
      <c r="A939">
        <v>938</v>
      </c>
      <c r="B939" t="s">
        <v>4656</v>
      </c>
      <c r="C939" t="s">
        <v>4835</v>
      </c>
      <c r="D939">
        <v>938</v>
      </c>
      <c r="E939" t="s">
        <v>4650</v>
      </c>
    </row>
    <row r="940" spans="1:5" x14ac:dyDescent="0.3">
      <c r="A940">
        <v>939</v>
      </c>
      <c r="B940" t="s">
        <v>4660</v>
      </c>
      <c r="C940" t="s">
        <v>4835</v>
      </c>
      <c r="D940">
        <v>939</v>
      </c>
      <c r="E940" t="s">
        <v>4658</v>
      </c>
    </row>
    <row r="941" spans="1:5" x14ac:dyDescent="0.3">
      <c r="A941">
        <v>940</v>
      </c>
      <c r="B941" t="s">
        <v>4664</v>
      </c>
      <c r="C941" t="s">
        <v>4835</v>
      </c>
      <c r="D941">
        <v>940</v>
      </c>
      <c r="E941" t="s">
        <v>4662</v>
      </c>
    </row>
    <row r="942" spans="1:5" x14ac:dyDescent="0.3">
      <c r="A942">
        <v>941</v>
      </c>
      <c r="B942" t="s">
        <v>4668</v>
      </c>
      <c r="C942" t="s">
        <v>4835</v>
      </c>
      <c r="D942">
        <v>941</v>
      </c>
      <c r="E942" t="s">
        <v>4666</v>
      </c>
    </row>
    <row r="943" spans="1:5" x14ac:dyDescent="0.3">
      <c r="A943">
        <v>942</v>
      </c>
      <c r="B943" t="s">
        <v>4676</v>
      </c>
      <c r="C943" t="s">
        <v>4835</v>
      </c>
      <c r="D943">
        <v>942</v>
      </c>
      <c r="E943" t="s">
        <v>4670</v>
      </c>
    </row>
    <row r="944" spans="1:5" x14ac:dyDescent="0.3">
      <c r="A944">
        <v>943</v>
      </c>
      <c r="B944" t="s">
        <v>4680</v>
      </c>
      <c r="C944" t="s">
        <v>4835</v>
      </c>
      <c r="D944">
        <v>943</v>
      </c>
      <c r="E944" t="s">
        <v>4678</v>
      </c>
    </row>
    <row r="945" spans="1:5" x14ac:dyDescent="0.3">
      <c r="A945">
        <v>944</v>
      </c>
      <c r="B945" t="s">
        <v>4684</v>
      </c>
      <c r="C945" t="s">
        <v>4835</v>
      </c>
      <c r="D945">
        <v>944</v>
      </c>
      <c r="E945" t="s">
        <v>4682</v>
      </c>
    </row>
    <row r="946" spans="1:5" x14ac:dyDescent="0.3">
      <c r="A946">
        <v>945</v>
      </c>
      <c r="B946" t="s">
        <v>4688</v>
      </c>
      <c r="C946" t="s">
        <v>4835</v>
      </c>
      <c r="D946">
        <v>945</v>
      </c>
      <c r="E946" t="s">
        <v>4686</v>
      </c>
    </row>
    <row r="947" spans="1:5" x14ac:dyDescent="0.3">
      <c r="A947">
        <v>946</v>
      </c>
      <c r="B947" t="s">
        <v>4692</v>
      </c>
      <c r="C947" t="s">
        <v>4835</v>
      </c>
      <c r="D947">
        <v>946</v>
      </c>
      <c r="E947" t="s">
        <v>4690</v>
      </c>
    </row>
    <row r="948" spans="1:5" x14ac:dyDescent="0.3">
      <c r="A948">
        <v>947</v>
      </c>
      <c r="B948" t="s">
        <v>4696</v>
      </c>
      <c r="C948" t="s">
        <v>4835</v>
      </c>
      <c r="D948">
        <v>947</v>
      </c>
      <c r="E948" t="s">
        <v>4694</v>
      </c>
    </row>
    <row r="949" spans="1:5" x14ac:dyDescent="0.3">
      <c r="A949">
        <v>948</v>
      </c>
      <c r="B949" t="s">
        <v>4700</v>
      </c>
      <c r="C949" t="s">
        <v>4835</v>
      </c>
      <c r="D949">
        <v>948</v>
      </c>
      <c r="E949" t="s">
        <v>4698</v>
      </c>
    </row>
    <row r="950" spans="1:5" x14ac:dyDescent="0.3">
      <c r="A950">
        <v>949</v>
      </c>
      <c r="B950" t="s">
        <v>4704</v>
      </c>
      <c r="C950" t="s">
        <v>4835</v>
      </c>
      <c r="D950">
        <v>949</v>
      </c>
      <c r="E950" t="s">
        <v>4702</v>
      </c>
    </row>
    <row r="951" spans="1:5" x14ac:dyDescent="0.3">
      <c r="A951">
        <v>950</v>
      </c>
      <c r="B951" t="s">
        <v>4708</v>
      </c>
      <c r="C951" t="s">
        <v>4835</v>
      </c>
      <c r="D951">
        <v>950</v>
      </c>
      <c r="E951" t="s">
        <v>4706</v>
      </c>
    </row>
    <row r="952" spans="1:5" x14ac:dyDescent="0.3">
      <c r="A952">
        <v>951</v>
      </c>
      <c r="B952" t="s">
        <v>4712</v>
      </c>
      <c r="C952" t="s">
        <v>4835</v>
      </c>
      <c r="D952">
        <v>951</v>
      </c>
      <c r="E952" t="s">
        <v>4710</v>
      </c>
    </row>
    <row r="953" spans="1:5" x14ac:dyDescent="0.3">
      <c r="A953">
        <v>952</v>
      </c>
      <c r="B953" t="s">
        <v>4716</v>
      </c>
      <c r="C953" t="s">
        <v>4835</v>
      </c>
      <c r="D953">
        <v>952</v>
      </c>
      <c r="E953" t="s">
        <v>4714</v>
      </c>
    </row>
    <row r="954" spans="1:5" x14ac:dyDescent="0.3">
      <c r="A954">
        <v>953</v>
      </c>
      <c r="B954" t="s">
        <v>4720</v>
      </c>
      <c r="C954" t="s">
        <v>4835</v>
      </c>
      <c r="D954">
        <v>953</v>
      </c>
      <c r="E954" t="s">
        <v>4718</v>
      </c>
    </row>
    <row r="955" spans="1:5" x14ac:dyDescent="0.3">
      <c r="A955">
        <v>954</v>
      </c>
      <c r="B955" t="s">
        <v>4724</v>
      </c>
      <c r="C955" t="s">
        <v>4835</v>
      </c>
      <c r="D955">
        <v>954</v>
      </c>
      <c r="E955" t="s">
        <v>4722</v>
      </c>
    </row>
    <row r="956" spans="1:5" x14ac:dyDescent="0.3">
      <c r="A956">
        <v>955</v>
      </c>
      <c r="B956" t="s">
        <v>4728</v>
      </c>
      <c r="C956" t="s">
        <v>4835</v>
      </c>
      <c r="D956">
        <v>955</v>
      </c>
      <c r="E956" t="s">
        <v>4726</v>
      </c>
    </row>
    <row r="957" spans="1:5" x14ac:dyDescent="0.3">
      <c r="A957">
        <v>956</v>
      </c>
      <c r="B957" t="s">
        <v>4732</v>
      </c>
      <c r="C957" t="s">
        <v>4835</v>
      </c>
      <c r="D957">
        <v>956</v>
      </c>
      <c r="E957" t="s">
        <v>4730</v>
      </c>
    </row>
  </sheetData>
  <phoneticPr fontId="3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51"/>
  <sheetViews>
    <sheetView workbookViewId="0">
      <pane ySplit="1" topLeftCell="A2" activePane="bottomLeft" state="frozen"/>
      <selection pane="bottomLeft"/>
    </sheetView>
  </sheetViews>
  <sheetFormatPr defaultRowHeight="14.4" x14ac:dyDescent="0.3"/>
  <cols>
    <col min="1" max="1" width="28" customWidth="1"/>
    <col min="2" max="2" width="8" customWidth="1"/>
    <col min="3" max="3" width="60" customWidth="1"/>
    <col min="4" max="5" width="34" customWidth="1"/>
    <col min="6" max="7" width="40" customWidth="1"/>
    <col min="8" max="8" width="70" customWidth="1"/>
  </cols>
  <sheetData>
    <row r="1" spans="1:8" x14ac:dyDescent="0.3">
      <c r="A1" s="81" t="s">
        <v>150</v>
      </c>
      <c r="B1" s="81" t="s">
        <v>4836</v>
      </c>
      <c r="C1" s="81" t="s">
        <v>114</v>
      </c>
      <c r="D1" s="81" t="s">
        <v>4837</v>
      </c>
      <c r="E1" s="81" t="s">
        <v>4838</v>
      </c>
      <c r="F1" s="81" t="s">
        <v>4839</v>
      </c>
      <c r="G1" s="81" t="s">
        <v>4840</v>
      </c>
      <c r="H1" s="81" t="s">
        <v>4841</v>
      </c>
    </row>
    <row r="2" spans="1:8" ht="86.4" x14ac:dyDescent="0.3">
      <c r="A2" s="82" t="s">
        <v>2068</v>
      </c>
      <c r="B2" s="82">
        <v>404</v>
      </c>
      <c r="C2" s="82" t="s">
        <v>2066</v>
      </c>
      <c r="D2" s="82" t="s">
        <v>4842</v>
      </c>
      <c r="E2" s="82"/>
      <c r="F2" s="82" t="s">
        <v>4843</v>
      </c>
      <c r="G2" s="82" t="s">
        <v>4844</v>
      </c>
      <c r="H2" s="82" t="s">
        <v>4845</v>
      </c>
    </row>
    <row r="3" spans="1:8" ht="57.6" x14ac:dyDescent="0.3">
      <c r="A3" s="82" t="s">
        <v>3199</v>
      </c>
      <c r="B3" s="82">
        <v>636</v>
      </c>
      <c r="C3" s="82" t="s">
        <v>3197</v>
      </c>
      <c r="D3" s="82" t="s">
        <v>4842</v>
      </c>
      <c r="E3" s="82"/>
      <c r="F3" s="82" t="s">
        <v>4843</v>
      </c>
      <c r="G3" s="82" t="s">
        <v>4844</v>
      </c>
      <c r="H3" s="82" t="s">
        <v>4846</v>
      </c>
    </row>
    <row r="4" spans="1:8" ht="72" x14ac:dyDescent="0.3">
      <c r="A4" s="82" t="s">
        <v>2382</v>
      </c>
      <c r="B4" s="82">
        <v>469</v>
      </c>
      <c r="C4" s="82" t="s">
        <v>2380</v>
      </c>
      <c r="D4" s="82" t="s">
        <v>4842</v>
      </c>
      <c r="E4" s="82"/>
      <c r="F4" s="82" t="s">
        <v>4843</v>
      </c>
      <c r="G4" s="82" t="s">
        <v>4844</v>
      </c>
      <c r="H4" s="82" t="s">
        <v>4847</v>
      </c>
    </row>
    <row r="5" spans="1:8" ht="72" x14ac:dyDescent="0.3">
      <c r="A5" s="82" t="s">
        <v>4848</v>
      </c>
      <c r="B5" s="82">
        <v>911</v>
      </c>
      <c r="C5" s="82" t="s">
        <v>4518</v>
      </c>
      <c r="D5" s="82" t="s">
        <v>4842</v>
      </c>
      <c r="E5" s="82"/>
      <c r="F5" s="82" t="s">
        <v>4843</v>
      </c>
      <c r="G5" s="82" t="s">
        <v>4844</v>
      </c>
      <c r="H5" s="82" t="s">
        <v>4849</v>
      </c>
    </row>
    <row r="6" spans="1:8" ht="100.8" x14ac:dyDescent="0.3">
      <c r="A6" s="82" t="s">
        <v>4850</v>
      </c>
      <c r="B6" s="82"/>
      <c r="C6" s="82" t="s">
        <v>4851</v>
      </c>
      <c r="D6" s="82" t="s">
        <v>4852</v>
      </c>
      <c r="E6" s="82"/>
      <c r="F6" s="82" t="s">
        <v>4843</v>
      </c>
      <c r="G6" s="82"/>
      <c r="H6" s="82" t="s">
        <v>4853</v>
      </c>
    </row>
    <row r="7" spans="1:8" ht="144" x14ac:dyDescent="0.3">
      <c r="A7" s="82" t="s">
        <v>3937</v>
      </c>
      <c r="B7" s="82">
        <v>794</v>
      </c>
      <c r="C7" s="82" t="s">
        <v>3931</v>
      </c>
      <c r="D7" s="82" t="s">
        <v>4854</v>
      </c>
      <c r="E7" s="82" t="s">
        <v>136</v>
      </c>
      <c r="F7" s="82" t="s">
        <v>68</v>
      </c>
      <c r="G7" s="82" t="s">
        <v>78</v>
      </c>
      <c r="H7" s="82" t="s">
        <v>4855</v>
      </c>
    </row>
    <row r="8" spans="1:8" ht="57.6" x14ac:dyDescent="0.3">
      <c r="A8" s="82" t="s">
        <v>2859</v>
      </c>
      <c r="B8" s="82">
        <v>568</v>
      </c>
      <c r="C8" s="82" t="s">
        <v>2857</v>
      </c>
      <c r="D8" s="82" t="s">
        <v>4842</v>
      </c>
      <c r="E8" s="82"/>
      <c r="F8" s="82" t="s">
        <v>4843</v>
      </c>
      <c r="G8" s="82" t="s">
        <v>4844</v>
      </c>
      <c r="H8" s="82" t="s">
        <v>4856</v>
      </c>
    </row>
    <row r="9" spans="1:8" ht="72" x14ac:dyDescent="0.3">
      <c r="A9" s="82" t="s">
        <v>2990</v>
      </c>
      <c r="B9" s="82">
        <v>594</v>
      </c>
      <c r="C9" s="82" t="s">
        <v>2988</v>
      </c>
      <c r="D9" s="82" t="s">
        <v>4842</v>
      </c>
      <c r="E9" s="82"/>
      <c r="F9" s="82" t="s">
        <v>4843</v>
      </c>
      <c r="G9" s="82" t="s">
        <v>4844</v>
      </c>
      <c r="H9" s="82" t="s">
        <v>4857</v>
      </c>
    </row>
    <row r="10" spans="1:8" ht="57.6" x14ac:dyDescent="0.3">
      <c r="A10" s="82" t="s">
        <v>4858</v>
      </c>
      <c r="B10" s="82"/>
      <c r="C10" s="82" t="s">
        <v>4859</v>
      </c>
      <c r="D10" s="82" t="s">
        <v>4852</v>
      </c>
      <c r="E10" s="82"/>
      <c r="F10" s="82" t="s">
        <v>4843</v>
      </c>
      <c r="G10" s="82"/>
      <c r="H10" s="82" t="s">
        <v>4860</v>
      </c>
    </row>
    <row r="11" spans="1:8" ht="72" x14ac:dyDescent="0.3">
      <c r="A11" s="82" t="s">
        <v>4861</v>
      </c>
      <c r="B11" s="82">
        <v>408</v>
      </c>
      <c r="C11" s="82" t="s">
        <v>2086</v>
      </c>
      <c r="D11" s="82" t="s">
        <v>4842</v>
      </c>
      <c r="E11" s="82"/>
      <c r="F11" s="82" t="s">
        <v>4843</v>
      </c>
      <c r="G11" s="82" t="s">
        <v>4844</v>
      </c>
      <c r="H11" s="82" t="s">
        <v>4862</v>
      </c>
    </row>
    <row r="12" spans="1:8" ht="57.6" x14ac:dyDescent="0.3">
      <c r="A12" s="82" t="s">
        <v>4464</v>
      </c>
      <c r="B12" s="82">
        <v>899</v>
      </c>
      <c r="C12" s="82" t="s">
        <v>4462</v>
      </c>
      <c r="D12" s="82" t="s">
        <v>4842</v>
      </c>
      <c r="E12" s="82"/>
      <c r="F12" s="82" t="s">
        <v>4843</v>
      </c>
      <c r="G12" s="82" t="s">
        <v>4844</v>
      </c>
      <c r="H12" s="82" t="s">
        <v>4863</v>
      </c>
    </row>
    <row r="13" spans="1:8" ht="216" x14ac:dyDescent="0.3">
      <c r="A13" s="82" t="s">
        <v>4676</v>
      </c>
      <c r="B13" s="82">
        <v>942</v>
      </c>
      <c r="C13" s="82" t="s">
        <v>4670</v>
      </c>
      <c r="D13" s="82" t="s">
        <v>4854</v>
      </c>
      <c r="E13" s="82" t="s">
        <v>136</v>
      </c>
      <c r="F13" s="82" t="s">
        <v>57</v>
      </c>
      <c r="G13" s="82" t="s">
        <v>78</v>
      </c>
      <c r="H13" s="82" t="s">
        <v>4864</v>
      </c>
    </row>
    <row r="14" spans="1:8" ht="57.6" x14ac:dyDescent="0.3">
      <c r="A14" s="82" t="s">
        <v>3546</v>
      </c>
      <c r="B14" s="82">
        <v>713</v>
      </c>
      <c r="C14" s="82" t="s">
        <v>3544</v>
      </c>
      <c r="D14" s="82" t="s">
        <v>4842</v>
      </c>
      <c r="E14" s="82"/>
      <c r="F14" s="82" t="s">
        <v>4843</v>
      </c>
      <c r="G14" s="82" t="s">
        <v>4844</v>
      </c>
      <c r="H14" s="82" t="s">
        <v>4865</v>
      </c>
    </row>
    <row r="15" spans="1:8" ht="72" x14ac:dyDescent="0.3">
      <c r="A15" s="82" t="s">
        <v>2635</v>
      </c>
      <c r="B15" s="82">
        <v>524</v>
      </c>
      <c r="C15" s="82" t="s">
        <v>2633</v>
      </c>
      <c r="D15" s="82" t="s">
        <v>4842</v>
      </c>
      <c r="E15" s="82"/>
      <c r="F15" s="82" t="s">
        <v>4843</v>
      </c>
      <c r="G15" s="82" t="s">
        <v>4844</v>
      </c>
      <c r="H15" s="82" t="s">
        <v>4866</v>
      </c>
    </row>
    <row r="16" spans="1:8" ht="57.6" x14ac:dyDescent="0.3">
      <c r="A16" s="82" t="s">
        <v>4867</v>
      </c>
      <c r="B16" s="82">
        <v>552</v>
      </c>
      <c r="C16" s="82" t="s">
        <v>2781</v>
      </c>
      <c r="D16" s="82" t="s">
        <v>4842</v>
      </c>
      <c r="E16" s="82"/>
      <c r="F16" s="82" t="s">
        <v>4843</v>
      </c>
      <c r="G16" s="82" t="s">
        <v>4844</v>
      </c>
      <c r="H16" s="82" t="s">
        <v>4868</v>
      </c>
    </row>
    <row r="17" spans="1:8" ht="43.2" x14ac:dyDescent="0.3">
      <c r="A17" s="82" t="s">
        <v>4869</v>
      </c>
      <c r="B17" s="82">
        <v>664</v>
      </c>
      <c r="C17" s="82" t="s">
        <v>3319</v>
      </c>
      <c r="D17" s="82" t="s">
        <v>4842</v>
      </c>
      <c r="E17" s="82"/>
      <c r="F17" s="82" t="s">
        <v>4843</v>
      </c>
      <c r="G17" s="82" t="s">
        <v>4844</v>
      </c>
      <c r="H17" s="82" t="s">
        <v>4870</v>
      </c>
    </row>
    <row r="18" spans="1:8" ht="230.4" x14ac:dyDescent="0.3">
      <c r="A18" s="82" t="s">
        <v>1446</v>
      </c>
      <c r="B18" s="82">
        <v>275</v>
      </c>
      <c r="C18" s="82" t="s">
        <v>1440</v>
      </c>
      <c r="D18" s="82" t="s">
        <v>4854</v>
      </c>
      <c r="E18" s="82" t="s">
        <v>136</v>
      </c>
      <c r="F18" s="82" t="s">
        <v>57</v>
      </c>
      <c r="G18" s="82" t="s">
        <v>78</v>
      </c>
      <c r="H18" s="82" t="s">
        <v>4871</v>
      </c>
    </row>
    <row r="19" spans="1:8" ht="230.4" x14ac:dyDescent="0.3">
      <c r="A19" s="82" t="s">
        <v>1446</v>
      </c>
      <c r="B19" s="82">
        <v>275</v>
      </c>
      <c r="C19" s="82" t="s">
        <v>1440</v>
      </c>
      <c r="D19" s="82" t="s">
        <v>4854</v>
      </c>
      <c r="E19" s="82" t="s">
        <v>139</v>
      </c>
      <c r="F19" s="82" t="s">
        <v>95</v>
      </c>
      <c r="G19" s="82" t="s">
        <v>89</v>
      </c>
      <c r="H19" s="82" t="s">
        <v>4871</v>
      </c>
    </row>
    <row r="20" spans="1:8" ht="72" x14ac:dyDescent="0.3">
      <c r="A20" s="82" t="s">
        <v>3412</v>
      </c>
      <c r="B20" s="82">
        <v>682</v>
      </c>
      <c r="C20" s="82" t="s">
        <v>3410</v>
      </c>
      <c r="D20" s="82" t="s">
        <v>4842</v>
      </c>
      <c r="E20" s="82"/>
      <c r="F20" s="82" t="s">
        <v>4843</v>
      </c>
      <c r="G20" s="82" t="s">
        <v>4844</v>
      </c>
      <c r="H20" s="82" t="s">
        <v>4872</v>
      </c>
    </row>
    <row r="21" spans="1:8" ht="57.6" x14ac:dyDescent="0.3">
      <c r="A21" s="82" t="s">
        <v>2216</v>
      </c>
      <c r="B21" s="82">
        <v>434</v>
      </c>
      <c r="C21" s="82" t="s">
        <v>2214</v>
      </c>
      <c r="D21" s="82" t="s">
        <v>4842</v>
      </c>
      <c r="E21" s="82"/>
      <c r="F21" s="82" t="s">
        <v>4843</v>
      </c>
      <c r="G21" s="82" t="s">
        <v>4844</v>
      </c>
      <c r="H21" s="82" t="s">
        <v>4873</v>
      </c>
    </row>
    <row r="22" spans="1:8" ht="72" x14ac:dyDescent="0.3">
      <c r="A22" s="82" t="s">
        <v>2759</v>
      </c>
      <c r="B22" s="82">
        <v>548</v>
      </c>
      <c r="C22" s="82" t="s">
        <v>2753</v>
      </c>
      <c r="D22" s="82" t="s">
        <v>4854</v>
      </c>
      <c r="E22" s="82" t="s">
        <v>139</v>
      </c>
      <c r="F22" s="82" t="s">
        <v>80</v>
      </c>
      <c r="G22" s="82" t="s">
        <v>71</v>
      </c>
      <c r="H22" s="82" t="s">
        <v>4874</v>
      </c>
    </row>
    <row r="23" spans="1:8" ht="86.4" x14ac:dyDescent="0.3">
      <c r="A23" s="82" t="s">
        <v>4448</v>
      </c>
      <c r="B23" s="82">
        <v>895</v>
      </c>
      <c r="C23" s="82" t="s">
        <v>4442</v>
      </c>
      <c r="D23" s="82" t="s">
        <v>4854</v>
      </c>
      <c r="E23" s="82" t="s">
        <v>139</v>
      </c>
      <c r="F23" s="82" t="s">
        <v>80</v>
      </c>
      <c r="G23" s="82" t="s">
        <v>71</v>
      </c>
      <c r="H23" s="82" t="s">
        <v>4875</v>
      </c>
    </row>
    <row r="24" spans="1:8" ht="57.6" x14ac:dyDescent="0.3">
      <c r="A24" s="82" t="s">
        <v>4876</v>
      </c>
      <c r="B24" s="82"/>
      <c r="C24" s="82" t="s">
        <v>4877</v>
      </c>
      <c r="D24" s="82" t="s">
        <v>4852</v>
      </c>
      <c r="E24" s="82"/>
      <c r="F24" s="82" t="s">
        <v>4843</v>
      </c>
      <c r="G24" s="82"/>
      <c r="H24" s="82" t="s">
        <v>4878</v>
      </c>
    </row>
    <row r="25" spans="1:8" ht="57.6" x14ac:dyDescent="0.3">
      <c r="A25" s="82" t="s">
        <v>4879</v>
      </c>
      <c r="B25" s="82"/>
      <c r="C25" s="82" t="s">
        <v>4880</v>
      </c>
      <c r="D25" s="82" t="s">
        <v>4852</v>
      </c>
      <c r="E25" s="82"/>
      <c r="F25" s="82" t="s">
        <v>4843</v>
      </c>
      <c r="G25" s="82"/>
      <c r="H25" s="82" t="s">
        <v>4881</v>
      </c>
    </row>
    <row r="26" spans="1:8" ht="57.6" x14ac:dyDescent="0.3">
      <c r="A26" s="82" t="s">
        <v>3248</v>
      </c>
      <c r="B26" s="82">
        <v>647</v>
      </c>
      <c r="C26" s="82" t="s">
        <v>3246</v>
      </c>
      <c r="D26" s="82" t="s">
        <v>4842</v>
      </c>
      <c r="E26" s="82"/>
      <c r="F26" s="82" t="s">
        <v>4843</v>
      </c>
      <c r="G26" s="82" t="s">
        <v>4844</v>
      </c>
      <c r="H26" s="82" t="s">
        <v>4882</v>
      </c>
    </row>
    <row r="27" spans="1:8" ht="72" x14ac:dyDescent="0.3">
      <c r="A27" s="82" t="s">
        <v>4883</v>
      </c>
      <c r="B27" s="82">
        <v>891</v>
      </c>
      <c r="C27" s="82" t="s">
        <v>4422</v>
      </c>
      <c r="D27" s="82" t="s">
        <v>4842</v>
      </c>
      <c r="E27" s="82"/>
      <c r="F27" s="82" t="s">
        <v>4843</v>
      </c>
      <c r="G27" s="82" t="s">
        <v>4844</v>
      </c>
      <c r="H27" s="82" t="s">
        <v>4884</v>
      </c>
    </row>
    <row r="28" spans="1:8" ht="72" x14ac:dyDescent="0.3">
      <c r="A28" s="82" t="s">
        <v>2771</v>
      </c>
      <c r="B28" s="82">
        <v>550</v>
      </c>
      <c r="C28" s="82" t="s">
        <v>2765</v>
      </c>
      <c r="D28" s="82" t="s">
        <v>4854</v>
      </c>
      <c r="E28" s="82" t="s">
        <v>139</v>
      </c>
      <c r="F28" s="82" t="s">
        <v>80</v>
      </c>
      <c r="G28" s="82" t="s">
        <v>89</v>
      </c>
      <c r="H28" s="82" t="s">
        <v>4885</v>
      </c>
    </row>
    <row r="29" spans="1:8" ht="86.4" x14ac:dyDescent="0.3">
      <c r="A29" s="82" t="s">
        <v>2053</v>
      </c>
      <c r="B29" s="82">
        <v>400</v>
      </c>
      <c r="C29" s="82" t="s">
        <v>2047</v>
      </c>
      <c r="D29" s="82" t="s">
        <v>4854</v>
      </c>
      <c r="E29" s="82" t="s">
        <v>138</v>
      </c>
      <c r="F29" s="82" t="s">
        <v>59</v>
      </c>
      <c r="G29" s="82" t="s">
        <v>70</v>
      </c>
      <c r="H29" s="82" t="s">
        <v>4886</v>
      </c>
    </row>
    <row r="30" spans="1:8" ht="57.6" x14ac:dyDescent="0.3">
      <c r="A30" s="82" t="s">
        <v>4887</v>
      </c>
      <c r="B30" s="82"/>
      <c r="C30" s="82" t="s">
        <v>4888</v>
      </c>
      <c r="D30" s="82" t="s">
        <v>4852</v>
      </c>
      <c r="E30" s="82"/>
      <c r="F30" s="82" t="s">
        <v>4843</v>
      </c>
      <c r="G30" s="82"/>
      <c r="H30" s="82" t="s">
        <v>4889</v>
      </c>
    </row>
    <row r="31" spans="1:8" ht="57.6" x14ac:dyDescent="0.3">
      <c r="A31" s="82" t="s">
        <v>3207</v>
      </c>
      <c r="B31" s="82">
        <v>638</v>
      </c>
      <c r="C31" s="82" t="s">
        <v>3205</v>
      </c>
      <c r="D31" s="82" t="s">
        <v>4842</v>
      </c>
      <c r="E31" s="82"/>
      <c r="F31" s="82" t="s">
        <v>4843</v>
      </c>
      <c r="G31" s="82" t="s">
        <v>4844</v>
      </c>
      <c r="H31" s="82" t="s">
        <v>4890</v>
      </c>
    </row>
    <row r="32" spans="1:8" ht="158.4" x14ac:dyDescent="0.3">
      <c r="A32" s="82" t="s">
        <v>4668</v>
      </c>
      <c r="B32" s="82">
        <v>941</v>
      </c>
      <c r="C32" s="82" t="s">
        <v>4666</v>
      </c>
      <c r="D32" s="82" t="s">
        <v>4842</v>
      </c>
      <c r="E32" s="82"/>
      <c r="F32" s="82" t="s">
        <v>4843</v>
      </c>
      <c r="G32" s="82" t="s">
        <v>4844</v>
      </c>
      <c r="H32" s="82" t="s">
        <v>4891</v>
      </c>
    </row>
    <row r="33" spans="1:8" ht="86.4" x14ac:dyDescent="0.3">
      <c r="A33" s="82" t="s">
        <v>4892</v>
      </c>
      <c r="B33" s="82"/>
      <c r="C33" s="82" t="s">
        <v>4893</v>
      </c>
      <c r="D33" s="82" t="s">
        <v>4852</v>
      </c>
      <c r="E33" s="82"/>
      <c r="F33" s="82" t="s">
        <v>4843</v>
      </c>
      <c r="G33" s="82"/>
      <c r="H33" s="82" t="s">
        <v>4894</v>
      </c>
    </row>
    <row r="34" spans="1:8" ht="72" x14ac:dyDescent="0.3">
      <c r="A34" s="82" t="s">
        <v>4895</v>
      </c>
      <c r="B34" s="82"/>
      <c r="C34" s="82" t="s">
        <v>4896</v>
      </c>
      <c r="D34" s="82" t="s">
        <v>4852</v>
      </c>
      <c r="E34" s="82"/>
      <c r="F34" s="82" t="s">
        <v>4843</v>
      </c>
      <c r="G34" s="82"/>
      <c r="H34" s="82" t="s">
        <v>4897</v>
      </c>
    </row>
    <row r="35" spans="1:8" ht="57.6" x14ac:dyDescent="0.3">
      <c r="A35" s="82" t="s">
        <v>4898</v>
      </c>
      <c r="B35" s="82">
        <v>452</v>
      </c>
      <c r="C35" s="82" t="s">
        <v>2294</v>
      </c>
      <c r="D35" s="82" t="s">
        <v>4842</v>
      </c>
      <c r="E35" s="82"/>
      <c r="F35" s="82" t="s">
        <v>4843</v>
      </c>
      <c r="G35" s="82" t="s">
        <v>4844</v>
      </c>
      <c r="H35" s="82" t="s">
        <v>4899</v>
      </c>
    </row>
    <row r="36" spans="1:8" ht="43.2" x14ac:dyDescent="0.3">
      <c r="A36" s="82" t="s">
        <v>4900</v>
      </c>
      <c r="B36" s="82"/>
      <c r="C36" s="82" t="s">
        <v>4901</v>
      </c>
      <c r="D36" s="82" t="s">
        <v>4852</v>
      </c>
      <c r="E36" s="82"/>
      <c r="F36" s="82" t="s">
        <v>4843</v>
      </c>
      <c r="G36" s="82"/>
      <c r="H36" s="82" t="s">
        <v>4902</v>
      </c>
    </row>
    <row r="37" spans="1:8" ht="43.2" x14ac:dyDescent="0.3">
      <c r="A37" s="82" t="s">
        <v>4903</v>
      </c>
      <c r="B37" s="82">
        <v>660</v>
      </c>
      <c r="C37" s="82" t="s">
        <v>3303</v>
      </c>
      <c r="D37" s="82" t="s">
        <v>4842</v>
      </c>
      <c r="E37" s="82"/>
      <c r="F37" s="82" t="s">
        <v>4843</v>
      </c>
      <c r="G37" s="82" t="s">
        <v>4844</v>
      </c>
      <c r="H37" s="82" t="s">
        <v>4904</v>
      </c>
    </row>
    <row r="38" spans="1:8" ht="43.2" x14ac:dyDescent="0.3">
      <c r="A38" s="82" t="s">
        <v>2715</v>
      </c>
      <c r="B38" s="82">
        <v>538</v>
      </c>
      <c r="C38" s="82" t="s">
        <v>2709</v>
      </c>
      <c r="D38" s="82" t="s">
        <v>4854</v>
      </c>
      <c r="E38" s="82" t="s">
        <v>138</v>
      </c>
      <c r="F38" s="82" t="s">
        <v>59</v>
      </c>
      <c r="G38" s="82" t="s">
        <v>70</v>
      </c>
      <c r="H38" s="82" t="s">
        <v>4905</v>
      </c>
    </row>
    <row r="39" spans="1:8" ht="187.2" x14ac:dyDescent="0.3">
      <c r="A39" s="82" t="s">
        <v>4906</v>
      </c>
      <c r="B39" s="82"/>
      <c r="C39" s="82" t="s">
        <v>4907</v>
      </c>
      <c r="D39" s="82" t="s">
        <v>4852</v>
      </c>
      <c r="E39" s="82"/>
      <c r="F39" s="82" t="s">
        <v>4843</v>
      </c>
      <c r="G39" s="82"/>
      <c r="H39" s="82" t="s">
        <v>4908</v>
      </c>
    </row>
    <row r="40" spans="1:8" ht="57.6" x14ac:dyDescent="0.3">
      <c r="A40" s="82" t="s">
        <v>4329</v>
      </c>
      <c r="B40" s="82">
        <v>871</v>
      </c>
      <c r="C40" s="82" t="s">
        <v>4327</v>
      </c>
      <c r="D40" s="82" t="s">
        <v>4842</v>
      </c>
      <c r="E40" s="82"/>
      <c r="F40" s="82" t="s">
        <v>4843</v>
      </c>
      <c r="G40" s="82" t="s">
        <v>4844</v>
      </c>
      <c r="H40" s="82" t="s">
        <v>4909</v>
      </c>
    </row>
    <row r="41" spans="1:8" ht="57.6" x14ac:dyDescent="0.3">
      <c r="A41" s="82" t="s">
        <v>1597</v>
      </c>
      <c r="B41" s="82">
        <v>307</v>
      </c>
      <c r="C41" s="82" t="s">
        <v>1595</v>
      </c>
      <c r="D41" s="82" t="s">
        <v>4842</v>
      </c>
      <c r="E41" s="82"/>
      <c r="F41" s="82" t="s">
        <v>4843</v>
      </c>
      <c r="G41" s="82" t="s">
        <v>4844</v>
      </c>
      <c r="H41" s="82" t="s">
        <v>4910</v>
      </c>
    </row>
    <row r="42" spans="1:8" ht="201.6" x14ac:dyDescent="0.3">
      <c r="A42" s="82" t="s">
        <v>2144</v>
      </c>
      <c r="B42" s="82">
        <v>417</v>
      </c>
      <c r="C42" s="82" t="s">
        <v>2138</v>
      </c>
      <c r="D42" s="82" t="s">
        <v>4854</v>
      </c>
      <c r="E42" s="82" t="s">
        <v>136</v>
      </c>
      <c r="F42" s="82" t="s">
        <v>57</v>
      </c>
      <c r="G42" s="82" t="s">
        <v>78</v>
      </c>
      <c r="H42" s="82" t="s">
        <v>4911</v>
      </c>
    </row>
    <row r="43" spans="1:8" ht="43.2" x14ac:dyDescent="0.3">
      <c r="A43" s="82" t="s">
        <v>4912</v>
      </c>
      <c r="B43" s="82">
        <v>728</v>
      </c>
      <c r="C43" s="82" t="s">
        <v>3616</v>
      </c>
      <c r="D43" s="82" t="s">
        <v>4842</v>
      </c>
      <c r="E43" s="82"/>
      <c r="F43" s="82" t="s">
        <v>4843</v>
      </c>
      <c r="G43" s="82" t="s">
        <v>4844</v>
      </c>
      <c r="H43" s="82" t="s">
        <v>4913</v>
      </c>
    </row>
    <row r="44" spans="1:8" ht="86.4" x14ac:dyDescent="0.3">
      <c r="A44" s="82" t="s">
        <v>4914</v>
      </c>
      <c r="B44" s="82">
        <v>468</v>
      </c>
      <c r="C44" s="82" t="s">
        <v>2372</v>
      </c>
      <c r="D44" s="82" t="s">
        <v>4854</v>
      </c>
      <c r="E44" s="82" t="s">
        <v>137</v>
      </c>
      <c r="F44" s="82" t="s">
        <v>58</v>
      </c>
      <c r="G44" s="82" t="s">
        <v>88</v>
      </c>
      <c r="H44" s="82" t="s">
        <v>4915</v>
      </c>
    </row>
    <row r="45" spans="1:8" ht="144" x14ac:dyDescent="0.3">
      <c r="A45" s="82" t="s">
        <v>628</v>
      </c>
      <c r="B45" s="82">
        <v>101</v>
      </c>
      <c r="C45" s="82" t="s">
        <v>622</v>
      </c>
      <c r="D45" s="82" t="s">
        <v>4854</v>
      </c>
      <c r="E45" s="82" t="s">
        <v>136</v>
      </c>
      <c r="F45" s="82" t="s">
        <v>57</v>
      </c>
      <c r="G45" s="82" t="s">
        <v>78</v>
      </c>
      <c r="H45" s="82" t="s">
        <v>4916</v>
      </c>
    </row>
    <row r="46" spans="1:8" ht="230.4" x14ac:dyDescent="0.3">
      <c r="A46" s="82" t="s">
        <v>4031</v>
      </c>
      <c r="B46" s="82">
        <v>812</v>
      </c>
      <c r="C46" s="82" t="s">
        <v>4025</v>
      </c>
      <c r="D46" s="82" t="s">
        <v>4854</v>
      </c>
      <c r="E46" s="82" t="s">
        <v>145</v>
      </c>
      <c r="F46" s="82" t="s">
        <v>82</v>
      </c>
      <c r="G46" s="82" t="s">
        <v>91</v>
      </c>
      <c r="H46" s="82" t="s">
        <v>4917</v>
      </c>
    </row>
    <row r="47" spans="1:8" ht="100.8" x14ac:dyDescent="0.3">
      <c r="A47" s="82" t="s">
        <v>3333</v>
      </c>
      <c r="B47" s="82">
        <v>666</v>
      </c>
      <c r="C47" s="82" t="s">
        <v>3327</v>
      </c>
      <c r="D47" s="82" t="s">
        <v>4854</v>
      </c>
      <c r="E47" s="82" t="s">
        <v>139</v>
      </c>
      <c r="F47" s="82" t="s">
        <v>80</v>
      </c>
      <c r="G47" s="82" t="s">
        <v>89</v>
      </c>
      <c r="H47" s="82" t="s">
        <v>4918</v>
      </c>
    </row>
    <row r="48" spans="1:8" ht="57.6" x14ac:dyDescent="0.3">
      <c r="A48" s="82" t="s">
        <v>4919</v>
      </c>
      <c r="B48" s="82"/>
      <c r="C48" s="82" t="s">
        <v>4920</v>
      </c>
      <c r="D48" s="82" t="s">
        <v>4852</v>
      </c>
      <c r="E48" s="82"/>
      <c r="F48" s="82" t="s">
        <v>4843</v>
      </c>
      <c r="G48" s="82"/>
      <c r="H48" s="82" t="s">
        <v>4921</v>
      </c>
    </row>
    <row r="49" spans="1:8" ht="57.6" x14ac:dyDescent="0.3">
      <c r="A49" s="82" t="s">
        <v>194</v>
      </c>
      <c r="B49" s="82">
        <v>10</v>
      </c>
      <c r="C49" s="82" t="s">
        <v>192</v>
      </c>
      <c r="D49" s="82" t="s">
        <v>4842</v>
      </c>
      <c r="E49" s="82"/>
      <c r="F49" s="82" t="s">
        <v>4843</v>
      </c>
      <c r="G49" s="82" t="s">
        <v>4844</v>
      </c>
      <c r="H49" s="82" t="s">
        <v>4922</v>
      </c>
    </row>
    <row r="50" spans="1:8" ht="72" x14ac:dyDescent="0.3">
      <c r="A50" s="82" t="s">
        <v>3590</v>
      </c>
      <c r="B50" s="82">
        <v>722</v>
      </c>
      <c r="C50" s="82" t="s">
        <v>3584</v>
      </c>
      <c r="D50" s="82" t="s">
        <v>4854</v>
      </c>
      <c r="E50" s="82" t="s">
        <v>139</v>
      </c>
      <c r="F50" s="82" t="s">
        <v>80</v>
      </c>
      <c r="G50" s="82" t="s">
        <v>71</v>
      </c>
      <c r="H50" s="82" t="s">
        <v>4923</v>
      </c>
    </row>
    <row r="51" spans="1:8" ht="57.6" x14ac:dyDescent="0.3">
      <c r="A51" s="82" t="s">
        <v>4924</v>
      </c>
      <c r="B51" s="82"/>
      <c r="C51" s="82" t="s">
        <v>4925</v>
      </c>
      <c r="D51" s="82" t="s">
        <v>4852</v>
      </c>
      <c r="E51" s="82"/>
      <c r="F51" s="82" t="s">
        <v>4843</v>
      </c>
      <c r="G51" s="82"/>
      <c r="H51" s="82" t="s">
        <v>4926</v>
      </c>
    </row>
  </sheetData>
  <autoFilter ref="A1:H51" xr:uid="{00000000-0009-0000-0000-000007000000}"/>
  <phoneticPr fontId="31" type="noConversion"/>
  <pageMargins left="0.75" right="0.75" top="1" bottom="1" header="0.5" footer="0.5"/>
</worksheet>
</file>

<file path=docMetadata/LabelInfo.xml><?xml version="1.0" encoding="utf-8"?>
<clbl:labelList xmlns:clbl="http://schemas.microsoft.com/office/2020/mipLabelMetadata">
  <clbl:label id="{82fa3fd3-029b-403d-91b4-1dc930cb0e60}" enabled="1" method="Privileged" siteId="{4ae48b41-0137-4599-8661-fc641fe77bea}"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8</vt:i4>
      </vt:variant>
    </vt:vector>
  </HeadingPairs>
  <TitlesOfParts>
    <vt:vector size="8" baseType="lpstr">
      <vt:lpstr>0_Guide</vt:lpstr>
      <vt:lpstr>1_CodeLists</vt:lpstr>
      <vt:lpstr>Matrix</vt:lpstr>
      <vt:lpstr>Step1_Report</vt:lpstr>
      <vt:lpstr>PRISMA_Shapes</vt:lpstr>
      <vt:lpstr>Step3_Report</vt:lpstr>
      <vt:lpstr>2_DOI_Lookup</vt:lpstr>
      <vt:lpstr>3_Change_Log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Tim Hu</dc:creator>
  <cp:keywords/>
  <dc:description/>
  <cp:lastModifiedBy>Tim Hu</cp:lastModifiedBy>
  <cp:revision>0</cp:revision>
  <dcterms:created xsi:type="dcterms:W3CDTF">2026-09-30T15:41:29Z</dcterms:created>
  <dcterms:modified xsi:type="dcterms:W3CDTF">2026-10-04T15:12:03Z</dcterms:modified>
  <cp:category/>
  <cp:contentStatus/>
</cp:coreProperties>
</file>
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phd\6.pjt\LR1\papers\04c_LR 3round\"/>
    </mc:Choice>
  </mc:AlternateContent>
  <xr:revisionPtr revIDLastSave="0" documentId="13_ncr:1_{7785D889-714F-4C3D-96C1-2280CB45B948}" xr6:coauthVersionLast="47" xr6:coauthVersionMax="47" xr10:uidLastSave="{00000000-0000-0000-0000-000000000000}"/>
  <bookViews>
    <workbookView xWindow="-108" yWindow="-108" windowWidth="30936" windowHeight="16776" tabRatio="752" activeTab="4" xr2:uid="{00000000-000D-0000-FFFF-FFFF00000000}"/>
  </bookViews>
  <sheets>
    <sheet name="0_Guide" sheetId="1" r:id="rId1"/>
    <sheet name="1_CodeLists" sheetId="2" r:id="rId2"/>
    <sheet name="Matrix" sheetId="3" r:id="rId3"/>
    <sheet name="Step1_Report" sheetId="4" r:id="rId4"/>
    <sheet name="PRISMA_Shapes" sheetId="8" r:id="rId5"/>
    <sheet name="Step3_Report" sheetId="5" r:id="rId6"/>
    <sheet name="2_DOI_Lookup" sheetId="9" r:id="rId7"/>
  </sheets>
  <definedNames>
    <definedName name="_xlnm._FilterDatabase" localSheetId="2" hidden="1">Matrix!$A$4:$AO$454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3" i="3" l="1"/>
  <c r="R2" i="3"/>
  <c r="Q2" i="3"/>
  <c r="P3" i="3"/>
  <c r="P2" i="3"/>
  <c r="O2" i="3"/>
  <c r="N2" i="3"/>
  <c r="K3" i="3"/>
  <c r="J3" i="3"/>
  <c r="I3" i="3"/>
  <c r="H3" i="3"/>
  <c r="G3" i="3"/>
  <c r="A3" i="3"/>
  <c r="R3" i="3"/>
  <c r="Q3" i="3"/>
  <c r="N3" i="3"/>
  <c r="O3"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AO454" i="3"/>
  <c r="AO453" i="3"/>
  <c r="AO452" i="3"/>
  <c r="AO451" i="3"/>
  <c r="AO450" i="3"/>
  <c r="AO449" i="3"/>
  <c r="AO448" i="3"/>
  <c r="AO447" i="3"/>
  <c r="AO446" i="3"/>
  <c r="AO445" i="3"/>
  <c r="AO444" i="3"/>
  <c r="AO443" i="3"/>
  <c r="AO442" i="3"/>
  <c r="AO441" i="3"/>
  <c r="AO440" i="3"/>
  <c r="AO439" i="3"/>
  <c r="AO438" i="3"/>
  <c r="AO437" i="3"/>
  <c r="AO436" i="3"/>
  <c r="AO435" i="3"/>
  <c r="AO434" i="3"/>
  <c r="AO433" i="3"/>
  <c r="AO432" i="3"/>
  <c r="AO431" i="3"/>
  <c r="AO430" i="3"/>
  <c r="AO429" i="3"/>
  <c r="AO428" i="3"/>
  <c r="AO427" i="3"/>
  <c r="AO426" i="3"/>
  <c r="AO425" i="3"/>
  <c r="AO424" i="3"/>
  <c r="AO423" i="3"/>
  <c r="AO422" i="3"/>
  <c r="AO421" i="3"/>
  <c r="AO420" i="3"/>
  <c r="AO419" i="3"/>
  <c r="AO418" i="3"/>
  <c r="AO417" i="3"/>
  <c r="AO416" i="3"/>
  <c r="AO415" i="3"/>
  <c r="AO414" i="3"/>
  <c r="AO413" i="3"/>
  <c r="AO412" i="3"/>
  <c r="AO411" i="3"/>
  <c r="AO410" i="3"/>
  <c r="AO409" i="3"/>
  <c r="AO408" i="3"/>
  <c r="AO407" i="3"/>
  <c r="AO406" i="3"/>
  <c r="AO405" i="3"/>
  <c r="AO404" i="3"/>
  <c r="AO403" i="3"/>
  <c r="AO402" i="3"/>
  <c r="AO401" i="3"/>
  <c r="AO400" i="3"/>
  <c r="AO399" i="3"/>
  <c r="AO398" i="3"/>
  <c r="AO397" i="3"/>
  <c r="AO396" i="3"/>
  <c r="AO395" i="3"/>
  <c r="AO394" i="3"/>
  <c r="AO393" i="3"/>
  <c r="AO392" i="3"/>
  <c r="AO391" i="3"/>
  <c r="AO390" i="3"/>
  <c r="AO389" i="3"/>
  <c r="AO388" i="3"/>
  <c r="AO387" i="3"/>
  <c r="AO386" i="3"/>
  <c r="AO385" i="3"/>
  <c r="AO384" i="3"/>
  <c r="AO383" i="3"/>
  <c r="AO382" i="3"/>
  <c r="AO381" i="3"/>
  <c r="AO380" i="3"/>
  <c r="AO379" i="3"/>
  <c r="AO378" i="3"/>
  <c r="AO377" i="3"/>
  <c r="AO376" i="3"/>
  <c r="AO375" i="3"/>
  <c r="AO374" i="3"/>
  <c r="AO373" i="3"/>
  <c r="AO372" i="3"/>
  <c r="AO371" i="3"/>
  <c r="AO370" i="3"/>
  <c r="AO369" i="3"/>
  <c r="AO368" i="3"/>
  <c r="AO367" i="3"/>
  <c r="AO366" i="3"/>
  <c r="AO365" i="3"/>
  <c r="AO364" i="3"/>
  <c r="AO363" i="3"/>
  <c r="AO362" i="3"/>
  <c r="AO361" i="3"/>
  <c r="AO360" i="3"/>
  <c r="AO359" i="3"/>
  <c r="AO358" i="3"/>
  <c r="AO357" i="3"/>
  <c r="AO356" i="3"/>
  <c r="AO355" i="3"/>
  <c r="AO354" i="3"/>
  <c r="AO353" i="3"/>
  <c r="AO352" i="3"/>
  <c r="AO351" i="3"/>
  <c r="AO350" i="3"/>
  <c r="AO349" i="3"/>
  <c r="AO348" i="3"/>
  <c r="AO347" i="3"/>
  <c r="AO346" i="3"/>
  <c r="AO345" i="3"/>
  <c r="AO344" i="3"/>
  <c r="AO343" i="3"/>
  <c r="AO342" i="3"/>
  <c r="AO341" i="3"/>
  <c r="AO340" i="3"/>
  <c r="AO339" i="3"/>
  <c r="AO338" i="3"/>
  <c r="AO337" i="3"/>
  <c r="AO336" i="3"/>
  <c r="AO335" i="3"/>
  <c r="AO334" i="3"/>
  <c r="AO333" i="3"/>
  <c r="AO332" i="3"/>
  <c r="AO331" i="3"/>
  <c r="AO330" i="3"/>
  <c r="AO329" i="3"/>
  <c r="AO328" i="3"/>
  <c r="AO327" i="3"/>
  <c r="AO326" i="3"/>
  <c r="AO325" i="3"/>
  <c r="AO324" i="3"/>
  <c r="AO323" i="3"/>
  <c r="AO322" i="3"/>
  <c r="AO321" i="3"/>
  <c r="AO320" i="3"/>
  <c r="AO319" i="3"/>
  <c r="AO318" i="3"/>
  <c r="AO317" i="3"/>
  <c r="AO316" i="3"/>
  <c r="AO315" i="3"/>
  <c r="AO314" i="3"/>
  <c r="AO313" i="3"/>
  <c r="AO312" i="3"/>
  <c r="AO311" i="3"/>
  <c r="AO310" i="3"/>
  <c r="AO309" i="3"/>
  <c r="AO308" i="3"/>
  <c r="AO307" i="3"/>
  <c r="AO306" i="3"/>
  <c r="AO305" i="3"/>
  <c r="AO304" i="3"/>
  <c r="AO303" i="3"/>
  <c r="AO302" i="3"/>
  <c r="AO301" i="3"/>
  <c r="AO300" i="3"/>
  <c r="AO299" i="3"/>
  <c r="AO298" i="3"/>
  <c r="AO297" i="3"/>
  <c r="AO296" i="3"/>
  <c r="AO295" i="3"/>
  <c r="AO294" i="3"/>
  <c r="AO293" i="3"/>
  <c r="AO292" i="3"/>
  <c r="AO291" i="3"/>
  <c r="AO290" i="3"/>
  <c r="AO289" i="3"/>
  <c r="AO288" i="3"/>
  <c r="AO287" i="3"/>
  <c r="AO286" i="3"/>
  <c r="AO285" i="3"/>
  <c r="AO284" i="3"/>
  <c r="AO283" i="3"/>
  <c r="AO282" i="3"/>
  <c r="AO281" i="3"/>
  <c r="AO280" i="3"/>
  <c r="AO279" i="3"/>
  <c r="AO278" i="3"/>
  <c r="AO277" i="3"/>
  <c r="AO276" i="3"/>
  <c r="AO275" i="3"/>
  <c r="AO274" i="3"/>
  <c r="AO273" i="3"/>
  <c r="AO272" i="3"/>
  <c r="AO271" i="3"/>
  <c r="AO270" i="3"/>
  <c r="AO269" i="3"/>
  <c r="AO268" i="3"/>
  <c r="AO267" i="3"/>
  <c r="AO266" i="3"/>
  <c r="AO265" i="3"/>
  <c r="AO264" i="3"/>
  <c r="AO263" i="3"/>
  <c r="AO262" i="3"/>
  <c r="AO261" i="3"/>
  <c r="AO260" i="3"/>
  <c r="AO259" i="3"/>
  <c r="AO258" i="3"/>
  <c r="AO257" i="3"/>
  <c r="AO256" i="3"/>
  <c r="AO255" i="3"/>
  <c r="AO254" i="3"/>
  <c r="AO253" i="3"/>
  <c r="AO252" i="3"/>
  <c r="AO251" i="3"/>
  <c r="AO250" i="3"/>
  <c r="AO249" i="3"/>
  <c r="AO248" i="3"/>
  <c r="AO247" i="3"/>
  <c r="AO246" i="3"/>
  <c r="AO245" i="3"/>
  <c r="AO244" i="3"/>
  <c r="AO243" i="3"/>
  <c r="AO242" i="3"/>
  <c r="AO241" i="3"/>
  <c r="AO240" i="3"/>
  <c r="AO239" i="3"/>
  <c r="AO238" i="3"/>
  <c r="AO237" i="3"/>
  <c r="AO236" i="3"/>
  <c r="AO235" i="3"/>
  <c r="AO234" i="3"/>
  <c r="AO233" i="3"/>
  <c r="AO232" i="3"/>
  <c r="AO231" i="3"/>
  <c r="AO230" i="3"/>
  <c r="AO229" i="3"/>
  <c r="AO228" i="3"/>
  <c r="AO227" i="3"/>
  <c r="AO226" i="3"/>
  <c r="AO225" i="3"/>
  <c r="AO224" i="3"/>
  <c r="AO223" i="3"/>
  <c r="AO222" i="3"/>
  <c r="AO221" i="3"/>
  <c r="AO220" i="3"/>
  <c r="AO219" i="3"/>
  <c r="AO218" i="3"/>
  <c r="AO217" i="3"/>
  <c r="AO216" i="3"/>
  <c r="AO215" i="3"/>
  <c r="AO214" i="3"/>
  <c r="AO213" i="3"/>
  <c r="AO212" i="3"/>
  <c r="AO211" i="3"/>
  <c r="AO210" i="3"/>
  <c r="AO209" i="3"/>
  <c r="AO208" i="3"/>
  <c r="AO207" i="3"/>
  <c r="AO206" i="3"/>
  <c r="AO205" i="3"/>
  <c r="AO204" i="3"/>
  <c r="AO203" i="3"/>
  <c r="AO202" i="3"/>
  <c r="AO201" i="3"/>
  <c r="AO200" i="3"/>
  <c r="AO199" i="3"/>
  <c r="AO198" i="3"/>
  <c r="AO197" i="3"/>
  <c r="AO196" i="3"/>
  <c r="AO195" i="3"/>
  <c r="AO194" i="3"/>
  <c r="AO193" i="3"/>
  <c r="AO192" i="3"/>
  <c r="AO191" i="3"/>
  <c r="AO190" i="3"/>
  <c r="AO189" i="3"/>
  <c r="AO188" i="3"/>
  <c r="AO187" i="3"/>
  <c r="AO186" i="3"/>
  <c r="AO185" i="3"/>
  <c r="AO184" i="3"/>
  <c r="AO183" i="3"/>
  <c r="AO182" i="3"/>
  <c r="AO181" i="3"/>
  <c r="AO180" i="3"/>
  <c r="AO179" i="3"/>
  <c r="AO178" i="3"/>
  <c r="AO177" i="3"/>
  <c r="AO176" i="3"/>
  <c r="AO175" i="3"/>
  <c r="AO174" i="3"/>
  <c r="AO173" i="3"/>
  <c r="AO172" i="3"/>
  <c r="AO171" i="3"/>
  <c r="AO170" i="3"/>
  <c r="AO169" i="3"/>
  <c r="AO168" i="3"/>
  <c r="AO167" i="3"/>
  <c r="AO166" i="3"/>
  <c r="AO165" i="3"/>
  <c r="AO164" i="3"/>
  <c r="AO163" i="3"/>
  <c r="AO162" i="3"/>
  <c r="AO161" i="3"/>
  <c r="AO160" i="3"/>
  <c r="AO159" i="3"/>
  <c r="AO158" i="3"/>
  <c r="AO157" i="3"/>
  <c r="AO156" i="3"/>
  <c r="AO155" i="3"/>
  <c r="AO154" i="3"/>
  <c r="AO153" i="3"/>
  <c r="AO152" i="3"/>
  <c r="AO151" i="3"/>
  <c r="AO150" i="3"/>
  <c r="AO149" i="3"/>
  <c r="AO148" i="3"/>
  <c r="AO147" i="3"/>
  <c r="AO146" i="3"/>
  <c r="AO145" i="3"/>
  <c r="AO144" i="3"/>
  <c r="AO143" i="3"/>
  <c r="AO142" i="3"/>
  <c r="AO141" i="3"/>
  <c r="AO140" i="3"/>
  <c r="AO139" i="3"/>
  <c r="AO138" i="3"/>
  <c r="AO137" i="3"/>
  <c r="AO136" i="3"/>
  <c r="AO135" i="3"/>
  <c r="AO134" i="3"/>
  <c r="AO133" i="3"/>
  <c r="AO132" i="3"/>
  <c r="AO131" i="3"/>
  <c r="AO130" i="3"/>
  <c r="AO129" i="3"/>
  <c r="AO128" i="3"/>
  <c r="AO127" i="3"/>
  <c r="AO126" i="3"/>
  <c r="AO125" i="3"/>
  <c r="AO124" i="3"/>
  <c r="AO123" i="3"/>
  <c r="AO122" i="3"/>
  <c r="AO121" i="3"/>
  <c r="AO120" i="3"/>
  <c r="AO119" i="3"/>
  <c r="AO118" i="3"/>
  <c r="AO117" i="3"/>
  <c r="AO116" i="3"/>
  <c r="AO115" i="3"/>
  <c r="AO114" i="3"/>
  <c r="AO113" i="3"/>
  <c r="AO112" i="3"/>
  <c r="AO111" i="3"/>
  <c r="AO110" i="3"/>
  <c r="AO109" i="3"/>
  <c r="AO108" i="3"/>
  <c r="AO107" i="3"/>
  <c r="AO106" i="3"/>
  <c r="AO105" i="3"/>
  <c r="AO104" i="3"/>
  <c r="AO103" i="3"/>
  <c r="AO102" i="3"/>
  <c r="AO101" i="3"/>
  <c r="AO100" i="3"/>
  <c r="AO99" i="3"/>
  <c r="AO98" i="3"/>
  <c r="AO97" i="3"/>
  <c r="AO96" i="3"/>
  <c r="AO95" i="3"/>
  <c r="AO94" i="3"/>
  <c r="AO93" i="3"/>
  <c r="AO92" i="3"/>
  <c r="AO91" i="3"/>
  <c r="AO90" i="3"/>
  <c r="AO89" i="3"/>
  <c r="AO88" i="3"/>
  <c r="AO87" i="3"/>
  <c r="AO86" i="3"/>
  <c r="AO85" i="3"/>
  <c r="AO84" i="3"/>
  <c r="AO83" i="3"/>
  <c r="AO82" i="3"/>
  <c r="AO81" i="3"/>
  <c r="AO80" i="3"/>
  <c r="AO79" i="3"/>
  <c r="AO78" i="3"/>
  <c r="AO77" i="3"/>
  <c r="AO76" i="3"/>
  <c r="AO75" i="3"/>
  <c r="AO74" i="3"/>
  <c r="AO73" i="3"/>
  <c r="AO72" i="3"/>
  <c r="AO71" i="3"/>
  <c r="AO70" i="3"/>
  <c r="AO69" i="3"/>
  <c r="AO68" i="3"/>
  <c r="AO67" i="3"/>
  <c r="AO66" i="3"/>
  <c r="AO65" i="3"/>
  <c r="AO64" i="3"/>
  <c r="AO63" i="3"/>
  <c r="AO62" i="3"/>
  <c r="AO61" i="3"/>
  <c r="AO60" i="3"/>
  <c r="AO59" i="3"/>
  <c r="AO58" i="3"/>
  <c r="AO57" i="3"/>
  <c r="AO56" i="3"/>
  <c r="AO55" i="3"/>
  <c r="AO54" i="3"/>
  <c r="AO53" i="3"/>
  <c r="AO52" i="3"/>
  <c r="AO51" i="3"/>
  <c r="AO50" i="3"/>
  <c r="AO49" i="3"/>
  <c r="AO48" i="3"/>
  <c r="AO47" i="3"/>
  <c r="AO46" i="3"/>
  <c r="AO45" i="3"/>
  <c r="AO44" i="3"/>
  <c r="AO43" i="3"/>
  <c r="AO42" i="3"/>
  <c r="AO41" i="3"/>
  <c r="AO40" i="3"/>
  <c r="AO39" i="3"/>
  <c r="AO38" i="3"/>
  <c r="AO37" i="3"/>
  <c r="AO36" i="3"/>
  <c r="AO35" i="3"/>
  <c r="AO34" i="3"/>
  <c r="AO33" i="3"/>
  <c r="AO32" i="3"/>
  <c r="AO31" i="3"/>
  <c r="AO30" i="3"/>
  <c r="AO29" i="3"/>
  <c r="AO28" i="3"/>
  <c r="AO27" i="3"/>
  <c r="AO26" i="3"/>
  <c r="AO25" i="3"/>
  <c r="AO24" i="3"/>
  <c r="AO23" i="3"/>
  <c r="AO22" i="3"/>
  <c r="AO21" i="3"/>
  <c r="AO20" i="3"/>
  <c r="AO19" i="3"/>
  <c r="AO18" i="3"/>
  <c r="AO17" i="3"/>
  <c r="AO16" i="3"/>
  <c r="AO15" i="3"/>
  <c r="AO14" i="3"/>
  <c r="AO13" i="3"/>
  <c r="AO12" i="3"/>
  <c r="AO11" i="3"/>
  <c r="AO10" i="3"/>
  <c r="AO9" i="3"/>
  <c r="AO8" i="3"/>
  <c r="AO7" i="3"/>
  <c r="AO6" i="3"/>
  <c r="AO5" i="3"/>
  <c r="A37" i="5"/>
  <c r="A38" i="5"/>
  <c r="A39" i="5"/>
  <c r="A40" i="5"/>
  <c r="A41" i="5"/>
  <c r="E98" i="5" l="1"/>
  <c r="D98" i="5"/>
  <c r="C98" i="5"/>
  <c r="B98" i="5"/>
  <c r="E90" i="5"/>
  <c r="E91" i="5"/>
  <c r="E92" i="5"/>
  <c r="A90" i="5"/>
  <c r="A99" i="5" s="1"/>
  <c r="A91" i="5"/>
  <c r="A100" i="5" s="1"/>
  <c r="A92" i="5"/>
  <c r="A101" i="5" s="1"/>
  <c r="A93" i="5"/>
  <c r="A102" i="5" s="1"/>
  <c r="A94" i="5"/>
  <c r="A103" i="5" s="1"/>
  <c r="A72" i="5"/>
  <c r="A71" i="5"/>
  <c r="A77" i="5" s="1"/>
  <c r="E70" i="5"/>
  <c r="D70" i="5"/>
  <c r="D76" i="5" s="1"/>
  <c r="C70" i="5"/>
  <c r="C76" i="5" s="1"/>
  <c r="B70" i="5"/>
  <c r="B76" i="5" s="1"/>
  <c r="B73" i="8"/>
  <c r="B95" i="8" s="1"/>
  <c r="B4" i="4"/>
  <c r="Y433" i="3"/>
  <c r="S433" i="3"/>
  <c r="T433" i="3" s="1"/>
  <c r="L433" i="3"/>
  <c r="M433" i="3" s="1"/>
  <c r="Y432" i="3"/>
  <c r="S432" i="3"/>
  <c r="T432" i="3" s="1"/>
  <c r="L432" i="3"/>
  <c r="M432" i="3" s="1"/>
  <c r="Y431" i="3"/>
  <c r="S431" i="3"/>
  <c r="T431" i="3" s="1"/>
  <c r="L431" i="3"/>
  <c r="M431" i="3" s="1"/>
  <c r="Y430" i="3"/>
  <c r="S430" i="3"/>
  <c r="T430" i="3" s="1"/>
  <c r="L430" i="3"/>
  <c r="M430" i="3" s="1"/>
  <c r="Y429" i="3"/>
  <c r="S429" i="3"/>
  <c r="T429" i="3" s="1"/>
  <c r="L429" i="3"/>
  <c r="M429" i="3" s="1"/>
  <c r="Y428" i="3"/>
  <c r="S428" i="3"/>
  <c r="T428" i="3" s="1"/>
  <c r="L428" i="3"/>
  <c r="M428" i="3" s="1"/>
  <c r="Y427" i="3"/>
  <c r="S427" i="3"/>
  <c r="T427" i="3" s="1"/>
  <c r="L427" i="3"/>
  <c r="M427" i="3" s="1"/>
  <c r="Y426" i="3"/>
  <c r="S426" i="3"/>
  <c r="T426" i="3" s="1"/>
  <c r="L426" i="3"/>
  <c r="M426" i="3" s="1"/>
  <c r="Y425" i="3"/>
  <c r="S425" i="3"/>
  <c r="T425" i="3" s="1"/>
  <c r="L425" i="3"/>
  <c r="M425" i="3" s="1"/>
  <c r="Y424" i="3"/>
  <c r="S424" i="3"/>
  <c r="T424" i="3" s="1"/>
  <c r="L424" i="3"/>
  <c r="M424" i="3" s="1"/>
  <c r="Y423" i="3"/>
  <c r="S423" i="3"/>
  <c r="T423" i="3" s="1"/>
  <c r="L423" i="3"/>
  <c r="M423" i="3" s="1"/>
  <c r="Y422" i="3"/>
  <c r="S422" i="3"/>
  <c r="T422" i="3" s="1"/>
  <c r="L422" i="3"/>
  <c r="M422" i="3" s="1"/>
  <c r="Y421" i="3"/>
  <c r="S421" i="3"/>
  <c r="T421" i="3" s="1"/>
  <c r="L421" i="3"/>
  <c r="M421" i="3" s="1"/>
  <c r="Y420" i="3"/>
  <c r="S420" i="3"/>
  <c r="T420" i="3" s="1"/>
  <c r="L420" i="3"/>
  <c r="M420" i="3" s="1"/>
  <c r="Y419" i="3"/>
  <c r="S419" i="3"/>
  <c r="T419" i="3" s="1"/>
  <c r="L419" i="3"/>
  <c r="M419" i="3" s="1"/>
  <c r="Y418" i="3"/>
  <c r="S418" i="3"/>
  <c r="T418" i="3" s="1"/>
  <c r="L418" i="3"/>
  <c r="M418" i="3" s="1"/>
  <c r="Y417" i="3"/>
  <c r="S417" i="3"/>
  <c r="T417" i="3" s="1"/>
  <c r="L417" i="3"/>
  <c r="M417" i="3" s="1"/>
  <c r="Y416" i="3"/>
  <c r="S416" i="3"/>
  <c r="T416" i="3" s="1"/>
  <c r="L416" i="3"/>
  <c r="M416" i="3" s="1"/>
  <c r="Y415" i="3"/>
  <c r="S415" i="3"/>
  <c r="T415" i="3" s="1"/>
  <c r="L415" i="3"/>
  <c r="M415" i="3" s="1"/>
  <c r="Y414" i="3"/>
  <c r="S414" i="3"/>
  <c r="T414" i="3" s="1"/>
  <c r="L414" i="3"/>
  <c r="M414" i="3" s="1"/>
  <c r="Y413" i="3"/>
  <c r="S413" i="3"/>
  <c r="T413" i="3" s="1"/>
  <c r="L413" i="3"/>
  <c r="M413" i="3" s="1"/>
  <c r="Y412" i="3"/>
  <c r="S412" i="3"/>
  <c r="T412" i="3" s="1"/>
  <c r="L412" i="3"/>
  <c r="M412" i="3" s="1"/>
  <c r="Y411" i="3"/>
  <c r="S411" i="3"/>
  <c r="T411" i="3" s="1"/>
  <c r="L411" i="3"/>
  <c r="M411" i="3" s="1"/>
  <c r="Y410" i="3"/>
  <c r="S410" i="3"/>
  <c r="T410" i="3" s="1"/>
  <c r="L410" i="3"/>
  <c r="M410" i="3" s="1"/>
  <c r="Y409" i="3"/>
  <c r="S409" i="3"/>
  <c r="T409" i="3" s="1"/>
  <c r="L409" i="3"/>
  <c r="M409" i="3" s="1"/>
  <c r="Y408" i="3"/>
  <c r="S408" i="3"/>
  <c r="T408" i="3" s="1"/>
  <c r="L408" i="3"/>
  <c r="M408" i="3" s="1"/>
  <c r="Y407" i="3"/>
  <c r="S407" i="3"/>
  <c r="T407" i="3" s="1"/>
  <c r="L407" i="3"/>
  <c r="M407" i="3" s="1"/>
  <c r="Y406" i="3"/>
  <c r="S406" i="3"/>
  <c r="T406" i="3" s="1"/>
  <c r="L406" i="3"/>
  <c r="M406" i="3" s="1"/>
  <c r="Y405" i="3"/>
  <c r="S405" i="3"/>
  <c r="T405" i="3" s="1"/>
  <c r="L405" i="3"/>
  <c r="M405" i="3" s="1"/>
  <c r="Y404" i="3"/>
  <c r="S404" i="3"/>
  <c r="T404" i="3" s="1"/>
  <c r="L404" i="3"/>
  <c r="M404" i="3" s="1"/>
  <c r="Y403" i="3"/>
  <c r="S403" i="3"/>
  <c r="T403" i="3" s="1"/>
  <c r="L403" i="3"/>
  <c r="M403" i="3" s="1"/>
  <c r="Y402" i="3"/>
  <c r="S402" i="3"/>
  <c r="T402" i="3" s="1"/>
  <c r="L402" i="3"/>
  <c r="M402" i="3" s="1"/>
  <c r="Y401" i="3"/>
  <c r="S401" i="3"/>
  <c r="T401" i="3" s="1"/>
  <c r="L401" i="3"/>
  <c r="M401" i="3" s="1"/>
  <c r="Y400" i="3"/>
  <c r="S400" i="3"/>
  <c r="T400" i="3" s="1"/>
  <c r="L400" i="3"/>
  <c r="M400" i="3" s="1"/>
  <c r="Y399" i="3"/>
  <c r="S399" i="3"/>
  <c r="T399" i="3" s="1"/>
  <c r="L399" i="3"/>
  <c r="M399" i="3" s="1"/>
  <c r="Y398" i="3"/>
  <c r="S398" i="3"/>
  <c r="T398" i="3" s="1"/>
  <c r="L398" i="3"/>
  <c r="M398" i="3" s="1"/>
  <c r="Y397" i="3"/>
  <c r="S397" i="3"/>
  <c r="T397" i="3" s="1"/>
  <c r="L397" i="3"/>
  <c r="M397" i="3" s="1"/>
  <c r="Y396" i="3"/>
  <c r="S396" i="3"/>
  <c r="T396" i="3" s="1"/>
  <c r="L396" i="3"/>
  <c r="M396" i="3" s="1"/>
  <c r="Y395" i="3"/>
  <c r="S395" i="3"/>
  <c r="T395" i="3" s="1"/>
  <c r="L395" i="3"/>
  <c r="M395" i="3" s="1"/>
  <c r="Y394" i="3"/>
  <c r="S394" i="3"/>
  <c r="T394" i="3" s="1"/>
  <c r="L394" i="3"/>
  <c r="M394" i="3" s="1"/>
  <c r="Y393" i="3"/>
  <c r="S393" i="3"/>
  <c r="T393" i="3" s="1"/>
  <c r="L393" i="3"/>
  <c r="M393" i="3" s="1"/>
  <c r="Y392" i="3"/>
  <c r="S392" i="3"/>
  <c r="T392" i="3" s="1"/>
  <c r="L392" i="3"/>
  <c r="M392" i="3" s="1"/>
  <c r="Y391" i="3"/>
  <c r="S391" i="3"/>
  <c r="T391" i="3" s="1"/>
  <c r="L391" i="3"/>
  <c r="M391" i="3" s="1"/>
  <c r="Y390" i="3"/>
  <c r="S390" i="3"/>
  <c r="T390" i="3" s="1"/>
  <c r="L390" i="3"/>
  <c r="M390" i="3" s="1"/>
  <c r="Y389" i="3"/>
  <c r="S389" i="3"/>
  <c r="T389" i="3" s="1"/>
  <c r="L389" i="3"/>
  <c r="M389" i="3" s="1"/>
  <c r="Y388" i="3"/>
  <c r="S388" i="3"/>
  <c r="T388" i="3" s="1"/>
  <c r="L388" i="3"/>
  <c r="M388" i="3" s="1"/>
  <c r="Y387" i="3"/>
  <c r="S387" i="3"/>
  <c r="T387" i="3" s="1"/>
  <c r="L387" i="3"/>
  <c r="M387" i="3" s="1"/>
  <c r="Y386" i="3"/>
  <c r="S386" i="3"/>
  <c r="T386" i="3" s="1"/>
  <c r="L386" i="3"/>
  <c r="M386" i="3" s="1"/>
  <c r="Y385" i="3"/>
  <c r="S385" i="3"/>
  <c r="T385" i="3" s="1"/>
  <c r="L385" i="3"/>
  <c r="M385" i="3" s="1"/>
  <c r="Y384" i="3"/>
  <c r="S384" i="3"/>
  <c r="T384" i="3" s="1"/>
  <c r="L384" i="3"/>
  <c r="M384" i="3" s="1"/>
  <c r="Y383" i="3"/>
  <c r="S383" i="3"/>
  <c r="T383" i="3" s="1"/>
  <c r="L383" i="3"/>
  <c r="M383" i="3" s="1"/>
  <c r="Y382" i="3"/>
  <c r="S382" i="3"/>
  <c r="T382" i="3" s="1"/>
  <c r="L382" i="3"/>
  <c r="M382" i="3" s="1"/>
  <c r="Y381" i="3"/>
  <c r="S381" i="3"/>
  <c r="T381" i="3" s="1"/>
  <c r="L381" i="3"/>
  <c r="M381" i="3" s="1"/>
  <c r="Y380" i="3"/>
  <c r="S380" i="3"/>
  <c r="T380" i="3" s="1"/>
  <c r="L380" i="3"/>
  <c r="M380" i="3" s="1"/>
  <c r="Y379" i="3"/>
  <c r="S379" i="3"/>
  <c r="T379" i="3" s="1"/>
  <c r="L379" i="3"/>
  <c r="M379" i="3" s="1"/>
  <c r="Y378" i="3"/>
  <c r="S378" i="3"/>
  <c r="T378" i="3" s="1"/>
  <c r="L378" i="3"/>
  <c r="M378" i="3" s="1"/>
  <c r="Y377" i="3"/>
  <c r="S377" i="3"/>
  <c r="T377" i="3" s="1"/>
  <c r="L377" i="3"/>
  <c r="M377" i="3" s="1"/>
  <c r="Y376" i="3"/>
  <c r="S376" i="3"/>
  <c r="T376" i="3" s="1"/>
  <c r="L376" i="3"/>
  <c r="M376" i="3" s="1"/>
  <c r="Y375" i="3"/>
  <c r="S375" i="3"/>
  <c r="T375" i="3" s="1"/>
  <c r="L375" i="3"/>
  <c r="M375" i="3" s="1"/>
  <c r="Y374" i="3"/>
  <c r="S374" i="3"/>
  <c r="T374" i="3" s="1"/>
  <c r="L374" i="3"/>
  <c r="M374" i="3" s="1"/>
  <c r="Y373" i="3"/>
  <c r="S373" i="3"/>
  <c r="T373" i="3" s="1"/>
  <c r="L373" i="3"/>
  <c r="M373" i="3" s="1"/>
  <c r="Y372" i="3"/>
  <c r="S372" i="3"/>
  <c r="T372" i="3" s="1"/>
  <c r="L372" i="3"/>
  <c r="M372" i="3" s="1"/>
  <c r="Y371" i="3"/>
  <c r="S371" i="3"/>
  <c r="T371" i="3" s="1"/>
  <c r="L371" i="3"/>
  <c r="M371" i="3" s="1"/>
  <c r="Y370" i="3"/>
  <c r="S370" i="3"/>
  <c r="T370" i="3" s="1"/>
  <c r="L370" i="3"/>
  <c r="M370" i="3" s="1"/>
  <c r="Y369" i="3"/>
  <c r="S369" i="3"/>
  <c r="T369" i="3" s="1"/>
  <c r="L369" i="3"/>
  <c r="M369" i="3" s="1"/>
  <c r="Y368" i="3"/>
  <c r="S368" i="3"/>
  <c r="T368" i="3" s="1"/>
  <c r="L368" i="3"/>
  <c r="M368" i="3" s="1"/>
  <c r="Y367" i="3"/>
  <c r="S367" i="3"/>
  <c r="T367" i="3" s="1"/>
  <c r="L367" i="3"/>
  <c r="M367" i="3" s="1"/>
  <c r="Y366" i="3"/>
  <c r="S366" i="3"/>
  <c r="T366" i="3" s="1"/>
  <c r="L366" i="3"/>
  <c r="M366" i="3" s="1"/>
  <c r="Y365" i="3"/>
  <c r="S365" i="3"/>
  <c r="T365" i="3" s="1"/>
  <c r="L365" i="3"/>
  <c r="M365" i="3" s="1"/>
  <c r="Y364" i="3"/>
  <c r="S364" i="3"/>
  <c r="T364" i="3" s="1"/>
  <c r="L364" i="3"/>
  <c r="M364" i="3" s="1"/>
  <c r="Y363" i="3"/>
  <c r="S363" i="3"/>
  <c r="T363" i="3" s="1"/>
  <c r="L363" i="3"/>
  <c r="M363" i="3" s="1"/>
  <c r="Y362" i="3"/>
  <c r="S362" i="3"/>
  <c r="T362" i="3" s="1"/>
  <c r="L362" i="3"/>
  <c r="M362" i="3" s="1"/>
  <c r="Y361" i="3"/>
  <c r="S361" i="3"/>
  <c r="T361" i="3" s="1"/>
  <c r="L361" i="3"/>
  <c r="M361" i="3" s="1"/>
  <c r="Y360" i="3"/>
  <c r="S360" i="3"/>
  <c r="T360" i="3" s="1"/>
  <c r="L360" i="3"/>
  <c r="M360" i="3" s="1"/>
  <c r="Y359" i="3"/>
  <c r="S359" i="3"/>
  <c r="T359" i="3" s="1"/>
  <c r="L359" i="3"/>
  <c r="M359" i="3" s="1"/>
  <c r="Y358" i="3"/>
  <c r="S358" i="3"/>
  <c r="T358" i="3" s="1"/>
  <c r="L358" i="3"/>
  <c r="M358" i="3" s="1"/>
  <c r="Y357" i="3"/>
  <c r="S357" i="3"/>
  <c r="T357" i="3" s="1"/>
  <c r="L357" i="3"/>
  <c r="M357" i="3" s="1"/>
  <c r="Y356" i="3"/>
  <c r="S356" i="3"/>
  <c r="T356" i="3" s="1"/>
  <c r="L356" i="3"/>
  <c r="M356" i="3" s="1"/>
  <c r="Y355" i="3"/>
  <c r="S355" i="3"/>
  <c r="T355" i="3" s="1"/>
  <c r="L355" i="3"/>
  <c r="M355" i="3" s="1"/>
  <c r="Y354" i="3"/>
  <c r="S354" i="3"/>
  <c r="T354" i="3" s="1"/>
  <c r="L354" i="3"/>
  <c r="M354" i="3" s="1"/>
  <c r="Y353" i="3"/>
  <c r="S353" i="3"/>
  <c r="T353" i="3" s="1"/>
  <c r="L353" i="3"/>
  <c r="M353" i="3" s="1"/>
  <c r="Y352" i="3"/>
  <c r="S352" i="3"/>
  <c r="T352" i="3" s="1"/>
  <c r="L352" i="3"/>
  <c r="M352" i="3" s="1"/>
  <c r="Y351" i="3"/>
  <c r="S351" i="3"/>
  <c r="T351" i="3" s="1"/>
  <c r="L351" i="3"/>
  <c r="M351" i="3" s="1"/>
  <c r="Y350" i="3"/>
  <c r="S350" i="3"/>
  <c r="T350" i="3" s="1"/>
  <c r="L350" i="3"/>
  <c r="M350" i="3" s="1"/>
  <c r="Y349" i="3"/>
  <c r="S349" i="3"/>
  <c r="T349" i="3" s="1"/>
  <c r="L349" i="3"/>
  <c r="M349" i="3" s="1"/>
  <c r="Y348" i="3"/>
  <c r="S348" i="3"/>
  <c r="T348" i="3" s="1"/>
  <c r="L348" i="3"/>
  <c r="M348" i="3" s="1"/>
  <c r="Y347" i="3"/>
  <c r="S347" i="3"/>
  <c r="T347" i="3" s="1"/>
  <c r="L347" i="3"/>
  <c r="M347" i="3" s="1"/>
  <c r="Y346" i="3"/>
  <c r="S346" i="3"/>
  <c r="T346" i="3" s="1"/>
  <c r="L346" i="3"/>
  <c r="M346" i="3" s="1"/>
  <c r="Y345" i="3"/>
  <c r="S345" i="3"/>
  <c r="T345" i="3" s="1"/>
  <c r="L345" i="3"/>
  <c r="M345" i="3" s="1"/>
  <c r="Y344" i="3"/>
  <c r="S344" i="3"/>
  <c r="T344" i="3" s="1"/>
  <c r="L344" i="3"/>
  <c r="M344" i="3" s="1"/>
  <c r="Y343" i="3"/>
  <c r="S343" i="3"/>
  <c r="T343" i="3" s="1"/>
  <c r="L343" i="3"/>
  <c r="M343" i="3" s="1"/>
  <c r="Y342" i="3"/>
  <c r="S342" i="3"/>
  <c r="T342" i="3" s="1"/>
  <c r="L342" i="3"/>
  <c r="M342" i="3" s="1"/>
  <c r="Y341" i="3"/>
  <c r="S341" i="3"/>
  <c r="T341" i="3" s="1"/>
  <c r="L341" i="3"/>
  <c r="M341" i="3" s="1"/>
  <c r="Y340" i="3"/>
  <c r="S340" i="3"/>
  <c r="T340" i="3" s="1"/>
  <c r="L340" i="3"/>
  <c r="M340" i="3" s="1"/>
  <c r="Y339" i="3"/>
  <c r="S339" i="3"/>
  <c r="T339" i="3" s="1"/>
  <c r="L339" i="3"/>
  <c r="M339" i="3" s="1"/>
  <c r="Y338" i="3"/>
  <c r="S338" i="3"/>
  <c r="T338" i="3" s="1"/>
  <c r="L338" i="3"/>
  <c r="M338" i="3" s="1"/>
  <c r="Y337" i="3"/>
  <c r="S337" i="3"/>
  <c r="T337" i="3" s="1"/>
  <c r="L337" i="3"/>
  <c r="M337" i="3" s="1"/>
  <c r="Y336" i="3"/>
  <c r="S336" i="3"/>
  <c r="T336" i="3" s="1"/>
  <c r="L336" i="3"/>
  <c r="M336" i="3" s="1"/>
  <c r="Y335" i="3"/>
  <c r="S335" i="3"/>
  <c r="T335" i="3" s="1"/>
  <c r="L335" i="3"/>
  <c r="M335" i="3" s="1"/>
  <c r="Y334" i="3"/>
  <c r="S334" i="3"/>
  <c r="T334" i="3" s="1"/>
  <c r="L334" i="3"/>
  <c r="M334" i="3" s="1"/>
  <c r="Y333" i="3"/>
  <c r="S333" i="3"/>
  <c r="T333" i="3" s="1"/>
  <c r="L333" i="3"/>
  <c r="M333" i="3" s="1"/>
  <c r="Y332" i="3"/>
  <c r="S332" i="3"/>
  <c r="T332" i="3" s="1"/>
  <c r="L332" i="3"/>
  <c r="M332" i="3" s="1"/>
  <c r="Y331" i="3"/>
  <c r="S331" i="3"/>
  <c r="T331" i="3" s="1"/>
  <c r="L331" i="3"/>
  <c r="M331" i="3" s="1"/>
  <c r="Y330" i="3"/>
  <c r="S330" i="3"/>
  <c r="T330" i="3" s="1"/>
  <c r="L330" i="3"/>
  <c r="M330" i="3" s="1"/>
  <c r="Y329" i="3"/>
  <c r="S329" i="3"/>
  <c r="T329" i="3" s="1"/>
  <c r="L329" i="3"/>
  <c r="M329" i="3" s="1"/>
  <c r="Y328" i="3"/>
  <c r="S328" i="3"/>
  <c r="T328" i="3" s="1"/>
  <c r="L328" i="3"/>
  <c r="M328" i="3" s="1"/>
  <c r="Y327" i="3"/>
  <c r="S327" i="3"/>
  <c r="T327" i="3" s="1"/>
  <c r="L327" i="3"/>
  <c r="M327" i="3" s="1"/>
  <c r="Y326" i="3"/>
  <c r="S326" i="3"/>
  <c r="T326" i="3" s="1"/>
  <c r="L326" i="3"/>
  <c r="M326" i="3" s="1"/>
  <c r="Y325" i="3"/>
  <c r="S325" i="3"/>
  <c r="T325" i="3" s="1"/>
  <c r="L325" i="3"/>
  <c r="M325" i="3" s="1"/>
  <c r="Y324" i="3"/>
  <c r="S324" i="3"/>
  <c r="T324" i="3" s="1"/>
  <c r="L324" i="3"/>
  <c r="M324" i="3" s="1"/>
  <c r="Y323" i="3"/>
  <c r="S323" i="3"/>
  <c r="T323" i="3" s="1"/>
  <c r="L323" i="3"/>
  <c r="M323" i="3" s="1"/>
  <c r="Y322" i="3"/>
  <c r="S322" i="3"/>
  <c r="T322" i="3" s="1"/>
  <c r="L322" i="3"/>
  <c r="M322" i="3" s="1"/>
  <c r="Y321" i="3"/>
  <c r="S321" i="3"/>
  <c r="T321" i="3" s="1"/>
  <c r="L321" i="3"/>
  <c r="M321" i="3" s="1"/>
  <c r="Y320" i="3"/>
  <c r="S320" i="3"/>
  <c r="T320" i="3" s="1"/>
  <c r="L320" i="3"/>
  <c r="M320" i="3" s="1"/>
  <c r="Y319" i="3"/>
  <c r="S319" i="3"/>
  <c r="T319" i="3" s="1"/>
  <c r="L319" i="3"/>
  <c r="M319" i="3" s="1"/>
  <c r="Y318" i="3"/>
  <c r="S318" i="3"/>
  <c r="T318" i="3" s="1"/>
  <c r="L318" i="3"/>
  <c r="M318" i="3" s="1"/>
  <c r="Y317" i="3"/>
  <c r="S317" i="3"/>
  <c r="T317" i="3" s="1"/>
  <c r="L317" i="3"/>
  <c r="M317" i="3" s="1"/>
  <c r="Y316" i="3"/>
  <c r="S316" i="3"/>
  <c r="T316" i="3" s="1"/>
  <c r="L316" i="3"/>
  <c r="M316" i="3" s="1"/>
  <c r="Y315" i="3"/>
  <c r="S315" i="3"/>
  <c r="T315" i="3" s="1"/>
  <c r="L315" i="3"/>
  <c r="M315" i="3" s="1"/>
  <c r="Y314" i="3"/>
  <c r="S314" i="3"/>
  <c r="T314" i="3" s="1"/>
  <c r="L314" i="3"/>
  <c r="M314" i="3" s="1"/>
  <c r="Y313" i="3"/>
  <c r="S313" i="3"/>
  <c r="T313" i="3" s="1"/>
  <c r="L313" i="3"/>
  <c r="M313" i="3" s="1"/>
  <c r="Y312" i="3"/>
  <c r="S312" i="3"/>
  <c r="T312" i="3" s="1"/>
  <c r="L312" i="3"/>
  <c r="M312" i="3" s="1"/>
  <c r="Y311" i="3"/>
  <c r="S311" i="3"/>
  <c r="T311" i="3" s="1"/>
  <c r="L311" i="3"/>
  <c r="M311" i="3" s="1"/>
  <c r="Y310" i="3"/>
  <c r="S310" i="3"/>
  <c r="T310" i="3" s="1"/>
  <c r="L310" i="3"/>
  <c r="M310" i="3" s="1"/>
  <c r="Y309" i="3"/>
  <c r="S309" i="3"/>
  <c r="T309" i="3" s="1"/>
  <c r="L309" i="3"/>
  <c r="M309" i="3" s="1"/>
  <c r="Y308" i="3"/>
  <c r="S308" i="3"/>
  <c r="T308" i="3" s="1"/>
  <c r="L308" i="3"/>
  <c r="M308" i="3" s="1"/>
  <c r="Y307" i="3"/>
  <c r="S307" i="3"/>
  <c r="T307" i="3" s="1"/>
  <c r="L307" i="3"/>
  <c r="M307" i="3" s="1"/>
  <c r="Y306" i="3"/>
  <c r="S306" i="3"/>
  <c r="T306" i="3" s="1"/>
  <c r="L306" i="3"/>
  <c r="M306" i="3" s="1"/>
  <c r="Y305" i="3"/>
  <c r="S305" i="3"/>
  <c r="T305" i="3" s="1"/>
  <c r="L305" i="3"/>
  <c r="M305" i="3" s="1"/>
  <c r="Y304" i="3"/>
  <c r="S304" i="3"/>
  <c r="T304" i="3" s="1"/>
  <c r="L304" i="3"/>
  <c r="M304" i="3" s="1"/>
  <c r="Y303" i="3"/>
  <c r="S303" i="3"/>
  <c r="T303" i="3" s="1"/>
  <c r="L303" i="3"/>
  <c r="M303" i="3" s="1"/>
  <c r="Y302" i="3"/>
  <c r="S302" i="3"/>
  <c r="T302" i="3" s="1"/>
  <c r="L302" i="3"/>
  <c r="M302" i="3" s="1"/>
  <c r="Y301" i="3"/>
  <c r="S301" i="3"/>
  <c r="T301" i="3" s="1"/>
  <c r="L301" i="3"/>
  <c r="M301" i="3" s="1"/>
  <c r="Y300" i="3"/>
  <c r="S300" i="3"/>
  <c r="T300" i="3" s="1"/>
  <c r="L300" i="3"/>
  <c r="M300" i="3" s="1"/>
  <c r="Y299" i="3"/>
  <c r="S299" i="3"/>
  <c r="T299" i="3" s="1"/>
  <c r="L299" i="3"/>
  <c r="M299" i="3" s="1"/>
  <c r="Y298" i="3"/>
  <c r="S298" i="3"/>
  <c r="T298" i="3" s="1"/>
  <c r="L298" i="3"/>
  <c r="M298" i="3" s="1"/>
  <c r="Y297" i="3"/>
  <c r="S297" i="3"/>
  <c r="T297" i="3" s="1"/>
  <c r="L297" i="3"/>
  <c r="M297" i="3" s="1"/>
  <c r="Y296" i="3"/>
  <c r="S296" i="3"/>
  <c r="T296" i="3" s="1"/>
  <c r="L296" i="3"/>
  <c r="M296" i="3" s="1"/>
  <c r="Y295" i="3"/>
  <c r="S295" i="3"/>
  <c r="T295" i="3" s="1"/>
  <c r="L295" i="3"/>
  <c r="M295" i="3" s="1"/>
  <c r="Y294" i="3"/>
  <c r="S294" i="3"/>
  <c r="T294" i="3" s="1"/>
  <c r="L294" i="3"/>
  <c r="M294" i="3" s="1"/>
  <c r="Y293" i="3"/>
  <c r="S293" i="3"/>
  <c r="T293" i="3" s="1"/>
  <c r="L293" i="3"/>
  <c r="M293" i="3" s="1"/>
  <c r="Y292" i="3"/>
  <c r="S292" i="3"/>
  <c r="T292" i="3" s="1"/>
  <c r="L292" i="3"/>
  <c r="M292" i="3" s="1"/>
  <c r="Y291" i="3"/>
  <c r="S291" i="3"/>
  <c r="T291" i="3" s="1"/>
  <c r="L291" i="3"/>
  <c r="M291" i="3" s="1"/>
  <c r="Y290" i="3"/>
  <c r="S290" i="3"/>
  <c r="T290" i="3" s="1"/>
  <c r="L290" i="3"/>
  <c r="M290" i="3" s="1"/>
  <c r="Y289" i="3"/>
  <c r="S289" i="3"/>
  <c r="T289" i="3" s="1"/>
  <c r="L289" i="3"/>
  <c r="M289" i="3" s="1"/>
  <c r="Y288" i="3"/>
  <c r="S288" i="3"/>
  <c r="T288" i="3" s="1"/>
  <c r="L288" i="3"/>
  <c r="M288" i="3" s="1"/>
  <c r="Y287" i="3"/>
  <c r="S287" i="3"/>
  <c r="T287" i="3" s="1"/>
  <c r="L287" i="3"/>
  <c r="M287" i="3" s="1"/>
  <c r="Y286" i="3"/>
  <c r="S286" i="3"/>
  <c r="T286" i="3" s="1"/>
  <c r="L286" i="3"/>
  <c r="M286" i="3" s="1"/>
  <c r="Y285" i="3"/>
  <c r="S285" i="3"/>
  <c r="T285" i="3" s="1"/>
  <c r="L285" i="3"/>
  <c r="M285" i="3" s="1"/>
  <c r="Y284" i="3"/>
  <c r="S284" i="3"/>
  <c r="T284" i="3" s="1"/>
  <c r="L284" i="3"/>
  <c r="M284" i="3" s="1"/>
  <c r="Y283" i="3"/>
  <c r="S283" i="3"/>
  <c r="T283" i="3" s="1"/>
  <c r="L283" i="3"/>
  <c r="M283" i="3" s="1"/>
  <c r="Y282" i="3"/>
  <c r="S282" i="3"/>
  <c r="T282" i="3" s="1"/>
  <c r="L282" i="3"/>
  <c r="M282" i="3" s="1"/>
  <c r="Y281" i="3"/>
  <c r="S281" i="3"/>
  <c r="T281" i="3" s="1"/>
  <c r="L281" i="3"/>
  <c r="M281" i="3" s="1"/>
  <c r="Y280" i="3"/>
  <c r="S280" i="3"/>
  <c r="T280" i="3" s="1"/>
  <c r="L280" i="3"/>
  <c r="M280" i="3" s="1"/>
  <c r="Y279" i="3"/>
  <c r="S279" i="3"/>
  <c r="T279" i="3" s="1"/>
  <c r="L279" i="3"/>
  <c r="M279" i="3" s="1"/>
  <c r="Y278" i="3"/>
  <c r="S278" i="3"/>
  <c r="T278" i="3" s="1"/>
  <c r="L278" i="3"/>
  <c r="M278" i="3" s="1"/>
  <c r="Y277" i="3"/>
  <c r="S277" i="3"/>
  <c r="T277" i="3" s="1"/>
  <c r="L277" i="3"/>
  <c r="M277" i="3" s="1"/>
  <c r="Y276" i="3"/>
  <c r="S276" i="3"/>
  <c r="T276" i="3" s="1"/>
  <c r="L276" i="3"/>
  <c r="M276" i="3" s="1"/>
  <c r="Y275" i="3"/>
  <c r="S275" i="3"/>
  <c r="T275" i="3" s="1"/>
  <c r="L275" i="3"/>
  <c r="M275" i="3" s="1"/>
  <c r="Y274" i="3"/>
  <c r="S274" i="3"/>
  <c r="T274" i="3" s="1"/>
  <c r="L274" i="3"/>
  <c r="M274" i="3" s="1"/>
  <c r="Y273" i="3"/>
  <c r="S273" i="3"/>
  <c r="T273" i="3" s="1"/>
  <c r="L273" i="3"/>
  <c r="M273" i="3" s="1"/>
  <c r="Y272" i="3"/>
  <c r="S272" i="3"/>
  <c r="T272" i="3" s="1"/>
  <c r="L272" i="3"/>
  <c r="M272" i="3" s="1"/>
  <c r="Y271" i="3"/>
  <c r="S271" i="3"/>
  <c r="T271" i="3" s="1"/>
  <c r="L271" i="3"/>
  <c r="M271" i="3" s="1"/>
  <c r="Y270" i="3"/>
  <c r="L270" i="3"/>
  <c r="M270" i="3" s="1"/>
  <c r="Y269" i="3"/>
  <c r="S269" i="3"/>
  <c r="T269" i="3" s="1"/>
  <c r="L269" i="3"/>
  <c r="M269" i="3" s="1"/>
  <c r="Y268" i="3"/>
  <c r="S268" i="3"/>
  <c r="T268" i="3" s="1"/>
  <c r="L268" i="3"/>
  <c r="M268" i="3" s="1"/>
  <c r="Y267" i="3"/>
  <c r="S267" i="3"/>
  <c r="T267" i="3" s="1"/>
  <c r="L267" i="3"/>
  <c r="M267" i="3" s="1"/>
  <c r="Y266" i="3"/>
  <c r="S266" i="3"/>
  <c r="T266" i="3" s="1"/>
  <c r="L266" i="3"/>
  <c r="M266" i="3" s="1"/>
  <c r="Y265" i="3"/>
  <c r="S265" i="3"/>
  <c r="T265" i="3" s="1"/>
  <c r="L265" i="3"/>
  <c r="M265" i="3" s="1"/>
  <c r="Y264" i="3"/>
  <c r="S264" i="3"/>
  <c r="T264" i="3" s="1"/>
  <c r="L264" i="3"/>
  <c r="M264" i="3" s="1"/>
  <c r="Y263" i="3"/>
  <c r="S263" i="3"/>
  <c r="T263" i="3" s="1"/>
  <c r="L263" i="3"/>
  <c r="M263" i="3" s="1"/>
  <c r="Y262" i="3"/>
  <c r="S262" i="3"/>
  <c r="T262" i="3" s="1"/>
  <c r="L262" i="3"/>
  <c r="M262" i="3" s="1"/>
  <c r="Y261" i="3"/>
  <c r="S261" i="3"/>
  <c r="T261" i="3" s="1"/>
  <c r="L261" i="3"/>
  <c r="M261" i="3" s="1"/>
  <c r="Y260" i="3"/>
  <c r="S260" i="3"/>
  <c r="T260" i="3" s="1"/>
  <c r="L260" i="3"/>
  <c r="M260" i="3" s="1"/>
  <c r="Y259" i="3"/>
  <c r="S259" i="3"/>
  <c r="T259" i="3" s="1"/>
  <c r="L259" i="3"/>
  <c r="M259" i="3" s="1"/>
  <c r="Y258" i="3"/>
  <c r="S258" i="3"/>
  <c r="T258" i="3" s="1"/>
  <c r="L258" i="3"/>
  <c r="M258" i="3" s="1"/>
  <c r="Y257" i="3"/>
  <c r="S257" i="3"/>
  <c r="T257" i="3" s="1"/>
  <c r="L257" i="3"/>
  <c r="M257" i="3" s="1"/>
  <c r="Y256" i="3"/>
  <c r="S256" i="3"/>
  <c r="T256" i="3" s="1"/>
  <c r="L256" i="3"/>
  <c r="M256" i="3" s="1"/>
  <c r="Y255" i="3"/>
  <c r="S255" i="3"/>
  <c r="T255" i="3" s="1"/>
  <c r="L255" i="3"/>
  <c r="M255" i="3" s="1"/>
  <c r="Y254" i="3"/>
  <c r="S254" i="3"/>
  <c r="T254" i="3" s="1"/>
  <c r="L254" i="3"/>
  <c r="M254" i="3" s="1"/>
  <c r="Y253" i="3"/>
  <c r="S253" i="3"/>
  <c r="T253" i="3" s="1"/>
  <c r="L253" i="3"/>
  <c r="M253" i="3" s="1"/>
  <c r="Y252" i="3"/>
  <c r="S252" i="3"/>
  <c r="T252" i="3" s="1"/>
  <c r="L252" i="3"/>
  <c r="M252" i="3" s="1"/>
  <c r="Y251" i="3"/>
  <c r="S251" i="3"/>
  <c r="T251" i="3" s="1"/>
  <c r="L251" i="3"/>
  <c r="M251" i="3" s="1"/>
  <c r="Y250" i="3"/>
  <c r="S250" i="3"/>
  <c r="T250" i="3" s="1"/>
  <c r="L250" i="3"/>
  <c r="M250" i="3" s="1"/>
  <c r="Y249" i="3"/>
  <c r="S249" i="3"/>
  <c r="T249" i="3" s="1"/>
  <c r="L249" i="3"/>
  <c r="M249" i="3" s="1"/>
  <c r="Y248" i="3"/>
  <c r="S248" i="3"/>
  <c r="T248" i="3" s="1"/>
  <c r="L248" i="3"/>
  <c r="M248" i="3" s="1"/>
  <c r="Y247" i="3"/>
  <c r="S247" i="3"/>
  <c r="T247" i="3" s="1"/>
  <c r="L247" i="3"/>
  <c r="M247" i="3" s="1"/>
  <c r="Y246" i="3"/>
  <c r="S246" i="3"/>
  <c r="T246" i="3" s="1"/>
  <c r="L246" i="3"/>
  <c r="M246" i="3" s="1"/>
  <c r="Y245" i="3"/>
  <c r="S245" i="3"/>
  <c r="T245" i="3" s="1"/>
  <c r="L245" i="3"/>
  <c r="M245" i="3" s="1"/>
  <c r="Y244" i="3"/>
  <c r="S244" i="3"/>
  <c r="T244" i="3" s="1"/>
  <c r="L244" i="3"/>
  <c r="M244" i="3" s="1"/>
  <c r="Y243" i="3"/>
  <c r="S243" i="3"/>
  <c r="T243" i="3" s="1"/>
  <c r="L243" i="3"/>
  <c r="M243" i="3" s="1"/>
  <c r="Y242" i="3"/>
  <c r="S242" i="3"/>
  <c r="T242" i="3" s="1"/>
  <c r="L242" i="3"/>
  <c r="M242" i="3" s="1"/>
  <c r="Y241" i="3"/>
  <c r="S241" i="3"/>
  <c r="T241" i="3" s="1"/>
  <c r="L241" i="3"/>
  <c r="M241" i="3" s="1"/>
  <c r="Y240" i="3"/>
  <c r="S240" i="3"/>
  <c r="T240" i="3" s="1"/>
  <c r="L240" i="3"/>
  <c r="M240" i="3" s="1"/>
  <c r="Y239" i="3"/>
  <c r="S239" i="3"/>
  <c r="T239" i="3" s="1"/>
  <c r="L239" i="3"/>
  <c r="M239" i="3" s="1"/>
  <c r="Y238" i="3"/>
  <c r="S238" i="3"/>
  <c r="T238" i="3" s="1"/>
  <c r="L238" i="3"/>
  <c r="M238" i="3" s="1"/>
  <c r="Y237" i="3"/>
  <c r="S237" i="3"/>
  <c r="T237" i="3" s="1"/>
  <c r="L237" i="3"/>
  <c r="M237" i="3" s="1"/>
  <c r="Y236" i="3"/>
  <c r="S236" i="3"/>
  <c r="T236" i="3" s="1"/>
  <c r="L236" i="3"/>
  <c r="M236" i="3" s="1"/>
  <c r="Y235" i="3"/>
  <c r="S235" i="3"/>
  <c r="T235" i="3" s="1"/>
  <c r="L235" i="3"/>
  <c r="M235" i="3" s="1"/>
  <c r="Y234" i="3"/>
  <c r="S234" i="3"/>
  <c r="T234" i="3" s="1"/>
  <c r="L234" i="3"/>
  <c r="M234" i="3" s="1"/>
  <c r="Y233" i="3"/>
  <c r="S233" i="3"/>
  <c r="T233" i="3" s="1"/>
  <c r="L233" i="3"/>
  <c r="M233" i="3" s="1"/>
  <c r="Y232" i="3"/>
  <c r="S232" i="3"/>
  <c r="T232" i="3" s="1"/>
  <c r="L232" i="3"/>
  <c r="M232" i="3" s="1"/>
  <c r="Y231" i="3"/>
  <c r="S231" i="3"/>
  <c r="T231" i="3" s="1"/>
  <c r="L231" i="3"/>
  <c r="M231" i="3" s="1"/>
  <c r="Y230" i="3"/>
  <c r="S230" i="3"/>
  <c r="T230" i="3" s="1"/>
  <c r="L230" i="3"/>
  <c r="M230" i="3" s="1"/>
  <c r="Y229" i="3"/>
  <c r="S229" i="3"/>
  <c r="T229" i="3" s="1"/>
  <c r="L229" i="3"/>
  <c r="M229" i="3" s="1"/>
  <c r="Y228" i="3"/>
  <c r="S228" i="3"/>
  <c r="T228" i="3" s="1"/>
  <c r="L228" i="3"/>
  <c r="M228" i="3" s="1"/>
  <c r="Y227" i="3"/>
  <c r="S227" i="3"/>
  <c r="T227" i="3" s="1"/>
  <c r="L227" i="3"/>
  <c r="M227" i="3" s="1"/>
  <c r="Y226" i="3"/>
  <c r="S226" i="3"/>
  <c r="T226" i="3" s="1"/>
  <c r="L226" i="3"/>
  <c r="M226" i="3" s="1"/>
  <c r="Y225" i="3"/>
  <c r="S225" i="3"/>
  <c r="T225" i="3" s="1"/>
  <c r="L225" i="3"/>
  <c r="M225" i="3" s="1"/>
  <c r="Y224" i="3"/>
  <c r="S224" i="3"/>
  <c r="T224" i="3" s="1"/>
  <c r="L224" i="3"/>
  <c r="M224" i="3" s="1"/>
  <c r="Y223" i="3"/>
  <c r="S223" i="3"/>
  <c r="T223" i="3" s="1"/>
  <c r="L223" i="3"/>
  <c r="M223" i="3" s="1"/>
  <c r="Y222" i="3"/>
  <c r="S222" i="3"/>
  <c r="T222" i="3" s="1"/>
  <c r="L222" i="3"/>
  <c r="M222" i="3" s="1"/>
  <c r="Y221" i="3"/>
  <c r="S221" i="3"/>
  <c r="T221" i="3" s="1"/>
  <c r="L221" i="3"/>
  <c r="M221" i="3" s="1"/>
  <c r="Y220" i="3"/>
  <c r="S220" i="3"/>
  <c r="T220" i="3" s="1"/>
  <c r="L220" i="3"/>
  <c r="M220" i="3" s="1"/>
  <c r="Y219" i="3"/>
  <c r="S219" i="3"/>
  <c r="T219" i="3" s="1"/>
  <c r="L219" i="3"/>
  <c r="M219" i="3" s="1"/>
  <c r="Y218" i="3"/>
  <c r="S218" i="3"/>
  <c r="T218" i="3" s="1"/>
  <c r="L218" i="3"/>
  <c r="M218" i="3" s="1"/>
  <c r="Y217" i="3"/>
  <c r="S217" i="3"/>
  <c r="T217" i="3" s="1"/>
  <c r="L217" i="3"/>
  <c r="M217" i="3" s="1"/>
  <c r="Y216" i="3"/>
  <c r="S216" i="3"/>
  <c r="T216" i="3" s="1"/>
  <c r="L216" i="3"/>
  <c r="M216" i="3" s="1"/>
  <c r="Y215" i="3"/>
  <c r="S215" i="3"/>
  <c r="T215" i="3" s="1"/>
  <c r="L215" i="3"/>
  <c r="M215" i="3" s="1"/>
  <c r="Y214" i="3"/>
  <c r="S214" i="3"/>
  <c r="T214" i="3" s="1"/>
  <c r="L214" i="3"/>
  <c r="M214" i="3" s="1"/>
  <c r="Y213" i="3"/>
  <c r="S213" i="3"/>
  <c r="T213" i="3" s="1"/>
  <c r="L213" i="3"/>
  <c r="M213" i="3" s="1"/>
  <c r="Y212" i="3"/>
  <c r="S212" i="3"/>
  <c r="T212" i="3" s="1"/>
  <c r="L212" i="3"/>
  <c r="M212" i="3" s="1"/>
  <c r="Y211" i="3"/>
  <c r="S211" i="3"/>
  <c r="T211" i="3" s="1"/>
  <c r="L211" i="3"/>
  <c r="M211" i="3" s="1"/>
  <c r="Y210" i="3"/>
  <c r="S210" i="3"/>
  <c r="T210" i="3" s="1"/>
  <c r="L210" i="3"/>
  <c r="M210" i="3" s="1"/>
  <c r="Y209" i="3"/>
  <c r="S209" i="3"/>
  <c r="T209" i="3" s="1"/>
  <c r="L209" i="3"/>
  <c r="M209" i="3" s="1"/>
  <c r="Y208" i="3"/>
  <c r="S208" i="3"/>
  <c r="T208" i="3" s="1"/>
  <c r="L208" i="3"/>
  <c r="M208" i="3" s="1"/>
  <c r="Y207" i="3"/>
  <c r="S207" i="3"/>
  <c r="T207" i="3" s="1"/>
  <c r="L207" i="3"/>
  <c r="M207" i="3" s="1"/>
  <c r="Y206" i="3"/>
  <c r="S206" i="3"/>
  <c r="T206" i="3" s="1"/>
  <c r="L206" i="3"/>
  <c r="M206" i="3" s="1"/>
  <c r="Y205" i="3"/>
  <c r="S205" i="3"/>
  <c r="T205" i="3" s="1"/>
  <c r="L205" i="3"/>
  <c r="M205" i="3" s="1"/>
  <c r="Y204" i="3"/>
  <c r="S204" i="3"/>
  <c r="T204" i="3" s="1"/>
  <c r="L204" i="3"/>
  <c r="M204" i="3" s="1"/>
  <c r="Y203" i="3"/>
  <c r="S203" i="3"/>
  <c r="T203" i="3" s="1"/>
  <c r="L203" i="3"/>
  <c r="M203" i="3" s="1"/>
  <c r="Y202" i="3"/>
  <c r="S202" i="3"/>
  <c r="T202" i="3" s="1"/>
  <c r="L202" i="3"/>
  <c r="M202" i="3" s="1"/>
  <c r="Y201" i="3"/>
  <c r="S201" i="3"/>
  <c r="T201" i="3" s="1"/>
  <c r="L201" i="3"/>
  <c r="M201" i="3" s="1"/>
  <c r="Y200" i="3"/>
  <c r="S200" i="3"/>
  <c r="T200" i="3" s="1"/>
  <c r="L200" i="3"/>
  <c r="M200" i="3" s="1"/>
  <c r="Y199" i="3"/>
  <c r="S199" i="3"/>
  <c r="T199" i="3" s="1"/>
  <c r="L199" i="3"/>
  <c r="M199" i="3" s="1"/>
  <c r="Y198" i="3"/>
  <c r="S198" i="3"/>
  <c r="T198" i="3" s="1"/>
  <c r="L198" i="3"/>
  <c r="M198" i="3" s="1"/>
  <c r="Y197" i="3"/>
  <c r="S197" i="3"/>
  <c r="T197" i="3" s="1"/>
  <c r="L197" i="3"/>
  <c r="M197" i="3" s="1"/>
  <c r="Y196" i="3"/>
  <c r="S196" i="3"/>
  <c r="T196" i="3" s="1"/>
  <c r="L196" i="3"/>
  <c r="M196" i="3" s="1"/>
  <c r="Y195" i="3"/>
  <c r="S195" i="3"/>
  <c r="T195" i="3" s="1"/>
  <c r="L195" i="3"/>
  <c r="M195" i="3" s="1"/>
  <c r="Y194" i="3"/>
  <c r="S194" i="3"/>
  <c r="T194" i="3" s="1"/>
  <c r="L194" i="3"/>
  <c r="M194" i="3" s="1"/>
  <c r="Y193" i="3"/>
  <c r="S193" i="3"/>
  <c r="T193" i="3" s="1"/>
  <c r="L193" i="3"/>
  <c r="M193" i="3" s="1"/>
  <c r="Y192" i="3"/>
  <c r="S192" i="3"/>
  <c r="T192" i="3" s="1"/>
  <c r="L192" i="3"/>
  <c r="M192" i="3" s="1"/>
  <c r="Y191" i="3"/>
  <c r="S191" i="3"/>
  <c r="T191" i="3" s="1"/>
  <c r="L191" i="3"/>
  <c r="M191" i="3" s="1"/>
  <c r="Y190" i="3"/>
  <c r="S190" i="3"/>
  <c r="T190" i="3" s="1"/>
  <c r="L190" i="3"/>
  <c r="M190" i="3" s="1"/>
  <c r="Y189" i="3"/>
  <c r="S189" i="3"/>
  <c r="T189" i="3" s="1"/>
  <c r="L189" i="3"/>
  <c r="M189" i="3" s="1"/>
  <c r="Y188" i="3"/>
  <c r="S188" i="3"/>
  <c r="T188" i="3" s="1"/>
  <c r="L188" i="3"/>
  <c r="M188" i="3" s="1"/>
  <c r="Y187" i="3"/>
  <c r="S187" i="3"/>
  <c r="T187" i="3" s="1"/>
  <c r="L187" i="3"/>
  <c r="M187" i="3" s="1"/>
  <c r="Y186" i="3"/>
  <c r="S186" i="3"/>
  <c r="T186" i="3" s="1"/>
  <c r="L186" i="3"/>
  <c r="M186" i="3" s="1"/>
  <c r="Y185" i="3"/>
  <c r="S185" i="3"/>
  <c r="T185" i="3" s="1"/>
  <c r="L185" i="3"/>
  <c r="M185" i="3" s="1"/>
  <c r="Y184" i="3"/>
  <c r="S184" i="3"/>
  <c r="T184" i="3" s="1"/>
  <c r="L184" i="3"/>
  <c r="M184" i="3" s="1"/>
  <c r="Y183" i="3"/>
  <c r="S183" i="3"/>
  <c r="T183" i="3" s="1"/>
  <c r="L183" i="3"/>
  <c r="M183" i="3" s="1"/>
  <c r="Y182" i="3"/>
  <c r="S182" i="3"/>
  <c r="T182" i="3" s="1"/>
  <c r="L182" i="3"/>
  <c r="M182" i="3" s="1"/>
  <c r="Y181" i="3"/>
  <c r="S181" i="3"/>
  <c r="T181" i="3" s="1"/>
  <c r="L181" i="3"/>
  <c r="M181" i="3" s="1"/>
  <c r="Y180" i="3"/>
  <c r="S180" i="3"/>
  <c r="T180" i="3" s="1"/>
  <c r="L180" i="3"/>
  <c r="M180" i="3" s="1"/>
  <c r="Y179" i="3"/>
  <c r="S179" i="3"/>
  <c r="T179" i="3" s="1"/>
  <c r="L179" i="3"/>
  <c r="M179" i="3" s="1"/>
  <c r="Y178" i="3"/>
  <c r="S178" i="3"/>
  <c r="T178" i="3" s="1"/>
  <c r="L178" i="3"/>
  <c r="M178" i="3" s="1"/>
  <c r="Y177" i="3"/>
  <c r="S177" i="3"/>
  <c r="T177" i="3" s="1"/>
  <c r="L177" i="3"/>
  <c r="M177" i="3" s="1"/>
  <c r="Y176" i="3"/>
  <c r="S176" i="3"/>
  <c r="T176" i="3" s="1"/>
  <c r="L176" i="3"/>
  <c r="M176" i="3" s="1"/>
  <c r="Y175" i="3"/>
  <c r="S175" i="3"/>
  <c r="T175" i="3" s="1"/>
  <c r="L175" i="3"/>
  <c r="M175" i="3" s="1"/>
  <c r="Y174" i="3"/>
  <c r="S174" i="3"/>
  <c r="T174" i="3" s="1"/>
  <c r="L174" i="3"/>
  <c r="M174" i="3" s="1"/>
  <c r="Y173" i="3"/>
  <c r="S173" i="3"/>
  <c r="T173" i="3" s="1"/>
  <c r="L173" i="3"/>
  <c r="M173" i="3" s="1"/>
  <c r="Y172" i="3"/>
  <c r="S172" i="3"/>
  <c r="T172" i="3" s="1"/>
  <c r="L172" i="3"/>
  <c r="M172" i="3" s="1"/>
  <c r="Y171" i="3"/>
  <c r="S171" i="3"/>
  <c r="T171" i="3" s="1"/>
  <c r="L171" i="3"/>
  <c r="M171" i="3" s="1"/>
  <c r="Y170" i="3"/>
  <c r="S170" i="3"/>
  <c r="T170" i="3" s="1"/>
  <c r="L170" i="3"/>
  <c r="M170" i="3" s="1"/>
  <c r="Y169" i="3"/>
  <c r="S169" i="3"/>
  <c r="T169" i="3" s="1"/>
  <c r="L169" i="3"/>
  <c r="M169" i="3" s="1"/>
  <c r="Y168" i="3"/>
  <c r="S168" i="3"/>
  <c r="T168" i="3" s="1"/>
  <c r="L168" i="3"/>
  <c r="M168" i="3" s="1"/>
  <c r="Y167" i="3"/>
  <c r="S167" i="3"/>
  <c r="T167" i="3" s="1"/>
  <c r="L167" i="3"/>
  <c r="M167" i="3" s="1"/>
  <c r="Y166" i="3"/>
  <c r="S166" i="3"/>
  <c r="T166" i="3" s="1"/>
  <c r="L166" i="3"/>
  <c r="M166" i="3" s="1"/>
  <c r="Y165" i="3"/>
  <c r="S165" i="3"/>
  <c r="T165" i="3" s="1"/>
  <c r="L165" i="3"/>
  <c r="M165" i="3" s="1"/>
  <c r="Y164" i="3"/>
  <c r="S164" i="3"/>
  <c r="T164" i="3" s="1"/>
  <c r="L164" i="3"/>
  <c r="M164" i="3" s="1"/>
  <c r="Y163" i="3"/>
  <c r="S163" i="3"/>
  <c r="T163" i="3" s="1"/>
  <c r="L163" i="3"/>
  <c r="M163" i="3" s="1"/>
  <c r="Y162" i="3"/>
  <c r="S162" i="3"/>
  <c r="T162" i="3" s="1"/>
  <c r="L162" i="3"/>
  <c r="M162" i="3" s="1"/>
  <c r="Y161" i="3"/>
  <c r="S161" i="3"/>
  <c r="T161" i="3" s="1"/>
  <c r="L161" i="3"/>
  <c r="M161" i="3" s="1"/>
  <c r="Y160" i="3"/>
  <c r="S160" i="3"/>
  <c r="T160" i="3" s="1"/>
  <c r="L160" i="3"/>
  <c r="M160" i="3" s="1"/>
  <c r="Y159" i="3"/>
  <c r="S159" i="3"/>
  <c r="T159" i="3" s="1"/>
  <c r="L159" i="3"/>
  <c r="M159" i="3" s="1"/>
  <c r="Y158" i="3"/>
  <c r="S158" i="3"/>
  <c r="T158" i="3" s="1"/>
  <c r="L158" i="3"/>
  <c r="M158" i="3" s="1"/>
  <c r="Y157" i="3"/>
  <c r="S157" i="3"/>
  <c r="T157" i="3" s="1"/>
  <c r="L157" i="3"/>
  <c r="M157" i="3" s="1"/>
  <c r="Y156" i="3"/>
  <c r="S156" i="3"/>
  <c r="T156" i="3" s="1"/>
  <c r="L156" i="3"/>
  <c r="M156" i="3" s="1"/>
  <c r="Y155" i="3"/>
  <c r="S155" i="3"/>
  <c r="T155" i="3" s="1"/>
  <c r="L155" i="3"/>
  <c r="M155" i="3" s="1"/>
  <c r="Y154" i="3"/>
  <c r="S154" i="3"/>
  <c r="T154" i="3" s="1"/>
  <c r="L154" i="3"/>
  <c r="M154" i="3" s="1"/>
  <c r="Y153" i="3"/>
  <c r="S153" i="3"/>
  <c r="T153" i="3" s="1"/>
  <c r="L153" i="3"/>
  <c r="M153" i="3" s="1"/>
  <c r="Y152" i="3"/>
  <c r="S152" i="3"/>
  <c r="T152" i="3" s="1"/>
  <c r="L152" i="3"/>
  <c r="M152" i="3" s="1"/>
  <c r="Y151" i="3"/>
  <c r="S151" i="3"/>
  <c r="T151" i="3" s="1"/>
  <c r="L151" i="3"/>
  <c r="M151" i="3" s="1"/>
  <c r="Y150" i="3"/>
  <c r="S150" i="3"/>
  <c r="T150" i="3" s="1"/>
  <c r="L150" i="3"/>
  <c r="M150" i="3" s="1"/>
  <c r="Y149" i="3"/>
  <c r="S149" i="3"/>
  <c r="T149" i="3" s="1"/>
  <c r="L149" i="3"/>
  <c r="M149" i="3" s="1"/>
  <c r="Y148" i="3"/>
  <c r="S148" i="3"/>
  <c r="T148" i="3" s="1"/>
  <c r="L148" i="3"/>
  <c r="M148" i="3" s="1"/>
  <c r="Y147" i="3"/>
  <c r="S147" i="3"/>
  <c r="T147" i="3" s="1"/>
  <c r="L147" i="3"/>
  <c r="M147" i="3" s="1"/>
  <c r="Y146" i="3"/>
  <c r="S146" i="3"/>
  <c r="T146" i="3" s="1"/>
  <c r="L146" i="3"/>
  <c r="M146" i="3" s="1"/>
  <c r="Y145" i="3"/>
  <c r="S145" i="3"/>
  <c r="T145" i="3" s="1"/>
  <c r="L145" i="3"/>
  <c r="M145" i="3" s="1"/>
  <c r="Y144" i="3"/>
  <c r="S144" i="3"/>
  <c r="T144" i="3" s="1"/>
  <c r="L144" i="3"/>
  <c r="M144" i="3" s="1"/>
  <c r="Y143" i="3"/>
  <c r="S143" i="3"/>
  <c r="T143" i="3" s="1"/>
  <c r="L143" i="3"/>
  <c r="M143" i="3" s="1"/>
  <c r="Y142" i="3"/>
  <c r="S142" i="3"/>
  <c r="T142" i="3" s="1"/>
  <c r="L142" i="3"/>
  <c r="M142" i="3" s="1"/>
  <c r="Y141" i="3"/>
  <c r="S141" i="3"/>
  <c r="T141" i="3" s="1"/>
  <c r="L141" i="3"/>
  <c r="M141" i="3" s="1"/>
  <c r="Y140" i="3"/>
  <c r="S140" i="3"/>
  <c r="T140" i="3" s="1"/>
  <c r="L140" i="3"/>
  <c r="M140" i="3" s="1"/>
  <c r="Y139" i="3"/>
  <c r="S139" i="3"/>
  <c r="T139" i="3" s="1"/>
  <c r="L139" i="3"/>
  <c r="M139" i="3" s="1"/>
  <c r="Y138" i="3"/>
  <c r="S138" i="3"/>
  <c r="T138" i="3" s="1"/>
  <c r="L138" i="3"/>
  <c r="M138" i="3" s="1"/>
  <c r="Y137" i="3"/>
  <c r="S137" i="3"/>
  <c r="T137" i="3" s="1"/>
  <c r="L137" i="3"/>
  <c r="M137" i="3" s="1"/>
  <c r="Y136" i="3"/>
  <c r="S136" i="3"/>
  <c r="T136" i="3" s="1"/>
  <c r="L136" i="3"/>
  <c r="M136" i="3" s="1"/>
  <c r="Y135" i="3"/>
  <c r="S135" i="3"/>
  <c r="T135" i="3" s="1"/>
  <c r="L135" i="3"/>
  <c r="M135" i="3" s="1"/>
  <c r="Y134" i="3"/>
  <c r="S134" i="3"/>
  <c r="T134" i="3" s="1"/>
  <c r="L134" i="3"/>
  <c r="M134" i="3" s="1"/>
  <c r="Y133" i="3"/>
  <c r="S133" i="3"/>
  <c r="T133" i="3" s="1"/>
  <c r="L133" i="3"/>
  <c r="M133" i="3" s="1"/>
  <c r="Y132" i="3"/>
  <c r="S132" i="3"/>
  <c r="T132" i="3" s="1"/>
  <c r="L132" i="3"/>
  <c r="M132" i="3" s="1"/>
  <c r="Y131" i="3"/>
  <c r="S131" i="3"/>
  <c r="T131" i="3" s="1"/>
  <c r="L131" i="3"/>
  <c r="M131" i="3" s="1"/>
  <c r="Y130" i="3"/>
  <c r="S130" i="3"/>
  <c r="T130" i="3" s="1"/>
  <c r="L130" i="3"/>
  <c r="M130" i="3" s="1"/>
  <c r="Y129" i="3"/>
  <c r="S129" i="3"/>
  <c r="T129" i="3" s="1"/>
  <c r="L129" i="3"/>
  <c r="M129" i="3" s="1"/>
  <c r="Y128" i="3"/>
  <c r="S128" i="3"/>
  <c r="T128" i="3" s="1"/>
  <c r="L128" i="3"/>
  <c r="M128" i="3" s="1"/>
  <c r="Y127" i="3"/>
  <c r="S127" i="3"/>
  <c r="T127" i="3" s="1"/>
  <c r="L127" i="3"/>
  <c r="M127" i="3" s="1"/>
  <c r="Y126" i="3"/>
  <c r="S126" i="3"/>
  <c r="T126" i="3" s="1"/>
  <c r="L126" i="3"/>
  <c r="M126" i="3" s="1"/>
  <c r="Y125" i="3"/>
  <c r="S125" i="3"/>
  <c r="T125" i="3" s="1"/>
  <c r="L125" i="3"/>
  <c r="M125" i="3" s="1"/>
  <c r="Y124" i="3"/>
  <c r="S124" i="3"/>
  <c r="T124" i="3" s="1"/>
  <c r="L124" i="3"/>
  <c r="M124" i="3" s="1"/>
  <c r="Y123" i="3"/>
  <c r="L123" i="3"/>
  <c r="M123" i="3" s="1"/>
  <c r="Y122" i="3"/>
  <c r="S122" i="3"/>
  <c r="T122" i="3" s="1"/>
  <c r="L122" i="3"/>
  <c r="M122" i="3" s="1"/>
  <c r="Y121" i="3"/>
  <c r="S121" i="3"/>
  <c r="T121" i="3" s="1"/>
  <c r="L121" i="3"/>
  <c r="M121" i="3" s="1"/>
  <c r="Y120" i="3"/>
  <c r="S120" i="3"/>
  <c r="T120" i="3" s="1"/>
  <c r="L120" i="3"/>
  <c r="M120" i="3" s="1"/>
  <c r="Y119" i="3"/>
  <c r="S119" i="3"/>
  <c r="T119" i="3" s="1"/>
  <c r="L119" i="3"/>
  <c r="M119" i="3" s="1"/>
  <c r="Y118" i="3"/>
  <c r="S118" i="3"/>
  <c r="T118" i="3" s="1"/>
  <c r="L118" i="3"/>
  <c r="M118" i="3" s="1"/>
  <c r="Y117" i="3"/>
  <c r="S117" i="3"/>
  <c r="T117" i="3" s="1"/>
  <c r="L117" i="3"/>
  <c r="M117" i="3" s="1"/>
  <c r="Y116" i="3"/>
  <c r="S116" i="3"/>
  <c r="T116" i="3" s="1"/>
  <c r="L116" i="3"/>
  <c r="M116" i="3" s="1"/>
  <c r="Y115" i="3"/>
  <c r="S115" i="3"/>
  <c r="T115" i="3" s="1"/>
  <c r="L115" i="3"/>
  <c r="M115" i="3" s="1"/>
  <c r="Y114" i="3"/>
  <c r="S114" i="3"/>
  <c r="T114" i="3" s="1"/>
  <c r="L114" i="3"/>
  <c r="M114" i="3" s="1"/>
  <c r="Y113" i="3"/>
  <c r="S113" i="3"/>
  <c r="T113" i="3" s="1"/>
  <c r="L113" i="3"/>
  <c r="M113" i="3" s="1"/>
  <c r="Y112" i="3"/>
  <c r="S112" i="3"/>
  <c r="T112" i="3" s="1"/>
  <c r="L112" i="3"/>
  <c r="M112" i="3" s="1"/>
  <c r="Y111" i="3"/>
  <c r="S111" i="3"/>
  <c r="T111" i="3" s="1"/>
  <c r="L111" i="3"/>
  <c r="M111" i="3" s="1"/>
  <c r="Y110" i="3"/>
  <c r="S110" i="3"/>
  <c r="T110" i="3" s="1"/>
  <c r="L110" i="3"/>
  <c r="M110" i="3" s="1"/>
  <c r="Y109" i="3"/>
  <c r="S109" i="3"/>
  <c r="T109" i="3" s="1"/>
  <c r="L109" i="3"/>
  <c r="M109" i="3" s="1"/>
  <c r="Y108" i="3"/>
  <c r="S108" i="3"/>
  <c r="T108" i="3" s="1"/>
  <c r="L108" i="3"/>
  <c r="M108" i="3" s="1"/>
  <c r="Y107" i="3"/>
  <c r="S107" i="3"/>
  <c r="T107" i="3" s="1"/>
  <c r="L107" i="3"/>
  <c r="M107" i="3" s="1"/>
  <c r="Y106" i="3"/>
  <c r="S106" i="3"/>
  <c r="T106" i="3" s="1"/>
  <c r="L106" i="3"/>
  <c r="M106" i="3" s="1"/>
  <c r="Y105" i="3"/>
  <c r="S105" i="3"/>
  <c r="T105" i="3" s="1"/>
  <c r="L105" i="3"/>
  <c r="M105" i="3" s="1"/>
  <c r="Y104" i="3"/>
  <c r="S104" i="3"/>
  <c r="T104" i="3" s="1"/>
  <c r="L104" i="3"/>
  <c r="M104" i="3" s="1"/>
  <c r="Y103" i="3"/>
  <c r="S103" i="3"/>
  <c r="T103" i="3" s="1"/>
  <c r="L103" i="3"/>
  <c r="M103" i="3" s="1"/>
  <c r="Y102" i="3"/>
  <c r="S102" i="3"/>
  <c r="T102" i="3" s="1"/>
  <c r="L102" i="3"/>
  <c r="M102" i="3" s="1"/>
  <c r="Y101" i="3"/>
  <c r="S101" i="3"/>
  <c r="T101" i="3" s="1"/>
  <c r="L101" i="3"/>
  <c r="M101" i="3" s="1"/>
  <c r="Y100" i="3"/>
  <c r="S100" i="3"/>
  <c r="T100" i="3" s="1"/>
  <c r="L100" i="3"/>
  <c r="M100" i="3" s="1"/>
  <c r="Y99" i="3"/>
  <c r="S99" i="3"/>
  <c r="T99" i="3" s="1"/>
  <c r="L99" i="3"/>
  <c r="M99" i="3" s="1"/>
  <c r="Y98" i="3"/>
  <c r="S98" i="3"/>
  <c r="T98" i="3" s="1"/>
  <c r="L98" i="3"/>
  <c r="M98" i="3" s="1"/>
  <c r="Y97" i="3"/>
  <c r="S97" i="3"/>
  <c r="T97" i="3" s="1"/>
  <c r="L97" i="3"/>
  <c r="M97" i="3" s="1"/>
  <c r="Y96" i="3"/>
  <c r="S96" i="3"/>
  <c r="T96" i="3" s="1"/>
  <c r="L96" i="3"/>
  <c r="M96" i="3" s="1"/>
  <c r="Y95" i="3"/>
  <c r="S95" i="3"/>
  <c r="T95" i="3" s="1"/>
  <c r="L95" i="3"/>
  <c r="M95" i="3" s="1"/>
  <c r="Y94" i="3"/>
  <c r="S94" i="3"/>
  <c r="T94" i="3" s="1"/>
  <c r="L94" i="3"/>
  <c r="M94" i="3" s="1"/>
  <c r="Y93" i="3"/>
  <c r="S93" i="3"/>
  <c r="T93" i="3" s="1"/>
  <c r="L93" i="3"/>
  <c r="M93" i="3" s="1"/>
  <c r="Y92" i="3"/>
  <c r="S92" i="3"/>
  <c r="T92" i="3" s="1"/>
  <c r="L92" i="3"/>
  <c r="M92" i="3" s="1"/>
  <c r="Y91" i="3"/>
  <c r="S91" i="3"/>
  <c r="T91" i="3" s="1"/>
  <c r="L91" i="3"/>
  <c r="M91" i="3" s="1"/>
  <c r="Y90" i="3"/>
  <c r="S90" i="3"/>
  <c r="T90" i="3" s="1"/>
  <c r="L90" i="3"/>
  <c r="M90" i="3" s="1"/>
  <c r="Y89" i="3"/>
  <c r="S89" i="3"/>
  <c r="T89" i="3" s="1"/>
  <c r="L89" i="3"/>
  <c r="M89" i="3" s="1"/>
  <c r="Y88" i="3"/>
  <c r="S88" i="3"/>
  <c r="T88" i="3" s="1"/>
  <c r="L88" i="3"/>
  <c r="M88" i="3" s="1"/>
  <c r="Y87" i="3"/>
  <c r="S87" i="3"/>
  <c r="T87" i="3" s="1"/>
  <c r="L87" i="3"/>
  <c r="M87" i="3" s="1"/>
  <c r="Y86" i="3"/>
  <c r="S86" i="3"/>
  <c r="T86" i="3" s="1"/>
  <c r="L86" i="3"/>
  <c r="M86" i="3" s="1"/>
  <c r="Y85" i="3"/>
  <c r="S85" i="3"/>
  <c r="T85" i="3" s="1"/>
  <c r="L85" i="3"/>
  <c r="M85" i="3" s="1"/>
  <c r="Y84" i="3"/>
  <c r="S84" i="3"/>
  <c r="T84" i="3" s="1"/>
  <c r="L84" i="3"/>
  <c r="M84" i="3" s="1"/>
  <c r="Y83" i="3"/>
  <c r="S83" i="3"/>
  <c r="T83" i="3" s="1"/>
  <c r="L83" i="3"/>
  <c r="M83" i="3" s="1"/>
  <c r="Y82" i="3"/>
  <c r="S82" i="3"/>
  <c r="T82" i="3" s="1"/>
  <c r="L82" i="3"/>
  <c r="M82" i="3" s="1"/>
  <c r="Y81" i="3"/>
  <c r="S81" i="3"/>
  <c r="T81" i="3" s="1"/>
  <c r="L81" i="3"/>
  <c r="M81" i="3" s="1"/>
  <c r="Y80" i="3"/>
  <c r="S80" i="3"/>
  <c r="T80" i="3" s="1"/>
  <c r="L80" i="3"/>
  <c r="M80" i="3" s="1"/>
  <c r="Y79" i="3"/>
  <c r="S79" i="3"/>
  <c r="T79" i="3" s="1"/>
  <c r="L79" i="3"/>
  <c r="M79" i="3" s="1"/>
  <c r="Y78" i="3"/>
  <c r="S78" i="3"/>
  <c r="T78" i="3" s="1"/>
  <c r="L78" i="3"/>
  <c r="M78" i="3" s="1"/>
  <c r="Y77" i="3"/>
  <c r="S77" i="3"/>
  <c r="T77" i="3" s="1"/>
  <c r="L77" i="3"/>
  <c r="M77" i="3" s="1"/>
  <c r="Y76" i="3"/>
  <c r="S76" i="3"/>
  <c r="T76" i="3" s="1"/>
  <c r="L76" i="3"/>
  <c r="M76" i="3" s="1"/>
  <c r="Y75" i="3"/>
  <c r="S75" i="3"/>
  <c r="T75" i="3" s="1"/>
  <c r="L75" i="3"/>
  <c r="M75" i="3" s="1"/>
  <c r="Y74" i="3"/>
  <c r="S74" i="3"/>
  <c r="T74" i="3" s="1"/>
  <c r="L74" i="3"/>
  <c r="M74" i="3" s="1"/>
  <c r="Y73" i="3"/>
  <c r="S73" i="3"/>
  <c r="T73" i="3" s="1"/>
  <c r="L73" i="3"/>
  <c r="M73" i="3" s="1"/>
  <c r="Y72" i="3"/>
  <c r="S72" i="3"/>
  <c r="T72" i="3" s="1"/>
  <c r="L72" i="3"/>
  <c r="M72" i="3" s="1"/>
  <c r="Y71" i="3"/>
  <c r="S71" i="3"/>
  <c r="T71" i="3" s="1"/>
  <c r="L71" i="3"/>
  <c r="M71" i="3" s="1"/>
  <c r="Y70" i="3"/>
  <c r="S70" i="3"/>
  <c r="T70" i="3" s="1"/>
  <c r="L70" i="3"/>
  <c r="M70" i="3" s="1"/>
  <c r="Y69" i="3"/>
  <c r="S69" i="3"/>
  <c r="T69" i="3" s="1"/>
  <c r="L69" i="3"/>
  <c r="M69" i="3" s="1"/>
  <c r="Y68" i="3"/>
  <c r="S68" i="3"/>
  <c r="T68" i="3" s="1"/>
  <c r="L68" i="3"/>
  <c r="M68" i="3" s="1"/>
  <c r="Y67" i="3"/>
  <c r="S67" i="3"/>
  <c r="T67" i="3" s="1"/>
  <c r="L67" i="3"/>
  <c r="M67" i="3" s="1"/>
  <c r="Y66" i="3"/>
  <c r="S66" i="3"/>
  <c r="T66" i="3" s="1"/>
  <c r="L66" i="3"/>
  <c r="M66" i="3" s="1"/>
  <c r="Y65" i="3"/>
  <c r="S65" i="3"/>
  <c r="T65" i="3" s="1"/>
  <c r="L65" i="3"/>
  <c r="M65" i="3" s="1"/>
  <c r="Y64" i="3"/>
  <c r="S64" i="3"/>
  <c r="T64" i="3" s="1"/>
  <c r="L64" i="3"/>
  <c r="M64" i="3" s="1"/>
  <c r="Y63" i="3"/>
  <c r="S63" i="3"/>
  <c r="T63" i="3" s="1"/>
  <c r="L63" i="3"/>
  <c r="M63" i="3" s="1"/>
  <c r="Y62" i="3"/>
  <c r="S62" i="3"/>
  <c r="T62" i="3" s="1"/>
  <c r="L62" i="3"/>
  <c r="M62" i="3" s="1"/>
  <c r="Y61" i="3"/>
  <c r="S61" i="3"/>
  <c r="T61" i="3" s="1"/>
  <c r="L61" i="3"/>
  <c r="M61" i="3" s="1"/>
  <c r="Y60" i="3"/>
  <c r="S60" i="3"/>
  <c r="T60" i="3" s="1"/>
  <c r="L60" i="3"/>
  <c r="M60" i="3" s="1"/>
  <c r="Y59" i="3"/>
  <c r="S59" i="3"/>
  <c r="T59" i="3" s="1"/>
  <c r="L59" i="3"/>
  <c r="M59" i="3" s="1"/>
  <c r="Y58" i="3"/>
  <c r="S58" i="3"/>
  <c r="T58" i="3" s="1"/>
  <c r="L58" i="3"/>
  <c r="M58" i="3" s="1"/>
  <c r="Y57" i="3"/>
  <c r="S57" i="3"/>
  <c r="T57" i="3" s="1"/>
  <c r="L57" i="3"/>
  <c r="M57" i="3" s="1"/>
  <c r="Y56" i="3"/>
  <c r="S56" i="3"/>
  <c r="T56" i="3" s="1"/>
  <c r="L56" i="3"/>
  <c r="M56" i="3" s="1"/>
  <c r="Y55" i="3"/>
  <c r="S55" i="3"/>
  <c r="T55" i="3" s="1"/>
  <c r="L55" i="3"/>
  <c r="M55" i="3" s="1"/>
  <c r="Y54" i="3"/>
  <c r="S54" i="3"/>
  <c r="T54" i="3" s="1"/>
  <c r="L54" i="3"/>
  <c r="M54" i="3" s="1"/>
  <c r="Y53" i="3"/>
  <c r="S53" i="3"/>
  <c r="T53" i="3" s="1"/>
  <c r="L53" i="3"/>
  <c r="M53" i="3" s="1"/>
  <c r="Y52" i="3"/>
  <c r="S52" i="3"/>
  <c r="T52" i="3" s="1"/>
  <c r="L52" i="3"/>
  <c r="M52" i="3" s="1"/>
  <c r="Y51" i="3"/>
  <c r="S51" i="3"/>
  <c r="T51" i="3" s="1"/>
  <c r="L51" i="3"/>
  <c r="M51" i="3" s="1"/>
  <c r="Y50" i="3"/>
  <c r="S50" i="3"/>
  <c r="T50" i="3" s="1"/>
  <c r="L50" i="3"/>
  <c r="M50" i="3" s="1"/>
  <c r="Y49" i="3"/>
  <c r="S49" i="3"/>
  <c r="T49" i="3" s="1"/>
  <c r="L49" i="3"/>
  <c r="M49" i="3" s="1"/>
  <c r="Y48" i="3"/>
  <c r="S48" i="3"/>
  <c r="T48" i="3" s="1"/>
  <c r="L48" i="3"/>
  <c r="M48" i="3" s="1"/>
  <c r="Y47" i="3"/>
  <c r="S47" i="3"/>
  <c r="T47" i="3" s="1"/>
  <c r="L47" i="3"/>
  <c r="M47" i="3" s="1"/>
  <c r="Y46" i="3"/>
  <c r="S46" i="3"/>
  <c r="T46" i="3" s="1"/>
  <c r="L46" i="3"/>
  <c r="M46" i="3" s="1"/>
  <c r="Y45" i="3"/>
  <c r="S45" i="3"/>
  <c r="T45" i="3" s="1"/>
  <c r="L45" i="3"/>
  <c r="M45" i="3" s="1"/>
  <c r="Y44" i="3"/>
  <c r="S44" i="3"/>
  <c r="T44" i="3" s="1"/>
  <c r="L44" i="3"/>
  <c r="M44" i="3" s="1"/>
  <c r="Y43" i="3"/>
  <c r="S43" i="3"/>
  <c r="T43" i="3" s="1"/>
  <c r="L43" i="3"/>
  <c r="M43" i="3" s="1"/>
  <c r="Y42" i="3"/>
  <c r="S42" i="3"/>
  <c r="T42" i="3" s="1"/>
  <c r="L42" i="3"/>
  <c r="M42" i="3" s="1"/>
  <c r="Y41" i="3"/>
  <c r="S41" i="3"/>
  <c r="T41" i="3" s="1"/>
  <c r="L41" i="3"/>
  <c r="M41" i="3" s="1"/>
  <c r="Y40" i="3"/>
  <c r="S40" i="3"/>
  <c r="T40" i="3" s="1"/>
  <c r="L40" i="3"/>
  <c r="M40" i="3" s="1"/>
  <c r="Y39" i="3"/>
  <c r="S39" i="3"/>
  <c r="T39" i="3" s="1"/>
  <c r="L39" i="3"/>
  <c r="M39" i="3" s="1"/>
  <c r="Y38" i="3"/>
  <c r="S38" i="3"/>
  <c r="T38" i="3" s="1"/>
  <c r="L38" i="3"/>
  <c r="M38" i="3" s="1"/>
  <c r="Y37" i="3"/>
  <c r="S37" i="3"/>
  <c r="T37" i="3" s="1"/>
  <c r="L37" i="3"/>
  <c r="M37" i="3" s="1"/>
  <c r="Y36" i="3"/>
  <c r="S36" i="3"/>
  <c r="T36" i="3" s="1"/>
  <c r="L36" i="3"/>
  <c r="M36" i="3" s="1"/>
  <c r="Y35" i="3"/>
  <c r="S35" i="3"/>
  <c r="T35" i="3" s="1"/>
  <c r="L35" i="3"/>
  <c r="M35" i="3" s="1"/>
  <c r="Y34" i="3"/>
  <c r="S34" i="3"/>
  <c r="T34" i="3" s="1"/>
  <c r="L34" i="3"/>
  <c r="M34" i="3" s="1"/>
  <c r="Y33" i="3"/>
  <c r="S33" i="3"/>
  <c r="T33" i="3" s="1"/>
  <c r="L33" i="3"/>
  <c r="M33" i="3" s="1"/>
  <c r="Y32" i="3"/>
  <c r="S32" i="3"/>
  <c r="T32" i="3" s="1"/>
  <c r="L32" i="3"/>
  <c r="M32" i="3" s="1"/>
  <c r="Y31" i="3"/>
  <c r="S31" i="3"/>
  <c r="T31" i="3" s="1"/>
  <c r="L31" i="3"/>
  <c r="M31" i="3" s="1"/>
  <c r="Y30" i="3"/>
  <c r="S30" i="3"/>
  <c r="T30" i="3" s="1"/>
  <c r="L30" i="3"/>
  <c r="M30" i="3" s="1"/>
  <c r="Y29" i="3"/>
  <c r="S29" i="3"/>
  <c r="T29" i="3" s="1"/>
  <c r="L29" i="3"/>
  <c r="M29" i="3" s="1"/>
  <c r="Y28" i="3"/>
  <c r="S28" i="3"/>
  <c r="T28" i="3" s="1"/>
  <c r="L28" i="3"/>
  <c r="M28" i="3" s="1"/>
  <c r="Y27" i="3"/>
  <c r="S27" i="3"/>
  <c r="T27" i="3" s="1"/>
  <c r="L27" i="3"/>
  <c r="M27" i="3" s="1"/>
  <c r="Y26" i="3"/>
  <c r="S26" i="3"/>
  <c r="T26" i="3" s="1"/>
  <c r="L26" i="3"/>
  <c r="M26" i="3" s="1"/>
  <c r="Y25" i="3"/>
  <c r="S25" i="3"/>
  <c r="T25" i="3" s="1"/>
  <c r="L25" i="3"/>
  <c r="M25" i="3" s="1"/>
  <c r="Y24" i="3"/>
  <c r="S24" i="3"/>
  <c r="T24" i="3" s="1"/>
  <c r="L24" i="3"/>
  <c r="M24" i="3" s="1"/>
  <c r="Y23" i="3"/>
  <c r="S23" i="3"/>
  <c r="T23" i="3" s="1"/>
  <c r="L23" i="3"/>
  <c r="M23" i="3" s="1"/>
  <c r="Y22" i="3"/>
  <c r="S22" i="3"/>
  <c r="T22" i="3" s="1"/>
  <c r="L22" i="3"/>
  <c r="M22" i="3" s="1"/>
  <c r="Y21" i="3"/>
  <c r="S21" i="3"/>
  <c r="T21" i="3" s="1"/>
  <c r="L21" i="3"/>
  <c r="M21" i="3" s="1"/>
  <c r="Y20" i="3"/>
  <c r="S20" i="3"/>
  <c r="T20" i="3" s="1"/>
  <c r="L20" i="3"/>
  <c r="M20" i="3" s="1"/>
  <c r="Y19" i="3"/>
  <c r="S19" i="3"/>
  <c r="T19" i="3" s="1"/>
  <c r="L19" i="3"/>
  <c r="M19" i="3" s="1"/>
  <c r="Y18" i="3"/>
  <c r="S18" i="3"/>
  <c r="T18" i="3" s="1"/>
  <c r="L18" i="3"/>
  <c r="M18" i="3" s="1"/>
  <c r="Y17" i="3"/>
  <c r="S17" i="3"/>
  <c r="T17" i="3" s="1"/>
  <c r="L17" i="3"/>
  <c r="M17" i="3" s="1"/>
  <c r="Y16" i="3"/>
  <c r="S16" i="3"/>
  <c r="T16" i="3" s="1"/>
  <c r="L16" i="3"/>
  <c r="M16" i="3" s="1"/>
  <c r="Y15" i="3"/>
  <c r="S15" i="3"/>
  <c r="T15" i="3" s="1"/>
  <c r="L15" i="3"/>
  <c r="M15" i="3" s="1"/>
  <c r="Y14" i="3"/>
  <c r="S14" i="3"/>
  <c r="T14" i="3" s="1"/>
  <c r="L14" i="3"/>
  <c r="M14" i="3" s="1"/>
  <c r="Y13" i="3"/>
  <c r="S13" i="3"/>
  <c r="T13" i="3" s="1"/>
  <c r="L13" i="3"/>
  <c r="M13" i="3" s="1"/>
  <c r="Y12" i="3"/>
  <c r="S12" i="3"/>
  <c r="T12" i="3" s="1"/>
  <c r="L12" i="3"/>
  <c r="M12" i="3" s="1"/>
  <c r="Y11" i="3"/>
  <c r="S11" i="3"/>
  <c r="T11" i="3" s="1"/>
  <c r="L11" i="3"/>
  <c r="M11" i="3" s="1"/>
  <c r="Y10" i="3"/>
  <c r="S10" i="3"/>
  <c r="T10" i="3" s="1"/>
  <c r="L10" i="3"/>
  <c r="M10" i="3" s="1"/>
  <c r="Y9" i="3"/>
  <c r="S9" i="3"/>
  <c r="T9" i="3" s="1"/>
  <c r="L9" i="3"/>
  <c r="M9" i="3" s="1"/>
  <c r="Y8" i="3"/>
  <c r="S8" i="3"/>
  <c r="T8" i="3" s="1"/>
  <c r="L8" i="3"/>
  <c r="M8" i="3" s="1"/>
  <c r="Y7" i="3"/>
  <c r="S7" i="3"/>
  <c r="T7" i="3" s="1"/>
  <c r="L7" i="3"/>
  <c r="M7" i="3" s="1"/>
  <c r="Y6" i="3"/>
  <c r="S6" i="3"/>
  <c r="T6" i="3" s="1"/>
  <c r="L6" i="3"/>
  <c r="M6" i="3" s="1"/>
  <c r="Y5" i="3"/>
  <c r="S5" i="3"/>
  <c r="L5" i="3"/>
  <c r="S2" i="3" l="1"/>
  <c r="L2" i="3"/>
  <c r="L3" i="3"/>
  <c r="B41" i="5"/>
  <c r="B40" i="5"/>
  <c r="B38" i="5"/>
  <c r="B39" i="5"/>
  <c r="B37" i="5"/>
  <c r="F92" i="5"/>
  <c r="F91" i="5"/>
  <c r="F90" i="5"/>
  <c r="D101" i="5"/>
  <c r="B91" i="5"/>
  <c r="B92" i="5"/>
  <c r="E102" i="5"/>
  <c r="D102" i="5"/>
  <c r="C102" i="5"/>
  <c r="B102" i="5"/>
  <c r="E100" i="5"/>
  <c r="D100" i="5"/>
  <c r="C100" i="5"/>
  <c r="B100" i="5"/>
  <c r="E103" i="5"/>
  <c r="D103" i="5"/>
  <c r="C103" i="5"/>
  <c r="B103" i="5"/>
  <c r="E99" i="5"/>
  <c r="D99" i="5"/>
  <c r="C99" i="5"/>
  <c r="B99" i="5"/>
  <c r="B93" i="5"/>
  <c r="E101" i="5"/>
  <c r="B94" i="5"/>
  <c r="F93" i="5"/>
  <c r="B90" i="5"/>
  <c r="B101" i="5"/>
  <c r="C101" i="5"/>
  <c r="E72" i="5"/>
  <c r="E71" i="5"/>
  <c r="D72" i="5"/>
  <c r="B71" i="5"/>
  <c r="A78" i="5"/>
  <c r="C71" i="5"/>
  <c r="D71" i="5"/>
  <c r="E76" i="5"/>
  <c r="B72" i="5"/>
  <c r="C72" i="5"/>
  <c r="B60" i="8"/>
  <c r="B10" i="4"/>
  <c r="B83" i="8" s="1"/>
  <c r="B9" i="4"/>
  <c r="B8" i="4"/>
  <c r="B7" i="4"/>
  <c r="B6" i="4"/>
  <c r="B5" i="4"/>
  <c r="B81" i="8" s="1"/>
  <c r="M5" i="3"/>
  <c r="B66" i="5"/>
  <c r="B65" i="5"/>
  <c r="B64" i="5"/>
  <c r="B63" i="5"/>
  <c r="B62" i="5"/>
  <c r="B57" i="5"/>
  <c r="B56" i="5"/>
  <c r="B55" i="5"/>
  <c r="B54" i="5"/>
  <c r="B53" i="5"/>
  <c r="B52" i="5"/>
  <c r="B51" i="5"/>
  <c r="B50" i="5"/>
  <c r="B49" i="5"/>
  <c r="B48" i="5"/>
  <c r="B47" i="5"/>
  <c r="B46" i="5"/>
  <c r="B32" i="5"/>
  <c r="B31" i="5"/>
  <c r="B26" i="5"/>
  <c r="B25" i="5"/>
  <c r="B24" i="5"/>
  <c r="B23" i="5"/>
  <c r="B18" i="5"/>
  <c r="B17" i="5"/>
  <c r="B16" i="5"/>
  <c r="B15" i="5"/>
  <c r="B10" i="5"/>
  <c r="B9" i="5"/>
  <c r="B8" i="5"/>
  <c r="B7" i="5"/>
  <c r="B6" i="5"/>
  <c r="B2" i="5"/>
  <c r="B12" i="4"/>
  <c r="B84" i="8" s="1"/>
  <c r="B11" i="4"/>
  <c r="T5" i="3"/>
  <c r="B33" i="5" l="1"/>
  <c r="C33" i="5" s="1"/>
  <c r="B19" i="5"/>
  <c r="C19" i="5" s="1"/>
  <c r="B27" i="5"/>
  <c r="C27" i="5" s="1"/>
  <c r="B58" i="5"/>
  <c r="C58" i="5" s="1"/>
  <c r="B11" i="5"/>
  <c r="C64" i="5"/>
  <c r="C66" i="5"/>
  <c r="D66" i="5" s="1"/>
  <c r="B82" i="8"/>
  <c r="B86" i="8"/>
  <c r="B42" i="5"/>
  <c r="C42" i="5" s="1"/>
  <c r="C41" i="5"/>
  <c r="C40" i="5"/>
  <c r="C39" i="5"/>
  <c r="C38" i="5"/>
  <c r="C37" i="5"/>
  <c r="F102" i="5"/>
  <c r="A113" i="5" s="1"/>
  <c r="B77" i="8" s="1"/>
  <c r="B94" i="8" s="1"/>
  <c r="C104" i="5"/>
  <c r="D104" i="5"/>
  <c r="F103" i="5"/>
  <c r="B95" i="5"/>
  <c r="C95" i="5" s="1"/>
  <c r="F101" i="5"/>
  <c r="F72" i="5"/>
  <c r="A86" i="5" s="1"/>
  <c r="F100" i="5"/>
  <c r="B82" i="5"/>
  <c r="B108" i="5"/>
  <c r="C94" i="5"/>
  <c r="C93" i="5"/>
  <c r="A112" i="5" s="1"/>
  <c r="C92" i="5"/>
  <c r="C91" i="5"/>
  <c r="C90" i="5"/>
  <c r="F99" i="5"/>
  <c r="B104" i="5"/>
  <c r="E73" i="5"/>
  <c r="E104" i="5"/>
  <c r="D73" i="5"/>
  <c r="F71" i="5"/>
  <c r="B77" i="5" s="1"/>
  <c r="C73" i="5"/>
  <c r="B73" i="5"/>
  <c r="B68" i="8"/>
  <c r="B67" i="8"/>
  <c r="B61" i="8"/>
  <c r="B63" i="8"/>
  <c r="B64" i="8"/>
  <c r="B65" i="8"/>
  <c r="B72" i="8"/>
  <c r="B91" i="8" s="1"/>
  <c r="B27" i="4"/>
  <c r="B26" i="4"/>
  <c r="B25" i="4"/>
  <c r="C57" i="5"/>
  <c r="C56" i="5"/>
  <c r="C55" i="5"/>
  <c r="C54" i="5"/>
  <c r="C53" i="5"/>
  <c r="C52" i="5"/>
  <c r="C51" i="5"/>
  <c r="C50" i="5"/>
  <c r="C49" i="5"/>
  <c r="C48" i="5"/>
  <c r="C47" i="5"/>
  <c r="C46" i="5"/>
  <c r="C32" i="5"/>
  <c r="C31" i="5"/>
  <c r="C26" i="5"/>
  <c r="C25" i="5"/>
  <c r="C24" i="5"/>
  <c r="C23" i="5"/>
  <c r="C18" i="5"/>
  <c r="C17" i="5"/>
  <c r="C16" i="5"/>
  <c r="C15" i="5"/>
  <c r="C10" i="5"/>
  <c r="C9" i="5"/>
  <c r="C8" i="5"/>
  <c r="C7" i="5"/>
  <c r="C6" i="5"/>
  <c r="B20" i="4"/>
  <c r="B19" i="4"/>
  <c r="B18" i="4"/>
  <c r="B17" i="4"/>
  <c r="B16" i="4"/>
  <c r="B87" i="8" l="1"/>
  <c r="B85" i="8"/>
  <c r="B66" i="8"/>
  <c r="B71" i="8"/>
  <c r="B90" i="8" s="1"/>
  <c r="B62" i="8"/>
  <c r="B69" i="8"/>
  <c r="B88" i="8" s="1"/>
  <c r="B76" i="8"/>
  <c r="B93" i="8" s="1"/>
  <c r="E77" i="5"/>
  <c r="C77" i="5"/>
  <c r="C78" i="5"/>
  <c r="F78" i="5"/>
  <c r="D77" i="5"/>
  <c r="F77" i="5"/>
  <c r="E78" i="5"/>
  <c r="F73" i="5"/>
  <c r="B78" i="5"/>
  <c r="D78" i="5"/>
  <c r="B75" i="8"/>
  <c r="B92" i="8" s="1"/>
  <c r="F104" i="5"/>
  <c r="B70" i="8"/>
  <c r="B89" i="8" s="1"/>
  <c r="B28" i="4"/>
  <c r="B21" i="4"/>
  <c r="B83" i="5" l="1"/>
  <c r="G73" i="5"/>
  <c r="B81" i="5"/>
  <c r="B109" i="5"/>
  <c r="B107" i="5"/>
</calcChain>
</file>

<file path=xl/sharedStrings.xml><?xml version="1.0" encoding="utf-8"?>
<sst xmlns="http://schemas.openxmlformats.org/spreadsheetml/2006/main" count="7631" uniqueCount="2328">
  <si>
    <t>One Matrix - Four Steps  (LLM-ready, no background assumed)</t>
  </si>
  <si>
    <t>A single progressive-disclosure matrix for screening, coding, deep-read analysis and reporting.</t>
  </si>
  <si>
    <t>CONTEXT PRIMER  (read this before coding any paper)</t>
  </si>
  <si>
    <t>What is this review about</t>
  </si>
  <si>
    <t>This is a systematic literature review about DIGITAL TWINS used in the built-environment industry, specifically to improve SAFETY and QUALITY of designs. You are screening and coding academic papers.</t>
  </si>
  <si>
    <t>AECO</t>
  </si>
  <si>
    <t>AECO = Architecture, Engineering, Construction and Operations. It means the built-environment / construction industry (buildings, bridges, infrastructure, civil engineering). NOT manufacturing, automotive, aerospace, power/electrical equipment, healthcare, or agriculture.</t>
  </si>
  <si>
    <t>Digital Twin (DT)</t>
  </si>
  <si>
    <t>A Digital Twin is a live virtual replica of a physical asset that is connected to it by data. It is MORE than a static 3D/BIM model. If a paper only says the words 'digital twin' in passing but does not actually build or study one, treat DT as a buzzword (answer 'No').</t>
  </si>
  <si>
    <t>Design for Safety (DfS)</t>
  </si>
  <si>
    <t>Design for Safety = designing to prevent construction/operation safety incidents (e.g. fall from height, hazards, accident prevention).</t>
  </si>
  <si>
    <t>Design for Quality (DfQ)</t>
  </si>
  <si>
    <t>Design for Quality = designing to prevent defects, rework, or quality failures.</t>
  </si>
  <si>
    <t>Prevention through Design (PtD)</t>
  </si>
  <si>
    <t>Prevention through Design = the principle of eliminating risks at the design stage before construction begins. Closely related to DfS/DfQ.</t>
  </si>
  <si>
    <t>BIM</t>
  </si>
  <si>
    <t>BIM = Building Information Modelling. A static, design-stage digital model. A BIM model alone is NOT a Digital Twin (no live data link).</t>
  </si>
  <si>
    <t>bidirectional</t>
  </si>
  <si>
    <t>'bidirectional' means data flows BOTH ways: physical-&gt;virtual AND virtual-&gt;physical (the twin can act back on the real asset). One-way data flow is only a 'digital shadow'.</t>
  </si>
  <si>
    <t>Answer format</t>
  </si>
  <si>
    <t>Every Stage-1 and Stage-2 question is answered strictly as 'Yes' or 'No'. If genuinely unsure from the abstract, answer 'No' (conservative) and add a note. Do not invent information not present in the text.</t>
  </si>
  <si>
    <t>One reason only</t>
  </si>
  <si>
    <t>When a paper is excluded, the matrix auto-picks ONE standardized reason by priority. You do not write the reason yourself.</t>
  </si>
  <si>
    <t>THE FOUR STEPS</t>
  </si>
  <si>
    <t>Step 1 (all 450 papers)</t>
  </si>
  <si>
    <t>An LLM or reviewer fills the AMBER Stage-1 columns (G-K) for EVERY paper, from the TITLE and ABSTRACT only. Column L auto-decides Include/Exclude; column M auto-writes the single exclusion reason.</t>
  </si>
  <si>
    <t>Step 2 (the matrix)</t>
  </si>
  <si>
    <t>This workbook IS the summary matrix. There is nothing separate to generate.</t>
  </si>
  <si>
    <t>Retrieval + PDF gateway</t>
  </si>
  <si>
    <t>For Stage-1 includes, first mark column N 'PDF full text on hand?'. This is the gateway: only papers with the PDF on hand can be deep-read. You can revisit later - when a PDF is found, change N from 'No' to 'Yes' and the paper becomes ready for Stage-2/3.</t>
  </si>
  <si>
    <t>Step 3 (deep read)</t>
  </si>
  <si>
    <t>For papers whose PDF is on hand, fill the RED Stage-2 columns (P-R) and then the GREEN synthesis 'angle' columns (U-AG). These are the evidence for your findings section.</t>
  </si>
  <si>
    <t>Step 4 (report)</t>
  </si>
  <si>
    <t>Open 'Step1_Report' (screening + PRISMA chain + exclusion reasons) and 'Step3_Report' (capability-tier / phase / method / modality / validation / self-improvement tables). Both auto-tally from the same rows.</t>
  </si>
  <si>
    <t>COLOUR KEY</t>
  </si>
  <si>
    <t>Bands</t>
  </si>
  <si>
    <t>AMBER = Stage-1 input (from abstract) · BLUE = PDF gateway · RED = Stage-2 input (from full text) · GREEN = Stage-3 deep-read input · BLUE-GREY = auto formula, do not edit.</t>
  </si>
  <si>
    <t>Golden rule</t>
  </si>
  <si>
    <t>Never delete a paper. A paper excluded at any stage stays in the matrix with its reason recorded. This is what makes the PRISMA flow reproducible.</t>
  </si>
  <si>
    <t>YN</t>
  </si>
  <si>
    <t>Src</t>
  </si>
  <si>
    <t>Bin</t>
  </si>
  <si>
    <t>Tier</t>
  </si>
  <si>
    <t>DfX</t>
  </si>
  <si>
    <t>Self</t>
  </si>
  <si>
    <t>Method</t>
  </si>
  <si>
    <t>Modality</t>
  </si>
  <si>
    <t>Valid</t>
  </si>
  <si>
    <t>Cluster</t>
  </si>
  <si>
    <t>Yes</t>
  </si>
  <si>
    <t>Scopus</t>
  </si>
  <si>
    <t>0</t>
  </si>
  <si>
    <t>Tier 1 - Digital Model (static, no live data)</t>
  </si>
  <si>
    <t>None</t>
  </si>
  <si>
    <t>Computer Vision / CNN / object-detection</t>
  </si>
  <si>
    <t>Single (one data type)</t>
  </si>
  <si>
    <t>Conceptual (no test)</t>
  </si>
  <si>
    <t>BIM-to-Digital-Twin architecture</t>
  </si>
  <si>
    <t>No</t>
  </si>
  <si>
    <t>Web of Science</t>
  </si>
  <si>
    <t>1</t>
  </si>
  <si>
    <t>Tier 2 - Digital Shadow (one-way physical to virtual)</t>
  </si>
  <si>
    <t>Mentioned only</t>
  </si>
  <si>
    <t>Graph Neural Network (GNN)</t>
  </si>
  <si>
    <t>Multi (two or more data types)</t>
  </si>
  <si>
    <t>Simulation</t>
  </si>
  <si>
    <t>Semantic interoperability</t>
  </si>
  <si>
    <t>Lens.org</t>
  </si>
  <si>
    <t>Tier 3 - Digital Twin (bidirectional, two-way)</t>
  </si>
  <si>
    <t>Both</t>
  </si>
  <si>
    <t>Implemented</t>
  </si>
  <si>
    <t>LSTM / RNN (recurrent networks)</t>
  </si>
  <si>
    <t>Single case study</t>
  </si>
  <si>
    <t>Perception / Computer Vision</t>
  </si>
  <si>
    <t>Backward-snowball</t>
  </si>
  <si>
    <t>Tier 4 - Cognitive / Self-improving</t>
  </si>
  <si>
    <t>Other</t>
  </si>
  <si>
    <t>Convergence-characterised</t>
  </si>
  <si>
    <t>Transformer / Large Language Model (LLM)</t>
  </si>
  <si>
    <t>Cross-project (multiple real projects)</t>
  </si>
  <si>
    <t>Design for Safety</t>
  </si>
  <si>
    <t>Forward-snowball</t>
  </si>
  <si>
    <t>Unclear</t>
  </si>
  <si>
    <t>Reinforcement Learning (RL)</t>
  </si>
  <si>
    <t>Predictive analytics / decision support</t>
  </si>
  <si>
    <t>Bayesian / probabilistic</t>
  </si>
  <si>
    <t>Lifecycle / governance</t>
  </si>
  <si>
    <t>Agent-based model (ABM)</t>
  </si>
  <si>
    <t>Finite Element Method / physics-based</t>
  </si>
  <si>
    <t>Ontology / semantic</t>
  </si>
  <si>
    <t>Statistical / change-point</t>
  </si>
  <si>
    <t>Digital Twin platform (no machine learning)</t>
  </si>
  <si>
    <t>Other / Mixed</t>
  </si>
  <si>
    <t>ID</t>
  </si>
  <si>
    <t>Authors (year)</t>
  </si>
  <si>
    <t>Year</t>
  </si>
  <si>
    <t>Journal</t>
  </si>
  <si>
    <t>Title</t>
  </si>
  <si>
    <t>Source database</t>
  </si>
  <si>
    <t>Stage1: Domain is AECO (built environment)?</t>
  </si>
  <si>
    <t>Stage1: Digital Twin is core (not just a buzzword)?</t>
  </si>
  <si>
    <t>Stage1: About Design for Safety / Quality / Prevention through Design?</t>
  </si>
  <si>
    <t>Stage1: Publication type OK (journal/conference article, not editorial/erratum)?</t>
  </si>
  <si>
    <t>Stage1: Written in English (full text)?</t>
  </si>
  <si>
    <t>STAGE-1 decision</t>
  </si>
  <si>
    <t>Stage-1 exclusion reason (auto)</t>
  </si>
  <si>
    <t>GATEWAY: PDF full text on hand? (change to Yes when found)</t>
  </si>
  <si>
    <t>Full text retrieved for PRISMA?</t>
  </si>
  <si>
    <t>Stage2: Digital Twin is the actual subject (full text)?</t>
  </si>
  <si>
    <t>Stage2: Design for Safety/Quality confirmed in full text?</t>
  </si>
  <si>
    <t>Stage2: Methodology is clear enough to code?</t>
  </si>
  <si>
    <t>STAGE-2 decision</t>
  </si>
  <si>
    <t>Stage-2 exclusion reason (auto)</t>
  </si>
  <si>
    <t>Phase: Design (1/0)</t>
  </si>
  <si>
    <t>Phase: Construction (1/0)</t>
  </si>
  <si>
    <t>Phase: Operation (1/0)</t>
  </si>
  <si>
    <t>Cross-phase? (auto)</t>
  </si>
  <si>
    <t>Deep-read: Design-for-X target</t>
  </si>
  <si>
    <t>Deep-read: Self-improvement / convergence</t>
  </si>
  <si>
    <t>Deep-read: Data modality</t>
  </si>
  <si>
    <t>Deep-read: Validation level</t>
  </si>
  <si>
    <t>Deep-read: Quality appraisal score (0 to 5)</t>
  </si>
  <si>
    <t>Deep-read: Thematic cluster</t>
  </si>
  <si>
    <t>Deep-read: Key evidence / notes</t>
  </si>
  <si>
    <t>STEP 1 &amp; PRISMA - screening outcomes (auto)</t>
  </si>
  <si>
    <t>PRISMA stage</t>
  </si>
  <si>
    <t>n</t>
  </si>
  <si>
    <t>Records identified (in matrix)</t>
  </si>
  <si>
    <t>Records screened (Stage-1 decided)</t>
  </si>
  <si>
    <t xml:space="preserve">  Excluded at Stage-1 (title/abstract)</t>
  </si>
  <si>
    <t>Stage-1 INCLUDE -&gt; sought for retrieval</t>
  </si>
  <si>
    <t xml:space="preserve">  PDF full text on hand (gateway = Yes)</t>
  </si>
  <si>
    <t xml:space="preserve">  PDF not yet on hand (revisit later)</t>
  </si>
  <si>
    <t>Reports assessed for eligibility (full text)</t>
  </si>
  <si>
    <t xml:space="preserve">  Excluded at Stage-2 (full text, with reasons)</t>
  </si>
  <si>
    <t>STUDIES INCLUDED IN SYNTHESIS</t>
  </si>
  <si>
    <t>Stage-1 exclusion reasons</t>
  </si>
  <si>
    <t>Reason</t>
  </si>
  <si>
    <t>Wrong domain (non-AECO)</t>
  </si>
  <si>
    <t>Digital Twin not core / buzzword</t>
  </si>
  <si>
    <t>No Design for Safety/Quality/PtD</t>
  </si>
  <si>
    <t>Wrong publication type</t>
  </si>
  <si>
    <t>Non-English</t>
  </si>
  <si>
    <t>Total Stage-1 exclusions</t>
  </si>
  <si>
    <t>Stage-2 (full-text) exclusion reasons</t>
  </si>
  <si>
    <t>Digital Twin mentioned only, not the subject</t>
  </si>
  <si>
    <t>No Design for Safety/Quality in full text</t>
  </si>
  <si>
    <t>Methodology not codable</t>
  </si>
  <si>
    <t>Total Stage-2 exclusions</t>
  </si>
  <si>
    <t>STEP 3 - deep-read synthesis tables (auto = findings section)</t>
  </si>
  <si>
    <t>Total included studies</t>
  </si>
  <si>
    <t>Digital Twin capability tier (Gap 1)</t>
  </si>
  <si>
    <t>Category</t>
  </si>
  <si>
    <t>% of incl.</t>
  </si>
  <si>
    <t>Design-for-X target</t>
  </si>
  <si>
    <t>Data modality (Gap 2)</t>
  </si>
  <si>
    <t>Validation level (Gap 5)</t>
  </si>
  <si>
    <t>Methodology (RQ2)</t>
  </si>
  <si>
    <t>Lifecycle phase coverage (Gap 3)</t>
  </si>
  <si>
    <t>Coverage</t>
  </si>
  <si>
    <t>Design (any)</t>
  </si>
  <si>
    <t>Construction (any)</t>
  </si>
  <si>
    <t>Operation (any)</t>
  </si>
  <si>
    <t>Single-phase</t>
  </si>
  <si>
    <t>Multi-phase (cross-phase)</t>
  </si>
  <si>
    <t>Akanmu (2021)</t>
  </si>
  <si>
    <t>Almatared (2024)</t>
  </si>
  <si>
    <t>Alvaro (2025)</t>
  </si>
  <si>
    <t>Ammar (2024)</t>
  </si>
  <si>
    <t>Aragon (2025)</t>
  </si>
  <si>
    <t>Araujo (2025)</t>
  </si>
  <si>
    <t>Arhrib (2026)</t>
  </si>
  <si>
    <t>Armijo (2024)</t>
  </si>
  <si>
    <t>Aroquipa (2025)</t>
  </si>
  <si>
    <t>Arowoiya (2024)</t>
  </si>
  <si>
    <t>Bao (2026)</t>
  </si>
  <si>
    <t>Brucherseifer (2021)</t>
  </si>
  <si>
    <t>Cervenka (2026)</t>
  </si>
  <si>
    <t>Chacon (2024)</t>
  </si>
  <si>
    <t>Chan (2025)</t>
  </si>
  <si>
    <t>Chang (2024)</t>
  </si>
  <si>
    <t>Chang (2026)</t>
  </si>
  <si>
    <t>Chen (2025)</t>
  </si>
  <si>
    <t>Chen (2026)</t>
  </si>
  <si>
    <t>Dan (2022)</t>
  </si>
  <si>
    <t>Delhibabu (2026)</t>
  </si>
  <si>
    <t>Deng (2025)</t>
  </si>
  <si>
    <t>Deng (2026)</t>
  </si>
  <si>
    <t>Doukari (2026)</t>
  </si>
  <si>
    <t>ElDin (2022)</t>
  </si>
  <si>
    <t>Ellul (2024)</t>
  </si>
  <si>
    <t>Fang (2023)</t>
  </si>
  <si>
    <t>Franciosi (2024)</t>
  </si>
  <si>
    <t>Gao (2025)</t>
  </si>
  <si>
    <t>Gao (2024)</t>
  </si>
  <si>
    <t>Geng (2025)</t>
  </si>
  <si>
    <t>Gonzalez-Boehme (2023)</t>
  </si>
  <si>
    <t>Granzner (2023)</t>
  </si>
  <si>
    <t>Gu (2023)</t>
  </si>
  <si>
    <t>Guo (2026)</t>
  </si>
  <si>
    <t>Guo (2025)</t>
  </si>
  <si>
    <t>Ham (2020)</t>
  </si>
  <si>
    <t>Han (2026)</t>
  </si>
  <si>
    <t>Han (2025)</t>
  </si>
  <si>
    <t>Hasan (2022)</t>
  </si>
  <si>
    <t>Hekmatnejad (2025)</t>
  </si>
  <si>
    <t>Hong (2022)</t>
  </si>
  <si>
    <t>Hong (2025)</t>
  </si>
  <si>
    <t>Hou (2026)</t>
  </si>
  <si>
    <t>Hu (2026)</t>
  </si>
  <si>
    <t>Hu (2024)</t>
  </si>
  <si>
    <t>Huang (2026)</t>
  </si>
  <si>
    <t>Jiang (2022)</t>
  </si>
  <si>
    <t>Jiang (2023)</t>
  </si>
  <si>
    <t>Jiang (2024)</t>
  </si>
  <si>
    <t>Johansen (2025)</t>
  </si>
  <si>
    <t>Kamari (2022)</t>
  </si>
  <si>
    <t>Kang (2025)</t>
  </si>
  <si>
    <t>Kaveh (2025)</t>
  </si>
  <si>
    <t>Khajavi (2023)</t>
  </si>
  <si>
    <t>Kim (2023)</t>
  </si>
  <si>
    <t>Kim (2024)</t>
  </si>
  <si>
    <t>Lai (2022)</t>
  </si>
  <si>
    <t>Li (2024)</t>
  </si>
  <si>
    <t>Li (2023)</t>
  </si>
  <si>
    <t>Li (2021)</t>
  </si>
  <si>
    <t>Lin (2026)</t>
  </si>
  <si>
    <t>Lin (2025)</t>
  </si>
  <si>
    <t>Lin (2020)</t>
  </si>
  <si>
    <t>Liu (2022)</t>
  </si>
  <si>
    <t>Liu (2021)</t>
  </si>
  <si>
    <t>Liu (2020)</t>
  </si>
  <si>
    <t>Liu (2025)</t>
  </si>
  <si>
    <t>Luleci (2024)</t>
  </si>
  <si>
    <t>Lv (2026)</t>
  </si>
  <si>
    <t>Machado (2024)</t>
  </si>
  <si>
    <t>Machado (2025)</t>
  </si>
  <si>
    <t>Meschini (2022)</t>
  </si>
  <si>
    <t>Moe (2026)</t>
  </si>
  <si>
    <t>Moe (2025)</t>
  </si>
  <si>
    <t>Okuntade (2026)</t>
  </si>
  <si>
    <t>Palihakkara (2025)</t>
  </si>
  <si>
    <t>Pan (2026)</t>
  </si>
  <si>
    <t>Pan (2022)</t>
  </si>
  <si>
    <t>Park (2024)</t>
  </si>
  <si>
    <t>PerezPerez (2026)</t>
  </si>
  <si>
    <t>Pham (2026)</t>
  </si>
  <si>
    <t>Ponzo (2024)</t>
  </si>
  <si>
    <t>Qiu (2025)</t>
  </si>
  <si>
    <t>Rashidian (2026)</t>
  </si>
  <si>
    <t>Rezaie (2025)</t>
  </si>
  <si>
    <t>Rinaldi (2025)</t>
  </si>
  <si>
    <t>Salem (2023)</t>
  </si>
  <si>
    <t>Scolamiero (2026)</t>
  </si>
  <si>
    <t>Seo (2025)</t>
  </si>
  <si>
    <t>Shao (2022)</t>
  </si>
  <si>
    <t>Sharafat (2025)</t>
  </si>
  <si>
    <t>Shariatfar (2026)</t>
  </si>
  <si>
    <t>Shen (2026)</t>
  </si>
  <si>
    <t>Shi (2026)</t>
  </si>
  <si>
    <t>Song (2026)</t>
  </si>
  <si>
    <t>Song (2023)</t>
  </si>
  <si>
    <t>Speiser (2024)</t>
  </si>
  <si>
    <t>Stergiopoulos (2025)</t>
  </si>
  <si>
    <t>Su (2025)</t>
  </si>
  <si>
    <t>Sun (2025)</t>
  </si>
  <si>
    <t>Sun (2023)</t>
  </si>
  <si>
    <t>Sun (2026)</t>
  </si>
  <si>
    <t>Talmaki (2022)</t>
  </si>
  <si>
    <t>Tian (2026)</t>
  </si>
  <si>
    <t>Torrecilla-Garcia (2021)</t>
  </si>
  <si>
    <t>Torres (2024)</t>
  </si>
  <si>
    <t>Torzoni (2024)</t>
  </si>
  <si>
    <t>Tran (2025)</t>
  </si>
  <si>
    <t>Ugliotti (2025)</t>
  </si>
  <si>
    <t>Villaverde (2026)</t>
  </si>
  <si>
    <t>Wang (2024)</t>
  </si>
  <si>
    <t>Wang (2021)</t>
  </si>
  <si>
    <t>Wen (2025)</t>
  </si>
  <si>
    <t>Wu (2022)</t>
  </si>
  <si>
    <t>Wu (2026)</t>
  </si>
  <si>
    <t>Wu (2024)</t>
  </si>
  <si>
    <t>Wu (2021)</t>
  </si>
  <si>
    <t>Xiong (2026)</t>
  </si>
  <si>
    <t>Xu (2023)</t>
  </si>
  <si>
    <t>Yan (2025)</t>
  </si>
  <si>
    <t>Yan (2026)</t>
  </si>
  <si>
    <t>Yang (2026)</t>
  </si>
  <si>
    <t>Yang (2025)</t>
  </si>
  <si>
    <t>Ye (2023)</t>
  </si>
  <si>
    <t>Yin (2026)</t>
  </si>
  <si>
    <t>You (2023)</t>
  </si>
  <si>
    <t>Yu (2024)</t>
  </si>
  <si>
    <t>Zeng (2025)</t>
  </si>
  <si>
    <t>Zhang (2024)</t>
  </si>
  <si>
    <t>Zhang (2025)</t>
  </si>
  <si>
    <t>Zhang (2022)</t>
  </si>
  <si>
    <t>Zhang (2026)</t>
  </si>
  <si>
    <t>Zhao (2026)</t>
  </si>
  <si>
    <t>Zhao (2024)</t>
  </si>
  <si>
    <t>Zhao (2022)</t>
  </si>
  <si>
    <t>Zhao (2025)</t>
  </si>
  <si>
    <t>Zheng (2022)</t>
  </si>
  <si>
    <t>Zhou (2021)</t>
  </si>
  <si>
    <t>Zhu (2022)</t>
  </si>
  <si>
    <t>Zhu (2023)</t>
  </si>
  <si>
    <t>Zou (2024)</t>
  </si>
  <si>
    <t>Liu (2023)</t>
  </si>
  <si>
    <t>Martinez (2026)</t>
  </si>
  <si>
    <t>Scopus</t>
    <phoneticPr fontId="11" type="noConversion"/>
  </si>
  <si>
    <t>Web of Science</t>
    <phoneticPr fontId="11" type="noConversion"/>
  </si>
  <si>
    <t>Yes</t>
    <phoneticPr fontId="11" type="noConversion"/>
  </si>
  <si>
    <t>No</t>
    <phoneticPr fontId="11" type="noConversion"/>
  </si>
  <si>
    <t>Tech-adoption survey (ARM); no DT, no DfS/DfQ focus</t>
  </si>
  <si>
    <t>Energy/comfort/carbon optimization; safety shield is control constraint (edge 5)</t>
  </si>
  <si>
    <t>Cybersecurity of industrial CPS/SCADA; not AECO</t>
  </si>
  <si>
    <t>Smart energy systems CI; not built environment</t>
  </si>
  <si>
    <t>Crowd management/surveillance; no built asset DfS/DfQ</t>
  </si>
  <si>
    <t>SHM hybrid AI; no DT built/proposed</t>
  </si>
  <si>
    <t>FEM+NN metamodel; authors state not a full digital twin</t>
  </si>
  <si>
    <t>BIM-ICDD semantic linking; no DT; compliance not DfQ</t>
  </si>
  <si>
    <t>Nuclear power domain</t>
  </si>
  <si>
    <t>BIM-HDM framework; DT only future early warning</t>
  </si>
  <si>
    <t>Survey + case study on guiderail data management for a transportation agency: investigates current practices and proposes a data architecture for information-rich analytical models using DTs, but no DT is actually built or evaluated - P=No -&gt; Stage-2 exclude. [Full-text source: Endnote]</t>
  </si>
  <si>
    <t>Legal/regulatory IoT paper; not AECO</t>
  </si>
  <si>
    <t>AI-in-motorways review; DT one of many topics</t>
  </si>
  <si>
    <t>Cybersecurity; airport baggage system industrial testbed</t>
  </si>
  <si>
    <t>Methodological framework for integrating SHM with numerical DT models for seismic assessment of heritage buildings (Basilica Maria Auxiliadora, Lima): numerical models in 3DEC and SAP2000 (modal + time-history of 34 seismic ground-motion records) identify susceptible zones and recommended sensor locations; sensor deployment and validation against experimental models are explicitly future work - no DT implemented, no live data link, no learning loop. [Full-text source: Endnote]</t>
  </si>
  <si>
    <t>CV pose estimation; DT only synthesizes training data</t>
  </si>
  <si>
    <t>BIM+RPA weather alerts; static BIM, no live DT</t>
  </si>
  <si>
    <t>CE/digitalisation review; DT peripheral</t>
  </si>
  <si>
    <t>Russian journal; BIM/DT mentioned, full text non-English</t>
  </si>
  <si>
    <t>Urban regeneration protocol; DT as future archive</t>
  </si>
  <si>
    <t>Industrial port ops; Chinese journal, non-English</t>
  </si>
  <si>
    <t>Pure FEM structural analysis; no DT</t>
  </si>
  <si>
    <t>BIM-manager narrative review; no DT core</t>
  </si>
  <si>
    <t>I-BIM maintenance framework; DT aspirational</t>
  </si>
  <si>
    <t>Digital Twin Conceptual Framework for critical infrastructure resilience (DLR): comprehensive requirements analysis for infrastructure crisis management/resilience, deriving a conceptual framework (virtual replica, virtual clones, smart-tool toolbox, human-operated control center) with guiding principles for construction/planning phases and a conceptual DT model; resilience cycle with learning from past events is discussed conceptually but not implemented; no DT built or validated, no learning loop. [Full-text source: Endnote]</t>
  </si>
  <si>
    <t>Data-management review; no DT core, no safety/quality</t>
  </si>
  <si>
    <t>Emotion recognition; no built asset, no safety/quality</t>
  </si>
  <si>
    <t>Neural-SDF reconstruction; DT only downstream use</t>
  </si>
  <si>
    <t>Static GIS-BIM/CMMS-3D; no live DT</t>
  </si>
  <si>
    <t>BIM-Dynamo automation; initial step towards DT only</t>
  </si>
  <si>
    <t>Bibliometric; DT only a keyword trend</t>
  </si>
  <si>
    <t>Tech-adoption survey; DT one of many</t>
  </si>
  <si>
    <t>Autonomous dimensional inspection and issue tracking of rebar using semantically enriched 3D models (NTU): DT generation from GoPro images via SfM-MVS point-cloud reconstruction (AprilTag scale calibration); segmentation via Mask R-CNN + 3D clustering (DBSCAN); inspection via 2D circular Hough transform (diameter accuracy 95.5%, spacing mean relative error 0.98%); issue identification/tracking via Scan-vs-BIM registration and comparison of semantically enriched 3D models with BIM across time. Single column rebar cage experiment. One-way inspection to BIM/Digital-Twin for DQC; no live data link and no learning loop. [Full-text source: Endnote]</t>
  </si>
  <si>
    <t>DT framework for predicting ground settlement and lining deformation of shield tunnels under adjacent excavation (NTU/Southeast U): hybrid surrogate model DF-STTN (Swin Transformer + TabTransformer) for full-field displacement prediction from spatial + non-spatial inputs; trained on high-fidelity FE data, then updated/validated on laboratory-scale tunnel excavation tests via a genetic-algorithm model-updating procedure that iteratively refines soil parameters using sparse test data (minimizing prediction error); outperforms convolution-based and single-fusion models; spatial info (3 measurement points) improves accuracy. One-way prediction with implemented GA-based model updating - no convergence criterion, no actuation. [Full-text source: Endnote]</t>
  </si>
  <si>
    <t>Chinese journal; full text non-English</t>
  </si>
  <si>
    <t>Oil/gas pipeline industry; Chinese journal, non-English</t>
  </si>
  <si>
    <t>Chinese journal; non-English full text</t>
  </si>
  <si>
    <t>CV activity recognition; DT integration future work</t>
  </si>
  <si>
    <t>Materials/manufacturing component DT; not AECO</t>
  </si>
  <si>
    <t>BIM+AR safety inspection; no DT (duplicate of #56)</t>
  </si>
  <si>
    <t>Duplicate of ID 3660 (WoS copy); BIM-based, no DT</t>
  </si>
  <si>
    <t>Traffic ITS survey; DT only future distribution topic</t>
  </si>
  <si>
    <t>Pure FE soil-structure interaction study; no DT</t>
  </si>
  <si>
    <t>Pure FE seismic SSI analysis; no DT</t>
  </si>
  <si>
    <t>Load-identification method; DT only data consumer</t>
  </si>
  <si>
    <t>Digital twin system for a regional bridges group (Shanghai, Tongji U): physical space - WIM + multi-source machine vision traffic-load monitoring on target bridge + lightweight sensors on bridge group; digital space - mechanical analysis models per bridge linked by measured traffic loads for working-condition perception and safety warning across the regional network; preliminarily implemented in a Shanghai bridges group. One-way monitoring to analysis to warning for operators; no actuation and no learning loop. [Full-text source: Endnote]</t>
  </si>
  <si>
    <t>Damage-index benchmarking; DT only future use</t>
  </si>
  <si>
    <t>Marine science RIs; not AECO</t>
  </si>
  <si>
    <t>Oil-refinery process CPS; industrial</t>
  </si>
  <si>
    <t>Interconnected digital twins of subway stations for decision support (VIT/FRC RAS): per-station DTs interconnected to interact during operational scenarios; cameras, microphones, sensors processed in fog computing; mobile app with intelligent assistant displays detected events and answers queries via voice; event detection for hazardous situations (fire/explosion); implementation improved personnel response time by 17.4% vs REPEAT platform. One-way monitoring to event detection to decision support for operators; no actuation and no learning loop. [Full-text source: Endnote]</t>
  </si>
  <si>
    <t>Systematic review (146 articles) of bridge disaster management + proposed Real-time Bridge Disaster Management (RtBDM) framework: dynamic adaptation + digitalisation (BIM/DT integration for full-lifecycle data management and automated decision-making) + disaster cycle (pre-warning, real-time response, post-disaster recovery); addresses interoperability, delayed response, and coordination gaps. Framework only - no DT built or validated; no live data link and no learning loop. [Full-text source: Endnote]</t>
  </si>
  <si>
    <t>Adaptive multi-robot task allocation framework (UTK/Amazon/TAMU): DT system enables real-time synchronization between physical operations and digital representations as user interface, creating closed-loop feedback; Integer Programming models task allocation (dependencies, heterogeneity, scheduling, replanning); LLM interprets natural-language inputs to autonomously update optimization constraints (97% accuracy in constraint/parameter extraction) without manual programming; case study demonstrates computational efficiency and LLM reasoning. Closed-loop feedback + LLM-based constraint adaptation -&gt; Tier 3; no learning loop (LLM is inference-time, not self-improving). [Full-text source: Endnote]</t>
  </si>
  <si>
    <t>Chinese journal (Tunnel Construction); non-English</t>
  </si>
  <si>
    <t>CV tracking framework; DT as end-goal only</t>
  </si>
  <si>
    <t>Chinese journal (CIMS); non-English full text</t>
  </si>
  <si>
    <t>Additive manufacturing; Chinese journal, non-English</t>
  </si>
  <si>
    <t>DTSRM for cost/time/resources; safety only as extension</t>
  </si>
  <si>
    <t>Level-2 static twin = calibrated BIM; no live data link</t>
  </si>
  <si>
    <t>Scientometric review; DT only integration trend</t>
  </si>
  <si>
    <t>FM reactive maintenance; safety incidental</t>
  </si>
  <si>
    <t>AI design co-pilot; no DT</t>
  </si>
  <si>
    <t>German duplicate of ID 3632; non-English</t>
  </si>
  <si>
    <t>Fusion-reactor maintenance robotics; not AECO</t>
  </si>
  <si>
    <t>Mining ventilation; not AECO built environment</t>
  </si>
  <si>
    <t>Vehicle localization framework; not AECO</t>
  </si>
  <si>
    <t>Fusion-energy facility design; not AECO</t>
  </si>
  <si>
    <t>Mining; Chinese journal, non-English</t>
  </si>
  <si>
    <t>EV charging/IoV scheduling; not AECO</t>
  </si>
  <si>
    <t>NDT data federation in Revit; DT as future tool</t>
  </si>
  <si>
    <t>Aerospace remanufacturing</t>
  </si>
  <si>
    <t>Tech-adoption survey; DT one item in a list</t>
  </si>
  <si>
    <t>Mining ventilation; Chinese journal, non-English</t>
  </si>
  <si>
    <t>Cyber-physical security of CI generally; not AECO-specific</t>
  </si>
  <si>
    <t>Robotics-for-SHM review; DT creation only attempts</t>
  </si>
  <si>
    <t>Train-bridge dynamic compatibility verification; no DT</t>
  </si>
  <si>
    <t>AI/DT challenges perspective; energy transition focus, safety peripheral</t>
  </si>
  <si>
    <t>High-voltage live-line work; power industry, not AECO</t>
  </si>
  <si>
    <t>Truck platooning logistics; not AECO</t>
  </si>
  <si>
    <t>Construction 4.0 industrial-relations SLR; DT one theme</t>
  </si>
  <si>
    <t>Coal-mine roadheader MR-DT; mining domain</t>
  </si>
  <si>
    <t>Healthcare OR air-quality DT; FM/IAQ, no DfS/DfQ</t>
  </si>
  <si>
    <t>Smart-grid DT authentication; power/cybersecurity</t>
  </si>
  <si>
    <t>Maritime smart fairways; not AECO</t>
  </si>
  <si>
    <t>Chinese journal (Underground Space); non-English full text</t>
  </si>
  <si>
    <t>SLR of 395 DT-construction papers incl. safety management</t>
  </si>
  <si>
    <t>Cold-chain warehouse logistics; not AECO</t>
  </si>
  <si>
    <t>Underwater glider DT; marine robotics</t>
  </si>
  <si>
    <t>Chinese journal (J. Building Structures); non-English full text</t>
  </si>
  <si>
    <t>BIM-FEM excavation analysis; no live DT data link</t>
  </si>
  <si>
    <t>Mine ventilation intelligence; mining, no DT built</t>
  </si>
  <si>
    <t>Chinese journal (China J. Highway Transport); non-English</t>
  </si>
  <si>
    <t>DT adoption drivers/barriers review; safety not in scope focus</t>
  </si>
  <si>
    <t>C4.0 readiness survey in road projects; DT one of 16 techs</t>
  </si>
  <si>
    <t>Milling chatter detection; manufacturing</t>
  </si>
  <si>
    <t>DT for dynamic cost control; no safety/quality angle</t>
  </si>
  <si>
    <t>Chinese journal (J. Civil &amp; Environmental Eng.); non-English</t>
  </si>
  <si>
    <t>MWD rock-parameter prediction; no DT</t>
  </si>
  <si>
    <t>Chinese journal (China Civil Eng. Journal); non-English</t>
  </si>
  <si>
    <t>AV localization via roadside LiDAR; not AECO</t>
  </si>
  <si>
    <t>Autonomous-driving simulation; Chinese journal, non-English</t>
  </si>
  <si>
    <t>BIM+AI+sensor hazard exposure quantification; no DT</t>
  </si>
  <si>
    <t>Fire-service information needs; no DT system built</t>
  </si>
  <si>
    <t>Airport as cognitive DT of aviation ecosystem; not AECO asset</t>
  </si>
  <si>
    <t>Bearing RUL health indicator; manufacturing</t>
  </si>
  <si>
    <t>Document-native AI for admin workflows; no DT</t>
  </si>
  <si>
    <t>Station greenery perception via DT; well-being, not DfS/DfQ</t>
  </si>
  <si>
    <t>CI cybersecurity incident detection SLR; not AECO-specific</t>
  </si>
  <si>
    <t>German journal (Beton- und Stahlbetonbau); non-English full text</t>
  </si>
  <si>
    <t>Nuclear containment ROM; Korean journal, non-English</t>
  </si>
  <si>
    <t>RL control of building energy; safety of RL only, not DfS</t>
  </si>
  <si>
    <t>Tire health DT; automotive</t>
  </si>
  <si>
    <t>3D-scan+BIM precast shape QC; no live DT</t>
  </si>
  <si>
    <t>Verticality sensing device; DT only beneficiary (edge 3)</t>
  </si>
  <si>
    <t>Natural gas pipeline DMD-DT; energy utility ops</t>
  </si>
  <si>
    <t>Russian journal (Nanotechnologies in Construction); non-English</t>
  </si>
  <si>
    <t>Ultrasound defect detection in plastic panels; manufacturing NDT</t>
  </si>
  <si>
    <t>PLS-SEM framework for DT monitoring; productivity focus, no DfS/DfQ</t>
  </si>
  <si>
    <t>Korean journal (JAIK); non-English full text</t>
  </si>
  <si>
    <t>Bridge resilience review; DT only in proposed future framework</t>
  </si>
  <si>
    <t>GPR antenna DT for data simulation; no asset DT</t>
  </si>
  <si>
    <t>Bridge reconstruction case; verified FE "element of a DT" only</t>
  </si>
  <si>
    <t>Building energy monitoring DT; energy focus (edge 5)</t>
  </si>
  <si>
    <t>AI-in-AEC review; DT only future direction</t>
  </si>
  <si>
    <t>OPDM-BIM integration method; DT as context only</t>
  </si>
  <si>
    <t>Gear measurement DT; manufacturing metrology</t>
  </si>
  <si>
    <t>Power-grid tower point-cloud segmentation; not AECO</t>
  </si>
  <si>
    <t>Industrial product CMF design; Chinese journal, non-English</t>
  </si>
  <si>
    <t>Power equipment O&amp;M; Chinese journal, non-English</t>
  </si>
  <si>
    <t>Pavement defect YOLO; DT only dataset name</t>
  </si>
  <si>
    <t>LfD robot training; DT as perceived workspace only</t>
  </si>
  <si>
    <t>CI resilience framework; district heating plant case</t>
  </si>
  <si>
    <t>NDT crack-mapping review; DT linkage aspirational</t>
  </si>
  <si>
    <t>Aircraft wing stress field; Chinese journal, non-English</t>
  </si>
  <si>
    <t>HRC review; DT-based HRC only future priority</t>
  </si>
  <si>
    <t>Machining quality DT; manufacturing</t>
  </si>
  <si>
    <t>BIM+IoT+GIS logistics DT; efficiency/cost, no safety/quality core</t>
  </si>
  <si>
    <t>Chinese journal (Bridge Construction); non-English full text</t>
  </si>
  <si>
    <t>Floating wind turbine DT; energy sector</t>
  </si>
  <si>
    <t>ImTs-BIM bibliometric; DT one cluster</t>
  </si>
  <si>
    <t>Chinese journal (J. Building Structures); non-English</t>
  </si>
  <si>
    <t>Chinese journal (J. Architecture &amp; Civil Eng.); non-English</t>
  </si>
  <si>
    <t>CiteSpace review of intelligent construction; DT only core-literature topic</t>
  </si>
  <si>
    <t>MV-LV substation electrical safety; power equipment</t>
  </si>
  <si>
    <t>SLR integrative framework; operational intelligence broadly, DfS/DfQ not core</t>
  </si>
  <si>
    <t>RPA calibration of damage into BIM; no live DT</t>
  </si>
  <si>
    <t>Modal identification study; DT as future foundation</t>
  </si>
  <si>
    <t>GIS app for bridge inspection→BIM; no DT</t>
  </si>
  <si>
    <t>Chinese journal (J. Traffic &amp; Transportation Eng.); non-English</t>
  </si>
  <si>
    <t>Thermal energy storage DT; energy scheduling, safety incidental</t>
  </si>
  <si>
    <t>Serious-game MEP coordination education; DT linkage future</t>
  </si>
  <si>
    <t>Duplicate of ID 3688 (WoS copy)</t>
  </si>
  <si>
    <t>WWTP cybersecurity testbed; water industrial ICS</t>
  </si>
  <si>
    <t>Smart road IoT/DT for traffic; not built-asset DfS/DfQ</t>
  </si>
  <si>
    <t>Automotive/aviation/maritime DT survey; not AECO</t>
  </si>
  <si>
    <t>8D BIM rule-based compliance; static BIM, DT as label</t>
  </si>
  <si>
    <t>Road situational awareness streaming; vehicular</t>
  </si>
  <si>
    <t>Mining heritage site environmental DT; not AECO</t>
  </si>
  <si>
    <t>CNI cyber-resilience methodology; energy/connected sites</t>
  </si>
  <si>
    <t>MARS reliability of excavations; DT/BIM as outlook</t>
  </si>
  <si>
    <t>Organisational SR of DT in AEC; use/user perspective, DfS/DfQ not core</t>
  </si>
  <si>
    <t>Chinese journal (J. Basic Science &amp; Eng.); non-English</t>
  </si>
  <si>
    <t>Renovation environmental-impact DT; energy/carbon focus</t>
  </si>
  <si>
    <t>German journal (Bautechnik); non-English full text</t>
  </si>
  <si>
    <t>XR lifecycle safety framework; BIM/Lean/PtD but no DT</t>
  </si>
  <si>
    <t>BIM-MBSE semantic bridge; DT environment only as context</t>
  </si>
  <si>
    <t>Natural-period regression; DT as application context</t>
  </si>
  <si>
    <t>DT-NFT data ownership; no safety/quality focus</t>
  </si>
  <si>
    <t>Ship manoeuvring DT; maritime</t>
  </si>
  <si>
    <t>Digitalisation case-study review; DT one of many techs</t>
  </si>
  <si>
    <t>LIDAR+VR bridge inspection; "step towards DTs"</t>
  </si>
  <si>
    <t>AHP risk assessment; BIM/DT only as smart-O&amp;M factor</t>
  </si>
  <si>
    <t>Russian journal (Russian Electrical Eng.); non-English</t>
  </si>
  <si>
    <t>Thermal-bridging DT platform; energy performance, no DfS/DfQ</t>
  </si>
  <si>
    <t>AR-based disaster management; physical-virtual linkage but pre-DT (2018)</t>
  </si>
  <si>
    <t>ASCE 75 utility as-built standard; DT as data product</t>
  </si>
  <si>
    <t>Irrigation network DT; water/agriculture infrastructure</t>
  </si>
  <si>
    <t>Underground coal mine BIM+TLS; mining</t>
  </si>
  <si>
    <t>Site layout optimization; hazard risk one objective, no DT</t>
  </si>
  <si>
    <t>Modern-industry risk assessment reflections; manufacturing/energy cases</t>
  </si>
  <si>
    <t>ETO manufacturing warehouse DT; factory domain (edge 1)</t>
  </si>
  <si>
    <t>Nuclear power unit monitoring DT</t>
  </si>
  <si>
    <t>Transmission tower SHM DT; power infrastructure (edge 2)</t>
  </si>
  <si>
    <t>Duplicate of ID 3710 (WoS copy); power infrastructure</t>
  </si>
  <si>
    <t>Chinese journal (China Rural Water &amp; Hydropower); non-English</t>
  </si>
  <si>
    <t>Aviation connector pin defect DT; aerospace manufacturing</t>
  </si>
  <si>
    <t>Chinese journal (Experimental Tech. &amp; Mgmt); non-English, no DT</t>
  </si>
  <si>
    <t>IoT-in-construction scientometric; DT one theme</t>
  </si>
  <si>
    <t>Oil-well construction MDP DT; O&amp;G drilling</t>
  </si>
  <si>
    <t>Well construction scenario DT; O&amp;G drilling</t>
  </si>
  <si>
    <t>Well construction RL planning; O&amp;G drilling</t>
  </si>
  <si>
    <t>Tech adoption perceptions vs project data; DT one of many</t>
  </si>
  <si>
    <t>AI+tech correlation survey; DT one of 13 technologies</t>
  </si>
  <si>
    <t>LSTM surrogate for earthquake-flood response; no DT</t>
  </si>
  <si>
    <t>BIM+AR bridge inspection; "heading toward a DT"</t>
  </si>
  <si>
    <t>ITA-AITES BIM tunnelling guideline; sustainability focus</t>
  </si>
  <si>
    <t>Duplicate of ID 3818 (WoS copy)</t>
  </si>
  <si>
    <t>German journal (Mauerwerk); non-English full text</t>
  </si>
  <si>
    <t>4D BIM scientometric; DT one emerging theme</t>
  </si>
  <si>
    <t>MRDT adoption TAM meta-analysis; safety only as outcome context</t>
  </si>
  <si>
    <t>BIM+DT convergence roadmap; no DfS/DfQ core</t>
  </si>
  <si>
    <t>Russian journal; UAV diagnostics, no DT core, non-English</t>
  </si>
  <si>
    <t>Commentary on aging concrete rehab; DT one of many techs</t>
  </si>
  <si>
    <t>YOLO equipment detection benchmark; DT as future extension</t>
  </si>
  <si>
    <t>AI+FOS railway SHM review; DT-integrated RL only emerging</t>
  </si>
  <si>
    <t>Aircraft nacelle NDT CAD-native DT; aerospace</t>
  </si>
  <si>
    <t>LLM+KG safety risk assessment; DT integration future work</t>
  </si>
  <si>
    <t>DTCS auto-generated VR safety training; BIM+schedule+hazard data</t>
  </si>
  <si>
    <t>RNN+BIM co-simulation track prediction; no DT claim</t>
  </si>
  <si>
    <t>Hyper-connected pavement concepts; DT mode discussion only</t>
  </si>
  <si>
    <t>3D reconstruction from surveillance; DT management as beneficiary</t>
  </si>
  <si>
    <t>Chinese journal (China Safety Science J.); non-English</t>
  </si>
  <si>
    <t>Marine machinery fault diagnosis DT</t>
  </si>
  <si>
    <t>Progress prediction portfolio; DT integration future</t>
  </si>
  <si>
    <t>German journal (Bauingenieur); non-English full text</t>
  </si>
  <si>
    <t>Automation/robotics adoption in Indonesian SOEs; DT prospect only</t>
  </si>
  <si>
    <t>Subcontracting &amp; safety innovation; digitalization broadly, no DT</t>
  </si>
  <si>
    <t>Critical information infrastructure cybersecurity; grid DT testbed</t>
  </si>
  <si>
    <t>Green-IoT scoping review; DT future direction only</t>
  </si>
  <si>
    <t>Mining DT framework; not AECO</t>
  </si>
  <si>
    <t>Agentic AI governance; HVAC/energy focus, safety as governance risk</t>
  </si>
  <si>
    <t>Sailing robot virtual environment; maritime</t>
  </si>
  <si>
    <t>Disaster risk assessment review; DT one method among many</t>
  </si>
  <si>
    <t>Coal mine heading; Chinese journal, non-English</t>
  </si>
  <si>
    <t>MR+ML cable robot; no DT component</t>
  </si>
  <si>
    <t>Vision deformation measurement; graphics DT only as synthetic env</t>
  </si>
  <si>
    <t>Consumer-electronics smart-city DT; traffic GNN</t>
  </si>
  <si>
    <t>Oil/gas pipeline smart-liner DT</t>
  </si>
  <si>
    <t>Sodium-cooled reactor RTDT; nuclear</t>
  </si>
  <si>
    <t>Coal mine heading face; Chinese journal, non-English</t>
  </si>
  <si>
    <t>SOLOv2 progress monitoring; DT as future development</t>
  </si>
  <si>
    <t>BIM-CIM smart city governance; DT not core</t>
  </si>
  <si>
    <t>Eye-tracking AR situation awareness; no DT</t>
  </si>
  <si>
    <t>Autonomous ship DT; maritime</t>
  </si>
  <si>
    <t>Ship parameter identification; maritime</t>
  </si>
  <si>
    <t>Smart home cybersecurity DT; not AECO industry</t>
  </si>
  <si>
    <t>City-scale 3D modelling algorithm; efficiency focus (edge 10)</t>
  </si>
  <si>
    <t>Open-pit mining 5G DT; Chinese journal, non-English</t>
  </si>
  <si>
    <t>Deepwater well construction DT; O&amp;G</t>
  </si>
  <si>
    <t>Radioactive waste repository DT; nuclear</t>
  </si>
  <si>
    <t>IoT+blockchain material provenance; DT as prospect</t>
  </si>
  <si>
    <t>Vehicle-road-cloud review; Chinese journal, non-English</t>
  </si>
  <si>
    <t>Construction machinery development process; manufacturing DT</t>
  </si>
  <si>
    <t>Shop-floor manufacturing DT; Chinese journal, non-English</t>
  </si>
  <si>
    <t>CAV test field; automotive testing</t>
  </si>
  <si>
    <t>Li-ion battery DT; Chinese journal, non-English</t>
  </si>
  <si>
    <t>Unmanned excavators review; Chinese journal, non-English</t>
  </si>
  <si>
    <t>5D model review for O&amp;G plant remote monitoring</t>
  </si>
  <si>
    <t>Metaverse for energy industry (O&amp;G)</t>
  </si>
  <si>
    <t>SCADA intrusion detection; DT only future validation</t>
  </si>
  <si>
    <t>Mining BIM parametric modeling; Russian journal, non-English</t>
  </si>
  <si>
    <t>Deep-sea gas field DT; Chinese journal, non-English</t>
  </si>
  <si>
    <t>3D stratigraphic modeling; urban DT as application context</t>
  </si>
  <si>
    <t>Power grid construction site video monitoring; power industry</t>
  </si>
  <si>
    <t>Intelligent construction review; DT only future path</t>
  </si>
  <si>
    <t>PPE detection data-mixing benchmark; DT only synthetic data source</t>
  </si>
  <si>
    <t>Duplicate of ID 3681 (WoS copy)</t>
  </si>
  <si>
    <t>Textile spinning monitoring; Chinese journal, non-English</t>
  </si>
  <si>
    <t>Chinese journal (J. Tsinghua Univ.); non-English</t>
  </si>
  <si>
    <t>Power equipment perception; power industry</t>
  </si>
  <si>
    <t>Chinese journal (Bridge Construction); non-English</t>
  </si>
  <si>
    <t>Bridge thermal response bibliometric; DT recent trend only</t>
  </si>
  <si>
    <t>Electrical equipment electrothermal DT; power</t>
  </si>
  <si>
    <t>AI-in-construction review; DT one of six techs</t>
  </si>
  <si>
    <t>Proposal of a conceptual model of digital twins for construction sites</t>
  </si>
  <si>
    <t>Excavator 3D pose estimation using deep learning and hybrid datasets</t>
  </si>
  <si>
    <t>Construction and application of digital twin system for coal ports</t>
  </si>
  <si>
    <t>Risk Mitigation of a Heritage Bridge Using Noninvasive Sensors</t>
  </si>
  <si>
    <t>Construction and application of Digital Twin model of pipeline</t>
  </si>
  <si>
    <t>Guidance for Materials 4.0 to interact with a digital twin</t>
  </si>
  <si>
    <t>Machine learning for design and analysis of steel frame halls</t>
  </si>
  <si>
    <t>Cooperative Localization in Transportation 5.0</t>
  </si>
  <si>
    <t>Virtual and Augmented Reality Use Cases for Fusion Design Engineering</t>
  </si>
  <si>
    <t>Federation of non-destructive testing data for bridge asset management</t>
  </si>
  <si>
    <t>Robotic devices for Structural Health Monitoring</t>
  </si>
  <si>
    <t>State-of-Art review of resilience of bridges and bridge networks</t>
  </si>
  <si>
    <t>Reconstruction of the road bridge on Monte Cassino Avenue in Koszalin</t>
  </si>
  <si>
    <t>Community Twin Ecosystem for Disaster Resilient Communities</t>
  </si>
  <si>
    <t>Digital twins for secure thermal energy storage in building</t>
  </si>
  <si>
    <t>Use of gaming technology to bring bridge inspection to the office</t>
  </si>
  <si>
    <t>Diagnostic Systems and Complexes for Railways</t>
  </si>
  <si>
    <t>Risk assessment for modern industry</t>
  </si>
  <si>
    <t>Digitisation of as-built structures with AI</t>
  </si>
  <si>
    <t>Structural Information Modeling</t>
  </si>
  <si>
    <t>Integration and linking of inspection data in digital bridge models</t>
  </si>
  <si>
    <t>A digital twin framework for civil engineering structures</t>
  </si>
  <si>
    <t>AI and Digital Twin for Consumer Electronics in Smart Cities</t>
  </si>
  <si>
    <t>3D City Modeling on Infrastructure Construction Using Digital Twin</t>
  </si>
  <si>
    <t>A Big Data-driven Digital Twin Model Method for Building a Shop Floor</t>
  </si>
  <si>
    <t>Digital Twin-Based Investigation of a Building Collapse Accident</t>
  </si>
  <si>
    <t>Enhancing dam safety evaluation using dam digital twins</t>
  </si>
  <si>
    <t>Research on Building Process Optimization Framework Based on BIM-DT</t>
  </si>
  <si>
    <t>Deep-read: Methodology</t>
    <phoneticPr fontId="11" type="noConversion"/>
  </si>
  <si>
    <t>Deep-read: Deficiencies &amp; future work</t>
  </si>
  <si>
    <t>AI-based ANN surrogate model for DTs in SHM of reinforced concrete bridges (Cervenka Consulting/CTU, RILEM SSCS 2025): ANN has two roles - calibrating the virtual twin to physical structure behavior, then deployment as fast-response surrogate providing safety information for ongoing SHM; physically informed deep learning trained from nonlinear FEM (ATENA) sensitivity analyses; demonstrated on Leonhardt shear-beam numerical example (100/400/1000-sample datasets) identifying material parameters (fc, ft, E, GF) from load-displacement diagrams. Numerical example only - no live data link to a real bridge, no actuation, no learning loop. [Full-text source: Endnote]</t>
  </si>
  <si>
    <t>Renovation Digital Twin (RDT) platform (Northumbria U, RINNO Project): pilot implementation on French demonstration site; real-time data + dashboards monitoring 13 KPIs across 5 domains (cost, schedule, quality, safety, environment); TAM evaluation (102 professionals, Attitude Toward Use RII 0.894); 73% emissions reduction achieved but economic viability challenges. One-way monitoring→dashboard→decision support; no actuation and no learning loop. [Full-text source: Endnote]</t>
  </si>
  <si>
    <t>Construction digital twin demonstrators (health &amp; safety + progress monitoring) using Unreal Gaming Engine + CesiumJS mapping on a highway project (Skanska/UCL): location data integrates diverse sources; no-code approach for DT development; two case studies demonstrate 4D data presentation; explicitly described as human-in-the-loop DT (two-way communication with manual decision making) — virtual model changes reflect real-world changes, and humans act back on the physical site via decisions. Predictive capabilities discussed but not implemented; no learning loop. [Full-text source: Endnote]</t>
  </si>
  <si>
    <t>Hybrid simulation digital twin model for construction worker unsafe-behavior intervention (Central South U): closed-loop structured model with control panel, proactive management panel, and reactive panel; simulates workers behavioral safety under different intervention strategies using dual-attitude theory and reinforcement theory; proactive management maintains behavioral safety longer than reactive management. Simulation model only - no live data link to a real site, no actuation, no learning loop. [Full-text source: Endnote]</t>
  </si>
  <si>
    <t>Adaptable digital twin methodology for existing bridge management (HEIG-VD): integrates BIM + IFC (open interoperable formats) + ontology + FE models; laser-scanned 3D model converted to DT via IFC; enables structural analysis and what-if scenario simulations for maintenance decision-making; differential evolution algorithm for optimized FE model; case study demonstrates feasibility; cradle-to-cradle approach for end-of-life. One-way monitoring/analysis→maintenance decisions; no actuation and no learning loop (updates are manual inspection-based). [Full-text source: Endnote]</t>
  </si>
  <si>
    <t>Integrated bridge DT system (Cardiff U): combines WebGIS (Cesium), WebBIM (Xeokit), and graph algorithms (Neo4j) in a three-layer architecture with a common data environment (CDE); enables real-time monitoring, drone-enabled inspection, maintenance planning, traffic diversion, and logistics optimization; adaptive data structure with JSON-based bridge defect information modeling and triple-based roadmap graphs; SHM system flags structural issues and triggers alerts/traffic redirection; defects from drone inspection inform maintenance planning. One-way monitoring→analysis→decision support; no actuation and no learning loop. [Full-text source: Endnote]</t>
  </si>
  <si>
    <t>Mixed Reality-based human-robot collaboration for timber frame construction (USM Chile): vision-based collaborative industrial robot system for wood stereotomy; carpenter lays out joinery with conventional marks, robot cuts based on visual interpretation; digital twin of robot previsualizes all motions for task validation and safety (when to enter workspace); real-time visual feedback between human and robot; 3D model of cut shape constructed from vision system data. Bidirectional human-robot collaboration with robot executing physical tasks → Tier 3; no ML learning loop (rule-based mark interpretation). [Full-text source: Endnote]</t>
  </si>
  <si>
    <t>Metaverse-based building evacuation training system with deep reinforcement learning (Monmouth U): sensors (video cameras, smoke detectors) collect real-time crowd distribution and disaster location; cloud servers train a DRL model to find optimal escape paths and dynamically guide evacuees via dynamic guidance signs; experiments in different simulation scenes show superiority over traditional static guidance in saving evacuation time. One-way monitoring→DRL guidance→human evacuees; no actuation and no learning loop (DRL is trained in simulation, not online). [Full-text source: Endnote]</t>
  </si>
  <si>
    <t>DT x Transformer closed-loop intelligent construction system for high-rise self-climbing platform (HUST/UNSW): video/sensor/BIM/text aligned at component level via Component-ID+Timestamp; multimodal Transformer for operation-state recognition and short-horizon risk prediction; policy module encodes safety/resource/spatial precedence constraints to generate feasible task sequences delivered to crews via AR with acknowledgments to close the loop; validated on high-rise SCP project (extends risk-warning lead time, reduces violation rates, shortens decision latency). Bidirectional closed-loop (DT-&gt;reasoning-&gt;AR execution) -&gt; Tier 3; no learning loop. [Full-text source: Endnote]</t>
  </si>
  <si>
    <t>Sky-space-ground integrated remote sensing monitoring DT framework for multi-source Data-BIM integration in residential quality monitoring (Beijing U Civil Eng &amp; Arch, J Building Eng 2025): RBIM (residential building information model) aggregates full-lifecycle project data; SSIoT (surveying sensors + IoT) links physical things to cyberspace; multi-sensor monitoring (monitoring LiDAR, automated monitoring robots, GNSS, drones) with BIM collaborative multi-source data fusion; cloud platform unifies data processing/storage avoiding information islands; experiments: 8-phase LiDAR monitoring of a frame building tracking target-sphere centre displacement to assess building deformation trends, accuracy verification of self-developed LSIIS centre-extraction algorithm vs PCL/ICP/WTLS (Faro + Livox LiDAR), building settlement monitoring analysis with BIM-sensor linkage. One-way monitoring to DT platform for O&amp;M quality management; no actuation, no learning loop. [Full-text source: Endnote]</t>
  </si>
  <si>
    <t>UAV-based framework for worker monitoring and management on large-scale construction sites (CUHK): pretrained YOLO-LCA model (detection accuracy improved 31.5%→96.4%) + multi-object tracking + 3D site reconstruction for precise global registration and situational awareness; cross-referencing UAV detections with GPS-enabled worker IDs for authorization verification; large-scale validation across multiple construction projects in Hong Kong; continuous UAV data collection enables iterative model retraining, improving detection robustness. One-way monitoring→authorization verification→decision support; implemented retraining loop but no convergence criterion. [Full-text source: Endnote]</t>
  </si>
  <si>
    <t>Digital twin-driven pose estimation and trajectory prediction for modular integrated construction (MiC) on-site stacking (PolyU): UWB sensors + IMUs capture real-time dynamic activities of smart stacking objects; DT of stacking operations interacts with physical counterparts in real time for seamless mapping/visualization; PosTraFormer network (spatio-temporal feature fusion of trajectory point relations) for 6-D module pose estimation and trajectory prediction to provide stacking guidance; comparative experiments + case studies show higher trajectory prediction performance. One-way monitoring/prediction→guidance for crane operators; no actuation and no learning loop (PosTraFormer is offline-trained). [Full-text source: Endnote]</t>
  </si>
  <si>
    <t>Universal Discontinuity Index (UDi) for probabilistic rock-block failure prediction in tunnels (Pontificia Universidad Catolica de Chile): single probabilistic score fusing physical damage, effective-stress intensity, active-fracture ratio, and kinematic feasibility; embedded in Poisson-regression early-warning model converting index updates to expected block counts; validated via DFN-KBT engine (5300 realizations) at El Teniente mine (R2 = 0.93); millisecond updates for real-time DT workflow. One-way monitoring→prediction→early warning; no actuation and no learning loop (UDi is a static probabilistic index, not self-improving). [Full-text source: Endnote]</t>
  </si>
  <si>
    <t>Integrated intelligent approach for monitoring and management of deep foundation pit in a subway station (Shenzhen Metro Line 12 Waterlands Resort East Station): on-site geological investigation + 3D transparent geology on BIM platform; multi-source sensing (MEMS, BOFDA distributed optical fiber, laser radar, UAV, machine vision) for pit axial force/displacement/strain/temperature; BIM-based intelligent monitoring platform (proprietary cast modeling cloud platform); four ML neural networks predict key pit parameters - GA-BP achieved smallest error on this project; DT app terminal with 3D visualization, full-lifecycle monitoring, predictive analysis + AR combining BIM 3D model with real tunnel scenario. One-way monitoring to prediction to risk management; no actuation, no learning loop. [Full-text source: Endnote]</t>
  </si>
  <si>
    <t>Digital construction site layout planning and real-time trajectory analysis for proactive safety monitoring and control of struck-by hazards (DTCS Right-time Analysis and Mitigation module; DTU/TUM): RTK-GNSS + LoRa live location tracking of pedestrian workers and heavy equipment streamed to DTCS; semi-static and dynamic hazard zones (1-m boundary + operator blind-space geometry); real-time incident detection of unauthorized entry and too-close proximity; density maps / histogram heatmaps identify hazardous activities; safety-plan revision recommendations (separating worker/equipment areas, temporary pedestrian walkways); field experiments in Munich subway rail maintenance staging area showed significant reduction in spatial conflicts and improved zone connectivity, with newly detected hazards (rail traffic, delivery trucks) triggering iterative plan updates. One-way monitoring to analysis to mitigation recommendations/alerts for safety personnel; no actuation, no learning loop. [Full-text source: Endnote]</t>
  </si>
  <si>
    <t>Multi-dimensional framework for assessing construction machinery digital twin (CMDT) maturity (HUST): 24 maturity indicators across five dimensions from literature review + expert interviews; expert-opinion grouping via community detection with competency/quality-weighted groups; improved bi-objective optimization model (adjustable penalty weight balancing PDF overlap vs confidence of collective opinion) aggregates expert judgments into overall CMDT maturity; validated on a real-world DT-driven ACS (automated climbing system) high-rise project whose DT integrates safety sensors (inclinometers, leveling instruments) and operational sensors (oil pressure, laser rangefinders); identifies maturity levels and improvement pathways. Study assesses DT maturity - does not itself build/operate a DT (tier Unclear); no learning loop. [Full-text source: Endnote]</t>
  </si>
  <si>
    <t>BIM-enabled digital twin framework for real-time structural health monitoring (NJIT): wireless IoT sensing (strain gauges, laser displacement) + digital signal processing (WT with sym4 kernel optimal) + structural analysis domain knowledge; sensor data interpolation in Revit for visualization of structural behaviors at different locations; DT updating frequency of 5 Hz; validated on prototyped structural frame under bending forces. One-way monitoring→visualization→decision support; no actuation and no learning loop (interpolation is static mapping). [Full-text source: Endnote]</t>
  </si>
  <si>
    <t>IoT+Digital Twin intelligent monitoring system for tunnel construction (Zhejiang Songyang): multi-source sensor network (environment, equipment, surrounding rock) + BIM dynamic modeling + risk intelligent analysis using improved D-S evidence theory (multi-source risk assessment with effectiveness factor and conflict weakening strategy); 100% monitoring coverage and 100% warning accuracy; captures palm face collapse and enclosing rock deformation time-sequence. One-way monitoring→risk assessment→early warning; no actuation and no learning loop (D-S evidence theory is rule-based fusion, not learning). [Full-text source: Endnote]</t>
  </si>
  <si>
    <t>Digital twin approach for underpass clearance checking in highway widening projects (UCL/HUST): online map data (DSM, DEM, aerial photos) → digital twin of existing main road + underpass road → BIM model of widened road; clearance check and redesign at preliminary design stage; cost-effective without field surveys; implemented on a UK underpass road. One-way design-stage analysis→clearance check; no live data link, no actuation, no learning loop. [Full-text source: Endnote]</t>
  </si>
  <si>
    <t>Intelligent control of building fire protection (BFP) system using DT + semantic web technologies (SJTU): BFP ontology fuses static BIM geometric info + dynamic IoT sensing data into DT data model; rule model activates process model (workflow engine) for intelligent control mechanisms; DT data model synced with physical space; fire accident simulation case study demonstrates rapid response and evacuation facilitation; semantic web enables information acquisition/extraction/verification/update. Bidirectional — rule model triggers process model → physical actuation → Tier 3; no ML learning loop (rule-based control). [Full-text source: Endnote]</t>
  </si>
  <si>
    <t>Early-warning of unsafe hoisting operations via DT + knowledge graph (HUST): DT framework mirrors real-time operational status of tower crane (lifting, luffing, rotation); knowledge graph identifies unsafe hoisting operations by leveraging real-time data from the DT; scaled-down tower crane replica in lab; warning rate &gt;70%, false alarm rate &lt;20%. One-way monitoring→KG analysis→early warning; no actuation and no learning loop (KG is rule-based). [Full-text source: Endnote]</t>
  </si>
  <si>
    <t>Knowledge graph exploitation for construction safety planning (DTU): 4D BIM + automated safety analysis results → ontology + knowledge graph for cross-domain knowledge extraction; query building blocks transform natural language questions into actionable queries; case study shows cross-domain impact of decisions (e.g., crew assignment → safety). Static knowledge representation — no live data link, no actuation, no learning loop (ontology/querying is static). [Full-text source: Endnote]</t>
  </si>
  <si>
    <t>Vision-based digital twinning and threat assessment for construction site disaster preparedness (Texas A&amp;M): deep learning encodes disaster risk context into construction site digital twin models to identify and analyze potential wind-borne debris characteristics and impacts; case studies on nine piles of construction materials; rapid 2D/3D semantic segmentation for vulnerability flagging. Static DT for risk assessment — no live data link, no actuation, no learning loop. [Full-text source: Endnote]</t>
  </si>
  <si>
    <t>Digital twin-enabled heat risk monitoring for construction workers (Texas A&amp;M): geometric digital twin of construction site + real-time weather station data + computational simulations for spatio-temporal heat risk analysis; case study in Stephenville, Texas, shows superior fidelity vs black-globe thermometer; near-real-time heat risk maps enable targeted interventions. One-way monitoring→simulation→risk maps; no actuation and no learning loop (microclimate simulation is physics-based, not learning). [Full-text source: Endnote]</t>
  </si>
  <si>
    <t>Informative digital twin (IDT) based fire emergency management system (Sehan U/KUT): cloud-edge-device layers; edge-layer IDT built with object-oriented design gathers/processes building state data; fire recognition via online DTW similarity measurement between real and simulated virtual sensor data; risk assessment with ARET/RRET/SM metrics per zone; case study shows 0.88s fire recognition processing time and 65s evacuation time reduction. One-way monitoring→fire recognition→risk assessment; no actuation and no learning loop (DTW is similarity matching, not learning). [Full-text source: Endnote]</t>
  </si>
  <si>
    <t>Geometric digital twin for condition assessment of large-diameter pipelines (Dalian U/Tongji): laser scanning point clouds → density-based clustering + fitting + region growing algorithm → accurate 3D surface mapping; geometric DT enables quantitative assessment of structural deformation (mean error &lt;1 mm) and blockage defects; validated experimentally vs total station. Static DT for condition assessment — no live data link, no actuation, no learning loop. [Full-text source: Endnote]</t>
  </si>
  <si>
    <t>DT-based risk control framework for prefabricated building hoisting (Beijing U Tech): DEMATEL-ISM establishes hierarchical safety risk model considering correlation between risk factors; Bayesian network visualizes decision analysis process for risk control; real-time data interaction with DT model; key degree of indirect inducement variables calculated by probability; validated on a large prefabricated building project. One-way monitoring→analysis→decision support; no actuation and no learning loop (Bayesian network is offline-inferred). [Full-text source: Endnote]</t>
  </si>
  <si>
    <t>Intelligent tensioning method for prestressed cables via DT + AI integration (Beijing U Tech): fusion mechanism of DTs and AI for intelligent tensioning; multi-dimensional/multi-scale modeling for visualization; AI control center with closed-loop control framework; sensing equipment + intelligent algorithms for high-fidelity twin model and safety performance evaluation; enables dynamic perception, real-time processing, intelligent diagnosis, and intelligent decision-making. Closed-loop control framework → Tier 3; no learning loop (AI is control/decision, not self-improving). [Full-text source: Endnote]</t>
  </si>
  <si>
    <t>DT-based impact response prediction of prestressed steel structures (Beijing U Tech): high-fidelity DT from 3D laser scanning + BIM + FE simulation; improved BP algorithm predicts structural impact response; perception/transmission/analysis/service layers; validated on prestressed steel structure experiment. One-way monitoring→prediction→safety assessment; no actuation and no learning loop (BP is offline-trained). [Full-text source: Endnote]</t>
  </si>
  <si>
    <t>Structural safety risk prediction for terminal building steel roof construction (Beijing U Tech): DT model + FE analysis → sensor installation (hydraulic jacks, temperature, stress); XGBoost prediction model for stress changes of key rods (98% accuracy); compared GA-BPNN, RF, XGBoost; validated on airport renovation project. One-way monitoring→prediction→risk management; no actuation and no learning loop (XGBoost is offline-trained). [Full-text source: Endnote]</t>
  </si>
  <si>
    <t>Digital twin-driven intelligent safety control for large-span steel mesh frame structures (Beijing U Tech): DT model built from actual engineering data + FE analysis; random forest algorithm analyzes influencing factors of overall jacking construction process (jacking height difference and jacking speed most influential); real-time monitoring + fault diagnosis; validated on airport reconstruction project. One-way monitoring→analysis→safety control; no actuation and no learning loop (random forest is offline-trained). [Full-text source: Endnote]</t>
  </si>
  <si>
    <t>Automated digitalization of engineered slopes for interactive digital twin visualization (HKUST): city-scale LiDAR point clouds → DrainNet (CNN, 81.26% Dice) for drainage channel delineation → automated parametric BIM modeling (Grasshopper, 9x faster than Dynamo) → web-based digital twin platform for interactive visualization and asset management. Static BIM models for visualization — no live data link, no actuation, no learning loop. [Full-text source: Endnote]</t>
  </si>
  <si>
    <t>Tunnel performance prediction through degradation inspection and digital twin construction (USP): methodology correlates performance loss (tunnel serviceability index TSI) to defects via 2D grid of classified unit cells converted to virtual representation; inspection DT prototype maps zones with greatest degradation; limit analysis with inverse exponential equations estimates intervention times; railway tunnel for ore transport in northern Brazil; target intervention time 16 years. One-way inspection→TSI mapping→intervention prediction; no actuation and no learning loop (stochastic models are statistical, not learning). [Full-text source: Endnote]</t>
  </si>
  <si>
    <t>Automated procedural modeling for tunnel inspection and digital twin development (USP): parametric modeling + field data → automated procedural modeling framework for tunnel inspection DT; PCD from Faro Focus 3D X330 laser scanner; Mesh Decimation Quality (MDQ) index evaluates mesh quality during decimation; procedural inspection grid identifies defects and classifies areas; Coastal Tunnel (Brazil) case study. Static DT for inspection — no live data link, no actuation, no learning loop. [Full-text source: Endnote]</t>
  </si>
  <si>
    <t>SMAC-based cooperative hyperparameter optimization for occupational risk assessment in decentralized federated on-device AI networks (Jeju National U): DFL framework with one-shot cooperative HPO (SMAC) + DT orchestration layer to manage edge nodes and network topologies; local SMAC tuning + performance-weighted aggregation; validated on worker-safety and MNIST datasets with Raspberry Pi testbed; convergence rounds reduced 42→18 (worker safety). One-way monitoring→HPO→risk assessment; no actuation and no learning loop (SMAC is hyperparameter optimization, not online learning). [Full-text source: Endnote]</t>
  </si>
  <si>
    <t>FL-based Safety Monitoring Digital Twin (SMDT) framework for multi-worker safety prediction (Jeju National U): DT platform + central FL server; edge devices (Raspberry Pi) represent workers and IoT nodes; real-world construction safety data (worker status, weather, structural parameters); dynamic node selection mechanism (normal distribution) optimizes global model convergence in FL; DT supports device registration, model creation, real-time control, visualization of FL training, and safety prediction. One-way monitoring→FL aggregation→safety prediction; implemented FL training loop but no convergence criterion. [Full-text source: Endnote]</t>
  </si>
  <si>
    <t>Enriching geometric digital twins of buildings with small objects (TUM/Cambridge): fuses laser scanning + photogrammetry; AI-based image segmentation (deep learning) detects small objects (electrical, fire-safety, plumbing); AI-based text detection/recognition extracts object IDs; semantic info mapped to 3D point cloud → enriched DT with geometric + semantic + text info; comprehensive case study. Static DT for facility management — no live data link, no actuation, no learning loop. [Full-text source: Endnote]</t>
  </si>
  <si>
    <t>Systematic and quantitative review of digital twins in construction using text mining (Indiana State U): investigates impacts and potentials of DTs via literature review + text mining; identifies leading/core technologies and applications; no DT built, evaluated, or methodologically developed - R=No -&gt; Stage-2 exclude. [Full-text source: Endnote]</t>
  </si>
  <si>
    <t>IFC-based framework for semantic integration of BIM and mobile crowd sensing in real-time evacuation routing (KNTU): IFC models transformed into dynamic decision graph with spaces/exits/sensors annotated by live crowd-sensed info; Wi-Fi-based indoor localization with two-stage crowdsensing; multi-criteria shortest-path routing via extended Dijkstra with dynamically updated weights (distance to hazards, travel time, exit availability, route safety index); AHP weight prioritization; implemented in four-story academic building. One-way monitoring→routing guidance; no actuation and no learning loop (Dijkstra is algorithmic, not learning). [Full-text source: Endnote]</t>
  </si>
  <si>
    <t>BIM-FEM-real-time monitoring framework for seismic assessment of Prince Moulay Abdellah Dam (Sapienza U): BIM digital replica interoperable with FEM simulations; real-time SHM sensor data captured during magnitude 6.8 earthquake (Sept 8, 2023); FEM analysis corroborated field measurements (abutments showed increased longitudinal displacement, central vault stable); BIM enables efficient monitoring data management. One-way monitoring→FEM validation→safety assessment; no actuation and no learning loop. [Full-text source: Endnote]</t>
  </si>
  <si>
    <t>Risk systematization approach for construction projects using Digital Twins for Construction Projects (DTCP) (UT Cluj-Napoca): reviews risks and proposes risk treatment procedure + custom risk matrix adapted to DTCP; aims to improve prediction capabilities for decision-makers; conceptual framework with no DT built or validated; no live data link, no actuation, no learning loop. [Full-text source: Endnote]</t>
  </si>
  <si>
    <t>BIM-based DT framework for urban roads (Sapienza/Politecnico di Torino): integrates MMS-derived LiDAR point clouds with municipal GIS layers and authoritative geodatabases; multi-scale workflow (city-wide LoD200 to asset-level LoD400) with IFC 4.3 semantic enrichment; geometric accuracy ±3 cm; integrates 45+ km of urban road network; supports multi-scale visualization, asset management, and predictive maintenance. Static DT — no live data link, no actuation, no learning loop (sensor-integrated updates are future work). [Full-text source: Endnote]</t>
  </si>
  <si>
    <t>Systematic review + topic modeling of smart construction safety technologies (Kookmin U/Cyber Hankuk U): investigates DTs, IoT, big data for real-time monitoring and predictive risk management; develops conceptual framework for integrating smart technologies into safety systems; no DT built, evaluated, or methodologically developed - R=No -&gt; Stage-2 exclude. [Full-text source: Endnote]</t>
  </si>
  <si>
    <t>Intelligent overall planning model of underground space based on digital twin (Qingdao U): analytic hierarchy process for relative weight vector + Bayesian network for safety accident risk assessment; five-dimensional DT model for visualization and disaster prevention monitoring; real-time monitoring and analysis of underground space data; conceptual model with no DT built or validated; no actuation and no learning loop. [Full-text source: Endnote]</t>
  </si>
  <si>
    <t>Digital twin-driven stability optimization framework for large underground caverns (Hanyang U): five-dimensional DT framework (physical objects, virtual objects, service systems, DT data, interconnections) with six modules (structure, geology, material, behavior, performance, environment); IFC standards for interoperability; seven-step methodology (geological assessment, virtual modeling, BIM-based design, construction, real-time monitoring, optimization); case study demonstrates improved deformation monitoring and rock support efficiency. One-way monitoring→optimization→stability management; no actuation and no learning loop (optimization is rule-based, not learning). [Full-text source: Endnote]</t>
  </si>
  <si>
    <t>Reverse digital twin mapping of building envelope anomalies based on UAV infrared point clouds (Huaqiao U): PCRNet fuses infrared + point cloud data; CNN-based anomaly detection for regular/irregular geometric envelope structures; compares extracted temperature info with labeled abnormal dataset; 299 experimental data points, 92% accuracy, 96.3% precision, 94% recall, 95.1% F1-score, 5.21s detection speed. Static DT mapping — no live data link, no actuation, no learning loop. [Full-text source: Endnote]</t>
  </si>
  <si>
    <t>Simultaneous digital twin framework for building facade inspection (Tsinghua U): wall-climbing robot (negative pressure adhesion) with RGB camera + penetrating sensors; real-time vision-based defect segmentation (mAP 0.775) and metric quantification (length error 1.140 cm, center error 0.826 cm); cloud-based DT platform for quantitative defect visualization, spatiotemporal traceability, and data-driven project management; on-site inspection cycle latency 2.8-4.8s; validated on real building projects. One-way monitoring→DT→decision support; no actuation and no learning loop. [Full-text source: Endnote]</t>
  </si>
  <si>
    <t>Digital twin for advanced geological conditions in rock tunnel construction (Tongji U): multi-source geological data (water content, lithology, integrity) → multi-dimensional virtual models (geometric, attribute, behavior); fuzzy cloud probability model quantifies uncertainty for intelligent rock classification (92.95% accuracy); iS3 platform implements closed-loop data-model-decision; validated on five rock tunnel projects. Closed-loop data→model→decision→feedback → Tier 3; no learning loop (fuzzy cloud is probabilistic, not learning). [Full-text source: Endnote]</t>
  </si>
  <si>
    <t>Intelligent risk prognosis and control of foundation pit excavation (FPE) based on DT (Beijing U Tech): physical space (RFID + sensors capture components, environment, personnel) + virtual space (high-fidelity physics-based model); data fusion from physical and virtual space; FE model (FLAC3D) updated with real-time parameters; geometric model updated via point data; risk prognosis and control measures established based on safety state; validated on Wuhan Metro Line. Bidirectional — virtual model updated from physical, control measures from virtual → Tier 3; no learning loop (model updating is manual). [Full-text source: Endnote]</t>
  </si>
  <si>
    <t>Data and knowledge-driven bridge digital twin modeling (DK-DTM) framework for smart O&amp;M (Beijing U Tech): multi-source data collection + spatiotemporal modeling + expert knowledge reasoning; real-time data from spatial/temporal models; expert knowledge model for automated structural health assessment; supports monitoring, prediction, and decision-making for efficient maintenance. One-way monitoring→assessment→decision support; no actuation and no learning loop (expert knowledge is rule-based, not learning). [Full-text source: Endnote]</t>
  </si>
  <si>
    <t>Human-in-the-loop digital twin (HITL-DT) framework for smart civil infrastructure O&amp;M (Beijing U Tech): fuses human cognition (perception, team situation awareness), AI, and engineering knowledge for risk sensing/diagnosis (spatiotemporal changes) and risk prediction/control; formalizes structural mechanics knowledge, embeds engineering code rules, expandable case knowledge base; multi-source spatiotemporal sensing (human inspection + machine vision). Human-in-the-loop bidirectional with human oversight → Tier 3; no learning loop (knowledge is rule-based, not learning). [Full-text source: Endnote]</t>
  </si>
  <si>
    <t>Sensor acquisition and allocation for real-time monitoring of articulated construction equipment in digital twins (U Michigan): orientation sensors on backhoe loader boom/stick/bucket → real-time 3D DT visualization + proximity monitoring with preset safety thresholds → audio-visual warnings for operators; proof-of-concept for excavator operators preventing underground utility strikes; validation experiments characterize spatio-temporal discrepancies. One-way monitoring→DT visualization→warnings; no actuation and no learning loop. [Full-text source: Endnote]</t>
  </si>
  <si>
    <t>TERIMAAS framework for territorial risk management and analysis across scale (Politecnico di Torino): centralized PostGIS repository harmonizes BIM + GIS + IoT data; real-time IoT-derived information updates vulnerability and risk scores; GIS spatial analysis assesses risk scores for each hazard type; BIM data refines assessment with building/functional characteristics; flood risk case study in northwest Italy; dynamic risk assessments adapt to changing conditions. One-way monitoring→risk assessment→decision support; no actuation and no learning loop (risk scores are rule-based, not learning). [Full-text source: Endnote]</t>
  </si>
  <si>
    <t>Digital twin-driven system for road maintenance (TECNALIA): UAV + AMR integration for automated inspection and measurement of road assets; data fusion and real-time synchronisation between field agents and centralised DT; retro-reflectivity monitoring of signage, obstacle/vegetation detection; supports data-driven maintenance planning; case study on Italian highway network. One-way monitoring→DT→maintenance planning; no actuation and no learning loop. [Full-text source: Endnote]</t>
  </si>
  <si>
    <t>Graphics-based digital twin (GBDT) framework for UAV-aided post-earthquake inspection of high-rise buildings (Guangzhou U/UIUC): FE model + photorealistic computer graphics (CG) model; CG model automatically imports structural components from FE model + adds nonstructural components; GBDT used to evaluate UAV flight schemes for inspection; FE analysis determines earthquake-induced damage locations; three UAV inspection schemes implemented virtually to select best. Static DT for inspection planning — no live data link, no actuation, no learning loop. [Full-text source: Endnote]</t>
  </si>
  <si>
    <t>BIM-driven closed-loop digital twin framework for human-robot collaborative construction (TAMU/U Michigan): BIM drives robot functions; robot adaptively adjusts plans based on actual site conditions; human co-worker oversees and intervenes (change task sequence, workspace geometry, new motion plan); as-built information sent back to BIM forming closed-loop; drywall installation case study + Gazebo simulation + physical robotic arm experiments. Bidirectional closed-loop — BIM updated with as-built data → Tier 3; no learning loop (adaptation is rule-based, not learning). [Full-text source: Endnote]</t>
  </si>
  <si>
    <t>Real-time mixed reality-based visual warning system for construction workforce safety (RMIT U): integrates BIM + CV + DL; VCS simulates construction activities, identifies hazards from BIM models + real-time camera info; wearable MR devices present hazard information to workers for proactive actions; three outdoor tests; 96.1% hazard identification accuracy, 424ms delay, 72m² effective area. One-way monitoring→hazard identification→warnings; no actuation and no learning loop. [Full-text source: Endnote]</t>
  </si>
  <si>
    <t>Knowledge-data driven digital twin platform for tunnel face stability (TFS) prediction and control in large-diameter slurry shield construction (HUST): bidirectional synchronization between physical entity and virtual model; BO-GCN-BiLSTM + SHAP for TFS prediction (avg R2 0.935, RMSE 0.162 across 6 geological types); expert knowledge integration; control of TFS by maintaining slurry pressure within optimal range; validated on Wuhan Metro Line 12. Bidirectional — prediction→control → Tier 3; implemented BO-GCN-BiLSTM, no convergence criterion. [Full-text source: Endnote]</t>
  </si>
  <si>
    <t>Multisource information fusion for real-time prediction and multiobjective optimization of large-diameter slurry shield attitude (HUST): BO-CatBoost prediction model (R2 &gt; 0.9, RMSE &lt; 1.2, MAE &lt; 0.9 across 3 soils) + MOEAD multiobjective optimization; SHAP identifies propulsive thrust as most influential; DT framework for SA control; validated on Yangtze River large-diameter slurry shield project (Wuhan). One-way monitoring→prediction→optimization; no actuation and no learning loop (offline-trained). [Full-text source: Endnote]</t>
  </si>
  <si>
    <t>Tunnel digital twin construction and virtual-real fusion application (China Academy of Transportation Sciences): BIM technology constructs static tunnel scene model; 3D registration/projection integrates multi-channel surveillance video into 3D virtual scene in real time; multi-source sensing data fused for traffic flow, accident rescue, facility management, emergency response; management model for tunnel operations. One-way monitoring→virtual-real fusion→management; no actuation and no learning loop. [Full-text source: Endnote]</t>
  </si>
  <si>
    <t>AIoT-powered building digital twin for smart firefighting and super real-time fire forecast (PolyU): AIoT-integrated DT maps building fires to digital fire scene; ADLSTM-Fire model transforms discrete sensor-array data into high-dimensional spatiotemporal temperature fields; forecasts fire development and hazardous regions 60s in advance; validated via full-scale building fire experiment; 93% reconstruction accuracy, 92% forecast accuracy. One-way monitoring→forecast→firefighting support; no actuation and no learning loop (offline-trained). [Full-text source: Endnote]</t>
  </si>
  <si>
    <t>Edge-cloud collaborative digital twin for vibration anomaly detection and localization in high-rise buildings (Shenzhen U): wireless time-synchronized smart sensor (WTSS) with edge computing for anomaly detection; cloud server runs structural dynamics DT model for vibration source localization; BIM-based management platform for visualization; validated on 17-story high-rise teaching building with harmonic excitation tests. One-way monitoring→detection→localization; no actuation and no learning loop. [Full-text source: Endnote]</t>
  </si>
  <si>
    <t>Digital twin model for monitoring building structural health by combining BIM and real-scene 3D model (Nanjing Tech U): fuses BIM with real-scene 3D model via rigid-body transformation (3D spatial position registration) + semantic information mapping (JSON); reconstructs BIM into sub-BIMs; sensor data stored in database and integrated with fused model; Nanjing Museum Old Hall case study. One-way monitoring→fusion→visualization; no actuation and no learning loop. [Full-text source: Endnote]</t>
  </si>
  <si>
    <t>DT-based framework for multi-objective optimization of shield tunneling parameters (Shenzhen U/HUST): layered architecture (data acquisition, preprocessing, modeling, optimization); SHAP identifies key parameters; ABC-NSGA-III hybrid optimization algorithm; optimized parameters iteratively fed back into DT to guide parameter adjustment; validated on Shanghai Airport Link Line project; 32.02% overall optimization rate, shield attitude deviation reduced 2.21-17.13%. Bidirectional — optimization→feedback→guidance → Tier 3; no learning loop (optimization is algorithmic, not learning). [Full-text source: Endnote]</t>
  </si>
  <si>
    <t>Real-time maintenance monitoring system using BIM and digital twin integration (Sungkyunkwan U): LOD 400 BIM model of solar-powered noise barrier tunnel + IoT sensors (vibration, tilt, light, air quality, water detection) synchronized via Autodesk Forge API + WebSockets; web-based dashboard for visualization; anomaly detection via two-tiered approach (device alerts + post-processed trend analysis); validated on Wansan Tunnel in South Korea. One-way monitoring→visualization→maintenance decisions; no actuation and no learning loop. [Full-text source: Endnote]</t>
  </si>
  <si>
    <t>Digital-twin based multi-information intelligent early warning and safety management platform for tunnel construction (CUGB/Beijing Jiaotong U): WSN base stations for instruction sending, warning, positioning, information transmission; multi-source sensors (safety, environmental, construction, auxiliary) integrated; four-level early warning and emergency response plan; validated on Dongtianshan Tunnel (deep buried, extreme weather, harmful gas); collapse accident successfully predicted. One-way monitoring→early warning→management; no actuation and no learning loop. [Full-text source: Endnote]</t>
  </si>
  <si>
    <t>Topology-guided Fourier Neural Operator (TG-FNO) with decoupled geometric parameterization for dam leakage detection (Chongqing Jiaotong U/HKUST): FNO replaces numerical solver for forward potential-field simulation (345x speedup, mean rel error 3.18%); decoupled geometric parameterization separates deterministic defect from stochastic background; Navigator network extracts coarse topological priors to initialize parallel multi-hypothesis workflow; 99.7% avg inversion success rate, 89.3% high-fidelity reconstruction, 72x overall acceleration vs FEM; robust to 20% noise and 50% data loss, detects unseen low-contrast early leakages, OOD generalization without retraining. One-way ERT-&gt;inversion-&gt;leakage localization for safety monitoring; implemented operator-learning surrogate (offline-trained), no actuation. [Full-text source: Endnote]</t>
  </si>
  <si>
    <t>RETRACTED ARTICLE: This paper (A dynamic digital twin-based health monitoring method for steel structures integrating multi-source sensing and intelligent algorithms, Int J Structural Integrity 2025) has been RETRACTED by the publisher. Per SLR best practice, retracted papers must be excluded from the review. P=Q=R=No. The Endnote full text is flagged RETRACTED in its header. [Full-text source: Endnote]</t>
  </si>
  <si>
    <t>DT-enabled synchronous jacking control of an aerial building machine (ABM) using a scale model (HUST): scale experimental platform; deep neural network (DNN-PID) for dynamic error compensation; reinforcement learning tunes control parameters; transfer learning migrates DNN-PID controller to scale model; DT system for visual presentation of jacking data and equipment states during synchronous control; jacking tests show 0.407 mm synchronization error (max &lt;0.46 mm across 10 conditions), 29% max error reduction with fewer iterations; DNN-PID reduces MSE by 5.87 mm vs traditional PID. Bidirectional closed-loop (monitoring-&gt;control) -&gt; Tier 3; implemented RL tuning + transfer learning (implemented learning mechanism, no convergence proof). [Full-text source: Endnote]</t>
  </si>
  <si>
    <t>MBSE-based design of a DT system for rotation-construction monitoring of a 90m+90m single-tower cable-stayed bridge (SWJTU): V-model architecture via RFLP (requirements-functional-logical-physical) process; SysML models for requirements/functions/behavior/integration; DT intended to predict risks and optimize rotation construction plans before implementation; MBSE improves design efficiency and early flaw detection. Design-phase work only - DT not yet implemented/deployed, model validation is future work; no live data link, no learning loop. [Full-text source: Endnote]</t>
  </si>
  <si>
    <t>Perspective article reviewing structural monitoring/evaluation/diagnosis for urban lifeline infrastructures; proposes a conceptual paradigm of integrated structural state-effect DT modeling and predictive diagnosis of hidden risks, and countermeasures for three bottleneck issues (multi-source point monitoring + area detection data fusion). No DT is built or validated and no specific methodology is implemented - R=No -&gt; Stage-2 exclude. [Full-text source: Endnote]</t>
  </si>
  <si>
    <t>DT evaluation of public toilet ventilation design (Southeast U/NUS): Revit BIM digital twins of different ventilation systems; CFD-based pollutant diffusion simulation + DesignBuilder energy simulation; all-air AC with 400mm exhaust height reduces energy 20.4% and carbon by 30681 kg CO2. Focus is indoor air quality/comfort/energy in a building, NOT construction/operation SAFETY (hazards, accidents, structural) or QUALITY (defects/rework) - Q=No -&gt; Stage-2 exclude. [Full-text source: Endnote]</t>
  </si>
  <si>
    <t>DT-enabled simulation system for NATM tunnel construction process considering multi-source uncertainty (Tongji U): five-dimensional DT concept with four-layer architecture (perception, transmission, modelling, alternation); integrated discrete event simulation (DES) model as core; Markov random field (MRF) for stochastic geological modelling; AHP-DEMATEL tunnel vulnerability evaluation + delay probability density functions for construction uncertainties; validated on a real-world tunnel project for schedule estimation, site communication, safe/efficient completion. One-way monitoring-&gt;simulation-&gt;schedule/safety decision; no actuation, no learning loop. [Full-text source: Endnote]</t>
  </si>
  <si>
    <t>Digital twin model theory for tunnel construction safety assessment (Beijing U Tech): IoT + smart sensors collect project data; DT built combining BIM + Midas + LSTM ML algorithm; black-box/gray-box/white-box hierarchical data processing; vault (arch crown) settlement predicted with high accuracy and dynamic safety-state assessment during tunnel construction. One-way monitoring-&gt;prediction-&gt;assessment; no actuation, no learning loop (LSTM offline-trained). [Full-text source: Endnote]</t>
  </si>
  <si>
    <t>Digital twin-based investigation of a building collapse accident (Tsinghua U): virtual digital building models (BIM, FE model, physics-engine model) built from real-world info; real-world data mapped into virtual space to construct highly realistic multistage models before and after the collapse, synchronized; investigators integrate/update/check models to reveal collapse mechanism; validated on a real collapse accident (columns exceeded critical buckling stress from welding-induced local buckling/plastic deformation). One-way data-&gt;model-&gt;cause diagnosis; no actuation, no learning loop. [Full-text source: Endnote]</t>
  </si>
  <si>
    <t>Intelligent prediction of prestressed steel structure construction safety based on BP neural network (South China U Tech): DT virtual model of construction process; BP neural network captures relationship between design parameters and mechanical parameters; working conditions set in twin model to obtain mechanical parameters, then safety performance evaluated; applied to string beam construction; predicted results verified against on-site measured data. One-way monitoring-&gt;BP prediction-&gt;safety assessment; no actuation, no learning loop. [Full-text source: Endnote]</t>
  </si>
  <si>
    <t>DT construction method for monitoring operation status of building machine jacking operation (BMJO) (Hubei U Tech): DT framework with layered architecture; Blender geometric node group creates parametric virtual model; ANN enables online prediction of structural performance; motion model realizes real-time state mapping; real BM project validates system (quantitative monitoring, evaluation, early warning, real-time prediction of operational posture; high accuracy, fast analysis). One-way monitoring-&gt;prediction-&gt;early warning; no actuation, no learning loop. [Full-text source: Endnote]</t>
  </si>
  <si>
    <t>Integration of BIM and digital twin in mechanized tunnelling construction (Implenia/NYU/Technion): design-science case study of a TBM tunnelling project; computational design algorithm automates TBM excavation-data integration into a Digital Twin Construction (DTC) system; DT generates real-time status of the tunnel physical state in short cycles; 90% reduction in DT modelling time; supports lean design/construction (bracketry design, reducing rework/uncertainty); challenges: data interoperability, standardized modelling. One-way data-&gt;DT-&gt;decision support for lean workflows; no actuation, no learning loop. [Full-text source: Endnote]</t>
  </si>
  <si>
    <t>Deployed LiDAR+radar+camera fusion validated with RTK-GNSS at real work zone (lane-level accuracy); Predictive DT framework (Digital Shadow + Digital Sibling, TTC/PET conflict metrics, C-V2X warnings) proposed but not implemented — hence Tier 2, AA None. [Full-text source: arXiv OA preprint]</t>
  </si>
  <si>
    <t>Perspective paper defining next-gen CPS/DT with explicit two-way mapping and passive/active control; scenarios (teleoperated drywall robot, postural tracking, near-miss prevention) illustrate bidirectional control but nothing implemented; ML training of movement data only suggested. [Full-text source: Endnote]</t>
  </si>
  <si>
    <t>Four-layer DT-based fire-safety framework (physical/virtual/application/user-interaction) with explicit feedback "integrated back with the physical building layer for automatic control"; validated only via FM-professional questionnaire, no technical test; AI learning cited from literature, not implemented. [Full-text source: Endnote]</t>
  </si>
  <si>
    <t>GUIDE2FR emergency-monitoring DT of a firefighter training tower (Alcorcón): Wi-Fi/LoRa beacon network (temp, humidity, CO2, TVOC) + RTSP video synchronised in a Grafana plugin; offline-trained ML forecasting pipeline (SVR/RF/Huber/GPR, forward-chaining CV, tested on 4 beacons at Fire Station 9) visualised in the DT; one-way data flow to human decision-makers, no actuation and no online learning loop. [Full-text source: Endnote]</t>
  </si>
  <si>
    <t>Definition/standardisation position paper (CEN/TC 442/WG 9, ISO); two illustrative DT cases (Bidebieta-Basauri railway station, UPM civil engineering school) are management/visualisation platforms with real-time info integration but no analytics loop or learning; safety only a secondary use case. [Full-text source: Endnote]</t>
  </si>
  <si>
    <t>DSR conceptual model (F1 data acquisition / F2 data analysis-simulation / F3 BIM transformation boxes) for DT on construction sites, generalised from the empirical Smart Twins 4.0 system (RFID+IoT+BIM tracking of metallic formwork in concrete wall construction; 151 panels inspected, 100% external defects, wear 42% — rework/quality control). Closed-loop is human-in-the-loop only; F2 simulation box proposed but NOT implemented (future Smart Twins 5.0); no ML and no self-improvement. [Full-text source: Endnote]</t>
  </si>
  <si>
    <t>Serverless SfM/MVS pipeline + PostGIS defect anchors on real inspection datasets; defects as georeferenced 3D anchors support DfQ traceability; authors explicitly position against passive Level-1 twins, but no live link/learning: periodic re-scan workflow. [Full-text source: Endnote]</t>
  </si>
  <si>
    <t>Questionnaire survey (Nigerian construction professionals, purposive+snowball) of drivers for adopting DTT; Shapiro-Wilk + Kruskal-Wallis H + factor analysis grouping drivers into innovation/operation/quality/performance/policy. No digital twin is built, evaluated or framed as a system — DT only appears as the technology whose adoption is surveyed. P=No → Stage-2 exclude. [Full-text source: Endnote]</t>
  </si>
  <si>
    <t>State-of-the-art review of intelligent tunnel construction &amp; O&amp;M technologies (IoT, big data, AI, platforms) across design/construction/O&amp;M; digital twins appear as one component (geological DTs, future DT co-simulation) but are not the actual subject of the paper. P=No → Stage-2 exclude. Safety/risk is a genuine theme (construction safety, real-time risk analysis). [Full-text source: Endnote]</t>
  </si>
  <si>
    <t>ASHVIN H2020 DT case study (RC office building, Barcelona): six independent information pipelines (IMU/temp/load sensors, TLS point clouds, equipment tracking) → knowledge-graph system → Unity dashboard with project-specific KPIs (construction safety, quality control, productivity); ML activity recognition (Naïve Bayes/DT/kNN/SVM on equipment sensors); data flows one-way physical→virtual for decision support; conclusions state it "has not permitted to act" on the site — no actuation, no learning loop. [Full-text source: Endnote]</t>
  </si>
  <si>
    <t>120-yr heritage RC bridge; ambient vibration + laser displacement monitoring; FE-based DT validated against field data, used for what-if scenarios (overweight vehicles, scour loss); six-phase Incident Response Framework; model is updated/validated, not self-learning. [Full-text source: Endnote]</t>
  </si>
  <si>
    <t>Tunnel project in China; DT continuously integrates settlement/TBM/structural monitoring; KG rule-based reasoning infers hazards and mitigation; bidirectional DT-KG interaction visualised for decisions; prevention of further structural impact claimed in real emergency. [Full-text source: Endnote]</t>
  </si>
  <si>
    <t>Mobile gin pole (UHV construction): FEM kinetic analysis + TROA-ET surrogate (R2 0.9642) + NSGA-III safety-efficiency optimisation embedded in DT parallel-control architecture; bidirectional 4G/MQTT link (CANopen control commands) on real 110 kV project; safety risk -32.3%; surrogate is offline-trained, no online learning. [Full-text source: MDPI Buildings (Gold OA)]</t>
  </si>
  <si>
    <t>DTCRAM: five-layer DT construction-risk assessment model (physical twin / data twin / twin model / data analysis / decision feedback) built via 3-round Delphi (9 experts, 15 risks incl. worker safety A1, equipment safety A2, construction quality A3) + case study (Thames Tidal Tunnel); real-time sensor data feeds simulation/risk prediction; claimed ~1% risk-probability reduction per project (A2 5%-&gt;3%, C1 3%-&gt;2%) but figures are estimates; feedback/optimisation loop described conceptually, not a demonstrated learning mechanism. [Full-text source: Endnote]</t>
  </si>
  <si>
    <t>SLR (229 pubs) + conceptual DT development framework grounded in ISO 19650; no implementation or experiment; DfS/DfQ appear as application potentials, not demonstrated. [Full-text source: Endnote]</t>
  </si>
  <si>
    <t>DT-based construction safety-management model for large engineering structures (48 m-span steel roof): DT generates real-time structural state samples that train a PSO-optimised BP neural network for vibration displacement / stress prediction (vertical displacement PA 98.2%, cable stress PA 99.1%, EV 0.978); validated only on a numerical model under 5 simulated working conditions; monitoring-and-warning only, no actuation, offline-trained predictor, no learning loop. [Full-text source: Endnote]</t>
  </si>
  <si>
    <t>System digital twin (SDT) for life-cycle risk assessment of bridge networks: Bayesian network (BN) integrates multi-source data (NBI bridge inspections, FDOT traffic/AADT, USGS river gage) to update bridge failure risk (superstructure + scour) over time via automated Bayesian inference (indicator matrix for annual updates; network risk profile trends up as data update reduces uncertainty). Miami-Dade County case: 1,034 bridges, 6,478 nodes, 10,584 edges; 3 flexibility scenarios (new bridge, decommissioning, climate-change flood with CPT recalibration). Updating is implemented Bayesian inference — but authors state framework "has not yet been validated"; CPT refits are manual, no autonomous learning loop. [Full-text source: Endnote]</t>
  </si>
  <si>
    <t>Four-stage holistic condition-assessment and life-cycle framework for fatigue-loaded railway noise barriers (ÖBB): Stage I standard fatigue calc; IIa/b/c visual-condition classes + action-side (axle-load) and resistance-side (bolt-preload) monitoring; Stage III FEM digital twin (Abaqus, ideal vs displaced-baseplate vs inclined-bolt installation conditions) calibrating stress-range/lifetime (PL0 gives 772 N/mm2 stress range vs 71 N/mm2 normative — 4x accelerated fatigue); Stage IV probabilistic approach with Bayesian updating of condition/lifetime (prior visual + likelihood monitoring/DT → posterior ZKM). DT is an offline numerical model; Bayesian updating described/demonstrated as assessment procedure, not an autonomous self-improving loop. [Full-text source: Endnote]</t>
  </si>
  <si>
    <t>Digital twin city framework (Houston case) using participatory-sensing crowdsourced visual data: geospatial localization of physically-vulnerable objects (wind-borne debris, tower cranes) in distance → update 3D virtual city model → CAVE immersive visualization for disaster risk-informed decision-making (cascading-failure what-if scenarios). One-way physical→virtual model update from analyzed crowdsourced imagery; update is periodic/replacement-based, not a live link and no learning loop. [Full-text source: Endnote]</t>
  </si>
  <si>
    <t>Full-cycle municipal pipeline DT platform (Shanghai Oriental Hub): BIM0–BIM6 full-phase connection + lightweight BIM-GIS, 28 IoT sensing nodes (water pressure, gas leakage, surface temp, &lt;1 s delay) with 5-month pilot; addresses planning collision risks, construction rework, and delayed leakage detection; AI risk model predicted a valve aging risk 7 days in advance (verified on-site); 36.4% O&amp;M cost reduction. One-way IoT→platform monitoring/decision support, no actuation and no self-improvement loop. [Full-text source: Endnote]</t>
  </si>
  <si>
    <t>Lab prototype of AR + Digital Twin Cyber-Physical System (DPL) for construction-machinery interaction (stationary tower-crane analogue): Arduino MCU sensor/actuator net (ultrasonic distance sensor for safety/clash detection, MPU-6050 accel/gyro) ↔ Unity3D 3D DT over Wi-Fi with bidirectional data/control (AR marker controller remotely operates servos; sensor data drives 3D model; DT latency 0.5–1.0 s). Explicitly bidirectional — virtual acts back on physical — but lab-only robotic analogue, no ML, no learning. [Full-text source: Endnote]</t>
  </si>
  <si>
    <t>DT+IoT multi-information monitoring system for arch-cover method subway station construction (Shikui Road Station, Dalian Metro Line 5): automatic sensor network (settlement, stress, etc.) → IFC extension + Revit BIM parametric sensor models → BIM database visualization with time-history curves and color-change early-warning; "Construction Control Based on Data Analysis" uses monitored data as control value for decisions, but the loop is human-in-the-loop (feedback to decision-makers), not automated actuation; no ML, no self-improvement. [Full-text source: Endnote]</t>
  </si>
  <si>
    <t>DT framework of human-machine hoisting (tower crane, HUST): 1/30 physical scale model (sensors at 20 Hz) as physical entity + synchronous virtual model (FEM, BIM, component IDA) + IoT data flow for real-time dynamic stability analysis; four unsafe hoisting behaviors (vertical/tilt/sudden braking/unloading) compared (scale model vs simulation vs real-model simulation); collapse-probability level function ranks tilt hoisting as most dangerous, foundation/mast most vulnerable for sensor deployment. Lab scale-model experiment; warning to operator via threshold but no actuation and no learning loop (monitoring system design is future work). [Full-text source: Endnote]</t>
  </si>
  <si>
    <t>Vision-based risk assessment of jobsite windborne-debris impact on nearby dwellings: geometric digital twin of a gravel pile built from 45 UAV aerial images (dense point cloud + binarized DSM, volume 63 m³, EM ~4.6%) + semantic segmentation of glazing panels via CNNs (ResNet50 85.0% acc) from Google Street View + satellite terrain modeling; reliability of glazing systems computed with FEMA-HAZUS windborne-missile model (N_adjusted ~237 impacts at 62 m/s, 80 m). Static one-shot reconstruction/analysis — no live data link and no learning loop. [Full-text source: Endnote]</t>
  </si>
  <si>
    <t>VR-based UUT management training simulator (Korea ETRI): digital twin of an underground utility tunnel modeled once from high-precision LiDAR scans, integrated with a 4-DoF motor motion platform; visual (HMD) + kinematic (fall, micro-vibration) feedback with cybersickness-reduction acceleration control; scenario content (facility installation, inspection, device repair); evaluated with 17 participants for cybersickness vs existing VR. Static reconstructed training replica — no live data link from a real asset and no learning loop; worker-safety training motivation. [Full-text source: Endnote]</t>
  </si>
  <si>
    <t>Comprehensive survey of digital twin applications in civil infrastructure (SHM, predictive maintenance, smart cities, disaster response) reviewing methodologies, case studies and challenges (cost, interoperability, cybersecurity). DTs are the subject but the paper is a narrative/descriptive review with no original methodology, no framework, and no implementation to classify - R=No -&gt; Stage-2 exclude. [Full-text source: Endnote]</t>
  </si>
  <si>
    <t>Real-world building digital twin for fire safety and anomaly detection (17 months of data, two use cases): advanced sensors + dimensionally-accurate 3D model + thermal camera sensors with real-time data fusion; features early fire/anomaly detection, fire localization and intensity evaluation, real-time incident data sharing, and fire-propagation simulation; data analysis predicts potential future threats. One-way sensing→visualization/simulation for operators; no automated actuation (integrating access-control actuation suggested as future work) and no learning loop. [Full-text source: Endnote]</t>
  </si>
  <si>
    <t>Real-time DT of a piping system (MECOS-benchmark pipe on shaking table) for PHM: FE model updated via random-vibration FRF matching (Nelder-Mead stiffness/damping calibration), then Craig-Bampton ROM reduces 7,428 to 62 DOFs (~1%, ~450x faster) for Newmark-β real-time estimation of unmeasured-point responses and seismic+arbitrary loads; validated vs FE model/sensors (RMSE 0.0103/0.0266). Model updating is a one-time calibration step during DT construction, not an ongoing self-improvement loop; one-way sensing→estimation, no actuation. [Full-text source: Endnote]</t>
  </si>
  <si>
    <t>Lightweight digital twin of a crane boom for real-time structural safety monitoring using a multi-fidelity surrogate (MFS) model: low-fidelity surrogate (mechanistic, large LF data) + high-fidelity surrogate (statistical, small HF data) fused with live sensor inputs (inclination, strain at 18 test points) rendered in a Web app; real-time posture mirroring and stress prediction; uncertainty from physical-space sensors quantified (140-run trajectory data). Validated on a lab crane boom; MFS-RBF improves accuracy over single-fidelity and cuts cost vs numerical DT. Offline-trained surrogate, one-way monitoring/prediction — no online learning loop. [Full-text source: Endnote]</t>
  </si>
  <si>
    <t>BIM-based digital twin framework for post-earthquake building evaluation from UAV surveys: BIM guides automatic selection of optimal images per damage-sensitive component; GrabCut+nearest-neighbour segmentation assigns image pixels to BIM components (IoU 0.80–0.90); 3D point-cloud change detection (pre/post) identifies damaged nonstructural walls (std-dev indicator, threshold 0.010, correct at moderate-severe levels); damage tied to BIM to link with fragility curves + structural analysis for global safety. Example 1 = real Turner Hall RC frame; Example 2 = synthetic graphics. Framework not fully validated end-to-end (future PBGM work); one-way inspection pipeline, no learning loop. [Full-text source: Endnote]</t>
  </si>
  <si>
    <t>DT-driven virtual sensor (DTDVS) for construction safety of a trailing suction hopper dredger (Tianjin Dredging Co.): real SCADA data (793 dims) + Lasso/random-forest feature selection; 4 ML algorithms predict torsional vibration in mechanical failure (R2 &gt; 0.9), best DBN model acts as virtual sensor; residual between physical and virtual sensor used to diagnose construction behavior and accurately pre-warn faults, improving time utilization and construction safety. Digital twin structure (physical model / digital model / data link) with virtual-sensor prediction and pre-warning to operators; data flow is monitoring/prediction one-way, no actuation and no stated online self-improvement loop. [Full-text source: Endnote]</t>
  </si>
  <si>
    <t>DT-enabled safety monitoring system for seamless worker-robot collaboration (Tsinghua U): depth camera + LiDAR perceive workers/robots/materials → geometric-solid virtual representations in a digital twin; computes separation distance (SD) and dynamic protective separation distance (PSD, per ISO 15066/13855); when SD exceeds PSD the system "accesses the physical actuators of robots to stop it" — explicit virtual→physical control (emergency stop). Experiments: 9.8 FPS, 0.177 s reaction latency, 0.09 m perception error, static+dynamic scenarios. No ML used and no learning loop (predictive motion methods are future work). [Full-text source: Endnote]</t>
  </si>
  <si>
    <t>WSN/BIM environmental monitoring &amp; control system for underground parking garage (Taipei case): WSN nodes (coordinator/sensor/router/control) collect CO, temperature, humidity in real time; data transferred over self-constituted WSN and dynamically displayed on corresponding spatial components of a 3D BIM model, making the BIM a real-time DT; actuation (ventilator + flashing alarm on high CO) is performed by the WSN control node directly (sensor→control-node safety loop), not through the virtual twin; reaction ~1-2 s. BIM/DT is a one-way monitoring/visualisation layer; no ML and no learning loop. [Full-text source: Endnote]</t>
  </si>
  <si>
    <t>DT-based safety risk coupling framework for prefabricated building hoisting (Beijing U Tech, Sensors 2021): integrates IoT + BIM with Apriori algorithm (association-rule mining among hoisting risk factors) + complex network analysis of risk-factor coupling relationships, built as a DT coupling model; real-time perception and virtual-real interaction of multi-source hoisting information, with BIM visual display to guide on-site hoisting; validated on a large-scale prefabricated project, identifying key control factors. One-way monitoring/analysis→visual guidance for managers; no actuation and no learning loop (early-warning uses mined rules, not self-updating). [Full-text source: Endnote]</t>
  </si>
  <si>
    <t>Indoor safety management system (ISMS) based on digital twin, applied to a room in the Beijing 2022 Winter Olympics bobsleigh/sled stadium: IoT sensors collect real-time indoor operation data → BIM-based DTM maps real→virtual; SVM (support vector machine) trained to automatically classify danger types and assess danger levels from DTM data; functions include operation-status scene display, danger warning and positioning, danger classification/level assessment, and automatic danger-handling suggestions; synchronous virtual+real-world alarms. One-way monitoring/analysis→suggestions for staff; no actuation and no stated self-improvement loop (SVM is offline-trained). [Full-text source: Endnote]</t>
  </si>
  <si>
    <t>COWINE community DT ecosystem for disaster-resilient communities built on Cities:Skylines simulation engine with integrated real-world data (Brevard County FL pilot: topography, infrastructure, traffic, transit, disaster stats, 120k simulated agents); five-dimensional DT framing; collaborative stakeholder/public use-case for tornado preparedness/response/recovery with resilience-property analysis (vulnerability, robustness, redundancy, resourcefulness). Explicitly NOT real-time: "manual data-integration process", "human-based (manual) intermittent data flow", no automated calibration (future mods); no ML and no learning loop — descriptive, simulation-based. [Full-text source: Endnote]</t>
  </si>
  <si>
    <t>BIM-GIS-based asset management system (AMS app) for the diffused University of Turin campus (two demonstrator buildings): web platform with interactive 3D map + analytical dashboards for real-time visualization of the asset stock from a centralized database integrating spatial/functional data; crowd simulations (Pathfinder-style) assess fire-emergency safety and evacuation time as a benchmark; cognitive digital twins are framed as the long-term future objective — no live sensor/IoT data flow yet (sensor deployment and ML-based automated analysis are future work). Static visualisation platform toward future CDTs; one-way, no learning loop. [Full-text source: Endnote]</t>
  </si>
  <si>
    <t>Quality-Sustainability Integration Index (QSII) reconceptualising construction defects as indirect drivers of energy/carbon use: survey of 83 Nigerian professionals + longitudinal maintenance records for 14 buildings in Lagos + BIM-based Lifecycle Assessment quantifying embodied carbon from defect-induced repair cycles (envelope/waterproofing defects highest, up to 3.4x carbon multiplier, 82.3 tCO2e per 1000 m2 over 5 yr, 44% lifecycle-carbon gap between high/low quality); a conceptual Digital Twin prototype visualises defect propagation pathways and intervention strategies but is explicitly "not operationally validating... presently a conceptual tool only" — no live data, no implementation, no learning loop. [Full-text source: Endnote]</t>
  </si>
  <si>
    <t>Systematic literature review (52 papers, Scopus+WoS, 2005–2023) on ontology/semantic-web/linked-data integration in BIM and digital-twin based construction management during the construction execution phase; identifies 8 use cases (incl. safety management, compliance checking, construction planning &amp; production control); trend + theoretical analysis of how semantic-web tools (ifcOWL, BOT, SPARQL, SWRL) serve each use case; barriers: data privacy, scalability, ontology-mapping complexity. Review only — no DT built or tested; DfS/DfQ appear among reviewed use cases, not demonstrated; no learning loop. [Full-text source: Endnote]</t>
  </si>
  <si>
    <t>Anomaly-enhanced digital twin (AEDT) for intelligent inspection of slope/SWC infrastructure (central Taiwan): multiview UAV imagery + SfM 3D reconstruction + CNN for automated anomaly classification (erosion/spalling/siltation/collapse, macro-F1 0.81 on 2000 annotated images, 3 severity levels); anomalies semantically embedded into an interactive GIS-compatible DT platform linking geometry + damage attributes + historical maintenance records for lifecycle management; field deployment cut inspection time ~63%. One-way inspection→semantic DT for maintenance scheduling and risk-based prioritisation; CNN offline-trained, no actuation and no online learning loop (edge-AI real-time inference is future work). [Full-text source: Endnote]</t>
  </si>
  <si>
    <t>Systematic literature review of embedded concrete sensors (fiber optic, piezoelectric, capacitive, resistive) for SHM and service-life estimation, examining 71 Scopus/ScienceDirect articles (2022-2025); discusses integration with AI/IoT/BIM/ANSYS and digital twins only as reported in the reviewed literature. No digital twin is built, evaluated, or methodologically developed here; DfS/DfQ is about generic structural durability. P=No, R=No → Stage-2 exclude. [Full-text source: Endnote]</t>
  </si>
  <si>
    <t>BIM-enhanced DT architecture for construction pollution management in renovation (auditorium, Chulalongkorn Univ): five components (PE/VM/DD/Ss/CN), novel hybrid LOIN-LOD framework (LOD-G 200 as-is scan-to-BIM → LOD-G 350 as-designed) defining as-needed BIM information for DT; six IoT sensor clusters (PM2.5, CO2, noise, vibration) streamed via MQTT/Firebase into Node-RED rule-based engine with threshold alerts + React/Autodesk Forge dashboard; 1-s real-time monitoring. Bidirectional feedback/actuator control described but "implementation remains limited" — no automated actuation, no ML, no learning loop. [Full-text source: Endnote]</t>
  </si>
  <si>
    <t>3D FEM digital twin (SAP2000) of the "Ponte della Musica" arch bridge (Rome) calibrated against experimental ambient-vibration modal parameters (eigenfrequency error ~2%) and used for thermo-mechanical analyses: correlates air-temperature variation with deck vertical displacement (fmax = 0.0009 + 0.004·ΔT; ±5 °C → ±2 cm) to explain why COSMO-SkyMed X-band DInSAR-SBAS loses the central span (max detectable LOS displacement ~0.8 cm &lt; thermal deformation). One-time calibration with field data, then static what-if thermal analysis; no live data link and no learning loop. [Full-text source: Endnote]</t>
  </si>
  <si>
    <t>Deep-learning "LiDAR-simulated digital twin" framework generating probabilistic 3D point clouds of rail fasteners in real time from depth + grayscale images (Siamese self-supervised contrastive learning with vision transformer + Fourier net + multilevel fusion + Bayesian NN for uncertainty; 30 image-pairs per fastener from high-speed track inspection vehicle; CD 0.3926, HD 1063.79, contrastive loss 0.3142). Framed as "a step toward digital twin" — the DT itself is future work (foundation-model depth estimation); rail-fastener tightness/wear monitoring is the safety application, but no asset twin, no live loop, no learning. [Full-text source: Endnote]</t>
  </si>
  <si>
    <t>Designs a comprehensive "digital safety system" (DSS) framework for construction site health &amp; safety monitoring: reviews essential technologies, proposes a data-physics-driven model for automating safety processes, and uses multi-criteria decision analysis (TOPSIS/MCDM) to rank technology alternatives; validated via questionnaire/t-test in Tehran municipality region; pre-construction period identified as most safety-data-driven stage. A digital twin is only described as "possibly developing" in the future — no DT is actually built or evaluated. P=No → Stage-2 exclude. [Full-text source: Endnote]</t>
  </si>
  <si>
    <t>AI-enhanced DT framework for roadway serviceability under floods: GAT (graph attention network) couples flood simulation with INRIX traffic-speed data (5-min speed, 6-h flood intervals) to predict segment-level speed/accessibility 45 min ahead (test MSE 0.2602), capturing direct + indirect (rerouting) impacts; GIS/ArcGIS-based 3D DT visualization for emergency decision support. Validated on Hurricane Harvey (Houston, 2 zones); explicitly a "digital twin prototype" — live sensor ingestion "not yet automated", flood scenarios precomputed, no bidirectional feedback/control; offline-trained GNN, no learning loop. [Full-text source: Endnote]</t>
  </si>
  <si>
    <t>Slope digital twin driven by an optimised surrogate model (stacking ensemble learning) for landslide safety monitoring: displacement prediction with multidimensional error analysis + adaptive parameter adjustment + model updating/retraining as a dynamic optimisation mechanism that "dynamically self-corrects against the Sim-to-Real gap"; error reduced 20% to 5% (validated with indoor loading + DIC experiments); Donglingxin landslide DT dynamically displays 2010-2022 deformation (acceleration-stabilisation, rate 12.5 to 15.5 to 11.8 mm/y). One-way monitoring to prediction/visualisation; implemented retraining loop but no convergence criterion/metric - AA=Implemented, not Convergence-characterised. [Full-text source: Endnote]</t>
  </si>
  <si>
    <t>Digital-twin-assisted fault diagnosis for construction-robot joints (RV reducer): gear-dynamics virtual-entity model generates faultless vibration (X-domain), CycleGAN maps virtual→physical domain using only ~400 measured samples (Y-domain), and CNN-ResNet classifies wear/crack/pitting/normal faults — accuracy raised from 32.5% (measured only) to 98.86% with 1200 simulated samples (best of GAN/transfer baselines). Validated on a lab RV-reducer test rig with acceleration/temperature sensors; DT is an offline data-augmentation/generative model for training, no live twin loop, no learning. [Full-text source: Endnote]</t>
  </si>
  <si>
    <t>Graph-based digital twin for urban heatwave response planning (Vienna city center, Horizon PANTHEON): integrates Google Solar API real-time heat-index data + spatial population distribution/vulnerability (Vienna Open Data, META) + critical road infrastructure (OpenStreetMap) into a graph network model; Spatial Dependency Risk Analysis captures cumulative risk paths, identifies critical junctions (e.g., node 683 "cold spot") and automatically plans ambulance/first-responder routes from cooling spots to high-risk hotspots (&lt;=15 min patrol). One-way planning/decision-support tool; graph-based dependency analysis (no ML training loop), no actuation and no learning loop; future work adds real-time data and transfer to other cities. [Full-text source: Endnote]</t>
  </si>
  <si>
    <t>Quality defect trigger identification in a construction digital twin (Southeast U): evolution-mechanism + ontology-based four-layer semantic model (quality standards / quality data / defect triggers / construction processes) implemented in GraphDB for semantic linkage of multisource heterogeneous data; an iterative deviation-computation engine (process logic + rule constraints) identifies potential quality defect triggers and visualises them in the DT; validated on a real prefabricated composite-slab installation case + comparative experiments + expert evaluation. One-way data integration→reasoning→identification/visualisation for proactive quality management; no actuation, no self-improvement loop. [Full-text source: Endnote]</t>
  </si>
  <si>
    <t>Scoping literature review + Research-through-Design proposal of a conceptual framework integrating BIM-based digital twinning, Safety Management processes, and a Decision Support System (DSS) for OHS decision-making in building construction; outlines data/information streams, KPIs, real-time interfaces and worker engagement, and notes ML as a future requirement for real-time optimisation of assessment. Purely conceptual — no DT built, no experiment, no test; predictive/self-improving features only proposed as future work. [Full-text source: Endnote]</t>
  </si>
  <si>
    <t>Building Digital Twin Platform (BDTP) architecture to overcome digitalization barriers for automating construction site management (TECNALIA, DSR + PDCA + Living Labs): diagnoses on-site inefficiencies and barriers via questionnaires/interviews; proposes standardized BPMN workflows with the DT as a service-oriented actor, modelling five cross-cutting domains (progress monitoring, quality control, OHS, equipment control, production planning) with digital/human agents connected via APIs; property-graph data model and use cases. Conceptual framework only — implementation, KPIs and AI/ML are "in the long-term"/future ("could be seamlessly implemented"); no deployed data link, no learning loop. [Full-text source: Endnote]</t>
  </si>
  <si>
    <t>Review + methodology proposal for "physical digital twins" of ancient corbelled stone masonry (Sardinian nuraghi, cultural heritage): combines historical analysis of original construction techniques (dry masonry, thrust-free pseudo-domes, block distribution) with proposed mechanical-modelling approaches (discrete-element / variational-inequality granular models, multiphysical weathering: water diffusion, salt crystallisation, thermal, chemical) to assess structural safety and predict preservation-state evolution. No DT is actually built or validated — approaches are "possible roads... under investigation for future structural studies"; no live data, no learning. [Full-text source: Endnote]</t>
  </si>
  <si>
    <t>Interactive and immersive process-level digital twin (I2PL-DT) in VR for collaborative human-robot construction work (Univ. of Michigan): human in VR does high-level task planning/supervision and trajectory guidance; KUKA mobile robotic arm (emulator) does sensing, motion planning (SBT/motion-plan generation, collision-free) and physical execution via ros_control + PID to real actuators; seamless bidirectional communication between human and robot with real-time robot status supervision; augmented telepresence prevents workers from exposure to on-site hazards (safety benefit); drywall installation case with imperfect framing, 20-subject human-in-the-loop study. Genuine virtual→physical robot control → Tier 3; no ML learning loop. [Full-text source: Endnote]</t>
  </si>
  <si>
    <t>Review + conceptual framework for integrating digital twins into intelligent construction of prefabricated buildings (Construction 4.0): synthesises state-of-the-art DT applications in hoisting management (Dijkstra route planning, DT-SVM risk prediction, Bayesian-network risk control), construction oversight (BIM-DT, blockchain DT sharing), and safety/risk monitoring (wearable-sensor ergonomic LSTM feedback); proposes a structured DT framework and a construction-service-bus (CSB) architecture for physical-digital integration. Purely conceptual/review — no DT implemented or validated; AI learning and closed-loop control only described as future directions. [Full-text source: Endnote]</t>
  </si>
  <si>
    <t>Inland waterway digital twin based on 3D video fusion (China Academy of Transportation Sciences): drone tilt photography + BIM build a static 3D waterway scene; multi-channel surveillance-video 3D registration/rendering fuses discrete videos into the scene (2D/3D linkage); multi-source IoT sensing data (AIS, etc.) integrated into the digital twin scene for water safety management (facility management, daily monitoring, illegal-evidence collection, emergency response); demonstrated on Changhu-Shen Line segment. One-way fusion/monitoring/visualisation for managers; "scene iteration driven by online data" is stated as next-step future work — not yet implemented, no learning loop. [Full-text source: Endnote]</t>
  </si>
  <si>
    <t>Computer-vision-based digital twin framework for proactive near-miss prediction (Harbin IT): integrates real-time worker trajectories, postures and interactions into a dynamic 3D construction-site model; non-autoregressive transformer predicts future movement sequences (human motion model trained on Human3.6M dataset, inverse kinematics for joint angles) + collision detection identifies potential near-misses with early warnings; field-validated in three high-risk zones (forklift paths, floor openings, material lifting). One-way perception to prediction to early warning for safety managers; no actuation and no self-improvement loop (model is offline-trained). [Full-text source: Endnote]</t>
  </si>
  <si>
    <t>Earthwork digital twin for teleoperation of an automated bulldozer in mine edge dumping (Hulunbuir open-pit): three-stage DT — anterior-time (UAV tilt-photography 3D model, 0.6 cm avg error; improved BoundED point-cloud edge detection of retaining wall, precision 0.923/F1 0.877; blade-trajectory generation), real-time (5G teleoperation platform displaying video, radar obstacle detection, RTK/IMU attitude, force feedback, eye-tracking), posterior-time (big-data storage/analysis; +2 h/day effective work). DT provides real-time perception/visualisation for human teleoperation (control via operator, not automated by twin); no learning loop. [Full-text source: Endnote]</t>
  </si>
  <si>
    <t>Safety Intelligent Navigation Platform (SINP) for tower crane climbing (HUST): systematic control framework integrating theoretical risk analysis (process analysis of key safety-critical points), GDTA-derived worker situation-awareness requirements, and a 4-layer digital twin virtual model (geometric/physical/behavioral/rule-based) with IoT-based real-time mapping/dataflow; edge intelligent control device (EICD) provides real-time safety navigation + alarms to workers, mobile monitoring for supervisors, cloud remote inspection; validated in indoor functional + outdoor practical experiments (task completion 515-676s→375-444s, errors 1.4-4.8→0, dialogues 11.8→0.8). One-way monitoring→navigation/alarms to humans; no automated actuation and no learning loop. [Full-text source: Endnote]</t>
  </si>
  <si>
    <t>AI-empowered digital twin framework for high-precision building facade defect management (CUHK): UAV visual data acquisition + deep-learning object detection (YOLO/R-CNN series) for defect detection; GeoBIM (BIM+GIS) environment with end-to-end pipeline for defect localization and semantic registration — virtual building model + camera geometry from geographic metadata, synthetic views simulate capture conditions, depth-based inference of each defect's spatial location, dual-verification (image + geographic features) removes duplicates; defect data projected into georeferenced DT with structural context from GeoBIM; validated on a Hong Kong high-rise. One-way inspection→semantic DT for maintenance; no actuation and no self-improvement loop. [Full-text source: Endnote]</t>
  </si>
  <si>
    <t>Framework extending BIM Level-of-Details (LoDs) for construction-site digital twins: defines four core DT components (physical environment, digital representation/BIM, IoT, data storage-integration-analytics, interaction/feedback) plus new LoD-Graphics and LoD-Information (100–500) for construction-site components (site space, roads, facility, equipment, material, people) and maps minimum LoDs per BIM use/stage. Validated only via 31 questionnaires + 10 international expert interviews (&gt;77% agree DT improves construction safety); no DT implemented or tested; feedback/autonomy described as future direction, no learning loop. [Full-text source: Endnote]</t>
  </si>
  <si>
    <t>CUBIT-InSeg: high-resolution UAV façade-defect instance segmentation dataset (6996 images @4800x3200, 62,187 instances of cracks/spalling) with 80+ models benchmarked and zero-shot transferability on two cross-domain datasets; deployment workflow registers defects to an as-is digital twin — integrates instance-level segmentation + photogrammetry-based reconstruction + GIS-oriented registration to project defect masks from image space onto the DT surface, converting to metric measures (crack width/length, spalling area) for standard-aligned severity (SI) assessment; validated on a multi-storey logistics building in HK. One-way inspection→DT for severity evaluation; no actuation and no learning loop. [Full-text source: Endnote]</t>
  </si>
  <si>
    <t>Digital-twin-enabled anti-collision system for HRI safety on construction sites (5D DT: PE/DD/VE/SS/CN): multi-sensor fusion (RGB-D image+depth, IMU motion) + multi-modal analysis (YOLOv5/Faster-RCNN detection, HRNet excavator key-points) drive a Unity 3D virtual entity; rule model divides 3D site into dangerous/warning/safe zones (TTC+SO, d_danger=600 mm, d_warn=1200 mm) triggering collision warnings to smart helmets/tri-colour lights in a perception-analysis-decision-execution closed loop. Lab case study with 1:24 scaled excavator: zone warning precision 96.4%/95.3%, recall 98.8%/97.4%, delay 0.13 s. Warnings executed to humans/devices but no automated machine control; no self-improvement (manual retraining via data management). [Full-text source: Endnote]</t>
  </si>
  <si>
    <t>Digital twin system for a regional bridges group (Southeast U / Tongji): physical space collects vehicle info + structural response from bridges; digital space builds numerical models per bridge with traffic load as the linking variable; Transformer neural network predicts bridge responses (vehicle-load-based, within/cross-bridge, measured-data fusion) to enable safety warning across the regional network; validated on three concrete bridges in Jiangsu (vehicle driven over bridges; compared vs LSTM/BiLSTM/BiGRU; metrics Ta/RMAE/R²). One-way monitoring/prediction→safety warning &amp; O&amp;M decisions; no actuation and no self-improvement loop (offline-trained Transformer). [Full-text source: Endnote]</t>
  </si>
  <si>
    <t>Modelling study of prefabricated building construction process using digital twins + prefabricated BIM (Chongqing Jiaotong U): DT/prefab construction system with measuring sensors for real-time monitoring and prediction of component damage/deformation (production, transport, assembly); assembly BIM transferred to network cloud for BIM display; risk-indicator data analysed with factor analysis (Cronbach alpha 0.8-0.9, KMO, variance 65.02% cumulative) for potential safety hazards during construction. One-way monitoring/prediction→designer guidance; no actuation and no self-improvement loop (data collection is narrow — acknowledged limitation). [Full-text source: Endnote]</t>
  </si>
  <si>
    <t>Dam digital twin (Jiangya dam, 131 m gravity dam) for automated continuous safety evaluation: extended IFC data schema (IfcDSMSystem/IfcMonitoringItem/IfcSensorAssembly) integrates DSM monitoring information (deformation, seepage, stress, environment); HST statistical models set baselines; multi-rule cloud-reasoning model evaluates monitoring points, multi-dimensional cloud model + improved CRITIC (no-human weights) aggregate to five-grade dam safety status. Case: continuous evaluation Jan–Sep 2019 → "basically normal". One-way monitoring→automated evaluation→human decisions (preventive maintenance); statistical models are regression fits, no self-improvement loop. [Full-text source: Endnote]</t>
  </si>
  <si>
    <t>Multisensory + BIM-integrated digital twin for urban excavation safety (Tianjin U, Shandong case): physical excavator equipped with multi-sensors, 3D pose estimated via kinematic model + social spider algorithm (SSA) (bucket-tip error 24.61 mm, translation accuracy +4.0 cm); BIM of buried utilities + 3D excavator model form a dynamic virtual model mirroring the excavation; physical-virtual coupled DT enables real-time safety control - dynamic collision-risk assessment with 3D visual guidance and safety warning (pipe model turns red when bucket enters risk area, operator stops) to avoid pipe-collision accidents; system prototype field-tested in two case studies, 0.05 s sampling. One-way monitoring to guidance/warning to the human operator; no automated actuation and no learning loop. [Full-text source: Endnote]</t>
  </si>
  <si>
    <t>Fills the gap between work zone safety DT research and real-world deployment: LiDAR+radar+camera fusion validated with RTK-GNSS at a real work zone achieving lane-level accuracy, feeding a predictive DT framework pairing a Digital Shadow and Digital Sibling with TTC/PET conflict metrics and C-V2X warnings for proactive safety.</t>
  </si>
  <si>
    <t>Deployment lessons rather than controlled validation: one real work zone, and the predictive framework (conflict metrics, C-V2X warnings) stays at framework level without demonstrated closed-loop actuation; no explicit future work is stated.</t>
  </si>
  <si>
    <t>A perspective paper defining next-generation CPS and DT through two-way dynamic mapping between virtual models and the physical facility, distinguishing passive (model-based) from active (actuator-based) control, and illustrating scenarios: a teleoperated drywall robot controlled via wearable IMU motion capture, postural tracking with AR avatars and color-coded ergonomic risk feedback, and near-miss prediction using case-based reasoning and K-nearest neighbor.</t>
  </si>
  <si>
    <t>Purely conceptual: none of the scenarios is implemented or validated, and the paper itself lists open challenges of a missing information model for DTs, missing version management guidelines, missing communication latency guidelines, and missing interoperability standards analogous to IFC.</t>
  </si>
  <si>
    <t>Addresses the underexplored application of DT to fire safety management: a four-layer framework (physical building, virtual building, application, and user interaction layers) combining BIM, IoT, AI, data fusion, blockchain, and AR, with virtual-layer decisions fed back to the physical building layer for automatic control and operation optimization while keeping FM professionals in the loop.</t>
  </si>
  <si>
    <t>Conceptual only: the framework was validated through a thematic analysis of 37 studies and a survey of FM professionals (66 responses, 28 complete) rather than a live implementation; no prototype or sensor deployment is reported. Future work includes a Delphi study with a broader panel and involving firefighters as end users.</t>
  </si>
  <si>
    <t>Fills the gap between fire-safety DT research and operational emergency response: a functioning building DT (GUIDE2FR) fusing Wi-Fi/LoRa environmental beacons with live RTSP video in a Grafana plugin, plus an offline-trained ML forecasting pipeline (SVR, Huber, Random Forest, Gaussian Process, forward-chaining CV, adaptive ensemble) tested on data from four beacons during firefighter training exercises at Fire Station 9 in Madrid.</t>
  </si>
  <si>
    <t>No actuation or bidirectional link to building systems: forecasting models are offline-trained and never updated online. The platform relies on proprietary ArcGIS, assumes a reliable wireless network, and sensor accuracy under extreme conditions is unverified; future work targets open-source visualization and integration with more real assets for active response and evacuation mechanisms.</t>
  </si>
  <si>
    <t>A standardization position paper reviewing DT definitions and frameworks and reporting the creation of CEN/TC 442/WG 9, whose 34-use-case technical report CEN/TR 18077 and the resulting European standard aim to give the built environment a shared DT definition; it grounds its argument in two implemented management platforms, the Bidebieta-Basauri railway station and the UPM civil engineering school.</t>
  </si>
  <si>
    <t>The two DT cases are management and visualization platforms lacking AI or simulation protocols, which the authors state are still under research, and the paper proposes definitions rather than new empirical validation; the European standard was still pending publication and no quantitative evaluation is offered.</t>
  </si>
  <si>
    <t>Proposes a closed-loop conceptual model of DTs for construction sites, structured as three functional boxes: F1 data acquisition (IoT/RFID), F2 data analysis and simulation, and F3 BIM transformation into a web-based model; it is grounded in the empirical Smart Twins 4.0 system, which tracked 151 formwork panels with RFID and a web-based BIM, finding 100% external and 98% internal defects.</t>
  </si>
  <si>
    <t>Smart Twins 4.0 is limited to a single physical resource (formwork), has restricted data analysis capabilities and interoperability, and still requires manual steps in data collection; the model simplifies real-world complexity, omits human roles beyond decision-making, and the authors state it needs future testing in different contexts.</t>
  </si>
  <si>
    <t>Addresses fragmented inspection data by replacing desktop photogrammetry with a serverless spatial intelligence hub: timeout-resilient orchestration of SfM/MVS, PostGIS-anchored defect records linked to georeferenced 3D meshes via raycasting and frustum-based image retrieval, end-to-end reconstruction in under one hour, sub-25 ms query latency, and over 90% image retrieval accuracy on two real UAV inspection datasets.</t>
  </si>
  <si>
    <t>No automated defect detection: annotations are manually created by human inspectors, which the authors call the main bottleneck for scaling; validation covers only two UAV datasets, hyperparameters are not systematically optimized, and the system assumes reliable connectivity. Future work includes automated detection, temporal change monitoring, 3D Gaussian Splatting visualization, and offline capabilities.</t>
  </si>
  <si>
    <t>Demonstrates an operational digital twin for railway bridge SHM: low-cost wireless accelerometers (about EUR 300), hybrid edge-cloud processing with real-time FFT, unsupervised clustering of normal vibration, FEM-calibrated synthetic damage data, and a LightGBM classifier reaching ROC-AUC 0.9999 on two years of in-service vibration data from a bridge in the Basque Country.</t>
  </si>
  <si>
    <t>Provides a methodology for integrating SHM with numerical DT models for seismic assessment of heritage buildings: a LiDAR-derived BIM of the Basilica Maria Auxiliadora in Lima fed calibrated SAP2000 and 3DEC models (about 4500 block elements, 161000 contact zones), modal analysis with 220 modes, time-history analysis reproducing the 2007 Pisco earthquake crack patterns, and 25 sensor control points selected via intensity-duration-frequency plots.</t>
  </si>
  <si>
    <t>No sensors are yet deployed: the study covers only Building Virtualization and part of sensor data analysis, so the EWS and DT feedback loop remain pending; validation relies on historical damage reports and analytical consistency, with future research to include experimental models, tri-axial sensor installation, and ambient-vibration calibration of the numerical model.</t>
  </si>
  <si>
    <t>Derives a comprehensive requirements analysis for critical infrastructure crisis management and resilience and maps it onto a Digital Twin Conceptual Framework with four guiding principles (human-in-the-loop control, parsimony with accepted uncertainty, preparedness for complexity and emergence, safe experiments and training) plus a conceptual model of virtual replica, clones, toolbox, and control center.</t>
  </si>
  <si>
    <t>Entirely conceptual: no implementation, prototype, or case evaluation is presented, so none of the requirements or tools is tested. The authors list open challenges of integrating uncertain data sources and heterogeneous models, evaluating intelligent tools for the resilience cycle, and IT scalability and reliability, proposing federated digital twins instead of monolithic implementations.</t>
  </si>
  <si>
    <t>Assigns ANNs two roles in a DT for SHM of reinforced concrete bridges: first, physically informed deep learning calibrates the virtual twin by identifying material parameters (E, fc, ft, fracture energy) from ATENA nonlinear finite element sensitivity analyses, demonstrated on a Leonhardt shear beam with datasets of 100, 400, and 1000 samples; second, the trained ANN serves as a fast-response surrogate for real-time engineering interpretation of monitoring data.</t>
  </si>
  <si>
    <t>A short conference-stage contribution: only parameter identification on a numerical shear beam example is demonstrated, with no deployed structure, no live sensor data, and no quantitative surrogate accuracy reported; the conclusion and future work sections remain essentially undeveloped, so the real-time SHM surrogate role is proposed rather than validated.</t>
  </si>
  <si>
    <t>Provides a real ASHVIN H2020 pilot of digital twinning during construction of an RC office building in Barcelona: six independent information pipelines (crane hook IMU/GPS tracking with Random Forest activity recognition at 93.27% accuracy, slab post-tensioning strains, laser-scan deflection checks, concrete maturity temperatures, formwork vibration accelerations, mobile-app progress monitoring) feeding a knowledge-graph-based Unity dashboard.</t>
  </si>
  <si>
    <t>One-way digital shadow: the dashboard informs managers but does not control site operations, technology readiness did not permit acting weekly on extracted insights, and feedback came only after development. Bottlenecks include logistics, privacy, need for specialized crews, sensor fragility, and manual progress updates; automating data collection and treatment is future work.</t>
  </si>
  <si>
    <t>Fills the gap between heritage-bridge conservation and quantitative risk assessment: on a 120-year-old Australian reinforced concrete bridge, ambient vibration testing with ten wireless accelerometers plus laser displacement sensing feeds a Spacegass finite-element digital twin validated against measured natural frequencies (20.15 Hz versus 19.51 Hz, 3.2 percent difference), then used for what-if simulations of overweight vehicles and foundation scour.</t>
  </si>
  <si>
    <t>Monitoring is campaign-based rather than live: the twin is an offline validated finite-element model with no continuous data link or actuation, higher-order modes are missed at the 100 Hz sampling rate, and the six-phase Incident Response Framework is proposed but not yet deployed; higher-rate testing is noted for the future.</t>
  </si>
  <si>
    <t>Closes the automation gap between rebar reconstruction, segmentation, dimensional inspection and issue tracking: a GoPro-based SfM-MVS pipeline with AprilTag scale calibration builds a semantically enriched 3D model, Mask R-CNN plus DBSCAN segment rebars, and Scan-vs-BIM comparison identifies and tracks defects, reaching over 90 percent precision, over 97 percent recall, 95.5 percent diameter accuracy for large rebars and 0.98 percent mean relative spacing error.</t>
  </si>
  <si>
    <t>Offline, camera-based pipeline with manual image capture and fiducial marker attachment; 2D segmentation precision averages only 50.4 percent, small-diameter rebar inspection reaches only 77.8 percent, and registration fails on geometrically indistinct structures; future work points to more training data, augmentation, unsupervised techniques and Point Transformer based classification.</t>
  </si>
  <si>
    <t>Fills the sparse-point surrogate gap for tunnel digital twins: the DF-STTN hybrid surrogate, pairing Swin Transformer and TabTransformer with dual-stage fusion, predicts full-field ground settlement and lining deformation for shield tunnels under adjacent excavation, trained on 1000 parametric finite-element samples and reaching R2 0.9898 and 0.9951, outperforming six baseline networks, with genetic-algorithm back-analysis estimating soil parameters within 4 percent error.</t>
  </si>
  <si>
    <t>Validation rests on a scaled laboratory testbed with simplified boundary conditions, not field monitoring; time-dependent processes like consolidation and creep are ignored, settlement and lining deformation are modeled separately, and no real-time sensor link exists; future work targets field monitoring data, spatio-temporal Transformers, layered soil and groundwater, coupled models and continuous model updating.</t>
  </si>
  <si>
    <t>Addresses the reactive and static gap in tunnel construction emergency response: a digital twin continuously integrating settlement, TBM operational and structural monitoring data is coupled with a knowledge graph using SWRL rule-based reasoning to infer hazards, detect anomalies and suggest mitigations, with inference results visualized back in the twin; deployed on an urban tunnel project in Shanghai where it enabled early anomaly identification.</t>
  </si>
  <si>
    <t>Data quality dependency is acknowledged: sensor noise, loss, calibration drift and delays can misclassify risk levels; the ontology and rules are manually built for Shanghai urban tunnels, limiting scalability; reasoning speed, throughput and prediction accuracy are not quantitatively benchmarked; single-project validation; future work includes confidence metrics, automated rule generation, dynamic learning and stress testing.</t>
  </si>
  <si>
    <t>Addresses robust parallel control of construction equipment under uncertainty: a mobile gin pole digital twin for UHV construction embeds finite-element kinetic analysis with a TROA-ET surrogate model (R2 0.9642) and NSGA-III safety-efficiency optimisation within a DT parallel-control architecture supported by bidirectional 4G and MQTT links.</t>
  </si>
  <si>
    <t>The available record states no explicit future work; validation is documented only for the mobile gin pole application, and whether the TROA-ET surrogate is updated online, transferred to other equipment types, or tested against field disturbances beyond the stated scenario is not established.</t>
  </si>
  <si>
    <t>Fills the group-level gap in bridge digital twins: for a regional bridge network around Shanghai, weigh-in-motion and multi-source machine vision fusion measure full-bridge traffic loads on a target bridge, lightweight sensors capture responses on group bridges, and measured loads drive mechanical models in digital space, enabling working-condition perception and safety warning across the whole network, demonstrated with Monte Carlo and Intelligent Driver Model simulations on the Yongjiang cable-stayed bridge.</t>
  </si>
  <si>
    <t>One-way implementation: digital models are loaded with measured traffic loads but no feedback or control channel back to physical bridges exists, and deriving bridge health status from simulation results to form more interaction tasks between the two spaces is left as future exploration.</t>
  </si>
  <si>
    <t>Fills the incident-response gap of subway station digital twins: interconnected per-station twins process camera, microphone and sensor data in a fog computing environment, a fine-tuned YOLOv8 detector (mAP 0.5 of 92.4 percent) spots events shown on a mobile app with a voice assistant, and personnel response times improved by 17.4 percent versus the REPEAT platform across 50 simulated trials.</t>
  </si>
  <si>
    <t>Results come from simulated emergency scenarios, and continuous TCP/IP connectivity is assumed, so deep subterranean network degradation could break the fog-to-mobile pipeline; speech recognition reaches only a 14.2 percent word error rate under 85 dB noise, and the app runs only on Android and Linux; future plans include signaling and control integration to automatically stop trains and escalators.</t>
  </si>
  <si>
    <t>Responds to the lack of practical construction risk models: DTCRAM combines a three-round Delphi study with nine industry experts, identifying 15 construction risks and 15 countermeasures classified into 12 strategy types, with a five-layer digital twin structure (physical twin, data twin, twin model, data analysis, decision feedback) for dynamic monitoring and risk prediction, verified on the Thames Tidal Tunnel case with over 1 percent probability reduction per project.</t>
  </si>
  <si>
    <t>Expert-driven and weakly operationalized: only nine Delphi experts limit objectivity, results are tied to one specific project, and the model remains at a development stage with unquantified technical and methodological challenges; future research targets higher applicability and accuracy, larger samples across project types, and artificial intelligence and big data integration.</t>
  </si>
  <si>
    <t>Synthesizes 146 bridge disaster management articles to expose fragmented technology integration, delayed response and poor coordination, then proposes the RtBDM framework combining dynamic adaptation, digitalisation and a disaster-cycle component that integrates BIM and digital twin technologies with sensors, big data analytics, IoT and artificial intelligence for real-time monitoring, early warning, response and recovery across pre-disaster to post-disaster phases.</t>
  </si>
  <si>
    <t>Purely conceptual: the framework is built only on literature analysis and existing tools, has not been validated in any real-world scenario, and needs ongoing updates to track technology; future research should run pilot implementations and case studies across regions, disaster types and bridge systems, and improve technology integration and data management.</t>
  </si>
  <si>
    <t>Addresses static, code-bound multi-robot scheduling: a closed-loop digital twin in Unity, synchronized with ROS and Gazebo, supports integer-programming task allocation whose constraints are updated by an LLM interpreting plain-language site narratives, achieving over 97 percent constraint and parameter extraction accuracy with GPT-4.1, optimal plans within about one second and 0.08-second replanning across 1024 scenarios of 27 tasks and 15 robots.</t>
  </si>
  <si>
    <t>Validated only in simulation: Gazebo idealizes robot-human collaboration and material handling, human worker actions are not modeled, and the LLM is limited to constraint extraction; extending to further construction scenarios, proactive conflict detection and pre-optimization reasoning are future work, with physical robot deployment still pending.</t>
  </si>
  <si>
    <t>Fills the renovation-phase gap in digital twins: a stakeholder-informed Renovation Digital Twin built with Design Science Research in the RINNO project monitors 13 KPIs across cost, schedule, quality, safety and environment on the Project Sarrazins demo site in Lille, and a Technology Acceptance Model survey of 102 professionals gave attitude toward use RII 0.894 while the site achieved a 73 percent emissions reduction.</t>
  </si>
  <si>
    <t>Proof-of-concept scope: a single renovation project, functional verification only, no quantified cost, schedule or safety improvements, a short evaluation period, a TAM sample biased to early-career professionals, manual data entry, and no AI or predictive analytics beyond historical KPI visualization; future work calls for multi-site validation, longitudinal studies, IoT automation, deep-learning prediction and cognitive twin capabilities.</t>
  </si>
  <si>
    <t>Diagnoses the standardization gap in AEC digital twins through a systematic review of 229 publications (2016 to 2021) from four databases, showing DTs remain application-driven and vendor-dependent, then proposes a conceptual DT development framework built on the ISO 19650 series: PIM and AIM information containers federated in a CDE, IoT and WSN monitoring, and machine learning for decisions and actuator actions.</t>
  </si>
  <si>
    <t>Conceptual only, with no implementation or validation; the framework is a recommendation that still awaits application, and the authors state it must be proven through multiple case studies with diverse asset uses and complexities, recommending energy efficiency and indoor environmental quality as neglected test fields.</t>
  </si>
  <si>
    <t>Demonstrates location-enabled construction digital twins on a live Skanska highway project, building health and safety and progress monitoring twins in Unreal Engine 5 with CesiumJS georeferencing. The health and safety twin delivers site walk-throughs, clickable asset inspection records, color-coded hazard and risk boxes, and 1-metre danger-zone alerts around machinery built with no-code Blueprints.</t>
  </si>
  <si>
    <t>The prototypes are proof of concept: only a small subset of live sensor data was explored, no analytics or prediction were incorporated, asset placement was manual with positional errors up to 1 metre, and no formal usability tests were run. Future work includes automated progress quantification, live worker tracking with wearables, analytics, data security and Datasmith scalability trials.</t>
  </si>
  <si>
    <t>Fills the behavioral-psychology gap in worker unsafe-behavior research by building a closed-loop hybrid simulation digital twin in AnyLogic that couples agent-based, system dynamics and discrete-event models with dual attitude theory and reinforcement learning. Calibrated with 84 valid questionnaires (Cronbach alpha 0.868), experiments with 84 worker agents show proactive management sustains safety after withdrawal while reactive management decays fast.</t>
  </si>
  <si>
    <t>No live site data link; the model is a static simulation whose parameters come from a limited questionnaire sample, and its reliability and predictive capability are acknowledged as weaker than data-driven methods. Authors propose larger samples, EEG and eye-tracking for psychophysiological data, and adding agent-to-agent interactions as future work.</t>
  </si>
  <si>
    <t>Establishes an adaptable methodology for existing-bridge digital twins addressing software obsolescence and interoperability: laser-scanned geometry (RIEGL VZ-2000i) converted to IFC 4.3 BIM and enriched from the KUBA database, then imported into SCIA Engineer for what-if corrosion scenarios on the 377.60 m Praz bridge and DE-algorithm FE updating against DIC measurements on the Grandson bridge.</t>
  </si>
  <si>
    <t>Scan-to-BIM remains semi-automated and the DT provides no automatic defect detection; updates come in batch from inspections rather than a real-time link. Future work covers a method to integrate inspection and monitoring results into DTs, extension to new bridges during design, and linking DTs into networks for whole transport corridors.</t>
  </si>
  <si>
    <t>Combines a digital twin construction-safety model with a PSO-optimized BP neural network for vibration displacement sensing and recognition of large structures: the twin generates real-time structural state training samples and the model reaches 98.2 percent prediction accuracy overall, 99.1 percent for tension-cable stress, with eigenvalue EV 0.978 and correct critical-component identification on a 48 m span steel roof model.</t>
  </si>
  <si>
    <t>Validation is numerical, using a 48 m steel roof structural model with five working conditions rather than a monitored real project; the paper reports no live site data or actuation and no explicit limitations section. Future direction stated is only to deepen digital twin research for construction safety assessment and structural optimization design.</t>
  </si>
  <si>
    <t>Integrates WebGIS (Cesium), WebBIM (Xeokit) and graph algorithms (Neo4j) in a three-layer bridge DT with a common data environment, JSON-based defect modeling and triple-based roadmap graphs, enabling real-time monitoring, drone inspection, traffic diversion and maintenance planning; validated on the River Neath Swing Bridge with regional operation and individual maintenance case studies.</t>
  </si>
  <si>
    <t>Defect information modeling relies on custom JSON files that lack extensibility, and the multi-module stack risks cross-platform compatibility issues as functionality grows. Future work targets redefining defect and damage data in IFC format, improving cross-platform interoperability and scalability for more advanced bridge DT applications.</t>
  </si>
  <si>
    <t>Proposes a Bayesian-network system digital twin for county-scale life-cycle risk assessment of bridge networks, fusing NBI inspection ratings, traffic monitoring and river gage data across 1,034 bridges, 1,261 traffic stations and 10 river gages in Miami-Dade County, with a 6,478-node, 10,584-edge graph capturing component, system and cross-system correlations for scenario-based risk updating.</t>
  </si>
  <si>
    <t>The framework has not yet been validated with field or laboratory tests, and its large Bayesian network demands 97,484.8 MB of memory just to store conditional probability tables, limiting practical scale-up. Future work includes custom Bayesian networks to cut computation, validation through field coring and lab testing, and adding restoration and resilience modelling.</t>
  </si>
  <si>
    <t>Addresses the real-time human-robot communication gap in timber frame construction: a vision-based collaborative robot interprets the layout marks drawn by a carpenter as cutting operations, and a robot digital twin shown through HoloLens 2 mixed reality previews all motions, danger zones and collision warnings so the carpenter can safely time entry to the collaborative workspace under ISO/TS 15066.</t>
  </si>
  <si>
    <t>Only robot-operator collision risk is detected automatically; tracking of other workspace elements must still be added, and the system awaits calibration of assembly tools and tests with real carpenters. Future work includes defining shared human-robot spaces, optimizing auxiliary trajectories and tool orientations, and handling robot payload constraints.</t>
  </si>
  <si>
    <t>Combines deterministic and probabilistic methods into a four-stage holistic condition-assessment concept for fatigue-loaded railway noise barriers: standard fatigue calculations, visual condition classes linked with monitoring data, finite-element digital twin studies of bolt-post installation conditions, and Bayesian updating of reliability and remaining service life, grounded in large-scale fatigue tests with Austrian Federal Railways.</t>
  </si>
  <si>
    <t>No new data were created or analyzed in the study; the framework builds on prior experiments and model stages, and the digital twin stage remains offline without a live monitoring link. No explicit future work is stated, leaving integration into operator maintenance planning and validation on instrumented structures open.</t>
  </si>
  <si>
    <t>Builds a metaverse-based evacuation training system where a rainbow DQN agent learns dynamic guidance-sign strategies from a social-force crowd simulation of a teaching building; sensors such as cameras and smoke detectors would supply real-time crowd and disaster data to cloud servers. In two simulated scenes the agent balances exits and reduces evacuation time versus static signs and shortest-path guidance.</t>
  </si>
  <si>
    <t>Results come entirely from simulation of a 20.4 by 20.1 metre floor with 80 to 160 people; the system is not deployed with real sensors or a live building, and no quantitative accuracy beyond simulated evacuation times is reported. Future work extends to more complex layouts, wheelchair users and falling evacuees.</t>
  </si>
  <si>
    <t>Closes the perception-to-execution gap on a real high-rise self-climbing platform project: Component-ID plus timestamp aligns video, sensor, BIM and text streams; a multimodal Transformer recognizes operation states and predicts short-horizon risks; constraint-encoded policies generate feasible task sequences delivered via AR with acknowledgments, raising warning lead time from 1.8 to 4.6 seconds and cutting violations by 52 percent.</t>
  </si>
  <si>
    <t>High-resolution perception and large-model inference raise computational and maintenance costs, edge computing depends on stable power and network, AR execution relies on worker adaptation, and validation covers a single SCP project with confidential raw data. Future research targets model compression, lightweight deployment and adaptive zoning for scalability.</t>
  </si>
  <si>
    <t>Proposes a sky-space-ground digital twin framework fusing RBIM with SSIoT multi-source sensing, including real-time LiDAR, automated monitoring robots, GNSS and SBAS-InSAR settlement data, linked through GUID object mapping tables and a cloud platform with weighted-average fusion and conflict detection, achieving consistent millimeter and sub-millimeter settlement precision across monitoring points.</t>
  </si>
  <si>
    <t>The system is limited to integrating and visually presenting multi-source data; heterogeneous format standardization between BIM and point clouds remains a major challenge, and prediction or assessment is absent. Future research will add advanced data analytics and machine learning to predict maintenance needs and potential problems from historical and real-time data.</t>
  </si>
  <si>
    <t>Brings crowdsourced visual data into a digital twin city for risk-informed decision-making: 135 smartphone photos from five participants localize distant vulnerable objects via mean-shift clustering, achieving average distance errors of 4.49 metres at ranges of 18.6 to 38.7 metres, and the updated Houston city model is shown in a CAVE for interactive visualization of hazard cascades.</t>
  </si>
  <si>
    <t>Geospatial information alone cannot support full risk-informed decisions, localization still relies on smartphone sensors without ranging instruments, and participation depends on citizens willingness to contribute data. Future work includes integrating textual, audio and IoT sources, incentive mechanisms for participation, and more case studies to evaluate spatiotemporal updating.</t>
  </si>
  <si>
    <t>Fills the gap between macro city-level twin frameworks and single-phase pipeline platforms with a full-cycle BIM0 to BIM6 plus lightweight BIM-GIS architecture for the Shanghai Oriental Hub; a 5-month pilot deployed 28 IoT nodes (pressure, gas leakage, surface temperature) with under 1 s delay, raising planning collision detection from 68 to 97 percent and predicting one valve aging risk 7 days in advance.</t>
  </si>
  <si>
    <t>The pilot covers only water supply and gas pipelines, lacking power and communication monitoring modules, and its data is not yet connected to Pudong Airport systems for cross-node emergency linkage; multi-type pipeline adaptability and cross-departmental data interface standards are stated as future work.</t>
  </si>
  <si>
    <t>Addresses the lack of real-time worker authorization verification in large open construction sites: a UAV digital twin framework at CUHK combining YOLOv10-LCA detection (mAP50 raised from 31.5 to 96.4 percent, 3 ms inference), DeepSORT tracking, georegistered 3D site reconstruction and GPS electronic work permits, validated across Hong Kong construction projects with 19 inspection sites routed by 3D-TSP within a 41-minute flight limit.</t>
  </si>
  <si>
    <t>The system relies on a single UAV constrained by battery endurance, and its detector drops to 41.5 to 47.1 percent mAP50 on public UAV datasets, so generalization remains limited; future work includes multi-UAV cooperation, resilience in adverse weather and low light, extra sensors such as infrared and LiDAR, and broader training datasets.</t>
  </si>
  <si>
    <t>Targets delayed hoisting control and fragmented information in modular integrated construction stacking: a DT platform (DTPTS) fusing UWB and IMU sensing with a PosTraFormer spatio-temporal network whose multi-layer GCNs model trajectory point relations, achieving the lowest FDE and ADE across four lifting scenarios (0.0417 and 0.0476 in lifting) and on a real PolyU site case after fine-tuning (0.0277 and 0.0319), with protective collision shields in the twin.</t>
  </si>
  <si>
    <t>PosTraFormer has the largest parameter count (5661.7K) and lowest speed (288.8 frames per second) among tested models, and training relies on simulated trajectories because stacking datasets are scarce, with only 70 real pose sets for fine-tuning; no explicit future work is stated, so data collection and lightweight deployment remain unaddressed.</t>
  </si>
  <si>
    <t>Brings bidirectional cyber-physical interaction to construction machinery where literature is scarce: a laboratory prototype of an AR and digital twin CPS using an Arduino Uno and Yun sensor and actuator net (HC-SR04 ultrasonic, MPU-6050 inertial) on a tower crane analogue, with a Unity3D server relaying serial data to a marker-based AR controller at 0.25 s command latency and a DT animation lag of 0.5 to 1.0 s.</t>
  </si>
  <si>
    <t>Validation is confined to a laboratory analogue of a stationary tower crane, so no quantitative on-site performance could be measured, and the MPU-6050 readings were excluded from the twin because of latency and twitching; the authors propose a proprietary MCU package and dedicated connections instead of open Wi-Fi as future work.</t>
  </si>
  <si>
    <t>Bridges the gap between deterministic block theory and hours-long high-fidelity simulations with the Universal Discontinuity Index, a probabilistic score fusing physical damage, effective stress intensity, active fracture ratio and kinematic feasibility; it reproduced progressive batch failure in milliseconds versus BPDEM and FDEM, and on 52 El Teniente faces with 5300 DFN-KBT realizations predicted unstable block counts at R2 of 0.93 and 95 percent accuracy, feeding a Poisson early-warning model.</t>
  </si>
  <si>
    <t>The closed-loop digital twin workflow remains a design proposal rather than a deployed system, and the field validation used simplified inputs: uniform friction angle of 32 degrees, tensile strength of 17 MPa, Kirsch-based stress and a kinematic-only weighting; the authors plan spatio-temporal point process and Bayesian hierarchical models for clustered failures.</t>
  </si>
  <si>
    <t>Fills the scarcity of whole-lifecycle intelligent monitoring for deep foundation pits with an integrated approach at Waterlands Resort East Station on Shenzhen Metro Line 12: three-dimensional transparent geology, MEMS, BOFDA distributed fiber, UAV and machine vision sensing, four neural network predictors with GA-BP performing best, plus a BIM monitoring platform and Unity3D digital twin app with AR for construction and maintenance phases.</t>
  </si>
  <si>
    <t>The monitoring platform currently covers only the foundation pit construction stage, and the app runs only on Android with compatibility still needing improvement; sensor stability differences make the multi-source fusion platform costly and time-consuming, and no explicit future work section is provided beyond these stated gaps.</t>
  </si>
  <si>
    <t>Extends the Digital Twin for Construction Safety concept with a Right-time Analysis and Mitigation module tested at a Munich railway maintenance staging area: safeBIM rule checking plus RTK-GNSS over LoRa tracking at 1.0 cm median and 2.3 cm 95th percentile precision, detecting 99 unauthorized entries, mapping telehandler blind spots (right side obstructed to 1.9 m) and computing safety-weighted walkway routes that informed a revised safeBIM plan.</t>
  </si>
  <si>
    <t>Experiments lasted a limited period in a controlled staging area, RTK-GNSS suffers signal loss and interference, and operator awareness of workers could not be recorded, so head-pose or eye-tracking data is proposed; future work includes longer data collection, other equipment types, drone-based condition capture, big data analytics and standards for safe distances.</t>
  </si>
  <si>
    <t>Fills the absence of a construction-machinery-specific digital twin maturity model: five dimensions and 24 indicators across five levels, built from literature and expert interviews, assessed by Louvain expert grouping plus a penalty-weighted bi-objective opinion aggregation; applied to an automated construction system, the framework located the twin at Level 3, with continuous learning and real-time data processing scoring only Level 2.</t>
  </si>
  <si>
    <t>The assessment depends entirely on expert questionnaires (20 for indicator weighting, 15 valid in the case study), so results are subjective despite probability-based aggregation, and one ACS case limits generalizability; the authors propose update-frequency thresholds, sensor log data to replace expert judgment, and extension to other sectors.</t>
  </si>
  <si>
    <t>Addresses offline processing, uncertain sensor data quality and missing structural-analysis knowledge in BIM-based SHM with a digital twin framework tested on a prototyped aluminum frame at NJIT: Robot Structural Analysis guides sensor placement, Raspberry Pi sensing with strain gauge and laser distance sensor, wavelet sym4 denoising (threshold 25, level 6), and Revit Dynamo color-coded deformation visualization refreshing at 5 Hz from one sensor via bending-moment interpolation.</t>
  </si>
  <si>
    <t>The strain interpolation requires predefined mathematical representations and fails for live loads with moving locations; only tensile strain is monitored, not shear or torsion, and validation used a small-scale frame in a controlled environment, so the authors will run full-scale laboratory and field tests with additional sensors.</t>
  </si>
  <si>
    <t>Targets sparse and lagging manual tunnel monitoring with an IoT plus digital twin system on a shield tunnel beneath the Jinan High-Speed Train Depot: multi-source fusion of personnel, pipe-sheet, shield and environmental data into BIM dynamic modeling, improved D-S evidence theory with conflict weakening and a validity factor cutting belief interval length 0.37 to 0.14, capturing a palm face collapse; prediction errors under 1.9 MN thrust and 5.44 mm settlement.</t>
  </si>
  <si>
    <t>Sensing equipment is exposed to humidity, dust and vibration, so measurements can drift and regular calibration is required, and future validation will quantify mean-time-to-failure and accuracy decline in real tunnel conditions; the authors also plan to optimize the fusion and prediction algorithms and extend the system to mine tunneling and urban underground space.</t>
  </si>
  <si>
    <t>Fills the gap of preliminary clearance checking without field surveys: a digital twin method reconstructing the existing main road and underpass road from online map data (Digimap DSM, DTM and aerial photos) via road-marking extraction, smoothing-spline alignment fitting at R-square near 1.0, and flattened terrain models; clash detection of a 5.338 m clearance envelope in the M11 and Sawbridgeworth Road case caught insufficient clearance and guided redesign of underpass vertical alignment.</t>
  </si>
  <si>
    <t>Accuracy was not compared with field survey data, which the authors admit is needed to evaluate the method, and only underpass roads are handled; future research will validate through field surveys, focus groups and expert interviews, and extend the approach to overpasses, bridges, tunnels and traffic safety facilities.</t>
  </si>
  <si>
    <t>Provides automatic monitoring for arch cover method subway stations, rare in the literature, via a DT and IoT system at Shikui Road Station of Dalian Metro Line 5: pressure cells, rebar meters, strain gauges and displacement meters stream into a Revit secondary-developed BIM platform with IFC-extended sensor attributes and color-change alarms; lining pressure rises after temporary support removal informed inverse analysis that set midwall demolition at 12 m.</t>
  </si>
  <si>
    <t>The system is only applied to one station project, sensor equipment still needs anticorrosion and anti-interference development, and the numerical analysis model must be improved for true two-way mapping between digital and physical worlds; future work includes prediction algorithms, web, GIS, 5G and blockchain integration for multi-station unified management.</t>
  </si>
  <si>
    <t>Fills the gap between BIM and IoT fire monitoring and closed-loop fire protection control: a BFP ontology fuses static BIM geometry with dynamic IoT sensing data into a DT data model, and rule models plus BPMN process models execute intelligent control with update rules keeping virtual and physical spaces synchronized. Three scenarios, sprinkler, fire door, and smoke control, were verified through FDS simulation.</t>
  </si>
  <si>
    <t>Only verified by fire accident simulation; on-site experiments are still needed. The approach assumes IoT terminal data are fully obtainable and well processed, and only three basic fire protection scenarios are investigated. Future work covers a unified hardware-software platform for validation, more fire protection scenarios refined by domain experts, and extension to other system control tasks such as active seismic response control.</t>
  </si>
  <si>
    <t>Addresses the scarcity of experimental knowledge on unsafe hoisting behavior effects: a human-machine interaction DT built on a 1/30 scale tower crane with 20 Hz sensors synchronizes virtual FEM and BIM models through IoT data flow, and incremental dynamic load analysis yields collapse probability levels (TCL, FCL, MCL, JCL, CCL, RCL) showing tilt hoisting as most dangerous with foundation and masts most vulnerable.</t>
  </si>
  <si>
    <t>Results come from a laboratory scale model under simplified single-behavior conditions; sensor data agree with the virtual model in trend but differ in magnitude due to material property differences. Combined environmental loads and other unsafe behaviors, tower crane structural changes, and component influence weights during instability remain future work, and the unsafe hoisting monitoring system is only planned, not built.</t>
  </si>
  <si>
    <t>Fills the construction-phase early-warning gap for unsafe hoisting operations: a DT mirrors a 1:80 scaled tower crane through STM32 boards, three 9-axis IMUs, two laser sensors, and MQTT, and a standards-derived knowledge graph built from seven standards and 86 accident reports identifies safety events, achieving over 70 percent warning accuracy with under 20 percent false alarms and Theil consistency below 0.1.</t>
  </si>
  <si>
    <t>Validated only on a scaled-down crane in the laboratory, neglecting dynamic site environments and operator-specific habits; mapping suffers cumulative errors, and events like untested lifting and reverse operation show low accuracy or elevated false alarms requiring manual verification. Future work: analyzing consistency disparity sources, developing a more comprehensive mapping framework, and collecting real-world hoisting data.</t>
  </si>
  <si>
    <t>Addresses the cognitive overload and information silos that block adoption of automated safety analysis: a safety ontology and Prolog knowledge graph capture BIM, schedule, and hazard analysis results (about 3,800 nodes and 20,000 edges), and categorized query building blocks turn seven planning questions into queries answered in under one second, revealing cross-domain impacts of crew assignment and delivery changes on safety.</t>
  </si>
  <si>
    <t>No live site data link: IoT sensor collection, user interfaces, and on-site usability are explicitly out of scope, and the framework is tested only on one high-rise case study. Query translation remains too technical for practitioners, and scalability bottlenecks are expected on larger graphs. Future work adds schedule dependencies, compliance results, real-time location tracking, LLM-based query generation, and game-engine dissemination.</t>
  </si>
  <si>
    <t>Systematizes pre-hurricane preparedness beyond error-prone manual checklist inspection: SfM and MVS photogrammetry reconstruct jobsite point clouds, ResNet50 semantic segmentation reaches 98.2 percent accuracy, and a depth-aware projection raises 3D segmentation accuracy from 97.85 to 99.8 percent; volumetric measurement of nine material piles (errors 2.4 to 9.2 percent) feeds kinetic-energy threat heatmaps at hurricane-category wind speeds.</t>
  </si>
  <si>
    <t>Case studies are static snapshots of two jobsites without live data integration. Segmentation is expected to degrade in rain, fog, or dim light and under occlusions and moving objects; volumetric measurement overestimates unstacked piles because RGB cameras cannot see inside them. Building robust machine vision accounting for these challenges is the direction of ongoing research.</t>
  </si>
  <si>
    <t>Extends jobsite debris risk assessment to neighboring communities: a geometric digital twin of a railroad jobsite gravel pile built from 45 UAV images (volumetric error about 4.6 percent) feeds a HAZUS-based glazing reliability model together with ResNet50 street-view window segmentation (85.0 percent accuracy), computing failure probability of nearby dwelling glazing systems across 35 to 65 m/s wind scenarios.</t>
  </si>
  <si>
    <t>Relies on static Google Street View and UAV imagery with no live wind or site monitoring; facade occlusion by cars and trees degrades window detection, and performance drops in rain and fog. HAZUS assumptions such as uniform gravel size and persistent wind direction and the lack of validation against real disaster cases remain; collecting such data at scale is future work.</t>
  </si>
  <si>
    <t>Fills the worker safety and training gap in underground utility tunnel management: a LiDAR-modeled UUT digital twin in Unreal is coupled with a four-degree-of-freedom motion platform, visual and kinematic acceleration control, and treadmill velocity thresholding to reduce cybersickness; SSQ-based tests with 17 participants show significantly reduced headaches and motion sickness, with MANOVA confirming the technique effect.</t>
  </si>
  <si>
    <t>The UUT model is a one-time static LiDAR scan with no live facility data link, and the four-degree-of-freedom platform cannot support yaw or sway motions required by diverse VR applications; cybersickness symptoms still vary by age, and only 17 participants were tested. Extending the platform toward five degrees of freedom with a rotary drive for 360-degree yaw is underway.</t>
  </si>
  <si>
    <t>Fills the scarce real-world evidence gap on building safety DTs with two 17-month deployments: an office and a grain drying facility using Raspberry Pi sensor packages (thermal, RGB, UV, motion sensors), LiDAR-derived dimensionally accurate 3D models in Unity and WebGL, and Azure dashboards; normal operational signature analysis detects anomalies, localizes fires without triangulation, and a candle flame was detected in under one second.</t>
  </si>
  <si>
    <t>Monitoring only with no actuation or closed control of building systems. Validation is limited to the use phase, with no case studies from other lifecycle phases, and no quantitative comparison of detection speed and accuracy against conventional fire detection methods. Cost, lack of adoption knowledge, and manual 3D model generation remain obstacles; these comparisons and lifecycle studies are future research.</t>
  </si>
  <si>
    <t>Fills the gap for structures under simultaneous seismic and arbitrary loads: a 3D-printed MECOS benchmark pipe on a shaking table with an actuator, an updated ANSYS finite element model, and a Craig-Bampton reduced order model (62 DOFs, about one percent of the 7,428-DOF model) yield about 450 times faster calculation, enabling real-time estimation of unmeasured responses and loads with RMSE 0.0103 and 0.0266 versus sensors.</t>
  </si>
  <si>
    <t>Validated only on a small laboratory-scale 3D-printed pipe, with verification against the finite element model rather than in-service plant data; sensor noise, measurement uncertainty, and scale effects are not addressed, and no explicit future work is stated beyond the expectation that continuous development will transfer the system to ports, shipbuilding, power generation, and manufacturing.</t>
  </si>
  <si>
    <t>Overcomes the point-measurement limits of black-globe thermometers: UAV photogrammetry builds a geometric site twin, an on-site weather station streams temperature, humidity, irradiance, and wind, and SOLWEIG microclimate simulation with shadow, sky view factor, and surface material maps yields site-wide heat risk maps; in Stephenville, Texas, the simulation method estimated mean radiant temperature with RMSE 4.21 C and R2 0.93 versus 11.80 C and 0.44 for the black-globe method.</t>
  </si>
  <si>
    <t>The geometric virtual model is not synchronized between UAV image updates, so same-day erected structures and moving equipment are missed; surface temperature simulation overestimates by up to 23.6 C for asphalt, and manual material registration is labor-intensive. UAV infrared thermography is computationally demanding at site scale. Future research targets integrating biometric sensors for individualized worker heat risk assessment.</t>
  </si>
  <si>
    <t>Bridges pre-simulated fire knowledge and real-time emergency response: an edge-layer informative digital twin on a cloud-edge-device architecture compares live sensor data against a pre-simulated fire knowledge base using online DTW with parallel processing, recognizing fire scenarios in 0.88 s versus over eight hours of CFD; zone-based ARET, RRET, and safety margin assessment cut evacuation time by 65 s and injuries by 406 in a Hoehyeon underground mall simulation.</t>
  </si>
  <si>
    <t>Validated through simulation only, with no real fire deployment. Risk assessment considers just three fire risk factors and assumes average walking speed, ignoring obstacles, blocked paths, age, and disability; recognition accuracy depends on the completeness of the knowledge base, and computing and network resources may be strained as buildings and sensors scale. Future work covers generative-AI scenario generation and personalized risk assessment.</t>
  </si>
  <si>
    <t>Fills the real-time cost versus accuracy gap between mechanistic and statistical twins: a multi-fidelity surrogate combining a low-fidelity RBF trained on large low-fidelity data with a high-fidelity RBF on few high-fidelity samples yields a lightweight crane boom twin predicting stress and deformation in 0.035 s with R2 above 0.98 at 18 test points, plus Gaussian uncertainty quantification from 140 repeated lifts, rendered in a WebGL scene.</t>
  </si>
  <si>
    <t>Restricted to the linear elastic stage of materials, excluding plasticity, nonlinear behavior, and multiphysics coupling, and validated only on a laboratory crane boom; prediction accuracy depends on the limited high-fidelity sample set, and sensor uncertainty is modeled but not eliminated. Future work should explore nonlinear materials, plastic deformation, and multiphysics coupling for a more realistic twin.</t>
  </si>
  <si>
    <t>Addresses the gap between component-level computer vision damage detection and whole-building post-earthquake safety assessment: a BIM-referenced digital twin where the BIM guides automatic selection of optimal UAV images per damage-sensitive component, GrabCut-based segmentation assigns each pixel to a BIM element (IoU 0.80 to 0.90), and 3D point cloud change detection flags damaged nonstructural components, demonstrated on Turner Hall with 989 images and a synthetic masonry damage environment.</t>
  </si>
  <si>
    <t>The full methodology is not yet demonstrated end to end on a real damaged building; BIM geometry is simplified and alignment errors distort labels near beam-column connections, 3D change detection misses light damage, and no structural analysis is yet integrated. Future work includes physics-based graphics model validation and coupling damage states to pre-earthquake analysis to predict global safety.</t>
  </si>
  <si>
    <t>Fills the gap of automated condition monitoring for pitched slated roofs, for which no prior orthophoto or segmentation work existed: a pipeline generating occlusion-free metric panel orthophotos from SfM reconstruction plus the building DT model, then deep-learning semantic segmentation into slate, leadwork and other, with PointRend plus background label correction reaching 94.22 mIoU and 100 percent background accuracy, validated on Duff House, St Marys Church and a Stirling house.</t>
  </si>
  <si>
    <t>Stage C defect detection is not implemented; segmentation still confuses leadwork and other classes, generalization drops sharply on unseen buildings, and occlusions such as chimneys can survive the median merging as shadows. Future work covers more roof data, SAM-based segmentation, defect detection in the semantic segments, and populating and maintaining the roof digital logbook.</t>
  </si>
  <si>
    <t>Turns noisy laser point clouds of large-diameter pipelines into a geometric digital twin enabling quantitative condition assessment, closing the gap between raw scanning and deformation measurement: LMedS slice-center fitting, DBSCAN clustering with Gaussian fitting and density-based region growing achieve sub-millimeter mean error against total station truth, with ovality and blockage quantified via OI and VI indicators at only 7 percent of KDE runtime.</t>
  </si>
  <si>
    <t>Validation is limited to laboratory plexiglass pipe segments rather than in-service networks; the method cannot measure the underwater part of pipes and does not suit bends with curved axes. Future work includes fusing 3D sonar data, AI-based assessment of spalling, corrosion and open joints, and an in-pipe inspection robot to carry the laser scanner.</t>
  </si>
  <si>
    <t>Addresses the vulnerability of physical sensors in dredger construction safety control: a digital twin-driven virtual sensor trained on real SCADA data (793 dimensions) from the Tongcheng hopper dredger at Tianjin Port, using Lasso plus random forest feature selection and Savitzky-Golay filtering, with DBN (R2 0.987) outperforming LSTM, XGBoost and SVR, and residual-based warning within a 99 percent confidence interval to diagnose torsional vibration faults.</t>
  </si>
  <si>
    <t>Models are trained offline on historical data without stated online updating, only torsional vibration is validated as a fault type, and warning thresholds rely on statistical residuals rather than any closed-loop actuation of the dredger. Follow-up work should investigate internal relations and interaction mechanisms among different types of mechanical faults.</t>
  </si>
  <si>
    <t>Fills the synchronization gap between BIM and FEM in construction-phase cable structures: multi-stage laser scanning (six scans of an 18-cable-set cable net) feeds parametric IFC modeling and ABAQUS secondary-development FEM, with BIM-to-point-cloud accuracy of 15 to 20 mm, per-stage modeling and computation within 140 s, and FEM prediction deviations of cable shape and force versus next-stage measurements within about 1 and 2 percent.</t>
  </si>
  <si>
    <t>The IFC model carries only geometric data, connecting members are simplified as rectangular prisms without internal detail, and the FEM assumes zero displacement at the cable anchorage. Future work includes supplementing material, load and construction information in the IFC data and adjusting boundary stiffness based on monitoring data.</t>
  </si>
  <si>
    <t>Closes the gap between industrial speed-and-separation monitoring and seamless construction worker-robot collaboration: a digital twin system perceiving workers via Azure Kinect 32-point skeletons with 14 capsule representations, robots via URDF plus encoders, and materials via ArUco and QR tags with IFC data, computing rapid separation distance and dynamic protective separation distance to halt the robot, achieving 9.8 FPS, 0.177 s reaction and 0.09 m perception error with zero collisions in static and dynamic conflict tests.</t>
  </si>
  <si>
    <t>Validation covers one mobile manipulator prototype in controlled scenarios with protective equipment and human supervision, and virtual-state updates still depend on robot actuators for stopping. Future work targets more robot types including humanoids, faster perception methods with less latency, and predictive motion models to improve protective separation distance calculation.</t>
  </si>
  <si>
    <t>Fills the planning gap for WSN and BIM integration in garage environmental monitoring: a working digital twin system with Zigbee mesh nodes (MQ-7 CO and DHT-11 temperature and humidity) that react to simulated hazardous gas within 1 to 2 s, automatically switching on ventilator and flashing alarm, with 250 m direct and over 450 m relayed communication, color-coded BIM visualization via Navisworks API, and roughly 40 percent cost saving versus handheld detectors.</t>
  </si>
  <si>
    <t>Validation used only three sensor locations in one Taipei garage with simulated gas, standard-gas calibration is recommended for quantitative readings, and battery capacity limits node operation to about one week. Future work includes adopting more IoT technologies and integrating BIM with AI for smarter environment management in smart cities.</t>
  </si>
  <si>
    <t>Elevates prefabricated hoisting digital twin research from static expert-based risk scoring to the essence of safety risk: a DEMATEL-ISM hierarchical risk model embedded in the twin, with Bayesian network reasoning via EM-trained parameters computing the key degree of indirect inducement factors when a direct factor such as sling angle turns dangerous, verified on a 71,172 square meter Tianjin prefabricated project with RFID, IMU, crane black box and LoRa sensing.</t>
  </si>
  <si>
    <t>The training sample set is very limited (three integrated time points, expert-copied and expanded) and no intelligent decision system or automatic actuation exists; integration with hoisting risk assessment and prediction methods remains open. Future research will expand data samples to improve accuracy and enhance the BIM platform visualization and functional modules.</t>
  </si>
  <si>
    <t>Fills the coupling-analysis vacancy in hoisting safety: a digital twin framework combining IoT and BIM with Apriori association-rule mining (support 0.5, confidence 0.6, lift-ranked rules) mapped into a weighted complex network whose degree centrality identifies key risk nodes such as illegal operation and poor safety-protection wearing, validated on a large prefabricated project using 26 days of integrated site records.</t>
  </si>
  <si>
    <t>Validation data samples are acknowledged as insufficient, the mined rules lack an intelligent evaluation system, and single-project results cannot transfer to other projects without recalibration; no automated control loop is implemented. Future work integrates this coupling method with other prefabricated hoisting safety twin services.</t>
  </si>
  <si>
    <t>Moves digital twin application beyond reflecting reality toward virtual control of reality for cable tensioning: a fusion mechanism of digital twins and AI with multi-dimensional and multi-scale twin agents, a DBN (RBM pretraining plus BP fine-tuning) predicting cable forces, and a 1:10 wheel-spoke cable truss test where twin correction against sensor strain cut cable-force errors to within 3 percent and DBN-based safety levels guided maintenance under quarter-span live load.</t>
  </si>
  <si>
    <t>The system is demonstrated only on a 1:10 scale test model rather than a full-scale project, and the authors acknowledge intelligent tensioning research is still preliminary with the DBN trained on historical mining data. Further work calls for deeper digital twin and AI integration and improved information collection and communication for whole-process tensioning control.</t>
  </si>
  <si>
    <t>Addresses the lack of efficient impact response prediction tools for structure O and M: a high-fidelity digital twin combining BIM, 3D laser scanning and ANSYS/LS-DYNA simulation, with an improved LM-BP neural network (14 inputs, 5 outputs) trained on 219 drop-hammer working conditions, achieving R of 0.99293 in training and 0.98766 in testing with 99.7 percent overall accuracy, versus 48 hours of physical testing.</t>
  </si>
  <si>
    <t>The model outputs single data points of peak cable force and displacement, not time-history responses, and is trained offline without online updating; 5G real-time transmission stability for large structures is an open challenge. Future research covers big data technologies for O and M data and integration with health monitoring and maintenance policy services.</t>
  </si>
  <si>
    <t>Addresses the disconnect between independent indoor safety systems and building information: a digital twin-based indoor safety management system combining lightweight WebGL BIM, LoRa IoT terminals (oxygen, CO, smoke, temperature, door and window sensors plus camera people counting) and SVM models that classify fire, illegal intrusion and overcrowding with 97.57 to 100 percent accuracy and grade danger levels at 96.2 percent accuracy with R2 above 0.89, applied to a Beijing Winter Olympics stadium building.</t>
  </si>
  <si>
    <t>The SVM models are trained offline on 15 days of simulated danger data from one stairwell room, danger coefficient scoring depends on safety staff judgment, and danger handling still falls to human staff. Future work targets more targeted handling suggestions, additional dangers such as harmful gas leaks, and extending digital twin models to structural and equipment safety management.</t>
  </si>
  <si>
    <t>Fills the gap between finite-element simulation and next-moment stress prediction during overall jacking of an airport terminal steel mesh roof: a digital twin built with Midas/Gen life-and-death element analysis guides sensor placement on twelve hydraulic jacks and key bars, and an XGBoost model predicts key-bar stress with 98 percent accuracy and validation R2 of 0.9919, outperforming GA-BPNN and random forest.</t>
  </si>
  <si>
    <t>The training set uses real site monitoring values with error superposition, the model is offline-trained on one project with only four days of jacking data, and no automated warning integration exists; the authors plan multi-source sensor fusion with real-time monitoring systems and evaluation of generalization across different steel structures and construction conditions.</t>
  </si>
  <si>
    <t>Fills the gap of costly experience-based health monitoring for large-span steel mesh frames by combining a digital twin with geometric, finite-element, behavioral and rule models with random forest feature-importance analysis of overall jacking data from an airport project, showing that maximum jacking height difference and jacking speed dominate structural stress, consistent with construction code provisions.</t>
  </si>
  <si>
    <t>The random forest provides importance ranking rather than prediction accuracy metrics, safety control relies on rule-based alarms and shutdown commands without learning-based updating, and only one airport project validates the method; the authors state data transmission efficiency must improve and plan extension to bridges and high-rise platforms with better sensors and optimized predictive algorithms.</t>
  </si>
  <si>
    <t>Fills the gap between conceptual community-resilience digital twins and functional visualization: COWINE uses Cities:Skylines as simulation engine integrated with real-world topography, infrastructure, economic, traffic and disaster data for a Brevard County Florida pilot region, with interactive visualizations and a tornado case study demonstrating collaborative before-during-after resilience planning among stakeholders.</t>
  </si>
  <si>
    <t>Data flow is not real-time but manual and intermittent, assets are uniform with no deterioration models, and there is no traffic crash or fuel consumption simulation; the tornado scenario is demonstrative rather than validated, and the authors list future work on mods for real-time data flow, deterioration tracking and empirical validation.</t>
  </si>
  <si>
    <t>Fills the gap of resource-intensive modeling blocking city-scale slope digital twins: DrainNet, a CNN with directional convolutions, dilated blocks and channel attention, delineates drainage channels with 81.26 percent Dice and 0.24 connectivity error using only 0.28M parameters on the 1226-image CurvaChannel dataset, and an automated Grasshopper workflow builds slope BIM models about nine times faster than Dynamo for a web-based twin platform.</t>
  </si>
  <si>
    <t>Only exposed drainage channels and topography are modeled, cross-sections use one uniform empirical size, the closure heuristic may wrongly connect distinct channels, and the twin is static with no live monitoring data; the authors plan real-time sensor integration, hydrodynamic simulation, data-driven susceptibility analysis and higher-LOD models toward fully realized digital twins.</t>
  </si>
  <si>
    <t>Bridges defect-based inspection classification and performance forecasting for tunnel lifecycle management: a 2D classified-cell grid converts visual inspection data into tunnel serviceability index values, inverse exponential limit analysis validated against stochastic literature models yields a 16-year target intervention time, and an inspection digital twin of railway tunnel TL 01 attaches metadata through EleFront with online photo links.</t>
  </si>
  <si>
    <t>The twin is an initial prototype with manual visual inspection input and no automated synchronization, initial post-construction inspection data were missing so the initial serviceability index could not be computed, and five-year single-point data produce wide eight-year intervention intervals; future work covers automating information input and model creation from point clouds and building performance databases.</t>
  </si>
  <si>
    <t>Automates tunnel inspection digital twin creation from heterogeneous field data: point clouds from a Faro Focus 3D X330 scan of the Coastal Tunnel are cleaned and decimated, meshed by Poisson reconstruction in Grasshopper, with the new MDQ index guiding mesh quality, and metadata attached via EleFront; digital inspection took about 18 minutes versus 46 minutes manual and located a leakage the visual survey missed.</t>
  </si>
  <si>
    <t>The model is static with no real-time synchronization, digital inspection missed fine shrinkage cracks, portal overexposure prevents accurate color extraction, internet access is required for server connection, and point cloud density depends on scanning equipment; the authors plan additional information layers and UAV or ROV LiDAR acquisition for hard-to-reach tunnels.</t>
  </si>
  <si>
    <t>Addresses fragmented document-based management of a diffused university asset: a BIM-GIS web platform integrates spatial and functional data from several directorates into a centralized relational database with a tailor-made space encoding, feeding an interactive 3D map with analytical dashboards for two University of Turin demonstrator buildings, plus crowd simulation to assess fire evacuation safety levels.</t>
  </si>
  <si>
    <t>No IoT sensors or live data feed the app yet, formats remain authoring-based rather than open standards, and no AI or ML processing exists, so the cognitive digital twin is aspirational; future work includes IoT networks, AI and AR/VR integration, whole-asset fire risk mapping and active wayfinding for evacuation.</t>
  </si>
  <si>
    <t>Fills the underexplored gap of hyperparameter optimization in serverless decentralized federated learning: local SMAC tuning with performance-weighted one-shot aggregation on six Raspberry Pi nodes cut worker-safety convergence rounds from 42 to 18 and MAE from 0.058 to 0.042, and MNIST rounds from 8 to 3 with 95.3 percent accuracy, while a digital twin layer provides observability without centralizing data.</t>
  </si>
  <si>
    <t>Validation is testbed-only with two datasets, energy consumption was not instrumented, one-shot HPO is sensitive to concept drift, and open adversarial environments are not covered; the authors plan drift-triggered re-tuning, Metropolis-Hastings consensus for ring topologies, multi-objective accuracy-latency-energy optimization and Byzantine-robust aggregation.</t>
  </si>
  <si>
    <t>Fills the lack of integrated multi-worker safety monitoring systems by coupling a digital twin platform with federated learning: six Raspberry Pi edge nodes train a DNN on 50,000 records of worker, weather and structural data, and a normal-distribution-based dynamic node selection improves FedAVG aggregation to R2 0.978 under IID and 0.965 under non-IID conditions with 0.551 s average inference delay.</t>
  </si>
  <si>
    <t>Experiments run in a controlled testbed with emulated sensors rather than an active construction site, the digital twin supports monitoring and control commands but no autonomous actuation, and only general safety prediction is covered; the authors plan field deployment, additional data features, accident-specific models and fairness plus long-term robustness evaluation.</t>
  </si>
  <si>
    <t>Reconceptualizes construction defects as latent energy and carbon drivers: the Quality-Sustainability Integration Index combines severity, carbon and repair frequency calibrated from 83 professionals, 14 Lagos buildings and 847 repair entries, showing waterproofing defects carry a 3.4x carbon multiplier and 82.3 tCO2e per 1000 m2 over five years, with a 44 percent lifecycle carbon gap between high and poor quality scenarios.</t>
  </si>
  <si>
    <t>Operational energy penalties are conceptually inferred rather than dynamically simulated, embodied carbon uses ICE v3.0 proxy factors without Nigerian EPDs, records span only five years, and the digital twin is a conceptual prototype not validated for operational control; the authors plan Nigerian EPDs, 15-20 year monitoring, climate-zone verification and gradual twin operationalization.</t>
  </si>
  <si>
    <t>Maps the under-reviewed use of ontologies and semantic web technologies for construction execution: a systematic review of 52 papers from Scopus and Web of Science spanning 2005-2023 categorizes use cases including safety management, compliance checking, site monitoring and 4D BIM, analyzes how semantic web tools support BIM and digital twin applications, and positions ontologies as the path toward BIM Maturity Stage 3.</t>
  </si>
  <si>
    <t>It is a literature review without its own ontology or case validation; findings are limited to building construction execution papers retrieved by April 2023 and exclude infrastructure projects; barriers include unpublished ontologies causing redundancy, scalability limits and mapping complexity, with future work on reuse best practices, IoT-linked real-time semantic data and scalable solutions.</t>
  </si>
  <si>
    <t>Fills the gap between geometric UAV reconstructions and semantically understood damage: the AEDT framework fuses multiview UAV imagery, SfM 3D reconstruction and a MobileNetV2-based CNN with 81 percent test accuracy and macro F1 0.81 into a GIS-compatible interactive twin of a Taiwan soil and water conservation structure, cutting on-site inspection time from 3.5 to 1.3 hours and linking anomalies to maintenance records.</t>
  </si>
  <si>
    <t>Detection relies on RGB imagery so vegetation-hidden or subsurface defects are missed, lighting variation and UAV motion degrade robustness, siltation-B and collapse-B classes reach only 0.60 accuracy with signs of overfitting, and validation covers a single site without live sensing; the authors plan multispectral and thermal sensors, LiDAR and edge AI inference.</t>
  </si>
  <si>
    <t>Fills the gap of enriching geometric building twins with electrical and fire-safety objects that prior scan-to-BIM methods ignored: a mostly automated pipeline fusing laser scanning and photogrammetry, with Mask-RCNN detections mapped into point clouds via COLMAP, ICP alignment and voxel raycasting, then RANSAC shape fitting and OCR text extraction, raising mIoU for smoke alarms from 29.1% to 48.6% and lights from 69.4% to 79.9% versus KPConv.</t>
  </si>
  <si>
    <t>Validation is limited to TUM office interiors with a manually labelled dataset; detection is weaker for objects that vary across buildings and many classes like furniture remain missing; only simple geometric primitives are fitted, point-cloud registration stays manual, and the photogrammetric step needs enough overlapping images. Future work adds more classes, CAD-level shapes, and joint 2D and 3D deep learning.</t>
  </si>
  <si>
    <t>Proposes a BIM-enhanced digital twin architecture for construction pollution management in building renovation, defined by five components (physical entities, virtual models, DT data, services, connections) and a hybrid LOIN-LOD framework specifying minimum modelling requirements; a Chulalongkorn University auditorium pilot integrated six IoT sensor clusters (noise, PM2.5, CO2, vibration) with MQTT, Firebase, Node-RED threshold alerts and a React plus Forge dashboard, with 1-second data transmission.</t>
  </si>
  <si>
    <t>The actuator and HVAC responses to threshold breaches are designed but not implemented, semantic ontology integration remains unexplored, and the pilot lacks construction progress tracking and complaint channels; low-cost sensor reliability and a calibration loop are open issues, while Forge visualization of large datasets caused performance bottlenecks. Future work targets cognitive DT components, semantic standards, AI analytics and complaint management.</t>
  </si>
  <si>
    <t>Explains a satellite monitoring failure on the Ponte della Musica arch bridge in Rome using a 3D FEM digital twin in SAP2000 calibrated against ambient vibration tests (three experimental eigenfrequencies 0.92, 1.01 and 1.33 Hz reproduced within about 2% error); thermo-mechanical analyses show a most probable plus or minus 5 degrees C variation causes about 2 cm of deck displacement, exceeding the X-band line-of-sight measurement limit of roughly 0.8 cm.</t>
  </si>
  <si>
    <t>The model is linear and ignores solar radiation and nonlinear constraint effects, so real displacements may be underestimated; satellite and weather data are processed offline with no live monitoring link, and findings need generalization to other bridges. The authors suggest integrating L-band radar, GNSS, TInSAR, optical fibre and LiDAR measurements.</t>
  </si>
  <si>
    <t>Presents a LiDAR-simulated digital twin approach generating probabilistic 3D point clouds of rail fasteners in real time from grayscale and depth images via a Siamese self-supervised contrastive network (vision transformer, Fourier network, multilevel fusion) and a Bayesian neural network; trained on structured-light data from a 10 km/h track inspection vehicle, it reaches a Chamfer distance of 0.3926 and Hausdorff distance of 1063.79 with noise augmentation, followed by RANSAC segmentation and cubic interpolation.</t>
  </si>
  <si>
    <t>Evaluation rests on only 30 samples of one fastener type, with no comparison against real LiDAR scans, no long-term field tests and no validation of downstream anomaly detection; accuracy depends on input image and depth quality, and uncertainty remains for other fastener types and environments. Future work includes MiDaS-based depth estimation, anomaly detection algorithms and additional data sources.</t>
  </si>
  <si>
    <t>Couples IFC-based BIM semantics with mobile crowd sensing for real-time evacuation routing: IFC entities become a dynamic decision graph updated by Wi-Fi RSSI localization using a two-stage strategy that also infers silent users, and an extended Dijkstra algorithm with AHP-derived weights (distance, time, exit availability, route safety index) recomputes paths; field tests in a four-story academic building under three scenarios reached 94 to 96% in-time evacuation and 3.02 to 3.58 m positioning error.</t>
  </si>
  <si>
    <t>Validation covers a single mid-sized academic building and three scenarios, Wi-Fi localization error stays non-negligible, and occupant privacy plus data governance are unresolved; agent-level behavioural modelling and multi-building validation were beyond scope. Future work includes predictive hazard modelling, sensor fusion (BLE, IMU, UWB), privacy-preserving architectures and larger building typologies.</t>
  </si>
  <si>
    <t>Integrates BIM, FEM and real-time monitoring to assess seismic behavior of the Prince Moulay Abdellah Dam in Morocco: a Revit model with sensor metadata feeds a MIDAS FEA NX 3D soil-structure model (278,778 tetrahedral elements) via Parasolid export, and response-spectrum analyses show maximum tensile stresses around 12% and compressive stresses around 85% of allowable limits at 0.5 g; vinchon records from the September 2023 magnitude 6.8 earthquake confirm abutments displace more than the stable central vault.</t>
  </si>
  <si>
    <t>Analyses remain linear-elastic with soil parameters taken from literature and an assumed 30 MPa concrete strength due to missing data, so nonlinear joint behavior is uncharacterized; monitoring data cannot be shared, and no automated live BIM-FEM coupling exists yet. Future research targets automatic interoperability, nonlinear fracture modelling at joints, and early warning systems for other dams.</t>
  </si>
  <si>
    <t>Develops a conceptual risk systematization for the Digital Twin for Construction Projects (DTCP) approach through READ-method document analysis of 32 selected studies, mapping five construction risk categories (planning and monitoring, security and safety, quality, human resources, execution) onto twin capabilities, and proposing a ten-step risk treatment procedure plus a custom risk matrix with reduced assessment levels to speed anomaly handling and prediction.</t>
  </si>
  <si>
    <t>The work is purely conceptual with no implemented system, sensor deployment or case validation, and conclusions rely on a narrow set of studies and the authors individual project experience. The paper calls for future research on safeguarding shared data and information security, human-machine interface issues, psychological impacts of automation, regulatory compliance, and machine learning extensions.</t>
  </si>
  <si>
    <t>Delivers a BIM-based digital twin framework for urban roads in Turin integrating MMS LiDAR point clouds, municipal GIS layers and authoritative geodatabases into IFC 4.3 models at LoD200 (city scale) and LoD400 (asset scale), covering about 45 km of network with over 2000 vertical elements and achieving RMSE 3 cm geometric accuracy validated by cloud-to-mesh deviation analysis, creating AI-ready, semantically enriched datasets for maintenance planning.</t>
  </si>
  <si>
    <t>The twin is a static information model without real-time IoT ingestion, bidirectional communication or automated updates, relying on periodic surveys and semi-automated processing with manual intervention; behavioral and performance indicators are absent and only one urban area was tested, with data governance and privacy unresolved. Future work covers sensor integration, deep learning automation and city-wide scaling.</t>
  </si>
  <si>
    <t>Builds an intelligent overall planning model for underground space using a five-dimensional digital twin, analytic hierarchy process with variable weights and a Bayesian network for safety accident risk assessment; twin-based construction simulation yields a maximum column-bottom settlement of 21.897 mm and adjacent column differential of 2.886 mm, within code limits, and fire-scene imaging experiments show fused short-wave plus long-wave infrared equipment performs best under dense smoke.</t>
  </si>
  <si>
    <t>All evidence comes from simulations and idealized models rather than a deployed sensor network, so real-time underground monitoring is asserted but not demonstrated; risk assessment uses assumed probabilities, and the authors note insufficient equipment and data collection delayed earlier intelligent planning. No explicit future work or limitations section is provided beyond these points.</t>
  </si>
  <si>
    <t>Proposes a five-dimensional digital twin framework with six modules and a seven-step methodology for large underground cavern stability, adding IFC extensions (new entities and property sets for geotechnical monitoring, excavation sequence and convergence) and validated on the Neelum Jhelum hydropower powerhouse cavern where 52 extensometers, load cells and 24 prism targets feed FEM models to trigger rock support adjustments in near real time.</t>
  </si>
  <si>
    <t>Evaluation metrics are comparative estimates rather than measured outcomes, convergence station readings were collected manually on a weekly basis until obstructed, and reflective targets had to be replaced mid-project; real-time processing of large geotechnical datasets demands high-performance computing and validation covers only one geological setting. Future research targets enhanced automation, predictive analytics and wider environments.</t>
  </si>
  <si>
    <t>Develops an AI-enhanced digital twin for flood-driven roadway serviceability that couples flood simulation with a graph attention network predicting traffic speed 45 minutes ahead from 5-minute INRIX speed data and 6-hour flood intervals, using dynamic edges that appear and disappear with inundation to capture indirect impacts on non-flooded segments; validated on Hurricane Harvey traffic for two Houston zones, with flood edge features reducing prediction MSE.</t>
  </si>
  <si>
    <t>Flood scenarios are simulated offline with static 6-hour inundation data, live traffic is not yet ingested in real time, and no feedback or alerting loop exists; analysis covered only two Houston zip-code zones, and the model neglects inundation duration, drainage mitigation and non-flood traffic disruptions, with MSE rising after the twelfth interval. Future work targets automated real-time pipelines and broader geographic validation.</t>
  </si>
  <si>
    <t>Proposes reverse digital twin mapping of building envelope anomalies from UAV infrared point clouds: a PCRNet-based fusion model adds depth information for irregular geometries and a CNN detector classifies thermal anomalies, achieving 92% average accuracy, 96.3% precision, 94% recall and a 95.1% F1 score across 299 data points at 5.21 seconds per item, with anomalies registered into a digital twin model through Mask R-CNN markers for object-oriented management.</t>
  </si>
  <si>
    <t>The dataset covers a single building case, processing still requires manual intervention rather than an end-to-end automated loop, and detection is limited to thermal defects such as thermal bridges and insulation damage, with weak recognition of fine cracks, weathering or mold; field findings also included false alarms from air-conditioner units. Future research targets multi-climate benchmark datasets, multimodal fusion, cloud plus 5G automation and large language model maintenance agents.</t>
  </si>
  <si>
    <t>Fills the gap between real-time monitoring data and numerical simulation for slope safety: a stacking ensemble surrogate model (BP, RF, XGBoost, SVR, RBF) with multidimensional error analysis and adaptive parameter optimization predicts full-field displacement from limited monitoring points, reducing prediction error from 20 percent to 5 percent and reconstructing the 2010-2022 acceleration-stabilization deformation of the Donglingxin landslide at rates of 12.5-15.5-11.8 mm/y.</t>
  </si>
  <si>
    <t>Prediction results still differ from laboratory experiments because of numerical-simulation simplification and parameter uncertainty; validation covers one indoor DIC test and a single landslide, the surrogate learns from simulation rather than live sensor feedback, and the digital twin only visualizes and predicts without early-warning actuation or closed-loop control of the physical slope.</t>
  </si>
  <si>
    <t>Addresses the gap between robotic facade inspection and quantitative, real-time damage assessment: a negative-pressure wall-climbing robot with RTK-GNSS and IMU localization feeds a lightweight YOLO12 segmentation model (0.775 mAP) whose skeletonization and PCA quantification reach 1.140 cm length error and 0.826 cm center error, all mapped into a cloud digital twin with 2.8-4.8 s response cycles on a Tongzhou Beijing building.</t>
  </si>
  <si>
    <t>The adhesion mechanism cannot handle highly rough surfaces and only surface cracks and spalling are analyzed, leaving UWB radar and infrared subsurface data unused; validation is limited to laboratory specimens and one residential building, and future work targets robot hardware adaptation to complex facades plus subsurface defect characterization through multi-modal cross-validation.</t>
  </si>
  <si>
    <t>Fills the insufficient-data gap in deep-learning fault diagnosis of construction-robot joints: a gear-dynamics virtual entity generates faultless vibration data as the X-domain and a CycleGAN-based digital twin maps it to the physical Y-domain, so that with only 400 measured samples a CNN-ResNet classifier reaches 98.86 percent accuracy versus 32.5 percent without augmentation, outperforming GAN baselines on an RV reducer test rig.</t>
  </si>
  <si>
    <t>The digital twin is an offline simulation-to-reality data generator rather than a live synchronized model; only planetary-wheel faults of the RV reducer are considered on a laboratory test rig, and online diagnosis, model updating, or integration with an operating construction robot is not demonstrated or stated as future work.</t>
  </si>
  <si>
    <t>Extends GIS-based heatwave vulnerability mapping into a graph-based urban digital twin: Google Solar API heat-index data, Vienna open population datasets and OpenStreetMap roads are fused into a dependency-risk graph whose centrality analysis identifies cumulative risk paths and critical blocks, including cold-spot node 683, and plans first-responder ambulance routes from cooling spots to high-risk populations, with sensitivity checks showing Spearman correlations near 0.8.</t>
  </si>
  <si>
    <t>The tool supports planning rather than real-time emergency operations, with no live sensor feeds, no actuation, and validation limited to Vienna city center; the authors plan alignment with EU regulations including NIS2, integration of Copernicus real-time streams, downscaled or locally calibrated solar data, and extension to compound events such as power outages and floods.</t>
  </si>
  <si>
    <t>Fills the construction-phase gap left by operation-focused bridge digital twins: a multi-resolution digital twin for the Zhanlin Yellow River cable-stayed bridge links a web-BIM model with a Midas Civil finite element model (267 elements, 19 launching stages) and 120 strain gauges, applying standardized stress and deformation warning thresholds that triggered Level 1 and Level 2 alarms during jacking at 573 m.</t>
  </si>
  <si>
    <t>Theoretical simulation results were not validated by thorough field tests, the case focuses mainly on main-girder stress, and warnings still require personnel to execute predefined procedures rather than automatic control; future work includes comparing the digital twin approach with conventional construction safety control and building a large-scale cable-stayed bridge construction monitoring database.</t>
  </si>
  <si>
    <t>Closes the data-model-decision loop for geological uncertainty ahead of tunnel faces: TEM, GPR and borehole data become point-cloud models of water content, lithology and integrity via KNN interpolation, and a fuzzy cloud probability model quantifies uncertainty to classify surrounding rock per meter within a 30 m range, achieving 92.95 percent accuracy across 539 exposed-rock records of five tunnels on the Tongji iS3 platform.</t>
  </si>
  <si>
    <t>Decision factors cover only water content, lithology and integrity; GPR captures a single cross-section so longitudinal integrity variation is missing, databases are unevenly sized, and per-cycle computation of 10-60 s grows to 2-5 minutes for concurrent tunnels; the authors propose GPU and KD-tree acceleration plus extension to soft-soil and underwater tunnels.</t>
  </si>
  <si>
    <t>Fills the spatiotemporal risk-prognosis gap in foundation pit excavation: a five-component digital twin (physical space, FLAC3D virtual model, twin data, service, connections) fuses RFID, displacement, soil-pressure and environmental sensing to update an 850141-cell finite element model after each step, with Markov-chain risk prediction and a bow-tie model selecting control measures, validated on the Wuhan Metro Line 7 air-shaft pit with 15.2 mm maximum settlement.</t>
  </si>
  <si>
    <t>The method depends on dense, costly sensor arrays; several displacements are still measured manually with inclinometers, soil is idealized as homogeneous and isotropic, and consolidation over time and groundwater seepage are ignored; future work targets real-time sensing with AI-driven risk prediction, better sensor placement, and seepage and time-dependent effects.</t>
  </si>
  <si>
    <t>Fills the gap between data-driven bridge SHM and expert knowledge: the DK-DTM framework combines UAV imagery processed by YOLOv8, LiDAR point clouds processed by PointNet, and LSTM-forecast sensor series with a fuzzy-logic expert knowledge base and rule engine, applied to the 612 m Hedong Bridge where it found a 12 mm mid-span displacement and early-stage fatigue risks.</t>
  </si>
  <si>
    <t>Validation is limited to the Hedong Bridge case with no reported quantitative accuracy for the detection and prediction models; real-time performance depends on multi-source data integration speed, machine-learning robustness depends on training data quality, and uncertain expert rules complicate knowledge base construction; future work includes advanced ML algorithms and automatic knowledge-base selection per bridge type.</t>
  </si>
  <si>
    <t>Bridges the divide between data-driven automation with limited interpretability and human-centered assessment with limited scalability: a human-AI-knowledge HITL-DT framework formalizes engineering codes and human cognition (individual perception, team situation awareness) alongside AI reasoning into a closed-loop device-model-decision architecture for risk sensing, prediction and control in civil infrastructure O&amp;M.</t>
  </si>
  <si>
    <t>Validation is qualitative and conceptual only, demonstrating operational feasibility and logical consistency without numerical performance tests or comparisons with other systems; formalizing context-dependent expert knowledge into computable rules remains unresolved, multi-source data systems are costly, and future work targets autonomous learning, cross-infrastructure knowledge transfer, and full-lifecycle risk management.</t>
  </si>
  <si>
    <t>Addresses the micro-level gap of mapping live articulated-equipment motion into digital twins: orientation sensors (XSens MTw) on the boom, stick and bucket of a Caterpillar 430E IT backhoe drive forward-kinematic updates of a 3D twin with proximity monitoring, achieving a 0.06 m mean separation error with 0.05 m standard deviation in 15 configurations and testing audio-visual warnings against 2.0-3.0 m safety buffers.</t>
  </si>
  <si>
    <t>Validation used a stationary backhoe in an indoor facility with a flat virtual ground model, bucket geometric differences and 0.5-degree sensor accuracy causing discrepancies; safety-buffer penetration rose with operating speed (15 to 68 percent), so dynamic tolerance zones, linear encoders, operator training, and extension to cranes, dump trucks and graders are identified as future work.</t>
  </si>
  <si>
    <t>Fills the granularity gap between abstract quality risk and concrete defects: a quality-defect-trigger concept with an evolution-mechanism, ontology-based four-layer semantic model and GraphDB linked-data pipeline uses SPARQL deviation computation to flag triggers exceeding tolerance thresholds, identifying a 4.63 mm x-axis misalignment and 2.9 mm seam-flatness deviation in a prefabricated composite-slab installation while reaching 100 percent identification accuracy in 371 s.</t>
  </si>
  <si>
    <t>The framework depends on high-quality real-time data, lacks a standardized defect-trigger grading and remediation system, offers limited BIM and mobile-platform integration and weak visualization, and management-related and human-related triggers remain under-detected; future work targets data robustness, multiplatform DT integration, grading models, and reinforcement learning or large language model support.</t>
  </si>
  <si>
    <t>Provides an early conceptual bridge between BIM-based digital twinning and OHS decision-making: a scoping literature review plus a Research-through-Design proposal outlines a framework correlating safety management processes, project-level strategic decision-making, BIM-based digital twins and a Decision Support System to shift construction safety toward predictive analysis and all-worker inclusion.</t>
  </si>
  <si>
    <t>It is a preliminary conceptual framework with no prototype, sensor integration, live data link, or implementation; the authors concede many shortcomings in the initial version and call for in-depth strategic analysis, development of a functional model for the executive level of construction companies, and alignment with real construction project contingencies.</t>
  </si>
  <si>
    <t>Fills the gap between conceptual digital twins and on-site construction management: a Design Science Research study, grounded in the H2020 BIM2TWIN project, uses Living Lab questionnaires and interviews to rank on-site inefficiencies and digitalization barriers, then derives PDCA-classified user requirements and standardized BPMN workflows covering progress monitoring, quality control, health and safety, equipment control, and production planning.</t>
  </si>
  <si>
    <t>Remains a conceptual architecture with no implemented platform, live sensor link, or field validation; real-time data acquisition, AI-driven knowledge extraction, and closed-loop correction are described only as future scenarios. Authors propose multi-site BDT portfolios with a broker, a Digital Twin Federator across city-scale DTs, and KPIs feeding automated learning as future work.</t>
  </si>
  <si>
    <t>Encodes the asset-twin coupled system as a dynamic decision network so data assimilation, uncertainty tracking, prediction, and maintenance planning share one framework: convolution-based deep learning classifies damage location and magnitude from vibration recordings (93.61 percent beam, 91.39 percent bridge accuracy), sequential Bayesian updates track health, and a health-dependent control policy recommends do-nothing, repair, or operation-restriction actions on synthetic cantilever-beam and Hornefors railway bridge cases.</t>
  </si>
  <si>
    <t>Validated only on noise-corrupted synthetic data from reduced-order physics models, with no real sensing or field deployment; neural networks, transition dynamics, and the control policy are all learned offline, and the fixed transition models made bridge deterioration predictions too optimistic. Future work targets online learning of transition dynamics from past data and reinforcement-learning planning over a finite asset-life horizon.</t>
  </si>
  <si>
    <t>Addresses the absence of modeling methodology for heritage corbelled dry-stone masonry: historical analysis of nuraghe construction techniques is linked to physical digital twins combining 3D surveys, historical documentation, and laboratory tests, with discrete block-based kinematics, friction, damage variables, and multiphysical weathering couplings, such as water diffusion, salt crystallisation, and thermal and chemical effects, framed through variational principles.</t>
  </si>
  <si>
    <t>Purely a review and methodology proposal: no digital twin has been constructed, no numerical experiments or validation are reported, and no live data connection is considered. Future challenges listed by the authors include progressively adding coupled multiphysical weathering phenomena one at a time and building calibrated models of specific nuraghe structures.</t>
  </si>
  <si>
    <t>Bridges the GIS-territorial to BIM-building scale divide for multi-hazard assessment: the TERIMAAS framework centralizes BIM, GIS, and real-time IoT streams in a PostGIS repository that dynamically updates hazard, vulnerability, and risk scores, demonstrated on a flood risk case study of a public building in northwest Italy, giving stakeholders near real-time territorial and building-level risk views.</t>
  </si>
  <si>
    <t>Demonstrates only flood risk on one public building, so transfer to other hazards and regions is unproven; the approach needs substantial data infrastructure and expertise, and the centralized repository raises privacy, security, and single-point-of-failure concerns. Future work includes decentralized storage, multi-hazard modules, open-source BIM tooling, and AI-based extreme-event forecasting.</t>
  </si>
  <si>
    <t>Demonstrates an operational UAV plus AMR inspection workflow synchronized with a cloud digital twin: a UAV with YOLOX detection, UPerNet segmentation, and LiDAR retro-reflectivity analysis covers vertical signage and vegetation, while an AMR measures horizontal markings, with MQTT and Node-RED data fusion into ontology-based KPI dashboards, validated at the A24 motorway Gran Sasso Nord site in central Italy, with sub-10-cm AMR navigation repeatability.</t>
  </si>
  <si>
    <t>Validated only in clear daylight conditions, with sensor accuracy unproven in rain, fog, or low light and the Jetson Orin GPU running near capacity, limiting model complexity; EU regulation 2022/1426 currently bars fully autonomous AMR operation on open roads, and the twin only reports conditions without actuation. Future work covers sensor redundancy, adverse-weather training, predictive maintenance, automated work orders, and compliance-by-design.</t>
  </si>
  <si>
    <t>Fills the gap between image-only damage inspection and system-level planning: the graphics-based digital twin couples a SAP2000 finite element model with a photorealistic Blender computer graphics model of a 45-floor Guangzhou tower, validated against UAV photogrammetry point clouds, and uses earthquake damage hotspots plus environmental constraints to compare three UAV flight schemes, recommending a parallel path that stays within battery life.</t>
  </si>
  <si>
    <t>A static, offline virtual testbed without live data or actuation; the optimal flight scheme conclusion is case-specific and simplified, damage comes from assumed seismic analysis, and no automated damage detection is yet implemented. Future development includes component-level FE analysis, part and texture libraries for automated CG modeling, multi-UAV path planning, and machine-learning damage detection trained on synthetic images.</t>
  </si>
  <si>
    <t>Addresses the gap between robot teleoperation and safe collaborative construction: the I2PL-DT couples immersive VR with a ROS-connected KUKA arm so workers without programming skills perform high-level task planning, preview and approve collision-free motions, and supervise execution with bidirectional communication, verified on a drywall installation case with imperfect framing and a 20-subject human-in-the-loop study reporting positive usability.</t>
  </si>
  <si>
    <t>The arm keeps a fixed pose while its base moves, execution halts and waits for humans when obstacles appear, material positions are assumed known, and point-cloud processing causes delays; verification is mostly simulated rather than on a real site. Future work targets dynamic arm pose adjustment, autonomous path adaptation, vision-based material detection, real-time performance, and long-term human factors studies on physical KUKA KR120 arms.</t>
  </si>
  <si>
    <t>Closes the missing loop between BIM and robotic construction: a Rhino-based BIM with layered shop-drawing data drives a KUKA KR120 robot through ROS and MoveIt, automatically generated Unity digital twins let humans approve plans and intervene, robot-proposed adaptations resolve parent and nearby-object deviations, and sensed as-built data are written back to the BIM, verified on a drywall installation case and block pick-and-place tests with 100 percent success at 10 mm gaps.</t>
  </si>
  <si>
    <t>Laboratory-only validation on a 1:2 scale with one slow robot at 3 to 7 percent speed, AprilTag localization errors causing collisions at 1 mm gaps, manually authored BIM sequence and gripping data, and no support for deformable or fluid materials. Future work includes continuous component tracking, a second arm with vacuum gripping, computational design of fabrication data, force-feedback control, and efficiency studies.</t>
  </si>
  <si>
    <t>Synthesizes digital twin applications for prefabricated construction into a structured framework: the review identifies critical physical-digital integration points and proposes a digital twin framework spanning hoisting management, safety monitoring, and predictive analytics, organizing data acquisition, multi-source data modeling, and an intelligent construction platform with virtual agents coordinated through web-service-based service architecture.</t>
  </si>
  <si>
    <t>Entirely conceptual with no implemented system, case study, or quantitative validation; the framework and its service-oriented construction platform remain unbuilt. Future work stated by the author targets scalable and interoperable digital twin systems, expansion of AI-driven learning models, and validation through large-scale pilot applications.</t>
  </si>
  <si>
    <t>Delivers hazard warnings through ambient vision rather than the occupied focal channel: YOLOv4-tiny with Deep SORT tracks objects from CCTV streams, a 4D BIM-based virtual construction site computes red, yellow, and blue danger zones, and Microsoft HoloLens 2 overlays them in real time, tested in three quasi-on-site scenarios with detection accuracy above 96.1 percent, a 72 square meter effective area, and 11.47 cm average alignment error.</t>
  </si>
  <si>
    <t>Object localization suffers uncorrected perspective and lens distortion effects, virtual-to-real alignment is manual, the detector covers only person and truck classes from MS-COCO, and turning vehicles expose uncovered red zones. Future work includes distortion correction, image-based prediction for fast-moving hazards, additional IoT sensors, spatial-anchor based automatic alignment, and cognitive ergonomics evaluation of user workload.</t>
  </si>
  <si>
    <t>Closes the gap between data-driven TFS models and operational control by embedding a BO-GCN-BiLSTM predictor and SHAP interpretation in a digital twin platform with bidirectional IoT and 5G links: on the Wuhan Metro Line 12 Yangtze tunnel it predicts slurry pressure across six geological types with average R-squared 0.935 and RMSE 0.162, outperforming six baselines, and iteratively keeps slurry pressure within the warning range.</t>
  </si>
  <si>
    <t>Generalization to abrupt or unseen geological transitions is limited because the model learns only from historical data, it lacks physical interpretability, and expert-based parameter selection remains subjective; control instructions are executed by human operators rather than automated actuation. Future research will embed geological priors and governing physical equations into the network so it can self-correct on sudden ground changes.</t>
  </si>
  <si>
    <t>Combines prediction and optimization for large-diameter slurry shield attitude: Bayesian-optimized CatBoost maps 19 construction parameters to six attitude targets with R-squared above 0.9 on three soils of the Yangtze River tunnel in Wuhan, SHAP finds push-group thrust dominant, and MOEAD multiobjective optimization improves attitude by up to 23.436 percent across five scenarios, embedded in a digital twin framework with warnings and parameter recommendations.</t>
  </si>
  <si>
    <t>The three studied soils are relatively uniform, so complex ground behavior is untested, penetration degree and tool size are ignored, and real-time monitoring data must be imported manually with no autonomous platform link. Future work will add more shield projects and soil types for generalizability and connect the monitoring platform so prediction and optimization run independently.</t>
  </si>
  <si>
    <t>Fills the gap of fragmented tunnel surveillance video, separation of video and business data, and missing two- and three-dimensional linkage in tunnel digital operations: a BIM static scene model fused in real time with multi-channel surveillance video through 3D registration and projection plus multi-source IoT sensing data, demonstrated on a tunnel in China for traffic flow, accident rescue, facility management, and emergency response.</t>
  </si>
  <si>
    <t>Camera position and attitude must be calibrated one by one, two-way interaction between the virtual and real models is not yet realized, and the video data structure algorithm lacks integration; field cameras have low resolution and incomplete coverage. Future work includes online data-driven 3D scene updates, data-driven traffic operation simulations, and predictive deduction.</t>
  </si>
  <si>
    <t>Addresses video fragmentation, subsystem data separation (AIS, smart bayonet) and untimely emergency response in inland waterway safety monitoring: drone tilt photography plus BIM build a static scene, multi-channel video is 3D-registered and fused with 25 cameras, and multi-source IoT data form a digital twin demonstrated on a Changhu-Shen Line segment with two- and three-dimensional linkage.</t>
  </si>
  <si>
    <t>The platform is a monitoring and visualization system without predictive analytics or actuation, validated on only one waterway segment; future work focuses on digital twin scene iteration driven by online data, simulation and fusion drawing of water traffic operation, and updating of the water environment from monitoring data.</t>
  </si>
  <si>
    <t>Bridges the gap between sparse on-site sensor readings and comprehensive understanding of building fire dynamics: an AIoT-integrated digital twin with LoRa wireless thermometry whose ADLSTM-Fire model reconstructs the full spatiotemporal temperature field from discrete sensor-array data (R2 93%) and forecasts fire development 60 s ahead (R2 92%), validated against CFD benchmarks and full-scale building fire experiments.</t>
  </si>
  <si>
    <t>The model is offline-trained on numerical simulation data and the advance forecast is less precise than reconstruction, with up to 18% error in one experimental scenario; future work refines ADLSTM-Fire for unfamiliar buildings, adds building layout as an input parameter, enriches datasets with structural and wind factors, optimizes sensor layouts, and tests more building types.</t>
  </si>
  <si>
    <t>Fills the gap of edge-cloud collaborative intelligence for vibration anomaly detection and localization in high-rise buildings: a wireless time-synchronized smart sensor with LoRa chain synchronization below 20 microseconds and edge STFT anomaly detection, plus a cloud MDOF flexural-shear digital twin updated by SSI-COV and PSO that localizes sources via spectrum amplitude feature matching, validated on a 17-story building under 82.9 N shaking-table excitation.</t>
  </si>
  <si>
    <t>Localization reaches only zonal level with about one floor of error because adjacent-floor signatures are similar; the method covers only single-frequency steady-state excitations, edge nodes run only basic signal processing, and validation used one building with five sensors. Future work targets floor-specific identification, multi-source non-stationary vibration, and deep learning at the edge.</t>
  </si>
  <si>
    <t>Addresses the lack of spatial linkage between internal BIM components and external building scenes for structural health monitoring: IFC BIM is split into sub-BIMs and fused with an oblique-photogrammetry real-scene 3D Tiles model through rigid-body SVD registration and JSON semantic mapping, integrating 60 vibration, displacement, strain, and temperature sensors of the Nanjing Museum Old Hall into a Cesium-based monitoring system.</t>
  </si>
  <si>
    <t>Tie-point selection is manual and the separate merging programs take about 25 minutes to run; the fusion lacks level-of-detail handling which slows BIM loading, the structural safety evaluation function is reserved and not yet developed, and dynamic analysis of overall building health from local sensor data requires further investigation.</t>
  </si>
  <si>
    <t>Extends near-miss management from 2D detection to in-process 3D prediction: YOLOv5, SGBM, DeepSORT and MediaPipe keypoints feed a non-autoregressive transformer that forecasts worker trajectories (ADE 0.134) and postures (ADE 0.501), reconstructed by an LBFGS inverse-kinematics solver in Unreal Engine, predicting near-misses with 93.32% precision and 96.08% recall across forklift, floor-opening, and material-lifting zones.</t>
  </si>
  <si>
    <t>The motion prediction model is trained on the Human3.6M laboratory dataset, creating a generalization gap to real construction postures; occlusions, lighting variability, and camera positioning limit reliability, and validation covered only three relatively simple high-risk zones. Future work adds more sensor types, lightweight edge-distributed architectures, domain-adaptive learning, and broader site validation.</t>
  </si>
  <si>
    <t>Moves shield tunneling digital twins from monitoring toward closed-loop decision support: a four-layer DT framework where SHAP identifies 16 key tunneling parameters and an ABC-NSGA-III hybrid optimizer solves six attitude objectives, achieving a 32.02% overall optimization rate and 2.21 to 17.13% attitude-deviation reduction on 100 rings of the Shanghai Airport Link Line, with optimized parameters fed back to guide operations.</t>
  </si>
  <si>
    <t>The closed loop is human-machine collaborative, with operators filtering algorithm outputs rather than autonomous actuation, optimization takes about 900 seconds per ring, and validation is limited to one 100-ring subsection of a single project; future work includes transfer learning across geological conditions, improved sensing, and operator training programs.</t>
  </si>
  <si>
    <t>Addresses the gap between static periodic inspections and real-time infrastructure maintenance: a LOD 400 BIM model of a solar-powered noise barrier tunnel integrated with the Wansan Tunnel in Jeonju is synchronized through Autodesk Forge API and WebSockets with vibration, tilt, light, air quality, and water detection sensors, achieving over 90% light-sensor transmission and detecting illuminance and structural anomalies during a 17-day demonstration.</t>
  </si>
  <si>
    <t>Nuanced anomalies such as gradual tilt drift require offline post-processing rather than live dashboard analytics; air quality sensors lost up to 30.65% of expected records and one water sensor never transmitted; only one site and asset type was validated. Future work embeds predictive analytics in the live platform, adds buffering and failover mechanisms, and extends validation to bridges and tunnels.</t>
  </si>
  <si>
    <t>Fills the gap of multi-source information transmission and DT-based early warning in deep-buried tunnel construction: multifunctional wireless base stations collect harmful gas, meteorological, deformation, and personnel-positioning data, mirrored in an OpenGL virtual tunnel with a four-level warning and emergency response mechanism, which successfully predicted a collapse at the K0+668 face of the 11.7 km Dongtianshan Tunnel with no casualties.</t>
  </si>
  <si>
    <t>The virtual simulation lacks detailed display and monitoring of worker behavior, health, and collision risks, and pre-construction risk analysis is not integrated; future work adds more monitoring data types, deeper pre-construction risk analysis, and an improved tunnel construction information database for predictive analysis in the maintenance stage.</t>
  </si>
  <si>
    <t>Overcomes the conflict between smoothness priors and sharp leakage boundaries in ERT dam monitoring: a topology-guided Fourier neural operator with decoupled geometric parameterization and a Navigator warm start localizes dam leakage with 99.7% success and 89.3% high-fidelity rates, accelerating forward modeling 345-fold and inversion 72-fold versus finite element methods, while remaining stable under 20% noise and 50% data loss.</t>
  </si>
  <si>
    <t>Evaluation is entirely numerical on synthetic 2D datasets with single circular anomalies; the parameterization restricts detection to predefined shapes, spectral truncation distorts geometry, and the simulation-to-reality gap leaves field deployment untested. Future work adopts level-set representations, synchrosqueezed wavelet transforms, and libraries of condition-specific operators.</t>
  </si>
  <si>
    <t>Fills the gap of accurate real-time environment perception for bulldozer teleoperation in hazardous mine dumping: an anterior-time digital twin from UAV tilt photography achieves 0.6 cm average 3D error over 35,000 square meters, deep-learning retaining-wall edge detection reaches 0.923 precision and 0.877 F1, and a real-time platform with force, sound, and naked-eye 3D feedback supports a Shantui SD90 bulldozer, raising effective working time by 25%.</t>
  </si>
  <si>
    <t>Validation is confined to one open-pit mine backfill condition and the authors state more practical tests are needed to verify reliability; blade paths still depend on expert operator knowledge. Future work continues optimizing the system, improving algorithm accuracy and reliability, and advancing intelligent mine construction.</t>
  </si>
  <si>
    <t>Fills the gap of an automated geometric digital twin method for cable dome structures: DS-gDT detects joints from point cloud data using a three-point normal cylinder fitting model with radius-constrained sampling and double termination criterion, then rebuilds topology via an adjacency matrix, achieving recognition about 51.5 percent above conventional RANSAC, 20.09 percent efficiency gain and above 99 percent joint-coordinate accuracy on a scaled dome.</t>
  </si>
  <si>
    <t>Static geometric twin only: DS-gDT cannot monitor component stresses or strains or update joint positions in real time, point cloud processing is time-consuming, and clustering accuracy drops when paired regions lack data. Authors plan to extend the method to suspend-dome and reticulated shell structures, build a mechanical twin and quantify how joint deviations affect structural stability.</t>
  </si>
  <si>
    <t>Fills the gap between passive crane monitoring and proactive climbing-process safety control: the SINP framework couples process-based risk identification for the eight-step climbing cycle with GDTA-derived information requirements, then delivers navigation and alarms through IoT sensors and an edge intelligent control device, cutting dialogue counts from 11.8-12.2 to 0.8-1.6, completion times from 515.6-676.0 to 375.0-444.2 seconds and operational errors to zero in tests.</t>
  </si>
  <si>
    <t>Validated on a scaled tower crane model plus one Xiangyang construction project, so generalizability is limited by the small sample size; impact on situation awareness was not systematically measured and testing scenarios may not capture real-world diversity. Future work includes integrating structural health monitoring and augmented reality into the platform.</t>
  </si>
  <si>
    <t>Fills the gap of precise 2D-to-3D defect localization with semantic enrichment: a GeoBIM-assisted digital twin registers UAV-detected facade defects onto georeferenced BIM models through SfM pose correction and virtual camera depth rendering, achieving centimeter-level accuracy (mean errors 0.49-1.36 cm versus 1-3 meters for GPS-based methods) and over 80 percent mAP0.5 detection at 30 FPS on a Hong Kong high-rise, including curved and heritage facades.</t>
  </si>
  <si>
    <t>Operates near real time without continuous streaming or IoT data links, needs substantial computation and memory, and accuracy degrades under extreme occlusion or reflective surfaces. Authors plan to support diverse BIM standards and city-scale asset portfolios, integrate IoT live monitoring and automated UAV deployment, and enrich semantic defect reporting for maintenance scheduling.</t>
  </si>
  <si>
    <t>Fills the gap of a framework jointly covering digital twins and BIM level-of-details for construction site management: four interacting components (BIM digital representation, IoT, data storage-integration-analytics, physical-environment interaction) are extended with LoD-Graphics and LoD-Information levels from approximate to verified across all site stages, and 31 questionnaires plus 10 expert interviews confirm support for monitoring, quality, efficiency and safety.</t>
  </si>
  <si>
    <t>Conceptual framework without a completed application case, so overall performance improvement cannot be quantified; validation relies on 31 questionnaires and 10 interviews, which the authors note are limited by time and resources. Future directions include autonomous feedback and control from twin to physical world, human-in-the-loop research, and governance and ethics of twin data.</t>
  </si>
  <si>
    <t>Fills the gap of closed-loop digital twin control for aerial building machine jacking, validated on a 1:25 scale model of a 380-meter Wuhan project: PPO reinforcement learning tunes PID parameters and a transfer-learned DNN-PID controller with deviation coupling runs on an STM32 platform, reducing mean synchronization error to 0.377 mm versus 3.485, 0.463 and 0.709 mm for competing methods, staying below 0.46 mm across ten loading conditions with a 29 percent gain from transfer learning.</t>
  </si>
  <si>
    <t>Validated only on a scale model with four electric actuators instead of the real 12-cylinder hydraulic system; preset loading means failure boundaries, wind, actuator saturation, sensor drift and communication latency were not explored, and the twin has a 1-1.5 second delay. Future work targets stress-strain sensors, finite element safety assessment, real ABM operational data and physics-informed neural networks.</t>
  </si>
  <si>
    <t>Fills the gap of system-level design methods for bridge construction digital twins: MBSE with a V-model architecture over the RFLP process models requirements, functions, logic and physics in SysML for monitoring a 90+90 meter cable-stayed bridge rotation (21,200 tons, 79 degrees), and a 1:100 scale prototype with DHT11, MPU6050, wind and laser displacement sensors over MQTT to Unreal Engine verifies data flow and threshold alarms.</t>
  </si>
  <si>
    <t>The actual bridge was still under construction and rotation had not started, so verification is limited to a 1:100 scale model and the design decomposition phase; the authors acknowledge implementation costs, resource needs, system complexity and applicability constraints. Future research targets standardization frameworks, integrated toolchains and machine learning for long-term deformation and predictive maintenance.</t>
  </si>
  <si>
    <t>Fills the gap between pixel-level defect recognition and physical severity quantification: CUBIT-InSeg provides 6996 high-resolution 4800x3200 UAV facade images with 62,187 crack and spalling instances, benchmarks over 80 models and zero-shot transfer on two cross-domain datasets, then converts masks into crack width, length and spalling area registered onto a digital twin with centimetre-level accuracy, graded per BS ISO 15686-7:2017 on a Hong Kong logistics building.</t>
  </si>
  <si>
    <t>Quantification depends on an approximately equal-distance imaging assumption that weakens in complex geometries with occlusion, the dataset covers only cracks and spalling from one regional context on concrete facades, and no temporal defect progression data exists. Future work will extend defect categories, facade materials and environments, reduce distance dependence and add repeated observations for deterioration analysis.</t>
  </si>
  <si>
    <t>Fills the gap of a closed perception-analysis-decision-execution loop for human-robot collision warning: a five-dimensional digital twin fuses RGB-D and IMU data with Faster R-CNN, YOLOv5 and HRNet detection, achieving millimetre-level excavator key point deviations and over 96 percent dangerous-zone and 95 percent warning-zone prediction precision with about 0.13 second warning delay in a case study.</t>
  </si>
  <si>
    <t>Validation uses physical models rather than a live construction site; when dangerous or warning zones are misjudged as safe the system lacks a dynamic response mechanism, and black-box deep models plus sensor limits can compromise recognition. Future work adds a dynamic verification module, thermal, UWB and lidar sensors, model interpretability and edge-cloud reliability improvements.</t>
  </si>
  <si>
    <t>Fills the gap between theoretical process simulation and on-site tunnel management: a four-layer digital twin couples an AnyLogic discrete event simulation with Markov random field stochastic geology and AHP-DEMATEL vulnerability evaluation, and 2500 Monte Carlo runs on a real NATM tunnel estimate a 78.4 percent probability of finishing within the 1794-day plan, with the average estimated schedule differing from actual by only 9 days (0.50 percent).</t>
  </si>
  <si>
    <t>Geological modelling uses a coarse grid due to sparse data, step durations are recorded manually giving static probability distributions, sensing relies on subjective manual measurement, and the twin exerts only indirect control without real-time feedback to machinery. Future work covers tunnel seismic prediction and GPR data, 24-hour cameras for dynamic parameter updates, IoT sensor networks and unmanned construction.</t>
  </si>
  <si>
    <t>Fills the gap of monitoring bridges that lack sensors by extending a digital twin across a regional bridge group: WIM data from six million vehicles is fitted with Gaussian mixtures and MCMC sampling to drive finite element models of three Jiangsu bridges, and Transformer encoder-decoder models predict responses with R2 above 0.99 (0.9970-0.9999), outperforming LSTM, BiLSTM and BiGRU and validated by field vehicle tests.</t>
  </si>
  <si>
    <t>Simulations assume vehicles cross individually, ignoring queues and congestion; training multiple Transformers for many measurement points burdens real-time use; prediction accuracy depends on finite element models; and validation is limited to box girder bridges. Future work includes realistic traffic models with generative augmentation, transfer learning, periodic load tests for model updating and other bridge types.</t>
  </si>
  <si>
    <t>Fills the gap of static risk assessment that cannot track dynamic tunnel construction: a digital twin theory fuses IoT-collected data into geometry, physics and knowledge models (BIM, Midas, LSTM) with black-box, gray-box and white-box accuracy levels, and LSTM prediction of vault settlement (RMSE 0.0929 mm, maximum error about 0.135 mm) drives displacement-level safety grading against a 120 mm design limit.</t>
  </si>
  <si>
    <t>Only vault settlement is verified, on a single Grade-V rock tunnel section with data collected once per day, so real-time continuous mapping is not demonstrated and assessment of other risk types remains theoretical. Authors state they will verify the method across as many security risk categories as possible to strengthen the theory.</t>
  </si>
  <si>
    <t>Demonstrates the digital twin as a forensic instrument for accident investigation: real-world information from a building collapse is mapped into virtual space to build highly realistic multistage BIM, finite-element and physics-engine models synchronized to the states before and after the collapse, allowing investigators to iteratively integrate, update and check the models until the collapse mechanism is revealed - welding-induced local buckling and plastic deformation driving the columns past their critical buckling stress.</t>
  </si>
  <si>
    <t>Retrospective and one-way: the twin is reconstructed after the event from investigation data rather than driven by live sensors, so it supports diagnosis rather than prevention, and there is no actuation back to the physical asset. Model fidelity depends entirely on the completeness of the recovered real-world information, no learning loop refines the models automatically, and evidence rests on a single collapse accident.</t>
  </si>
  <si>
    <t>Extends digital twins to prefabricated building construction: a DT plus prefabricated-BIM system with measuring sensors monitors and predicts component damage and deformation across production, transport and assembly, transfers the assembly BIM to a network cloud for display, and analyses risk indicators by factor analysis (Cronbach alpha 0.8-0.9, KMO test, 65.02% cumulative variance) to expose potential safety hazards during construction and feed them back to designers.</t>
  </si>
  <si>
    <t>Data collection is narrow, which the authors acknowledge as a limitation, and the factor analysis rests on a limited questionnaire sample; the system only guides designers, with no automated actuation on the physical process and no self-improvement of the prediction models. Validation is confined to a single modelling study, so transferability to other prefabrication contexts is untested.</t>
  </si>
  <si>
    <t>Couples a digital twin of the construction process with a BP neural network to predict prestressed steel structure construction safety: the network learns the relationship between design parameters and mechanical parameters, working conditions are set in the twin model to obtain the mechanical response, safety performance is then evaluated, and the method is applied to string beam construction with predicted results verified against on-site measured data.</t>
  </si>
  <si>
    <t>The BP network is trained offline and never updated from incoming site data, so the twin has no learning or convergence loop, and output stops at a safety assessment for engineers with no actuation on the construction process. Validation is a single string-beam case, leaving generalisation to other prestressed structures and to unseen working conditions unverified.</t>
  </si>
  <si>
    <t>Automates dam safety evaluation with a digital twin of the 131 m Jiangya gravity dam: an extended IFC schema (IfcDSMSystem, IfcMonitoringItem, IfcSensorAssembly) integrates deformation, seepage, stress and environmental monitoring data, HST statistical models establish baselines, and a multi-rule cloud-reasoning model with a multi-dimensional cloud model and improved CRITIC weighting (removing human-assigned weights) aggregates monitoring points into a five-grade dam safety status, applied continuously from January to September 2019 with a 'basically normal' result.</t>
  </si>
  <si>
    <t>The HST models are regression fits that are not retrained or self-corrected, and the twin ends at automated evaluation feeding human preventive-maintenance decisions with no actuation. Validation covers one dam over nine months producing only a 'basically normal' outcome, so behaviour under genuinely abnormal or extreme states, and sensitivity to sensor faults, remain unverified.</t>
  </si>
  <si>
    <t>Provides a digital twin construction method for monitoring the operation status of building machine jacking operation (BMJO): a layered DT architecture in which a Blender geometric node group generates the parametric virtual model, an artificial neural network gives online prediction of structural performance, and a motion model delivers real-time state mapping; a real building machine project validates quantitative monitoring, evaluation, early warning and real-time prediction of operational posture with high accuracy and fast analysis.</t>
  </si>
  <si>
    <t>One-way monitoring to early warning: alerts are issued to operators with no automated actuation on the jacking system, and the ANN is not updated from accumulated operating data, so there is no self-improvement. Validation is limited to a single building machine project, leaving transferability to other jacking systems and long-term robustness of the posture prediction untested.</t>
  </si>
  <si>
    <t>Proposes a whole-lifecycle building process optimization framework based on BIM-DT covering survey and design, construction preparation, construction, and operation and maintenance, integrating a data management system, a BIM modelling system and a digital twin model with real-time feedback; the empirical study implements the construction-phase data management system and applies a BP neural network to construction fault diagnosis, reaching about 99% average accuracy over nine fault types (construction joints, grouting, pouring sequence and others) against CNN 90.23%, SVM 89.19% and PSO 88.35%.</t>
  </si>
  <si>
    <t>Only partly realised: the integration of the lifecycle stages with the BIM-DT model is not described in detail, which the authors acknowledge, and only the construction phase is implemented. Fault diagnosis informs people rather than acting on the process, the BP network does not self-improve, and validation is one project restricted to nine predefined fault types.</t>
  </si>
  <si>
    <t>Delivers a multisensory and BIM-integrated digital twin for urban excavation safety: multi-sensors on the physical excavator drive 3D pose estimation through a kinematic model optimized with the social spider algorithm (24.61 mm bucket-tip error, 4.0 cm translation accuracy), while a BIM of buried utilities and a 3D excavator model form a dynamic virtual mirror of the excavation; the physical-virtual coupling enables real-time dynamic collision-risk assessment with 3D visual guidance and safety warning (the pipe model turns red when the bucket enters the risk area so the operator stops), prototype field-tested in two case studies at 0.05 s sampling.</t>
  </si>
  <si>
    <t>Safety control depends on the human operator reacting to the visual warning: no automated machine intervention is implemented and there is no learning loop. Accuracy relies on the assumed kinematic model and sensor placement, and on buried-utility BIM being accurate and current, while validation covers only two excavation cases on a single machine type.</t>
  </si>
  <si>
    <t>Shows how BIM and digital twins integrate in mechanized tunnelling: a design-science case study of a TBM tunnelling project in which a computational design algorithm automates the integration of TBM excavation data into a Digital Twin Construction (DTC) system, generating the real-time status of the tunnel physical state in short cycles, cutting DT modelling time by 90% and supporting lean design and construction such as bracketry design with reduced rework and uncertainty.</t>
  </si>
  <si>
    <t>Data interoperability and the absence of standardized modelling remain open challenges reported by the authors; the twin ends at decision support for lean workflows, with no actuation back to the TBM and no learning loop. Evidence comes from a single TBM tunnelling project, so the 90% modelling-time reduction is not corroborated across other projects, contractors or tunnelling methods.</t>
  </si>
  <si>
    <t>LIVE DATA FEED — the text of every shape above is generated from these formula cells</t>
  </si>
  <si>
    <t>Key</t>
  </si>
  <si>
    <t>Text used in shape (live formula)</t>
  </si>
  <si>
    <t>Identified</t>
  </si>
  <si>
    <t>Screened</t>
  </si>
  <si>
    <t>Excluded1</t>
  </si>
  <si>
    <t>Sought</t>
  </si>
  <si>
    <t>NotRetrieved</t>
  </si>
  <si>
    <t>Assessed</t>
  </si>
  <si>
    <t>Excluded2</t>
  </si>
  <si>
    <t>Included</t>
  </si>
  <si>
    <t>PanelHeader</t>
  </si>
  <si>
    <t>PanelTier</t>
  </si>
  <si>
    <t>PanelSelf</t>
  </si>
  <si>
    <t>PanelValid</t>
  </si>
  <si>
    <t>PanelPhase</t>
  </si>
  <si>
    <t>Footnote</t>
  </si>
  <si>
    <t>Self-improvement / convergence (Gap 4 - core gap)</t>
  </si>
  <si>
    <t>PanelModality</t>
  </si>
  <si>
    <t>Gap 2 x Gap 4 cross-tab - is multimodal data converted into adaptive capability?</t>
  </si>
  <si>
    <t>Data modality \ Self-improvement</t>
  </si>
  <si>
    <t>Total</t>
  </si>
  <si>
    <t>Same cross-tab as % of each modality row (does data richness become adaptive capability?)</t>
  </si>
  <si>
    <t>Cross-tab integrity check (grand total must equal total included studies)</t>
  </si>
  <si>
    <t>Cross-tab grand total</t>
  </si>
  <si>
    <t>Reconciles?</t>
  </si>
  <si>
    <t>Headline (auto)</t>
  </si>
  <si>
    <t>Fusion</t>
  </si>
  <si>
    <t>Single</t>
  </si>
  <si>
    <t>Co-present</t>
  </si>
  <si>
    <t>Aligned</t>
  </si>
  <si>
    <t>Fused</t>
  </si>
  <si>
    <t>Conf</t>
  </si>
  <si>
    <t>High</t>
  </si>
  <si>
    <t>Medium</t>
  </si>
  <si>
    <t>Low</t>
  </si>
  <si>
    <t>Deep-read: Fusion evidence (AC2)</t>
  </si>
  <si>
    <t>Deep-read: Fusion confidence (AC3)</t>
  </si>
  <si>
    <t>Fusion coding flag (review)</t>
  </si>
  <si>
    <t>Deployed LiDAR+radar+camera fusion validated with RTK-GNSS at lane-level accuracy at a real work zone (joint multi-sensor deployment feeding conflict metrics).</t>
  </si>
  <si>
    <t>Perspective paper defining next-gen CPS/DT; the bidirectional-control scenarios are illustrative only and no data-integration mechanism is implemented.</t>
  </si>
  <si>
    <t>Four-layer fire-safety framework validated only through a thematic analysis and an FM-professional questionnaire; the layer integration mechanism is not implemented.</t>
  </si>
  <si>
    <t>Each video segment is timestamped and the custom Grafana plugin cross-references RTSP video streams with time-series sensor data stored in MySQL, giving video and beacon data a shared temporal frame (inference still runs on sensor series only).</t>
  </si>
  <si>
    <t>Standardisation position paper (CEN/TC 442/WG 9); the two illustrative DT cases are management/visualisation platforms and no data-integration mechanism is specified.</t>
  </si>
  <si>
    <t>Smart Twins 4.0 links physical formworks to their virtual BIM counterparts through automatic database integration (RFID UHF tags read on Android, Firebase, Web-based Revit/Dynamo BIM), i.e. a shared object identity between tag data and BIM elements.</t>
  </si>
  <si>
    <t>Defect records are anchored to georeferenced 3D meshes in PostGIS via raycasting and frustum-based image retrieval, putting imagery-derived geometry and defect annotations in one spatial reference frame.</t>
  </si>
  <si>
    <t>Only ambient-vibration time series from wireless accelerometers feed the analytics; FEM-calibrated synthetic damage is model-generated training data, not a second measured data type.</t>
  </si>
  <si>
    <t>The LiDAR point-cloud survey is converted into a BIM that is linked to the 3DEC/SAP2000 FEM models through an explicit BIM-FEM linking process, sharing one building geometry frame while each model analyses separately.</t>
  </si>
  <si>
    <t>Conceptual resilience framework for critical infrastructure; no implementation, prototype or case evaluation, so no integration mechanism can be identified.</t>
  </si>
  <si>
    <t>Only load-displacement curves generated by nonlinear ATENA finite-element sensitivity analyses feed the ANN surrogate; no measured sensor stream exists.</t>
  </si>
  <si>
    <t>Six independent information pipelines (crane-hook IMU/GPS, post-tensioning strains, laser-scan deflections, maturity temperatures, formwork-vibration accelerations, mobile-app progress) feed one knowledge-graph dashboard, each staying in its own pipeline.</t>
  </si>
  <si>
    <t>Ambient-vibration accelerometers and laser displacement sensing both feed and validate one Spacegass FE twin of the bridge, sharing the structural model frame, with each quantity analysed separately.</t>
  </si>
  <si>
    <t>SfM-MVS point clouds are registered to the BIM via Scan-vs-BIM comparison, and Mask R-CNN/DBSCAN segmentation and Hough-transform inspection run as separate stages on this shared model frame.</t>
  </si>
  <si>
    <t>The DF-STTN hybrid surrogate fuses Swin-Transformer spatial fields with TabTransformer non-spatial parameters via a dual-stage fusion module, and a GA model-updating procedure joins sparse laboratory test data with the FE-trained model.</t>
  </si>
  <si>
    <t>Settlement, TBM-operational and structural monitoring data are continuously integrated in the DT and jointly reasoned over by a knowledge graph with SWRL rules to infer hazards and mitigation.</t>
  </si>
  <si>
    <t>Live operational data and the TROA-ET/FEM surrogate coexist in the DT parallel-control architecture over bidirectional 4G/MQTT links, but the surrogate is offline-trained and no joint inference across streams is stated.</t>
  </si>
  <si>
    <t>Weigh-in-motion and multi-source machine-vision monitoring are fused to measure full-bridge traffic loads, which then drive the mechanical analysis models of a regional bridge group.</t>
  </si>
  <si>
    <t>Camera feeds drive YOLOv8 event detection while microphone and sensor streams support a separate voice-assistant pipeline in the same fog-computing platform, with no common representation stated.</t>
  </si>
  <si>
    <t>The five-layer DTCRAM risk model is built from a Delphi study and a case study in which sensor-fed simulation and feedback loops are described only conceptually, so no implemented integration mechanism can be identified.</t>
  </si>
  <si>
    <t>A review-based RtBDM framework proposes BIM/DT integration with sensors and AI for real-time bridge disaster management, but no system is built or validated, so no integration mechanism is demonstrated.</t>
  </si>
  <si>
    <t>An LLM interprets natural-language site narratives into integer-programming constraints that jointly determine task allocation together with the Unity DT state synchronised with ROS/Gazebo.</t>
  </si>
  <si>
    <t>Real-time data and dashboards monitor 13 KPIs across five domains (cost, schedule, quality, safety, environment) in one renovation DT platform, without a stated shared reference frame joining the domains.</t>
  </si>
  <si>
    <t>An SLR-based ISO 19650 DT development framework (PIM/AIM containers, CDE, IoT/WSN, ML) is proposed without any implementation, so no integration mechanism can be coded.</t>
  </si>
  <si>
    <t>Location-enabled twins georeference diverse data sources through CesiumJS and place them in Unreal Engine scenes, linking hazard boxes and asset inspection records to site coordinates.</t>
  </si>
  <si>
    <t>Only questionnaire-calibrated agent parameters (84 valid questionnaires, Cronbach alpha 0.868) feed the AnyLogic hybrid simulation; no second measured data type exists.</t>
  </si>
  <si>
    <t>RIEGL VZ-2000i laser-scanned geometry is converted to IFC 4.3 BIM, and the SCIA Engineer FE model is updated against DIC measurements, linking scan geometry and measurement data through the shared bridge model.</t>
  </si>
  <si>
    <t>Only twin-generated structural-state samples (numerical 48 m steel roof under five working conditions) train the PSO-BP predictor; no live measured data exists.</t>
  </si>
  <si>
    <t>WebGIS (Cesium), WebBIM (Xeokit) and Neo4j graph algorithms are integrated in a three-layer architecture with a common data environment, spatially linking GIS, BIM and defect data for the River Neath Swing Bridge.</t>
  </si>
  <si>
    <t>A Bayesian network fuses NBI inspection ratings, FDOT traffic monitoring and USGS river-gage data into one 6,478-node, 10,584-edge network that updates bridge failure risk through automated Bayesian inference.</t>
  </si>
  <si>
    <t>Vision-derived geometry of the cut shape and the robot digital twin share the robot kinematic frame for MR previsualisation, while mark interpretation and motion preview remain separate processes.</t>
  </si>
  <si>
    <t>The four-stage condition-assessment framework reuses prior test data and adds no new measurements, so no implemented multi-source integration can be examined.</t>
  </si>
  <si>
    <t>The metaverse evacuation system describes sensor collection (video cameras, smoke detectors) that would feed a cloud-trained DQN, but all experiments run in simulation without deployed sensors.</t>
  </si>
  <si>
    <t>Video, sensor, BIM and text streams are aligned at component level via Component-ID + timestamp and then jointly processed by a multimodal Transformer for operation-state recognition and short-horizon risk prediction.</t>
  </si>
  <si>
    <t>Multi-sensor data (monitoring LiDAR, automated robots, GNSS, drones, SBAS-InSAR) are linked to RBIM through GUID object mapping tables and combined by a cloud platform using weighted-average fusion and conflict detection.</t>
  </si>
  <si>
    <t>Only crowdsourced smartphone imagery drives the geospatial localisation of vulnerable objects (mean-shift clustering), so a single data type is used.</t>
  </si>
  <si>
    <t>Twenty-eight IoT sensing nodes (water pressure, gas leakage, surface temperature) are mapped into a lightweight BIM-GIS platform, and the AI risk model predicts per-asset (valve aging) rather than fusing streams.</t>
  </si>
  <si>
    <t>UAV detections are cross-referenced with GPS-enabled worker IDs to verify authorisation, so the decision output depends on visual detections and GPS identity data simultaneously.</t>
  </si>
  <si>
    <t>UWB and IMU sensing streams are fused inside the PosTraFormer spatio-temporal network (multi-layer GCNs over trajectory point relations) for 6-D pose estimation and trajectory prediction.</t>
  </si>
  <si>
    <t>Only the ultrasonic distance sensor stream is actually used in the twin; the MPU-6050 accelerometer/gyroscope readings were excluded because of latency and twitching.</t>
  </si>
  <si>
    <t>The Universal Discontinuity Index fuses physical damage, effective-stress intensity, active-fracture ratio and kinematic feasibility into one probabilistic score feeding a Poisson early-warning model.</t>
  </si>
  <si>
    <t>Multi-source sensing (MEMS, BOFDA distributed optical fibre, laser radar, UAV, machine vision) feeds four neural-network predictors on the BIM platform, which the paper itself calls a multi-source fusion platform.</t>
  </si>
  <si>
    <t>Only RTK-GNSS over LoRa position tracking (1.0 cm median, 2.3 cm 95th percentile) drives the right-time analysis; no second measured data type exists.</t>
  </si>
  <si>
    <t>Only expert-opinion data (20 indicator-weighting questionnaires, 15 valid case-study questionnaires) drive the maturity assessment; no sensor or operational data are used.</t>
  </si>
  <si>
    <t>Strain-gauge and laser-distance sensor readings are mapped onto BIM elements through Revit Dynamo interpolation, sharing the BIM frame while each sensor channel is processed separately.</t>
  </si>
  <si>
    <t>Multi-source risk assessment uses improved D-S evidence theory with conflict weakening and a validity factor to fuse personnel, pipe-sheet, shield and environmental data into one belief-level risk output.</t>
  </si>
  <si>
    <t>Online map layers (DSM, DEM and aerial photos) are jointly processed to reconstruct the existing road and underpass as one digital twin used for clearance checking.</t>
  </si>
  <si>
    <t>Settlement, stress and displacement sensors stream into IFC-extended Revit BIM models with parametric sensor attributes and time-history curves, linking sensors to BIM elements without joint inference.</t>
  </si>
  <si>
    <t>The BFP ontology fuses static BIM geometry with dynamic IoT sensing data into one DT data model, on which rule models trigger BPMN process models for fire-protection control.</t>
  </si>
  <si>
    <t>Twenty-Hz scale-model sensors (displacement, tilt etc.) stream through IoT into synchronous FEM/BIM/IDA virtual models that compute real-time dynamic stability analysis and collapse-probability levels.</t>
  </si>
  <si>
    <t>Real-time multi-sensor states mirrored in the DT are jointly reasoned over by a standards-derived knowledge graph to identify unsafe hoisting operations and trigger early warnings.</t>
  </si>
  <si>
    <t>BIM, schedule and automated safety-analysis results are integrated into one Prolog knowledge graph (about 3,800 nodes, 20,000 edges) whose cross-domain queries answer planning questions over all three data types simultaneously.</t>
  </si>
  <si>
    <t>SfM/MVS photogrammetry reconstructs jobsite point clouds, ResNet50 semantic segmentation runs in 2D and a depth-aware projection fuses the two into 3D semantic segmentations (97.85 to 99.8% accuracy).</t>
  </si>
  <si>
    <t>UAV photogrammetry, Street-View CNN segmentation and satellite terrain modelling are combined in one HAZUS-based reliability computation of nearby glazing systems under windborne-debris impact.</t>
  </si>
  <si>
    <t>Only high-precision LiDAR scans of the underground utility tunnel feed the Unreal digital twin; the 4-DoF motion platform adds haptic actuation, not a second data type.</t>
  </si>
  <si>
    <t>Advanced sensor packages (thermal, RGB, UV, motion) plus LiDAR-derived 3D models are combined with stated real-time data fusion for fire/anomaly detection in two 17-month deployments.</t>
  </si>
  <si>
    <t>Only vibration recordings (random-vibration FRF on a shaking-table pipe) drive the model-updating and real-time estimation; no second measured data type exists.</t>
  </si>
  <si>
    <t>Weather-station variables (temperature, humidity, irradiance, wind) and the UAV-photogrammetry geometric site twin are jointly consumed by SOLWEIG microclimate simulation to produce site-wide heat-risk maps.</t>
  </si>
  <si>
    <t>Live sensor data are compared against a pre-simulated virtual-sensor fire knowledge base via online DTW similarity measurement, so fire recognition depends on real and simulated data streams simultaneously.</t>
  </si>
  <si>
    <t>Low-fidelity and high-fidelity RBF surrogates are fused with live inclination and strain sensor inputs (18 test points) to predict stress and deformation in 0.035 s with Gaussian uncertainty quantification.</t>
  </si>
  <si>
    <t>BIM-guided UAV image selection, GrabCut pixel-to-component assignment (IoU 0.80-0.90) and pre/post 3D point-cloud change detection all operate on one shared BIM reference frame, with per-stage analyses.</t>
  </si>
  <si>
    <t>SfM photogrammetry and the building DT/BIM geometry are jointly used to generate occlusion-free metric orthophotos, on which deep-learning semantic segmentation then runs.</t>
  </si>
  <si>
    <t>Only FARO Focus-3D laser-scanned point clouds feed the geometric DT pipeline; the Leica total-station targets serve purely as a validation benchmark, and 3D-sonar fusion is stated as future work.</t>
  </si>
  <si>
    <t>CHECK: coded Multi in AC but fusion=Single</t>
  </si>
  <si>
    <t>The residual between the physical SCADA stream (793 dimensions) and the virtual-sensor (DBN) output is the diagnostic signal, so fault diagnosis depends on both streams simultaneously.</t>
  </si>
  <si>
    <t>Previous-stage FEM results, construction-progress data and temperature data are jointly interpolated with multi-stage laser scans to build one continuous dynamic IFC model between scan stages.</t>
  </si>
  <si>
    <t>Depth-camera 32-point skeletons, LiDAR/URDF robot models and ArUco/QR material tags are combined into geometric-solid virtual representations on which separation-distance and protective-separation-distance computation runs jointly.</t>
  </si>
  <si>
    <t>CO, temperature and humidity readings are dynamically mapped onto the corresponding spatial components of a 3D BIM model, linking each sensor channel to BIM elements while actuation stays in the WSN control node.</t>
  </si>
  <si>
    <t>RFID, IMU, crane black-box and LoRa sensing data jointly feed a DEMATEL-ISM hierarchical risk model and Bayesian-network reasoning that computes key degrees of indirect inducement factors.</t>
  </si>
  <si>
    <t>Twenty-six days of integrated multi-source site records are jointly mined by Apriori association rules and complex-network analysis to identify risk-factor coupling relationships.</t>
  </si>
  <si>
    <t>Sensor strain measurements correct the twin (cutting cable-force errors to within 3%) and a DBN predicts cable forces, so the safety-evaluation output depends on measured and model streams simultaneously.</t>
  </si>
  <si>
    <t>BIM, 3D laser scanning and ANSYS/LS-DYNA share one high-fidelity twin geometry, while the improved BP predictor is trained offline on FE working-condition samples and field data serve verification only.</t>
  </si>
  <si>
    <t>LoRa IoT terminals (oxygen, CO, smoke, temperature, door/window sensors, camera people-counting) are jointly classified by SVM models into fire, illegal-intrusion and overcrowding dangers with danger-level grading.</t>
  </si>
  <si>
    <t>Hydraulic-jack, temperature and stress sensor readings from the jacking process are fed together into an XGBoost model (with FE-guided sensor placement) predicting key-bar stress with 98% accuracy.</t>
  </si>
  <si>
    <t>Multi-channel overall-jacking monitoring data are jointly analysed by a random-forest model that ranks jacking height difference and jacking speed as the dominant factors for structural stress.</t>
  </si>
  <si>
    <t>Real-world topography, infrastructure, traffic, transit and disaster data are manually integrated into one georeferenced Cities:Skylines simulation scene, with no automated calibration or live link.</t>
  </si>
  <si>
    <t>Only Hong Kong territory-wide LiDAR survey data (up to 0.1 m resolution) are used; the DrainNet input images and the slope topography are both derived products of that single survey.</t>
  </si>
  <si>
    <t>Only visual-inspection campaign data (classified unit cells with photo links) feed the 2D grid-to-TSI mapping; the stochastic limit-analysis models are mathematical tools, not a second data type.</t>
  </si>
  <si>
    <t>Only Faro Focus 3D X330 point-cloud data feed the procedural modelling pipeline; parametric/procedural modelling are model-generation steps, not additional measured data types.</t>
  </si>
  <si>
    <t>BIM and GIS spatial/functional data are integrated into one centralized relational database with tailor-made space encoding, sharing a spatial frame, while fire-evacuation crowd simulation runs as a separate benchmark.</t>
  </si>
  <si>
    <t>Local SMAC-tuned models from six Raspberry Pi edge nodes are fused by performance-weighted one-shot aggregation into a global federated model, with the DT layer orchestrating nodes and topologies.</t>
  </si>
  <si>
    <t>Worker-status, weather and structural-parameter records (50,000 samples) are jointly trained into one DNN via federated learning with dynamic node selection, and the DT visualises the fused global model.</t>
  </si>
  <si>
    <t>Only record-based data (83 professional questionnaires and longitudinal maintenance records) calibrate the Quality-Sustainability Integration Index; the BIM-based LCA is model-generated.</t>
  </si>
  <si>
    <t>A systematic review of 52 papers on ontology/semantic-web integration in BIM-DT construction management; no system is built or tested, so no integration mechanism can be coded.</t>
  </si>
  <si>
    <t>Multiview UAV imagery, SfM 3D reconstruction and a MobileNetV2-based CNN are combined into one semantic twin in which anomalies are classified and embedded as GIS-compatible damage attributes.</t>
  </si>
  <si>
    <t>Laser scanning and photogrammetry are fused, and Mask-RCNN detections are mapped into point clouds via COLMAP, ICP alignment and voxel raycasting to enrich the geometric twin with semantic and text information.</t>
  </si>
  <si>
    <t>Six IoT sensor clusters (PM2.5, CO2, noise, vibration) stream via MQTT/Firebase into Node-RED threshold rules and a shared dashboard, with sensors linked to BIM assets while each rule acts per channel.</t>
  </si>
  <si>
    <t>Ambient-vibration modal parameters calibrate the SAP2000 FEM twin, and DInSAR-SBAS displacement observations are then interpreted against the twin thermo-mechanical output, with each stream used in its own stage.</t>
  </si>
  <si>
    <t>Depth and grayscale images are jointly encoded by a Siamese self-supervised contrastive network (vision transformer, Fourier network, multilevel fusion) with a Bayesian NN to generate probabilistic 3D point clouds.</t>
  </si>
  <si>
    <t>Live Wi-Fi RSSI localisation and the IFC-derived decision graph are jointly consumed by an extended Dijkstra algorithm whose dynamically updated route weights depend on both simultaneously.</t>
  </si>
  <si>
    <t>BIM and FEM share one digital replica via Parasolid export, and the September-2023 magnitude-6.8 earthquake monitoring records corroborate the FEM results, with analyses run per stage.</t>
  </si>
  <si>
    <t>A document-analysis-based risk systematisation for construction DTs proposes a ten-step risk-treatment procedure and custom risk matrix, with no implemented system or data integration.</t>
  </si>
  <si>
    <t>MMS-derived LiDAR point clouds, municipal GIS layers and authoritative geodatabases are integrated into IFC 4.3 semantic models (LoD200/LoD400) covering about 45 km of road network with 3 cm RMSE accuracy.</t>
  </si>
  <si>
    <t>An AHP + Bayesian-network underground-space planning model is presented with five-dimensional DT visualisation, but all evidence comes from simulations and assumed probabilities, with no deployed sensor network.</t>
  </si>
  <si>
    <t>Extensometers, load cells and prism-target measurements jointly feed the FEM models that trigger rock-support adjustments on the Neelum Jhelum powerhouse cavern.</t>
  </si>
  <si>
    <t>A graph attention network couples flood simulation with INRIX 5-minute traffic-speed data, so segment-level speed and accessibility predictions depend on both data types simultaneously.</t>
  </si>
  <si>
    <t>PCRNet fuses infrared imagery with point-cloud depth information, and a CNN detects anomalies on the fused representation, achieving 92% accuracy and 95.1% F1.</t>
  </si>
  <si>
    <t>Monitoring-point displacements are mapped onto the surrogate-model full-field predictions for the Donglingxin landslide, sharing the model frame, while the surrogate itself learns from simulation rather than live sensor feedback.</t>
  </si>
  <si>
    <t>RGB camera imagery, RTK-GNSS and IMU localisation are combined so skeletonization and PCA can convert segmentations into metric crack length and centre measurements on the building facade.</t>
  </si>
  <si>
    <t>Only vibration signals (plus auxiliary temperature on the test rig) drive the CycleGAN-augmented CNN-ResNet fault classifier; the gear-dynamics virtual entity generates training data, not a second measured type.</t>
  </si>
  <si>
    <t>Google Solar API heat-index data, Vienna population/vulnerability data and OpenStreetMap road infrastructure are fused into one dependency-risk graph whose centrality analysis plans responder routes.</t>
  </si>
  <si>
    <t>One hundred and twenty embedded strain gauges plus support-reaction, temperature and displacement sensors are mapped onto the web-BIM/Midas twin points, and three-level warnings fire on per-point deviations between measured and simulated stress.</t>
  </si>
  <si>
    <t>TEM, GPR and borehole data are converted into point-cloud models of water content, lithology and integrity and jointly classified by a fuzzy cloud probability model into surrounding-rock classes.</t>
  </si>
  <si>
    <t>RFID, displacement, soil-pressure and environmental sensing are fused into an 850,141-cell FLAC3D model updated after each excavation step, with Markov-chain risk prediction and a bow-tie model selecting control measures.</t>
  </si>
  <si>
    <t>YOLOv8 UAV imagery, PointNet LiDAR point clouds and LSTM-forecast sensor series are combined through a fuzzy-logic expert knowledge base whose rules assess structural health over all three outputs.</t>
  </si>
  <si>
    <t>The human-in-the-loop DT framework formalises human cognition, AI and engineering knowledge into a device-model-decision architecture, but validation is qualitative and conceptual only.</t>
  </si>
  <si>
    <t>Only orientation-sensor data (XSens MTw on boom, stick and bucket) drive the forward-kinematic DT updates; vision references in the text are background literature, not an implemented data source.</t>
  </si>
  <si>
    <t>Multisource heterogeneous data are semantically linked in an ontology-based four-layer model in GraphDB, and SPARQL iterative deviation computation reasons over the linked data to identify quality defect triggers.</t>
  </si>
  <si>
    <t>A scoping review plus Research-through-Design proposal outlines a BIM-DT-DSS safety framework, with no prototype, sensor integration or live data link.</t>
  </si>
  <si>
    <t>The BDTP architecture with BPMN workflows and digital/human agents connected via APIs is a Design-Science conceptual framework; implementation, KPIs and AI/ML are future work.</t>
  </si>
  <si>
    <t>A dynamic decision network couples convolutional DL damage diagnostics with sequential Bayesian state inference, so the health-tracking output depends on the measured (synthetic) vibration stream and the learned dynamics simultaneously.</t>
  </si>
  <si>
    <t>A review plus methodology proposal for physical digital twins of nuraghi masonry lists possible mechanical and multiphysical modelling roads, with no twin built or validated.</t>
  </si>
  <si>
    <t>BIM, GIS and real-time IoT streams are harmonised in a PostGIS repository where rule-based vulnerability and risk scores are computed jointly over the three sources for multi-hazard assessment.</t>
  </si>
  <si>
    <t>UAV and AMR measurements are geo-registered and merged via MQTT/Node-RED into ontology-based KPI dashboards, sharing a geospatial frame while KPI analytics run per asset type.</t>
  </si>
  <si>
    <t>The FE model and the photorealistic CG model share one imported building geometry (SAP2000 to Blender), so the two model types are aligned by component, while UAV flight-scheme evaluation runs on the coupled model.</t>
  </si>
  <si>
    <t>Human VR task plans and the robot status are synchronised bidirectionally in the process-level DT, sharing one robot-state frame, while sensing, motion planning and execution run in their own stages.</t>
  </si>
  <si>
    <t>BIM shop-drawing geometry, AprilTag vision localisation and sensed as-built data are combined in the robot motion-planning loop, whose adaptation output depends on all three simultaneously, with as-built data written back to BIM.</t>
  </si>
  <si>
    <t>A review plus conceptual prefabricated-building DT framework with a construction-service-bus architecture; no system is implemented or validated.</t>
  </si>
  <si>
    <t>YOLOv4-tiny + DeepSORT detections are anchored into the 4D BIM virtual construction site, so danger-zone computation and HoloLens overlays depend on live vision data and BIM geometry simultaneously.</t>
  </si>
  <si>
    <t>A BO-GCN-BiLSTM predictor with SHAP interpretation jointly consumes multi-parameter slurry-shield construction data and iteratively keeps slurry pressure within the warning range via bidirectional IoT/5G links.</t>
  </si>
  <si>
    <t>Bayesian-optimised CatBoost maps 19 construction parameters to six attitude targets as one multi-input model, with SHAP identifying dominant factors and MOEAD multi-objective optimisation on the predictions.</t>
  </si>
  <si>
    <t>Multi-channel surveillance video is fused into the BIM static scene through 3D registration and projection, and multi-source IoT sensing data are integrated into the same scene for tunnel operations management.</t>
  </si>
  <si>
    <t>Twenty-five surveillance-video channels are 3D-registered into the drone/BIM waterway scene, and multi-source IoT data (AIS, bayonet) are integrated into the same scene for water-safety management.</t>
  </si>
  <si>
    <t>The LoRa temperature-sensor array is mapped onto the spatiotemporal building-fire field learned by ADLSTM-Fire, so measured readings and the model field share one spatiotemporal frame while inference runs in the model.</t>
  </si>
  <si>
    <t>Wireless time-synchronised smart-sensor vibration data are mapped onto the cloud MDOF flexural-shear twin updated by SSI-COV and PSO, which then localises vibration sources by spectrum matching.</t>
  </si>
  <si>
    <t>BIM and the oblique-photogrammetry real-scene 3D model are fused by rigid-body SVD registration plus JSON semantic mapping, and 60 sensors (vibration, displacement, strain, temperature) are integrated into the fused model.</t>
  </si>
  <si>
    <t>Real-time worker trajectories, postures and interactions are integrated into the BIM-anchored Unreal twin, and a non-autoregressive transformer jointly predicts future movements and collision near-misses.</t>
  </si>
  <si>
    <t>Worker trajectories (YOLOv5/SGBM/DeepSORT/MediaPipe) and BIM scene geometry jointly feed a non-autoregressive transformer plus inverse-kinematics reconstruction for 3D near-miss prediction.</t>
  </si>
  <si>
    <t>SHAP-selected multi-parameter shield monitoring feeds the ABC-NSGA-III hybrid optimiser, whose six-objective output is fed back into the DT to guide tunnelling parameter adjustment.</t>
  </si>
  <si>
    <t>Vibration, tilt, light, air-quality and water-detection sensors are synchronised to a LOD 400 BIM model via Autodesk Forge API and WebSockets, with two-tier anomaly detection running per channel.</t>
  </si>
  <si>
    <t>Multi-source sensors (safety, environmental, construction, auxiliary) are integrated into an OpenGL virtual tunnel with four-level early warnings, linked to the tunnel model while warnings fire per parameter.</t>
  </si>
  <si>
    <t>Only electrical-resistivity-tomography data drive the TG-FNO forward model and leakage inversion; all validation uses synthetic ERT datasets.</t>
  </si>
  <si>
    <t>UAV photogrammetry models, radar obstacle detection, RTK/IMU attitude, force feedback and eye-tracking are all shown in one geolocated 5G teleoperation platform, sharing the scene frame while each stage processes its own data.</t>
  </si>
  <si>
    <t>Only point-cloud data drive the DS-gDT joint detection and topology reconstruction; no second measured data type exists.</t>
  </si>
  <si>
    <t>IoT sensors are mirrored into the four-layer DT virtual model (geometric/physical/behavioural/rule-based), and the edge intelligent control device issues navigation and alarms per signal threshold.</t>
  </si>
  <si>
    <t>UAV detections are projected onto the GeoBIM model through virtual-camera depth rendering and SfM pose correction, so defect localisation depends on imagery, camera geometry and BIM geometry simultaneously.</t>
  </si>
  <si>
    <t>A conceptual framework extending BIM LoDs to construction-site DTs is validated only through 31 questionnaires and 10 expert interviews; no DT is implemented or tested.</t>
  </si>
  <si>
    <t>Scale-model sensor feedback, a DNN-PID dynamic-error-compensation controller and RL-tuned parameters are combined in the closed-loop synchronous jacking control, whose command output depends on measured and model streams simultaneously.</t>
  </si>
  <si>
    <t>DHT11, MPU6050, wind and laser displacement sensors stream over MQTT to the Unreal prototype for dataflow verification and threshold alarms, sharing the twin frame while each channel is checked separately.</t>
  </si>
  <si>
    <t>UAV imagery, SfM photogrammetry reconstruction and GIS-oriented registration are combined to project instance-segmentation masks onto the DT surface and convert them into metric crack/spalling measures.</t>
  </si>
  <si>
    <t>RGB-D image+depth and IMU motion streams are fused and analysed by YOLOv5/Faster-RCNN/HRNet to drive the Unity virtual entity, whose rule model computes dangerous/warning/safe zones for collision warnings.</t>
  </si>
  <si>
    <t>Stochastic geology (Markov random field), AHP-DEMATEL vulnerability evaluation and delay probability densities are combined inside one discrete-event simulation model whose schedule/safety outputs depend on all inputs.</t>
  </si>
  <si>
    <t>WIM vehicle data (six million vehicles, Gaussian mixture + MCMC sampling) and structural responses jointly train Transformer encoder-decoder models that predict bridge responses across the regional network.</t>
  </si>
  <si>
    <t>IoT multi-sensor project data are fused into BIM+Midas+LSTM twin models with black/gray/white-box processing levels, and the LSTM predicts vault settlement for dynamic safety grading.</t>
  </si>
  <si>
    <t>Real-world records (drawings, photos, investigation data) are mapped into BIM, FE and physics-engine models that reconstruct the collapse in stages, sharing one building frame while each model analyses its own domain.</t>
  </si>
  <si>
    <t>A modelling study of prefabricated-construction DTs describes measuring sensors and factor-analysed risk indicators, but the authors state the work lacks a demonstrated live sensor-to-twin data link.</t>
  </si>
  <si>
    <t>BP-network training samples come from FE working-condition simulation, and predicted displacement/stress are verified against on-site measurements, sharing the structural model frame without joint inference.</t>
  </si>
  <si>
    <t>Deformation, seepage, stress and environmental monitoring information are aggregated by a multi-dimensional cloud model with improved CRITIC weighting into one five-grade dam safety status.</t>
  </si>
  <si>
    <t>Multi-sensor monitoring data and a Blender parametric twin feed an RBF neural network for online stress and deformation prediction, with a motion model for real-time state mapping.</t>
  </si>
  <si>
    <t>A BP neural network is trained on construction-phase data to diagnose nine fault types (construction joints, grouting, pouring sequence), so diagnosis depends on multiple input channels simultaneously.</t>
  </si>
  <si>
    <t>Four IMU sensors and two GNSS receivers are fused in an Euler-based kinematic model refined by social-spider-algorithm optimisation to estimate excavator pose, which then drives BIM-based collision-risk assessment.</t>
  </si>
  <si>
    <t>TBM excavation data (corrected TPC and VMT positioning, segment traceability, no-drill zones) are automatically mapped into the Dynamo as-built BIM model, sharing one tunnel-model frame with per-data processing.</t>
  </si>
  <si>
    <t>Fusion depth (Gap 2b - how deeply are the data types actually integrated?)</t>
  </si>
  <si>
    <t>Fusion coding confidence</t>
  </si>
  <si>
    <t>Confidence</t>
  </si>
  <si>
    <t>Rows flagged for review</t>
  </si>
  <si>
    <t>Fusion depth x Gap 4 cross-tab - does deeper integration produce adaptive capability?</t>
  </si>
  <si>
    <t>Fusion depth \ Self-improvement</t>
  </si>
  <si>
    <t>Fusion coding integrity check</t>
  </si>
  <si>
    <t>Fusion cross-tab grand total</t>
  </si>
  <si>
    <t>PanelFusion</t>
  </si>
  <si>
    <t>FusionHeadline</t>
  </si>
  <si>
    <t>Full-text verification (date, source, outcome)</t>
  </si>
  <si>
    <t>RESOLVED 2026-08-20: AC corrected Multi-&gt;Single after full-text check</t>
  </si>
  <si>
    <t>Verified 2026-08-20 vs PDF (Automation in Construction 168:105834). IFC/ontology/FE, laser-scan-to-DT and differential-evolution optimisation all confirmed. Tier 2, AA None upheld.</t>
  </si>
  <si>
    <t>Verified 2026-08-20 vs PDF (IEEE Access 11). "Seventeen-month period" confirmed in abstract; thermal/RGB/UV/motion sensors and real-time data fusion confirmed. Tier 2, AA None upheld.</t>
  </si>
  <si>
    <t>Verified 2026-08-20 vs PDF (J Field Robotics, DOI 10.1002/rob.22234). 0.6 cm avg 3D error, precision 0.923 / F1 0.877, 5G teleoperation, eye-tracking confirmed. Tier 2, AA None upheld.</t>
  </si>
  <si>
    <t>Verified 2026-08-20 vs PDF. 3D video fusion into BIM/drone scene confirmed; "next step is ... digital twin scene iteration driven by online data" confirms AA = Mentioned only.</t>
  </si>
  <si>
    <t>Verified 2026-08-20 vs PDF (Buildings 2025, 15, 520). Systematic review + LDA topic modelling producing a conceptual framework; no DT built. Stage-2 EXCLUDE upheld.</t>
  </si>
  <si>
    <t>Verified 2026-08-20 vs PDF (J Civil Struct Health Monit 14:745-761). Ambient-vibration data used for ONE-TIME FE calibration then static thermal what-if; no live link. Tier 1 upheld (earlier automated audit flag was a false positive).</t>
  </si>
  <si>
    <t>Verified 2026-08-20 vs PDF: page 1 header reads "RETRACTED". Exclusion upheld and correctly justified.</t>
  </si>
  <si>
    <t>Verified 2026-08-20 vs PDF. GA-BP neural network, BOFDA distributed optical fibre, MEMS, UAV and machine vision all confirmed. Tier 2, AA None upheld.</t>
  </si>
  <si>
    <t>Verified 2026-08-20 vs PDF (MDPI, 9 Oct 2022). Only orientation sensors (boom/stick/bucket) drive the twin; GPS/camera/vision appear ONLY as prior-art discussion. Fusion=Single correct; AC CORRECTED Multi-&gt;Single on this basis.</t>
  </si>
  <si>
    <t>Verified 2026-08-22 vs PDF (Sensors, Beijing Univ. Tech). DEMATEL-ISM hierarchical risk model, Bayesian network decision visualisation, and validation on "a large prefabricated building project" all confirmed. Tier 2, AA None, AD Single case study upheld.</t>
  </si>
  <si>
    <t>Verified 2026-08-22 vs PDF (NJIT). DT updating frequency of 5 Hz, sym4 wavelet selection, strain-gauge + laser-displacement sensing on a prototyped structural frame all confirmed. Tier 2, AA None upheld.</t>
  </si>
  <si>
    <t>Verified 2026-08-22 vs PDF (IEEE Trans. SMC: Systems 53(4), 2023). Metaverse evacuation training, DRL dynamic guidance, video cameras + smoke detectors, and "experiments in different simulation scenes" all confirmed. Tier 2, AA None, AD Simulation upheld.</t>
  </si>
  <si>
    <t>Verified 2026-08-22 vs PDF (Beijing Univ. Tech). DK-DTM framework, expert-knowledge rule engines, multi-source fusion of 2D image / 3D point cloud / sensor data confirmed. NOTE: the word "ontology" does not appear; method is rule-engine + expert knowledge, so AB "Ontology / semantic" may be better coded as "Other / Mixed".</t>
  </si>
  <si>
    <t>Verified 2026-08-22 vs PDF. 52 papers (42 + 10 snowballed), 2005-2023, eight use cases incl. safety management, ifcOWL/semantic-web focus, review only with no DT built. Tier Unclear and AD Conceptual upheld.</t>
  </si>
  <si>
    <t>Verified 2026-08-22 vs PDF (ASME). Multi-fidelity surrogate (MFS-RBF), 18 test points, 140-repetition trajectory uncertainty quantification, crane boom confirmed. Authors state "numerical experiments"; no real/actual crane case study - AD "Simulation" upheld as correct.</t>
  </si>
  <si>
    <t>Verified 2026-08-22 vs PDF. Scoping literature review + Research-through-Design proposal of a BIM-based DT + DSS safety framework; purely conceptual, no prototype. Tier Unclear, AA None, AD Conceptual upheld.</t>
  </si>
  <si>
    <t>Verified 2026-08-22 vs PDF (at-Automatisierungstechnik 69(12):1062-1080). Requirements analysis mapped to a DT conceptual framework with virtual clones and control centre; no implementation or case evaluation. Tier 1, AA None, AD Conceptual upheld.</t>
  </si>
  <si>
    <t>REVIEW: AB=Ontology/semantic, but paper uses rule engines + expert knowledge; "ontology" absent from text</t>
  </si>
  <si>
    <t>Verified 2026-08-22 vs PDF (Sensors 2021, 21, 3583, Beijing Univ. Tech). Apriori association-rule mining, complex-network coupling analysis, IoT+BIM DT coupling model and case study on "a large-scale assembly project" all confirmed. Tier 2, AA None, AD Single case study upheld.</t>
  </si>
  <si>
    <t>Verified 2026-08-22 vs PDF (J Civil Eng Manag 2025, 31(8):828-842). Confirmed as "A REVIEW OF APPLICATIONS AND CHALLENGES" / "comprehensive survey"; no original methodology or implementation. Stage-2 EXCLUDE (R=No) upheld.</t>
  </si>
  <si>
    <t>Verified 2026-08-22 vs PDF (Automation in Construction, SJTU). BFP ontology data fusion confirmed; actuation confirmed verbatim: "rules are adopted to target the controlling objects ... produce control commands. The above feedbacks are executed in the physical space." Tier 3 upheld. Validation is a fire-accident simulation case study - AD Simulation upheld.</t>
  </si>
  <si>
    <t>Verified 2026-08-22 vs PDF (Smart Cities 7(6):3511-3546). Cities:Skylines engine, Brevard County FL pilot, 120,000 simulated population confirmed. Manual data flow confirmed verbatim: "human-based (manual) intermittent data flow and synchronization" - supports Tier 1 and AA None.</t>
  </si>
  <si>
    <t>Verified 2026-08-22 vs PDF (Results in Engineering, VIT/FRC RAS). 17.4% response-time improvement vs REPEAT platform, fog computing, cameras/microphones/sensors and voice intelligent assistant all confirmed. Tier 2, AA None upheld.</t>
  </si>
  <si>
    <t>Verified 2026-08-22 vs PDF (Computers and Electrical Engineering 104:108393, Qingdao Univ. Tech). AHP relative weight vector and Bayesian network risk assessment confirmed; no DT built or field-validated. Tier 2, AA None, AD Conceptual upheld.</t>
  </si>
  <si>
    <t>Verified 2026-08-22 vs PDF. SVM-based danger classification, BIM+IoT DTM, and case study on a building in the bobsleigh and sled stadium for the Beijing 2022 Winter Olympics all confirmed. Tier 2, AA None, AD Single case study upheld.</t>
  </si>
  <si>
    <t>Verified 2026-08-22 vs PDF. 45 aerial images (4096x2160 px), gravel volume 63 m3, ResNet50 accuracy 85.0, and FEMA-HAZUS windborne-debris model all confirmed. Tier 1 (static one-shot reconstruction), AA None upheld.</t>
  </si>
  <si>
    <t>Verified 2026-08-22 vs PDF (Electronics, China Academy of Transportation Sciences). BIM static tunnel scene, 3D registration/projection of surveillance video in real time, and multi-source sensing fusion all confirmed. Tier 2, AA None upheld.</t>
  </si>
  <si>
    <t>Verified 2026-08-22 vs PDF (RILEM SSCS2025, Cervenka Consulting/CTU). ATENA nonlinear FEM sensitivity analyses, Leonhardt shear-beam example, and 100/400/1000-sample datasets identifying E, fc, ft, GF all confirmed. Numerical example only - Tier 1, AD Simulation, AC Single upheld.</t>
  </si>
  <si>
    <t>Verified 2026-08-22 vs PDF (Univ. Edinburgh / Historic Environment Scotland). PointRend segmentation, Duff House and St Mary's Church case studies, occlusion-free orthophoto pipeline confirmed. NOTE: paper states "Two case study buildings are included in this study" - AG says 3; AD Cross-project still defensible on 2 real buildings but the count in AG should read two.</t>
  </si>
  <si>
    <t>Verified 2026-08-22 vs PDF (Zhejiang Songyang Pumped Storage). Improved D-S evidence theory with effectiveness factor, 100% monitoring coverage and 100% warning accuracy, palm-face collapse capture all confirmed. Tier 2, AA None upheld.</t>
  </si>
  <si>
    <t>Verified 2026-08-22 vs PDF (Internet of Things, Elsevier). GUIDE2FR platform, firefighter training tower at CUS Alcorcon (Madrid), Grafana plugin synchronising RTSP video with sensor data, ArcGIS geolocation all confirmed. Tier 2, AA None upheld.</t>
  </si>
  <si>
    <t>Verified 2026-08-22 vs PDF (Sensors, Beijing Univ. Tech). BP neural network impact-response prediction, 3D laser scanning + BIM + FE high-fidelity twin confirmed. Tier 2, AA None upheld.</t>
  </si>
  <si>
    <t>Verified 2026-08-22 vs PDF. Four-level early warning and emergency response plan, Dongtianshan Tunnel validation, and successful prediction of an excavation-face collapse accident all confirmed. Tier 2, AA None upheld.</t>
  </si>
  <si>
    <t>Verified 2026-08-22 vs PDF (Smart Constr., ELSP, 2024). Explicitly labelled "Perspective"; proposes an implementation paradigm and three bottleneck issues with no DT built or validated. Stage-2 EXCLUDE (R=No) upheld.</t>
  </si>
  <si>
    <t>Verified 2026-08-22 vs PDF. Geometric accuracy +/-3 cm, more than 45 km of urban road network, IFC 4.3 schema and LoD200-LoD400 multi-scale workflow all confirmed. Tier 1 (no live link), AA None upheld.</t>
  </si>
  <si>
    <t>Verified 2026-08-22 vs PDF. Turner Hall RC frame (Urbana IL), GrabCut segmentation IoU 0.80-0.90, and 0.010 change-detection threshold all confirmed. Tier 2, AA None upheld.</t>
  </si>
  <si>
    <t>Verified 2026-08-22 vs PDF (Frontiers in Built Environment, DOI 10.3389/fbuil.2022.959475). Title "Toward cognitive digital twins..."; two University of Turin buildings as demonstrators; crowd simulations for fire-emergency safety; CDT framed as future objective. Tier 1 and AA Mentioned only upheld.</t>
  </si>
  <si>
    <t>Verified 2026-08-22 vs PDF. Tier 3 supported: "Optimized parameters are iteratively fed back into the DT to guide parameter adjustment" and layered "closed-loop architecture". 32.02% overall optimization rate and 2.21%-17.13% attitude-deviation reduction confirmed on Shanghai Airport Link Line. AA None upheld (ABC-NSGA-III is algorithmic optimisation, not learning).</t>
  </si>
  <si>
    <t>Verified 2026-08-22 vs PDF. RINNO Renovation Digital Twin, 13 KPIs, TAM survey of 102 professionals (Attitude Toward Use RII 0.894), French demonstration site with 73% emissions reduction all confirmed. Tier 2, AA None upheld.</t>
  </si>
  <si>
    <t>Verified 2026-08-22 vs PDF. Confirmed: "A systematic review of the literature was carried out in the Scopus and Science Direct databases, examining 71 peer-reviewed scientific articles published between 2022 and 2025". Review only, no DT built. Stage-2 EXCLUDE upheld.</t>
  </si>
  <si>
    <t>Verified 2026-08-22 vs PDF. Tier 3 supported: DT "serves as the user interface, creating a closed-loop feedback mechanism"; "closed-loop digital twin system" in methodology. LLM constraint/parameter extraction "over 97% accuracy" confirmed. Validation is a Gazebo simulation case study; AA None upheld (LLM is inference-time, not self-improving).</t>
  </si>
  <si>
    <t>Verified 2026-08-22 vs PDF (PolyU). PosTraFormer network, UWB + IMU capture, 6-D pose estimation and trajectory prediction, FPS 288.8 confirmed. Tier 2, AA None upheld.</t>
  </si>
  <si>
    <t>Verified 2026-08-22 vs PDF (IEEE Access, DOI 10.1109/ACCESS.2025.3580334). Vienna city centre, Google Solar API real-time heat index, Node 683 cumulative dependency risk, PANTHEON project all confirmed. Tier 2, AA None upheld.</t>
  </si>
  <si>
    <t>Verified 2026-08-22 vs PDF ("Participatory Sensing and Digital Twin City: Updating Virtual City Models..."). Houston case study, crowdsourced/participatory sensing, and CAVE immersive visualization all confirmed. Tier 2, AC Single, AA None upheld.</t>
  </si>
  <si>
    <t>Verified 2026-08-22 vs PDF. Cronbach alpha 0.8-0.9 reliability interval, KMO factor verification, and 65.02% maximum cumulative variance all confirmed. Tier 2, AA None upheld.</t>
  </si>
  <si>
    <t>Verified 2026-08-22 vs PDF. 48 m span steel roof experimental model, PSO-BP algorithm, prediction accuracy 98.2% (displacement) and 99.1% (cable stress), EV 0.978 all confirmed. Numerical/experimental model only - Tier 2, AC Single, AD Simulation, AA None upheld.</t>
  </si>
  <si>
    <t>Verified 2026-08-22 vs PDF (Computers in Industry, TAMU/U Michigan). Title contains "closed-loop digital twins"; confirmed the BIM is continuously updated so that "it includes as-built information for the ensuing construction and maintenance tasks". Drywall case study on a large-scale physical KUKA robotic arm. Tier 3 upheld; AA None upheld (rule-based adaptation).</t>
  </si>
  <si>
    <t>Verified 2026-08-22 vs PDF (J Sensors 2022, Article ID 1875196). Arch cover method subway station, IFC extension with parametric sensor models, colour-change early warning, and application at Shikui Road Station of Dalian Metro Line 5 all confirmed. Tier 2, AA None upheld.</t>
  </si>
  <si>
    <t>Verified 2026-08-22 vs PDF (IEEE Access, DOI 10.1109/ACCESS.2025.3532597). Four-degree-of-freedom motion simulator, LiDAR-modelled UUT, cybersickness reduction, and evaluation with 17 participants all confirmed. Tier 1 (static reconstructed replica), AC Single, AA None upheld.</t>
  </si>
  <si>
    <t>Verified 2026-08-22 vs PDF. 120-year-old heritage RC bridge in Australia, ambient vibration testing, foundation scouring scenario, and the proposed six-phase Incident Response Framework all confirmed. Tier 2, AA None upheld.</t>
  </si>
  <si>
    <t>Verified 2026-08-22 vs PDF (IEEE T-ITS 23(11), 2022). WIM + multi-source machine-vision traffic-load fusion, lightweight sensors on the bridges group, and preliminary implementation in a bridges group around Shanghai all confirmed. Tier 2, AA None upheld.</t>
  </si>
  <si>
    <t>Verified 2026-08-22 vs PDF (Technical University of Cluj-Napoca). DTCP risk systematisation, risk treatment procedure and custom risk matrix confirmed; conceptual only, no DT built. Tier 1, AD Conceptual, AA None upheld.</t>
  </si>
  <si>
    <t>Verified 2026-08-22 vs PDF. Graph attention network, INRIX traffic data, lowest test MSE 0.2602, and Hurricane Harvey validation all confirmed. Paper self-describes as "a digital twin prototype" integrating precomputed flood scenarios - Tier 2 and AA None upheld.</t>
  </si>
  <si>
    <t>Verified 2026-08-22 vs PDF. CycleGAN virtual-to-physical domain mapping, RV reducer construction-robot joint, and accuracy raised "from 32.5% to 98.86% utilizing only 400 sets of measured data" all confirmed. DT is offline data augmentation for training - Tier 1, AC Single, AD Simulation, AA None upheld.</t>
  </si>
  <si>
    <t>Verified 2026-08-22 vs PDF (Smart Cities 2025, Politecnico di Torino). TERIMAAS framework integrating BIM, GIS and IoT; PostGIS repository; public building case study in "a critical natural hazards area in northwest Italy" demonstrating real-time flood risk assessment all confirmed. Tier 2, AA None upheld.</t>
  </si>
  <si>
    <t>Verified 2026-08-22 vs PDF (Dalian/Tongji). Density-based clustering, fitting and region-growing algorithm, geometric DT for deformation and blockage defect assessment, and Leica total-station accuracy benchmarking all confirmed. Tier 1, AA None upheld. (Earlier fusion flag resolved: single point-cloud data type.)</t>
  </si>
  <si>
    <t>Verified 2026-08-22 vs PDF (Comptes Rendus Mecanique 353:791-813). Sardinian nuraghi corbelled stone masonry; Section 3.3 titled "Possible roads towards physical digital twins" describing an approach "under investigation by the authors for future structural studies". No DT built - Tier Unclear, AD Conceptual, AA None upheld.</t>
  </si>
  <si>
    <t>Verified 2026-08-22 vs PDF (UPM / UNE / CEN). CEN/TC 442/WG 9 and CEN/TR 18077 confirmed; two implemented DT management platforms described - Bidebieta-Basauri railway station (Bilbao-Orduna network, Basque Country) and the UPM civil engineering school. AD Cross-project supported by two distinct real projects. Tier 1, AA None upheld.</t>
  </si>
  <si>
    <t>Verified 2026-08-22 vs PDF (Structure and Infrastructure Engineering). Jiangya dam gravity dam "with a height of 131 m", improved CRITIC method, multi-dimensional cloud model, and five-grade scale including "Basically Normal" all confirmed. Tier 2, AA None upheld.</t>
  </si>
  <si>
    <t>Verified 2026-08-22 vs PDF (Structures 76:109052, Southeast U/Tongji). Transformer neural network for regional bridge-group response prediction, benchmarked against LSTM/GRU variants, "evaluated using three concrete bridges located in Jiangsu, China" - AD Cross-project supported. Tier 2, AA None upheld.</t>
  </si>
  <si>
    <t>Verified 2026-08-22 vs PDF (Sungkyunkwan U). LOD 400 BIM of a solar-powered noise barrier tunnel integrated with the Wansan Tunnel, South Korea; IoT vibration/tilt/light/air-quality/water sensors via Autodesk Forge API and WebSockets; demonstration 22 Oct - 7 Nov 2024 all confirmed. Tier 2, AA None upheld.</t>
  </si>
  <si>
    <t>Verified 2026-08-22 vs PDF (Tianjin U). Social spider algorithm optimisation confirmed (bucket-tip error reduced from 64.59 mm to 24.61 mm), 20 Hz sampling giving 0.05 s delay, and validation "through two case studies" all confirmed. Tier 2, AA None upheld.</t>
  </si>
  <si>
    <t>Verified 2026-08-22 vs PDF (Cardiff University, BIM for Smart Engineering Centre). CesiumJS WebGIS, Xeokit WebBIM, Neo4j graph database and three-layer CDE architecture all confirmed. Tier 2, AA None upheld.</t>
  </si>
  <si>
    <t>Verified 2026-08-22 vs PDF (Implenia/NYU/Technion). Design science research within a TBM tunnelling case study; DTC system confirmed. Modelling-time claim confirmed with detail: 15-20 minutes per ring reduced to 1 minute of manual quality checks, "cut cycle time by more than 90% per ring". Tier 2, AA None upheld.</t>
  </si>
  <si>
    <t>Verified 2026-08-22 vs PDF (Chulalongkorn University / U Michigan). LOIN-LOD framework, five DT components, pilot test with "six IoT sensor clusters" measuring noise, PM2.5, CO2 and vibration all confirmed. Tier 2, AA None upheld.</t>
  </si>
  <si>
    <t>Verified 2026-08-22 vs PDF. BP neural network fault diagnosis "average of 99%" versus comparison methods at 90.23%, 89.19% and 89% confirmed. Tier 2, AA None upheld. NOTE: AG cites the third baseline as PSO 88.35%; the PDF reports 89% - minor figure to re-check.</t>
  </si>
  <si>
    <t>Verified 2026-08-22 vs PDF (Automation in Construction, DTU). RTK-GNSS + LoRa tracking of pedestrian workers and heavy equipment, struck-by hazard focus, and field validation in "the staging area of a subway rail infrastructure maintenance project in Munich, Germany" all confirmed. Tier 2, AC Single, AA None upheld.</t>
  </si>
  <si>
    <t>Verified 2026-08-22 vs PDF (Proc. ICE Structures and Buildings 178(9):851-863). State-of-the-art review with a proposed structured DT framework and construction-service-bus (CSB) architecture; no DT implemented. Tier Unclear, AD Conceptual, AA None upheld.</t>
  </si>
  <si>
    <t>Verified 2026-08-22 vs PDF (KNTU). IFC-to-decision-graph transformation, mobile crowd sensing, extended Dijkstra with dynamically updated weights, AHP weight prioritisation, and implementation "in a four-story academic building under three emergency scenarios" all confirmed. Tier 2, AA None upheld.</t>
  </si>
  <si>
    <t>Verified 2026-08-22 vs PDF (HKUST). DrainNet CNN "81.26 % Dice with only 0.28 M parameters" on 1226 annotated images, and Grasshopper "approximately nine times faster than Dynamo" both confirmed. FUSION FLAG RESOLVED: the only measured source is the city-scale LiDAR point cloud (zero occurrences of aerial imagery/orthophoto as a separate source), so fusion=Single is correct and AC should be Single, not Multi.</t>
  </si>
  <si>
    <t>RESOLVED 2026-08-22: AC corrected Multi-&gt;Single after full-text check (only LiDAR point cloud is measured)</t>
  </si>
  <si>
    <t>Verified 2026-08-22 vs PDF (Measurement 217:112955, Nanjing Tech U). Sub-BIM reconstruction, rigid-body transformation 3D registration, JSON semantic mapping, and Nanjing Museum Old Hall case study all confirmed. Tier 2, AA None upheld.</t>
  </si>
  <si>
    <t>Verified 2026-08-22 vs PDF (Front. Struct. Civ. Eng., SJTU). Stage modelling+computation "within 140 s" and BIM-vs-point-cloud "within 15-20 mm" confirmed. NOTE: the PDF states cable shape/force prediction deviations of 1.2% and 1.5%; AG records 1.3%/1.5% - minor figure to correct.</t>
  </si>
  <si>
    <t>Verified 2026-08-22 vs PDF. Systematic review "resulting in 229 publications after applying the proposed criteria" and the ISO 19650-based conceptual DT development framework both confirmed; no implementation. Tier Unclear, AD Conceptual, AA None upheld.</t>
  </si>
  <si>
    <t>Verified 2026-08-22 vs PDF (Hanyang University). Five-dimensional DT framework, six key modules, seven-step methodology and IFC interoperability for large underground caverns all confirmed. Tier 2, AA None upheld.</t>
  </si>
  <si>
    <t>Verified 2026-08-22 vs PDF (Engineering, Construction and Architectural Management; Yan and Liu, HIT). Non-autoregressive transformer, Human3.6M-trained human motion model, YOLOv5/SGBM/DeepSORT/MediaPipe pipeline, inverse kinematics and validation across three high-risk zones (forklift paths, floor openings, material lifting) all confirmed. Tier 2, AA None, AB Transformer/LLM upheld. NOTE: ID 3905 currently carries a copy of this row narrative - see AN3905.</t>
  </si>
  <si>
    <t>Verified 2026-08-22 vs PDF (Tongji University). Tier 3 CONFIRMED verbatim: "the knowledge graph feeds them back to the digital twin"; "This bidirectional interaction between the digital twin and the knowledge graph"; connections enable "real-time data exchange and control" (TBM operational control, grouting control). Rule-based reasoning, so AA None upheld.</t>
  </si>
  <si>
    <t>Verified 2026-08-22 vs PDF (Buildings 2024). Tier 3 supported verbatim: decisions "integrated back with the physical building layer for automatic control and operation optimization". Validation is a questionnaire of FM professionals only, so AD Conceptual and AA Mentioned only upheld.</t>
  </si>
  <si>
    <t>Verified 2026-08-22 vs PDF. Reduced-order model "with 62 DOFs, which is approximately 1% of the finite-element model with a total of 7428 DOFs", ~450x calculation speed-up, and RMSE 0.0103 (Y-axis) / 0.0266 (Z-axis) all confirmed. Tier 2, AC Single, AD Simulation upheld.</t>
  </si>
  <si>
    <t>Verified 2026-08-22 vs PDF (SWJTU). MBSE V-model with RFLP process, SysML modelling, and a 90 m + 90 m single-tower cable-stayed bridge all confirmed; design-phase only, DT not deployed. Tier 1, AD Conceptual, AA None upheld.</t>
  </si>
  <si>
    <t>Real-time DT-driven 3D near-miss DETECTION system (ASCE J. Constr. Eng. Manage., DOI 10.1061/JCEMD4.COENG-15583; Yan, Liu, Yang, Feng): drones and binocular cameras capture static and dynamic site elements; YOLOv5 recognises workers, materials and machinery per frame; semi-global-matching-based stereo matching plus similar-triangle geometry recovers 3D positions; a BIM of the site is imported into Unreal Engine 5.1.1 to reconstruct the construction site in real time as the digital twin; an early-warning module alerts workers and managers to proximity hazards. Demonstrated on a lifting project under various exposure conditions. One-way perception to 3D detection to warning for humans; no actuation and no learning loop (YOLOv5 is offline-trained). [Full-text source: publisher PDF]</t>
  </si>
  <si>
    <t>Fills the gap left by inspector-based and 2D monitoring, which is labour-intensive and cannot resolve three-dimensional incidents: a stereovision digital twin that reconstructs the construction site in Unreal Engine from drone and binocular-camera streams, recognises workers, materials and machinery with YOLOv5, recovers their 3D positions by semi-global stereo matching, and detects and visualises near-misses in three-dimensional space with proactive early warnings to workers and managers.</t>
  </si>
  <si>
    <t>Detection rather than prediction: the system reports near-misses as they occur and does not forecast future trajectories, and warnings go to humans with no automated actuation. Evidence comes from a single lifting project under varying exposure conditions, stereo matching accuracy depends on camera baseline and lighting/exposure, and the recognition model is offline-trained with no updating from accumulated site data.</t>
  </si>
  <si>
    <t>RESOLVED 2026-08-22: AG/AH/AI had been duplicated from ID 3909; rewritten from the actual ASCE paper. AB corrected Transformer/LLM -&gt; Computer Vision / CNN / object-detection</t>
  </si>
  <si>
    <t>Verified 2026-08-22 vs publisher PDF (ASCE J. Constr. Eng. Manage. 04025021). Confirmed: stereovision/binocular + drone capture, YOLOv5 recognition, Unreal Engine 5.1.1 site reconstruction, BIM import, early-warning module, and demonstration on "a lifting project under various exposure conditions". Human3.6M, non-autoregressive transformer and "three high-risk zones" appear 0 times - those belong to ID 3909. Narrative fields rewritten and AB corrected on this basis.</t>
  </si>
  <si>
    <t>Dynamic geometric digital twin (gDT) for spatial cable-net structure construction (Shanghai Jiao Tong): multi-stage laser scanning extracts geometric info → parametric IFC/BIM (cables as straight segments, clamps as Revit families) + ABAQUS FEM (shape &amp; force prediction); previous-stage FEM + construction progress + temperature data fill gaps between scan stages to build a continuous dynamic IFC model; stage modelling+computation &lt;140 s, BIM-vs-point-cloud avg 15-20 mm, next-stage cable shape/force prediction deviations 1.2%/1.5%. One-way physical→virtual stage-by-stage update with prediction; no actuation and no learning loop (manual re-parameterisation). [Full-text source: Endnote]</t>
  </si>
  <si>
    <t>RESOLVED 2026-08-22: AG figure corrected 1.3% -&gt; 1.2% per PDF</t>
  </si>
  <si>
    <t>Building process optimization framework based on BIM-DT (whole lifecycle: survey/design, construction preparation, construction, O&amp;M): integrates data management system + BIM modelling system + digital twin model with real-time feedback; in the empirical study the construction phase data management system is built and a BP neural network is used for construction fault diagnosis (avg 99% accuracy vs CNN 90.23%, SVM 89.19%, PSO 89%; 9 fault types incl. construction joints, grouting, pouring sequence). One-way monitoring→fault diagnosis/safety; framework is partly conceptual (stage integration with BIM-DT model not described in detail — acknowledged), no actuation and no learning loop. [Full-text source: Endnote]</t>
  </si>
  <si>
    <t>RESOLVED 2026-08-22: AG third baseline corrected 88.35% -&gt; 89% per PDF</t>
  </si>
  <si>
    <t>DT-based monitoring pipeline for slated pitched roofs (University of Edinburgh / Historic Environment Scotland): (1) automated occlusion-free roof-panel orthophoto generation from SfM photogrammetry + the building DT/BIM model; (2) deep-learning semantic segmentation of orthophotos into slates/leadwork/other (PointRend+Focal Loss best, background corrected to 100%); validated on 2 real traditional buildings (Duff House, St Mary's Church, ...). Outputs are semantically linked to DT/digital logbook elements for future defect detection and epoch comparison; processing pipeline is static/offline — no live data link and no learning loop. [Full-text source: Endnote]</t>
  </si>
  <si>
    <t>RESOLVED 2026-08-22: AG corrected 3 -&gt; 2 buildings ("Two case study buildings are included in this study")</t>
  </si>
  <si>
    <t>RESOLVED 2026-08-22: AD Single case study -&gt; Cross-project. Dataset A = The Mill building, London (167 UAV images); Dataset B = building roof at EPFL, Lausanne (85 images) - two distinct real assets in different countries</t>
  </si>
  <si>
    <t>Verified 2026-08-22 (deep re-read) vs PDF (Buildings 2026, 16, 2433). Serverless orchestration, PostGIS anchors, sub-25 ms query latency and &gt;90% image retrieval confirmed; explicit contrast with passive "Level 1" twins supports Tier 1. VALIDATION SCOPE RESOLVED: "experiments using two distinct datasets" - Dataset A is The Mill building in London (167 UAV images, nadir + single oblique pass) and Dataset B is a building roof structure at EPFL, Lausanne (85 images, circular oblique, Phantom FC330 at 30 m AGL). Two separate real assets =&gt; AD corrected to Cross-project.</t>
  </si>
  <si>
    <t>Conceptual (no test)</t>
    <phoneticPr fontId="11" type="noConversion"/>
  </si>
  <si>
    <t>Simulation</t>
    <phoneticPr fontId="11" type="noConversion"/>
  </si>
  <si>
    <t>Lab / scale-model experiment</t>
  </si>
  <si>
    <t>Lab / scale-model experiment</t>
    <phoneticPr fontId="11" type="noConversion"/>
  </si>
  <si>
    <t>Single case study</t>
    <phoneticPr fontId="11" type="noConversion"/>
  </si>
  <si>
    <t>Cross-project (multiple real projects)</t>
    <phoneticPr fontId="11" type="noConversion"/>
  </si>
  <si>
    <t>RESOLVED 2026-08-22: AA Implemented -&gt; None. FNO surrogate is trained once offline; latent vectors (not model weights) are optimised over a fixed 100 Adam iterations at inference; paper states generalisation "without retraining" and "requires no retraining of the neural networks"</t>
  </si>
  <si>
    <t>RESOLVED 2026-08-22: AD Cross-project -&gt; Single case study. Field validation is 52 photogrammetry-mapped tunnel faces at ONE mine (El Teniente, Chile); no second mine or project appears in the text</t>
  </si>
  <si>
    <t>Verified 2026-08-22 (deep re-read) vs PDF (Tunnelling and Underground Space Technology 166:107017). UDi index, &gt;5,300 DFN realizations, R2 = 0.93 and 95% predictive accuracy confirmed. AD CORRECTED Cross-project -&gt; Single case study: the paper reports three validation LEVELS (theoretical equivalence, controlled wedge-formation tests, field proof) but the field proof is "52 photogrammetry-mapped faces from Chile’s El Teniente mine" only; searches for a second mine or site return zero hits. Multiple faces within one mine is not multiple projects.</t>
  </si>
  <si>
    <t>Ahmad (2025)</t>
  </si>
  <si>
    <t>RESOLVED 2026-08-22: Year 2026 -&gt; 2025 and author label updated. Verified full text is arXiv:2508.01599v1 [cs.OH] 3 Aug 2025, submission date August 5, 2025; no journal version of record found in the document</t>
  </si>
  <si>
    <t>Verified 2026-08-22 (deep re-read) vs PDF. Lane-level tracking, RTK GNSS (NovAtel CPT7700), Digital Shadow/Digital Sibling, TTC/PET, C-V2X confirmed; "no explicit future work" confirmed (paper ends with CONCLUSION AND RECOMMENDATIONS). YEAR CORRECTED 2026 -&gt; 2025: header reads "arXiv:2508.01599v1 [cs.OH] 3 Aug 2025" and "Submission Date: August 5, 2025"; the document contains no evidence of a 2026 version of record.</t>
  </si>
  <si>
    <t>RESOLVED 2026-08-22: AD Simulation -&gt; Lab / scale-model experiment. Physical 1:24 remote-controlled excavator and trucks, 1:20 worker model, 3D-printed buildings, smart helmets and tri-colour lights</t>
  </si>
  <si>
    <t>Verified 2026-08-22 (deep re-read) vs PDF. Precision 96.36%/95.31%, recall 98.76%/97.36%, delay 0.13 s confirmed. VALIDATION RECLASSIFIED: physical models scaled 1:24 (excavator, trucks, facilities) and 1:20 (worker) with 3D-printed buildings, smart helmets and tri-colour warning lights - a physical laboratory experiment, not numerical simulation.</t>
  </si>
  <si>
    <t>RESOLVED 2026-08-22: AD Simulation -&gt; Lab / scale-model experiment. Title is "Digital twin: Stability analysis for tower crane hoisting safety with a scale model"; physical 1/30 geometric similarity scale model</t>
  </si>
  <si>
    <t>Verified 2026-08-22 (deep re-read) vs PDF (Automation in Construction). 1/30 geometric similarity factor, 20 Hz sensors, collapse-probability level function confirmed. VALIDATION RECLASSIFIED: the title itself states "with a scale model" and the authors note site experiments are "extremely dangerous to carry out ... on the construction site" - a physical scale-model laboratory experiment.</t>
  </si>
  <si>
    <t>RESOLVED 2026-08-22: AD Single case study -&gt; Lab / scale-model experiment. Validation is a 1:10 reduced-scale wheel-spoke cable-truss test model (cross-section ratio 1:100), not a field project</t>
  </si>
  <si>
    <t>Verified 2026-08-22 (deep re-read) vs PDF (Sensors 2020). "Closed-loop control of the intelligent tensioning safety evaluation" confirmed, supporting Tier 3. VALIDATION RECLASSIFIED: the experimental model is a reduced-scale wheel-spoke cable truss at 1:10 scale ratio (cross-sectional area ratio 1:100) based on a real project - a physical laboratory scale-model experiment, not a field case study.</t>
  </si>
  <si>
    <t>RESOLVED 2026-08-22: AD Simulation -&gt; Lab / scale-model experiment. Section 4 titled "Validation through laboratory experiment"; physical scaled tower crane at approximately 1:80 geometric ratio</t>
  </si>
  <si>
    <t>Verified 2026-08-22 (deep re-read) vs PDF (Developments in the Built Environment, HUST). Warning rate &gt;70% and false alarm rate &lt;20% confirmed verbatim. VALIDATION RECLASSIFIED: Section 4 is "Validation through laboratory experiment"; the replica is a physical scaled tower crane at approximately 1:80 ratio, and the authors acknowledge the study "focused on a scaled-down tower crane within a laboratory setting".</t>
  </si>
  <si>
    <t>Total (must equal included)</t>
  </si>
  <si>
    <t>Verified 2026-08-22 vs PDF. Zhanlin Yellow River bridge incremental launching, FE model with "267 rod elements, 604 nodes, and 19 construction stages", and "a total of 120 embedded steel strain gauges" (10 per stress monitoring section) all confirmed. WARNING THRESHOLDS CORRECTED: the PDF defines Level 1 at 10-20% stress deviation, Level 2 at 20-30% and Level 3 above 30%; AG previously said "11% -&gt; L1". Tier 2, AA None upheld.</t>
  </si>
  <si>
    <t>Verified 2026-08-22 vs PDF (TECNALIA). UAV + AMR integration, retro-reflectivity monitoring of vertical and horizontal signage, obstacle and vegetation detection, and a case study on the Italian highway network all confirmed. Tier 2, AA None upheld.</t>
  </si>
  <si>
    <t>Verified 2026-08-22 vs PDF (Beijing Univ. Tech). LSTM chosen as the driving algorithm of the knowledge model, MIDAS finite-element analysis, black-box/grey-box/white-box modelling-level division, and vault settlement prediction with dynamic safety-state assessment all confirmed. Tier 2, AA None upheld.</t>
  </si>
  <si>
    <t>Verified 2026-08-22 vs PDF (J Building Eng 2025). Monitoring LiDAR, automated monitoring robots, GNSS and drones; eight-phase target-ball monitoring; and the self-developed scanline-expanded local interpolation smoothing algorithm (LSIIS) benchmarked against WTLS and ICP on Faro and Livox data all confirmed. Tier 2, AA None upheld.</t>
  </si>
  <si>
    <t>Verified 2026-08-22 vs PDF (Shanghai Oriental Hub). "BIM0-BIM6 full-phase connection + lightweight BIM-GIS integration", 28 IoT sensing nodes (1 per 300 m core / 500 m general, &lt;=1 s delay), AI risk model that "successfully predicted 1 valve aging risk 7 days in advance, which was verified by on-site inspection", and 36.4% O&amp;M cost reduction all confirmed. Tier 2, AA None upheld.</t>
  </si>
  <si>
    <t>Verified 2026-08-22 vs PDF (PolyU). ADLSTM-Fire model, forecast of fire development and hazardous regions "60 s in advance", and full-scale multi-floor building experiment all confirmed. NOTE: the PDF reports R2 of about 92% for ADLSTM-Fire forecasting and 93% for the simplified real-time reconstruction model - AG wording ("93% reconstruction accuracy, 92% forecast accuracy") matches. Tier 2, AA None upheld.</t>
  </si>
  <si>
    <t>Verified 2026-08-22 vs PDF (ASCE; Zhang, Cheng, Chen, Chen). LoD-Graphics / LoD-Information extension for construction-site DTs, "31 questionnaires and 10 interviews were conducted", and "more than 77% of respondents agreed that the digital twin can play" a role in construction safety all confirmed. No DT implemented. Tier Unclear, AD Conceptual, AA None upheld.</t>
  </si>
  <si>
    <t>Verified 2026-08-22 vs PDF (Automation in Construction; UCL/HUST). Underpass clearance checking from online DSM/DEM/aerial map data, "cost-effective clearance check ... without field surveys", and successful implementation "in an underpass road in the UK" all confirmed. Tier 1, AA None upheld.</t>
  </si>
  <si>
    <t>Verified 2026-08-22 vs PDF (Tsinghua). Wall-climbing robot with negative-pressure adhesion, mAP 0.775 for segmentation, average defect length error 1.140 cm, average centre position error 0.826 cm, and on-site inspection cycle latency 2.8-4.8 s all confirmed. Tier 2, AA None upheld.</t>
  </si>
  <si>
    <t>Verified 2026-08-22 vs PDF (Engineering Structures 320:118908). Joint detection and fitting accuracy "exceeding 99%" confirmed. NOTE: the 51.5% figure is a COMPONENT RECOGNITION SUCCESS RATE improvement over the traditional RANSAC algorithm (with ~20.09% efficiency gain), not a segmentation-success delta as AG implies. VALIDATION RECLASSIFIED: Fig. 12 is captioned "Case: scale model of cable dome structure and its point cloud"; no real/actual structure is referenced, so AD corrected Single case study -&gt; Lab / scale-model experiment.</t>
  </si>
  <si>
    <t>RESOLVED 2026-08-22: AD Single case study -&gt; Lab / scale-model experiment (Fig. 12 "Case: scale model of cable dome structure"); AG 51.5% is a component-recognition gain vs RANSAC, not segmentation success</t>
  </si>
  <si>
    <t>Digital-twin-driven bridge construction safety-monitoring platform (Zhanlin Yellow River cable-stayed bridge, incremental launching): dynamic multi-resolution DT (web-BIM model + Midas Civil FE model, 267 rod elements/19 stages); 120 embedded strain gauges + support-reaction/temperature/displacement sensors stream real-time to the twin; stress/deformation warning mechanism with 3 warning levels (e.g., stress deviation 10-20% → L1, 20-30% → L2, &gt;30% → L3) triggers alerts to on-site personnel who adjust construction. One-way monitoring→analysis→human action; no automated actuation and no learning loop. [Full-text source: Endnote]</t>
  </si>
  <si>
    <t>RESOLVED 2026-08-22: AG warning thresholds corrected - PDF defines L1 at 10-20% (not 11%), L2 at 20-30%, L3 &gt;30%</t>
  </si>
  <si>
    <t>Joint-detection PCD-based method for automatic construction of geometric digital twin (DS-gDT) in cable dome structures (Beijing U Civil Eng): enhanced target-recognition algorithm with novel shape-estimation model samples minimum point sets to identify structural components; joints determined by component spatial relationships for topological reconstruction of the gDT; validated on scaled cable dome PCD (component recognition success rate ~51.5% higher than traditional RANSAC (efficiency +20.09%); joint fitting accuracy &gt;99%); enables joint-deviation assessment. Static geometric DT - no live data link, no learning loop. [Full-text source: Endnote]</t>
  </si>
  <si>
    <t>Verified 2026-08-22 vs PDF (TECNALIA). BDTP architecture, BPMN workflows, five cross-cutting domains and property-graph data model confirmed; implementation and AI/ML stated as future. Tier 1, AD Conceptual, AA Mentioned only upheld.</t>
  </si>
  <si>
    <t>Verified 2026-08-22 vs PDF (H2020 ASHVIN, office building in Poblenou, Barcelona). "A description of six different pipelines of information is provided" confirmed. Fusion=Co-present strongly supported: the authors state the study "has not permitted to act weekly using conclusions from the extracted information". Tier 2, AA None upheld.</t>
  </si>
  <si>
    <t>Verified 2026-08-22 vs PDF (Texas A&amp;M). Geometric site digital twin, real-time weather-station data, microclimate simulation, and case study "in Stephenville, Texas, USA" showing "superior fidelity when compared to using the conventional black-globe thermometer" all confirmed. Tier 2, AA None upheld.</t>
  </si>
  <si>
    <t>Verified 2026-08-22 vs PDF. QSII index, "a survey of 83 construction professionals in Nigeria and a longitudinal review of maintenance records for 14 residential, commercial, and institutional buildings", and the 82.3 tCO2e per 1,000 m2 over five years figure all confirmed. NOTE: AG cites a "3.4x carbon multiplier"; in the PDF 43.4% is a sample-composition figure - the multiplier claim should be re-checked against the results tables. Tier 1, AD Conceptual, AA None upheld.</t>
  </si>
  <si>
    <t>Verified 2026-08-22 vs PDF (Tongji U). Tier 3 supported: the paper describes a "data-model-decision closed-loop advanced geological digital twin method" forming "a closed-loop system". Fuzzy cloud probability model, overall rock classification accuracy 92.95%, and application to five rock tunnels on the iS3 platform all confirmed. AA None upheld (probabilistic, not learning). NOTE: five tunnel projects (539 data points) may support AD Cross-project rather than Single case study - worth review.</t>
  </si>
  <si>
    <t>Verified 2026-08-22 vs PDF (Advances in Civil Engineering 2022, Article ID 9568967, Tsinghua). BIM + FE + physics-engine collapse simulation, buckling-driven failure mechanism, and forensic reconstruction of a real collapse accident all confirmed. Tier 2, AA None upheld.</t>
  </si>
  <si>
    <t>Verified 2026-08-22 vs PDF (Taipei underground parking garage). WSN nodes collecting CO, temperature and humidity mapped onto 3D BIM components confirmed; the system "reacted to the hazardous gas in approximately 1-2 s" with ventilator actuation and red-colour warning driven by the WSN control node, not via the virtual twin - supporting Tier 2 rather than Tier 3. AA None upheld.</t>
  </si>
  <si>
    <t>Verified 2026-08-22 vs PDF (Southeast U). Ontology-based four-layer semantic model implemented in GraphDB, iterative deviation-computation engine, and validation through "a real-world prefabricated composite-slab installation case, comparative experiments, and expert evaluation" all confirmed. Tier 2, AA None upheld.</t>
  </si>
  <si>
    <t>Verified 2026-08-22 vs PDF (Automation in Construction 132:103961, Tianjin U / Tianjin Dredging). TSHD SCADA monitoring with 793 data dimensions confirmed (Table 1 lists items numbered to 793), ML prediction accuracy R2 &gt; 0.9, and DBN selected as the best-performing virtual sensor all confirmed. Tier 2, AA None upheld.</t>
  </si>
  <si>
    <t>REVIEW (borderline, no change made): closest case in corpus to Convergence-characterised - empirical convergence-speed comparison across 30 rounds, but no convergence criterion, stopping rule, rate or bound. AA retained as Implemented</t>
  </si>
  <si>
    <t>REVIEW: AD=Single case study, but the method is applied to FIVE rock tunnel projects (539 data points) on the iS3 platform - consider Cross-project</t>
  </si>
  <si>
    <t>REVIEW: AG cites a "3.4x carbon multiplier"; PDF 43.4% is sample composition - verify the multiplier against the results tables</t>
  </si>
  <si>
    <t>Verified 2026-08-22 vs PDF (Beijing Univ. Tech). HITL-DT framework fusing human cognition, AI and engineering knowledge confirmed; interaction mechanisms are validation, constraint, triggering and consistency-check, with human intervention emphasised. Tier 3 (human-in-the-loop bidirectional) and AD Conceptual upheld; no implemented prototype, AA None upheld.</t>
  </si>
  <si>
    <t>Verified 2026-08-22 vs PDF (Shenzhen U). Wireless time-synchronized smart sensor with edge computing, cloud structural-dynamics DT, SSI-COV modal identification, and validation via "a case study of a 17-story high-rise building" with 8 Hz harmonic excitation all confirmed. Tier 2, AA None upheld.</t>
  </si>
  <si>
    <t>Verified 2026-08-22 vs PDF (Buildings, Hubei Univ. Tech). Virtual twin created with "Blender's geometric node group function", ANN for online prediction of BMJO structural performance, and motion model for real-time state mapping all confirmed. Tier 2, AA None upheld.</t>
  </si>
  <si>
    <t>Verified 2026-08-22 vs PDF (Beijing Univ. Tech). Random-forest feature-importance analysis confirming "the height difference of the jacking frame and the jacking speed" as most influential, for large-span steel mesh frame overall jacking, all confirmed. Tier 2, AA None upheld.</t>
  </si>
  <si>
    <t>Verified 2026-08-22 vs PDF (MDPI Buildings). Tier 3 supported: "Both the physical system and the virtual system generate control commands" with deviation comparison for temporal/spatial synchronisation. R2 0.9642 confirmed; real-world scenario is the 110 kV transmission project of a 220 kV substation. NOTE: the PDF states safety risks reduced "by up to 32.30%" and efficiency improved "by up to 42.73%" - AG cites -32.3% correctly. AA Mentioned only upheld (surrogate offline-trained).</t>
  </si>
  <si>
    <t>Verified 2026-08-22 vs PDF (Buildings, Southeast U / NUS). Revit BIM digital twins of ventilation schemes, CFD pollutant diffusion, "20.4% less energy and reducing carbon emissions by 30,681 kg CO2" all confirmed. Scope is indoor air quality, health and energy - not construction/operation safety hazards or defect/rework quality. Stage-2 EXCLUDE (Q=No) upheld.</t>
  </si>
  <si>
    <t>Verified 2026-08-22 vs PDF (HUST). "Five dimensions and 24 indicators across five maturity levels", two-stage expert competency-based grouping, and validation "through a real-world case study involving an automated construction system (ACS)" all confirmed. Tier Unclear, AA None upheld.</t>
  </si>
  <si>
    <t>Verified 2026-08-22 vs PDF (Automation in Construction, RMIT). Mixed-reality visual warning with BIM + CV + DL confirmed; three outdoor tests give per-test accuracies 96.7/96.1/... with overall 96.4%, maximum transmission latency 424 ms, and effective area "more than 72 m2". Tier 2, AA None upheld.</t>
  </si>
  <si>
    <t>Verified 2026-08-22 vs PDF (Huaqiao U). PCRNet infrared + point-cloud fusion confirmed; "among 299 experimental data points ... average accuracy rate of various hazard detection is 92%, the Precision is 96.3%, the Recall Rate is 94%, the F1-Score is 95.1%, and the average detection speed is 5.21 s" all confirmed verbatim. Tier 1, AA None upheld.</t>
  </si>
  <si>
    <t>Verified 2026-08-22 vs PDF (USP, Brazil). Automated procedural modelling, the new Mesh Decimation Quality (MDQ) index, Faro Focus 3D X330 point clouds, and validation "through a case study of the Coastal Tunnel in Brazil" all confirmed. Tier 1, AA None upheld.</t>
  </si>
  <si>
    <t>Verified 2026-08-22 vs PDF. DTCRAM five-layer model built on Delphi, and the Thames Tidal Tunnel case (25 km London sewer/stormwater project) confirmed. Tier 2, AD Single case study, AA None upheld.</t>
  </si>
  <si>
    <t>Verified 2026-08-22 vs PDF (Build Simul 2025, 18:2531-2558, CUHK). UAV + GeoBIM pipeline, synthetic views for depth-based defect localisation, and "a dual-verification method combining image and geographic features ... to eliminate duplicate detection across overlapping images" all confirmed. Tier 2, AA None upheld.</t>
  </si>
  <si>
    <t>Verified 2026-08-22 vs PDF (J Constructional Steel Research, Beijing Univ. Tech). XGBoost stress prediction "can reach 98% for the key bars", comparison against RF and BPNN, and terminal building steel roof overall jacking all confirmed. Tier 2, AA None upheld.</t>
  </si>
  <si>
    <t>Verified 2026-08-22 vs PDF (Nat. Yunlin Univ. Sci. Tech.). AEDT achieving "a macroaverage F1-score of 0.81", held-out test set from "a total of 2000 annotated images spanning four anomaly types with three severity levels", inspection time reduced "by ~63%", and the SWC structure case study in central Taiwan all confirmed. Tier 2, AA None upheld.</t>
  </si>
  <si>
    <t>Verified 2026-08-22 vs PDF (Underground Space, Tongji U). Five-dimensional DT with four-layer architecture (perception, transmission, modelling, alternation), integrated DES core, Markov random field stochastic geology, and AHP-DEMATEL vulnerability evaluation all confirmed. Tier 2, AA None upheld.</t>
  </si>
  <si>
    <t>Verified 2026-08-22 vs PDF (J Asian Architecture and Building Engineering). Tier 3 supported: Arduino sensor/actuator network with Unity3D DT over Wi-Fi, "Bi-directional communication", AR marker controlling crane-arm servo rotation and hook translation, latency &lt;1 s. Lab prototype only - AD Simulation and AA None upheld.</t>
  </si>
  <si>
    <t>Verified 2026-08-22 vs PDF (Tsinghua U). Tier 3 CONFIRMED verbatim: "If PSD is exceeded by SD, the system accesses the physical actuators of robots to stop it" - explicit virtual-to-physical actuation per ISO 15066. Performance confirmed: "average monitoring rate of 9.8 frames per second, an average reaction latency of 0.177 s, and a positional perception error of 0.09 m". AA None upheld (no ML learning loop).</t>
  </si>
  <si>
    <t>Verified 2026-08-22 vs PDF (Structures). 3DEC and SAP2000 models, "modal and time-history analyses for a set of 34 seismic ground motion records", and Basilica Maria Auxiliadora (Lima, Peru) all confirmed. Sensor integration and AVT-based calibration explicitly deferred: "AVT-based calibration will be considered in future work during the sensor integration phase" - Tier 1, AD Conceptual, AA None upheld.</t>
  </si>
  <si>
    <t>NOTE 2026-08-22: AA=Implemented confirmed (error analysis + adaptive parameter adjustment + model updating/retraining). "converg" absent from paper, so Convergence-characterised correctly not used. AG quote "dynamically self-correct" describes related work, not this study - reword if cited</t>
  </si>
  <si>
    <t>Verified 2026-08-22 (deep re-read) vs PDF (Computer-Aided Civil and Infrastructure Engineering 2026). 345x forward speedup, 72x overall, 99.7% success, 89.3% high-fidelity confirmed. AA CORRECTED Implemented -&gt; None: the FNO surrogate is trained once offline (cross-resolution 64x64 train / 128x128 deploy) and the paper explicitly reports evaluation "at arbitrary resolutions without retraining", out-of-distribution generalisation "Without retraining", and that sensor-anomaly adaptation "requires no retraining of the neural networks". The 100 Adam iterations update the LATENT VECTORS z during each inversion (inference-time problem solving), not the model weights, so there is no model-improvement loop. [User-approved 2026-08-22: AA Implemented -&gt; None retained.]</t>
  </si>
  <si>
    <t>Enhancing worker monitoring and management on large-scale construction sites with UAVs and digital twin modeling</t>
  </si>
  <si>
    <t>Automation in Construction</t>
  </si>
  <si>
    <t>Verified 2026-08-22 vs PDF (Automation in Construction 174:106108, CUHK). YOLOv10-LCA achieving mAP 96.4% and detection improvement from 31.5% confirmed; large-scale validation "across multiple construction projects in Hong Kong" (19 inspection sites) confirmed. AA=Implemented CAUTION: the only retraining statement is forward-looking - "The continuous UAV-driven data collection ENABLES iterative model retraining, steadily improving detection robustness" - describing a capability rather than a demonstrated running loop; "converg" refers to training-curve convergence of the one-off model training (Fig. 11), not an operational loop. Consider reviewing AA -&gt; None. Also note AD Single case study may understate validation across 19 sites / multiple projects. [User-approved 2026-08-22: AA Implemented -&gt; None applied. TITLE CORRECTED 2026-08-22 verbatim from publisher PDF: "Enhancing worker monitoring and management on large-scale construction sites with UAVs and digital twin modeling" (Automation in Construction 174 (2025) 106108); an earlier reconstructed title was wrong and has been replaced. AD Single case study -&gt; Cross-project applied (user-approved) on the basis of validation across 19 inspection sites and multiple Hong Kong projects.]</t>
  </si>
  <si>
    <t>RESOLVED 2026-08-22 (user-approved): AA Implemented -&gt; None (retraining is a stated capability, not a demonstrated loop); AD Single case study -&gt; Cross-project (19 inspection sites, multiple HK projects); Title and Journal corrected verbatim from the publisher PDF</t>
  </si>
  <si>
    <t>Verified 2026-08-22 vs PDF (HUST/UNSW). Tier 3 supported: "DT x Transformer closed-loop system"; component-level alignment via "Component-ID + Timestamp"; policy module generates task sequences "delivered to crews via AR with acknowledgments to close the loop", validated across floors 18-20 of a high-rise SCP. Loop closes through human crews rather than automated actuation. AA None upheld.</t>
  </si>
  <si>
    <t>Verified 2026-08-22 vs PDF. Perspective paper: "two-way dynamic mapping between virtual models and physical components", drywall/near-miss scenarios with case-based reasoning described as opportunities, nothing implemented. Tier 3, AD Conceptual, AA Mentioned only all upheld.</t>
  </si>
  <si>
    <t>Verified 2026-08-22 vs PDF (HUST). BO-CatBoost prediction with MOEAD multiobjective optimisation, SHAP attribution, and the Yangtze River large-diameter slurry shield project in Wuhan across three soil conditions all confirmed. Tier 2, AA None upheld.</t>
  </si>
  <si>
    <t>Verified 2026-08-22 vs PDF (Results in Engineering, Sapienza). BIM-FEM interoperability with on-site sensor data, and displacement patterns captured "during the magnitude 6.8 earthquake on September 8, 2023" with abutment longitudinal displacement increases and a largely stable central vault, all confirmed. Tier 2, AA None upheld.</t>
  </si>
  <si>
    <t>Verified 2026-08-22 vs PDF (Univ. of Michigan). Tier 3 supported: "bidirectional communication" between human (VR) and robot, with robot control commands generated "with the ros_control package, which generates output to real" actuators; drywall installation case study on a KUKA mobile robotic arm emulator with a 20-subject human-in-the-loop study. AA None upheld.</t>
  </si>
  <si>
    <t>Verified 2026-08-22 vs PDF (USP). Tunnel serviceability index (TSI) correlated to defects via "a 2D grid composed of classified unit cells converted into a virtual representation", with a railway tunnel for ore transport in northern Brazil as case study, all confirmed. Tier 2, AA None upheld.</t>
  </si>
  <si>
    <t>Verified 2026-08-22 vs PDF (Automation in Construction, TUM/Cambridge). Fusion of laser scanning and photogrammetry, AI-based image recognition and text detection/recognition for small objects (electrical, fire-safety, plumbing), and the TUM inner-city campus case study all confirmed. Tier 1, AA None upheld.</t>
  </si>
  <si>
    <t>Verified 2026-08-22 vs PDF (Beijing Univ. Tech). Tier 3 supported: DT establishes "interaction and feedback mechanisms between the physical and virtual space", updating the FLAC3D virtual model from field data and "providing feedback to the physical model". Model size 850,141 cells / 864,796 nodes and the bow-tie control-measure selection confirmed. AA None upheld.</t>
  </si>
  <si>
    <t>Verified 2026-08-22 vs PDF (ASCE). Close-ended questionnaires to Nigerian professionals via purposive and snowball sampling, Shapiro-Wilk and Kruskal-Wallis analysis; no DT built or evaluated. Stage-2 EXCLUDE (P=No) upheld.</t>
  </si>
  <si>
    <t>Verified 2026-08-22 vs PDF (NTU). AprilTag scale calibration, Mask R-CNN + DBSCAN clustering, "Diameter inspection achieves an accuracy of 95.5% for large-size rebars" and "Spacing inspection achieves a mean relative error of 0.98%" all confirmed. Tier 1, AA None upheld.</t>
  </si>
  <si>
    <t>Verified 2026-08-22 vs PDF. Online DTW similarity between real and simulated virtual-sensor data confirmed; "a fire recognition processing time of 0.88 s" and risk assessment that "reduced the total evacuation time by 65 s and potential injuries by 406" confirmed. Tier 2, AA None upheld.</t>
  </si>
  <si>
    <t>Verified 2026-08-22 vs PDF. Siamese self-supervised contrastive network with Bayesian NN, Chamfer distance values "ranging from 0.3926 to 0.4050", and the paper's own framing as a "Step toward Digital Twin" all confirmed - supporting Tier Unclear. AA None upheld.</t>
  </si>
  <si>
    <t>Verified 2026-08-22 vs PDF (Buildings). Title confirms "A Systematic and Quantitative Review Using Text Mining"; no DT built or methodologically developed. Stage-2 EXCLUDE (R=No) upheld.</t>
  </si>
  <si>
    <t>Verified 2026-08-22 vs PDF (Jeju National U). SMAC-based one-shot cooperative HPO for decentralised FL confirmed, with convergence QUANTIFIED: "convergence rounds dropped from 42 to 18 for worker safety and from 8 to 3 for MNIST", accuracy 92.4%-&gt;95.3%, MAE 0.058-&gt;0.042, p&lt;0.01, plus discussion of convergence rate versus the spectral gap of the communication graph. HOWEVER AA=None is CORRECT: the paper states explicitly that "The Digital Twin layer functions as a non-processing observability plane and does not participate in the decentralized model aggregation or hyperparameter optimization logic" - the convergence analysis belongs to the FL/HPO algorithm, not to a digital-twin self-improvement loop. Strong supporting evidence that convergence characterisation exists in adjacent ML work but not within DT loops in this corpus.</t>
  </si>
  <si>
    <t>Verified 2026-08-22 vs PDF (USM Chile). Vision-based collaborative robot for wood stereotomy; carpenter lays out joinery marks and "the robot cuts it"; "A digital twin of the robot allows the carpenter to previsualize all motions ... for task validation and to know when to enter the collaborative workspace". Tier 3 upheld, AA None upheld.</t>
  </si>
  <si>
    <t>Verified 2026-08-22 vs PDF (Struct Design Tall Spec Build, DOI 10.1002/tal.2127). Graphics-based digital twin coupling a SAP2000 nonlinear FE model with a photorealistic CG model for UAV-aided post-earthquake inspection confirmed. Tier 1, AD Simulation, AA None upheld.</t>
  </si>
  <si>
    <t>REVIEW: AD=Simulation, but validation used a PHYSICAL scale experimental platform (jacking tests, 0.407 mm error) - consider Lab / scale-model experiment</t>
  </si>
  <si>
    <t>NOTE 2026-08-22: convergence IS quantified (42-&gt;18 rounds) but the DT layer is explicitly "a non-processing observability plane" outside the learning loop - AA=None correct, and this row is useful evidence for the Gap 4 discussion</t>
  </si>
  <si>
    <t>Verified 2026-08-22 vs PDF. CUBIT-InSeg confirmed verbatim: "6996 images at 4800 x 3200 with 62,187 annotated instances" of cracks and spalling; "Over 80 models were benchmarked"; zero-shot transferability on two cross-domain datasets; deployment workflow registers defects to an as-is digital twin. Tier 2, AA None upheld.</t>
  </si>
  <si>
    <t>Verified 2026-08-22 vs PDF (Texas A&amp;M). Vision-based digital twinning and threat assessment for wind-borne debris, with "Case studies on nine piles of construction materials", image-based scene reconstruction and 2D semantic segmentation all confirmed. Tier 1, AA None upheld.</t>
  </si>
  <si>
    <t>Verified 2026-08-22 vs PDF (OeBB railway noise barriers). Abaqus 6.23-1 FEM digital twin, Bayesian updating for data-based condition assessment, and the stress-range comparison confirmed: normative range 71 N/mm2 versus PL0 at 772 N/mm2 (almost 4x the ideal installation condition). Tier 1, AD Simulation, AA Mentioned only upheld.</t>
  </si>
  <si>
    <t>Verified 2026-08-22 vs PDF (Advanced Engineering Informatics, DTU). 4D BIM plus automated safety-analysis results feeding an ontology and knowledge graph, with "query building blocks to transform natural language questions into actionable queries" and a crew-assignment cross-domain example, all confirmed. Tier 1, AD Conceptual, AA None upheld.</t>
  </si>
  <si>
    <t>Verified 2026-08-22 vs PDF. Design Science Research methodology confirmed; Smart Twins 4.0 empirical study confirmed verbatim: "Through an inspection of 151 panels using Smart Twins, 100% exhibited external defects, and 98% exhibited internal defects", most common defect external wear (42%). Tier 2, AD Conceptual, AA None upheld.</t>
  </si>
  <si>
    <t>Verified 2026-08-22 vs PDF (Central South U). Agent-based model of worker unsafe behaviours in AnyLogic, dual-attitude theory, and proactive versus reactive management strategies all confirmed. NOTE: the survey yielded "90 survey questionnaires and received 84 valid responses" - AG cites 84 valid, which matches. Tier 1, AC Single, AD Simulation, AA None upheld.</t>
  </si>
  <si>
    <t>Verified 2026-08-22 vs PDF (HUST). Safety Intelligent Navigation Platform (SINP), goal-directed task analysis (GDTA) for worker situation-awareness requirements, edge intelligent control device (EICD) for real-time navigation and alarms, and the four-layer model (geometric, physical, behavioural, rule-based) all confirmed. Tier 2, AA None upheld.</t>
  </si>
  <si>
    <t>Verified 2026-08-22 vs PDF. "This paper systematically reviews 146 research articles on bridge disaster management" and the proposed Real-time Bridge Disaster Management (RtBDM) framework both confirmed; framework only, nothing built. Tier 1, AD Conceptual, AA None upheld.</t>
  </si>
  <si>
    <t>Verified 2026-08-22 vs PDF (Tunnelling and Underground Space Technology 168:107207). Title confirms "A state-of-the-art review of methods and supporting platforms"; digital twins appear as one component among many rather than the subject. Stage-2 EXCLUDE (P=No) upheld.</t>
  </si>
  <si>
    <t>Re-verified 2026-08-22 (duplicate submission, batch 17) vs PDF (Applied Sciences, South China Univ. Tech). DT virtual model + BP neural network linking design and mechanical parameters, string beam construction application, and verification against on-site measured data all confirmed. Tier 2, AD Single case study, AA None upheld.</t>
  </si>
  <si>
    <t>Verified 2026-08-22 vs PDF (Front. Struct. Civ. Eng. 19(8):1262-1286). Digital safety system framework with TOPSIS/MCDM technology ranking, validated by questionnaire in Tehran. Exclusion CONFIRMED verbatim: the abstract offers the system only for "gathering information and POSSIBLY DEVELOPING a digital twin" - no DT is built or studied. Stage-2 EXCLUDE (P=No) upheld.</t>
  </si>
  <si>
    <t>Verified 2026-08-22 vs PDF (Buildings, UCL / Skanska). Unreal Gaming Engine + CesiumJS location-enabled DT, no-code approach, and "two case studies-health and safety and construction monitoring" on a highway construction project all confirmed. Tier 3 supported by the authors' own framing: "A middle ground between the two - human-in-the-loop DT (two-way with manual decision making) have been demonstrated in this research". AD Cross-project supported by two distinct demonstrators. AA None upheld.</t>
  </si>
  <si>
    <t>Verified 2026-08-22 vs PDF (Transportation Research Record 2678(10):114-130). Survey plus CTDOT subject-matter-expert interviews on guiderail asset data management and a proposed guiderail data architecture; DTs are discussed as potential rather than built or evaluated. Stage-2 EXCLUDE (P=No) upheld.</t>
  </si>
  <si>
    <t>DATA ISSUE 2026-08-22: cell F48 (Source database) contains "and " - not a valid value (expected Scopus / Web of Science / Lens.org / snowball). Cannot be recovered from the PDF because this is search provenance, not paper content. Please restore from your Endnote/search records. [Prior note] REVIEW (2nd coder): closest case to Convergence-characterised - Algorithm 1 sets a convergence threshold with break condition; threshold governs GA parameter search, not the DT loop; AA retained as Implemented</t>
  </si>
  <si>
    <t>RESOLVED 2026-08-23 (user-identified, agreed): AA Implemented -&gt; None. Full text contains zero occurrences of self-improve / self-learn / self-adapt / retrain. What is "updated" is the DIGITAL STATE (annual Bayesian inference over new inspection, AADT and river-gage evidence), not the model: the BN structure and CPTs are fixed, elicited once via EM/MLE and domain expertise. Authors also state "the current framework has not yet been validated".</t>
  </si>
  <si>
    <t>Verified 2026-08-22 vs PDF (J Infrastruct Preserv Resil 6:9). Bayesian network over Miami-Dade bridge network with annual risk updating from NBI/FDOT/USGS sources confirmed. CRITICAL: "converg" appears 0 times, and the authors state "the current framework has NOT YET BEEN VALIDATED. Future work should focus on assessing the performance and quality of the SDT". AA=Implemented is therefore weak - the annual Bayesian update is a designed procedure rather than a demonstrated running learning loop, and AD Single case study may overstate an unvalidated framework. RECOMMEND REVIEW of AA and AD. [RE-VERIFIED 2026-08-23 at user request: AA corrected Implemented -&gt; None. Evidence: "self-improv/self-learn/self-correct/self-adapt" = 0 hits; "retrain" = 0 hits. The paper updates the DIGITAL STATE via Bayesian inference on an annual cycle (bridge condition ratings every two years, AADT every three years, river data annually, coordinated by a binary indicator matrix), which is state estimation, not model self-improvement. BN structure and CPTs are elicited once from data/domain expertise (EM or maximum likelihood) and are not revised from accumulated experience.]</t>
  </si>
  <si>
    <t>RESOLVED 2026-08-23 (re-read at user request): AA Implemented -&gt; None. Zero occurrences of self-improve/self-learn/self-adapt as this study's own mechanism, zero online/incremental/continual learning. The single "converg" is a training stopping condition in the Bayesian-optimisation pseudocode; "Update model parameters" is standard backpropagation inside train(); "retraining overhead" is a comparative efficiency remark about model architectures. The DT "continuously updates it with real-time data" = state synchronisation, not model self-improvement.</t>
  </si>
  <si>
    <t>Verified 2026-08-22 vs PDF (HUST). Tier 3 supported (bidirectional synchronisation, slurry-pressure control). AA=Implemented CAUTION: the single "converg" occurrence is inside the BO-GCN-BiLSTM training pseudocode ("while not convergence do") describing Bayesian hyperparameter optimisation during one-off model training, not an operational self-improvement loop; no retraining from accumulated site data is reported. Consider reviewing AA -&gt; None. [RE-VERIFIED 2026-08-23 vs PDF (Eng. Appl. Artif. Intell. 168:114029): AA CORRECTED Implemented -&gt; None. Searches return 0 hits for online/incremental/continual learning; the only self-correct mention is in a CITED reference (Cao et al. 2025), not this study. The three "retrain" hits are (i) the train() pseudocode procedure, (ii) a data-preprocessing-before-training sentence, and (iii) "significantly reducing both retraining overhead and inference time" - an architecture-efficiency comparison. Model training is one-off with Bayesian hyperparameter optimisation; no updating from accumulated site data. Tier 3 is unaffected (bidirectional slurry-pressure control stands).]</t>
  </si>
  <si>
    <t>Deep-read: Strength / research gap filled</t>
    <phoneticPr fontId="11" type="noConversion"/>
  </si>
  <si>
    <t>Deep-read: Fusion depth (AC1)</t>
    <phoneticPr fontId="11" type="noConversion"/>
  </si>
  <si>
    <t>2-year in-service railway bridge pilot; unsupervised clustering of normal vibration + FEM-calibrated synthetic damage + LightGBM classifier (ROC-AUC 0.9999). SELF-IMPROVEMENT DOWNGRADED 2026-08-23 (slow full-text re-read, not keyword match): the "continuous learning through periodic retraining" wording sits in the GENERIC methodology (Step 7 of 7, Sec. 4.1.7), and the authors state "While not all seven steps were fully implemented for the pilot bridge in this work". The pilot sections (4.2) and Results (5) report ONE AutoML/MLflow training run on 8646 rows (60/20/20 split, best iteration 281, early stop 286) and no retraining event, no re-trained model, no accuracy-over-time series. The only adaptation actually reported - coping with seasonal vibration shifts - was an outlier filter whose "correction of this issue was carried out manually by accessing the sensors’ remote interfaces". Retraining is an architectural capability (Databricks/MLflow MLOps) that is described, not executed. AA = Mentioned only. [Full-text source: Endnote]</t>
  </si>
  <si>
    <t>Detection is anomaly-based rather than damage localization or quantification, which the authors list as future work; validation is limited to one short-span bridge pilot, and analytics still rely on middleware plus cloud, with plans to move FFT and inference onto energy-harvesting edge sensors and to extend to wind towers and broader production deployments. The advertised continuous-learning loop is never exercised: the paper concedes not all seven methodology steps were implemented for the pilot, reports a single model training, and handled the one observed distribution shift (seasonality) by a manual sensor-offset correction.</t>
  </si>
  <si>
    <t>RESOLVED 2026-08-23: AA Implemented -&gt; Mentioned only. Re-read of full text shows the periodic-retraining loop belongs to the generic 7-step reference methodology, which the authors say was not fully implemented for the pilot; no retraining is executed or measured anywhere in Sec. 4.2 or Sec. 5.</t>
  </si>
  <si>
    <t>Verified 2026-08-22 vs PDF (Sensors 2024, 24, 2115). ROC-AUC 0.9999 and 2-year in-service pilot confirmed. RE-VERIFIED 2026-08-23 (self-improvement audit, full text, not keyword search): AA=Implemented OVERTURNED. The retraining language is confined to Sec. 4.1.7 of the GENERIC methodology; Sec. 4.1 states verbatim "While not all seven steps were fully implemented for the pilot bridge in this work" and "Validation and continuous learning" is step 7. The pilot (Sec. 4.2) and Results (Sec. 5) document a single Databricks AutoML/MLflow experiment (8646 rows, 60/20/20) with no repeat training, no updated model version and no performance-over-time evidence; the sole reported adaptation to seasonal drift was a manual sensor-offset correction. AA corrected to Mentioned only.</t>
  </si>
  <si>
    <t>Predictive digital twin framework for civil engineering structures (Politecnico di Milano/UT Austin): dynamic Bayesian network (dynamic decision network) encodes the asset-twin coupled dynamical system; convolutional deep-learning models assimilate vibration data for damage classification/quantification; sequential Bayesian inference continually updates the digital STATE; health-dependent control policy feeds maintenance actions back to the asset -&gt; Tier 3. SELF-IMPROVEMENT DOWNGRADED 2026-08-23 (slow full-text re-read): the "offline learning phase" (Algorithm 2) is ordinary one-off supervised pre-training on ROM-generated data plus offline policy computation - it happens BEFORE deployment and is never repeated. Sequential Bayesian updating revises the belief over the digital state, NOT the twin’s models. The transition-dynamics CPT is fixed; the paper notes it "can be estimated offline from historical data ... or learned online from experience" as an option, and Conclusions state "Future research lines will investigate the ability of the digital twin to update the transition dynamics models by learning from previous data". AA = Mentioned only. [Full-text source: Endnote]</t>
  </si>
  <si>
    <t>RESOLVED 2026-08-23: AA Implemented -&gt; Mentioned only. The "offline learning phase" is pre-deployment supervised training, not a self-improvement loop; Bayesian updating revises the state estimate, not the models. Model self-updating is explicitly named as future research in the Conclusions.</t>
  </si>
  <si>
    <t>Verified 2026-08-22 vs PDF (Comput. Methods Appl. Mech. Engrg. 418:116584). Tier 3 upheld (sequential Bayesian assimilation physical-&gt;digital; health-dependent control policy digital-&gt;physical). AD Simulation upheld ("assessed on two synthetic case studies": L-shaped cantilever beam, railway bridge; noise-corrupted high-fidelity simulation data, no experimental data). RE-VERIFIED 2026-08-23 (self-improvement audit, full text): AA=Implemented OVERTURNED. Algorithm 2 "Preliminary offline phase" trains NNCL/NNRG once on ROM-populated data and computes the control policy once, all before the online phase; nothing is re-learned online. Sec. 2.2 offers the transition CPT as estimable "offline from historical data ... or learned online from experience" (an option, not done), and the Conclusions state verbatim "Future research lines will investigate the ability of the digital twin to update the transition dynamics models by learning from previous data" and to use reinforcement learning for planning. AA corrected to Mentioned only.</t>
  </si>
  <si>
    <t>Verified 2026-08-22 vs PDF (Eng. Appl. Artif. Intell. 161:112186, Jeju National U). FL + DT, six Raspberry Pi 4B edge nodes, FedAVG aggregation, dynamic node selection confirmed. RE-VERIFIED 2026-08-23 (self-improvement audit, full text): AA=Implemented UPHELD - strong. The loop is actually executed on a physical testbed, not described: Algorithm 1 has clients train locally for N epochs, report to the DT, receive the selected-node list, ship weights to the federated server, and overwrite local parameters with the aggregated global model each round; the workflow closes with "Convergence: This process repeats from step 1 until the model converges" and "Deployment: The trained global model is sent to every edge node that participated, once it has converged". Measured multi-round improvement (Figs. 25-26: per-node loss, MAE, RMSE, R2 vs round) with R2 0.978 IID / 0.965 non-IID. BORDERLINE vs Convergence-characterised: convergence is asserted and plotted but Algorithm 1 runs a fixed M rounds with no epsilon/stopping rule, no rate and no bound, so Implemented retained. Closest case in corpus - keep flagged for a second coder.</t>
  </si>
  <si>
    <t>Verified 2026-08-22 vs PDF (Structural Control and Health Monitoring 2026). RE-VERIFIED 2026-08-23 (self-improvement audit, full text): AA=Implemented UPHELD. Sec. 2.3 specifies a three-part mechanism - error feature analysis (errormean/errorstd/errormax, spatial error mapping, monitoring-point sensitivity), adaptive hyperparameter adjustment (explicit Eqs. 1-5 driving n_estimators, max_depth, learning_rate, min_samples_split, subsample from the measured error) and error-based sample weighting (Eq. 6) - closing with "the original surrogate model is updated and retrained on the basis of error analysis to achieve dynamic optimisation of model performance". Crucially the loop is EXECUTED and quantified, not just described: Sec. 4.4 contrasts the presurrogate model (Fig. 17; monitoring-point relative errors ~25%/20%/20%/10%) with the optimised surrogate (Figs. 18-19; ~0.3 mm, 5% relative error), and the Conclusions record the error "reduced from the original 20% to 5%" against DIC laboratory data. Model revision is driven by real measured data from the physical experiment. NOTE: "converg" appears 0 times and the retraining is a one-pass recalibration rather than a recurring online loop - Implemented, not Convergence-characterised.</t>
  </si>
  <si>
    <t>Verified 2026-08-22 vs PDF (Advanced Engineering Informatics 69:104045). RE-VERIFIED 2026-08-23 (self-improvement audit, full text): AA=Implemented UPHELD, but note the scope. Algorithm 1 "Model updating framework based on back analysis for soil properties" is executed, not proposed: the trained DF-STTN is inverted with a genetic algorithm against physical laboratory test data to minimise MSE between prediction and measurement, and "The updated surrogate model is then deployed for predictive analysis"; "This updated model serves as a new surrogate model, which can be applied to future prediction tasks". Demonstrated effect: recovered soil parameters within ~4% of measured values, corrected the overestimation of the baseline model (Fig. 16/17), and generalised to two held-out configurations (Tests 2 and 3). SCOPE CAVEAT: what is revised are the model INPUTS (soil parameters), not the network weights, and it is a one-pass offline recalibration - the authors state that integration with real-time sensor data "will enable continuous model updating and adaptive feedback" as FUTURE work. CONVERGENCE: Algorithm 1 lines 2/6-7 set threshold epsilon with a break, and Figs. 12/14 "GA convergence process during surrogate model updating" show fitness stabilising after ~20 generations (best 0.00098) - but this governs the GA parameter search, not a DT self-improvement loop, so Convergence-characterised is still not applied. Keep flagged for a second coder.</t>
  </si>
  <si>
    <t>Verified 2026-08-22 vs PDF (Automation in Construction 190:107076, HUST). RE-VERIFIED 2026-08-23 (self-improvement audit, full text): AA=Implemented UPHELD - the strongest case in the corpus. This is genuine RUNTIME self-improvement on physical hardware, not offline training: after PPO tunes the PID gains and the DNN-PID is pre-trained in MATLAB/Simulink (500 iterations, 5 s at 100 Hz) and migrated to the STM32 embedded controller, "During deployment, the weights from the input layer to the hidden layer are fixed, while the weight update logic from the hidden layer to the output layer is increased. Triggering thresholds based on control bias inputs are introduced so that weight updates are activated when large control errors occur"; and "During physical experiments, the hidden-to-output layer weights are further updated online according to real-time control errors, allowing the controller to compensate for parameter discrepancies, disturbances, and unmodeled dynamics that exist in the physical system but are not captured in the simulation model". Table 1 gives the concrete update machinery: learning rate 0.01, update trigger et &gt; 15.0, gradient clipping [-1,1], increment clamp [-50,50]. Confirmed again by "the adaptive updating of the network can be continued during the control process". Measured outcome: 0.407 mm mean synchronisation error, &lt;0.46 mm across ten loading conditions, 29% error reduction from transfer learning. CONVERGENCE: "converg" appears 14 times but always as narrative convergence EFFICIENCY of training/control - no criterion, rate or bound for the loop, so Implemented not Convergence-characterised. SEPARATE ISSUE FOR REVIEW: AD is coded Simulation, but validation is a 1:25 physical scale-model jacking platform with four electric actuators - AD likely should be "Lab / scale-model experiment".</t>
  </si>
  <si>
    <t>Tier Level</t>
    <phoneticPr fontId="11" type="noConversion"/>
  </si>
  <si>
    <t>Deep-read: Digital Twin capability tier</t>
    <phoneticPr fontId="11" type="noConversion"/>
  </si>
  <si>
    <t>DOI</t>
  </si>
  <si>
    <t>Source</t>
  </si>
  <si>
    <t>10.1016/j.autcon.2024.105834</t>
  </si>
  <si>
    <t>SLR summary matrix step 1/3 .md (user-supplied 2026-08-30)</t>
  </si>
  <si>
    <t>10.1108/SASBE-11-2023-0349</t>
  </si>
  <si>
    <t>10.14006/j.jzjgxb.2025.0431</t>
  </si>
  <si>
    <t>10.1109/OJVT.2025.3572405</t>
  </si>
  <si>
    <t>10.1016/j.eswa.2025.129330</t>
  </si>
  <si>
    <t>10.1016/j.engappai.2024.109104</t>
  </si>
  <si>
    <t>10.16511/j.cnki.qhdxxb.2025.21.055</t>
  </si>
  <si>
    <t>10.1109/ACCESS.2023.3295819</t>
  </si>
  <si>
    <t>10.1080/17445302.2026.2663524</t>
  </si>
  <si>
    <t>10.1680/jbren.24.00014</t>
  </si>
  <si>
    <t>10.56318/as/1.2025.92</t>
  </si>
  <si>
    <t>10.3390/app15158505</t>
  </si>
  <si>
    <t>10.7527/S1000-6893.2025.32343</t>
  </si>
  <si>
    <t>10.1016/j.oceaneng.2022.111579</t>
  </si>
  <si>
    <t>10.20051/j.issn.1003-4722.2025.06.021</t>
  </si>
  <si>
    <t>10.55092/sc20250022</t>
  </si>
  <si>
    <t>10.1109/ACCESS.2023.3278267</t>
  </si>
  <si>
    <t>10.1002/rob.22234</t>
  </si>
  <si>
    <t>10.18280/jesa.560301</t>
  </si>
  <si>
    <t>10.3973/j.issn.2096-4498.2024.S1.021</t>
  </si>
  <si>
    <t>10.16058/j.issn.1005-0930.2023.06.002</t>
  </si>
  <si>
    <t>10.1002/best.70070</t>
  </si>
  <si>
    <t>10.1007/s42107-025-01409-5</t>
  </si>
  <si>
    <t>10.13196/j.cims.2023.0391</t>
  </si>
  <si>
    <t>10.1017/dce.2022.23</t>
  </si>
  <si>
    <t>10.1109/ACCESS.2021.3101653</t>
  </si>
  <si>
    <t>10.14006/j.jzjgxb.2023.0136</t>
  </si>
  <si>
    <t>10.3390/buildings15040520</t>
  </si>
  <si>
    <t>10.1007/s13349-023-00751-z</t>
  </si>
  <si>
    <t>10.3390/jmse12020324</t>
  </si>
  <si>
    <t>10.1108/IJSI-06-2025-0147</t>
  </si>
  <si>
    <t>10.3390/s23010391</t>
  </si>
  <si>
    <t>10.1016/j.pnucene.2022.104559</t>
  </si>
  <si>
    <t>10.1016/j.rcim.2022.102335</t>
  </si>
  <si>
    <t>10.1016/j.jii.2023.100455</t>
  </si>
  <si>
    <t>10.4271/12-04-04-0032</t>
  </si>
  <si>
    <t>10.1016/j.autcon.2026.107025</t>
  </si>
  <si>
    <t>10.24000/0409-2961-2025-10-72-79</t>
  </si>
  <si>
    <t>10.1007/s44150-023-00098-5</t>
  </si>
  <si>
    <t>NOT PROVIDED in source markdown</t>
  </si>
  <si>
    <t>10.13335/j.1000-3673.pst.2022.2451</t>
  </si>
  <si>
    <t>10.1080/10168664.2026.2649216</t>
  </si>
  <si>
    <t>10.20174/j.JUSE.2025.05.38</t>
  </si>
  <si>
    <t>10.1016/j.ress.2025.112126</t>
  </si>
  <si>
    <t>10.3390/s22228737</t>
  </si>
  <si>
    <t>10.3390/s22197635</t>
  </si>
  <si>
    <t>10.3390/s22072522</t>
  </si>
  <si>
    <t>10.1109/MCE.2024.3444312</t>
  </si>
  <si>
    <t>10.1007/s10845-023-02195-0</t>
  </si>
  <si>
    <t>10.1177/13694332251365970</t>
  </si>
  <si>
    <t>10.1080/15623599.2023.2212420</t>
  </si>
  <si>
    <t>10.1680/jmapl.23.00104</t>
  </si>
  <si>
    <t>10.24000/0409-2961-2026-3-7-16</t>
  </si>
  <si>
    <t>10.3390/su142113740</t>
  </si>
  <si>
    <t>10.1016/j.autcon.2022.104257</t>
  </si>
  <si>
    <t>10.3390/s20247006</t>
  </si>
  <si>
    <t>10.1061/JLADAH.LADR-1409</t>
  </si>
  <si>
    <t>10.1016/j.eswa.2024.124204</t>
  </si>
  <si>
    <t>10.1109/TCYB.2024.3475272</t>
  </si>
  <si>
    <t>10.1109/TSMC.2022.3231299</t>
  </si>
  <si>
    <t>10.11591/ijece.v11i5.pp4542-4549</t>
  </si>
  <si>
    <t>10.1007/s40030-023-00732-x</t>
  </si>
  <si>
    <t>10.1109/ACCESS.2023.3330153</t>
  </si>
  <si>
    <t>10.3390/app15010231</t>
  </si>
  <si>
    <t>10.1080/09613218.2023.2219792</t>
  </si>
  <si>
    <t>10.36680/j.itcon.2025.049</t>
  </si>
  <si>
    <t>10.13196/j.cims.2021.02.001</t>
  </si>
  <si>
    <t>10.3973/j.issn.2096-4498.2025.12.016</t>
  </si>
  <si>
    <t>10.1115/1.4053606</t>
  </si>
  <si>
    <t>10.32738/JEPPM-2026-111</t>
  </si>
  <si>
    <t>10.37610/DYO.V0I74.600</t>
  </si>
  <si>
    <t>10.2478/fas-2024-0012</t>
  </si>
  <si>
    <t>10.1515/auto-2021-0104</t>
  </si>
  <si>
    <t>10.19815/j.jace.2021.07126</t>
  </si>
  <si>
    <t>10.1016/j.enbuild.2026.117865</t>
  </si>
  <si>
    <t>10.1109/OJITS.2026.3664106</t>
  </si>
  <si>
    <t>10.3390/systems13090770</t>
  </si>
  <si>
    <t>10.3390/s21113583</t>
  </si>
  <si>
    <t>10.3846/jcem.2025.24921</t>
  </si>
  <si>
    <t>10.1016/j.autcon.2022.104728</t>
  </si>
  <si>
    <t>10.3390/smartcities7060137</t>
  </si>
  <si>
    <t>10.3795/KSME-B.2025.49.3.147</t>
  </si>
  <si>
    <t>10.1109/ACCESS.2021.3097179</t>
  </si>
  <si>
    <t>10.3390/s25113350</t>
  </si>
  <si>
    <t>10.13225/j.cnki.jccs.2020.0963</t>
  </si>
  <si>
    <t>10.3390/en16196839</t>
  </si>
  <si>
    <t>10.1080/15732479.2020.1782444</t>
  </si>
  <si>
    <t>10.15587/1729-4061.2026.356915</t>
  </si>
  <si>
    <t>10.37934/aram.131.1.172184</t>
  </si>
  <si>
    <t>10.1061/JLADAH.LADR-1050</t>
  </si>
  <si>
    <t>10.16058/j.issn.1005-0930.2025.03.019</t>
  </si>
  <si>
    <t>10.13196/j.cims.2021.02.008</t>
  </si>
  <si>
    <t>10.1016/j.rineng.2026.110745</t>
  </si>
  <si>
    <t>10.3969/j.issn.2096-1693.2025.03.023</t>
  </si>
  <si>
    <t>10.11835/j.issn.2096-6717.2024.095</t>
  </si>
  <si>
    <t>10.1109/ACCESS.2023.3316028</t>
  </si>
  <si>
    <t>10.1002/stab.202200054</t>
  </si>
  <si>
    <t>10.1016/j.compeleceng.2022.108393</t>
  </si>
  <si>
    <t>10.3390/en15186584</t>
  </si>
  <si>
    <t>10.36680/J.ITCON.2023.006</t>
  </si>
  <si>
    <t>10.1016/j.apenergy.2023.120907</t>
  </si>
  <si>
    <t>10.3390/s20205771</t>
  </si>
  <si>
    <t>10.14006/j.jzjgxb.2024.0500</t>
  </si>
  <si>
    <t>10.1007/s10207-025-01113-0</t>
  </si>
  <si>
    <t>10.1061/(ASCE)CP.1943-5487.0001044</t>
  </si>
  <si>
    <t>10.35784/bud-arch.9187</t>
  </si>
  <si>
    <t>10.1109/JSEN.2025.3644934</t>
  </si>
  <si>
    <t>10.13700/j.bh.1001-5965.2022.0593</t>
  </si>
  <si>
    <t>10.1016/j.soildyn.2024.108819</t>
  </si>
  <si>
    <t>10.1016/j.rcns.2024.04.001</t>
  </si>
  <si>
    <t>10.3390/electronics11091413</t>
  </si>
  <si>
    <t>10.3390/app15042092</t>
  </si>
  <si>
    <t>10.3390/buildings15132318</t>
  </si>
  <si>
    <t>10.1016/j.autcon.2024.105725</t>
  </si>
  <si>
    <t>10.3390/s24072115</t>
  </si>
  <si>
    <t>10.1109/TII.2025.3631743</t>
  </si>
  <si>
    <t>10.1007/s10207-023-00731-w</t>
  </si>
  <si>
    <t>10.1051/ijmqe/2025014</t>
  </si>
  <si>
    <t>10.1016/j.cacaie.2026.100073</t>
  </si>
  <si>
    <t>10.1016/j.iot.2025.101768</t>
  </si>
  <si>
    <t>10.3390/s22041647</t>
  </si>
  <si>
    <t>10.1016/j.oceaneng.2023.115009</t>
  </si>
  <si>
    <t>10.1002/bate.202200013</t>
  </si>
  <si>
    <t>10.13225/j.cnki.jccs.2025.0229</t>
  </si>
  <si>
    <t>10.19815/j.jace.2022.04015</t>
  </si>
  <si>
    <t>10.1109/TITS.2023.3343434</t>
  </si>
  <si>
    <t>10.3390/buildings16102034</t>
  </si>
  <si>
    <t>10.19398/j.att.202407021</t>
  </si>
  <si>
    <t>10.1109/ACCESS.2025.3581041</t>
  </si>
  <si>
    <t>10.1061/JLADAH.LADR-1397</t>
  </si>
  <si>
    <t>10.3390/buildings16091760</t>
  </si>
  <si>
    <t>10.16265/j.cnki.issn1003-3033.2023.S1.0257</t>
  </si>
  <si>
    <t>10.1016/j.compind.2022.103783</t>
  </si>
  <si>
    <t>10.13225/j.cnki.jccs.JJ21.0412</t>
  </si>
  <si>
    <t>10.19818/j.cnki.1671-1637.2025.03.003</t>
  </si>
  <si>
    <t>10.16511/j.cnki.qhdxxb.2026.21.001</t>
  </si>
  <si>
    <t>10.1007/s40864-026-00273-z</t>
  </si>
  <si>
    <t>10.1049/hve2.12260</t>
  </si>
  <si>
    <t>10.16265/j.cnki.issn1003-3033.2024.09.1975</t>
  </si>
  <si>
    <t>10.3389/fmars.2023.1047251</t>
  </si>
  <si>
    <t>10.3390/app16083620</t>
  </si>
  <si>
    <t>10.55092/sc20240014</t>
  </si>
  <si>
    <t>10.3390/s22030873</t>
  </si>
  <si>
    <t>10.3390/s26030947</t>
  </si>
  <si>
    <t>10.3390/en15165776</t>
  </si>
  <si>
    <t>10.1109/MITS.2021.3115126</t>
  </si>
  <si>
    <t>10.1016/j.pnucene.2025.105890</t>
  </si>
  <si>
    <t>10.14733/cadaps.2024.S12.1-18</t>
  </si>
  <si>
    <t>10.3389/fbuil.2022.959475</t>
  </si>
  <si>
    <t>10.1016/j.tust.2026.107457</t>
  </si>
  <si>
    <t>10.1016/j.engstruct.2026.122345</t>
  </si>
  <si>
    <t>10.1080/13467581.2024.2343800</t>
  </si>
  <si>
    <t>10.1016/j.rcim.2021.102123</t>
  </si>
  <si>
    <t>10.3389/fbuil.2025.1713342</t>
  </si>
  <si>
    <t>10.3390/s25102969</t>
  </si>
  <si>
    <t>10.1016/j.enbuild.2026.116979</t>
  </si>
  <si>
    <t>10.37544/0005-6650-2024-09-36</t>
  </si>
  <si>
    <t>10.3390/app142210638</t>
  </si>
  <si>
    <t>10.1016/j.energy.2026.140990</t>
  </si>
  <si>
    <t>10.56578/jemse040405</t>
  </si>
  <si>
    <t>10.19721/j.cnki.1001-7372.2025.06.006</t>
  </si>
  <si>
    <t>10.24425/ace.2025.156162</t>
  </si>
  <si>
    <t>10.14006/j.jzjgxb.2020.0475</t>
  </si>
  <si>
    <t>10.1115/1.4067270</t>
  </si>
  <si>
    <t>10.5935/jetia.v12i57.3125</t>
  </si>
  <si>
    <t>10.1177/03611981261441281</t>
  </si>
  <si>
    <t>10.21177/1998-4502-2025-17-2-1233-1248</t>
  </si>
  <si>
    <t>10.1109/TASE.2026.3697962</t>
  </si>
  <si>
    <t>10.1177/14759217241297248</t>
  </si>
  <si>
    <t>10.1016/j.apenergy.2025.126558</t>
  </si>
  <si>
    <t>10.1177/03611981231182961</t>
  </si>
  <si>
    <t>10.1016/j.compind.2026.104501</t>
  </si>
  <si>
    <t>10.1016/j.eng.2026.04.001</t>
  </si>
  <si>
    <t>10.1016/j.engappai.2025.113545</t>
  </si>
  <si>
    <t>10.1109/ACCESS.2025.3580334</t>
  </si>
  <si>
    <t>10.1061/(ASCE)ME.1943-5479.0000748</t>
  </si>
  <si>
    <t>10.3390/en15155749</t>
  </si>
  <si>
    <t>10.1155/2021/2801557</t>
  </si>
  <si>
    <t>10.24425/ace.2025.156179</t>
  </si>
  <si>
    <t>10.13225/j.cnki.jccs.ZN20.0327</t>
  </si>
  <si>
    <t>10.1016/j.compind.2024.104112</t>
  </si>
  <si>
    <t>10.5595/001c.124123</t>
  </si>
  <si>
    <t>10.1177/13694332241255734</t>
  </si>
  <si>
    <t>10.13225/j.cnki.jccs.2022.0215</t>
  </si>
  <si>
    <t>10.1155/2022/1875196</t>
  </si>
  <si>
    <t>10.1109/TITS.2025.3535593</t>
  </si>
  <si>
    <t>10.1016/j.fusengdes.2021.112780</t>
  </si>
  <si>
    <t>10.1007/s42947-020-6012-7</t>
  </si>
  <si>
    <t>10.1680/jmapl.23.00103</t>
  </si>
  <si>
    <t>10.1093/ijlct/ctac104</t>
  </si>
  <si>
    <t>10.16791/j.cnki.sjg.2026.04.037</t>
  </si>
  <si>
    <t>10.1109/ACCESS.2025.3532597</t>
  </si>
  <si>
    <t>10.1016/j.measurement.2026.120781</t>
  </si>
  <si>
    <t>10.15951/j.tmgcxb.24040296</t>
  </si>
  <si>
    <t>10.3390/s25123727</t>
  </si>
  <si>
    <t>10.1007/s13177-026-00684-z</t>
  </si>
  <si>
    <t>10.1108/ECAM-01-2025-0131</t>
  </si>
  <si>
    <t>10.3390/s25195941</t>
  </si>
  <si>
    <t>10.11835/j.issn.2096-6717.2022.068</t>
  </si>
  <si>
    <t>10.1109/TITS.2021.3130025</t>
  </si>
  <si>
    <t>10.1016/j.compeleceng.2025.110485</t>
  </si>
  <si>
    <t>10.1061/JUPDDM.UPENG-5843</t>
  </si>
  <si>
    <t>10.1080/23248378.2024.2397660</t>
  </si>
  <si>
    <t>10.1016/j.energy.2023.127317</t>
  </si>
  <si>
    <t>10.3390/telecom4010009</t>
  </si>
  <si>
    <t>10.3901/JME.2023.12.062</t>
  </si>
  <si>
    <t>10.1080/01446193.2025.2451631</t>
  </si>
  <si>
    <t>10.1016/j.tust.2025.107017</t>
  </si>
  <si>
    <t>10.1016/j.tust.2025.106711</t>
  </si>
  <si>
    <t>10.3103/S1068371225700208</t>
  </si>
  <si>
    <t>10.19721/j.cnki.1001-7372.2025.06.010</t>
  </si>
  <si>
    <t>10.1061/JMENEA.MEENG-7046</t>
  </si>
  <si>
    <t>10.1016/j.fusengdes.2024.114586</t>
  </si>
  <si>
    <t>10.1007/s10846-024-02212-1</t>
  </si>
  <si>
    <t>10.1109/TIV.2024.3377163</t>
  </si>
  <si>
    <t>10.15828/2075-8545-2024-16-2-189-197</t>
  </si>
  <si>
    <t>10.3390/buildings16122433</t>
  </si>
  <si>
    <t>10.12075/j.issn.1004-4051.20241925</t>
  </si>
  <si>
    <t>10.1016/j.soildyn.2024.108845</t>
  </si>
  <si>
    <t>10.16182/j.issn1004731x.joss.25-0511</t>
  </si>
  <si>
    <t>10.1002/rob.22127</t>
  </si>
  <si>
    <t>10.17586/2226-1494-2026-26-3-486-494</t>
  </si>
  <si>
    <t>10.3390/smartcities8010027</t>
  </si>
  <si>
    <t>10.1080/15732479.2019.1615962</t>
  </si>
  <si>
    <t>10.1109/TITS.2025.3609972</t>
  </si>
  <si>
    <t>10.1016/j.tust.2023.105430</t>
  </si>
  <si>
    <t>10.5802/crmeca.308</t>
  </si>
  <si>
    <t>10.3390/app15031557</t>
  </si>
  <si>
    <t>10.1063/5.0222332</t>
  </si>
  <si>
    <t>10.3390/math13030345</t>
  </si>
  <si>
    <t>10.3390/s23218720</t>
  </si>
  <si>
    <t>10.2298/NTRP2203181X</t>
  </si>
  <si>
    <t>10.3389/fbuil.2025.1681156</t>
  </si>
  <si>
    <t>10.1080/15732479.2021.1991387</t>
  </si>
  <si>
    <t>10.3390/math14030558</t>
  </si>
  <si>
    <t>10.1109/ACCESS.2026.3691986</t>
  </si>
  <si>
    <t>10.1109/TDSC.2022.3184185</t>
  </si>
  <si>
    <t>10.20051/j.issn.1003-4722.2025.06.003</t>
  </si>
  <si>
    <t>10.5659/JAIK.2026.42.6.389</t>
  </si>
  <si>
    <t>10.1007/s10706-025-03612-2</t>
  </si>
  <si>
    <t>10.1016/j.istruc.2025.109052</t>
  </si>
  <si>
    <t>10.1016/j.ijcce.2026.04.001</t>
  </si>
  <si>
    <t>10.1016/j.applthermaleng.2025.126216</t>
  </si>
  <si>
    <t>10.1016/j.dibe.2024.100490</t>
  </si>
  <si>
    <t>10.6047/j.issn.1000-8241.2021.06.006</t>
  </si>
  <si>
    <t>10.3390/buildings15081312</t>
  </si>
  <si>
    <t>10.1061/JCCEE5.CPENG-5354</t>
  </si>
  <si>
    <t>10.3390/buildings14123731</t>
  </si>
  <si>
    <t>10.1108/ECAM-01-2025-0031</t>
  </si>
  <si>
    <t>10.1016/j.cma.2023.116584</t>
  </si>
  <si>
    <t>10.3390/buildings13061559</t>
  </si>
  <si>
    <t>10.3390/buildings13020441</t>
  </si>
  <si>
    <t>10.1080/15623599.2026.2651946</t>
  </si>
  <si>
    <t>10.3390/app14156835</t>
  </si>
  <si>
    <t>10.12989/sss.2026.37.5.407</t>
  </si>
  <si>
    <t>10.17576/jkukm-2025-37(6)-11</t>
  </si>
  <si>
    <t>10.17559/TV-20240115001267</t>
  </si>
  <si>
    <t>10.1016/j.autcon.2025.106353</t>
  </si>
  <si>
    <t>10.1109/TIA.2023.3332311</t>
  </si>
  <si>
    <t>10.1016/j.aei.2024.102884</t>
  </si>
  <si>
    <t>10.3390/app14146209</t>
  </si>
  <si>
    <t>10.3390/app15105690</t>
  </si>
  <si>
    <t>10.1680/jstbu.25.00086</t>
  </si>
  <si>
    <t>10.1016/j.aei.2026.104500</t>
  </si>
  <si>
    <t>10.1016/j.autcon.2025.106564</t>
  </si>
  <si>
    <t>10.1016/j.autcon.2023.105048</t>
  </si>
  <si>
    <t>10.1016/j.measurement.2023.112955</t>
  </si>
  <si>
    <t>10.1108/CI-06-2025-0266</t>
  </si>
  <si>
    <t>10.15554/pcij68.5-02</t>
  </si>
  <si>
    <t>10.1007/s11709-026-1301-0</t>
  </si>
  <si>
    <t>10.3390/buildings14113547</t>
  </si>
  <si>
    <t>10.1007/s12205-024-0247-9</t>
  </si>
  <si>
    <t>10.1016/j.ress.2025.111906</t>
  </si>
  <si>
    <t>10.1002/bate.202100091</t>
  </si>
  <si>
    <t>10.1061/JCEMD4.COENG-15583</t>
  </si>
  <si>
    <t>10.3390/buildings12122155</t>
  </si>
  <si>
    <t>10.3390/app15084481</t>
  </si>
  <si>
    <t>10.3390/app16104964</t>
  </si>
  <si>
    <t>10.1108/ECAM-05-2025-0732</t>
  </si>
  <si>
    <t>10.3390/app15116009</t>
  </si>
  <si>
    <t>10.3390/app16010455</t>
  </si>
  <si>
    <t>10.3390/app142411582</t>
  </si>
  <si>
    <t>10.1002/dama.202210024</t>
  </si>
  <si>
    <t>10.3390/buildings14010004</t>
  </si>
  <si>
    <t>10.12989/sss.2023.31.3.275</t>
  </si>
  <si>
    <t>10.3389/fbuil.2026.1748837</t>
  </si>
  <si>
    <t>10.3390/buildings15091492</t>
  </si>
  <si>
    <t>10.1680/jensu.24.00136</t>
  </si>
  <si>
    <t>10.3390/infrastructures11040124</t>
  </si>
  <si>
    <t>10.1108/ECAM-04-2025-0604</t>
  </si>
  <si>
    <t>10.1016/j.autcon.2024.105777</t>
  </si>
  <si>
    <t>10.3390/app122312256</t>
  </si>
  <si>
    <t>10.1016/j.jobe.2025.111976</t>
  </si>
  <si>
    <t>10.1080/15732479.2025.2456979</t>
  </si>
  <si>
    <t>10.1155/adce/8916300</t>
  </si>
  <si>
    <t>10.1016/j.aei.2025.103117</t>
  </si>
  <si>
    <t>10.1061/(ASCE)ME.1943-5479.0000948</t>
  </si>
  <si>
    <t>10.1002/bate.202100121</t>
  </si>
  <si>
    <t>10.1016/j.autcon.2022.104406</t>
  </si>
  <si>
    <t>10.3390/buildings16030646</t>
  </si>
  <si>
    <t>10.1016/j.cie.2024.110805</t>
  </si>
  <si>
    <t>10.1016/j.engstruct.2024.118908</t>
  </si>
  <si>
    <t>10.3390/buildings14072238</t>
  </si>
  <si>
    <t>10.1016/j.jobe.2024.108522</t>
  </si>
  <si>
    <t>10.1016/j.autcon.2025.106354</t>
  </si>
  <si>
    <t>10.1016/j.autcon.2024.105805</t>
  </si>
  <si>
    <t>10.1016/j.enbuild.2026.117751</t>
  </si>
  <si>
    <t>10.1016/j.clet.2023.100715</t>
  </si>
  <si>
    <t>10.1016/j.autcon.2025.106407</t>
  </si>
  <si>
    <t>10.1002/suco.202400890</t>
  </si>
  <si>
    <t>10.1155/2022/9568967</t>
  </si>
  <si>
    <t>10.1016/j.engappai.2025.112186</t>
  </si>
  <si>
    <t>10.1061/(ASCE)ME.1943-5479.0000760</t>
  </si>
  <si>
    <t>10.1061/JCEMD4.COENG-18029</t>
  </si>
  <si>
    <t>10.1016/j.autcon.2021.103961</t>
  </si>
  <si>
    <t>10.3390/app16041848</t>
  </si>
  <si>
    <t>10.1061/JSDCCC.SCENG-1953</t>
  </si>
  <si>
    <t>10.1016/j.engstruct.2025.122061</t>
  </si>
  <si>
    <t>10.3390/buildings14082318</t>
  </si>
  <si>
    <t>10.1016/j.istruc.2025.109158</t>
  </si>
  <si>
    <t>10.3390/buildings16101982</t>
  </si>
  <si>
    <t>10.3390/buildings12040470</t>
  </si>
  <si>
    <t>10.3390/buildings12020099</t>
  </si>
  <si>
    <t>10.1016/j.jii.2026.101067</t>
  </si>
  <si>
    <t>10.1080/15623599.2025.2508905</t>
  </si>
  <si>
    <t>10.3390/buildings15030396</t>
  </si>
  <si>
    <t>10.1016/j.autcon.2025.106108</t>
  </si>
  <si>
    <t>10.1016/j.autcon.2022.104252</t>
  </si>
  <si>
    <t>10.1016/j.oceaneng.2026.124378</t>
  </si>
  <si>
    <t>10.1680/jcien.25.00463</t>
  </si>
  <si>
    <t>10.1016/j.apples.2025.100240</t>
  </si>
  <si>
    <t>10.1016/j.measurement.2025.119256</t>
  </si>
  <si>
    <t>10.1016/j.tust.2025.106929</t>
  </si>
  <si>
    <t>10.1155/stc/8782403</t>
  </si>
  <si>
    <t>10.21315/jcdc.2025.30.s2.10</t>
  </si>
  <si>
    <t>10.1007/s12273-025-1332-9</t>
  </si>
  <si>
    <t>10.1016/j.jcsr.2024.109126</t>
  </si>
  <si>
    <t>10.1155/adce/2063316</t>
  </si>
  <si>
    <t>10.1016/j.oceaneng.2022.113610</t>
  </si>
  <si>
    <t>10.1016/j.undsp.2025.05.012</t>
  </si>
  <si>
    <t>10.1080/13467581.2020.1869557</t>
  </si>
  <si>
    <t>10.1016/j.autcon.2025.106147</t>
  </si>
  <si>
    <t>10.1016/j.istruc.2025.110115</t>
  </si>
  <si>
    <t>10.1016/j.tust.2025.106800</t>
  </si>
  <si>
    <t>10.3846/jcem.2026.26154</t>
  </si>
  <si>
    <t>10.36680/j.itcon.2021.027</t>
  </si>
  <si>
    <t>10.1186/s43065-025-00121-7</t>
  </si>
  <si>
    <t>10.1016/j.tre.2025.104596</t>
  </si>
  <si>
    <t>10.1016/j.ress.2024.110305</t>
  </si>
  <si>
    <t>10.3390/app14199109</t>
  </si>
  <si>
    <t>10.1016/j.rineng.2025.106914</t>
  </si>
  <si>
    <t>10.1016/j.aei.2025.104045</t>
  </si>
  <si>
    <t>10.1061/(ASCE)CP.1943-5487.0000988</t>
  </si>
  <si>
    <t>10.1016/j.tust.2023.105544</t>
  </si>
  <si>
    <t>10.36680/j.itcon.2024.008</t>
  </si>
  <si>
    <t>10.1016/j.engappai.2026.114029</t>
  </si>
  <si>
    <t>10.1016/j.autcon.2022.104375</t>
  </si>
  <si>
    <t>10.1016/j.aei.2025.103109</t>
  </si>
  <si>
    <t>10.1016/j.autcon.2026.107076</t>
  </si>
  <si>
    <t>10.1016/j.aei.2023.102346</t>
  </si>
  <si>
    <t>10.3390/buildings14061551</t>
  </si>
  <si>
    <t>10.3390/buildings13010247</t>
  </si>
  <si>
    <t>10.1061/JCEMD4.COENG-13659</t>
  </si>
  <si>
    <t>10.1186/s43065-025-00147-x</t>
  </si>
  <si>
    <t>10.1016/j.autcon.2024.105303</t>
  </si>
  <si>
    <t>10.1016/j.autcon.2024.105722</t>
  </si>
  <si>
    <t>10.1061/JCCEE5.CPENG-6137</t>
  </si>
  <si>
    <t>10.1016/j.aei.2026.104681</t>
  </si>
  <si>
    <t>10.1016/j.engappai.2025.110394</t>
  </si>
  <si>
    <t>10.3390/buildings14030702</t>
  </si>
  <si>
    <t>10.1016/j.aej.2026.05.006</t>
  </si>
  <si>
    <t>10.3390/buildings13081965</t>
  </si>
  <si>
    <t>10.3390/app15031202</t>
  </si>
  <si>
    <t>10.3390/app15041999</t>
  </si>
  <si>
    <t>10.1016/j.jobe.2025.112283</t>
  </si>
  <si>
    <t>10.1002/bate.202300049</t>
  </si>
  <si>
    <t>10.1002/tal.2127</t>
  </si>
  <si>
    <t>10.3390/infrastructures7050070</t>
  </si>
  <si>
    <t>10.3390/app10248948</t>
  </si>
  <si>
    <t>10.1108/ECAM-04-2025-0553</t>
  </si>
  <si>
    <t>10.17559/TV-20260203003363</t>
  </si>
  <si>
    <t>10.1016/j.autcon.2020.103370</t>
  </si>
  <si>
    <t>10.1016/j.autcon.2026.106980</t>
  </si>
  <si>
    <t>10.1016/j.aei.2026.104580</t>
  </si>
  <si>
    <t>10.1016/j.ijcip.2024.100725</t>
  </si>
  <si>
    <t>10.3390/app8112239</t>
  </si>
  <si>
    <t>10.3390/buildings16071430</t>
  </si>
  <si>
    <t>10.1016/j.firesaf.2026.104746</t>
  </si>
  <si>
    <t>10.1016/j.autcon.2021.104091</t>
  </si>
  <si>
    <t>10.1016/j.autcon.2024.105582</t>
  </si>
  <si>
    <t>10.3390/infrastructures8110162</t>
  </si>
  <si>
    <t>10.1016/j.aei.2025.103305</t>
  </si>
  <si>
    <t>10.7764/RIC.00168.21</t>
  </si>
  <si>
    <t>10.1016/j.aei.2023.102182</t>
  </si>
  <si>
    <t>10.1016/j.aei.2023.101875</t>
  </si>
  <si>
    <t>10.1002/bate.202300009</t>
  </si>
  <si>
    <t>10.1016/j.ress.2026.112634</t>
  </si>
  <si>
    <t>10.1061/JMENEA.MEENG-5630</t>
  </si>
  <si>
    <t>10.1016/j.iintel.2026.100214</t>
  </si>
  <si>
    <t>10.1061/JCEMD4.COENG-15772</t>
  </si>
  <si>
    <t>10.1016/j.autcon.2025.106150</t>
  </si>
  <si>
    <t>10.1016/j.tust.2025.107207</t>
  </si>
  <si>
    <t>10.1177/14727978251366517</t>
  </si>
  <si>
    <t>10.3390/app12031442</t>
  </si>
  <si>
    <t>10.1108/ECAM-10-2020-0880</t>
  </si>
  <si>
    <t>10.3390/buildings15040567</t>
  </si>
  <si>
    <t>10.1007/s11709-025-1213-4</t>
  </si>
  <si>
    <t>10.1007/s41062-022-00847-3</t>
  </si>
  <si>
    <t>10.3390/buildings15091428</t>
  </si>
  <si>
    <t>10.3390/buildings14072216</t>
  </si>
  <si>
    <t>10.1061/JITSE4.ISENG-2605</t>
  </si>
  <si>
    <t>10.1016/j.enbuild.2025.116938</t>
  </si>
  <si>
    <t>10.1002/eng2.70406</t>
  </si>
  <si>
    <t>10.3390/app14083521</t>
  </si>
  <si>
    <t>10.1061/JAEIED.AEENG-1979</t>
  </si>
  <si>
    <t>10.1177/03611981241231804</t>
  </si>
  <si>
    <t>10.1016/j.trgeo.2026.102063</t>
  </si>
  <si>
    <t>IoT + digital twin safety-monitoring system for super-large underground space (foundation pit) construction, applied to the shared support facilities of the "three major buildings" in the Beijing urban sub-center (largest commercial underground centre in China). BIM geometric/physical models + 4D construction simulation uploaded to a twin platform; seven sensor types (embedded concrete strain gauge YB-MR01, anchor cable axial force meter YB-MS300, automatic inclinometer LRK-CX06, static level LRK-J112, 2D laser displacement meter LRK-DL630, wireless water level gauge RYY-SW01, biaxial inclinometer LRK-RG911) stream via Zigbee/4G. Platform performs regression and difference analysis, real-time alarm against threshold values, and a FEM parametric study of orthogonal-arch section sizes concluding that increasing main-arch section height best limits vertical displacement. TIER NOTE: the paper states a mathematical fusion mechanism (Eqs. 4-6) in which control instruction C(t) is generated to "control the behavior of the physical system" with "automatic decision-making and self-scheduling", but the Case Verification demonstrates only sensor-&gt;platform monitoring, alarm display and an offline what-if parametric analysis feeding human control measures - no actuation is implemented, so Tier 2 not Tier 3. Flagged for second-coder review. No learning loop of any kind. [Full-text source: user-supplied PDF 2026-08-30]</t>
  </si>
  <si>
    <t>Addresses the lack of a centralized, unified foundation-pit monitoring system: an IoT-integrated digital twin architecture that consolidates multi-source heterogeneous construction risk data (project, geological and surrounding-environment risk, formalised as O/G/E index sets) into one platform synchronised with a BIM twin, validated on the largest commercial underground centre in China, and coupling real-time threshold alarms with a parametric analysis that quantifies how main-arch, secondary-arch and coupling-beam section sizes govern vertical displacement.</t>
  </si>
  <si>
    <t>The authors concede the parametric analysis examines only the displacement of the orthogonal arch as a single example, "which means this theoretical research has certain limitations"; no quantitative evaluation of the platform itself (no accuracy, latency or detection-performance metrics) is reported, the control/self-scheduling loop described in Eqs. (4)-(6) is never actuated, and the twin is demonstrated on one project only. Future work is framed generically as wider application of the IoT-DT fusion mechanism to other construction problems.</t>
  </si>
  <si>
    <t>Seven heterogeneous sensor streams (strain, anchor-cable force, deep horizontal displacement, settlement, groundwater level, inclination) are time-synchronised into one cloud platform and mapped onto the shared BIM twin geometry so all measurements share a common spatial-temporal frame; the safety analysis and alarms read the streams together, but inference remains per-indicator threshold/regression checking rather than a jointly trained multi-sensor model.</t>
  </si>
  <si>
    <t>Verified 2026-08-30 vs PDF (Buildings 2024, 14, 1551; MDPI; Yu, Liu, Wang, Shi, Song; DOI 10.3390/buildings14061551). PDF LOCATED 2026-08-30 - gateway N changed No -&gt; Yes and paper coded at Stage 2/3. Confirmed: BIM + 4D simulation twin of foundation pit; Table 1 lists seven sensor types with model numbers; Zigbee/4G transmission; platform shows alarm-value exceedance counts over 30 days; Section 4.3 parametric analysis of orthogonal arch concludes "the best measure to ensure the safety of the structure is to increase the section height of the main arch". TIER 2 rationale: Section 2.2 and the Eqs. (4)-(6) fusion mechanism claim generation of control instruction C(t) and "automatic decision-making and self-scheduling", which would read as Tier 3, BUT Section 4 demonstrates only monitoring, visualisation, threshold alarms and an offline FEM what-if study whose output is a human control measure; no actuator or automated write-back to the physical asset is implemented. Coded Tier 2 (demonstrated capability) and FLAGGED for second-coder review of the Tier 2 vs Tier 3 boundary. AA=None: only regression and difference analysis, no ML, no retraining, no adaptation. AE=3 (real project, but no quantitative system-performance evaluation and a single-parameter analysis).</t>
  </si>
  <si>
    <t>Duplicate of ID 3813 (WoS copy). PDF SUPPLIED 2026-08-30 (Hekmatnejad-2025-Toward intelligent tunnel con.pdf) but it is the SAME article as the Scopus record ID 3813 in row 119 - identical title, same DOI 10.1016/j.tust.2025.107017, Tunnelling and Underground Space Technology 166:107017 (2025). Row 119 is already fully coded and counted in the synthesis, so this WoS copy is deliberately kept at N=No to avoid double-counting the same study. DO NOT CODE.</t>
  </si>
  <si>
    <t>DEDUPLICATION 2026-08-30: PDF received but confirmed identical to ID 3813 (row 119) by title + DOI 10.1016/j.tust.2025.107017. Kept N=No so the study is counted once only. This is one of the 2 "flagged duplicates" in the PRISMA not-retrieved count of 5.</t>
  </si>
  <si>
    <t>Duplicate of ID 3536 (WoS copy). PDF SUPPLIED 2026-08-30 (Ponzo-2024-DInSAR-SBAS satellite monitoring of.pdf) but it is the SAME article as the Scopus record ID 3536 in row 266 - identical title, same DOI 10.1007/s13349-023-00751-z, Journal of Civil Structural Health Monitoring 14:745-761 (2024). Row 266 is already fully coded and counted in the synthesis, so this WoS copy is deliberately kept at N=No to avoid double-counting the same study. DO NOT CODE.</t>
  </si>
  <si>
    <t>DEDUPLICATION 2026-08-30: PDF received but confirmed identical to ID 3536 (row 266) by title + DOI 10.1007/s13349-023-00751-z. Kept N=No so the study is counted once only. This is one of the 2 "flagged duplicates" in the PRISMA not-retrieved count of 5.</t>
  </si>
  <si>
    <t>Shapes version. Shape text is generated from the live formulas in this feed block — ask to refresh the shapes after changing the Matrix. "Not retrieved" = 4 (2 PDF still pending + 2 confirmed duplicate records: ID 4018 = ID 3813, ID 4044 = ID 3536; PDFs received 2026-08-30 but deliberately not coded to avoid double-counting).</t>
  </si>
  <si>
    <t>CUSTOM SHAPE FEED — matches the hand-styled wording of the diagram shapes (live formulas)</t>
  </si>
  <si>
    <t>Shape name</t>
  </si>
  <si>
    <t>Text pushed into shape (live formula)</t>
  </si>
  <si>
    <t>PR_Screened</t>
  </si>
  <si>
    <t>PR_Sought</t>
  </si>
  <si>
    <t>PR_Assessed</t>
  </si>
  <si>
    <t>PR_Included</t>
  </si>
  <si>
    <t>PR_Excluded1</t>
  </si>
  <si>
    <t>PR_NotRetrieved</t>
  </si>
  <si>
    <t>PR_Excluded2</t>
  </si>
  <si>
    <t>PR_PanelTier</t>
  </si>
  <si>
    <t>PR_PanelSelf</t>
  </si>
  <si>
    <t>PR_PanelValid</t>
  </si>
  <si>
    <t>PR_PanelPhase</t>
  </si>
  <si>
    <t>PR_PanelModality</t>
  </si>
  <si>
    <t>PR_PanelFusion</t>
  </si>
  <si>
    <t>PR_FusionHeadline</t>
  </si>
  <si>
    <t>PR_Title</t>
  </si>
  <si>
    <t>ID (title key)</t>
  </si>
  <si>
    <t>Full title (from SLR markdown, 2026-08-30)</t>
  </si>
  <si>
    <t>An association rule mining model for the application of construction technologies during COVID-19</t>
  </si>
  <si>
    <t>Digital twin and AI-driven smart adaptive walls for energy, comfort and carbon optimization in intelligent green buildings</t>
  </si>
  <si>
    <t>Enhancing attack resilience of cyber-physical systems through state dependency graph models</t>
  </si>
  <si>
    <t>IoT-Driven Resilience Monitoring: Case Study of a Cyber-Physical System</t>
  </si>
  <si>
    <t>Virtual Fencing for Safety-Critical Cyber-Physical Systems: Computer-Vision Enabled Digital Twins</t>
  </si>
  <si>
    <t>Lessons Learned from the Real-World Deployment of Multisensor Fusion for Proactive Work Zone Safety Application</t>
  </si>
  <si>
    <t>TOWARDS NEXT GENERATION CYBER-PHYSICAL SYSTEMS AND DIGITAL TWINS FOR CONSTRUCTION</t>
  </si>
  <si>
    <t>A methodological approach to hybrid AI systems for real-time infrastructure monitoring in civil engineering</t>
  </si>
  <si>
    <t>Neural network-based metamodel for scaffolding behavior: Application for structural load analysis and safety enhancement</t>
  </si>
  <si>
    <t>Enhancing resilience through environmental data integration in early construction planning: a cloud-based framework</t>
  </si>
  <si>
    <t>Automation levels for nuclear reactor operations: A revised perspective</t>
  </si>
  <si>
    <t>BIM-GIS integrated hydrodynamic modeling for road flood risk assessment: A case study in Algeria's Chiffa Wadi</t>
  </si>
  <si>
    <t>Digital-Twin-Based Fire Safety Management Framework for Smart Buildings</t>
  </si>
  <si>
    <t>GUIDE2FR: A smart monitoring platform with a digital twin of a firefighter training tower for emergency scenarios</t>
  </si>
  <si>
    <t>Practical Application of Digital Twins for Transportation Asset Data Management: Case Example of a Safety Hardware Asset</t>
  </si>
  <si>
    <t>State regulation of the IoT in the Russian Federation: Fundamentals and challenges</t>
  </si>
  <si>
    <t>The Role of Artificial Intelligence in Shaping Intelligent Motorways: Opportunities, Challenges, and Real-World Implementations</t>
  </si>
  <si>
    <t>FingerCI: Writing industrial process specifications from network traffic</t>
  </si>
  <si>
    <t>Seeking a Definition of Digital Twins for Construction and Infrastructure Management</t>
  </si>
  <si>
    <t>Serverless 3D Reconstruction and Spatial Anchoring for Cloud-Native Infrastructure Inspection</t>
  </si>
  <si>
    <t>Integration of Railway Bridge Structural Health Monitoring into the Internet of Things with a Digital Twin: A Case Study</t>
  </si>
  <si>
    <t>Methodological framework for integrating structural health monitoring and digital-twin models for seismic assessment of heritage buildings: Case study of Basilica Maria Auxiliadora, Lima, Peru</t>
  </si>
  <si>
    <t>Driving Factors for the Adoption of Digital Twin Technology Implementation for Construction Project Performance in Nigeria</t>
  </si>
  <si>
    <t>Integrating Web-Based Weather Data into Building Information Modeling Models through Robot Process Automation</t>
  </si>
  <si>
    <t>Circular economy in construction: The digital transformation perspective</t>
  </si>
  <si>
    <t>Intelligent technologies for tunnel construction and maintenance: A state-of-the-art review of methods and supporting platforms</t>
  </si>
  <si>
    <t>Improving Organizational and Engineering Reliability during Dismantling of Buildings</t>
  </si>
  <si>
    <t>The Process of Digitalization of the Urban Environment for the Development of Sustainable and Circular Cities: A Case Study of Bologna, Italy</t>
  </si>
  <si>
    <t>Incorporation of pre-existing longitudinal cracks in finite element analyses of corroded reinforced concrete beams failing in anchorage</t>
  </si>
  <si>
    <t>The evolution of BIM work standards: current, best, and future practices from a BIM Manager's perspective</t>
  </si>
  <si>
    <t>Railway condition information modelling in a BIM framework for maintenance applications</t>
  </si>
  <si>
    <t>Digital Twin conceptual framework for improving critical infrastructure resilience</t>
  </si>
  <si>
    <t>From BIM to Web3: A critical interpretive synthesis of present and emerging data management approaches in construction informatics</t>
  </si>
  <si>
    <t>Affective computing in smart city spaces: Research on emotion recognition and response mechanisms under a digital twin framework</t>
  </si>
  <si>
    <t>TunnelSDF-FilterNet: A Domain-Aware Neural Framework for High-Fidelity 3D Reconstruction of Railway Tunnels</t>
  </si>
  <si>
    <t>Methodology for 3D Management of University Faculties Using Integrated GIS and BIM Models: A Case Study</t>
  </si>
  <si>
    <t>Integration of BIM Tools for the Facility Management of Railway Bridges</t>
  </si>
  <si>
    <t>Climate Change Impacts on Reinforced Concrete Structures: A Bibliometric Analysis</t>
  </si>
  <si>
    <t>AI based surrogate model for digital twins in structural health monitoring of reinforced concrete structures</t>
  </si>
  <si>
    <t>Integration of Emerging Technologies with Construction Practices in Australia</t>
  </si>
  <si>
    <t>Digital twinning of building construction processes. Case study: A reinforced concrete cast-in structure</t>
  </si>
  <si>
    <t>Autonomous dimensional inspection and issue tracking of rebar using semantically enriched 3D models</t>
  </si>
  <si>
    <t>A transformer-based surrogate modeling strategy for tunnel digital twin in full-field displacement prediction under adjacent tunnel construction</t>
  </si>
  <si>
    <t>Digital twin-based experimental method for construction loads of adjacent works</t>
  </si>
  <si>
    <t>Digital Twin-Based and Knowledge Graph-Enhanced Emergency Response in Urban Infrastructure Construction</t>
  </si>
  <si>
    <t>Digital Twin-Enabled Robust Parallel Control of Construction Engineering Equipment Under Uncertainty</t>
  </si>
  <si>
    <t>Monitoring Construction and System Development of Bridge Horizontal Rotation "Traction-rotation"</t>
  </si>
  <si>
    <t>Multi-Modal Excavator Activity Recognition Using Two-Stream CNN-LSTM with RGB and Point Cloud Inputs</t>
  </si>
  <si>
    <t>On-Site Safety Inspections Through Marker-Less Augmented Reality and Blockchain Notarization of BIM-Based Processes †</t>
  </si>
  <si>
    <t>On-Site Safety Inspections Through Marker-Less Augmented Reality and Blockchain Notarization of BIM-Based Processes</t>
  </si>
  <si>
    <t>Intelligent Transportation Systems Using Roadside Infrastructure: A Literature Survey</t>
  </si>
  <si>
    <t>The role of the foundation flexibility on the seismic response of a modern tall building: Vertically incident plane waves</t>
  </si>
  <si>
    <t>For how large soil shear wave velocity the soil-structure interaction effects on a tall building can be neglected? – A case study</t>
  </si>
  <si>
    <t>Online traffic load identification of high-speed railway bridge using time integration of strain monitoring data</t>
  </si>
  <si>
    <t>Digital Twin System of Bridges Group Based on Machine Vision Fusion Monitoring of Bridge Traffic Load</t>
  </si>
  <si>
    <t>Assessing the Suitability of Damage Indexes for Digital Twin Applications in RC Buildings Considering Masonry Infills</t>
  </si>
  <si>
    <t>The role of the marine research infrastructures in the European marine observation landscape: present and future perspectives</t>
  </si>
  <si>
    <t>Enhancing Operational Resilience of Critical Infrastructure Processes Through Chaos Engineering</t>
  </si>
  <si>
    <t>Interconnected digital twins of subway stations for decision support systems</t>
  </si>
  <si>
    <t>Structural Analysis of Construction Risk Management Assessment Model Based on Digital Twins</t>
  </si>
  <si>
    <t>Real-time bridge disaster management: Enabling technology and application framework</t>
  </si>
  <si>
    <t>Integrating LLMs and Digital Twins for Adaptive Multi-Robot Task Allocation in Construction</t>
  </si>
  <si>
    <t>Application Benefit Analysis of Digital Twin Technology in Tunnel Construction Based on DEMATEL and System Dynamics</t>
  </si>
  <si>
    <t>Smart building evacuation by tracking multi-camera network and explainable Re-identification model</t>
  </si>
  <si>
    <t>Digital twin system construction method for evaluating load carrying capacity of crane structures</t>
  </si>
  <si>
    <t>Stakeholder-informed renovation digital twin for multi-domain monitoring: Pilot implementation and acceptance evaluation</t>
  </si>
  <si>
    <t>Digital twin-driven on-line monitoring method of metal selective laser melting building process</t>
  </si>
  <si>
    <t>Digital Twins for Construction Assets Using BIM Standard Specifications</t>
  </si>
  <si>
    <t>Predictive digital monitoring of construction resources: an integrated digital twin solution</t>
  </si>
  <si>
    <t>Exploring Data for Construction Digital Twins: Building Health and Safety and Progress Monitoring Twins Using the Unreal Gaming Engine</t>
  </si>
  <si>
    <t>Seismic Failure Mechanism Shift in RC Buildings Revealed by NDT-Supported, Field-Calibrated BIM-Based Models</t>
  </si>
  <si>
    <t>Intervention and management of construction workers' unsafe behavior: A simulation digital twin model</t>
  </si>
  <si>
    <t>A scientometric analysis of drone-based structural health monitoring and new technologies</t>
  </si>
  <si>
    <t>Development of a BIM and IoT-Based Smart Lighting Maintenance System Prototype for Universities' FM Sector</t>
  </si>
  <si>
    <t>Maschinelles Lernen beim Entwurf und der Bemessung von Stahlrahmenhallen</t>
  </si>
  <si>
    <t>Preliminary architecture design for human-in-the-loop control of robotic equipment in remote handling tasks: Case study on the NEFERTARI project</t>
  </si>
  <si>
    <t>Digital twins in bridge engineering for streamlined maintenance and enhanced sustainability</t>
  </si>
  <si>
    <t>Resilient ventilation network construction in complex underground mining environments: A holistic strategy from resilience perception to resilience enhancement</t>
  </si>
  <si>
    <t>Digital twin-based vibration displacement sensing and recognition technology for large engineering structures</t>
  </si>
  <si>
    <t>Bridge Digital Twin for Practical Bridge Operation and Maintenance by Integrating GIS and BIM</t>
  </si>
  <si>
    <t>Digital twin for smart coal mining workface: Technological frame and construction</t>
  </si>
  <si>
    <t>Construction of Autonomous Collaborative Resource Control System for Electric Vehicles Based on Intelligent Sensing Internet of Vehicles</t>
  </si>
  <si>
    <t>Integrating multi-source data for life-cycle risk assessment of bridge networks: a system digital twin framework</t>
  </si>
  <si>
    <t>Construction of damage-free digital twin of damaged aero-engine blades for repair volume generation in remanufacturing</t>
  </si>
  <si>
    <t>The Conventional Construction Scenario and the Emergence of Advance Technologies in the Bridge Construction: Implementation, Impediments, and Case Study</t>
  </si>
  <si>
    <t>Digital twin driven airflow intelligent control system for the air outlet of heading face</t>
  </si>
  <si>
    <t>Mixed Reality for Safe and Reliable Human-Robot Collaboration in Timber Frame Construction</t>
  </si>
  <si>
    <t>Protecting critical infrastructure against cascading effects: The PRECINCT approach</t>
  </si>
  <si>
    <t>Data-Driven Condition Assessment and Life Cycle Analysis Methods for Dynamically and Fatigue-Loaded Railway Infrastructure Components</t>
  </si>
  <si>
    <t>Dynamic train-bridge compatibility: the reference method as a new form of verification</t>
  </si>
  <si>
    <t>A Metaverse-Based Teaching Building Evacuation Training System With Deep Reinforcement Learning</t>
  </si>
  <si>
    <t>The Challenge of Machine Learning and Artificial Intelligence in the Construction Sector: The Lesson Learned from the Rome Technopole Project</t>
  </si>
  <si>
    <t>AN INTELLIGENT CONSTRUCTION SYSTEM BASED ON DIGITAL TWIN AND FOUNDATION MODEL OPTIMIZATION</t>
  </si>
  <si>
    <t>Study on the Construction and Application of Digital Twins on High Voltage Transmission Line Live Working Scenes</t>
  </si>
  <si>
    <t>A methodology for sky-space-ground integrated remote sensing monitoring: A digital twin framework for multi-source Data-BIM integration in residential quality monitoring</t>
  </si>
  <si>
    <t>Digital twin-enabled cooperative autonomous truck platooning framework for modeling, cost estimation, and decision-making in transportation systems</t>
  </si>
  <si>
    <t>Exploring the Impact of Construction 4.0 on Industrial Relations: A Comprehensive Thematic Synthesis of Workforce Transformation in the Digital Era of Construction</t>
  </si>
  <si>
    <t>Participatory Sensing and Digital Twin City: Updating Virtual City Models for Enhanced Risk-Informed Decision-Making</t>
  </si>
  <si>
    <t>Construction Path of Shanghai Oriental Hub Municipal Pipeline Full Cycle Digital Twin Platform</t>
  </si>
  <si>
    <t>Digital twin-driven pose estimation and trajectory prediction for modular integrated construction on-site stacking via spatio-temporal feature fusion modeling</t>
  </si>
  <si>
    <t>A Method for Building a Mixed-Reality Digital Twin of a Roadheader Monitoring System</t>
  </si>
  <si>
    <t>A TOOL-BASED SYSTEM ARCHITECTURE FOR A DIGITAL TWIN: A CASE STUDY IN A HEALTHCARE FACILITY</t>
  </si>
  <si>
    <t>Augmented reality and digital twin system for interaction with construction machinery</t>
  </si>
  <si>
    <t>ANCHOR-Grid: Authenticating Smart Grid Digital Twins Using Real-World Anchors</t>
  </si>
  <si>
    <t>Navigating the Future: Developing Smart Fairways for Enhanced Maritime Safety and Efficiency</t>
  </si>
  <si>
    <t>Toward intelligent tunnel construction: The universal discontinuity index for rapid probabilistic prediction of progressive batch rock-block failure—A theoretical, numerical, and experimental validation framework</t>
  </si>
  <si>
    <t>Toward intelligent tunnel construction: The universal discontinuity index for rapid probabilistic prediction of progressive batch rock-block failure-A theoretical, numerical, and experimental validation framework</t>
  </si>
  <si>
    <t>Exploring the Construction of a Composite Risk Prevention and Control System Framework for Underground Space Digitalization</t>
  </si>
  <si>
    <t>An Integrated Intelligent Approach for Monitoring and Management of a Deep Foundation Pit in a Subway Station</t>
  </si>
  <si>
    <t>Digital construction site layout planning and real-time trajectory analysis for proactive safety monitoring and control of struck-by hazards</t>
  </si>
  <si>
    <t>Advancing Smart Construction Management: A Comprehensive Analysis of Digital Twin Applications and Challenges</t>
  </si>
  <si>
    <t>Construction of Digital Twin System for Cold Chain Logistics Stereo Warehouse</t>
  </si>
  <si>
    <t>Multi-dimensional framework for assessing digital twin maturity in construction machinery</t>
  </si>
  <si>
    <t>Construction of a digital twin system for the blended-wing-body underwater glider</t>
  </si>
  <si>
    <t>Design verification and in-service performance evaluation model for high-rise structural engineering based on digital twin technology</t>
  </si>
  <si>
    <t>An intelligent BIM-enabled digital twin framework for real-time structural health monitoring using wireless IoT sensing, digital signal processing, and structural analysis</t>
  </si>
  <si>
    <t>Research on an intelligent monitoring system for the entire tunnel construction process based on IoT and digital twin</t>
  </si>
  <si>
    <t>Parametric modeling and safety simulation of pit excavation affecting adjacent tunnels based on BIM-FEM framework</t>
  </si>
  <si>
    <t>Research and design of intelligent mine ventilation construction architecture</t>
  </si>
  <si>
    <t>Smart Monitoring System of Bridge Erecting Machine Operation Status Integrating DT and VR</t>
  </si>
  <si>
    <t>A REVIEW OF DRIVERS AND BARRIERS OF DIGITAL TWIN ADOPTION IN BUILDING PROJECT DEVELOPMENT PROCESSES</t>
  </si>
  <si>
    <t>Investigating the Applicability of Industry 4.0 Technologies in Road Construction Projects: A Quantitative Research Design From Construction 4.0 Perspectives</t>
  </si>
  <si>
    <t>Building digital-twin virtual machining for milling chatter detection based on VMD, synchro-squeeze wavelet, and pre-trained network CNNs with vibration signals</t>
  </si>
  <si>
    <t>Dynamic Cost Control of Construction Engineering Projects Using Multi-Source Data Fusion</t>
  </si>
  <si>
    <t>Underpass clearance checking in highway widening projects using digital twins</t>
  </si>
  <si>
    <t>Monitoring System for the Construction of Arch Cover Method Subway Station Based on DT and IoT</t>
  </si>
  <si>
    <t>Building facility virtual inspection system design and implementation based on software robotics technology</t>
  </si>
  <si>
    <t>Application of the multimodal model for predicting rock mechanical parameters via MWD feature splicing and fusion</t>
  </si>
  <si>
    <t>Intelligent control of building fire protection system using digital twins and semantic web technologies</t>
  </si>
  <si>
    <t>Digital twin driven intelligent assessment method for structural safety</t>
  </si>
  <si>
    <t>Digital twin: Stability analysis for tower crane hoisting safety with a scale model</t>
  </si>
  <si>
    <t>Early-warning of unsafe hoisting operations: An integration of digital twin and knowledge graph</t>
  </si>
  <si>
    <t>Enhancing Autonomous Vehicle Localization Through Cooperative LiDAR and Smart Infrastructure Integration</t>
  </si>
  <si>
    <t>Intelligent Transition of Automotive Industry Driven by Autonomous Driving Simulation Testing Technology</t>
  </si>
  <si>
    <t>Automated quantification of construction workers’ exposure to falling object hazards</t>
  </si>
  <si>
    <t>Knowledge graph exploitation to enhance the usability of risk assessment in construction safety planning</t>
  </si>
  <si>
    <t>The influence of information from digital buildings on fire service operations</t>
  </si>
  <si>
    <t>Mathematical Framework for Airport as Cognitive Digital Twin of Aviation Ecosystem</t>
  </si>
  <si>
    <t>Constructing a Reliable Health Indicator for Bearings Using Convolutional Autoencoder and Continuous Wavelet Transform</t>
  </si>
  <si>
    <t>The overlooked frontier of AI in construction: conversational, document-native automation for administrative workflows</t>
  </si>
  <si>
    <t>Station biophilia–assessing the perception of greenery on railway platforms using a digital twin</t>
  </si>
  <si>
    <t>AI-based risk assessment for construction site disaster preparedness through deep learning-based digital twinning</t>
  </si>
  <si>
    <t>Analyzing Safety Risk Imposed by Jobsite Debris to Nearby Built Environments Using Geometric Digital Twins and Vision-Based Deep Learning</t>
  </si>
  <si>
    <t>Digital Twin-Enabled Incident Detection and Response: A Systematic Review of Critical Infrastructures Applications</t>
  </si>
  <si>
    <t>Intelligent digital methods for extending the service life of the Nibelungen Bridge</t>
  </si>
  <si>
    <t>Effective Underground Facilities Management in Virtual Reality by Applying a Cybersickness Reduction Technique Based on a Four-Degree-of-Freedom Motion Simulator</t>
  </si>
  <si>
    <t>Generation and Verification of CFD-based ROM for Real-Time Thermal Flow Analysis in the Reactor Containment Building of Nuclear Power Plants</t>
  </si>
  <si>
    <t>Reinforcement learning for control and optimization of real buildings: Identifying and addressing implementation hurdles</t>
  </si>
  <si>
    <t>A Digital Twin Framework Utilizing Machine Learning for Robust Predictive Maintenance: Enhancing Tire Health Monitoring</t>
  </si>
  <si>
    <t>ADVANCING CIVIL INFRASTRUCTURE WITH DIGITAL TWINS: A REVIEW OF APPLICATIONS AND CHALLENGES</t>
  </si>
  <si>
    <t>Digital Twin for Safety and Security: Perspectives on Building Lifecycle</t>
  </si>
  <si>
    <t>Automation of shape quality control for precast concrete members using 3D scanning and BIM: Afield-driven smart construction framework</t>
  </si>
  <si>
    <t>Constructing a digital twin for estimating the response and load of a piping system subjected to seismic and arbitrary loads</t>
  </si>
  <si>
    <t>Active gravity-aligned reference Axis for high-precision verticality assessment in construction</t>
  </si>
  <si>
    <t>Spatio-temporal heat risk analysis in construction: Digital twin-enabled monitoring</t>
  </si>
  <si>
    <t>Advanced fire emergency management based on potential fire risk assessment with informative digital twins</t>
  </si>
  <si>
    <t>Digital twin for natural gas infrastructure operation and management via streaming dynamic mode decomposition with control</t>
  </si>
  <si>
    <t>Digital twin of a building as the basis for the application of nanotechnologies in construction</t>
  </si>
  <si>
    <t>Detection of Defects in Polyethylene and Polyamide Flat Panels Using Airborne Ultrasound-Traditional and Machine Learning Approach</t>
  </si>
  <si>
    <t>A PLS-SEM based framework for enabling digital twin systems for real-time monitoring and control in construction projects</t>
  </si>
  <si>
    <t>A Study on the Prioritization and Combination Strategies of Smart Safety Technologies by Construction Phase in Modular Apartment Off-Site Construction</t>
  </si>
  <si>
    <t>Automatic Object Detection in Radargrams of Multi-Antenna GPR Systems Based on Simulation Data for Railway Infrastructure Analysis</t>
  </si>
  <si>
    <t>Building a Lightweight Digital Twin of a Crane Boom for Structural Safety Monitoring Based on a Multifidelity Surrogate Model</t>
  </si>
  <si>
    <t>Post-Earthquake Building Evaluation Using UAVs: A BIM-Based Digital Twin Framework</t>
  </si>
  <si>
    <t>Intelligent Monitoring Platform and Application for Building Energy Using Information Based on Digital Twin</t>
  </si>
  <si>
    <t>Applications of artificial intelligence in the AEC industry: a review and future outlook</t>
  </si>
  <si>
    <t>Automated generation and semantic segmentation of roof orthophoto for digital twin -based monitoring of slated roofs</t>
  </si>
  <si>
    <t>Rapid integration strategy for oblique photogrammetry terrain and highway BIM models in large-scale scenarios</t>
  </si>
  <si>
    <t>3D laser point cloud-based geometric digital twin for condition assessment of large diameter pipelines</t>
  </si>
  <si>
    <t>Research on the Construction of a Digital Twin Model for a 3D Measurement System of Gears</t>
  </si>
  <si>
    <t>Digital twin-driven virtual sensor approach for safe construction operations of trailing suction hopper dredger</t>
  </si>
  <si>
    <t>A Multi-Sensor Fusion Approach Combined with RandLA-Net for Large-Scale Point Cloud Segmentation in Power Grid Scenario</t>
  </si>
  <si>
    <t>Construction and application of CMF design service model for industrial products driven by digital twins</t>
  </si>
  <si>
    <t>Key Technologies for Health Management and Intelligent Operation and Maintenance of Power Equipment in New Power Systems</t>
  </si>
  <si>
    <t>A lightweight and attention-enhanced framework for robust pavement defect detection</t>
  </si>
  <si>
    <t>Teaching robots to perform quasi-repetitive construction tasks through human demonstration</t>
  </si>
  <si>
    <t>Framework for Operational Resilience Management of Critical Infrastructures and Organizations</t>
  </si>
  <si>
    <t>Review on the Non-Destructive Test (NDT) Approaches on Concrete Crack Mapping Prediction</t>
  </si>
  <si>
    <t>A deep feature fusion network based on multi-scale kernel construction for filling wing stress field data</t>
  </si>
  <si>
    <t>Creation and application of a geometric digital twin model for construction of spatial cable structures: A case study</t>
  </si>
  <si>
    <t>Digital twin-enabled safety monitoring system for seamless worker-robot collaboration in construction</t>
  </si>
  <si>
    <t>Developing WSN/BIM-Based Environmental Monitoring Management System for Parking Garages in Smart Cities</t>
  </si>
  <si>
    <t>Human-Robot collaboration in construction: Robot design, perception and Interaction, and task allocation and execution</t>
  </si>
  <si>
    <t>Multi-scale evolution mechanism and knowledge construction of a digital twin mimic model</t>
  </si>
  <si>
    <t>Supply chain management for modular construction using building information modeling</t>
  </si>
  <si>
    <t>Portal-Frame Piers to Spare Space for Two Piers of Jingkou Double-Track Railway Bridge of Chengdu-Chongqing Middle Line High-Speed Railway</t>
  </si>
  <si>
    <t>A digital twin-based framework for simulation and monitoring analysis of floating wind turbine structures</t>
  </si>
  <si>
    <t>Immersive Technologies-Driven Building Information Modeling (BIM) in the Context of Metaverse</t>
  </si>
  <si>
    <t>Digital Twin‐Based Risk Control during Prefabricated Building Hoisting Operations</t>
  </si>
  <si>
    <t>Digital twin-based safety risk coupling of prefabricated building hoisting</t>
  </si>
  <si>
    <t>Intelligent tensioning method for prestressed cables based on digital twins and artificial intelligence</t>
  </si>
  <si>
    <t>Digital twin modeling method for construction process of assembled building</t>
  </si>
  <si>
    <t>Digital Twins-Based Impact Response Prediction of Prestressed Steel Structure</t>
  </si>
  <si>
    <t>A framework for an indoor safety management system based on digital twin</t>
  </si>
  <si>
    <t>Guidance Method for Earthquake-damaged Building Reinforcement Integrating Digital Twin and Mixed Reality</t>
  </si>
  <si>
    <t>Structural safety risk prediction method for terminal building steel roof construction considering spatial and temporal variations</t>
  </si>
  <si>
    <t>Intelligent safety control modeling and construction process control of steel mesh frame structures</t>
  </si>
  <si>
    <t>Research progress and trends of intelligent technology construction in large infrastructures: a CiteSpace-based visualization and analysis</t>
  </si>
  <si>
    <t>Intelligent Analysis Method for Prestressed Steel Structure Construction Safety Based on Digital Twin</t>
  </si>
  <si>
    <t>Electrical Safety Enhanced With BIM, SCADA and Digital Twin Integration: A Case Study of a MV-LV Substation</t>
  </si>
  <si>
    <t>Developing an integrative framework for digital twin applications in the building construction industry: A systematic literature review</t>
  </si>
  <si>
    <t>Automatic Calibration of Structural Damage in Building Information Modeling Models with Robotic Process Automation</t>
  </si>
  <si>
    <t>Structural Health Assessment of a Reinforced Concrete Building in Valparaiso Under Seismic and Environmental Shaking: A Foundation for IoT-Driven Digital Twin Systems</t>
  </si>
  <si>
    <t>An open-source GIS app for digitalising bridge inspections and automating BIM model integration</t>
  </si>
  <si>
    <t>Applications and challenges of digital twin in intelligent construction of transportation infrastructure</t>
  </si>
  <si>
    <t>Automating digitalization of engineered slopes to support interactive digital twin visualization</t>
  </si>
  <si>
    <t>Digital Transformation in Early-Stage MEP Coordination: A Serious Gaming Framework for Sustainable Design and Maintainability at LOD 100–150</t>
  </si>
  <si>
    <t>Digital Transformation in Early-Stage MEP Coordination: A Serious Gaming Framework for Sustainable Design and Maintainability at LOD 100-150</t>
  </si>
  <si>
    <t>Tunnel performance prediction through degradation inspection and digital twin construction</t>
  </si>
  <si>
    <t>Automated procedural modeling for tunnel inspection and digital twin development</t>
  </si>
  <si>
    <t>Assessing the impact of Modbus/TCP protocol attacks on critical infrastructure: WWTP case study</t>
  </si>
  <si>
    <t>The Internet of Things for Smart Roads: A Road Map From Present to Future Road Infrastructure</t>
  </si>
  <si>
    <t>A Systematic Survey of Digital Twin Applications: Transferring Knowledge From Automotive and Aviation to Maritime Industry</t>
  </si>
  <si>
    <t>BIM-Driven Safety: Automated Rule-Based Multihazard Detection and Legal Compliance in High-Rise Construction</t>
  </si>
  <si>
    <t>Roads Infrastructure Digital Twin: Advancing Situational Awareness Through Bandwidth-Aware 360° Video Streaming and Multi-View Clustering</t>
  </si>
  <si>
    <t>Integrating Advanced Technologies for Environmental Valuation in Legacy Mining Sites: The Role of Digital Twins at Lavrion Technological and Cultural Park</t>
  </si>
  <si>
    <t>A Hybrid Methodology to Assess Cyber Resilience of IoT in Energy Management and Connected Sites</t>
  </si>
  <si>
    <t>Reliability Analysis of Micropile-Supported Deep Excavations Using Multivariate Adaptive Regression Splines</t>
  </si>
  <si>
    <t>Toward cognitive digital twins using a BIM-GIS asset management system for a diffused university</t>
  </si>
  <si>
    <t>Organising digital twin in the built environment: a systematic review and research directions on the missing links of use and user perspectives of digital twin in Architecture, Engineering and Construction (AEC) sector</t>
  </si>
  <si>
    <t>Digital Twin Modelling Approach and Optimization Analysis for Safety in Large Tunnel Construction Processes</t>
  </si>
  <si>
    <t>SMAC-based cooperative hyperparameter optimization for occupational risk assessment in decentralized federated on-device AI networks</t>
  </si>
  <si>
    <t>Safety monitoring digital twin-based centralized model consolidation mechanism using dynamic node selection for multi-worker safety prediction</t>
  </si>
  <si>
    <t>Environmental impacts of standard building renovations: City-level extrapolation from a real case study in Spain</t>
  </si>
  <si>
    <t>Image-based acquisition and digital documentation of geometry and condition of railway bridges</t>
  </si>
  <si>
    <t>A Comprehensive Framework for Integrating Extended Reality into Lifecycle-Based Construction Safety Management</t>
  </si>
  <si>
    <t>When BIM Meets MBSE: Building a Semantic Bridge for Infrastructure Data Integration</t>
  </si>
  <si>
    <t>Data-Driven Piecewise Bivariate Regression for Best-Estimate Natural Periods of Buildings</t>
  </si>
  <si>
    <t>Digital twin non-fungible token (DT-NFT): Enabling data ownership in the AEC industry</t>
  </si>
  <si>
    <t>Machine learning enhancement of manoeuvring prediction for ship Digital Twin using full-scale recordings</t>
  </si>
  <si>
    <t>Construction defects, envelope degradation and lifecycle carbon implications for building energy performance: evidence from Lagos, Nigeria</t>
  </si>
  <si>
    <t>Optimising the construction process through digitalisation: Case studies of projects under unstable resource supply</t>
  </si>
  <si>
    <t>Risk Assessment of Underground Utility Tunnel Projects in Q City Using the Analytic Hierarchy Process</t>
  </si>
  <si>
    <t>Digital twin platform for evaluating thermal bridging effects on aggregate thermal performance of prefabricated wall panel systems</t>
  </si>
  <si>
    <t>A REVIEW OF THE APPLICATION OF ONTOLOGIES AND SEMANTIC WEB FOR BUILDING INFORMATION MODELLING AND DIGITAL TWINS BASED CONSTRUCTION MANAGEMENT</t>
  </si>
  <si>
    <t>An Anomaly-Enhanced Digital Twin (AEDT) Model for Intelligent Inspection and Management of Civil Infrastructure</t>
  </si>
  <si>
    <t>Enriching geometric digital twins of buildings with small objects by fusing laser scanning and AI-based image recognition</t>
  </si>
  <si>
    <t>Unlocking the Potential of Digital Twins in Construction: A Systematic and Quantitative Review Using Text Mining</t>
  </si>
  <si>
    <t>Design and Implementation of a Smart IoT Based Building and Town Disaster Management System in Smart City Infrastructure</t>
  </si>
  <si>
    <t>Current Benefits of ASCE 75 and its Potential to Affect Digital As-Built Initiatives at State Departments of Transportation</t>
  </si>
  <si>
    <t>Digital Twin development and implementation for the management of irrigation networks</t>
  </si>
  <si>
    <t>ESTIMATING THE SERVICE LIFE OF CONCRETE REINFORCED WITH ADVANCED MATERIALS: INTEGRATION OF IOT SENSORS AND DIGITAL TWINS</t>
  </si>
  <si>
    <t>BIM and TLS Point Cloud Integration for Information Management of Underground Coal Mines: A Case Study in Nui Beo Underground Coal Mining in Vietnam</t>
  </si>
  <si>
    <t>Designing a BIM-enhanced digital twin architecture for construction pollution management in building renovation projects</t>
  </si>
  <si>
    <t>Optimizing construction site layouts with dynamic multi-objective methods and time-based facility placement</t>
  </si>
  <si>
    <t>DInSAR–SBAS satellite monitoring of infrastructures: how temperature affects the “Ponte della Musica” case study</t>
  </si>
  <si>
    <t>DInSAR-SBAS satellite monitoring of infrastructures: how temperature affects the "Ponte della Musica" case study</t>
  </si>
  <si>
    <t>Designing Digital Twin with IoT and AI in Warehouse to Support Optimization and Safety in Engineer-to-Order Manufacturing Process for Prefabricated Building Products</t>
  </si>
  <si>
    <t>CONSTRUCTION OF A DIGITAL TWIN MODEL FOR A SYSTEM THAT MONITORS THE TECHNICAL CONDITION OF A NUCLEAR POWER PLANT POWER UNIT</t>
  </si>
  <si>
    <t>Digital Twin Framework for Structural Health Monitoring of Transmission Towers: Integrating BIM, IoT and FEM for Wind–Flood Multi-Hazard Simulation</t>
  </si>
  <si>
    <t>Digital Twin Framework for Structural Health Monitoring of Transmission Towers: Integrating BIM, IoT and FEM for Wind-Flood Multi-Hazard Simulation</t>
  </si>
  <si>
    <t>LiDAR-Simulated Multimodal and Self-Supervised Contrastive Digital Twin Approach for Probabilistic Point Cloud Generation of Rail Fasteners</t>
  </si>
  <si>
    <t>Study and Design of Dike Engineering Safety Management System Based on GIS+BIM+IoT Digital Twin</t>
  </si>
  <si>
    <t>An IFC-based framework for semantic integration of BIM and mobile crowd sensing in real-time evacuation routing</t>
  </si>
  <si>
    <t>Digital Twin Enabled Automated Pin Defect Detection System for Aviation Electrical Connectors Using Structure-Aware Point Cloud</t>
  </si>
  <si>
    <t>AI for empowering the construction and development of university laboratories in the new era</t>
  </si>
  <si>
    <t>Designing automated digital safety systems for building health monitoring on construction sites</t>
  </si>
  <si>
    <t>Physics-informed computational framework for assessing the seismic behavior of the Prince Moulay Abdellah Dam</t>
  </si>
  <si>
    <t>Internet of Things in construction: trends and adoption insights from a scientometric perspective</t>
  </si>
  <si>
    <t>Well Construction Action Planning and Automation through Finite-Horizon Sequential Decision-Making</t>
  </si>
  <si>
    <t>Digital Twins for Real-Time Scenario Analysis during Well Construction Operations</t>
  </si>
  <si>
    <t>Intelligent Action Planning for Well Construction Operations Demonstrated for Hole Cleaning Optimization and Automation</t>
  </si>
  <si>
    <t>Digital Twins for Construction Projects—Developing a Risk Systematization Approach to Facilitate Anomaly Detection in Smart Buildings</t>
  </si>
  <si>
    <t>Exploring the Adoption of Construction Technologies in Infrastructure Projects: Bridging Perceptions of Experts with Real Project Data</t>
  </si>
  <si>
    <t>Investigating the Correlation and Synergy of Artificial Intelligence Techniques, Construction Technologies, and Their Key Benefits</t>
  </si>
  <si>
    <t>Stack-AttenLSTM: A surrogate deep learning model for sequential earthquake-flood structural response assessment of steel buildings</t>
  </si>
  <si>
    <t>Defect-oriented supportive bridge inspection system featuring building information modeling and augmented reality</t>
  </si>
  <si>
    <t>ITA − AITES tunnelling information modelling − A BIM approach for a sustainable life cycle management</t>
  </si>
  <si>
    <t>ITA - AITES tunnelling information modelling - A BIM approach for a sustainable life cycle management</t>
  </si>
  <si>
    <t>Structural Information Modeling - the digital transformation of building diagnostics</t>
  </si>
  <si>
    <t>A BIM-Based Digital Twin Framework for Urban Roads: Integrating MMS and Municipal Geospatial Data for AI-Ready Urban Infrastructure Management</t>
  </si>
  <si>
    <t>Mapping the Evolution of 4D BIM in Construction Digitalisation: A Scientometric Analysis and Review</t>
  </si>
  <si>
    <t>Analyzing Research Trends in Smart Construction Safety: A Topic Modeling Approach</t>
  </si>
  <si>
    <t>Metrics development and modelling the mixed reality and digital twin adoption in the context of Industry 4.0</t>
  </si>
  <si>
    <t>BIM and Digital Twin for Developing Convergence Technologies as Future of Digital Construction</t>
  </si>
  <si>
    <t>Intelligent overall planning model of underground space based on digital twin</t>
  </si>
  <si>
    <t>Digital Twin-Driven Stability Optimization Framework for Large Underground Caverns</t>
  </si>
  <si>
    <t>When Roads Go Underwater: AI-Enhanced Digital Twin-Driven Flood Resilience for Roadway Serviceability Assessment</t>
  </si>
  <si>
    <t>Reverse digital twin mapping of building envelope anomalies based on UAV infrared point clouds</t>
  </si>
  <si>
    <t>Developing a Comprehensive Diagnostics Technology for the Technical Condition of Industrial Buildings Using a Software and Hardware Package with Unmanned Aerial Vehicles</t>
  </si>
  <si>
    <t>The Research on the Construction Method of a Slope Digital Twin Model Driven by Surrogate Models</t>
  </si>
  <si>
    <t>Twinning simulation and model test for construction error assessment of cable truss structures</t>
  </si>
  <si>
    <t>Leveraging emerging technologies to address the crisis of aging concrete infrastructure</t>
  </si>
  <si>
    <t>A New Benchmark Model for the Automated Detection and Classification of a Wide Range of Heavy Construction Equipment</t>
  </si>
  <si>
    <t>AI-assisted fibre optic sensing frameworks for automated monitoring of railway infrastructure</t>
  </si>
  <si>
    <t>Building a Cad-Native Digital Twin for Ndt and Plm: Workflow, Tools, and Case Study</t>
  </si>
  <si>
    <t>Simultaneous Digital Twin: Chaining Climbing-Robot, Defect Segmentation, and Model Updating for Building Facade Inspection</t>
  </si>
  <si>
    <t>Digital twin-assisted fault diagnosis system for robot joints with insufficient data</t>
  </si>
  <si>
    <t>Agentic system for construction safety risk assessments using large language models and knowledge graphs</t>
  </si>
  <si>
    <t>Automatic creation of personalised virtual construction safety training in digital twins</t>
  </si>
  <si>
    <t>Track Geometry Prediction Using Three-Dimensional Recurrent Neural Network-Based Models Cross-Functionally Co-Simulated with BIM</t>
  </si>
  <si>
    <t>Enhancing Urban Heatwave Response Planning via a Graph-Based Digital Twin Approach: Spatial Dependency Risk Analysis in Vienna City</t>
  </si>
  <si>
    <t>Selected implications of a hyper-connected world on pavement engineering</t>
  </si>
  <si>
    <t>Development of a digital twin-driven bridge construction safety monitoring system</t>
  </si>
  <si>
    <t>Near Real-Time 3D Reconstruction of Construction Sites Based on Surveillance Cameras</t>
  </si>
  <si>
    <t>Research on the construction of civil airport safety management system based on digital twin technology</t>
  </si>
  <si>
    <t>Digital twin of advanced geological conditions in rock tunnel construction</t>
  </si>
  <si>
    <t>An Enhanced Digital Twin-Driven Fault Diagnosis Approach Based on Deep Multimodal Information Fusion for Marine Machinery</t>
  </si>
  <si>
    <t>Intelligent Risk Prognosis and Control of Foundation Pit Excavation Based on Digital Twin</t>
  </si>
  <si>
    <t>Data and Knowledge-Driven Bridge Digital Twin Modeling for Smart Operation and Maintenance</t>
  </si>
  <si>
    <t>Human-in-the-Loop Digital Twin Modeling for Smart Civil Infrastructure Operation and Maintenance</t>
  </si>
  <si>
    <t>Data-driven progress prediction in construction: a multi-project portfolio management approach</t>
  </si>
  <si>
    <t>Sensor Acquisition and Allocation for Real-Time Monitoring of Articulated Construction Equipment in Digital Twins</t>
  </si>
  <si>
    <t>Artificial Intelligence-Powered Digital Twins for Sustainable and Resilient Engineering Structures</t>
  </si>
  <si>
    <t>Review of Construction Automation and Robotics Practices in Indonesian Construction State-Owned Enterprises: Position in Project Life Cycle, Gap to Best Practice and Potential Uses</t>
  </si>
  <si>
    <t>Relationship between Subcontracting Models and Adoption of Innovative Methods in Construction Safety</t>
  </si>
  <si>
    <t>Defect Trigger Identification in a Construction Digital Twin Using Quality Linked Data and Iterative Deviation Computation</t>
  </si>
  <si>
    <t>Big data in the processes of ensuring the security of critical information infrastructure facilities</t>
  </si>
  <si>
    <t>Overall introduction to the framework of BIM-based digital twinning in decision-making in safety management in building construction industry</t>
  </si>
  <si>
    <t>Building Digital Twins to Overcome Digitalization Barriers for Automating Construction Site Management</t>
  </si>
  <si>
    <t>Physical digital twins for ancient stone masonry informed of original construction techniques: the case of Sardinian nuraghi</t>
  </si>
  <si>
    <t>Spatial Insights for Building Resilience: The Territorial Risk Management &amp; Analysis Across Scale Framework for Bridging Scales in Multi-Hazard Assessment</t>
  </si>
  <si>
    <t>A scoping review of green Internet of Things in construction and smart cities: current applications, adoption strategies and future directions</t>
  </si>
  <si>
    <t>A framework to define, design and construct digital twins in the mining industry</t>
  </si>
  <si>
    <t>Autonomy is not enough: why agentic AI in the built environment demands governance</t>
  </si>
  <si>
    <t>Yara: An Ocean Virtual Environment for Research and Development of Autonomous Sailing Robots and Other Unmanned Surface Vessels</t>
  </si>
  <si>
    <t>A Digital Twin-Driven System for Road Maintenance: Integrating UAVs and AMRs for Automated Inspection and Measurement</t>
  </si>
  <si>
    <t>Disaster Risk Assessment and Analysis of Physical Infrastructure: A Comprehensive Review of Scientific Methods and Techniques</t>
  </si>
  <si>
    <t>Key technology and engineering practice of intelligent rapid heading in coal mine</t>
  </si>
  <si>
    <t>Development and validation of graphics-based digital twin framework for UAV-aided post-earthquake inspection of high-rise buildings</t>
  </si>
  <si>
    <t>Mixed reality and machine learning-guided cable robot framework (MMCR) for real-time prefabricated construction automation</t>
  </si>
  <si>
    <t>Reference-free ego-motion compensation for vision-based measurement of structural deformations of miter gates</t>
  </si>
  <si>
    <t>Interactive and Immersive Process-Level Digital Twin for Collaborative Human-Robot Construction Work</t>
  </si>
  <si>
    <t>A digital twin integrated smart-liner for visualization monitoring of oil and gas pipeline infrastructure</t>
  </si>
  <si>
    <t>Enabling Building Information Model-driven human-robot collaborative construction workflows with closed-loop digital twins</t>
  </si>
  <si>
    <t>Detailed transient modeling and FPGA-based real-time digital-twin development for sodium-cooled fast reactor</t>
  </si>
  <si>
    <t>Construction of digital twin and parallel intelligent control method for excavation face</t>
  </si>
  <si>
    <t>Augmenting progress monitoring in soil-foundation construction utilizing SOLOv2-based instance segmentation and visual BIM representation</t>
  </si>
  <si>
    <t>Design and System Development of Knowledge Graph and Process Planning Methods for Excavating Tunnels With Small Cross-Sections</t>
  </si>
  <si>
    <t>Research on the intelligent construction of prefabricated building based on digital twin</t>
  </si>
  <si>
    <t>Research on Management Efficiency and Public Participation in Smart City Construction Based on BIM-CIM Technology</t>
  </si>
  <si>
    <t>Using Eye-Tracking to Measure Worker Situation Awareness in Augmented Reality</t>
  </si>
  <si>
    <t>Real-time mixed reality-based visual warning for construction workforce safety</t>
  </si>
  <si>
    <t>Knowledge-data driven digital twin platform: intelligent prediction and control of tunnel face stability during large-diameter slurry shield construction</t>
  </si>
  <si>
    <t>Multisource information fusion for real-time prediction and multiobjective optimization of large-diameter slurry shield attitude</t>
  </si>
  <si>
    <t>A Novel Method for Tunnel Digital Twin Construction and Virtual-Real Fusion Application</t>
  </si>
  <si>
    <t>Research on Digital Twin Construction and Safety Management Application of Inland Waterway Based on 3D Video Fusion</t>
  </si>
  <si>
    <t>Real-time digital twin of autonomous ships based on virtual-physical mapping model</t>
  </si>
  <si>
    <t>Auto-constructed PID-based search algorithm for ship parameter identification under environmental disturbances</t>
  </si>
  <si>
    <t>CommandFence: A Novel Digital-Twin-Based Preventive Framework for Securing Smart Home Systems</t>
  </si>
  <si>
    <t>AIoT-powered building digital twin for smart firefighting and super real-time fire forecast</t>
  </si>
  <si>
    <t>Research on the construction of 5G fully connected mining digital twin system based on 3D GIS</t>
  </si>
  <si>
    <t>Edge-cloud collaborative digital twin for vibration anomaly detection and localization in high-rise buildings</t>
  </si>
  <si>
    <t>Digital twin system for deepwater well construction: Enhancing operational efficiency and safety</t>
  </si>
  <si>
    <t>A digital twin framework for construction and operation of the radio active waste repository</t>
  </si>
  <si>
    <t>Ensuring construction material provenance using Internet of Things and blockchain: Learning from the food industry</t>
  </si>
  <si>
    <t>Developing a digital twin model for monitoring building structural health by combining a building information model and a real-scene 3D model</t>
  </si>
  <si>
    <t>Status and prospects of synergistic development between smart city infrastructure and intelligent connected vehicles</t>
  </si>
  <si>
    <t>Geological Perception and Digital Twin of Rock and Machine for TBM Tunnelling: Methods-Research Status-Digital and Intelligent Development Direction</t>
  </si>
  <si>
    <t>Improvement of Construction Machinery Development Process by Digital Transformation Using Digital Twin</t>
  </si>
  <si>
    <t>Real-Time Digital Twin-Driven 3D Near-Miss Detection System at Construction Sites</t>
  </si>
  <si>
    <t>Digital twin-enabled 3D near-misses prediction method based on trajectories and postures for proactive construction safety management</t>
  </si>
  <si>
    <t>Digital twin-based framework for multi-objective optimization of shield tunneling parameters</t>
  </si>
  <si>
    <t>CAVTest: A Closed Connected and Automated Vehicles Test Field of Chang'an University in China</t>
  </si>
  <si>
    <t>Construction of digital twin model of lithium-ion battery for intelligent management</t>
  </si>
  <si>
    <t>Design and Validation of a Real-Time Maintenance Monitoring System Using BIM and Digital Twin Integration</t>
  </si>
  <si>
    <t>Current situation and development trend of intelligent unmanned autonomous excavators</t>
  </si>
  <si>
    <t>Related Literature Review 5D Model for Project and Operation/Maintenance Remote Monitoring of Equipment and Piping System</t>
  </si>
  <si>
    <t>Metaverse for the Energy Industry: Technologies, Applications, and Solutions</t>
  </si>
  <si>
    <t>A digital twin approach for tunnel construction safety early warning and management</t>
  </si>
  <si>
    <t>Deep Tabular and Sequential Models for Robust SCADA Cybersecurity Using the Custom-Built SCADANet Dataset</t>
  </si>
  <si>
    <t>Topology guided fourier neural operator with decoupled geometric parameterization for dam leakage detection</t>
  </si>
  <si>
    <t>Earthwork digital twin for teleoperation of an automated bulldozer in edge dumping</t>
  </si>
  <si>
    <t>Intelligent Analysis of Construction Safety of Large Underground Space Based on Digital Twin</t>
  </si>
  <si>
    <t>Application of BIM technologies based on parametric modeling in the mining industry</t>
  </si>
  <si>
    <t>Exploration and practice of the digital twin construction for production in the “Deep Sea No. 1” intelligent gas field</t>
  </si>
  <si>
    <t>A dynamic digital twin-based health monitoring method for steel structures integrating multi-source sensing and intelligent algorithms</t>
  </si>
  <si>
    <t>Quantitative prediction method for safety of old building structures based on digital twins</t>
  </si>
  <si>
    <t>Digital twin modeling and performance inversion of modular fully assembled cable-strut cable dome system for intelligent construction</t>
  </si>
  <si>
    <t>Joint detection PCD-based method for automatic construction of geometric digital twin in cable dome structure</t>
  </si>
  <si>
    <t>Three-Dimensional Stratigraphic Structure and Property Collaborative Modeling in Urban Engineering Construction</t>
  </si>
  <si>
    <t>Digital Safety Navigation for Tower Crane Climbing Process from a Systematic Perspective: Risk Identification, Safety Information Requirements, and Related Intelligent Platform</t>
  </si>
  <si>
    <t>Technology and implementation of safety monitoring system for power grid construction site based on intelligent video analysis</t>
  </si>
  <si>
    <t>Construction technology of prefabricated concrete frame with steel connector based on digital twin</t>
  </si>
  <si>
    <t>AI-empowered digital twin modeling for high-precision building defect management integrating UAV and GeoBIM</t>
  </si>
  <si>
    <t>Digital Twins for Construction Sites: Concepts, LoD Definition, and Applications</t>
  </si>
  <si>
    <t>Advanced informatic technologies for intelligent construction: A review</t>
  </si>
  <si>
    <t>Digital twin-enabled synchronous jacking control of an aerial building machine using a scale model</t>
  </si>
  <si>
    <t>Research on the Digital Twin System for Rotation Construction Monitoring of Cable-Stayed Bridge Based on MBSE</t>
  </si>
  <si>
    <t>A Fixed-Budget Study of Real–Synthetic Data Mixing for PPE Detection in Construction</t>
  </si>
  <si>
    <t>A Fixed-Budget Study of Real-Synthetic Data Mixing for PPE Detection in Construction</t>
  </si>
  <si>
    <t>From instance segmentation to physical quantification: High-resolution UAV-based dataset for façade defect assessment</t>
  </si>
  <si>
    <t>Predictive diagnosis of hidden risk for urban lifeline infrastructures driven by digital twin modeling of multisource observations: perspective</t>
  </si>
  <si>
    <t>A single-spindle monitoring system and its application for intelligent spinning construction</t>
  </si>
  <si>
    <t>Digital Twin Evaluation of Environment and Health of Public Toilet Ventilation Design Based on Building Information Modeling</t>
  </si>
  <si>
    <t>Digital twin-enabled anti-collision system for smart construction sites</t>
  </si>
  <si>
    <t>Digital twin-enabled simulation system for NATM tunnel construction process considering multi-source uncertainty</t>
  </si>
  <si>
    <t>Automatic response prediction in a digital twin framework for regional bridges group</t>
  </si>
  <si>
    <t>Simulation method of shield-machine empty push through station based on in situ virtual-real interaction</t>
  </si>
  <si>
    <t>An Established Theory of Digital Twin Model for Tunnel Construction Safety Assessment</t>
  </si>
  <si>
    <t>Research on the Construction of Multimodal Large Models and Self-supervised Learning for Panoramic Perception of Power Equipment</t>
  </si>
  <si>
    <t>Research on Key Common Technologies in Intelligent Construction of Long-Span Bridges</t>
  </si>
  <si>
    <t>The Modelling of Digital Twins Technology in the Construction Process of Prefabricated Buildings</t>
  </si>
  <si>
    <t>Intelligent Prediction of Prestressed Steel Structure Construction Safety Based on BP Neural Network</t>
  </si>
  <si>
    <t>A knowledge foundation and prospect review on thermal response of bridges</t>
  </si>
  <si>
    <t>Fast electrothermal coupling calculation method for supporting digital twin construction of electrical equipment</t>
  </si>
  <si>
    <t>Artificial Intelligence in the Construction Industry: A Comprehensive Review of Benefits and Challenges</t>
  </si>
  <si>
    <t>Digital Twin Construction Method for Monitoring Operation Status of Building Machine Jacking Operation</t>
  </si>
  <si>
    <t>Multisensory and BIM-Integrated Digital Twin to Improve Urban Excavation Safety</t>
  </si>
  <si>
    <t>Integration of building information modelling and digital twin in mechanized tunnelling construction</t>
  </si>
  <si>
    <t>Xie (2025)</t>
    <phoneticPr fontId="11" type="noConversion"/>
  </si>
  <si>
    <t>Spencer (2022)</t>
    <phoneticPr fontId="11" type="noConversion"/>
  </si>
  <si>
    <t>Huang (2020)</t>
    <phoneticPr fontId="11" type="noConversion"/>
  </si>
  <si>
    <t>a</t>
    <phoneticPr fontId="11" type="noConversion"/>
  </si>
  <si>
    <t>b</t>
    <phoneticPr fontId="11" type="noConversion"/>
  </si>
  <si>
    <t>c</t>
    <phoneticPr fontId="11" type="noConversion"/>
  </si>
  <si>
    <t>e</t>
    <phoneticPr fontId="11" type="noConversion"/>
  </si>
  <si>
    <t>duplicate</t>
    <phoneticPr fontId="11" type="noConversion"/>
  </si>
  <si>
    <t>d - 2nd duplicate</t>
    <phoneticPr fontId="11" type="noConversion"/>
  </si>
  <si>
    <t>EXCLUDE</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</si>
</sst>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quot;Excl&quot;\ #"/>
    <numFmt numFmtId="178" formatCode="&quot;Incl.&quot;\ #"/>
    <numFmt numFmtId="179" formatCode="&quot;Yes&quot;\ #"/>
    <numFmt numFmtId="180" formatCode="&quot;No&quot;\ #"/>
    <numFmt numFmtId="181" formatCode="&quot;Excl.&quot;\ #"/>
  </numFmts>
  <fonts count="32" x14ac:knownFonts="1">
    <font>
      <sz val="11"/>
      <color theme="1"/>
      <name val="Calibri"/>
      <family val="2"/>
      <charset val="1"/>
    </font>
    <font>
      <b/>
      <sz val="14"/>
      <color rgb="FF1F4E5F"/>
      <name val="Arial"/>
      <charset val="1"/>
    </font>
    <font>
      <i/>
      <sz val="10"/>
      <color rgb="FF595959"/>
      <name val="Arial"/>
      <charset val="1"/>
    </font>
    <font>
      <b/>
      <sz val="12"/>
      <color rgb="FF1F4E5F"/>
      <name val="Arial"/>
      <charset val="1"/>
    </font>
    <font>
      <b/>
      <sz val="10"/>
      <name val="Arial"/>
      <charset val="1"/>
    </font>
    <font>
      <sz val="10"/>
      <name val="Arial"/>
      <charset val="1"/>
    </font>
    <font>
      <b/>
      <sz val="9"/>
      <color rgb="FFFFFFFF"/>
      <name val="Arial"/>
      <charset val="1"/>
    </font>
    <font>
      <sz val="9"/>
      <name val="Arial"/>
      <charset val="1"/>
    </font>
    <font>
      <b/>
      <sz val="13"/>
      <color rgb="FF1F4E5F"/>
      <name val="Arial"/>
      <charset val="1"/>
    </font>
    <font>
      <sz val="11"/>
      <name val="Arial"/>
      <charset val="1"/>
    </font>
    <font>
      <b/>
      <sz val="11"/>
      <name val="Arial"/>
      <charset val="1"/>
    </font>
    <font>
      <sz val="9"/>
      <name val="宋体"/>
      <family val="3"/>
      <charset val="134"/>
    </font>
    <font>
      <b/>
      <sz val="9"/>
      <color rgb="FFFFFFFF"/>
      <name val="Arial"/>
      <family val="2"/>
    </font>
    <font>
      <b/>
      <sz val="11"/>
      <color rgb="FFFFFFFF"/>
      <name val="Calibri"/>
      <family val="2"/>
      <charset val="1"/>
    </font>
    <font>
      <sz val="9"/>
      <color theme="1"/>
      <name val="Arial"/>
      <family val="2"/>
    </font>
    <font>
      <b/>
      <sz val="11"/>
      <color theme="1"/>
      <name val="Calibri"/>
      <family val="2"/>
      <charset val="1"/>
    </font>
    <font>
      <b/>
      <sz val="8"/>
      <color rgb="FF1F3864"/>
      <name val="Arial"/>
      <family val="2"/>
    </font>
    <font>
      <sz val="8"/>
      <color theme="1"/>
      <name val="Arial"/>
      <family val="2"/>
    </font>
    <font>
      <b/>
      <sz val="8"/>
      <color theme="1"/>
      <name val="Arial"/>
      <family val="2"/>
    </font>
    <font>
      <b/>
      <sz val="11"/>
      <color rgb="FF1F4E5F"/>
      <name val="Calibri"/>
      <family val="2"/>
      <charset val="1"/>
    </font>
    <font>
      <b/>
      <sz val="10"/>
      <color rgb="FFFFFFFF"/>
      <name val="Arial"/>
      <family val="2"/>
    </font>
    <font>
      <sz val="11"/>
      <color rgb="FFB04A4A"/>
      <name val="Calibri"/>
      <family val="2"/>
      <charset val="1"/>
    </font>
    <font>
      <sz val="11"/>
      <color rgb="FF1F4E5F"/>
      <name val="Calibri"/>
      <family val="2"/>
      <charset val="1"/>
    </font>
    <font>
      <sz val="9"/>
      <name val="Arial"/>
      <family val="2"/>
    </font>
    <font>
      <b/>
      <sz val="12"/>
      <color rgb="FF1F4E5F"/>
      <name val="Arial"/>
      <family val="2"/>
    </font>
    <font>
      <b/>
      <sz val="10"/>
      <name val="Arial"/>
      <family val="2"/>
    </font>
    <font>
      <b/>
      <sz val="13"/>
      <color rgb="FF1F4E5F"/>
      <name val="Arial"/>
      <family val="2"/>
    </font>
    <font>
      <b/>
      <sz val="11"/>
      <name val="Arial"/>
      <family val="2"/>
    </font>
    <font>
      <b/>
      <i/>
      <sz val="11"/>
      <color theme="1"/>
      <name val="Calibri"/>
      <family val="2"/>
      <charset val="1"/>
    </font>
    <font>
      <sz val="12"/>
      <color rgb="FF1F4E5F"/>
      <name val="Arial"/>
      <family val="2"/>
    </font>
    <font>
      <sz val="9"/>
      <color rgb="FFFFFFFF"/>
      <name val="Arial"/>
      <family val="2"/>
    </font>
    <font>
      <sz val="10"/>
      <name val="Arial"/>
      <family val="2"/>
    </font>
  </fonts>
  <fills count="20">
    <fill>
      <patternFill patternType="none"/>
    </fill>
    <fill>
      <patternFill patternType="gray125"/>
    </fill>
    <fill>
      <patternFill patternType="solid">
        <fgColor rgb="FF1F4E5F"/>
        <bgColor rgb="FF333333"/>
      </patternFill>
    </fill>
    <fill>
      <patternFill patternType="solid">
        <fgColor rgb="FFFFF7DB"/>
        <bgColor rgb="FFFFFFFF"/>
      </patternFill>
    </fill>
    <fill>
      <patternFill patternType="solid">
        <fgColor rgb="FFEAF1F4"/>
        <bgColor rgb="FFE7EEFC"/>
      </patternFill>
    </fill>
    <fill>
      <patternFill patternType="solid">
        <fgColor rgb="FFE7EEFC"/>
        <bgColor rgb="FFEAF1F4"/>
      </patternFill>
    </fill>
    <fill>
      <patternFill patternType="solid">
        <fgColor rgb="FFFCE4E4"/>
        <bgColor rgb="FFFFF7DB"/>
      </patternFill>
    </fill>
    <fill>
      <patternFill patternType="solid">
        <fgColor rgb="FFE3F0E1"/>
        <bgColor rgb="FFEAF1F4"/>
      </patternFill>
    </fill>
    <fill>
      <patternFill patternType="solid">
        <fgColor rgb="FF1F4E5F"/>
        <bgColor indexed="64"/>
      </patternFill>
    </fill>
    <fill>
      <patternFill patternType="solid">
        <fgColor rgb="FFE3F0E1"/>
        <bgColor indexed="64"/>
      </patternFill>
    </fill>
    <fill>
      <patternFill patternType="solid">
        <fgColor rgb="FFDCE9F7"/>
        <bgColor indexed="64"/>
      </patternFill>
    </fill>
    <fill>
      <patternFill patternType="solid">
        <fgColor rgb="FFF2F2F2"/>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tint="-0.34998626667073579"/>
        <bgColor rgb="FFFFFFFF"/>
      </patternFill>
    </fill>
    <fill>
      <patternFill patternType="solid">
        <fgColor theme="0" tint="-0.34998626667073579"/>
        <bgColor rgb="FFE7EEFC"/>
      </patternFill>
    </fill>
    <fill>
      <patternFill patternType="solid">
        <fgColor theme="0" tint="-0.34998626667073579"/>
        <bgColor rgb="FFEAF1F4"/>
      </patternFill>
    </fill>
    <fill>
      <patternFill patternType="solid">
        <fgColor theme="0" tint="-0.34998626667073579"/>
        <bgColor rgb="FFFFF7DB"/>
      </patternFill>
    </fill>
    <fill>
      <patternFill patternType="solid">
        <fgColor rgb="FFFFFF00"/>
        <bgColor rgb="FFEAF1F4"/>
      </patternFill>
    </fill>
    <fill>
      <patternFill patternType="solid">
        <fgColor rgb="FFFFFF00"/>
        <bgColor rgb="FFE7EEFC"/>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s>
  <cellStyleXfs count="1">
    <xf numFmtId="0" fontId="0" fillId="0" borderId="0"/>
  </cellStyleXfs>
  <cellXfs count="142">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horizontal="left" vertical="top" wrapText="1"/>
    </xf>
    <xf numFmtId="0" fontId="5" fillId="0" borderId="0" xfId="0" applyFont="1" applyAlignment="1">
      <alignment horizontal="left" vertical="top" wrapText="1"/>
    </xf>
    <xf numFmtId="0" fontId="6" fillId="2" borderId="1" xfId="0" applyFont="1" applyFill="1" applyBorder="1" applyAlignment="1">
      <alignment horizontal="center" vertical="center" wrapText="1"/>
    </xf>
    <xf numFmtId="0" fontId="7"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7"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8" fillId="0" borderId="0" xfId="0" applyFont="1"/>
    <xf numFmtId="0" fontId="6" fillId="2" borderId="1" xfId="0" applyFont="1" applyFill="1" applyBorder="1"/>
    <xf numFmtId="0" fontId="5" fillId="0" borderId="1" xfId="0" applyFont="1" applyBorder="1"/>
    <xf numFmtId="0" fontId="9" fillId="0" borderId="1" xfId="0" applyFont="1" applyBorder="1" applyAlignment="1">
      <alignment horizontal="center" vertical="center" wrapText="1"/>
    </xf>
    <xf numFmtId="0" fontId="4" fillId="0" borderId="1" xfId="0" applyFont="1" applyBorder="1"/>
    <xf numFmtId="0" fontId="10" fillId="0" borderId="1" xfId="0" applyFont="1" applyBorder="1" applyAlignment="1">
      <alignment horizontal="center" vertical="center" wrapText="1"/>
    </xf>
    <xf numFmtId="0" fontId="4" fillId="7" borderId="1" xfId="0" applyFont="1" applyFill="1" applyBorder="1"/>
    <xf numFmtId="0" fontId="10" fillId="7" borderId="1" xfId="0" applyFont="1" applyFill="1" applyBorder="1" applyAlignment="1">
      <alignment horizontal="center" vertical="center" wrapText="1"/>
    </xf>
    <xf numFmtId="0" fontId="4" fillId="4" borderId="1" xfId="0" applyFont="1" applyFill="1" applyBorder="1"/>
    <xf numFmtId="0" fontId="10" fillId="4" borderId="1" xfId="0" applyFont="1" applyFill="1" applyBorder="1" applyAlignment="1">
      <alignment horizontal="center" vertical="center" wrapText="1"/>
    </xf>
    <xf numFmtId="0" fontId="7" fillId="0" borderId="1" xfId="0" applyFont="1" applyBorder="1" applyAlignment="1">
      <alignment horizontal="center" vertical="top" wrapText="1"/>
    </xf>
    <xf numFmtId="0" fontId="7" fillId="3"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7"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1" fontId="7" fillId="0" borderId="1" xfId="0" applyNumberFormat="1" applyFont="1" applyBorder="1" applyAlignment="1">
      <alignment horizontal="center" vertical="top" wrapText="1"/>
    </xf>
    <xf numFmtId="0" fontId="12" fillId="2" borderId="1" xfId="0" applyFont="1" applyFill="1" applyBorder="1" applyAlignment="1">
      <alignment horizontal="center" vertical="center" wrapText="1"/>
    </xf>
    <xf numFmtId="0" fontId="12" fillId="8" borderId="0" xfId="0" applyFont="1" applyFill="1" applyAlignment="1">
      <alignment horizontal="center" vertical="center" wrapText="1"/>
    </xf>
    <xf numFmtId="0" fontId="14" fillId="9" borderId="0" xfId="0" applyFont="1" applyFill="1" applyAlignment="1">
      <alignment horizontal="left" vertical="top" wrapText="1"/>
    </xf>
    <xf numFmtId="0" fontId="15" fillId="0" borderId="0" xfId="0" applyFont="1"/>
    <xf numFmtId="0" fontId="17" fillId="11" borderId="0" xfId="0" applyFont="1" applyFill="1"/>
    <xf numFmtId="0" fontId="16" fillId="0" borderId="0" xfId="0" applyFont="1" applyAlignment="1">
      <alignment vertical="center"/>
    </xf>
    <xf numFmtId="0" fontId="17" fillId="0" borderId="0" xfId="0" applyFont="1" applyAlignment="1">
      <alignment vertical="center"/>
    </xf>
    <xf numFmtId="0" fontId="18" fillId="11" borderId="0" xfId="0" applyFont="1" applyFill="1" applyAlignment="1">
      <alignment vertical="center"/>
    </xf>
    <xf numFmtId="0" fontId="17" fillId="11" borderId="0" xfId="0" applyFont="1" applyFill="1" applyAlignment="1">
      <alignment vertical="center"/>
    </xf>
    <xf numFmtId="0" fontId="19" fillId="0" borderId="0" xfId="0" applyFont="1"/>
    <xf numFmtId="0" fontId="15" fillId="0" borderId="4" xfId="0" applyFont="1" applyBorder="1"/>
    <xf numFmtId="0" fontId="19" fillId="0" borderId="4" xfId="0" applyFont="1" applyBorder="1"/>
    <xf numFmtId="0" fontId="15" fillId="0" borderId="2" xfId="0" applyFont="1" applyBorder="1"/>
    <xf numFmtId="0" fontId="20" fillId="8" borderId="5" xfId="0" applyFont="1" applyFill="1" applyBorder="1" applyAlignment="1">
      <alignment horizontal="center" vertical="center" wrapText="1"/>
    </xf>
    <xf numFmtId="0" fontId="13" fillId="8" borderId="6"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5" fillId="0" borderId="5" xfId="0" applyFont="1" applyBorder="1"/>
    <xf numFmtId="0" fontId="15" fillId="0" borderId="7" xfId="0" applyFont="1" applyBorder="1"/>
    <xf numFmtId="0" fontId="15" fillId="0" borderId="6" xfId="0" applyFont="1" applyBorder="1"/>
    <xf numFmtId="0" fontId="19" fillId="0" borderId="2" xfId="0" applyFont="1" applyBorder="1"/>
    <xf numFmtId="0" fontId="13" fillId="8" borderId="5" xfId="0" applyFont="1" applyFill="1" applyBorder="1" applyAlignment="1">
      <alignment horizontal="center" vertical="center" wrapText="1"/>
    </xf>
    <xf numFmtId="0" fontId="15" fillId="9" borderId="0" xfId="0" applyFont="1" applyFill="1" applyAlignment="1">
      <alignment wrapText="1"/>
    </xf>
    <xf numFmtId="0" fontId="15" fillId="10" borderId="0" xfId="0" applyFont="1" applyFill="1" applyAlignment="1">
      <alignment wrapText="1"/>
    </xf>
    <xf numFmtId="0" fontId="21" fillId="0" borderId="0" xfId="0" applyFont="1" applyAlignment="1">
      <alignment wrapText="1"/>
    </xf>
    <xf numFmtId="0" fontId="22" fillId="0" borderId="0" xfId="0" applyFont="1" applyAlignment="1">
      <alignment wrapText="1"/>
    </xf>
    <xf numFmtId="0" fontId="0" fillId="0" borderId="0" xfId="0" applyAlignment="1">
      <alignment wrapText="1"/>
    </xf>
    <xf numFmtId="0" fontId="23" fillId="0" borderId="1" xfId="0" applyFont="1" applyBorder="1" applyAlignment="1">
      <alignment horizontal="center" vertical="top" wrapText="1"/>
    </xf>
    <xf numFmtId="176" fontId="15" fillId="0" borderId="6" xfId="0" applyNumberFormat="1" applyFont="1" applyBorder="1"/>
    <xf numFmtId="0" fontId="23" fillId="0" borderId="1" xfId="0" applyFont="1" applyBorder="1" applyAlignment="1">
      <alignment horizontal="left" vertical="top" wrapText="1"/>
    </xf>
    <xf numFmtId="0" fontId="15" fillId="9" borderId="0" xfId="0" applyFont="1" applyFill="1" applyAlignment="1">
      <alignment horizontal="left" wrapText="1"/>
    </xf>
    <xf numFmtId="0" fontId="0" fillId="0" borderId="0" xfId="0" applyAlignment="1">
      <alignment horizontal="left"/>
    </xf>
    <xf numFmtId="0" fontId="7" fillId="0" borderId="8" xfId="0" applyFont="1" applyBorder="1" applyAlignment="1">
      <alignment horizontal="center" vertical="top" wrapText="1"/>
    </xf>
    <xf numFmtId="0" fontId="7" fillId="0" borderId="8" xfId="0" applyFont="1" applyBorder="1" applyAlignment="1">
      <alignment horizontal="left" vertical="top" wrapText="1"/>
    </xf>
    <xf numFmtId="1" fontId="7" fillId="0" borderId="8" xfId="0" applyNumberFormat="1" applyFont="1" applyBorder="1" applyAlignment="1">
      <alignment horizontal="center" vertical="top" wrapText="1"/>
    </xf>
    <xf numFmtId="0" fontId="7" fillId="3" borderId="8" xfId="0" applyFont="1" applyFill="1" applyBorder="1" applyAlignment="1">
      <alignment horizontal="center" vertical="top" wrapText="1"/>
    </xf>
    <xf numFmtId="0" fontId="7" fillId="4" borderId="8" xfId="0" applyFont="1" applyFill="1" applyBorder="1" applyAlignment="1">
      <alignment horizontal="center" vertical="top" wrapText="1"/>
    </xf>
    <xf numFmtId="0" fontId="7" fillId="5" borderId="8" xfId="0" applyFont="1" applyFill="1" applyBorder="1" applyAlignment="1">
      <alignment horizontal="center" vertical="top" wrapText="1"/>
    </xf>
    <xf numFmtId="0" fontId="7" fillId="6" borderId="8" xfId="0" applyFont="1" applyFill="1" applyBorder="1" applyAlignment="1">
      <alignment horizontal="center" vertical="top" wrapText="1"/>
    </xf>
    <xf numFmtId="0" fontId="7" fillId="7" borderId="8" xfId="0" applyFont="1" applyFill="1" applyBorder="1" applyAlignment="1">
      <alignment horizontal="center" vertical="top" wrapText="1"/>
    </xf>
    <xf numFmtId="0" fontId="7" fillId="7" borderId="8" xfId="0" applyFont="1" applyFill="1" applyBorder="1" applyAlignment="1">
      <alignment horizontal="left" vertical="top" wrapText="1"/>
    </xf>
    <xf numFmtId="0" fontId="7" fillId="0" borderId="9" xfId="0" applyFont="1" applyBorder="1" applyAlignment="1">
      <alignment horizontal="center" vertical="top" wrapText="1"/>
    </xf>
    <xf numFmtId="0" fontId="7" fillId="0" borderId="9" xfId="0" applyFont="1" applyBorder="1" applyAlignment="1">
      <alignment horizontal="left" vertical="top" wrapText="1"/>
    </xf>
    <xf numFmtId="1" fontId="7" fillId="0" borderId="9" xfId="0" applyNumberFormat="1" applyFont="1" applyBorder="1" applyAlignment="1">
      <alignment horizontal="center" vertical="top" wrapText="1"/>
    </xf>
    <xf numFmtId="0" fontId="7" fillId="3" borderId="9" xfId="0" applyFont="1" applyFill="1" applyBorder="1" applyAlignment="1">
      <alignment horizontal="center" vertical="top" wrapText="1"/>
    </xf>
    <xf numFmtId="0" fontId="7" fillId="4" borderId="9" xfId="0" applyFont="1" applyFill="1" applyBorder="1" applyAlignment="1">
      <alignment horizontal="center" vertical="top" wrapText="1"/>
    </xf>
    <xf numFmtId="0" fontId="7" fillId="5" borderId="9" xfId="0" applyFont="1" applyFill="1" applyBorder="1" applyAlignment="1">
      <alignment horizontal="center" vertical="top" wrapText="1"/>
    </xf>
    <xf numFmtId="0" fontId="7" fillId="6" borderId="9" xfId="0" applyFont="1" applyFill="1" applyBorder="1" applyAlignment="1">
      <alignment horizontal="center" vertical="top" wrapText="1"/>
    </xf>
    <xf numFmtId="0" fontId="7" fillId="7" borderId="9" xfId="0" applyFont="1" applyFill="1" applyBorder="1" applyAlignment="1">
      <alignment horizontal="center" vertical="top" wrapText="1"/>
    </xf>
    <xf numFmtId="0" fontId="7" fillId="7" borderId="9" xfId="0" applyFont="1" applyFill="1" applyBorder="1" applyAlignment="1">
      <alignment horizontal="left" vertical="top" wrapText="1"/>
    </xf>
    <xf numFmtId="0" fontId="7" fillId="0" borderId="10" xfId="0" applyFont="1" applyBorder="1" applyAlignment="1">
      <alignment horizontal="center" vertical="top" wrapText="1"/>
    </xf>
    <xf numFmtId="0" fontId="7" fillId="0" borderId="10" xfId="0" applyFont="1" applyBorder="1" applyAlignment="1">
      <alignment horizontal="left" vertical="top" wrapText="1"/>
    </xf>
    <xf numFmtId="1" fontId="7" fillId="0" borderId="10" xfId="0" applyNumberFormat="1" applyFont="1" applyBorder="1" applyAlignment="1">
      <alignment horizontal="center" vertical="top" wrapText="1"/>
    </xf>
    <xf numFmtId="0" fontId="7" fillId="3" borderId="10" xfId="0" applyFont="1" applyFill="1" applyBorder="1" applyAlignment="1">
      <alignment horizontal="center" vertical="top" wrapText="1"/>
    </xf>
    <xf numFmtId="0" fontId="7" fillId="4" borderId="10" xfId="0" applyFont="1" applyFill="1" applyBorder="1" applyAlignment="1">
      <alignment horizontal="center" vertical="top" wrapText="1"/>
    </xf>
    <xf numFmtId="0" fontId="7" fillId="5" borderId="10" xfId="0" applyFont="1" applyFill="1" applyBorder="1" applyAlignment="1">
      <alignment horizontal="center" vertical="top" wrapText="1"/>
    </xf>
    <xf numFmtId="0" fontId="7" fillId="6" borderId="10" xfId="0" applyFont="1" applyFill="1" applyBorder="1" applyAlignment="1">
      <alignment horizontal="center" vertical="top" wrapText="1"/>
    </xf>
    <xf numFmtId="0" fontId="7" fillId="7" borderId="10" xfId="0" applyFont="1" applyFill="1" applyBorder="1" applyAlignment="1">
      <alignment horizontal="center" vertical="top" wrapText="1"/>
    </xf>
    <xf numFmtId="0" fontId="7" fillId="7" borderId="10" xfId="0" applyFont="1" applyFill="1" applyBorder="1" applyAlignment="1">
      <alignment horizontal="left" vertical="top" wrapText="1"/>
    </xf>
    <xf numFmtId="0" fontId="7" fillId="0" borderId="9" xfId="0" applyFont="1" applyBorder="1" applyAlignment="1">
      <alignment horizontal="center" vertical="center" wrapText="1"/>
    </xf>
    <xf numFmtId="0" fontId="7" fillId="3" borderId="9"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6" borderId="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14" fillId="9" borderId="1" xfId="0" applyFont="1" applyFill="1" applyBorder="1" applyAlignment="1">
      <alignment horizontal="left" vertical="top" wrapText="1"/>
    </xf>
    <xf numFmtId="0" fontId="0" fillId="0" borderId="1" xfId="0" applyBorder="1"/>
    <xf numFmtId="0" fontId="21" fillId="0" borderId="1" xfId="0" applyFont="1" applyBorder="1" applyAlignment="1">
      <alignment wrapText="1"/>
    </xf>
    <xf numFmtId="0" fontId="22" fillId="0" borderId="1" xfId="0" applyFont="1" applyBorder="1" applyAlignment="1">
      <alignment wrapText="1"/>
    </xf>
    <xf numFmtId="0" fontId="0" fillId="0" borderId="1" xfId="0" applyBorder="1" applyAlignment="1">
      <alignment horizontal="left"/>
    </xf>
    <xf numFmtId="0" fontId="24" fillId="0" borderId="0" xfId="0" applyFont="1"/>
    <xf numFmtId="0" fontId="26" fillId="0" borderId="0" xfId="0" applyFont="1"/>
    <xf numFmtId="0" fontId="25" fillId="0" borderId="0" xfId="0" applyFont="1"/>
    <xf numFmtId="0" fontId="27" fillId="7" borderId="0" xfId="0" applyFont="1" applyFill="1"/>
    <xf numFmtId="0" fontId="15" fillId="0" borderId="3" xfId="0" applyFont="1" applyBorder="1"/>
    <xf numFmtId="176" fontId="15" fillId="0" borderId="7" xfId="0" applyNumberFormat="1" applyFont="1" applyBorder="1"/>
    <xf numFmtId="0" fontId="28" fillId="0" borderId="0" xfId="0" applyFont="1"/>
    <xf numFmtId="0" fontId="29" fillId="0" borderId="0" xfId="0" applyFont="1"/>
    <xf numFmtId="0" fontId="30" fillId="2" borderId="1" xfId="0" applyFont="1" applyFill="1" applyBorder="1" applyAlignment="1">
      <alignment horizontal="center" vertical="center" wrapText="1"/>
    </xf>
    <xf numFmtId="0" fontId="31" fillId="0" borderId="1" xfId="0" applyFont="1" applyBorder="1"/>
    <xf numFmtId="0" fontId="0" fillId="0" borderId="1" xfId="0" applyBorder="1" applyAlignment="1">
      <alignment horizontal="center" vertical="center" wrapText="1"/>
    </xf>
    <xf numFmtId="176" fontId="0" fillId="0" borderId="1" xfId="0" applyNumberFormat="1" applyBorder="1" applyAlignment="1">
      <alignment horizontal="center" vertical="center" wrapText="1"/>
    </xf>
    <xf numFmtId="176" fontId="0" fillId="0" borderId="0" xfId="0" applyNumberFormat="1" applyAlignment="1">
      <alignment horizontal="center" vertical="center" wrapText="1"/>
    </xf>
    <xf numFmtId="0" fontId="0" fillId="0" borderId="1" xfId="0" applyBorder="1" applyAlignment="1">
      <alignment wrapText="1"/>
    </xf>
    <xf numFmtId="0" fontId="31" fillId="0" borderId="0" xfId="0" applyFont="1"/>
    <xf numFmtId="0" fontId="0" fillId="0" borderId="0" xfId="0" applyAlignment="1">
      <alignment horizontal="center" vertical="center" wrapText="1"/>
    </xf>
    <xf numFmtId="0" fontId="0" fillId="0" borderId="0" xfId="0" applyAlignment="1">
      <alignment horizontal="center"/>
    </xf>
    <xf numFmtId="0" fontId="0" fillId="0" borderId="0" xfId="0" applyAlignment="1">
      <alignment horizontal="center" vertical="center"/>
    </xf>
    <xf numFmtId="176" fontId="0" fillId="12" borderId="1" xfId="0" applyNumberFormat="1" applyFill="1" applyBorder="1" applyAlignment="1">
      <alignment horizontal="center" vertical="center" wrapText="1"/>
    </xf>
    <xf numFmtId="177" fontId="7" fillId="4" borderId="1" xfId="0" applyNumberFormat="1" applyFont="1" applyFill="1" applyBorder="1" applyAlignment="1">
      <alignment horizontal="center" vertical="top" wrapText="1"/>
    </xf>
    <xf numFmtId="179" fontId="7" fillId="6" borderId="1" xfId="0" applyNumberFormat="1" applyFont="1" applyFill="1" applyBorder="1" applyAlignment="1">
      <alignment horizontal="center" vertical="top" wrapText="1"/>
    </xf>
    <xf numFmtId="180" fontId="7" fillId="6" borderId="1" xfId="0" applyNumberFormat="1" applyFont="1" applyFill="1" applyBorder="1" applyAlignment="1">
      <alignment horizontal="center" vertical="top" wrapText="1"/>
    </xf>
    <xf numFmtId="181" fontId="7" fillId="4" borderId="1" xfId="0" applyNumberFormat="1" applyFont="1" applyFill="1" applyBorder="1" applyAlignment="1">
      <alignment horizontal="center" vertical="top" wrapText="1"/>
    </xf>
    <xf numFmtId="0" fontId="7" fillId="13" borderId="1" xfId="0" applyFont="1" applyFill="1" applyBorder="1" applyAlignment="1">
      <alignment horizontal="center" vertical="top" wrapText="1"/>
    </xf>
    <xf numFmtId="0" fontId="7" fillId="13" borderId="1" xfId="0" applyFont="1" applyFill="1" applyBorder="1" applyAlignment="1">
      <alignment horizontal="left" vertical="top" wrapText="1"/>
    </xf>
    <xf numFmtId="1" fontId="7" fillId="13" borderId="1" xfId="0" applyNumberFormat="1" applyFont="1" applyFill="1" applyBorder="1" applyAlignment="1">
      <alignment horizontal="center" vertical="top" wrapText="1"/>
    </xf>
    <xf numFmtId="0" fontId="7" fillId="14" borderId="1" xfId="0" applyFont="1" applyFill="1" applyBorder="1" applyAlignment="1">
      <alignment horizontal="center" vertical="top" wrapText="1"/>
    </xf>
    <xf numFmtId="0" fontId="7" fillId="15" borderId="1" xfId="0" applyFont="1" applyFill="1" applyBorder="1" applyAlignment="1">
      <alignment horizontal="center" vertical="top" wrapText="1"/>
    </xf>
    <xf numFmtId="0" fontId="7" fillId="16" borderId="1" xfId="0" applyFont="1" applyFill="1" applyBorder="1" applyAlignment="1">
      <alignment horizontal="center" vertical="top" wrapText="1"/>
    </xf>
    <xf numFmtId="0" fontId="7" fillId="17" borderId="1" xfId="0" applyFont="1" applyFill="1" applyBorder="1" applyAlignment="1">
      <alignment horizontal="center" vertical="top" wrapText="1"/>
    </xf>
    <xf numFmtId="0" fontId="7" fillId="16" borderId="1" xfId="0" applyFont="1" applyFill="1" applyBorder="1" applyAlignment="1">
      <alignment horizontal="left" vertical="top" wrapText="1"/>
    </xf>
    <xf numFmtId="0" fontId="14" fillId="13" borderId="1" xfId="0" applyFont="1" applyFill="1" applyBorder="1" applyAlignment="1">
      <alignment horizontal="left" vertical="top" wrapText="1"/>
    </xf>
    <xf numFmtId="0" fontId="0" fillId="13" borderId="1" xfId="0" applyFill="1" applyBorder="1"/>
    <xf numFmtId="0" fontId="21" fillId="13" borderId="1" xfId="0" applyFont="1" applyFill="1" applyBorder="1" applyAlignment="1">
      <alignment wrapText="1"/>
    </xf>
    <xf numFmtId="0" fontId="22" fillId="13" borderId="1" xfId="0" applyFont="1" applyFill="1" applyBorder="1" applyAlignment="1">
      <alignment wrapText="1"/>
    </xf>
    <xf numFmtId="0" fontId="0" fillId="13" borderId="1" xfId="0" applyFill="1" applyBorder="1" applyAlignment="1">
      <alignment horizontal="left"/>
    </xf>
    <xf numFmtId="0" fontId="0" fillId="13" borderId="0" xfId="0" applyFill="1"/>
    <xf numFmtId="0" fontId="23" fillId="15" borderId="1" xfId="0" applyFont="1" applyFill="1" applyBorder="1" applyAlignment="1">
      <alignment horizontal="center" vertical="top" wrapText="1"/>
    </xf>
    <xf numFmtId="0" fontId="7" fillId="18" borderId="1" xfId="0" applyFont="1" applyFill="1" applyBorder="1" applyAlignment="1">
      <alignment horizontal="center" vertical="top" wrapText="1"/>
    </xf>
    <xf numFmtId="178" fontId="7" fillId="19" borderId="1" xfId="0" applyNumberFormat="1" applyFont="1" applyFill="1" applyBorder="1" applyAlignment="1">
      <alignment horizontal="center" vertical="top" wrapText="1"/>
    </xf>
  </cellXfs>
  <cellStyles count="1">
    <cellStyle name="常规"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7DB"/>
      <rgbColor rgb="FFE7EEF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AF1F4"/>
      <rgbColor rgb="FFE3F0E1"/>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multimodal studies are LESS adaptive (% of each row)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manualLayout>
          <c:layoutTarget val="inner"/>
          <c:xMode val="edge"/>
          <c:yMode val="edge"/>
          <c:x val="0.22223937526711635"/>
          <c:y val="0.16527917349711438"/>
          <c:w val="0.7425413568378153"/>
          <c:h val="0.62941020019761518"/>
        </c:manualLayout>
      </c:layout>
      <c:barChart>
        <c:barDir val="bar"/>
        <c:grouping val="stacked"/>
        <c:varyColors val="0"/>
        <c:ser>
          <c:idx val="0"/>
          <c:order val="0"/>
          <c:tx>
            <c:strRef>
              <c:f>Step3_Report!$B$76</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Step3_Report!$B$77:$B$78</c:f>
              <c:numCache>
                <c:formatCode>0.0%</c:formatCode>
                <c:ptCount val="2"/>
                <c:pt idx="0">
                  <c:v>0.875</c:v>
                </c:pt>
                <c:pt idx="1">
                  <c:v>0.91176470588235292</c:v>
                </c:pt>
              </c:numCache>
            </c:numRef>
          </c:val>
          <c:extLst>
            <c:ext xmlns:c16="http://schemas.microsoft.com/office/drawing/2014/chart" uri="{C3380CC4-5D6E-409C-BE32-E72D297353CC}">
              <c16:uniqueId val="{00000000-3200-45AD-8776-915277F1911C}"/>
            </c:ext>
          </c:extLst>
        </c:ser>
        <c:ser>
          <c:idx val="1"/>
          <c:order val="1"/>
          <c:tx>
            <c:strRef>
              <c:f>Step3_Report!$C$76</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Step3_Report!$C$77:$C$78</c:f>
              <c:numCache>
                <c:formatCode>0.0%</c:formatCode>
                <c:ptCount val="2"/>
                <c:pt idx="0">
                  <c:v>0.125</c:v>
                </c:pt>
                <c:pt idx="1">
                  <c:v>5.8823529411764705E-2</c:v>
                </c:pt>
              </c:numCache>
            </c:numRef>
          </c:val>
          <c:extLst>
            <c:ext xmlns:c16="http://schemas.microsoft.com/office/drawing/2014/chart" uri="{C3380CC4-5D6E-409C-BE32-E72D297353CC}">
              <c16:uniqueId val="{00000001-3200-45AD-8776-915277F1911C}"/>
            </c:ext>
          </c:extLst>
        </c:ser>
        <c:ser>
          <c:idx val="2"/>
          <c:order val="2"/>
          <c:tx>
            <c:strRef>
              <c:f>Step3_Report!$D$76</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Step3_Report!$D$77:$D$78</c:f>
              <c:numCache>
                <c:formatCode>0.0%</c:formatCode>
                <c:ptCount val="2"/>
                <c:pt idx="0">
                  <c:v>0</c:v>
                </c:pt>
                <c:pt idx="1">
                  <c:v>2.9411764705882353E-2</c:v>
                </c:pt>
              </c:numCache>
            </c:numRef>
          </c:val>
          <c:extLst>
            <c:ext xmlns:c16="http://schemas.microsoft.com/office/drawing/2014/chart" uri="{C3380CC4-5D6E-409C-BE32-E72D297353CC}">
              <c16:uniqueId val="{00000002-3200-45AD-8776-915277F1911C}"/>
            </c:ext>
          </c:extLst>
        </c:ser>
        <c:ser>
          <c:idx val="3"/>
          <c:order val="3"/>
          <c:tx>
            <c:strRef>
              <c:f>Step3_Report!$E$76</c:f>
              <c:strCache>
                <c:ptCount val="1"/>
                <c:pt idx="0">
                  <c:v>Convergence-characterised</c:v>
                </c:pt>
              </c:strCache>
            </c:strRef>
          </c:tx>
          <c:spPr>
            <a:solidFill>
              <a:schemeClr val="accent4"/>
            </a:solidFill>
            <a:ln>
              <a:noFill/>
            </a:ln>
            <a:effectLst/>
          </c:spPr>
          <c:invertIfNegative val="0"/>
          <c:dLbls>
            <c:numFmt formatCode="#,##0_);[Red]\(#,##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Step3_Report!$A$77:$A$78</c:f>
              <c:strCache>
                <c:ptCount val="2"/>
                <c:pt idx="0">
                  <c:v>Single (one data type)</c:v>
                </c:pt>
                <c:pt idx="1">
                  <c:v>Multi (two or more data types)</c:v>
                </c:pt>
              </c:strCache>
            </c:strRef>
          </c:cat>
          <c:val>
            <c:numRef>
              <c:f>Step3_Report!$E$77:$E$78</c:f>
              <c:numCache>
                <c:formatCode>0.0%</c:formatCode>
                <c:ptCount val="2"/>
                <c:pt idx="0">
                  <c:v>0</c:v>
                </c:pt>
                <c:pt idx="1">
                  <c:v>0</c:v>
                </c:pt>
              </c:numCache>
            </c:numRef>
          </c:val>
          <c:extLst>
            <c:ext xmlns:c16="http://schemas.microsoft.com/office/drawing/2014/chart" uri="{C3380CC4-5D6E-409C-BE32-E72D297353CC}">
              <c16:uniqueId val="{00000003-3200-45AD-8776-915277F1911C}"/>
            </c:ext>
          </c:extLst>
        </c:ser>
        <c:dLbls>
          <c:showLegendKey val="0"/>
          <c:showVal val="0"/>
          <c:showCatName val="0"/>
          <c:showSerName val="0"/>
          <c:showPercent val="0"/>
          <c:showBubbleSize val="0"/>
        </c:dLbls>
        <c:gapWidth val="150"/>
        <c:overlap val="100"/>
        <c:axId val="1353638495"/>
        <c:axId val="1353640895"/>
      </c:barChart>
      <c:catAx>
        <c:axId val="1353638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0895"/>
        <c:crosses val="autoZero"/>
        <c:auto val="1"/>
        <c:lblAlgn val="ctr"/>
        <c:lblOffset val="100"/>
        <c:noMultiLvlLbl val="0"/>
      </c:catAx>
      <c:valAx>
        <c:axId val="1353640895"/>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38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Gap 2 x Gap 4 counts: 122 of 137 multimodal studies do nothing adaptive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Step3_Report!$B$70</c:f>
              <c:strCache>
                <c:ptCount val="1"/>
                <c:pt idx="0">
                  <c:v>None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Step3_Report!$B$71:$B$72</c:f>
              <c:numCache>
                <c:formatCode>General</c:formatCode>
                <c:ptCount val="2"/>
                <c:pt idx="0">
                  <c:v>14</c:v>
                </c:pt>
                <c:pt idx="1">
                  <c:v>124</c:v>
                </c:pt>
              </c:numCache>
            </c:numRef>
          </c:val>
          <c:extLst>
            <c:ext xmlns:c16="http://schemas.microsoft.com/office/drawing/2014/chart" uri="{C3380CC4-5D6E-409C-BE32-E72D297353CC}">
              <c16:uniqueId val="{00000000-61EC-4CBD-9D38-C857A0131F55}"/>
            </c:ext>
          </c:extLst>
        </c:ser>
        <c:ser>
          <c:idx val="1"/>
          <c:order val="1"/>
          <c:tx>
            <c:strRef>
              <c:f>Step3_Report!$C$70</c:f>
              <c:strCache>
                <c:ptCount val="1"/>
                <c:pt idx="0">
                  <c:v>Mentioned only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Step3_Report!$C$71:$C$72</c:f>
              <c:numCache>
                <c:formatCode>General</c:formatCode>
                <c:ptCount val="2"/>
                <c:pt idx="0">
                  <c:v>2</c:v>
                </c:pt>
                <c:pt idx="1">
                  <c:v>8</c:v>
                </c:pt>
              </c:numCache>
            </c:numRef>
          </c:val>
          <c:extLst>
            <c:ext xmlns:c16="http://schemas.microsoft.com/office/drawing/2014/chart" uri="{C3380CC4-5D6E-409C-BE32-E72D297353CC}">
              <c16:uniqueId val="{00000001-61EC-4CBD-9D38-C857A0131F55}"/>
            </c:ext>
          </c:extLst>
        </c:ser>
        <c:ser>
          <c:idx val="2"/>
          <c:order val="2"/>
          <c:tx>
            <c:strRef>
              <c:f>Step3_Report!$D$70</c:f>
              <c:strCache>
                <c:ptCount val="1"/>
                <c:pt idx="0">
                  <c:v>Implemented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Step3_Report!$D$71:$D$72</c:f>
              <c:numCache>
                <c:formatCode>General</c:formatCode>
                <c:ptCount val="2"/>
                <c:pt idx="0">
                  <c:v>0</c:v>
                </c:pt>
                <c:pt idx="1">
                  <c:v>4</c:v>
                </c:pt>
              </c:numCache>
            </c:numRef>
          </c:val>
          <c:extLst>
            <c:ext xmlns:c16="http://schemas.microsoft.com/office/drawing/2014/chart" uri="{C3380CC4-5D6E-409C-BE32-E72D297353CC}">
              <c16:uniqueId val="{00000002-61EC-4CBD-9D38-C857A0131F55}"/>
            </c:ext>
          </c:extLst>
        </c:ser>
        <c:ser>
          <c:idx val="3"/>
          <c:order val="3"/>
          <c:tx>
            <c:strRef>
              <c:f>Step3_Report!$E$70</c:f>
              <c:strCache>
                <c:ptCount val="1"/>
                <c:pt idx="0">
                  <c:v>Convergence-characterised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Step3_Report!$A$71:$A$72</c:f>
              <c:strCache>
                <c:ptCount val="2"/>
                <c:pt idx="0">
                  <c:v>Single (one data type)</c:v>
                </c:pt>
                <c:pt idx="1">
                  <c:v>Multi (two or more data types)</c:v>
                </c:pt>
              </c:strCache>
            </c:strRef>
          </c:cat>
          <c:val>
            <c:numRef>
              <c:f>Step3_Report!$E$71:$E$72</c:f>
              <c:numCache>
                <c:formatCode>General</c:formatCode>
                <c:ptCount val="2"/>
                <c:pt idx="0">
                  <c:v>0</c:v>
                </c:pt>
                <c:pt idx="1">
                  <c:v>0</c:v>
                </c:pt>
              </c:numCache>
            </c:numRef>
          </c:val>
          <c:extLst>
            <c:ext xmlns:c16="http://schemas.microsoft.com/office/drawing/2014/chart" uri="{C3380CC4-5D6E-409C-BE32-E72D297353CC}">
              <c16:uniqueId val="{00000003-61EC-4CBD-9D38-C857A0131F55}"/>
            </c:ext>
          </c:extLst>
        </c:ser>
        <c:dLbls>
          <c:showLegendKey val="0"/>
          <c:showVal val="0"/>
          <c:showCatName val="0"/>
          <c:showSerName val="0"/>
          <c:showPercent val="0"/>
          <c:showBubbleSize val="0"/>
        </c:dLbls>
        <c:gapWidth val="219"/>
        <c:overlap val="-27"/>
        <c:axId val="1353644735"/>
        <c:axId val="1353645215"/>
      </c:barChart>
      <c:catAx>
        <c:axId val="135364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5215"/>
        <c:crosses val="autoZero"/>
        <c:auto val="1"/>
        <c:lblAlgn val="ctr"/>
        <c:lblOffset val="100"/>
        <c:noMultiLvlLbl val="0"/>
      </c:catAx>
      <c:valAx>
        <c:axId val="135364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53644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of the included studies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Step3_Report!$B$89</c:f>
              <c:strCache>
                <c:ptCount val="1"/>
                <c:pt idx="0">
                  <c:v>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C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Step3_Report!$A$90:$A$94</c:f>
              <c:strCache>
                <c:ptCount val="5"/>
                <c:pt idx="0">
                  <c:v>Single</c:v>
                </c:pt>
                <c:pt idx="1">
                  <c:v>Co-present</c:v>
                </c:pt>
                <c:pt idx="2">
                  <c:v>Aligned</c:v>
                </c:pt>
                <c:pt idx="3">
                  <c:v>Fused</c:v>
                </c:pt>
                <c:pt idx="4">
                  <c:v>Unclear</c:v>
                </c:pt>
              </c:strCache>
            </c:strRef>
          </c:cat>
          <c:val>
            <c:numRef>
              <c:f>Step3_Report!$B$90:$B$94</c:f>
              <c:numCache>
                <c:formatCode>General</c:formatCode>
                <c:ptCount val="5"/>
                <c:pt idx="0">
                  <c:v>19</c:v>
                </c:pt>
                <c:pt idx="1">
                  <c:v>3</c:v>
                </c:pt>
                <c:pt idx="2">
                  <c:v>40</c:v>
                </c:pt>
                <c:pt idx="3">
                  <c:v>71</c:v>
                </c:pt>
                <c:pt idx="4">
                  <c:v>19</c:v>
                </c:pt>
              </c:numCache>
            </c:numRef>
          </c:val>
          <c:extLst>
            <c:ext xmlns:c16="http://schemas.microsoft.com/office/drawing/2014/chart" uri="{C3380CC4-5D6E-409C-BE32-E72D297353CC}">
              <c16:uniqueId val="{00000000-4B0E-468E-A1D5-72263ED356D5}"/>
            </c:ext>
          </c:extLst>
        </c:ser>
        <c:dLbls>
          <c:showLegendKey val="0"/>
          <c:showVal val="0"/>
          <c:showCatName val="0"/>
          <c:showSerName val="0"/>
          <c:showPercent val="0"/>
          <c:showBubbleSize val="0"/>
        </c:dLbls>
        <c:gapWidth val="219"/>
        <c:overlap val="-27"/>
        <c:axId val="1124043775"/>
        <c:axId val="1124055775"/>
      </c:barChart>
      <c:catAx>
        <c:axId val="11240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5775"/>
        <c:crosses val="autoZero"/>
        <c:auto val="1"/>
        <c:lblAlgn val="ctr"/>
        <c:lblOffset val="100"/>
        <c:noMultiLvlLbl val="0"/>
      </c:catAx>
      <c:valAx>
        <c:axId val="1124055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Fusion depth x self-improvement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barChart>
        <c:barDir val="col"/>
        <c:grouping val="clustered"/>
        <c:varyColors val="0"/>
        <c:ser>
          <c:idx val="0"/>
          <c:order val="0"/>
          <c:tx>
            <c:strRef>
              <c:f>Step3_Report!$B$98</c:f>
              <c:strCache>
                <c:ptCount val="1"/>
                <c:pt idx="0">
                  <c:v>None</c:v>
                </c:pt>
              </c:strCache>
            </c:strRef>
          </c:tx>
          <c:spPr>
            <a:solidFill>
              <a:schemeClr val="accent1"/>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Step3_Report!$B$99:$B$103</c:f>
              <c:numCache>
                <c:formatCode>General</c:formatCode>
                <c:ptCount val="5"/>
                <c:pt idx="0">
                  <c:v>17</c:v>
                </c:pt>
                <c:pt idx="1">
                  <c:v>3</c:v>
                </c:pt>
                <c:pt idx="2">
                  <c:v>36</c:v>
                </c:pt>
                <c:pt idx="3">
                  <c:v>67</c:v>
                </c:pt>
                <c:pt idx="4">
                  <c:v>15</c:v>
                </c:pt>
              </c:numCache>
            </c:numRef>
          </c:val>
          <c:extLst>
            <c:ext xmlns:c16="http://schemas.microsoft.com/office/drawing/2014/chart" uri="{C3380CC4-5D6E-409C-BE32-E72D297353CC}">
              <c16:uniqueId val="{00000000-C41C-4AF6-9A7B-51BE5569739A}"/>
            </c:ext>
          </c:extLst>
        </c:ser>
        <c:ser>
          <c:idx val="1"/>
          <c:order val="1"/>
          <c:tx>
            <c:strRef>
              <c:f>Step3_Report!$C$98</c:f>
              <c:strCache>
                <c:ptCount val="1"/>
                <c:pt idx="0">
                  <c:v>Mentioned only</c:v>
                </c:pt>
              </c:strCache>
            </c:strRef>
          </c:tx>
          <c:spPr>
            <a:solidFill>
              <a:schemeClr val="accent2"/>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Step3_Report!$C$99:$C$103</c:f>
              <c:numCache>
                <c:formatCode>General</c:formatCode>
                <c:ptCount val="5"/>
                <c:pt idx="0">
                  <c:v>2</c:v>
                </c:pt>
                <c:pt idx="1">
                  <c:v>0</c:v>
                </c:pt>
                <c:pt idx="2">
                  <c:v>3</c:v>
                </c:pt>
                <c:pt idx="3">
                  <c:v>1</c:v>
                </c:pt>
                <c:pt idx="4">
                  <c:v>4</c:v>
                </c:pt>
              </c:numCache>
            </c:numRef>
          </c:val>
          <c:extLst>
            <c:ext xmlns:c16="http://schemas.microsoft.com/office/drawing/2014/chart" uri="{C3380CC4-5D6E-409C-BE32-E72D297353CC}">
              <c16:uniqueId val="{00000001-C41C-4AF6-9A7B-51BE5569739A}"/>
            </c:ext>
          </c:extLst>
        </c:ser>
        <c:ser>
          <c:idx val="2"/>
          <c:order val="2"/>
          <c:tx>
            <c:strRef>
              <c:f>Step3_Report!$D$98</c:f>
              <c:strCache>
                <c:ptCount val="1"/>
                <c:pt idx="0">
                  <c:v>Implemented</c:v>
                </c:pt>
              </c:strCache>
            </c:strRef>
          </c:tx>
          <c:spPr>
            <a:solidFill>
              <a:schemeClr val="accent3"/>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Step3_Report!$D$99:$D$103</c:f>
              <c:numCache>
                <c:formatCode>General</c:formatCode>
                <c:ptCount val="5"/>
                <c:pt idx="0">
                  <c:v>0</c:v>
                </c:pt>
                <c:pt idx="1">
                  <c:v>0</c:v>
                </c:pt>
                <c:pt idx="2">
                  <c:v>1</c:v>
                </c:pt>
                <c:pt idx="3">
                  <c:v>3</c:v>
                </c:pt>
                <c:pt idx="4">
                  <c:v>0</c:v>
                </c:pt>
              </c:numCache>
            </c:numRef>
          </c:val>
          <c:extLst>
            <c:ext xmlns:c16="http://schemas.microsoft.com/office/drawing/2014/chart" uri="{C3380CC4-5D6E-409C-BE32-E72D297353CC}">
              <c16:uniqueId val="{00000002-C41C-4AF6-9A7B-51BE5569739A}"/>
            </c:ext>
          </c:extLst>
        </c:ser>
        <c:ser>
          <c:idx val="3"/>
          <c:order val="3"/>
          <c:tx>
            <c:strRef>
              <c:f>Step3_Report!$E$98</c:f>
              <c:strCache>
                <c:ptCount val="1"/>
                <c:pt idx="0">
                  <c:v>Convergence-characterised</c:v>
                </c:pt>
              </c:strCache>
            </c:strRef>
          </c:tx>
          <c:spPr>
            <a:solidFill>
              <a:schemeClr val="accent4"/>
            </a:solidFill>
            <a:ln>
              <a:noFill/>
            </a:ln>
            <a:effectLst/>
          </c:spPr>
          <c:invertIfNegative val="0"/>
          <c:cat>
            <c:strRef>
              <c:f>Step3_Report!$A$99:$A$103</c:f>
              <c:strCache>
                <c:ptCount val="5"/>
                <c:pt idx="0">
                  <c:v>Single</c:v>
                </c:pt>
                <c:pt idx="1">
                  <c:v>Co-present</c:v>
                </c:pt>
                <c:pt idx="2">
                  <c:v>Aligned</c:v>
                </c:pt>
                <c:pt idx="3">
                  <c:v>Fused</c:v>
                </c:pt>
                <c:pt idx="4">
                  <c:v>Unclear</c:v>
                </c:pt>
              </c:strCache>
            </c:strRef>
          </c:cat>
          <c:val>
            <c:numRef>
              <c:f>Step3_Report!$E$99:$E$103</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C41C-4AF6-9A7B-51BE5569739A}"/>
            </c:ext>
          </c:extLst>
        </c:ser>
        <c:dLbls>
          <c:showLegendKey val="0"/>
          <c:showVal val="0"/>
          <c:showCatName val="0"/>
          <c:showSerName val="0"/>
          <c:showPercent val="0"/>
          <c:showBubbleSize val="0"/>
        </c:dLbls>
        <c:gapWidth val="219"/>
        <c:overlap val="-27"/>
        <c:axId val="1124045215"/>
        <c:axId val="1124050015"/>
      </c:barChart>
      <c:catAx>
        <c:axId val="11240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50015"/>
        <c:crosses val="autoZero"/>
        <c:auto val="1"/>
        <c:lblAlgn val="ctr"/>
        <c:lblOffset val="100"/>
        <c:noMultiLvlLbl val="0"/>
      </c:catAx>
      <c:valAx>
        <c:axId val="112405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24045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246185</xdr:colOff>
      <xdr:row>0</xdr:row>
      <xdr:rowOff>99645</xdr:rowOff>
    </xdr:from>
    <xdr:to>
      <xdr:col>1</xdr:col>
      <xdr:colOff>6383216</xdr:colOff>
      <xdr:row>2</xdr:row>
      <xdr:rowOff>164513</xdr:rowOff>
    </xdr:to>
    <xdr:sp macro="" textlink="">
      <xdr:nvSpPr>
        <xdr:cNvPr id="2" name="PR_Title">
          <a:extLst>
            <a:ext uri="{FF2B5EF4-FFF2-40B4-BE49-F238E27FC236}">
              <a16:creationId xmlns:a16="http://schemas.microsoft.com/office/drawing/2014/main" id="{F54AFED2-90F1-40D2-9D82-D4B0EDDC560B}"/>
            </a:ext>
          </a:extLst>
        </xdr:cNvPr>
        <xdr:cNvSpPr/>
      </xdr:nvSpPr>
      <xdr:spPr>
        <a:xfrm>
          <a:off x="246185" y="99645"/>
          <a:ext cx="7280031" cy="428283"/>
        </a:xfrm>
        <a:prstGeom prst="roundRect">
          <a:avLst/>
        </a:prstGeom>
        <a:solidFill>
          <a:srgbClr val="FFFFFF"/>
        </a:solidFill>
        <a:ln w="25400" cap="flat" cmpd="sng" algn="ctr">
          <a:solidFill>
            <a:srgbClr val="FFFFFF"/>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300" b="1" i="0" u="none" strike="noStrike" kern="0" cap="none" spc="0" normalizeH="0" baseline="0" noProof="0">
              <a:ln>
                <a:noFill/>
              </a:ln>
              <a:solidFill>
                <a:srgbClr val="1F3864"/>
              </a:solidFill>
              <a:effectLst/>
              <a:uLnTx/>
              <a:uFillTx/>
              <a:latin typeface="Arial"/>
              <a:cs typeface="Arial"/>
            </a:rPr>
            <a:t>PRISMA 2020 flow diagram — Digital Twins for Design for Safety &amp; Quality in AECO</a:t>
          </a:r>
          <a:endParaRPr kumimoji="0" lang="zh-CN" altLang="en-US" sz="1300" b="1" i="0" u="none" strike="noStrike" kern="0" cap="none" spc="0" normalizeH="0" baseline="0" noProof="0">
            <a:ln>
              <a:noFill/>
            </a:ln>
            <a:solidFill>
              <a:srgbClr val="1F3864"/>
            </a:solidFill>
            <a:effectLst/>
            <a:uLnTx/>
            <a:uFillTx/>
            <a:latin typeface="Arial"/>
            <a:cs typeface="Arial"/>
          </a:endParaRPr>
        </a:p>
      </xdr:txBody>
    </xdr:sp>
    <xdr:clientData/>
  </xdr:twoCellAnchor>
  <xdr:twoCellAnchor>
    <xdr:from>
      <xdr:col>1</xdr:col>
      <xdr:colOff>242400</xdr:colOff>
      <xdr:row>6</xdr:row>
      <xdr:rowOff>7880</xdr:rowOff>
    </xdr:from>
    <xdr:to>
      <xdr:col>1</xdr:col>
      <xdr:colOff>2682000</xdr:colOff>
      <xdr:row>9</xdr:row>
      <xdr:rowOff>142160</xdr:rowOff>
    </xdr:to>
    <xdr:sp macro="" textlink="">
      <xdr:nvSpPr>
        <xdr:cNvPr id="3" name="PR_Identified">
          <a:extLst>
            <a:ext uri="{FF2B5EF4-FFF2-40B4-BE49-F238E27FC236}">
              <a16:creationId xmlns:a16="http://schemas.microsoft.com/office/drawing/2014/main" id="{B7DCA833-B023-46D3-B638-EFC6ED955FF8}"/>
            </a:ext>
          </a:extLst>
        </xdr:cNvPr>
        <xdr:cNvSpPr/>
      </xdr:nvSpPr>
      <xdr:spPr>
        <a:xfrm>
          <a:off x="5918400" y="1087880"/>
          <a:ext cx="2439600" cy="674280"/>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1000" b="1" i="0" u="none" strike="noStrike" kern="0" cap="none" spc="0" normalizeH="0" baseline="0" noProof="0">
              <a:ln>
                <a:noFill/>
              </a:ln>
              <a:solidFill>
                <a:srgbClr val="000000"/>
              </a:solidFill>
              <a:effectLst/>
              <a:uLnTx/>
              <a:uFillTx/>
              <a:latin typeface="Arial"/>
              <a:cs typeface="Arial"/>
            </a:rPr>
            <a:t>Records identified (n = 562)</a:t>
          </a:r>
        </a:p>
        <a:p>
          <a:pPr algn="l"/>
          <a:r>
            <a:rPr kumimoji="0" lang="en-GB" altLang="zh-CN" sz="1000" b="1" i="0" u="none" strike="noStrike" kern="0" cap="none" spc="0" normalizeH="0" baseline="0" noProof="0">
              <a:ln>
                <a:noFill/>
              </a:ln>
              <a:solidFill>
                <a:srgbClr val="000000"/>
              </a:solidFill>
              <a:effectLst/>
              <a:uLnTx/>
              <a:uFillTx/>
              <a:latin typeface="Arial"/>
              <a:cs typeface="Arial"/>
            </a:rPr>
            <a:t>- Scopus = 381 </a:t>
          </a:r>
        </a:p>
        <a:p>
          <a:pPr algn="l"/>
          <a:r>
            <a:rPr kumimoji="0" lang="en-GB" altLang="zh-CN" sz="1000" b="1" i="0" u="none" strike="noStrike" kern="0" cap="none" spc="0" normalizeH="0" baseline="0" noProof="0">
              <a:ln>
                <a:noFill/>
              </a:ln>
              <a:solidFill>
                <a:srgbClr val="000000"/>
              </a:solidFill>
              <a:effectLst/>
              <a:uLnTx/>
              <a:uFillTx/>
              <a:latin typeface="Arial"/>
              <a:cs typeface="Arial"/>
            </a:rPr>
            <a:t>- Web of Science = 181</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12</xdr:row>
      <xdr:rowOff>18971</xdr:rowOff>
    </xdr:from>
    <xdr:to>
      <xdr:col>1</xdr:col>
      <xdr:colOff>2672400</xdr:colOff>
      <xdr:row>15</xdr:row>
      <xdr:rowOff>23447</xdr:rowOff>
    </xdr:to>
    <xdr:sp macro="" textlink="">
      <xdr:nvSpPr>
        <xdr:cNvPr id="4" name="PR_Screened">
          <a:extLst>
            <a:ext uri="{FF2B5EF4-FFF2-40B4-BE49-F238E27FC236}">
              <a16:creationId xmlns:a16="http://schemas.microsoft.com/office/drawing/2014/main" id="{71DF9909-26C3-4D29-9B32-12A7B5018837}"/>
            </a:ext>
          </a:extLst>
        </xdr:cNvPr>
        <xdr:cNvSpPr/>
      </xdr:nvSpPr>
      <xdr:spPr>
        <a:xfrm>
          <a:off x="1295400" y="2199463"/>
          <a:ext cx="2520000" cy="549599"/>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1st screening by Title &amp; abstract
n = 429</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152400</xdr:colOff>
      <xdr:row>18</xdr:row>
      <xdr:rowOff>25010</xdr:rowOff>
    </xdr:from>
    <xdr:to>
      <xdr:col>1</xdr:col>
      <xdr:colOff>2672400</xdr:colOff>
      <xdr:row>21</xdr:row>
      <xdr:rowOff>85969</xdr:rowOff>
    </xdr:to>
    <xdr:sp macro="" textlink="">
      <xdr:nvSpPr>
        <xdr:cNvPr id="5" name="PR_Sought">
          <a:extLst>
            <a:ext uri="{FF2B5EF4-FFF2-40B4-BE49-F238E27FC236}">
              <a16:creationId xmlns:a16="http://schemas.microsoft.com/office/drawing/2014/main" id="{113834DB-292F-4C09-9062-DBF69EA35E12}"/>
            </a:ext>
          </a:extLst>
        </xdr:cNvPr>
        <xdr:cNvSpPr/>
      </xdr:nvSpPr>
      <xdr:spPr>
        <a:xfrm>
          <a:off x="1295400" y="3295748"/>
          <a:ext cx="2520000" cy="606083"/>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Reports sought for full text retrieval
n = 167</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176124</xdr:colOff>
      <xdr:row>23</xdr:row>
      <xdr:rowOff>88295</xdr:rowOff>
    </xdr:from>
    <xdr:to>
      <xdr:col>1</xdr:col>
      <xdr:colOff>2696124</xdr:colOff>
      <xdr:row>27</xdr:row>
      <xdr:rowOff>44283</xdr:rowOff>
    </xdr:to>
    <xdr:sp macro="" textlink="">
      <xdr:nvSpPr>
        <xdr:cNvPr id="6" name="PR_Assessed">
          <a:extLst>
            <a:ext uri="{FF2B5EF4-FFF2-40B4-BE49-F238E27FC236}">
              <a16:creationId xmlns:a16="http://schemas.microsoft.com/office/drawing/2014/main" id="{70C69FC0-E4EC-4912-8BEF-24FC89C4AFA4}"/>
            </a:ext>
          </a:extLst>
        </xdr:cNvPr>
        <xdr:cNvSpPr/>
      </xdr:nvSpPr>
      <xdr:spPr>
        <a:xfrm>
          <a:off x="5852124" y="4228295"/>
          <a:ext cx="2520000" cy="675988"/>
        </a:xfrm>
        <a:prstGeom prst="roundRect">
          <a:avLst/>
        </a:prstGeom>
        <a:solidFill>
          <a:srgbClr val="DCE9F7"/>
        </a:solidFill>
        <a:ln w="25400" cap="flat" cmpd="sng" algn="ctr">
          <a:solidFill>
            <a:srgbClr val="2E5C8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000" b="1" i="0" u="none" strike="noStrike" kern="0" cap="none" spc="0" normalizeH="0" baseline="0" noProof="0">
              <a:ln>
                <a:noFill/>
              </a:ln>
              <a:solidFill>
                <a:srgbClr val="000000"/>
              </a:solidFill>
              <a:effectLst/>
              <a:uLnTx/>
              <a:uFillTx/>
              <a:latin typeface="Arial"/>
              <a:cs typeface="Arial"/>
            </a:rPr>
            <a:t>Full texts assessed for eligibility
n = 163</a:t>
          </a:r>
          <a:endParaRPr kumimoji="0" lang="zh-CN" altLang="en-US" sz="1000" b="1"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141883</xdr:colOff>
      <xdr:row>28</xdr:row>
      <xdr:rowOff>161736</xdr:rowOff>
    </xdr:from>
    <xdr:to>
      <xdr:col>1</xdr:col>
      <xdr:colOff>5604000</xdr:colOff>
      <xdr:row>30</xdr:row>
      <xdr:rowOff>161737</xdr:rowOff>
    </xdr:to>
    <xdr:sp macro="" textlink="">
      <xdr:nvSpPr>
        <xdr:cNvPr id="7" name="PR_Included">
          <a:extLst>
            <a:ext uri="{FF2B5EF4-FFF2-40B4-BE49-F238E27FC236}">
              <a16:creationId xmlns:a16="http://schemas.microsoft.com/office/drawing/2014/main" id="{0809F1B0-65B2-4DFE-BB0B-343687A1CA9E}"/>
            </a:ext>
          </a:extLst>
        </xdr:cNvPr>
        <xdr:cNvSpPr/>
      </xdr:nvSpPr>
      <xdr:spPr>
        <a:xfrm>
          <a:off x="5817883" y="5201736"/>
          <a:ext cx="5462117" cy="360001"/>
        </a:xfrm>
        <a:prstGeom prst="roundRect">
          <a:avLst/>
        </a:prstGeom>
        <a:solidFill>
          <a:srgbClr val="2E5C8A"/>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1100" b="1" i="0" u="none" strike="noStrike" kern="0" cap="none" spc="0" normalizeH="0" baseline="0" noProof="0">
              <a:ln>
                <a:noFill/>
              </a:ln>
              <a:solidFill>
                <a:srgbClr val="FFFFFF"/>
              </a:solidFill>
              <a:effectLst/>
              <a:uLnTx/>
              <a:uFillTx/>
              <a:latin typeface="Arial"/>
              <a:cs typeface="Arial"/>
            </a:rPr>
            <a:t>Studies Included In Synthesis (n = 152)</a:t>
          </a:r>
          <a:endParaRPr kumimoji="0" lang="zh-CN" altLang="en-US" sz="11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3075770</xdr:colOff>
      <xdr:row>10</xdr:row>
      <xdr:rowOff>132000</xdr:rowOff>
    </xdr:from>
    <xdr:to>
      <xdr:col>1</xdr:col>
      <xdr:colOff>5604000</xdr:colOff>
      <xdr:row>16</xdr:row>
      <xdr:rowOff>113999</xdr:rowOff>
    </xdr:to>
    <xdr:sp macro="" textlink="">
      <xdr:nvSpPr>
        <xdr:cNvPr id="8" name="PR_Excluded1">
          <a:extLst>
            <a:ext uri="{FF2B5EF4-FFF2-40B4-BE49-F238E27FC236}">
              <a16:creationId xmlns:a16="http://schemas.microsoft.com/office/drawing/2014/main" id="{54414F45-B2CF-4E7A-B0F6-118008958F1D}"/>
            </a:ext>
          </a:extLst>
        </xdr:cNvPr>
        <xdr:cNvSpPr/>
      </xdr:nvSpPr>
      <xdr:spPr>
        <a:xfrm>
          <a:off x="8751770" y="1932000"/>
          <a:ext cx="2528230" cy="1061999"/>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excluded in 1st screening (n = 262)
1. Wrong domain (non-AECO): : a = 99
2. Digital Twin not core / buzzword b = 133
3. No DfS/DfQ: c = 101</a:t>
          </a:r>
        </a:p>
        <a:p>
          <a:pPr algn="l"/>
          <a:r>
            <a:rPr kumimoji="0" lang="en-GB" altLang="zh-CN" sz="900" b="0" i="0" u="none" strike="noStrike" kern="0" cap="none" spc="0" normalizeH="0" baseline="0" noProof="0">
              <a:ln>
                <a:noFill/>
              </a:ln>
              <a:solidFill>
                <a:srgbClr val="000000"/>
              </a:solidFill>
              <a:effectLst/>
              <a:uLnTx/>
              <a:uFillTx/>
              <a:latin typeface="Arial"/>
              <a:cs typeface="Arial"/>
            </a:rPr>
            <a:t>4. Non-English: d = 59</a:t>
          </a:r>
        </a:p>
        <a:p>
          <a:pPr algn="l"/>
          <a:r>
            <a:rPr kumimoji="0" lang="en-GB" altLang="zh-CN" sz="900" b="0" i="0" u="none" strike="noStrike" kern="0" cap="none" spc="0" normalizeH="0" baseline="0" noProof="0">
              <a:ln>
                <a:noFill/>
              </a:ln>
              <a:solidFill>
                <a:srgbClr val="000000"/>
              </a:solidFill>
              <a:effectLst/>
              <a:uLnTx/>
              <a:uFillTx/>
              <a:latin typeface="Arial"/>
              <a:cs typeface="Arial"/>
            </a:rPr>
            <a:t>(a,b,c,d are not mutually exclusive.)</a:t>
          </a:r>
        </a:p>
        <a:p>
          <a:pPr algn="l"/>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3089023</xdr:colOff>
      <xdr:row>17</xdr:row>
      <xdr:rowOff>164123</xdr:rowOff>
    </xdr:from>
    <xdr:to>
      <xdr:col>1</xdr:col>
      <xdr:colOff>5592000</xdr:colOff>
      <xdr:row>21</xdr:row>
      <xdr:rowOff>123092</xdr:rowOff>
    </xdr:to>
    <xdr:sp macro="" textlink="">
      <xdr:nvSpPr>
        <xdr:cNvPr id="9" name="PR_NotRetrieved">
          <a:extLst>
            <a:ext uri="{FF2B5EF4-FFF2-40B4-BE49-F238E27FC236}">
              <a16:creationId xmlns:a16="http://schemas.microsoft.com/office/drawing/2014/main" id="{2F786C16-B7BC-430C-A2CB-5E5E74BFD5BE}"/>
            </a:ext>
          </a:extLst>
        </xdr:cNvPr>
        <xdr:cNvSpPr/>
      </xdr:nvSpPr>
      <xdr:spPr>
        <a:xfrm>
          <a:off x="8765023" y="3224123"/>
          <a:ext cx="2502977" cy="678969"/>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2nd screening (n = 4)
1. full-text PDF not retrieved: a = 2
2. 2nd deduplication: b = 2</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3071999</xdr:colOff>
      <xdr:row>22</xdr:row>
      <xdr:rowOff>161341</xdr:rowOff>
    </xdr:from>
    <xdr:to>
      <xdr:col>1</xdr:col>
      <xdr:colOff>5622000</xdr:colOff>
      <xdr:row>27</xdr:row>
      <xdr:rowOff>162000</xdr:rowOff>
    </xdr:to>
    <xdr:sp macro="" textlink="">
      <xdr:nvSpPr>
        <xdr:cNvPr id="10" name="PR_Excluded2">
          <a:extLst>
            <a:ext uri="{FF2B5EF4-FFF2-40B4-BE49-F238E27FC236}">
              <a16:creationId xmlns:a16="http://schemas.microsoft.com/office/drawing/2014/main" id="{621776A6-D9F6-4381-B637-1ED1453FFEF9}"/>
            </a:ext>
          </a:extLst>
        </xdr:cNvPr>
        <xdr:cNvSpPr/>
      </xdr:nvSpPr>
      <xdr:spPr>
        <a:xfrm>
          <a:off x="8747999" y="4121341"/>
          <a:ext cx="2550001" cy="900659"/>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Excluded for either one of following: (n = 11)
1. Digital Twin not core / buzzword: a = 10
2. No DfS/DfQ: b = 3</a:t>
          </a:r>
        </a:p>
        <a:p>
          <a:pPr algn="l"/>
          <a:r>
            <a:rPr kumimoji="0" lang="en-GB" altLang="zh-CN" sz="900" b="0" i="0" u="none" strike="noStrike" kern="0" cap="none" spc="0" normalizeH="0" baseline="0" noProof="0">
              <a:ln>
                <a:noFill/>
              </a:ln>
              <a:solidFill>
                <a:srgbClr val="000000"/>
              </a:solidFill>
              <a:effectLst/>
              <a:uLnTx/>
              <a:uFillTx/>
              <a:latin typeface="Arial"/>
              <a:cs typeface="Arial"/>
            </a:rPr>
            <a:t>3. Methodologies not clear to analyze:  c = 6</a:t>
          </a:r>
        </a:p>
        <a:p>
          <a:pPr algn="l"/>
          <a:r>
            <a:rPr kumimoji="0" lang="en-GB" altLang="zh-CN" sz="900" b="0" i="0" u="none" strike="noStrike" kern="0" cap="none" spc="0" normalizeH="0" baseline="0" noProof="0">
              <a:ln>
                <a:noFill/>
              </a:ln>
              <a:solidFill>
                <a:srgbClr val="000000"/>
              </a:solidFill>
              <a:effectLst/>
              <a:uLnTx/>
              <a:uFillTx/>
              <a:latin typeface="Arial"/>
              <a:cs typeface="Arial"/>
            </a:rPr>
            <a:t>(a,b,c are not mutually exclusive.)</a:t>
          </a:r>
        </a:p>
      </xdr:txBody>
    </xdr:sp>
    <xdr:clientData/>
  </xdr:twoCellAnchor>
  <xdr:twoCellAnchor editAs="oneCell">
    <xdr:from>
      <xdr:col>1</xdr:col>
      <xdr:colOff>134815</xdr:colOff>
      <xdr:row>32</xdr:row>
      <xdr:rowOff>132471</xdr:rowOff>
    </xdr:from>
    <xdr:to>
      <xdr:col>1</xdr:col>
      <xdr:colOff>2651005</xdr:colOff>
      <xdr:row>39</xdr:row>
      <xdr:rowOff>69605</xdr:rowOff>
    </xdr:to>
    <xdr:sp macro="" textlink="">
      <xdr:nvSpPr>
        <xdr:cNvPr id="19" name="PR_PanelTier">
          <a:extLst>
            <a:ext uri="{FF2B5EF4-FFF2-40B4-BE49-F238E27FC236}">
              <a16:creationId xmlns:a16="http://schemas.microsoft.com/office/drawing/2014/main" id="{68B1B8F9-02C9-4E39-9600-5673CE902036}"/>
            </a:ext>
          </a:extLst>
        </xdr:cNvPr>
        <xdr:cNvSpPr/>
      </xdr:nvSpPr>
      <xdr:spPr>
        <a:xfrm>
          <a:off x="1277815" y="5947117"/>
          <a:ext cx="2520000"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Digital Twin capability tier (Gap 1)
• Tier 1 – Digital Model: 31  (20.4%)
• Tier 2 – Digital Shadow: 92  (60.5%)
• Tier 3 – Digital Twin: 21  (13.8%)
• Tier 4 – Cognitive: 0  (0.0%)
• Unclear: 8  (5.3%)</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32</xdr:row>
      <xdr:rowOff>110700</xdr:rowOff>
    </xdr:from>
    <xdr:to>
      <xdr:col>2</xdr:col>
      <xdr:colOff>196272</xdr:colOff>
      <xdr:row>39</xdr:row>
      <xdr:rowOff>53549</xdr:rowOff>
    </xdr:to>
    <xdr:sp macro="" textlink="">
      <xdr:nvSpPr>
        <xdr:cNvPr id="20" name="PR_PanelSelf">
          <a:extLst>
            <a:ext uri="{FF2B5EF4-FFF2-40B4-BE49-F238E27FC236}">
              <a16:creationId xmlns:a16="http://schemas.microsoft.com/office/drawing/2014/main" id="{4E94302C-EB3E-44E9-81E1-0D4D79BC0D4A}"/>
            </a:ext>
          </a:extLst>
        </xdr:cNvPr>
        <xdr:cNvSpPr/>
      </xdr:nvSpPr>
      <xdr:spPr>
        <a:xfrm>
          <a:off x="4134356" y="5925346"/>
          <a:ext cx="3808965" cy="1210993"/>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Self-improvement / convergence (Gap 4 - core gap)
• None: 138  (90.8%)
• Mentioned only: 10  (6.6%)
• Implemented: 4  (2.6%)
• Convergence-characterised: 0  (0.0%)</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134815</xdr:colOff>
      <xdr:row>40</xdr:row>
      <xdr:rowOff>56661</xdr:rowOff>
    </xdr:from>
    <xdr:to>
      <xdr:col>1</xdr:col>
      <xdr:colOff>2651005</xdr:colOff>
      <xdr:row>46</xdr:row>
      <xdr:rowOff>174771</xdr:rowOff>
    </xdr:to>
    <xdr:sp macro="" textlink="">
      <xdr:nvSpPr>
        <xdr:cNvPr id="21" name="PR_PanelValid">
          <a:extLst>
            <a:ext uri="{FF2B5EF4-FFF2-40B4-BE49-F238E27FC236}">
              <a16:creationId xmlns:a16="http://schemas.microsoft.com/office/drawing/2014/main" id="{BE36953E-1673-4F53-A345-762FDA8EDA3D}"/>
            </a:ext>
          </a:extLst>
        </xdr:cNvPr>
        <xdr:cNvSpPr/>
      </xdr:nvSpPr>
      <xdr:spPr>
        <a:xfrm>
          <a:off x="1277815" y="7324969"/>
          <a:ext cx="2520000"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Validation level (Gap 5)
• Conceptual (no test): 19  (12.5%)
• Simulation: 16  (10.5%)
• Lab / scale-model experiment: 5  (3.3%)
• Single case study: 104  (68.4%)
• Cross-project (multiple real projects): 8  (5.3%)</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editAs="oneCell">
    <xdr:from>
      <xdr:col>1</xdr:col>
      <xdr:colOff>2991356</xdr:colOff>
      <xdr:row>40</xdr:row>
      <xdr:rowOff>34890</xdr:rowOff>
    </xdr:from>
    <xdr:to>
      <xdr:col>2</xdr:col>
      <xdr:colOff>196272</xdr:colOff>
      <xdr:row>46</xdr:row>
      <xdr:rowOff>158715</xdr:rowOff>
    </xdr:to>
    <xdr:sp macro="" textlink="">
      <xdr:nvSpPr>
        <xdr:cNvPr id="22" name="PR_PanelPhase">
          <a:extLst>
            <a:ext uri="{FF2B5EF4-FFF2-40B4-BE49-F238E27FC236}">
              <a16:creationId xmlns:a16="http://schemas.microsoft.com/office/drawing/2014/main" id="{37C52BAE-B283-402D-A1EB-427525A2251B}"/>
            </a:ext>
          </a:extLst>
        </xdr:cNvPr>
        <xdr:cNvSpPr/>
      </xdr:nvSpPr>
      <xdr:spPr>
        <a:xfrm>
          <a:off x="4134356" y="7303198"/>
          <a:ext cx="3808965" cy="1212166"/>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Lifecycle phase coverage (Gap 3)
• Design (any): 5
• Construction (any): 82
• Operation (any): 72
• Single-phase: 147
• Multi-phase (cross-phase): 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0</xdr:col>
      <xdr:colOff>5341179</xdr:colOff>
      <xdr:row>5</xdr:row>
      <xdr:rowOff>131999</xdr:rowOff>
    </xdr:from>
    <xdr:to>
      <xdr:col>1</xdr:col>
      <xdr:colOff>57779</xdr:colOff>
      <xdr:row>11</xdr:row>
      <xdr:rowOff>131999</xdr:rowOff>
    </xdr:to>
    <xdr:sp macro="" textlink="">
      <xdr:nvSpPr>
        <xdr:cNvPr id="23" name="PR_Band_Identification">
          <a:extLst>
            <a:ext uri="{FF2B5EF4-FFF2-40B4-BE49-F238E27FC236}">
              <a16:creationId xmlns:a16="http://schemas.microsoft.com/office/drawing/2014/main" id="{80EE9228-6141-49F6-841B-53643421245E}"/>
            </a:ext>
          </a:extLst>
        </xdr:cNvPr>
        <xdr:cNvSpPr/>
      </xdr:nvSpPr>
      <xdr:spPr>
        <a:xfrm rot="16200000">
          <a:off x="4997479" y="1375699"/>
          <a:ext cx="1080000" cy="392600"/>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IDENTIFICATION</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5341184</xdr:colOff>
      <xdr:row>12</xdr:row>
      <xdr:rowOff>23932</xdr:rowOff>
    </xdr:from>
    <xdr:to>
      <xdr:col>1</xdr:col>
      <xdr:colOff>54633</xdr:colOff>
      <xdr:row>26</xdr:row>
      <xdr:rowOff>133788</xdr:rowOff>
    </xdr:to>
    <xdr:sp macro="" textlink="">
      <xdr:nvSpPr>
        <xdr:cNvPr id="24" name="PR_Band_Screening">
          <a:extLst>
            <a:ext uri="{FF2B5EF4-FFF2-40B4-BE49-F238E27FC236}">
              <a16:creationId xmlns:a16="http://schemas.microsoft.com/office/drawing/2014/main" id="{6CA82855-9A90-40E0-B1CC-1E0448CD840B}"/>
            </a:ext>
          </a:extLst>
        </xdr:cNvPr>
        <xdr:cNvSpPr/>
      </xdr:nvSpPr>
      <xdr:spPr>
        <a:xfrm rot="16200000">
          <a:off x="4220981" y="3304135"/>
          <a:ext cx="2629856" cy="389449"/>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Two Round SCREENING</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0</xdr:col>
      <xdr:colOff>5311351</xdr:colOff>
      <xdr:row>32</xdr:row>
      <xdr:rowOff>152022</xdr:rowOff>
    </xdr:from>
    <xdr:to>
      <xdr:col>1</xdr:col>
      <xdr:colOff>0</xdr:colOff>
      <xdr:row>51</xdr:row>
      <xdr:rowOff>149680</xdr:rowOff>
    </xdr:to>
    <xdr:sp macro="" textlink="">
      <xdr:nvSpPr>
        <xdr:cNvPr id="25" name="PR_Band_Included">
          <a:extLst>
            <a:ext uri="{FF2B5EF4-FFF2-40B4-BE49-F238E27FC236}">
              <a16:creationId xmlns:a16="http://schemas.microsoft.com/office/drawing/2014/main" id="{56FB721B-06FB-47A5-9AEA-144C6F204890}"/>
            </a:ext>
          </a:extLst>
        </xdr:cNvPr>
        <xdr:cNvSpPr/>
      </xdr:nvSpPr>
      <xdr:spPr>
        <a:xfrm rot="16200000">
          <a:off x="3813453" y="7310491"/>
          <a:ext cx="3358623" cy="362828"/>
        </a:xfrm>
        <a:prstGeom prst="roundRect">
          <a:avLst/>
        </a:prstGeom>
        <a:solidFill>
          <a:srgbClr val="1F3864"/>
        </a:solidFill>
        <a:ln w="25400" cap="flat" cmpd="sng" algn="ctr">
          <a:solidFill>
            <a:srgbClr val="1F386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ctr">
          <a:noAutofit/>
        </a:bodyPr>
        <a:lstStyle/>
        <a:p>
          <a:pPr algn="ctr"/>
          <a:r>
            <a:rPr kumimoji="0" lang="en-GB" altLang="zh-CN" sz="800" b="1" i="0" u="none" strike="noStrike" kern="0" cap="none" spc="0" normalizeH="0" baseline="0" noProof="0">
              <a:ln>
                <a:noFill/>
              </a:ln>
              <a:solidFill>
                <a:srgbClr val="FFFFFF"/>
              </a:solidFill>
              <a:effectLst/>
              <a:uLnTx/>
              <a:uFillTx/>
              <a:latin typeface="Arial"/>
              <a:cs typeface="Arial"/>
            </a:rPr>
            <a:t>INCLUDED</a:t>
          </a:r>
          <a:endParaRPr kumimoji="0" lang="zh-CN" altLang="en-US" sz="800" b="1" i="0" u="none" strike="noStrike" kern="0" cap="none" spc="0" normalizeH="0" baseline="0" noProof="0">
            <a:ln>
              <a:noFill/>
            </a:ln>
            <a:solidFill>
              <a:srgbClr val="FFFFFF"/>
            </a:solidFill>
            <a:effectLst/>
            <a:uLnTx/>
            <a:uFillTx/>
            <a:latin typeface="Arial"/>
            <a:cs typeface="Arial"/>
          </a:endParaRPr>
        </a:p>
      </xdr:txBody>
    </xdr:sp>
    <xdr:clientData/>
  </xdr:twoCellAnchor>
  <xdr:twoCellAnchor>
    <xdr:from>
      <xdr:col>1</xdr:col>
      <xdr:colOff>3067562</xdr:colOff>
      <xdr:row>6</xdr:row>
      <xdr:rowOff>44266</xdr:rowOff>
    </xdr:from>
    <xdr:to>
      <xdr:col>1</xdr:col>
      <xdr:colOff>5573999</xdr:colOff>
      <xdr:row>9</xdr:row>
      <xdr:rowOff>99229</xdr:rowOff>
    </xdr:to>
    <xdr:sp macro="" textlink="">
      <xdr:nvSpPr>
        <xdr:cNvPr id="30" name="PR_Excluded1">
          <a:extLst>
            <a:ext uri="{FF2B5EF4-FFF2-40B4-BE49-F238E27FC236}">
              <a16:creationId xmlns:a16="http://schemas.microsoft.com/office/drawing/2014/main" id="{F7273F9C-40D0-4BD0-BF08-D0641C73B69B}"/>
            </a:ext>
          </a:extLst>
        </xdr:cNvPr>
        <xdr:cNvSpPr/>
      </xdr:nvSpPr>
      <xdr:spPr>
        <a:xfrm>
          <a:off x="8743562" y="1124266"/>
          <a:ext cx="2506437" cy="594963"/>
        </a:xfrm>
        <a:prstGeom prst="roundRect">
          <a:avLst/>
        </a:prstGeom>
        <a:solidFill>
          <a:srgbClr val="FBE4E4"/>
        </a:solidFill>
        <a:ln w="25400" cap="flat" cmpd="sng" algn="ctr">
          <a:solidFill>
            <a:srgbClr val="B04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Records removed before screening:</a:t>
          </a:r>
        </a:p>
        <a:p>
          <a:pPr algn="l"/>
          <a:r>
            <a:rPr kumimoji="0" lang="en-GB" altLang="zh-CN" sz="900" b="0" i="0" u="none" strike="noStrike" kern="0" cap="none" spc="0" normalizeH="0" baseline="0" noProof="0">
              <a:ln>
                <a:noFill/>
              </a:ln>
              <a:solidFill>
                <a:srgbClr val="000000"/>
              </a:solidFill>
              <a:effectLst/>
              <a:uLnTx/>
              <a:uFillTx/>
              <a:latin typeface="Arial"/>
              <a:cs typeface="Arial"/>
            </a:rPr>
            <a:t>1st Deduplication, removed </a:t>
          </a:r>
          <a:r>
            <a:rPr kumimoji="0" lang="en-GB" altLang="zh-CN" sz="900" b="1" i="0" u="none" strike="noStrike" kern="0" cap="none" spc="0" normalizeH="0" baseline="0" noProof="0">
              <a:ln>
                <a:noFill/>
              </a:ln>
              <a:solidFill>
                <a:srgbClr val="000000"/>
              </a:solidFill>
              <a:effectLst/>
              <a:uLnTx/>
              <a:uFillTx/>
              <a:latin typeface="Arial"/>
              <a:cs typeface="Arial"/>
            </a:rPr>
            <a:t>(n = 133)</a:t>
          </a:r>
        </a:p>
      </xdr:txBody>
    </xdr:sp>
    <xdr:clientData/>
  </xdr:twoCellAnchor>
  <xdr:twoCellAnchor>
    <xdr:from>
      <xdr:col>1</xdr:col>
      <xdr:colOff>1412400</xdr:colOff>
      <xdr:row>9</xdr:row>
      <xdr:rowOff>99230</xdr:rowOff>
    </xdr:from>
    <xdr:to>
      <xdr:col>1</xdr:col>
      <xdr:colOff>4320781</xdr:colOff>
      <xdr:row>12</xdr:row>
      <xdr:rowOff>18972</xdr:rowOff>
    </xdr:to>
    <xdr:cxnSp macro="">
      <xdr:nvCxnSpPr>
        <xdr:cNvPr id="37" name="连接符: 肘形 36">
          <a:extLst>
            <a:ext uri="{FF2B5EF4-FFF2-40B4-BE49-F238E27FC236}">
              <a16:creationId xmlns:a16="http://schemas.microsoft.com/office/drawing/2014/main" id="{D9F0DB39-8D81-020F-5E28-1DF76689E262}"/>
            </a:ext>
          </a:extLst>
        </xdr:cNvPr>
        <xdr:cNvCxnSpPr>
          <a:stCxn id="30" idx="2"/>
          <a:endCxn id="4" idx="0"/>
        </xdr:cNvCxnSpPr>
      </xdr:nvCxnSpPr>
      <xdr:spPr>
        <a:xfrm rot="5400000">
          <a:off x="8312720" y="494910"/>
          <a:ext cx="459742" cy="2908381"/>
        </a:xfrm>
        <a:prstGeom prst="bentConnector3">
          <a:avLst>
            <a:gd name="adj1" fmla="val 27813"/>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1436125</xdr:colOff>
      <xdr:row>21</xdr:row>
      <xdr:rowOff>123091</xdr:rowOff>
    </xdr:from>
    <xdr:to>
      <xdr:col>1</xdr:col>
      <xdr:colOff>4340513</xdr:colOff>
      <xdr:row>23</xdr:row>
      <xdr:rowOff>88294</xdr:rowOff>
    </xdr:to>
    <xdr:cxnSp macro="">
      <xdr:nvCxnSpPr>
        <xdr:cNvPr id="40" name="连接符: 肘形 39">
          <a:extLst>
            <a:ext uri="{FF2B5EF4-FFF2-40B4-BE49-F238E27FC236}">
              <a16:creationId xmlns:a16="http://schemas.microsoft.com/office/drawing/2014/main" id="{3C4233E8-69B6-B21B-1FEE-D67A4C41635B}"/>
            </a:ext>
          </a:extLst>
        </xdr:cNvPr>
        <xdr:cNvCxnSpPr>
          <a:stCxn id="9" idx="2"/>
          <a:endCxn id="6" idx="0"/>
        </xdr:cNvCxnSpPr>
      </xdr:nvCxnSpPr>
      <xdr:spPr>
        <a:xfrm rot="5400000">
          <a:off x="8401717" y="2613499"/>
          <a:ext cx="325203" cy="2904388"/>
        </a:xfrm>
        <a:prstGeom prst="bentConnector3">
          <a:avLst>
            <a:gd name="adj1" fmla="val 37085"/>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1412401</xdr:colOff>
      <xdr:row>16</xdr:row>
      <xdr:rowOff>113999</xdr:rowOff>
    </xdr:from>
    <xdr:to>
      <xdr:col>1</xdr:col>
      <xdr:colOff>4339886</xdr:colOff>
      <xdr:row>18</xdr:row>
      <xdr:rowOff>25010</xdr:rowOff>
    </xdr:to>
    <xdr:cxnSp macro="">
      <xdr:nvCxnSpPr>
        <xdr:cNvPr id="44" name="连接符: 肘形 43">
          <a:extLst>
            <a:ext uri="{FF2B5EF4-FFF2-40B4-BE49-F238E27FC236}">
              <a16:creationId xmlns:a16="http://schemas.microsoft.com/office/drawing/2014/main" id="{B99CC8DE-6BD2-ED4E-312D-53F21BE389CB}"/>
            </a:ext>
          </a:extLst>
        </xdr:cNvPr>
        <xdr:cNvCxnSpPr>
          <a:stCxn id="8" idx="2"/>
          <a:endCxn id="5" idx="0"/>
        </xdr:cNvCxnSpPr>
      </xdr:nvCxnSpPr>
      <xdr:spPr>
        <a:xfrm rot="5400000">
          <a:off x="8416638" y="1665762"/>
          <a:ext cx="271011" cy="2927485"/>
        </a:xfrm>
        <a:prstGeom prst="bentConnector3">
          <a:avLst>
            <a:gd name="adj1" fmla="val 36717"/>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13</xdr:row>
      <xdr:rowOff>111209</xdr:rowOff>
    </xdr:from>
    <xdr:to>
      <xdr:col>1</xdr:col>
      <xdr:colOff>3075770</xdr:colOff>
      <xdr:row>13</xdr:row>
      <xdr:rowOff>123000</xdr:rowOff>
    </xdr:to>
    <xdr:cxnSp macro="">
      <xdr:nvCxnSpPr>
        <xdr:cNvPr id="55" name="直接箭头连接符 54">
          <a:extLst>
            <a:ext uri="{FF2B5EF4-FFF2-40B4-BE49-F238E27FC236}">
              <a16:creationId xmlns:a16="http://schemas.microsoft.com/office/drawing/2014/main" id="{B981999E-436A-DAD9-14AA-422588B89693}"/>
            </a:ext>
          </a:extLst>
        </xdr:cNvPr>
        <xdr:cNvCxnSpPr>
          <a:stCxn id="4" idx="3"/>
          <a:endCxn id="8" idx="1"/>
        </xdr:cNvCxnSpPr>
      </xdr:nvCxnSpPr>
      <xdr:spPr>
        <a:xfrm>
          <a:off x="8348400" y="2451209"/>
          <a:ext cx="403370" cy="1179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2672400</xdr:colOff>
      <xdr:row>19</xdr:row>
      <xdr:rowOff>143608</xdr:rowOff>
    </xdr:from>
    <xdr:to>
      <xdr:col>1</xdr:col>
      <xdr:colOff>3089023</xdr:colOff>
      <xdr:row>19</xdr:row>
      <xdr:rowOff>145490</xdr:rowOff>
    </xdr:to>
    <xdr:cxnSp macro="">
      <xdr:nvCxnSpPr>
        <xdr:cNvPr id="56" name="直接箭头连接符 55">
          <a:extLst>
            <a:ext uri="{FF2B5EF4-FFF2-40B4-BE49-F238E27FC236}">
              <a16:creationId xmlns:a16="http://schemas.microsoft.com/office/drawing/2014/main" id="{8EAFFECC-E61D-4ECB-9922-EF3302C784C4}"/>
            </a:ext>
          </a:extLst>
        </xdr:cNvPr>
        <xdr:cNvCxnSpPr>
          <a:stCxn id="5" idx="3"/>
          <a:endCxn id="9" idx="1"/>
        </xdr:cNvCxnSpPr>
      </xdr:nvCxnSpPr>
      <xdr:spPr>
        <a:xfrm flipV="1">
          <a:off x="8348400" y="3563608"/>
          <a:ext cx="416623" cy="188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2682000</xdr:colOff>
      <xdr:row>7</xdr:row>
      <xdr:rowOff>161748</xdr:rowOff>
    </xdr:from>
    <xdr:to>
      <xdr:col>1</xdr:col>
      <xdr:colOff>3067562</xdr:colOff>
      <xdr:row>7</xdr:row>
      <xdr:rowOff>165020</xdr:rowOff>
    </xdr:to>
    <xdr:cxnSp macro="">
      <xdr:nvCxnSpPr>
        <xdr:cNvPr id="64" name="直接箭头连接符 63">
          <a:extLst>
            <a:ext uri="{FF2B5EF4-FFF2-40B4-BE49-F238E27FC236}">
              <a16:creationId xmlns:a16="http://schemas.microsoft.com/office/drawing/2014/main" id="{F23673E8-4726-3D7B-62B1-0CB951B1E88E}"/>
            </a:ext>
          </a:extLst>
        </xdr:cNvPr>
        <xdr:cNvCxnSpPr>
          <a:stCxn id="3" idx="3"/>
          <a:endCxn id="30" idx="1"/>
        </xdr:cNvCxnSpPr>
      </xdr:nvCxnSpPr>
      <xdr:spPr>
        <a:xfrm flipV="1">
          <a:off x="8358000" y="1421748"/>
          <a:ext cx="385562" cy="327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2696124</xdr:colOff>
      <xdr:row>25</xdr:row>
      <xdr:rowOff>66289</xdr:rowOff>
    </xdr:from>
    <xdr:to>
      <xdr:col>1</xdr:col>
      <xdr:colOff>3071999</xdr:colOff>
      <xdr:row>25</xdr:row>
      <xdr:rowOff>71671</xdr:rowOff>
    </xdr:to>
    <xdr:cxnSp macro="">
      <xdr:nvCxnSpPr>
        <xdr:cNvPr id="72" name="直接箭头连接符 71">
          <a:extLst>
            <a:ext uri="{FF2B5EF4-FFF2-40B4-BE49-F238E27FC236}">
              <a16:creationId xmlns:a16="http://schemas.microsoft.com/office/drawing/2014/main" id="{1DAED0F7-4A97-F11A-BA1E-54FBA2AE80A5}"/>
            </a:ext>
          </a:extLst>
        </xdr:cNvPr>
        <xdr:cNvCxnSpPr>
          <a:stCxn id="6" idx="3"/>
          <a:endCxn id="10" idx="1"/>
        </xdr:cNvCxnSpPr>
      </xdr:nvCxnSpPr>
      <xdr:spPr>
        <a:xfrm>
          <a:off x="8372124" y="4566289"/>
          <a:ext cx="375875" cy="538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4344000</xdr:colOff>
      <xdr:row>27</xdr:row>
      <xdr:rowOff>162000</xdr:rowOff>
    </xdr:from>
    <xdr:to>
      <xdr:col>1</xdr:col>
      <xdr:colOff>4347000</xdr:colOff>
      <xdr:row>28</xdr:row>
      <xdr:rowOff>150000</xdr:rowOff>
    </xdr:to>
    <xdr:cxnSp macro="">
      <xdr:nvCxnSpPr>
        <xdr:cNvPr id="91" name="直接箭头连接符 90">
          <a:extLst>
            <a:ext uri="{FF2B5EF4-FFF2-40B4-BE49-F238E27FC236}">
              <a16:creationId xmlns:a16="http://schemas.microsoft.com/office/drawing/2014/main" id="{0A3E23A4-53C7-064D-2FB1-88430F719D25}"/>
            </a:ext>
          </a:extLst>
        </xdr:cNvPr>
        <xdr:cNvCxnSpPr>
          <a:stCxn id="10" idx="2"/>
        </xdr:cNvCxnSpPr>
      </xdr:nvCxnSpPr>
      <xdr:spPr>
        <a:xfrm flipH="1">
          <a:off x="10020000" y="5022000"/>
          <a:ext cx="3000" cy="16800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141751</xdr:colOff>
      <xdr:row>48</xdr:row>
      <xdr:rowOff>20320</xdr:rowOff>
    </xdr:from>
    <xdr:to>
      <xdr:col>1</xdr:col>
      <xdr:colOff>2695574</xdr:colOff>
      <xdr:row>51</xdr:row>
      <xdr:rowOff>162073</xdr:rowOff>
    </xdr:to>
    <xdr:sp macro="" textlink="">
      <xdr:nvSpPr>
        <xdr:cNvPr id="95" name="PR_PanelModality">
          <a:extLst>
            <a:ext uri="{FF2B5EF4-FFF2-40B4-BE49-F238E27FC236}">
              <a16:creationId xmlns:a16="http://schemas.microsoft.com/office/drawing/2014/main" id="{FCE77CA3-001A-40B1-8122-74ACD1E64036}"/>
            </a:ext>
          </a:extLst>
        </xdr:cNvPr>
        <xdr:cNvSpPr/>
      </xdr:nvSpPr>
      <xdr:spPr>
        <a:xfrm>
          <a:off x="5818651" y="8707120"/>
          <a:ext cx="2553823" cy="684678"/>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Data modality (Gap 2)
• Single (one data type): 16  (10.5%)
• Multi (two or more data types): 136  (89.5%)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4</xdr:col>
      <xdr:colOff>344020</xdr:colOff>
      <xdr:row>3</xdr:row>
      <xdr:rowOff>112059</xdr:rowOff>
    </xdr:from>
    <xdr:to>
      <xdr:col>15</xdr:col>
      <xdr:colOff>696290</xdr:colOff>
      <xdr:row>18</xdr:row>
      <xdr:rowOff>166669</xdr:rowOff>
    </xdr:to>
    <xdr:graphicFrame macro="">
      <xdr:nvGraphicFramePr>
        <xdr:cNvPr id="97" name="Ch_CrossTab100">
          <a:extLst>
            <a:ext uri="{FF2B5EF4-FFF2-40B4-BE49-F238E27FC236}">
              <a16:creationId xmlns:a16="http://schemas.microsoft.com/office/drawing/2014/main" id="{DEEE50C8-6077-AFCD-8AFC-49FF8C71E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344021</xdr:colOff>
      <xdr:row>20</xdr:row>
      <xdr:rowOff>56590</xdr:rowOff>
    </xdr:from>
    <xdr:to>
      <xdr:col>14</xdr:col>
      <xdr:colOff>603735</xdr:colOff>
      <xdr:row>35</xdr:row>
      <xdr:rowOff>101675</xdr:rowOff>
    </xdr:to>
    <xdr:graphicFrame macro="">
      <xdr:nvGraphicFramePr>
        <xdr:cNvPr id="98" name="Ch_CrossTabCounts">
          <a:extLst>
            <a:ext uri="{FF2B5EF4-FFF2-40B4-BE49-F238E27FC236}">
              <a16:creationId xmlns:a16="http://schemas.microsoft.com/office/drawing/2014/main" id="{6F0C730E-2FDB-D3B3-9047-2A7B50B9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2988831</xdr:colOff>
      <xdr:row>48</xdr:row>
      <xdr:rowOff>1904</xdr:rowOff>
    </xdr:from>
    <xdr:to>
      <xdr:col>2</xdr:col>
      <xdr:colOff>495300</xdr:colOff>
      <xdr:row>53</xdr:row>
      <xdr:rowOff>180974</xdr:rowOff>
    </xdr:to>
    <xdr:sp macro="" textlink="">
      <xdr:nvSpPr>
        <xdr:cNvPr id="102" name="PR_PanelFusion">
          <a:extLst>
            <a:ext uri="{FF2B5EF4-FFF2-40B4-BE49-F238E27FC236}">
              <a16:creationId xmlns:a16="http://schemas.microsoft.com/office/drawing/2014/main" id="{B975547C-CF5C-4EA7-889C-872D79C8E9ED}"/>
            </a:ext>
          </a:extLst>
        </xdr:cNvPr>
        <xdr:cNvSpPr/>
      </xdr:nvSpPr>
      <xdr:spPr>
        <a:xfrm>
          <a:off x="8665731" y="8688704"/>
          <a:ext cx="4116819" cy="1083945"/>
        </a:xfrm>
        <a:prstGeom prst="roundRect">
          <a:avLst/>
        </a:prstGeom>
        <a:solidFill>
          <a:srgbClr val="E3F0E1"/>
        </a:solidFill>
        <a:ln w="25400" cap="flat" cmpd="sng" algn="ctr">
          <a:solidFill>
            <a:srgbClr val="4E7A4A"/>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01600" tIns="76200" rIns="101600" bIns="76200" rtlCol="0" anchor="t">
          <a:noAutofit/>
        </a:bodyPr>
        <a:lstStyle/>
        <a:p>
          <a:pPr algn="l"/>
          <a:r>
            <a:rPr kumimoji="0" lang="en-GB" altLang="zh-CN" sz="900" b="0" i="0" u="none" strike="noStrike" kern="0" cap="none" spc="0" normalizeH="0" baseline="0" noProof="0">
              <a:ln>
                <a:noFill/>
              </a:ln>
              <a:solidFill>
                <a:srgbClr val="000000"/>
              </a:solidFill>
              <a:effectLst/>
              <a:uLnTx/>
              <a:uFillTx/>
              <a:latin typeface="Arial"/>
              <a:cs typeface="Arial"/>
            </a:rPr>
            <a:t>Fusion depth (Gap 2b - how deeply are the data types actually integrated?)
• Single: 19  (12.5%)
• Co-present: 3  (2.0%)
• Aligned: 40  (26.3%)
• Fused: 71  (46.7%)
• Unclear: 19  (12.5%)</a:t>
          </a:r>
          <a:endParaRPr kumimoji="0" lang="zh-CN" altLang="en-US" sz="900" b="0" i="0" u="none" strike="noStrike" kern="0" cap="none" spc="0" normalizeH="0" baseline="0" noProof="0">
            <a:ln>
              <a:noFill/>
            </a:ln>
            <a:solidFill>
              <a:srgbClr val="000000"/>
            </a:solidFill>
            <a:effectLst/>
            <a:uLnTx/>
            <a:uFillTx/>
            <a:latin typeface="Arial"/>
            <a:cs typeface="Arial"/>
          </a:endParaRPr>
        </a:p>
      </xdr:txBody>
    </xdr:sp>
    <xdr:clientData/>
  </xdr:twoCellAnchor>
  <xdr:twoCellAnchor>
    <xdr:from>
      <xdr:col>1</xdr:col>
      <xdr:colOff>116840</xdr:colOff>
      <xdr:row>54</xdr:row>
      <xdr:rowOff>105086</xdr:rowOff>
    </xdr:from>
    <xdr:to>
      <xdr:col>4</xdr:col>
      <xdr:colOff>155977</xdr:colOff>
      <xdr:row>57</xdr:row>
      <xdr:rowOff>143497</xdr:rowOff>
    </xdr:to>
    <xdr:sp macro="" textlink="">
      <xdr:nvSpPr>
        <xdr:cNvPr id="103" name="PR_FusionHeadline">
          <a:extLst>
            <a:ext uri="{FF2B5EF4-FFF2-40B4-BE49-F238E27FC236}">
              <a16:creationId xmlns:a16="http://schemas.microsoft.com/office/drawing/2014/main" id="{B25ADE45-8356-4B1A-A0C6-117DC9B22D6C}"/>
            </a:ext>
          </a:extLst>
        </xdr:cNvPr>
        <xdr:cNvSpPr/>
      </xdr:nvSpPr>
      <xdr:spPr>
        <a:xfrm>
          <a:off x="5793740" y="9877736"/>
          <a:ext cx="7868687" cy="581336"/>
        </a:xfrm>
        <a:prstGeom prst="roundRect">
          <a:avLst/>
        </a:prstGeom>
        <a:solidFill>
          <a:srgbClr val="FFF2CC"/>
        </a:solidFill>
        <a:ln w="25400" cap="flat" cmpd="sng" algn="ctr">
          <a:solidFill>
            <a:srgbClr val="BF8F00"/>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27000" tIns="50800" rIns="127000" bIns="50800" rtlCol="0" anchor="ctr">
          <a:noAutofit/>
        </a:bodyPr>
        <a:lstStyle/>
        <a:p>
          <a:pPr algn="l"/>
          <a:r>
            <a:rPr kumimoji="0" lang="en-GB" altLang="zh-CN" sz="900" b="1" i="0" u="none" strike="noStrike" kern="0" cap="none" spc="0" normalizeH="0" baseline="0" noProof="0">
              <a:ln>
                <a:noFill/>
              </a:ln>
              <a:solidFill>
                <a:srgbClr val="7F6000"/>
              </a:solidFill>
              <a:effectLst/>
              <a:uLnTx/>
              <a:uFillTx/>
              <a:latin typeface="Arial"/>
              <a:cs typeface="Arial"/>
            </a:rPr>
            <a:t>Even among the 71 Fused studies, 67 (94.4%) implement no self-improvement and 0 characterise convergence - deep data integration does NOT translate into adaptive capability.</a:t>
          </a:r>
          <a:endParaRPr kumimoji="0" lang="zh-CN" altLang="en-US" sz="900" b="1" i="0" u="none" strike="noStrike" kern="0" cap="none" spc="0" normalizeH="0" baseline="0" noProof="0">
            <a:ln>
              <a:noFill/>
            </a:ln>
            <a:solidFill>
              <a:srgbClr val="7F6000"/>
            </a:solidFill>
            <a:effectLst/>
            <a:uLnTx/>
            <a:uFillTx/>
            <a:latin typeface="Arial"/>
            <a:cs typeface="Arial"/>
          </a:endParaRPr>
        </a:p>
      </xdr:txBody>
    </xdr:sp>
    <xdr:clientData/>
  </xdr:twoCellAnchor>
  <xdr:twoCellAnchor>
    <xdr:from>
      <xdr:col>15</xdr:col>
      <xdr:colOff>1315271</xdr:colOff>
      <xdr:row>3</xdr:row>
      <xdr:rowOff>169208</xdr:rowOff>
    </xdr:from>
    <xdr:to>
      <xdr:col>25</xdr:col>
      <xdr:colOff>274543</xdr:colOff>
      <xdr:row>20</xdr:row>
      <xdr:rowOff>113739</xdr:rowOff>
    </xdr:to>
    <xdr:graphicFrame macro="">
      <xdr:nvGraphicFramePr>
        <xdr:cNvPr id="104" name="Ch_FusionDepth">
          <a:extLst>
            <a:ext uri="{FF2B5EF4-FFF2-40B4-BE49-F238E27FC236}">
              <a16:creationId xmlns:a16="http://schemas.microsoft.com/office/drawing/2014/main" id="{039FFF28-BEBE-CB83-B92A-4FDE5C3A4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1315271</xdr:colOff>
      <xdr:row>22</xdr:row>
      <xdr:rowOff>1978</xdr:rowOff>
    </xdr:from>
    <xdr:to>
      <xdr:col>25</xdr:col>
      <xdr:colOff>274543</xdr:colOff>
      <xdr:row>38</xdr:row>
      <xdr:rowOff>124123</xdr:rowOff>
    </xdr:to>
    <xdr:graphicFrame macro="">
      <xdr:nvGraphicFramePr>
        <xdr:cNvPr id="105" name="Ch_FusionSelf">
          <a:extLst>
            <a:ext uri="{FF2B5EF4-FFF2-40B4-BE49-F238E27FC236}">
              <a16:creationId xmlns:a16="http://schemas.microsoft.com/office/drawing/2014/main" id="{242B382F-E962-5EE1-57FB-1A91A8E1A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lnDef>
      <a:spPr>
        <a:ln w="15875">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6"/>
  <sheetViews>
    <sheetView showGridLines="0" zoomScaleNormal="100" workbookViewId="0"/>
  </sheetViews>
  <sheetFormatPr defaultColWidth="8.6640625" defaultRowHeight="14.4" x14ac:dyDescent="0.3"/>
  <cols>
    <col min="1" max="1" width="3" customWidth="1"/>
    <col min="2" max="2" width="32" customWidth="1"/>
    <col min="3" max="3" width="98" customWidth="1"/>
  </cols>
  <sheetData>
    <row r="2" spans="2:3" ht="17.399999999999999" x14ac:dyDescent="0.3">
      <c r="B2" s="1" t="s">
        <v>0</v>
      </c>
    </row>
    <row r="3" spans="2:3" x14ac:dyDescent="0.3">
      <c r="B3" s="2" t="s">
        <v>1</v>
      </c>
    </row>
    <row r="5" spans="2:3" ht="15.6" x14ac:dyDescent="0.3">
      <c r="B5" s="3" t="s">
        <v>2</v>
      </c>
    </row>
    <row r="6" spans="2:3" ht="26.4" x14ac:dyDescent="0.3">
      <c r="B6" s="4" t="s">
        <v>3</v>
      </c>
      <c r="C6" s="5" t="s">
        <v>4</v>
      </c>
    </row>
    <row r="7" spans="2:3" ht="39.6" x14ac:dyDescent="0.3">
      <c r="B7" s="4" t="s">
        <v>5</v>
      </c>
      <c r="C7" s="5" t="s">
        <v>6</v>
      </c>
    </row>
    <row r="8" spans="2:3" ht="39.6" x14ac:dyDescent="0.3">
      <c r="B8" s="4" t="s">
        <v>7</v>
      </c>
      <c r="C8" s="5" t="s">
        <v>8</v>
      </c>
    </row>
    <row r="9" spans="2:3" ht="26.4" x14ac:dyDescent="0.3">
      <c r="B9" s="4" t="s">
        <v>9</v>
      </c>
      <c r="C9" s="5" t="s">
        <v>10</v>
      </c>
    </row>
    <row r="10" spans="2:3" x14ac:dyDescent="0.3">
      <c r="B10" s="4" t="s">
        <v>11</v>
      </c>
      <c r="C10" s="5" t="s">
        <v>12</v>
      </c>
    </row>
    <row r="11" spans="2:3" ht="26.4" x14ac:dyDescent="0.3">
      <c r="B11" s="4" t="s">
        <v>13</v>
      </c>
      <c r="C11" s="5" t="s">
        <v>14</v>
      </c>
    </row>
    <row r="12" spans="2:3" ht="26.4" x14ac:dyDescent="0.3">
      <c r="B12" s="4" t="s">
        <v>15</v>
      </c>
      <c r="C12" s="5" t="s">
        <v>16</v>
      </c>
    </row>
    <row r="13" spans="2:3" ht="26.4" x14ac:dyDescent="0.3">
      <c r="B13" s="4" t="s">
        <v>17</v>
      </c>
      <c r="C13" s="5" t="s">
        <v>18</v>
      </c>
    </row>
    <row r="14" spans="2:3" ht="26.4" x14ac:dyDescent="0.3">
      <c r="B14" s="4" t="s">
        <v>19</v>
      </c>
      <c r="C14" s="5" t="s">
        <v>20</v>
      </c>
    </row>
    <row r="15" spans="2:3" ht="26.4" x14ac:dyDescent="0.3">
      <c r="B15" s="4" t="s">
        <v>21</v>
      </c>
      <c r="C15" s="5" t="s">
        <v>22</v>
      </c>
    </row>
    <row r="17" spans="2:3" ht="15.6" x14ac:dyDescent="0.3">
      <c r="B17" s="3" t="s">
        <v>23</v>
      </c>
    </row>
    <row r="18" spans="2:3" ht="26.4" x14ac:dyDescent="0.3">
      <c r="B18" s="4" t="s">
        <v>24</v>
      </c>
      <c r="C18" s="5" t="s">
        <v>25</v>
      </c>
    </row>
    <row r="19" spans="2:3" x14ac:dyDescent="0.3">
      <c r="B19" s="4" t="s">
        <v>26</v>
      </c>
      <c r="C19" s="5" t="s">
        <v>27</v>
      </c>
    </row>
    <row r="20" spans="2:3" ht="39.6" x14ac:dyDescent="0.3">
      <c r="B20" s="4" t="s">
        <v>28</v>
      </c>
      <c r="C20" s="5" t="s">
        <v>29</v>
      </c>
    </row>
    <row r="21" spans="2:3" ht="26.4" x14ac:dyDescent="0.3">
      <c r="B21" s="4" t="s">
        <v>30</v>
      </c>
      <c r="C21" s="5" t="s">
        <v>31</v>
      </c>
    </row>
    <row r="22" spans="2:3" ht="26.4" x14ac:dyDescent="0.3">
      <c r="B22" s="4" t="s">
        <v>32</v>
      </c>
      <c r="C22" s="5" t="s">
        <v>33</v>
      </c>
    </row>
    <row r="24" spans="2:3" ht="15.6" x14ac:dyDescent="0.3">
      <c r="B24" s="3" t="s">
        <v>34</v>
      </c>
    </row>
    <row r="25" spans="2:3" ht="26.4" x14ac:dyDescent="0.3">
      <c r="B25" s="4" t="s">
        <v>35</v>
      </c>
      <c r="C25" s="5" t="s">
        <v>36</v>
      </c>
    </row>
    <row r="26" spans="2:3" ht="26.4" x14ac:dyDescent="0.3">
      <c r="B26" s="4" t="s">
        <v>37</v>
      </c>
      <c r="C26" s="5" t="s">
        <v>38</v>
      </c>
    </row>
  </sheetData>
  <phoneticPr fontId="11"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showGridLines="0" zoomScale="130" zoomScaleNormal="130" workbookViewId="0">
      <selection activeCell="E38" sqref="E38"/>
    </sheetView>
  </sheetViews>
  <sheetFormatPr defaultColWidth="8.6640625" defaultRowHeight="14.4" x14ac:dyDescent="0.3"/>
  <cols>
    <col min="1" max="1" width="6" customWidth="1"/>
    <col min="2" max="2" width="20" customWidth="1"/>
    <col min="3" max="3" width="6" customWidth="1"/>
    <col min="4" max="4" width="56" customWidth="1"/>
    <col min="5" max="5" width="27" customWidth="1"/>
    <col min="6" max="6" width="28" customWidth="1"/>
    <col min="7" max="7" width="46" customWidth="1"/>
    <col min="8" max="8" width="33" customWidth="1"/>
    <col min="9" max="9" width="41" customWidth="1"/>
    <col min="10" max="10" width="42" customWidth="1"/>
  </cols>
  <sheetData>
    <row r="1" spans="1:12" x14ac:dyDescent="0.3">
      <c r="A1" s="6" t="s">
        <v>39</v>
      </c>
      <c r="B1" s="6" t="s">
        <v>40</v>
      </c>
      <c r="C1" s="6" t="s">
        <v>41</v>
      </c>
      <c r="D1" s="6" t="s">
        <v>42</v>
      </c>
      <c r="E1" s="6" t="s">
        <v>43</v>
      </c>
      <c r="F1" s="6" t="s">
        <v>44</v>
      </c>
      <c r="G1" s="6" t="s">
        <v>45</v>
      </c>
      <c r="H1" s="6" t="s">
        <v>46</v>
      </c>
      <c r="I1" s="6" t="s">
        <v>47</v>
      </c>
      <c r="J1" s="6" t="s">
        <v>48</v>
      </c>
      <c r="K1" s="36" t="s">
        <v>1077</v>
      </c>
      <c r="L1" s="36" t="s">
        <v>1082</v>
      </c>
    </row>
    <row r="2" spans="1:12" x14ac:dyDescent="0.3">
      <c r="A2" s="7" t="s">
        <v>49</v>
      </c>
      <c r="B2" s="7" t="s">
        <v>50</v>
      </c>
      <c r="C2" s="7" t="s">
        <v>51</v>
      </c>
      <c r="D2" s="7" t="s">
        <v>52</v>
      </c>
      <c r="E2" s="7" t="s">
        <v>9</v>
      </c>
      <c r="F2" s="7" t="s">
        <v>53</v>
      </c>
      <c r="G2" s="7" t="s">
        <v>54</v>
      </c>
      <c r="H2" s="7" t="s">
        <v>55</v>
      </c>
      <c r="I2" s="7" t="s">
        <v>1346</v>
      </c>
      <c r="J2" s="7" t="s">
        <v>57</v>
      </c>
      <c r="K2" t="s">
        <v>1078</v>
      </c>
      <c r="L2" t="s">
        <v>1083</v>
      </c>
    </row>
    <row r="3" spans="1:12" x14ac:dyDescent="0.3">
      <c r="A3" s="7" t="s">
        <v>58</v>
      </c>
      <c r="B3" s="7" t="s">
        <v>59</v>
      </c>
      <c r="C3" s="7" t="s">
        <v>60</v>
      </c>
      <c r="D3" s="7" t="s">
        <v>61</v>
      </c>
      <c r="E3" s="7" t="s">
        <v>11</v>
      </c>
      <c r="F3" s="7" t="s">
        <v>62</v>
      </c>
      <c r="G3" s="7" t="s">
        <v>63</v>
      </c>
      <c r="H3" s="7" t="s">
        <v>64</v>
      </c>
      <c r="I3" s="7" t="s">
        <v>1347</v>
      </c>
      <c r="J3" s="7" t="s">
        <v>66</v>
      </c>
      <c r="K3" t="s">
        <v>1079</v>
      </c>
      <c r="L3" t="s">
        <v>1084</v>
      </c>
    </row>
    <row r="4" spans="1:12" x14ac:dyDescent="0.3">
      <c r="B4" s="7" t="s">
        <v>67</v>
      </c>
      <c r="D4" s="7" t="s">
        <v>68</v>
      </c>
      <c r="E4" s="7" t="s">
        <v>69</v>
      </c>
      <c r="F4" s="7" t="s">
        <v>70</v>
      </c>
      <c r="G4" s="7" t="s">
        <v>71</v>
      </c>
      <c r="I4" s="7" t="s">
        <v>1349</v>
      </c>
      <c r="J4" s="7" t="s">
        <v>73</v>
      </c>
      <c r="K4" t="s">
        <v>1080</v>
      </c>
      <c r="L4" t="s">
        <v>1085</v>
      </c>
    </row>
    <row r="5" spans="1:12" x14ac:dyDescent="0.3">
      <c r="B5" s="7" t="s">
        <v>74</v>
      </c>
      <c r="D5" s="7" t="s">
        <v>75</v>
      </c>
      <c r="E5" s="7" t="s">
        <v>76</v>
      </c>
      <c r="F5" s="7" t="s">
        <v>77</v>
      </c>
      <c r="G5" s="7" t="s">
        <v>78</v>
      </c>
      <c r="I5" s="7" t="s">
        <v>1350</v>
      </c>
      <c r="J5" s="7" t="s">
        <v>80</v>
      </c>
      <c r="K5" t="s">
        <v>1081</v>
      </c>
    </row>
    <row r="6" spans="1:12" x14ac:dyDescent="0.3">
      <c r="B6" s="7" t="s">
        <v>81</v>
      </c>
      <c r="D6" s="7" t="s">
        <v>82</v>
      </c>
      <c r="G6" s="7" t="s">
        <v>83</v>
      </c>
      <c r="I6" t="s">
        <v>1351</v>
      </c>
      <c r="J6" s="7" t="s">
        <v>84</v>
      </c>
      <c r="K6" t="s">
        <v>82</v>
      </c>
    </row>
    <row r="7" spans="1:12" x14ac:dyDescent="0.3">
      <c r="G7" s="7" t="s">
        <v>85</v>
      </c>
      <c r="J7" s="7" t="s">
        <v>86</v>
      </c>
    </row>
    <row r="8" spans="1:12" x14ac:dyDescent="0.3">
      <c r="G8" s="7" t="s">
        <v>87</v>
      </c>
      <c r="J8" s="7" t="s">
        <v>76</v>
      </c>
    </row>
    <row r="9" spans="1:12" x14ac:dyDescent="0.3">
      <c r="G9" s="7" t="s">
        <v>88</v>
      </c>
    </row>
    <row r="10" spans="1:12" x14ac:dyDescent="0.3">
      <c r="G10" s="7" t="s">
        <v>89</v>
      </c>
    </row>
    <row r="11" spans="1:12" x14ac:dyDescent="0.3">
      <c r="G11" s="7" t="s">
        <v>90</v>
      </c>
    </row>
    <row r="12" spans="1:12" x14ac:dyDescent="0.3">
      <c r="G12" s="7" t="s">
        <v>91</v>
      </c>
    </row>
    <row r="13" spans="1:12" x14ac:dyDescent="0.3">
      <c r="G13" s="7" t="s">
        <v>92</v>
      </c>
    </row>
  </sheetData>
  <phoneticPr fontId="11" type="noConversion"/>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O454"/>
  <sheetViews>
    <sheetView showGridLines="0" zoomScale="85" zoomScaleNormal="85" workbookViewId="0">
      <pane xSplit="6" ySplit="4" topLeftCell="N258" activePane="bottomRight" state="frozen"/>
      <selection pane="topRight" activeCell="G1" sqref="G1"/>
      <selection pane="bottomLeft" activeCell="A2" sqref="A2"/>
      <selection pane="bottomRight" activeCell="S270" sqref="S270"/>
    </sheetView>
  </sheetViews>
  <sheetFormatPr defaultColWidth="8.6640625" defaultRowHeight="14.4" x14ac:dyDescent="0.3"/>
  <cols>
    <col min="1" max="1" width="5.21875" bestFit="1" customWidth="1"/>
    <col min="2" max="2" width="10.109375" customWidth="1"/>
    <col min="3" max="3" width="7.44140625" customWidth="1"/>
    <col min="4" max="4" width="7.109375" customWidth="1"/>
    <col min="5" max="5" width="19.44140625" style="58" customWidth="1"/>
    <col min="6" max="6" width="8.33203125" customWidth="1"/>
    <col min="7" max="7" width="13" customWidth="1"/>
    <col min="8" max="8" width="14" customWidth="1"/>
    <col min="9" max="9" width="15" customWidth="1"/>
    <col min="10" max="10" width="13" customWidth="1"/>
    <col min="11" max="12" width="11" customWidth="1"/>
    <col min="13" max="13" width="24" customWidth="1"/>
    <col min="14" max="14" width="13" customWidth="1"/>
    <col min="15" max="15" width="12" customWidth="1"/>
    <col min="16" max="17" width="13" customWidth="1"/>
    <col min="18" max="18" width="12" customWidth="1"/>
    <col min="19" max="19" width="11" customWidth="1"/>
    <col min="20" max="20" width="15.5546875" customWidth="1"/>
    <col min="21" max="21" width="22" customWidth="1"/>
    <col min="22" max="24" width="8" customWidth="1"/>
    <col min="25" max="25" width="11" customWidth="1"/>
    <col min="26" max="27" width="20" customWidth="1"/>
    <col min="28" max="28" width="26" customWidth="1"/>
    <col min="29" max="29" width="18" customWidth="1"/>
    <col min="30" max="30" width="22" customWidth="1"/>
    <col min="31" max="31" width="15.5546875" customWidth="1"/>
    <col min="32" max="32" width="24" customWidth="1"/>
    <col min="33" max="35" width="59.21875" customWidth="1"/>
    <col min="36" max="36" width="20.33203125" customWidth="1"/>
    <col min="37" max="37" width="55.5546875" style="58" customWidth="1"/>
    <col min="38" max="38" width="13.21875" bestFit="1" customWidth="1"/>
    <col min="39" max="39" width="33.33203125" style="58" customWidth="1"/>
    <col min="40" max="40" width="48.109375" style="58" customWidth="1"/>
    <col min="41" max="41" width="43.21875" style="63" bestFit="1" customWidth="1"/>
  </cols>
  <sheetData>
    <row r="1" spans="1:41" x14ac:dyDescent="0.3">
      <c r="P1" s="119" t="s">
        <v>2321</v>
      </c>
      <c r="Q1" s="119" t="s">
        <v>2322</v>
      </c>
      <c r="R1" s="119" t="s">
        <v>2323</v>
      </c>
      <c r="S1" s="119"/>
      <c r="T1" s="119" t="s">
        <v>2326</v>
      </c>
    </row>
    <row r="2" spans="1:41" x14ac:dyDescent="0.3">
      <c r="G2" s="27" t="s">
        <v>2321</v>
      </c>
      <c r="H2" s="27" t="s">
        <v>2322</v>
      </c>
      <c r="I2" s="27" t="s">
        <v>2323</v>
      </c>
      <c r="J2" s="27"/>
      <c r="K2" s="27" t="s">
        <v>2324</v>
      </c>
      <c r="L2" s="121">
        <f>COUNTIF(L4:L501,"Exclude")</f>
        <v>262</v>
      </c>
      <c r="N2" s="29">
        <f>COUNTIF(N4:N469,"No")</f>
        <v>2</v>
      </c>
      <c r="O2" s="29">
        <f>COUNTIF(O4:O469,"No")</f>
        <v>2</v>
      </c>
      <c r="P2" s="123">
        <f>COUNTIF(P4:P469,"No")</f>
        <v>10</v>
      </c>
      <c r="Q2" s="123">
        <f t="shared" ref="Q2:R2" si="0">COUNTIF(Q4:Q469,"No")</f>
        <v>3</v>
      </c>
      <c r="R2" s="123">
        <f t="shared" si="0"/>
        <v>6</v>
      </c>
      <c r="S2" s="124">
        <f>COUNTIF(S4:S469,"Exclude")</f>
        <v>13</v>
      </c>
      <c r="T2" s="28">
        <v>2</v>
      </c>
    </row>
    <row r="3" spans="1:41" s="119" customFormat="1" x14ac:dyDescent="0.3">
      <c r="A3" s="119">
        <f>COUNTA(A5:A502)</f>
        <v>429</v>
      </c>
      <c r="G3" s="27">
        <f>COUNTIF(G4:G469,"No")</f>
        <v>99</v>
      </c>
      <c r="H3" s="27">
        <f>COUNTIF(H4:H469,"No")</f>
        <v>133</v>
      </c>
      <c r="I3" s="27">
        <f>COUNTIF(I4:I469,"No")</f>
        <v>101</v>
      </c>
      <c r="J3" s="27">
        <f>COUNTIF(J4:J469,"No")</f>
        <v>0</v>
      </c>
      <c r="K3" s="27">
        <f>COUNTIF(K4:K469,"No")</f>
        <v>59</v>
      </c>
      <c r="L3" s="141">
        <f>COUNTIF(L4:L469,"Include")</f>
        <v>167</v>
      </c>
      <c r="M3" s="28"/>
      <c r="N3" s="140">
        <f>COUNTIF(N4:N469,"Yes")</f>
        <v>165</v>
      </c>
      <c r="O3" s="29">
        <f>COUNTIF(O4:O469,"Yes")</f>
        <v>165</v>
      </c>
      <c r="P3" s="122">
        <f>COUNTIF(P4:P469,"Yes")</f>
        <v>153</v>
      </c>
      <c r="Q3" s="122">
        <f>COUNTIF(Q4:Q469,"Yes")</f>
        <v>160</v>
      </c>
      <c r="R3" s="122">
        <f>COUNTIF(R4:R469,"Yes")</f>
        <v>157</v>
      </c>
      <c r="S3" s="141">
        <f>COUNTIF(S4:S469,"Include")-T2</f>
        <v>150</v>
      </c>
      <c r="T3" s="141"/>
      <c r="AK3" s="117"/>
      <c r="AM3" s="117"/>
      <c r="AN3" s="117"/>
    </row>
    <row r="4" spans="1:41" ht="57.75" customHeight="1" x14ac:dyDescent="0.3">
      <c r="A4" s="6" t="s">
        <v>93</v>
      </c>
      <c r="B4" s="6" t="s">
        <v>94</v>
      </c>
      <c r="C4" s="6" t="s">
        <v>95</v>
      </c>
      <c r="D4" s="6" t="s">
        <v>96</v>
      </c>
      <c r="E4" s="6" t="s">
        <v>97</v>
      </c>
      <c r="F4" s="6" t="s">
        <v>98</v>
      </c>
      <c r="G4" s="6" t="s">
        <v>99</v>
      </c>
      <c r="H4" s="6" t="s">
        <v>100</v>
      </c>
      <c r="I4" s="6" t="s">
        <v>101</v>
      </c>
      <c r="J4" s="6" t="s">
        <v>102</v>
      </c>
      <c r="K4" s="6" t="s">
        <v>103</v>
      </c>
      <c r="L4" s="6" t="s">
        <v>104</v>
      </c>
      <c r="M4" s="6" t="s">
        <v>105</v>
      </c>
      <c r="N4" s="6" t="s">
        <v>106</v>
      </c>
      <c r="O4" s="6" t="s">
        <v>107</v>
      </c>
      <c r="P4" s="6" t="s">
        <v>108</v>
      </c>
      <c r="Q4" s="6" t="s">
        <v>109</v>
      </c>
      <c r="R4" s="6" t="s">
        <v>110</v>
      </c>
      <c r="S4" s="6" t="s">
        <v>111</v>
      </c>
      <c r="T4" s="6" t="s">
        <v>112</v>
      </c>
      <c r="U4" s="33" t="s">
        <v>1467</v>
      </c>
      <c r="V4" s="6" t="s">
        <v>113</v>
      </c>
      <c r="W4" s="6" t="s">
        <v>114</v>
      </c>
      <c r="X4" s="6" t="s">
        <v>115</v>
      </c>
      <c r="Y4" s="6" t="s">
        <v>116</v>
      </c>
      <c r="Z4" s="6" t="s">
        <v>117</v>
      </c>
      <c r="AA4" s="6" t="s">
        <v>118</v>
      </c>
      <c r="AB4" s="33" t="s">
        <v>604</v>
      </c>
      <c r="AC4" s="6" t="s">
        <v>119</v>
      </c>
      <c r="AD4" s="6" t="s">
        <v>120</v>
      </c>
      <c r="AE4" s="6" t="s">
        <v>121</v>
      </c>
      <c r="AF4" s="6" t="s">
        <v>122</v>
      </c>
      <c r="AG4" s="6" t="s">
        <v>123</v>
      </c>
      <c r="AH4" s="34" t="s">
        <v>1453</v>
      </c>
      <c r="AI4" s="34" t="s">
        <v>605</v>
      </c>
      <c r="AJ4" s="54" t="s">
        <v>1454</v>
      </c>
      <c r="AK4" s="54" t="s">
        <v>1086</v>
      </c>
      <c r="AL4" s="54" t="s">
        <v>1087</v>
      </c>
      <c r="AM4" s="54" t="s">
        <v>1088</v>
      </c>
      <c r="AN4" s="55" t="s">
        <v>1251</v>
      </c>
      <c r="AO4" s="62" t="s">
        <v>1468</v>
      </c>
    </row>
    <row r="5" spans="1:41" ht="57" hidden="1" x14ac:dyDescent="0.3">
      <c r="A5" s="26">
        <v>3566</v>
      </c>
      <c r="B5" s="9"/>
      <c r="C5" s="32"/>
      <c r="D5" s="9"/>
      <c r="E5" s="9" t="str">
        <f>IF($A5="","",IFERROR(_xlfn.XLOOKUP($A5,'2_DOI_Lookup'!$D$2:$D$430,'2_DOI_Lookup'!$E$2:$E$430),"TITLE NOT IN SOURCE"))</f>
        <v>An association rule mining model for the application of construction technologies during COVID-19</v>
      </c>
      <c r="F5" s="26" t="s">
        <v>309</v>
      </c>
      <c r="G5" s="27" t="s">
        <v>311</v>
      </c>
      <c r="H5" s="27" t="s">
        <v>312</v>
      </c>
      <c r="I5" s="27" t="s">
        <v>312</v>
      </c>
      <c r="J5" s="27" t="s">
        <v>311</v>
      </c>
      <c r="K5" s="27" t="s">
        <v>311</v>
      </c>
      <c r="L5" s="28" t="str">
        <f t="shared" ref="L5:L68" si="1">IF(COUNTBLANK(G5:K5)=5,"",IF(COUNTIF(G5:K5,"No")&gt;0,"EXCLUDE","INCLUDE"))</f>
        <v>EXCLUDE</v>
      </c>
      <c r="M5" s="28" t="str">
        <f t="shared" ref="M5:M68" si="2">IF(L5&lt;&gt;"EXCLUDE","",IF(G5="No","Wrong domain (non-AECO)",IF(H5="No","Digital Twin not core / buzzword",IF(I5="No","No Design for Safety/Quality/PtD",IF(J5="No","Wrong publication type",IF(K5="No","Non-English",""))))))</f>
        <v>Digital Twin not core / buzzword</v>
      </c>
      <c r="N5" s="29"/>
      <c r="O5" s="29"/>
      <c r="P5" s="30"/>
      <c r="Q5" s="30"/>
      <c r="R5" s="30"/>
      <c r="S5" s="28" t="str">
        <f t="shared" ref="S5:S68" si="3">IF(N5&lt;&gt;"Yes","",IF(COUNTBLANK(P5:R5)=3,"",IF(COUNTIF(P5:R5,"No")&gt;0,"EXCLUDE","INCLUDE")))</f>
        <v/>
      </c>
      <c r="T5" s="28" t="str">
        <f t="shared" ref="T5:T68" si="4">IF(S5&lt;&gt;"EXCLUDE","",IF(P5="No","Digital Twin mentioned only, not the subject",IF(Q5="No","No Design for Safety/Quality in full text",IF(R5="No","Methodology not codable",""))))</f>
        <v/>
      </c>
      <c r="U5" s="31"/>
      <c r="V5" s="31"/>
      <c r="W5" s="31"/>
      <c r="X5" s="31"/>
      <c r="Y5" s="28" t="str">
        <f t="shared" ref="Y5:Y68" si="5">IF(SUM(V5:X5)=0,"",IF(SUM(V5:X5)&gt;=2,"Multi","Single"))</f>
        <v/>
      </c>
      <c r="Z5" s="31"/>
      <c r="AA5" s="31"/>
      <c r="AB5" s="31"/>
      <c r="AC5" s="31"/>
      <c r="AD5" s="31"/>
      <c r="AE5" s="31"/>
      <c r="AF5" s="31"/>
      <c r="AG5" s="15" t="s">
        <v>313</v>
      </c>
      <c r="AH5" s="35"/>
      <c r="AI5" s="35"/>
      <c r="AK5"/>
      <c r="AM5" s="56"/>
      <c r="AN5" s="57"/>
      <c r="AO5" s="63" t="str">
        <f>IF($A5="","",IFERROR(_xlfn.XLOOKUP($A5,'2_DOI_Lookup'!$A$2:$A$430,'2_DOI_Lookup'!$B$2:$B$430),"NOT IN SOURCE"))</f>
        <v>10.1080/15623599.2023.2212420</v>
      </c>
    </row>
    <row r="6" spans="1:41" ht="57" hidden="1" x14ac:dyDescent="0.3">
      <c r="A6" s="26">
        <v>3741</v>
      </c>
      <c r="B6" s="9"/>
      <c r="C6" s="32"/>
      <c r="D6" s="9"/>
      <c r="E6" s="9" t="str">
        <f>IF($A6="","",IFERROR(_xlfn.XLOOKUP($A6,'2_DOI_Lookup'!$D$2:$D$430,'2_DOI_Lookup'!$E$2:$E$430),"TITLE NOT IN SOURCE"))</f>
        <v>Digital twin and AI-driven smart adaptive walls for energy, comfort and carbon optimization in intelligent green buildings</v>
      </c>
      <c r="F6" s="26" t="s">
        <v>309</v>
      </c>
      <c r="G6" s="27" t="s">
        <v>311</v>
      </c>
      <c r="H6" s="27" t="s">
        <v>311</v>
      </c>
      <c r="I6" s="27" t="s">
        <v>312</v>
      </c>
      <c r="J6" s="27" t="s">
        <v>311</v>
      </c>
      <c r="K6" s="27" t="s">
        <v>311</v>
      </c>
      <c r="L6" s="28" t="str">
        <f t="shared" si="1"/>
        <v>EXCLUDE</v>
      </c>
      <c r="M6" s="28" t="str">
        <f t="shared" si="2"/>
        <v>No Design for Safety/Quality/PtD</v>
      </c>
      <c r="N6" s="29"/>
      <c r="O6" s="29"/>
      <c r="P6" s="30"/>
      <c r="Q6" s="30"/>
      <c r="R6" s="30"/>
      <c r="S6" s="28" t="str">
        <f t="shared" si="3"/>
        <v/>
      </c>
      <c r="T6" s="28" t="str">
        <f t="shared" si="4"/>
        <v/>
      </c>
      <c r="U6" s="31"/>
      <c r="V6" s="31"/>
      <c r="W6" s="31"/>
      <c r="X6" s="31"/>
      <c r="Y6" s="28" t="str">
        <f t="shared" si="5"/>
        <v/>
      </c>
      <c r="Z6" s="31"/>
      <c r="AA6" s="31"/>
      <c r="AB6" s="31"/>
      <c r="AC6" s="31"/>
      <c r="AD6" s="31"/>
      <c r="AE6" s="31"/>
      <c r="AF6" s="31"/>
      <c r="AG6" s="15" t="s">
        <v>314</v>
      </c>
      <c r="AH6" s="35"/>
      <c r="AI6" s="35"/>
      <c r="AK6"/>
      <c r="AM6" s="56"/>
      <c r="AN6" s="57"/>
      <c r="AO6" s="63" t="str">
        <f>IF($A6="","",IFERROR(_xlfn.XLOOKUP($A6,'2_DOI_Lookup'!$A$2:$A$430,'2_DOI_Lookup'!$B$2:$B$430),"NOT IN SOURCE"))</f>
        <v>10.1016/j.energy.2026.140990</v>
      </c>
    </row>
    <row r="7" spans="1:41" ht="57" hidden="1" x14ac:dyDescent="0.3">
      <c r="A7" s="26">
        <v>3665</v>
      </c>
      <c r="B7" s="9"/>
      <c r="C7" s="32"/>
      <c r="D7" s="9"/>
      <c r="E7" s="9" t="str">
        <f>IF($A7="","",IFERROR(_xlfn.XLOOKUP($A7,'2_DOI_Lookup'!$D$2:$D$430,'2_DOI_Lookup'!$E$2:$E$430),"TITLE NOT IN SOURCE"))</f>
        <v>Enhancing attack resilience of cyber-physical systems through state dependency graph models</v>
      </c>
      <c r="F7" s="26" t="s">
        <v>309</v>
      </c>
      <c r="G7" s="27" t="s">
        <v>312</v>
      </c>
      <c r="H7" s="27" t="s">
        <v>312</v>
      </c>
      <c r="I7" s="27" t="s">
        <v>312</v>
      </c>
      <c r="J7" s="27" t="s">
        <v>311</v>
      </c>
      <c r="K7" s="27" t="s">
        <v>311</v>
      </c>
      <c r="L7" s="28" t="str">
        <f t="shared" si="1"/>
        <v>EXCLUDE</v>
      </c>
      <c r="M7" s="28" t="str">
        <f t="shared" si="2"/>
        <v>Wrong domain (non-AECO)</v>
      </c>
      <c r="N7" s="29"/>
      <c r="O7" s="29"/>
      <c r="P7" s="30"/>
      <c r="Q7" s="30"/>
      <c r="R7" s="30"/>
      <c r="S7" s="28" t="str">
        <f t="shared" si="3"/>
        <v/>
      </c>
      <c r="T7" s="28" t="str">
        <f t="shared" si="4"/>
        <v/>
      </c>
      <c r="U7" s="31"/>
      <c r="V7" s="31"/>
      <c r="W7" s="31"/>
      <c r="X7" s="31"/>
      <c r="Y7" s="28" t="str">
        <f t="shared" si="5"/>
        <v/>
      </c>
      <c r="Z7" s="31"/>
      <c r="AA7" s="31"/>
      <c r="AB7" s="31"/>
      <c r="AC7" s="31"/>
      <c r="AD7" s="31"/>
      <c r="AE7" s="31"/>
      <c r="AF7" s="31"/>
      <c r="AG7" s="15" t="s">
        <v>315</v>
      </c>
      <c r="AH7" s="35"/>
      <c r="AI7" s="35"/>
      <c r="AK7"/>
      <c r="AM7" s="56"/>
      <c r="AN7" s="57"/>
      <c r="AO7" s="63" t="str">
        <f>IF($A7="","",IFERROR(_xlfn.XLOOKUP($A7,'2_DOI_Lookup'!$A$2:$A$430,'2_DOI_Lookup'!$B$2:$B$430),"NOT IN SOURCE"))</f>
        <v>10.1007/s10207-023-00731-w</v>
      </c>
    </row>
    <row r="8" spans="1:41" ht="34.200000000000003" hidden="1" x14ac:dyDescent="0.3">
      <c r="A8" s="26">
        <v>3657</v>
      </c>
      <c r="B8" s="9"/>
      <c r="C8" s="32"/>
      <c r="D8" s="9"/>
      <c r="E8" s="9" t="str">
        <f>IF($A8="","",IFERROR(_xlfn.XLOOKUP($A8,'2_DOI_Lookup'!$D$2:$D$430,'2_DOI_Lookup'!$E$2:$E$430),"TITLE NOT IN SOURCE"))</f>
        <v>IoT-Driven Resilience Monitoring: Case Study of a Cyber-Physical System</v>
      </c>
      <c r="F8" s="26" t="s">
        <v>309</v>
      </c>
      <c r="G8" s="27" t="s">
        <v>312</v>
      </c>
      <c r="H8" s="27" t="s">
        <v>311</v>
      </c>
      <c r="I8" s="27" t="s">
        <v>312</v>
      </c>
      <c r="J8" s="27" t="s">
        <v>311</v>
      </c>
      <c r="K8" s="27" t="s">
        <v>311</v>
      </c>
      <c r="L8" s="28" t="str">
        <f t="shared" si="1"/>
        <v>EXCLUDE</v>
      </c>
      <c r="M8" s="28" t="str">
        <f t="shared" si="2"/>
        <v>Wrong domain (non-AECO)</v>
      </c>
      <c r="N8" s="29"/>
      <c r="O8" s="29"/>
      <c r="P8" s="30"/>
      <c r="Q8" s="30"/>
      <c r="R8" s="30"/>
      <c r="S8" s="28" t="str">
        <f t="shared" si="3"/>
        <v/>
      </c>
      <c r="T8" s="28" t="str">
        <f t="shared" si="4"/>
        <v/>
      </c>
      <c r="U8" s="31"/>
      <c r="V8" s="31"/>
      <c r="W8" s="31"/>
      <c r="X8" s="31"/>
      <c r="Y8" s="28" t="str">
        <f t="shared" si="5"/>
        <v/>
      </c>
      <c r="Z8" s="31"/>
      <c r="AA8" s="31"/>
      <c r="AB8" s="31"/>
      <c r="AC8" s="31"/>
      <c r="AD8" s="31"/>
      <c r="AE8" s="31"/>
      <c r="AF8" s="31"/>
      <c r="AG8" s="15" t="s">
        <v>316</v>
      </c>
      <c r="AH8" s="35"/>
      <c r="AI8" s="35"/>
      <c r="AK8"/>
      <c r="AM8" s="56"/>
      <c r="AN8" s="57"/>
      <c r="AO8" s="63" t="str">
        <f>IF($A8="","",IFERROR(_xlfn.XLOOKUP($A8,'2_DOI_Lookup'!$A$2:$A$430,'2_DOI_Lookup'!$B$2:$B$430),"NOT IN SOURCE"))</f>
        <v>10.3390/app15042092</v>
      </c>
    </row>
    <row r="9" spans="1:41" ht="57" hidden="1" x14ac:dyDescent="0.3">
      <c r="A9" s="64">
        <v>3685</v>
      </c>
      <c r="B9" s="65"/>
      <c r="C9" s="66"/>
      <c r="D9" s="65"/>
      <c r="E9" s="65" t="str">
        <f>IF($A9="","",IFERROR(_xlfn.XLOOKUP($A9,'2_DOI_Lookup'!$D$2:$D$430,'2_DOI_Lookup'!$E$2:$E$430),"TITLE NOT IN SOURCE"))</f>
        <v>Virtual Fencing for Safety-Critical Cyber-Physical Systems: Computer-Vision Enabled Digital Twins</v>
      </c>
      <c r="F9" s="64" t="s">
        <v>309</v>
      </c>
      <c r="G9" s="67" t="s">
        <v>312</v>
      </c>
      <c r="H9" s="67" t="s">
        <v>311</v>
      </c>
      <c r="I9" s="67" t="s">
        <v>312</v>
      </c>
      <c r="J9" s="67" t="s">
        <v>311</v>
      </c>
      <c r="K9" s="67" t="s">
        <v>311</v>
      </c>
      <c r="L9" s="68" t="str">
        <f t="shared" si="1"/>
        <v>EXCLUDE</v>
      </c>
      <c r="M9" s="68" t="str">
        <f t="shared" si="2"/>
        <v>Wrong domain (non-AECO)</v>
      </c>
      <c r="N9" s="69"/>
      <c r="O9" s="69"/>
      <c r="P9" s="70"/>
      <c r="Q9" s="70"/>
      <c r="R9" s="70"/>
      <c r="S9" s="68" t="str">
        <f t="shared" si="3"/>
        <v/>
      </c>
      <c r="T9" s="68" t="str">
        <f t="shared" si="4"/>
        <v/>
      </c>
      <c r="U9" s="71"/>
      <c r="V9" s="71"/>
      <c r="W9" s="71"/>
      <c r="X9" s="71"/>
      <c r="Y9" s="68" t="str">
        <f t="shared" si="5"/>
        <v/>
      </c>
      <c r="Z9" s="71"/>
      <c r="AA9" s="71"/>
      <c r="AB9" s="71"/>
      <c r="AC9" s="71"/>
      <c r="AD9" s="71"/>
      <c r="AE9" s="71"/>
      <c r="AF9" s="71"/>
      <c r="AG9" s="72" t="s">
        <v>317</v>
      </c>
      <c r="AH9" s="35"/>
      <c r="AI9" s="35"/>
      <c r="AK9"/>
      <c r="AM9" s="56"/>
      <c r="AN9" s="57"/>
      <c r="AO9" s="63" t="str">
        <f>IF($A9="","",IFERROR(_xlfn.XLOOKUP($A9,'2_DOI_Lookup'!$A$2:$A$430,'2_DOI_Lookup'!$B$2:$B$430),"NOT IN SOURCE"))</f>
        <v>10.1109/ACCESS.2025.3581041</v>
      </c>
    </row>
    <row r="10" spans="1:41" ht="129.6" x14ac:dyDescent="0.3">
      <c r="A10" s="26">
        <v>3756</v>
      </c>
      <c r="B10" s="9" t="s">
        <v>1355</v>
      </c>
      <c r="C10" s="32">
        <v>2025</v>
      </c>
      <c r="D10" s="9"/>
      <c r="E10" s="9" t="str">
        <f>IF($A10="","",IFERROR(_xlfn.XLOOKUP($A10,'2_DOI_Lookup'!$D$2:$D$430,'2_DOI_Lookup'!$E$2:$E$430),"TITLE NOT IN SOURCE"))</f>
        <v>Lessons Learned from the Real-World Deployment of Multisensor Fusion for Proactive Work Zone Safety Application</v>
      </c>
      <c r="F10" s="26" t="s">
        <v>309</v>
      </c>
      <c r="G10" s="27" t="s">
        <v>311</v>
      </c>
      <c r="H10" s="27" t="s">
        <v>311</v>
      </c>
      <c r="I10" s="27" t="s">
        <v>311</v>
      </c>
      <c r="J10" s="27" t="s">
        <v>311</v>
      </c>
      <c r="K10" s="27" t="s">
        <v>311</v>
      </c>
      <c r="L10" s="28" t="str">
        <f t="shared" si="1"/>
        <v>INCLUDE</v>
      </c>
      <c r="M10" s="28" t="str">
        <f t="shared" si="2"/>
        <v/>
      </c>
      <c r="N10" s="29" t="s">
        <v>49</v>
      </c>
      <c r="O10" s="29" t="s">
        <v>49</v>
      </c>
      <c r="P10" s="30" t="s">
        <v>49</v>
      </c>
      <c r="Q10" s="30" t="s">
        <v>49</v>
      </c>
      <c r="R10" s="30" t="s">
        <v>49</v>
      </c>
      <c r="S10" s="28" t="str">
        <f t="shared" si="3"/>
        <v>INCLUDE</v>
      </c>
      <c r="T10" s="28" t="str">
        <f t="shared" si="4"/>
        <v/>
      </c>
      <c r="U10" s="31" t="s">
        <v>61</v>
      </c>
      <c r="V10" s="31">
        <v>0</v>
      </c>
      <c r="W10" s="31">
        <v>1</v>
      </c>
      <c r="X10" s="31">
        <v>0</v>
      </c>
      <c r="Y10" s="28" t="str">
        <f t="shared" si="5"/>
        <v>Single</v>
      </c>
      <c r="Z10" s="31" t="s">
        <v>9</v>
      </c>
      <c r="AA10" s="31" t="s">
        <v>53</v>
      </c>
      <c r="AB10" s="31" t="s">
        <v>92</v>
      </c>
      <c r="AC10" s="31" t="s">
        <v>64</v>
      </c>
      <c r="AD10" s="31" t="s">
        <v>72</v>
      </c>
      <c r="AE10" s="31">
        <v>4</v>
      </c>
      <c r="AF10" s="31" t="s">
        <v>80</v>
      </c>
      <c r="AG10" s="15" t="s">
        <v>684</v>
      </c>
      <c r="AH10" s="97" t="s">
        <v>751</v>
      </c>
      <c r="AI10" s="97" t="s">
        <v>752</v>
      </c>
      <c r="AJ10" s="98" t="s">
        <v>1081</v>
      </c>
      <c r="AK10" s="98" t="s">
        <v>1089</v>
      </c>
      <c r="AL10" s="98" t="s">
        <v>1084</v>
      </c>
      <c r="AM10" s="99" t="s">
        <v>1356</v>
      </c>
      <c r="AN10" s="100" t="s">
        <v>1357</v>
      </c>
      <c r="AO10" s="101" t="str">
        <f>IF($A10="","",IFERROR(_xlfn.XLOOKUP($A10,'2_DOI_Lookup'!$A$2:$A$430,'2_DOI_Lookup'!$B$2:$B$430),"NOT IN SOURCE"))</f>
        <v>10.1177/03611981261441281</v>
      </c>
    </row>
    <row r="11" spans="1:41" ht="86.4" x14ac:dyDescent="0.3">
      <c r="A11" s="26">
        <v>3978</v>
      </c>
      <c r="B11" s="9" t="s">
        <v>165</v>
      </c>
      <c r="C11" s="32">
        <v>2021</v>
      </c>
      <c r="D11" s="9"/>
      <c r="E11" s="9" t="str">
        <f>IF($A11="","",IFERROR(_xlfn.XLOOKUP($A11,'2_DOI_Lookup'!$D$2:$D$430,'2_DOI_Lookup'!$E$2:$E$430),"TITLE NOT IN SOURCE"))</f>
        <v>TOWARDS NEXT GENERATION CYBER-PHYSICAL SYSTEMS AND DIGITAL TWINS FOR CONSTRUCTION</v>
      </c>
      <c r="F11" s="26" t="s">
        <v>310</v>
      </c>
      <c r="G11" s="27" t="s">
        <v>311</v>
      </c>
      <c r="H11" s="27" t="s">
        <v>311</v>
      </c>
      <c r="I11" s="27" t="s">
        <v>311</v>
      </c>
      <c r="J11" s="27" t="s">
        <v>311</v>
      </c>
      <c r="K11" s="27" t="s">
        <v>311</v>
      </c>
      <c r="L11" s="28" t="str">
        <f t="shared" si="1"/>
        <v>INCLUDE</v>
      </c>
      <c r="M11" s="28" t="str">
        <f t="shared" si="2"/>
        <v/>
      </c>
      <c r="N11" s="29" t="s">
        <v>49</v>
      </c>
      <c r="O11" s="29" t="s">
        <v>49</v>
      </c>
      <c r="P11" s="30" t="s">
        <v>49</v>
      </c>
      <c r="Q11" s="30" t="s">
        <v>49</v>
      </c>
      <c r="R11" s="30" t="s">
        <v>49</v>
      </c>
      <c r="S11" s="28" t="str">
        <f t="shared" si="3"/>
        <v>INCLUDE</v>
      </c>
      <c r="T11" s="28" t="str">
        <f t="shared" si="4"/>
        <v/>
      </c>
      <c r="U11" s="31" t="s">
        <v>68</v>
      </c>
      <c r="V11" s="31">
        <v>0</v>
      </c>
      <c r="W11" s="31">
        <v>1</v>
      </c>
      <c r="X11" s="31">
        <v>1</v>
      </c>
      <c r="Y11" s="28" t="str">
        <f t="shared" si="5"/>
        <v>Multi</v>
      </c>
      <c r="Z11" s="31" t="s">
        <v>9</v>
      </c>
      <c r="AA11" s="31" t="s">
        <v>62</v>
      </c>
      <c r="AB11" s="31" t="s">
        <v>91</v>
      </c>
      <c r="AC11" s="31" t="s">
        <v>64</v>
      </c>
      <c r="AD11" s="31" t="s">
        <v>56</v>
      </c>
      <c r="AE11" s="31">
        <v>3</v>
      </c>
      <c r="AF11" s="31" t="s">
        <v>57</v>
      </c>
      <c r="AG11" s="15" t="s">
        <v>685</v>
      </c>
      <c r="AH11" s="97" t="s">
        <v>753</v>
      </c>
      <c r="AI11" s="97" t="s">
        <v>754</v>
      </c>
      <c r="AJ11" s="98" t="s">
        <v>82</v>
      </c>
      <c r="AK11" s="98" t="s">
        <v>1090</v>
      </c>
      <c r="AL11" s="98" t="s">
        <v>1083</v>
      </c>
      <c r="AM11" s="99"/>
      <c r="AN11" s="100" t="s">
        <v>1418</v>
      </c>
      <c r="AO11" s="101" t="str">
        <f>IF($A11="","",IFERROR(_xlfn.XLOOKUP($A11,'2_DOI_Lookup'!$A$2:$A$430,'2_DOI_Lookup'!$B$2:$B$430),"NOT IN SOURCE"))</f>
        <v>10.36680/j.itcon.2021.027</v>
      </c>
    </row>
    <row r="12" spans="1:41" ht="57" hidden="1" x14ac:dyDescent="0.3">
      <c r="A12" s="73">
        <v>3527</v>
      </c>
      <c r="B12" s="74"/>
      <c r="C12" s="75"/>
      <c r="D12" s="74"/>
      <c r="E12" s="74" t="str">
        <f>IF($A12="","",IFERROR(_xlfn.XLOOKUP($A12,'2_DOI_Lookup'!$D$2:$D$430,'2_DOI_Lookup'!$E$2:$E$430),"TITLE NOT IN SOURCE"))</f>
        <v>A methodological approach to hybrid AI systems for real-time infrastructure monitoring in civil engineering</v>
      </c>
      <c r="F12" s="73" t="s">
        <v>309</v>
      </c>
      <c r="G12" s="76" t="s">
        <v>311</v>
      </c>
      <c r="H12" s="76" t="s">
        <v>312</v>
      </c>
      <c r="I12" s="76" t="s">
        <v>311</v>
      </c>
      <c r="J12" s="76" t="s">
        <v>311</v>
      </c>
      <c r="K12" s="76" t="s">
        <v>311</v>
      </c>
      <c r="L12" s="77" t="str">
        <f t="shared" si="1"/>
        <v>EXCLUDE</v>
      </c>
      <c r="M12" s="77" t="str">
        <f t="shared" si="2"/>
        <v>Digital Twin not core / buzzword</v>
      </c>
      <c r="N12" s="78"/>
      <c r="O12" s="78"/>
      <c r="P12" s="79"/>
      <c r="Q12" s="79"/>
      <c r="R12" s="79"/>
      <c r="S12" s="77" t="str">
        <f t="shared" si="3"/>
        <v/>
      </c>
      <c r="T12" s="77" t="str">
        <f t="shared" si="4"/>
        <v/>
      </c>
      <c r="U12" s="80"/>
      <c r="V12" s="80"/>
      <c r="W12" s="80"/>
      <c r="X12" s="80"/>
      <c r="Y12" s="77" t="str">
        <f t="shared" si="5"/>
        <v/>
      </c>
      <c r="Z12" s="80"/>
      <c r="AA12" s="80"/>
      <c r="AB12" s="80"/>
      <c r="AC12" s="80"/>
      <c r="AD12" s="80"/>
      <c r="AE12" s="80"/>
      <c r="AF12" s="80"/>
      <c r="AG12" s="81" t="s">
        <v>318</v>
      </c>
      <c r="AH12" s="35"/>
      <c r="AI12" s="35"/>
      <c r="AK12"/>
      <c r="AM12" s="56"/>
      <c r="AN12" s="57"/>
      <c r="AO12" s="63" t="str">
        <f>IF($A12="","",IFERROR(_xlfn.XLOOKUP($A12,'2_DOI_Lookup'!$A$2:$A$430,'2_DOI_Lookup'!$B$2:$B$430),"NOT IN SOURCE"))</f>
        <v>10.1007/s42107-025-01409-5</v>
      </c>
    </row>
    <row r="13" spans="1:41" ht="57" hidden="1" x14ac:dyDescent="0.3">
      <c r="A13" s="26">
        <v>3963</v>
      </c>
      <c r="B13" s="9"/>
      <c r="C13" s="32"/>
      <c r="D13" s="9"/>
      <c r="E13" s="9" t="str">
        <f>IF($A13="","",IFERROR(_xlfn.XLOOKUP($A13,'2_DOI_Lookup'!$D$2:$D$430,'2_DOI_Lookup'!$E$2:$E$430),"TITLE NOT IN SOURCE"))</f>
        <v>Neural network-based metamodel for scaffolding behavior: Application for structural load analysis and safety enhancement</v>
      </c>
      <c r="F13" s="26" t="s">
        <v>310</v>
      </c>
      <c r="G13" s="27" t="s">
        <v>311</v>
      </c>
      <c r="H13" s="27" t="s">
        <v>312</v>
      </c>
      <c r="I13" s="27" t="s">
        <v>311</v>
      </c>
      <c r="J13" s="27" t="s">
        <v>311</v>
      </c>
      <c r="K13" s="27" t="s">
        <v>311</v>
      </c>
      <c r="L13" s="28" t="str">
        <f t="shared" si="1"/>
        <v>EXCLUDE</v>
      </c>
      <c r="M13" s="28" t="str">
        <f t="shared" si="2"/>
        <v>Digital Twin not core / buzzword</v>
      </c>
      <c r="N13" s="29"/>
      <c r="O13" s="29"/>
      <c r="P13" s="30"/>
      <c r="Q13" s="30"/>
      <c r="R13" s="30"/>
      <c r="S13" s="28" t="str">
        <f t="shared" si="3"/>
        <v/>
      </c>
      <c r="T13" s="28" t="str">
        <f t="shared" si="4"/>
        <v/>
      </c>
      <c r="U13" s="31"/>
      <c r="V13" s="31"/>
      <c r="W13" s="31"/>
      <c r="X13" s="31"/>
      <c r="Y13" s="28" t="str">
        <f t="shared" si="5"/>
        <v/>
      </c>
      <c r="Z13" s="31"/>
      <c r="AA13" s="31"/>
      <c r="AB13" s="31"/>
      <c r="AC13" s="31"/>
      <c r="AD13" s="31"/>
      <c r="AE13" s="31"/>
      <c r="AF13" s="31"/>
      <c r="AG13" s="15" t="s">
        <v>319</v>
      </c>
      <c r="AH13" s="35"/>
      <c r="AI13" s="35"/>
      <c r="AK13"/>
      <c r="AM13" s="56"/>
      <c r="AN13" s="57"/>
      <c r="AO13" s="63" t="str">
        <f>IF($A13="","",IFERROR(_xlfn.XLOOKUP($A13,'2_DOI_Lookup'!$A$2:$A$430,'2_DOI_Lookup'!$B$2:$B$430),"NOT IN SOURCE"))</f>
        <v>10.1016/j.apples.2025.100240</v>
      </c>
    </row>
    <row r="14" spans="1:41" ht="57" hidden="1" x14ac:dyDescent="0.3">
      <c r="A14" s="26">
        <v>3917</v>
      </c>
      <c r="B14" s="9"/>
      <c r="C14" s="32"/>
      <c r="D14" s="9"/>
      <c r="E14" s="9" t="str">
        <f>IF($A14="","",IFERROR(_xlfn.XLOOKUP($A14,'2_DOI_Lookup'!$D$2:$D$430,'2_DOI_Lookup'!$E$2:$E$430),"TITLE NOT IN SOURCE"))</f>
        <v>Enhancing resilience through environmental data integration in early construction planning: a cloud-based framework</v>
      </c>
      <c r="F14" s="26" t="s">
        <v>310</v>
      </c>
      <c r="G14" s="27" t="s">
        <v>311</v>
      </c>
      <c r="H14" s="27" t="s">
        <v>312</v>
      </c>
      <c r="I14" s="27" t="s">
        <v>312</v>
      </c>
      <c r="J14" s="27" t="s">
        <v>311</v>
      </c>
      <c r="K14" s="27" t="s">
        <v>311</v>
      </c>
      <c r="L14" s="28" t="str">
        <f t="shared" si="1"/>
        <v>EXCLUDE</v>
      </c>
      <c r="M14" s="28" t="str">
        <f t="shared" si="2"/>
        <v>Digital Twin not core / buzzword</v>
      </c>
      <c r="N14" s="29"/>
      <c r="O14" s="29"/>
      <c r="P14" s="30"/>
      <c r="Q14" s="30"/>
      <c r="R14" s="30"/>
      <c r="S14" s="28" t="str">
        <f t="shared" si="3"/>
        <v/>
      </c>
      <c r="T14" s="28" t="str">
        <f t="shared" si="4"/>
        <v/>
      </c>
      <c r="U14" s="31"/>
      <c r="V14" s="31"/>
      <c r="W14" s="31"/>
      <c r="X14" s="31"/>
      <c r="Y14" s="28" t="str">
        <f t="shared" si="5"/>
        <v/>
      </c>
      <c r="Z14" s="31"/>
      <c r="AA14" s="31"/>
      <c r="AB14" s="31"/>
      <c r="AC14" s="31"/>
      <c r="AD14" s="31"/>
      <c r="AE14" s="31"/>
      <c r="AF14" s="31"/>
      <c r="AG14" s="15" t="s">
        <v>320</v>
      </c>
      <c r="AH14" s="35"/>
      <c r="AI14" s="35"/>
      <c r="AK14"/>
      <c r="AM14" s="56"/>
      <c r="AN14" s="57"/>
      <c r="AO14" s="63" t="str">
        <f>IF($A14="","",IFERROR(_xlfn.XLOOKUP($A14,'2_DOI_Lookup'!$A$2:$A$430,'2_DOI_Lookup'!$B$2:$B$430),"NOT IN SOURCE"))</f>
        <v>10.3389/fbuil.2026.1748837</v>
      </c>
    </row>
    <row r="15" spans="1:41" ht="45.6" hidden="1" x14ac:dyDescent="0.3">
      <c r="A15" s="26">
        <v>3541</v>
      </c>
      <c r="B15" s="9"/>
      <c r="C15" s="32"/>
      <c r="D15" s="9"/>
      <c r="E15" s="9" t="str">
        <f>IF($A15="","",IFERROR(_xlfn.XLOOKUP($A15,'2_DOI_Lookup'!$D$2:$D$430,'2_DOI_Lookup'!$E$2:$E$430),"TITLE NOT IN SOURCE"))</f>
        <v>Automation levels for nuclear reactor operations: A revised perspective</v>
      </c>
      <c r="F15" s="26" t="s">
        <v>309</v>
      </c>
      <c r="G15" s="27" t="s">
        <v>312</v>
      </c>
      <c r="H15" s="27" t="s">
        <v>312</v>
      </c>
      <c r="I15" s="27" t="s">
        <v>312</v>
      </c>
      <c r="J15" s="27" t="s">
        <v>311</v>
      </c>
      <c r="K15" s="27" t="s">
        <v>311</v>
      </c>
      <c r="L15" s="28" t="str">
        <f t="shared" si="1"/>
        <v>EXCLUDE</v>
      </c>
      <c r="M15" s="28" t="str">
        <f t="shared" si="2"/>
        <v>Wrong domain (non-AECO)</v>
      </c>
      <c r="N15" s="29"/>
      <c r="O15" s="29"/>
      <c r="P15" s="30"/>
      <c r="Q15" s="30"/>
      <c r="R15" s="30"/>
      <c r="S15" s="28" t="str">
        <f t="shared" si="3"/>
        <v/>
      </c>
      <c r="T15" s="28" t="str">
        <f t="shared" si="4"/>
        <v/>
      </c>
      <c r="U15" s="31"/>
      <c r="V15" s="31"/>
      <c r="W15" s="31"/>
      <c r="X15" s="31"/>
      <c r="Y15" s="28" t="str">
        <f t="shared" si="5"/>
        <v/>
      </c>
      <c r="Z15" s="31"/>
      <c r="AA15" s="31"/>
      <c r="AB15" s="31"/>
      <c r="AC15" s="31"/>
      <c r="AD15" s="31"/>
      <c r="AE15" s="31"/>
      <c r="AF15" s="31"/>
      <c r="AG15" s="15" t="s">
        <v>321</v>
      </c>
      <c r="AH15" s="35"/>
      <c r="AI15" s="35"/>
      <c r="AK15"/>
      <c r="AM15" s="56"/>
      <c r="AN15" s="57"/>
      <c r="AO15" s="63" t="str">
        <f>IF($A15="","",IFERROR(_xlfn.XLOOKUP($A15,'2_DOI_Lookup'!$A$2:$A$430,'2_DOI_Lookup'!$B$2:$B$430),"NOT IN SOURCE"))</f>
        <v>10.1016/j.pnucene.2022.104559</v>
      </c>
    </row>
    <row r="16" spans="1:41" ht="68.400000000000006" hidden="1" x14ac:dyDescent="0.3">
      <c r="A16" s="64">
        <v>3903</v>
      </c>
      <c r="B16" s="65"/>
      <c r="C16" s="66"/>
      <c r="D16" s="65"/>
      <c r="E16" s="65" t="str">
        <f>IF($A16="","",IFERROR(_xlfn.XLOOKUP($A16,'2_DOI_Lookup'!$D$2:$D$430,'2_DOI_Lookup'!$E$2:$E$430),"TITLE NOT IN SOURCE"))</f>
        <v>BIM-GIS integrated hydrodynamic modeling for road flood risk assessment: A case study in Algeria's Chiffa Wadi</v>
      </c>
      <c r="F16" s="64" t="s">
        <v>310</v>
      </c>
      <c r="G16" s="67" t="s">
        <v>311</v>
      </c>
      <c r="H16" s="67" t="s">
        <v>312</v>
      </c>
      <c r="I16" s="67" t="s">
        <v>311</v>
      </c>
      <c r="J16" s="67" t="s">
        <v>311</v>
      </c>
      <c r="K16" s="67" t="s">
        <v>311</v>
      </c>
      <c r="L16" s="68" t="str">
        <f t="shared" si="1"/>
        <v>EXCLUDE</v>
      </c>
      <c r="M16" s="68" t="str">
        <f t="shared" si="2"/>
        <v>Digital Twin not core / buzzword</v>
      </c>
      <c r="N16" s="69"/>
      <c r="O16" s="69"/>
      <c r="P16" s="70"/>
      <c r="Q16" s="70"/>
      <c r="R16" s="70"/>
      <c r="S16" s="68" t="str">
        <f t="shared" si="3"/>
        <v/>
      </c>
      <c r="T16" s="68" t="str">
        <f t="shared" si="4"/>
        <v/>
      </c>
      <c r="U16" s="71"/>
      <c r="V16" s="71"/>
      <c r="W16" s="71"/>
      <c r="X16" s="71"/>
      <c r="Y16" s="68" t="str">
        <f t="shared" si="5"/>
        <v/>
      </c>
      <c r="Z16" s="71"/>
      <c r="AA16" s="71"/>
      <c r="AB16" s="71"/>
      <c r="AC16" s="71"/>
      <c r="AD16" s="71"/>
      <c r="AE16" s="71"/>
      <c r="AF16" s="71"/>
      <c r="AG16" s="72" t="s">
        <v>322</v>
      </c>
      <c r="AH16" s="35"/>
      <c r="AI16" s="35"/>
      <c r="AK16"/>
      <c r="AM16" s="56"/>
      <c r="AN16" s="57"/>
      <c r="AO16" s="63" t="str">
        <f>IF($A16="","",IFERROR(_xlfn.XLOOKUP($A16,'2_DOI_Lookup'!$A$2:$A$430,'2_DOI_Lookup'!$B$2:$B$430),"NOT IN SOURCE"))</f>
        <v>10.1016/j.ress.2025.111906</v>
      </c>
    </row>
    <row r="17" spans="1:41" ht="86.4" x14ac:dyDescent="0.3">
      <c r="A17" s="26">
        <v>3915</v>
      </c>
      <c r="B17" s="9" t="s">
        <v>166</v>
      </c>
      <c r="C17" s="32">
        <v>2024</v>
      </c>
      <c r="D17" s="9"/>
      <c r="E17" s="9" t="str">
        <f>IF($A17="","",IFERROR(_xlfn.XLOOKUP($A17,'2_DOI_Lookup'!$D$2:$D$430,'2_DOI_Lookup'!$E$2:$E$430),"TITLE NOT IN SOURCE"))</f>
        <v>Digital-Twin-Based Fire Safety Management Framework for Smart Buildings</v>
      </c>
      <c r="F17" s="26" t="s">
        <v>310</v>
      </c>
      <c r="G17" s="27" t="s">
        <v>311</v>
      </c>
      <c r="H17" s="27" t="s">
        <v>311</v>
      </c>
      <c r="I17" s="27" t="s">
        <v>311</v>
      </c>
      <c r="J17" s="27" t="s">
        <v>311</v>
      </c>
      <c r="K17" s="27" t="s">
        <v>311</v>
      </c>
      <c r="L17" s="28" t="str">
        <f t="shared" si="1"/>
        <v>INCLUDE</v>
      </c>
      <c r="M17" s="28" t="str">
        <f t="shared" si="2"/>
        <v/>
      </c>
      <c r="N17" s="29" t="s">
        <v>49</v>
      </c>
      <c r="O17" s="29" t="s">
        <v>49</v>
      </c>
      <c r="P17" s="30" t="s">
        <v>49</v>
      </c>
      <c r="Q17" s="30" t="s">
        <v>49</v>
      </c>
      <c r="R17" s="30" t="s">
        <v>49</v>
      </c>
      <c r="S17" s="28" t="str">
        <f t="shared" si="3"/>
        <v>INCLUDE</v>
      </c>
      <c r="T17" s="28" t="str">
        <f t="shared" si="4"/>
        <v/>
      </c>
      <c r="U17" s="31" t="s">
        <v>68</v>
      </c>
      <c r="V17" s="31">
        <v>0</v>
      </c>
      <c r="W17" s="31">
        <v>0</v>
      </c>
      <c r="X17" s="31">
        <v>1</v>
      </c>
      <c r="Y17" s="28" t="str">
        <f t="shared" si="5"/>
        <v>Single</v>
      </c>
      <c r="Z17" s="31" t="s">
        <v>9</v>
      </c>
      <c r="AA17" s="31" t="s">
        <v>62</v>
      </c>
      <c r="AB17" s="31" t="s">
        <v>91</v>
      </c>
      <c r="AC17" s="31" t="s">
        <v>64</v>
      </c>
      <c r="AD17" s="31" t="s">
        <v>56</v>
      </c>
      <c r="AE17" s="31">
        <v>3</v>
      </c>
      <c r="AF17" s="31" t="s">
        <v>80</v>
      </c>
      <c r="AG17" s="15" t="s">
        <v>686</v>
      </c>
      <c r="AH17" s="97" t="s">
        <v>755</v>
      </c>
      <c r="AI17" s="97" t="s">
        <v>756</v>
      </c>
      <c r="AJ17" s="98" t="s">
        <v>82</v>
      </c>
      <c r="AK17" s="98" t="s">
        <v>1091</v>
      </c>
      <c r="AL17" s="98" t="s">
        <v>1083</v>
      </c>
      <c r="AM17" s="99"/>
      <c r="AN17" s="100" t="s">
        <v>1330</v>
      </c>
      <c r="AO17" s="101" t="str">
        <f>IF($A17="","",IFERROR(_xlfn.XLOOKUP($A17,'2_DOI_Lookup'!$A$2:$A$430,'2_DOI_Lookup'!$B$2:$B$430),"NOT IN SOURCE"))</f>
        <v>10.3390/buildings14010004</v>
      </c>
    </row>
    <row r="18" spans="1:41" ht="72" x14ac:dyDescent="0.3">
      <c r="A18" s="26">
        <v>3668</v>
      </c>
      <c r="B18" s="9" t="s">
        <v>167</v>
      </c>
      <c r="C18" s="32">
        <v>2025</v>
      </c>
      <c r="D18" s="9"/>
      <c r="E18" s="9" t="str">
        <f>IF($A18="","",IFERROR(_xlfn.XLOOKUP($A18,'2_DOI_Lookup'!$D$2:$D$430,'2_DOI_Lookup'!$E$2:$E$430),"TITLE NOT IN SOURCE"))</f>
        <v>GUIDE2FR: A smart monitoring platform with a digital twin of a firefighter training tower for emergency scenarios</v>
      </c>
      <c r="F18" s="26" t="s">
        <v>309</v>
      </c>
      <c r="G18" s="27" t="s">
        <v>311</v>
      </c>
      <c r="H18" s="27" t="s">
        <v>311</v>
      </c>
      <c r="I18" s="27" t="s">
        <v>311</v>
      </c>
      <c r="J18" s="27" t="s">
        <v>311</v>
      </c>
      <c r="K18" s="27" t="s">
        <v>311</v>
      </c>
      <c r="L18" s="28" t="str">
        <f t="shared" si="1"/>
        <v>INCLUDE</v>
      </c>
      <c r="M18" s="28" t="str">
        <f t="shared" si="2"/>
        <v/>
      </c>
      <c r="N18" s="29" t="s">
        <v>49</v>
      </c>
      <c r="O18" s="29" t="s">
        <v>49</v>
      </c>
      <c r="P18" s="30" t="s">
        <v>49</v>
      </c>
      <c r="Q18" s="30" t="s">
        <v>49</v>
      </c>
      <c r="R18" s="30" t="s">
        <v>49</v>
      </c>
      <c r="S18" s="28" t="str">
        <f t="shared" si="3"/>
        <v>INCLUDE</v>
      </c>
      <c r="T18" s="28" t="str">
        <f t="shared" si="4"/>
        <v/>
      </c>
      <c r="U18" s="31" t="s">
        <v>61</v>
      </c>
      <c r="V18" s="31">
        <v>0</v>
      </c>
      <c r="W18" s="31">
        <v>0</v>
      </c>
      <c r="X18" s="31">
        <v>1</v>
      </c>
      <c r="Y18" s="28" t="str">
        <f t="shared" si="5"/>
        <v>Single</v>
      </c>
      <c r="Z18" s="31" t="s">
        <v>9</v>
      </c>
      <c r="AA18" s="31" t="s">
        <v>53</v>
      </c>
      <c r="AB18" s="31" t="s">
        <v>92</v>
      </c>
      <c r="AC18" s="31" t="s">
        <v>64</v>
      </c>
      <c r="AD18" s="31" t="s">
        <v>72</v>
      </c>
      <c r="AE18" s="31">
        <v>4</v>
      </c>
      <c r="AF18" s="31" t="s">
        <v>80</v>
      </c>
      <c r="AG18" s="15" t="s">
        <v>687</v>
      </c>
      <c r="AH18" s="97" t="s">
        <v>757</v>
      </c>
      <c r="AI18" s="97" t="s">
        <v>758</v>
      </c>
      <c r="AJ18" s="98" t="s">
        <v>1080</v>
      </c>
      <c r="AK18" s="98" t="s">
        <v>1092</v>
      </c>
      <c r="AL18" s="98" t="s">
        <v>1083</v>
      </c>
      <c r="AM18" s="99"/>
      <c r="AN18" s="100" t="s">
        <v>1283</v>
      </c>
      <c r="AO18" s="101" t="str">
        <f>IF($A18="","",IFERROR(_xlfn.XLOOKUP($A18,'2_DOI_Lookup'!$A$2:$A$430,'2_DOI_Lookup'!$B$2:$B$430),"NOT IN SOURCE"))</f>
        <v>10.1016/j.iot.2025.101768</v>
      </c>
    </row>
    <row r="19" spans="1:41" ht="86.4" hidden="1" x14ac:dyDescent="0.3">
      <c r="A19" s="26">
        <v>4053</v>
      </c>
      <c r="B19" s="9" t="s">
        <v>168</v>
      </c>
      <c r="C19" s="32">
        <v>2024</v>
      </c>
      <c r="D19" s="9"/>
      <c r="E19" s="9" t="str">
        <f>IF($A19="","",IFERROR(_xlfn.XLOOKUP($A19,'2_DOI_Lookup'!$D$2:$D$430,'2_DOI_Lookup'!$E$2:$E$430),"TITLE NOT IN SOURCE"))</f>
        <v>Practical Application of Digital Twins for Transportation Asset Data Management: Case Example of a Safety Hardware Asset</v>
      </c>
      <c r="F19" s="26" t="s">
        <v>310</v>
      </c>
      <c r="G19" s="27" t="s">
        <v>311</v>
      </c>
      <c r="H19" s="27" t="s">
        <v>311</v>
      </c>
      <c r="I19" s="27" t="s">
        <v>311</v>
      </c>
      <c r="J19" s="27" t="s">
        <v>311</v>
      </c>
      <c r="K19" s="27" t="s">
        <v>311</v>
      </c>
      <c r="L19" s="28" t="str">
        <f t="shared" si="1"/>
        <v>INCLUDE</v>
      </c>
      <c r="M19" s="28" t="str">
        <f t="shared" si="2"/>
        <v/>
      </c>
      <c r="N19" s="29" t="s">
        <v>49</v>
      </c>
      <c r="O19" s="29" t="s">
        <v>49</v>
      </c>
      <c r="P19" s="30" t="s">
        <v>58</v>
      </c>
      <c r="Q19" s="30" t="s">
        <v>49</v>
      </c>
      <c r="R19" s="30" t="s">
        <v>49</v>
      </c>
      <c r="S19" s="28" t="str">
        <f t="shared" si="3"/>
        <v>EXCLUDE</v>
      </c>
      <c r="T19" s="28" t="str">
        <f t="shared" si="4"/>
        <v>Digital Twin mentioned only, not the subject</v>
      </c>
      <c r="U19" s="31" t="s">
        <v>82</v>
      </c>
      <c r="V19" s="31"/>
      <c r="W19" s="31"/>
      <c r="X19" s="31"/>
      <c r="Y19" s="28" t="str">
        <f t="shared" si="5"/>
        <v/>
      </c>
      <c r="Z19" s="31"/>
      <c r="AA19" s="31"/>
      <c r="AB19" s="31"/>
      <c r="AC19" s="31"/>
      <c r="AD19" s="31"/>
      <c r="AE19" s="31"/>
      <c r="AF19" s="31"/>
      <c r="AG19" s="15" t="s">
        <v>323</v>
      </c>
      <c r="AH19" s="97"/>
      <c r="AI19" s="97"/>
      <c r="AJ19" s="98"/>
      <c r="AK19" s="98"/>
      <c r="AL19" s="98"/>
      <c r="AM19" s="99"/>
      <c r="AN19" s="100" t="s">
        <v>1447</v>
      </c>
      <c r="AO19" s="101" t="str">
        <f>IF($A19="","",IFERROR(_xlfn.XLOOKUP($A19,'2_DOI_Lookup'!$A$2:$A$430,'2_DOI_Lookup'!$B$2:$B$430),"NOT IN SOURCE"))</f>
        <v>10.1177/03611981241231804</v>
      </c>
    </row>
    <row r="20" spans="1:41" ht="45.6" hidden="1" x14ac:dyDescent="0.3">
      <c r="A20" s="73">
        <v>3579</v>
      </c>
      <c r="B20" s="74"/>
      <c r="C20" s="75"/>
      <c r="D20" s="74"/>
      <c r="E20" s="74" t="str">
        <f>IF($A20="","",IFERROR(_xlfn.XLOOKUP($A20,'2_DOI_Lookup'!$D$2:$D$430,'2_DOI_Lookup'!$E$2:$E$430),"TITLE NOT IN SOURCE"))</f>
        <v>State regulation of the IoT in the Russian Federation: Fundamentals and challenges</v>
      </c>
      <c r="F20" s="73" t="s">
        <v>309</v>
      </c>
      <c r="G20" s="76" t="s">
        <v>312</v>
      </c>
      <c r="H20" s="76" t="s">
        <v>312</v>
      </c>
      <c r="I20" s="76" t="s">
        <v>312</v>
      </c>
      <c r="J20" s="76" t="s">
        <v>311</v>
      </c>
      <c r="K20" s="76" t="s">
        <v>311</v>
      </c>
      <c r="L20" s="77" t="str">
        <f t="shared" si="1"/>
        <v>EXCLUDE</v>
      </c>
      <c r="M20" s="77" t="str">
        <f t="shared" si="2"/>
        <v>Wrong domain (non-AECO)</v>
      </c>
      <c r="N20" s="78"/>
      <c r="O20" s="78"/>
      <c r="P20" s="79"/>
      <c r="Q20" s="79"/>
      <c r="R20" s="79"/>
      <c r="S20" s="77" t="str">
        <f t="shared" si="3"/>
        <v/>
      </c>
      <c r="T20" s="77" t="str">
        <f t="shared" si="4"/>
        <v/>
      </c>
      <c r="U20" s="80"/>
      <c r="V20" s="80"/>
      <c r="W20" s="80"/>
      <c r="X20" s="80"/>
      <c r="Y20" s="77" t="str">
        <f t="shared" si="5"/>
        <v/>
      </c>
      <c r="Z20" s="80"/>
      <c r="AA20" s="80"/>
      <c r="AB20" s="80"/>
      <c r="AC20" s="80"/>
      <c r="AD20" s="80"/>
      <c r="AE20" s="80"/>
      <c r="AF20" s="80"/>
      <c r="AG20" s="81" t="s">
        <v>324</v>
      </c>
      <c r="AH20" s="35"/>
      <c r="AI20" s="35"/>
      <c r="AK20"/>
      <c r="AM20" s="56"/>
      <c r="AN20" s="57"/>
      <c r="AO20" s="63" t="str">
        <f>IF($A20="","",IFERROR(_xlfn.XLOOKUP($A20,'2_DOI_Lookup'!$A$2:$A$430,'2_DOI_Lookup'!$B$2:$B$430),"NOT IN SOURCE"))</f>
        <v>10.11591/ijece.v11i5.pp4542-4549</v>
      </c>
    </row>
    <row r="21" spans="1:41" ht="68.400000000000006" hidden="1" x14ac:dyDescent="0.3">
      <c r="A21" s="26">
        <v>3838</v>
      </c>
      <c r="B21" s="9"/>
      <c r="C21" s="32"/>
      <c r="D21" s="9"/>
      <c r="E21" s="9" t="str">
        <f>IF($A21="","",IFERROR(_xlfn.XLOOKUP($A21,'2_DOI_Lookup'!$D$2:$D$430,'2_DOI_Lookup'!$E$2:$E$430),"TITLE NOT IN SOURCE"))</f>
        <v>The Role of Artificial Intelligence in Shaping Intelligent Motorways: Opportunities, Challenges, and Real-World Implementations</v>
      </c>
      <c r="F21" s="26" t="s">
        <v>309</v>
      </c>
      <c r="G21" s="27" t="s">
        <v>311</v>
      </c>
      <c r="H21" s="27" t="s">
        <v>312</v>
      </c>
      <c r="I21" s="27" t="s">
        <v>312</v>
      </c>
      <c r="J21" s="27" t="s">
        <v>311</v>
      </c>
      <c r="K21" s="27" t="s">
        <v>311</v>
      </c>
      <c r="L21" s="28" t="str">
        <f t="shared" si="1"/>
        <v>EXCLUDE</v>
      </c>
      <c r="M21" s="28" t="str">
        <f t="shared" si="2"/>
        <v>Digital Twin not core / buzzword</v>
      </c>
      <c r="N21" s="29"/>
      <c r="O21" s="29"/>
      <c r="P21" s="30"/>
      <c r="Q21" s="30"/>
      <c r="R21" s="30"/>
      <c r="S21" s="28" t="str">
        <f t="shared" si="3"/>
        <v/>
      </c>
      <c r="T21" s="28" t="str">
        <f t="shared" si="4"/>
        <v/>
      </c>
      <c r="U21" s="31"/>
      <c r="V21" s="31"/>
      <c r="W21" s="31"/>
      <c r="X21" s="31"/>
      <c r="Y21" s="28" t="str">
        <f t="shared" si="5"/>
        <v/>
      </c>
      <c r="Z21" s="31"/>
      <c r="AA21" s="31"/>
      <c r="AB21" s="31"/>
      <c r="AC21" s="31"/>
      <c r="AD21" s="31"/>
      <c r="AE21" s="31"/>
      <c r="AF21" s="31"/>
      <c r="AG21" s="15" t="s">
        <v>325</v>
      </c>
      <c r="AH21" s="35"/>
      <c r="AI21" s="35"/>
      <c r="AK21"/>
      <c r="AM21" s="56"/>
      <c r="AN21" s="57"/>
      <c r="AO21" s="63" t="str">
        <f>IF($A21="","",IFERROR(_xlfn.XLOOKUP($A21,'2_DOI_Lookup'!$A$2:$A$430,'2_DOI_Lookup'!$B$2:$B$430),"NOT IN SOURCE"))</f>
        <v>10.1109/TITS.2025.3609972</v>
      </c>
    </row>
    <row r="22" spans="1:41" ht="45.6" hidden="1" x14ac:dyDescent="0.3">
      <c r="A22" s="64">
        <v>4020</v>
      </c>
      <c r="B22" s="65"/>
      <c r="C22" s="66"/>
      <c r="D22" s="65"/>
      <c r="E22" s="65" t="str">
        <f>IF($A22="","",IFERROR(_xlfn.XLOOKUP($A22,'2_DOI_Lookup'!$D$2:$D$430,'2_DOI_Lookup'!$E$2:$E$430),"TITLE NOT IN SOURCE"))</f>
        <v>FingerCI: Writing industrial process specifications from network traffic</v>
      </c>
      <c r="F22" s="64" t="s">
        <v>310</v>
      </c>
      <c r="G22" s="67" t="s">
        <v>312</v>
      </c>
      <c r="H22" s="67" t="s">
        <v>311</v>
      </c>
      <c r="I22" s="67" t="s">
        <v>312</v>
      </c>
      <c r="J22" s="67" t="s">
        <v>311</v>
      </c>
      <c r="K22" s="67" t="s">
        <v>311</v>
      </c>
      <c r="L22" s="68" t="str">
        <f t="shared" si="1"/>
        <v>EXCLUDE</v>
      </c>
      <c r="M22" s="68" t="str">
        <f t="shared" si="2"/>
        <v>Wrong domain (non-AECO)</v>
      </c>
      <c r="N22" s="69"/>
      <c r="O22" s="69"/>
      <c r="P22" s="70"/>
      <c r="Q22" s="70"/>
      <c r="R22" s="70"/>
      <c r="S22" s="68" t="str">
        <f t="shared" si="3"/>
        <v/>
      </c>
      <c r="T22" s="68" t="str">
        <f t="shared" si="4"/>
        <v/>
      </c>
      <c r="U22" s="71"/>
      <c r="V22" s="71"/>
      <c r="W22" s="71"/>
      <c r="X22" s="71"/>
      <c r="Y22" s="68" t="str">
        <f t="shared" si="5"/>
        <v/>
      </c>
      <c r="Z22" s="71"/>
      <c r="AA22" s="71"/>
      <c r="AB22" s="71"/>
      <c r="AC22" s="71"/>
      <c r="AD22" s="71"/>
      <c r="AE22" s="71"/>
      <c r="AF22" s="71"/>
      <c r="AG22" s="72" t="s">
        <v>326</v>
      </c>
      <c r="AH22" s="35"/>
      <c r="AI22" s="35"/>
      <c r="AK22"/>
      <c r="AM22" s="56"/>
      <c r="AN22" s="57"/>
      <c r="AO22" s="63" t="str">
        <f>IF($A22="","",IFERROR(_xlfn.XLOOKUP($A22,'2_DOI_Lookup'!$A$2:$A$430,'2_DOI_Lookup'!$B$2:$B$430),"NOT IN SOURCE"))</f>
        <v>10.1016/j.ijcip.2024.100725</v>
      </c>
    </row>
    <row r="23" spans="1:41" ht="100.8" x14ac:dyDescent="0.3">
      <c r="A23" s="26">
        <v>3842</v>
      </c>
      <c r="B23" s="9" t="s">
        <v>169</v>
      </c>
      <c r="C23" s="32">
        <v>2025</v>
      </c>
      <c r="D23" s="9"/>
      <c r="E23" s="9" t="str">
        <f>IF($A23="","",IFERROR(_xlfn.XLOOKUP($A23,'2_DOI_Lookup'!$D$2:$D$430,'2_DOI_Lookup'!$E$2:$E$430),"TITLE NOT IN SOURCE"))</f>
        <v>Seeking a Definition of Digital Twins for Construction and Infrastructure Management</v>
      </c>
      <c r="F23" s="26" t="s">
        <v>309</v>
      </c>
      <c r="G23" s="27" t="s">
        <v>311</v>
      </c>
      <c r="H23" s="27" t="s">
        <v>311</v>
      </c>
      <c r="I23" s="27" t="s">
        <v>311</v>
      </c>
      <c r="J23" s="27" t="s">
        <v>311</v>
      </c>
      <c r="K23" s="27" t="s">
        <v>311</v>
      </c>
      <c r="L23" s="28" t="str">
        <f t="shared" si="1"/>
        <v>INCLUDE</v>
      </c>
      <c r="M23" s="28" t="str">
        <f t="shared" si="2"/>
        <v/>
      </c>
      <c r="N23" s="29" t="s">
        <v>49</v>
      </c>
      <c r="O23" s="29" t="s">
        <v>49</v>
      </c>
      <c r="P23" s="30" t="s">
        <v>49</v>
      </c>
      <c r="Q23" s="30" t="s">
        <v>49</v>
      </c>
      <c r="R23" s="30" t="s">
        <v>49</v>
      </c>
      <c r="S23" s="28" t="str">
        <f t="shared" si="3"/>
        <v>INCLUDE</v>
      </c>
      <c r="T23" s="28" t="str">
        <f t="shared" si="4"/>
        <v/>
      </c>
      <c r="U23" s="31" t="s">
        <v>52</v>
      </c>
      <c r="V23" s="31">
        <v>0</v>
      </c>
      <c r="W23" s="31">
        <v>0</v>
      </c>
      <c r="X23" s="31">
        <v>1</v>
      </c>
      <c r="Y23" s="28" t="str">
        <f t="shared" si="5"/>
        <v>Single</v>
      </c>
      <c r="Z23" s="31" t="s">
        <v>9</v>
      </c>
      <c r="AA23" s="31" t="s">
        <v>53</v>
      </c>
      <c r="AB23" s="31" t="s">
        <v>91</v>
      </c>
      <c r="AC23" s="31" t="s">
        <v>64</v>
      </c>
      <c r="AD23" s="31" t="s">
        <v>79</v>
      </c>
      <c r="AE23" s="31">
        <v>3</v>
      </c>
      <c r="AF23" s="31" t="s">
        <v>86</v>
      </c>
      <c r="AG23" s="15" t="s">
        <v>688</v>
      </c>
      <c r="AH23" s="97" t="s">
        <v>759</v>
      </c>
      <c r="AI23" s="97" t="s">
        <v>760</v>
      </c>
      <c r="AJ23" s="98" t="s">
        <v>82</v>
      </c>
      <c r="AK23" s="98" t="s">
        <v>1093</v>
      </c>
      <c r="AL23" s="98" t="s">
        <v>1083</v>
      </c>
      <c r="AM23" s="99"/>
      <c r="AN23" s="100" t="s">
        <v>1310</v>
      </c>
      <c r="AO23" s="101" t="str">
        <f>IF($A23="","",IFERROR(_xlfn.XLOOKUP($A23,'2_DOI_Lookup'!$A$2:$A$430,'2_DOI_Lookup'!$B$2:$B$430),"NOT IN SOURCE"))</f>
        <v>10.3390/app15031557</v>
      </c>
    </row>
    <row r="24" spans="1:41" ht="100.8" x14ac:dyDescent="0.3">
      <c r="A24" s="26">
        <v>4028</v>
      </c>
      <c r="B24" s="9" t="s">
        <v>170</v>
      </c>
      <c r="C24" s="32">
        <v>2025</v>
      </c>
      <c r="D24" s="9"/>
      <c r="E24" s="9" t="str">
        <f>IF($A24="","",IFERROR(_xlfn.XLOOKUP($A24,'2_DOI_Lookup'!$D$2:$D$430,'2_DOI_Lookup'!$E$2:$E$430),"TITLE NOT IN SOURCE"))</f>
        <v>Proposal of a conceptual model of digital twins for construction sites</v>
      </c>
      <c r="F24" s="26" t="s">
        <v>310</v>
      </c>
      <c r="G24" s="27" t="s">
        <v>311</v>
      </c>
      <c r="H24" s="27" t="s">
        <v>311</v>
      </c>
      <c r="I24" s="27" t="s">
        <v>311</v>
      </c>
      <c r="J24" s="27" t="s">
        <v>311</v>
      </c>
      <c r="K24" s="27" t="s">
        <v>311</v>
      </c>
      <c r="L24" s="28" t="str">
        <f t="shared" si="1"/>
        <v>INCLUDE</v>
      </c>
      <c r="M24" s="28" t="str">
        <f t="shared" si="2"/>
        <v/>
      </c>
      <c r="N24" s="29" t="s">
        <v>49</v>
      </c>
      <c r="O24" s="29" t="s">
        <v>49</v>
      </c>
      <c r="P24" s="30" t="s">
        <v>49</v>
      </c>
      <c r="Q24" s="30" t="s">
        <v>49</v>
      </c>
      <c r="R24" s="30" t="s">
        <v>49</v>
      </c>
      <c r="S24" s="28" t="str">
        <f t="shared" si="3"/>
        <v>INCLUDE</v>
      </c>
      <c r="T24" s="28" t="str">
        <f t="shared" si="4"/>
        <v/>
      </c>
      <c r="U24" s="31" t="s">
        <v>61</v>
      </c>
      <c r="V24" s="31">
        <v>0</v>
      </c>
      <c r="W24" s="31">
        <v>1</v>
      </c>
      <c r="X24" s="31">
        <v>0</v>
      </c>
      <c r="Y24" s="28" t="str">
        <f t="shared" si="5"/>
        <v>Single</v>
      </c>
      <c r="Z24" s="31" t="s">
        <v>11</v>
      </c>
      <c r="AA24" s="31" t="s">
        <v>53</v>
      </c>
      <c r="AB24" s="31" t="s">
        <v>91</v>
      </c>
      <c r="AC24" s="31" t="s">
        <v>64</v>
      </c>
      <c r="AD24" s="31" t="s">
        <v>56</v>
      </c>
      <c r="AE24" s="31">
        <v>3</v>
      </c>
      <c r="AF24" s="31" t="s">
        <v>57</v>
      </c>
      <c r="AG24" s="15" t="s">
        <v>689</v>
      </c>
      <c r="AH24" s="97" t="s">
        <v>761</v>
      </c>
      <c r="AI24" s="97" t="s">
        <v>762</v>
      </c>
      <c r="AJ24" s="98" t="s">
        <v>1080</v>
      </c>
      <c r="AK24" s="98" t="s">
        <v>1094</v>
      </c>
      <c r="AL24" s="98" t="s">
        <v>1084</v>
      </c>
      <c r="AM24" s="99"/>
      <c r="AN24" s="100" t="s">
        <v>1439</v>
      </c>
      <c r="AO24" s="101" t="str">
        <f>IF($A24="","",IFERROR(_xlfn.XLOOKUP($A24,'2_DOI_Lookup'!$A$2:$A$430,'2_DOI_Lookup'!$B$2:$B$430),"NOT IN SOURCE"))</f>
        <v>10.7764/RIC.00168.21</v>
      </c>
    </row>
    <row r="25" spans="1:41" ht="144" x14ac:dyDescent="0.3">
      <c r="A25" s="26">
        <v>3828</v>
      </c>
      <c r="B25" s="9" t="s">
        <v>171</v>
      </c>
      <c r="C25" s="32">
        <v>2026</v>
      </c>
      <c r="D25" s="9"/>
      <c r="E25" s="9" t="str">
        <f>IF($A25="","",IFERROR(_xlfn.XLOOKUP($A25,'2_DOI_Lookup'!$D$2:$D$430,'2_DOI_Lookup'!$E$2:$E$430),"TITLE NOT IN SOURCE"))</f>
        <v>Serverless 3D Reconstruction and Spatial Anchoring for Cloud-Native Infrastructure Inspection</v>
      </c>
      <c r="F25" s="26" t="s">
        <v>309</v>
      </c>
      <c r="G25" s="27" t="s">
        <v>311</v>
      </c>
      <c r="H25" s="27" t="s">
        <v>311</v>
      </c>
      <c r="I25" s="27" t="s">
        <v>311</v>
      </c>
      <c r="J25" s="27" t="s">
        <v>311</v>
      </c>
      <c r="K25" s="27" t="s">
        <v>311</v>
      </c>
      <c r="L25" s="28" t="str">
        <f t="shared" si="1"/>
        <v>INCLUDE</v>
      </c>
      <c r="M25" s="28" t="str">
        <f t="shared" si="2"/>
        <v/>
      </c>
      <c r="N25" s="29" t="s">
        <v>49</v>
      </c>
      <c r="O25" s="29" t="s">
        <v>49</v>
      </c>
      <c r="P25" s="30" t="s">
        <v>49</v>
      </c>
      <c r="Q25" s="30" t="s">
        <v>49</v>
      </c>
      <c r="R25" s="30" t="s">
        <v>49</v>
      </c>
      <c r="S25" s="28" t="str">
        <f t="shared" si="3"/>
        <v>INCLUDE</v>
      </c>
      <c r="T25" s="28" t="str">
        <f t="shared" si="4"/>
        <v/>
      </c>
      <c r="U25" s="31" t="s">
        <v>52</v>
      </c>
      <c r="V25" s="31">
        <v>0</v>
      </c>
      <c r="W25" s="31">
        <v>0</v>
      </c>
      <c r="X25" s="31">
        <v>1</v>
      </c>
      <c r="Y25" s="28" t="str">
        <f t="shared" si="5"/>
        <v>Single</v>
      </c>
      <c r="Z25" s="31" t="s">
        <v>11</v>
      </c>
      <c r="AA25" s="31" t="s">
        <v>53</v>
      </c>
      <c r="AB25" s="31" t="s">
        <v>91</v>
      </c>
      <c r="AC25" s="31" t="s">
        <v>64</v>
      </c>
      <c r="AD25" s="31" t="s">
        <v>79</v>
      </c>
      <c r="AE25" s="31">
        <v>4</v>
      </c>
      <c r="AF25" s="31" t="s">
        <v>73</v>
      </c>
      <c r="AG25" s="15" t="s">
        <v>690</v>
      </c>
      <c r="AH25" s="97" t="s">
        <v>763</v>
      </c>
      <c r="AI25" s="97" t="s">
        <v>764</v>
      </c>
      <c r="AJ25" s="98" t="s">
        <v>1080</v>
      </c>
      <c r="AK25" s="98" t="s">
        <v>1095</v>
      </c>
      <c r="AL25" s="98" t="s">
        <v>1083</v>
      </c>
      <c r="AM25" s="99" t="s">
        <v>1344</v>
      </c>
      <c r="AN25" s="100" t="s">
        <v>1345</v>
      </c>
      <c r="AO25" s="101" t="str">
        <f>IF($A25="","",IFERROR(_xlfn.XLOOKUP($A25,'2_DOI_Lookup'!$A$2:$A$430,'2_DOI_Lookup'!$B$2:$B$430),"NOT IN SOURCE"))</f>
        <v>10.3390/buildings16122433</v>
      </c>
    </row>
    <row r="26" spans="1:41" ht="216" x14ac:dyDescent="0.3">
      <c r="A26" s="26">
        <v>3662</v>
      </c>
      <c r="B26" s="9" t="s">
        <v>172</v>
      </c>
      <c r="C26" s="32">
        <v>2024</v>
      </c>
      <c r="D26" s="9"/>
      <c r="E26" s="9" t="str">
        <f>IF($A26="","",IFERROR(_xlfn.XLOOKUP($A26,'2_DOI_Lookup'!$D$2:$D$430,'2_DOI_Lookup'!$E$2:$E$430),"TITLE NOT IN SOURCE"))</f>
        <v>Integration of Railway Bridge Structural Health Monitoring into the Internet of Things with a Digital Twin: A Case Study</v>
      </c>
      <c r="F26" s="26" t="s">
        <v>309</v>
      </c>
      <c r="G26" s="27" t="s">
        <v>311</v>
      </c>
      <c r="H26" s="27" t="s">
        <v>311</v>
      </c>
      <c r="I26" s="27" t="s">
        <v>311</v>
      </c>
      <c r="J26" s="27" t="s">
        <v>311</v>
      </c>
      <c r="K26" s="27" t="s">
        <v>311</v>
      </c>
      <c r="L26" s="28" t="str">
        <f t="shared" si="1"/>
        <v>INCLUDE</v>
      </c>
      <c r="M26" s="28" t="str">
        <f t="shared" si="2"/>
        <v/>
      </c>
      <c r="N26" s="29" t="s">
        <v>49</v>
      </c>
      <c r="O26" s="29" t="s">
        <v>49</v>
      </c>
      <c r="P26" s="30" t="s">
        <v>49</v>
      </c>
      <c r="Q26" s="30" t="s">
        <v>49</v>
      </c>
      <c r="R26" s="30" t="s">
        <v>49</v>
      </c>
      <c r="S26" s="28" t="str">
        <f t="shared" si="3"/>
        <v>INCLUDE</v>
      </c>
      <c r="T26" s="28" t="str">
        <f t="shared" si="4"/>
        <v/>
      </c>
      <c r="U26" s="31" t="s">
        <v>61</v>
      </c>
      <c r="V26" s="31">
        <v>0</v>
      </c>
      <c r="W26" s="31">
        <v>0</v>
      </c>
      <c r="X26" s="31">
        <v>1</v>
      </c>
      <c r="Y26" s="28" t="str">
        <f t="shared" si="5"/>
        <v>Single</v>
      </c>
      <c r="Z26" s="31" t="s">
        <v>9</v>
      </c>
      <c r="AA26" s="31" t="s">
        <v>62</v>
      </c>
      <c r="AB26" s="31" t="s">
        <v>92</v>
      </c>
      <c r="AC26" s="31" t="s">
        <v>55</v>
      </c>
      <c r="AD26" s="31" t="s">
        <v>72</v>
      </c>
      <c r="AE26" s="31">
        <v>4</v>
      </c>
      <c r="AF26" s="31" t="s">
        <v>84</v>
      </c>
      <c r="AG26" s="15" t="s">
        <v>1455</v>
      </c>
      <c r="AH26" s="97" t="s">
        <v>765</v>
      </c>
      <c r="AI26" s="97" t="s">
        <v>1456</v>
      </c>
      <c r="AJ26" s="98" t="s">
        <v>1078</v>
      </c>
      <c r="AK26" s="115" t="s">
        <v>1096</v>
      </c>
      <c r="AL26" s="98" t="s">
        <v>1083</v>
      </c>
      <c r="AM26" s="99" t="s">
        <v>1457</v>
      </c>
      <c r="AN26" s="100" t="s">
        <v>1458</v>
      </c>
      <c r="AO26" s="101" t="str">
        <f>IF($A26="","",IFERROR(_xlfn.XLOOKUP($A26,'2_DOI_Lookup'!$A$2:$A$430,'2_DOI_Lookup'!$B$2:$B$430),"NOT IN SOURCE"))</f>
        <v>10.3390/s24072115</v>
      </c>
    </row>
    <row r="27" spans="1:41" ht="115.2" x14ac:dyDescent="0.3">
      <c r="A27" s="26">
        <v>3975</v>
      </c>
      <c r="B27" s="9" t="s">
        <v>173</v>
      </c>
      <c r="C27" s="32">
        <v>2025</v>
      </c>
      <c r="D27" s="9"/>
      <c r="E27" s="9" t="str">
        <f>IF($A27="","",IFERROR(_xlfn.XLOOKUP($A27,'2_DOI_Lookup'!$D$2:$D$430,'2_DOI_Lookup'!$E$2:$E$430),"TITLE NOT IN SOURCE"))</f>
        <v>Methodological framework for integrating structural health monitoring and digital-twin models for seismic assessment of heritage buildings: Case study of Basilica Maria Auxiliadora, Lima, Peru</v>
      </c>
      <c r="F27" s="26" t="s">
        <v>310</v>
      </c>
      <c r="G27" s="27" t="s">
        <v>311</v>
      </c>
      <c r="H27" s="27" t="s">
        <v>311</v>
      </c>
      <c r="I27" s="27" t="s">
        <v>311</v>
      </c>
      <c r="J27" s="27" t="s">
        <v>311</v>
      </c>
      <c r="K27" s="27" t="s">
        <v>311</v>
      </c>
      <c r="L27" s="28" t="str">
        <f t="shared" si="1"/>
        <v>INCLUDE</v>
      </c>
      <c r="M27" s="28" t="str">
        <f t="shared" si="2"/>
        <v/>
      </c>
      <c r="N27" s="29" t="s">
        <v>49</v>
      </c>
      <c r="O27" s="29" t="s">
        <v>49</v>
      </c>
      <c r="P27" s="30" t="s">
        <v>49</v>
      </c>
      <c r="Q27" s="30" t="s">
        <v>49</v>
      </c>
      <c r="R27" s="30" t="s">
        <v>49</v>
      </c>
      <c r="S27" s="28" t="str">
        <f t="shared" si="3"/>
        <v>INCLUDE</v>
      </c>
      <c r="T27" s="28" t="str">
        <f t="shared" si="4"/>
        <v/>
      </c>
      <c r="U27" s="31" t="s">
        <v>52</v>
      </c>
      <c r="V27" s="31">
        <v>0</v>
      </c>
      <c r="W27" s="31">
        <v>0</v>
      </c>
      <c r="X27" s="31">
        <v>1</v>
      </c>
      <c r="Y27" s="28" t="str">
        <f t="shared" si="5"/>
        <v>Single</v>
      </c>
      <c r="Z27" s="31" t="s">
        <v>9</v>
      </c>
      <c r="AA27" s="31" t="s">
        <v>53</v>
      </c>
      <c r="AB27" s="31" t="s">
        <v>88</v>
      </c>
      <c r="AC27" s="31" t="s">
        <v>64</v>
      </c>
      <c r="AD27" s="31" t="s">
        <v>56</v>
      </c>
      <c r="AE27" s="31">
        <v>4</v>
      </c>
      <c r="AF27" s="31" t="s">
        <v>57</v>
      </c>
      <c r="AG27" s="15" t="s">
        <v>327</v>
      </c>
      <c r="AH27" s="97" t="s">
        <v>766</v>
      </c>
      <c r="AI27" s="97" t="s">
        <v>767</v>
      </c>
      <c r="AJ27" s="98" t="s">
        <v>1080</v>
      </c>
      <c r="AK27" s="98" t="s">
        <v>1097</v>
      </c>
      <c r="AL27" s="98" t="s">
        <v>1084</v>
      </c>
      <c r="AM27" s="99"/>
      <c r="AN27" s="100" t="s">
        <v>1410</v>
      </c>
      <c r="AO27" s="101" t="str">
        <f>IF($A27="","",IFERROR(_xlfn.XLOOKUP($A27,'2_DOI_Lookup'!$A$2:$A$430,'2_DOI_Lookup'!$B$2:$B$430),"NOT IN SOURCE"))</f>
        <v>10.1016/j.istruc.2025.110115</v>
      </c>
    </row>
    <row r="28" spans="1:41" ht="72" hidden="1" x14ac:dyDescent="0.3">
      <c r="A28" s="26">
        <v>3996</v>
      </c>
      <c r="B28" s="9" t="s">
        <v>174</v>
      </c>
      <c r="C28" s="32">
        <v>2024</v>
      </c>
      <c r="D28" s="9"/>
      <c r="E28" s="9" t="str">
        <f>IF($A28="","",IFERROR(_xlfn.XLOOKUP($A28,'2_DOI_Lookup'!$D$2:$D$430,'2_DOI_Lookup'!$E$2:$E$430),"TITLE NOT IN SOURCE"))</f>
        <v>Driving Factors for the Adoption of Digital Twin Technology Implementation for Construction Project Performance in Nigeria</v>
      </c>
      <c r="F28" s="26" t="s">
        <v>310</v>
      </c>
      <c r="G28" s="27" t="s">
        <v>311</v>
      </c>
      <c r="H28" s="27" t="s">
        <v>311</v>
      </c>
      <c r="I28" s="27" t="s">
        <v>311</v>
      </c>
      <c r="J28" s="27" t="s">
        <v>311</v>
      </c>
      <c r="K28" s="27" t="s">
        <v>311</v>
      </c>
      <c r="L28" s="28" t="str">
        <f t="shared" si="1"/>
        <v>INCLUDE</v>
      </c>
      <c r="M28" s="28" t="str">
        <f t="shared" si="2"/>
        <v/>
      </c>
      <c r="N28" s="29" t="s">
        <v>49</v>
      </c>
      <c r="O28" s="29" t="s">
        <v>49</v>
      </c>
      <c r="P28" s="30" t="s">
        <v>58</v>
      </c>
      <c r="Q28" s="30" t="s">
        <v>49</v>
      </c>
      <c r="R28" s="30" t="s">
        <v>49</v>
      </c>
      <c r="S28" s="28" t="str">
        <f t="shared" si="3"/>
        <v>EXCLUDE</v>
      </c>
      <c r="T28" s="28" t="str">
        <f t="shared" si="4"/>
        <v>Digital Twin mentioned only, not the subject</v>
      </c>
      <c r="U28" s="31" t="s">
        <v>82</v>
      </c>
      <c r="V28" s="31"/>
      <c r="W28" s="31"/>
      <c r="X28" s="31"/>
      <c r="Y28" s="28" t="str">
        <f t="shared" si="5"/>
        <v/>
      </c>
      <c r="Z28" s="31"/>
      <c r="AA28" s="31"/>
      <c r="AB28" s="31"/>
      <c r="AC28" s="31"/>
      <c r="AD28" s="31"/>
      <c r="AE28" s="31"/>
      <c r="AF28" s="31"/>
      <c r="AG28" s="15" t="s">
        <v>691</v>
      </c>
      <c r="AH28" s="97"/>
      <c r="AI28" s="97"/>
      <c r="AJ28" s="98"/>
      <c r="AK28" s="98"/>
      <c r="AL28" s="98"/>
      <c r="AM28" s="99"/>
      <c r="AN28" s="100" t="s">
        <v>1425</v>
      </c>
      <c r="AO28" s="101" t="str">
        <f>IF($A28="","",IFERROR(_xlfn.XLOOKUP($A28,'2_DOI_Lookup'!$A$2:$A$430,'2_DOI_Lookup'!$B$2:$B$430),"NOT IN SOURCE"))</f>
        <v>10.1061/JCEMD4.COENG-13659</v>
      </c>
    </row>
    <row r="29" spans="1:41" ht="45.6" hidden="1" x14ac:dyDescent="0.3">
      <c r="A29" s="73">
        <v>4030</v>
      </c>
      <c r="B29" s="74"/>
      <c r="C29" s="75"/>
      <c r="D29" s="74"/>
      <c r="E29" s="74" t="str">
        <f>IF($A29="","",IFERROR(_xlfn.XLOOKUP($A29,'2_DOI_Lookup'!$D$2:$D$430,'2_DOI_Lookup'!$E$2:$E$430),"TITLE NOT IN SOURCE"))</f>
        <v>Excavator 3D pose estimation using deep learning and hybrid datasets</v>
      </c>
      <c r="F29" s="73" t="s">
        <v>310</v>
      </c>
      <c r="G29" s="76" t="s">
        <v>311</v>
      </c>
      <c r="H29" s="76" t="s">
        <v>312</v>
      </c>
      <c r="I29" s="76" t="s">
        <v>311</v>
      </c>
      <c r="J29" s="76" t="s">
        <v>311</v>
      </c>
      <c r="K29" s="76" t="s">
        <v>311</v>
      </c>
      <c r="L29" s="77" t="str">
        <f t="shared" si="1"/>
        <v>EXCLUDE</v>
      </c>
      <c r="M29" s="77" t="str">
        <f t="shared" si="2"/>
        <v>Digital Twin not core / buzzword</v>
      </c>
      <c r="N29" s="78"/>
      <c r="O29" s="78"/>
      <c r="P29" s="79"/>
      <c r="Q29" s="79"/>
      <c r="R29" s="79"/>
      <c r="S29" s="77" t="str">
        <f t="shared" si="3"/>
        <v/>
      </c>
      <c r="T29" s="77" t="str">
        <f t="shared" si="4"/>
        <v/>
      </c>
      <c r="U29" s="80"/>
      <c r="V29" s="80"/>
      <c r="W29" s="80"/>
      <c r="X29" s="80"/>
      <c r="Y29" s="77" t="str">
        <f t="shared" si="5"/>
        <v/>
      </c>
      <c r="Z29" s="80"/>
      <c r="AA29" s="80"/>
      <c r="AB29" s="80"/>
      <c r="AC29" s="80"/>
      <c r="AD29" s="80"/>
      <c r="AE29" s="80"/>
      <c r="AF29" s="80"/>
      <c r="AG29" s="81" t="s">
        <v>328</v>
      </c>
      <c r="AH29" s="35"/>
      <c r="AI29" s="35"/>
      <c r="AK29"/>
      <c r="AM29" s="56"/>
      <c r="AN29" s="57"/>
      <c r="AO29" s="63" t="str">
        <f>IF($A29="","",IFERROR(_xlfn.XLOOKUP($A29,'2_DOI_Lookup'!$A$2:$A$430,'2_DOI_Lookup'!$B$2:$B$430),"NOT IN SOURCE"))</f>
        <v>10.1016/j.aei.2023.101875</v>
      </c>
    </row>
    <row r="30" spans="1:41" ht="68.400000000000006" hidden="1" x14ac:dyDescent="0.3">
      <c r="A30" s="26">
        <v>3982</v>
      </c>
      <c r="B30" s="9"/>
      <c r="C30" s="32"/>
      <c r="D30" s="9"/>
      <c r="E30" s="9" t="str">
        <f>IF($A30="","",IFERROR(_xlfn.XLOOKUP($A30,'2_DOI_Lookup'!$D$2:$D$430,'2_DOI_Lookup'!$E$2:$E$430),"TITLE NOT IN SOURCE"))</f>
        <v>Integrating Web-Based Weather Data into Building Information Modeling Models through Robot Process Automation</v>
      </c>
      <c r="F30" s="26" t="s">
        <v>310</v>
      </c>
      <c r="G30" s="27" t="s">
        <v>311</v>
      </c>
      <c r="H30" s="27" t="s">
        <v>312</v>
      </c>
      <c r="I30" s="27" t="s">
        <v>311</v>
      </c>
      <c r="J30" s="27" t="s">
        <v>311</v>
      </c>
      <c r="K30" s="27" t="s">
        <v>311</v>
      </c>
      <c r="L30" s="28" t="str">
        <f t="shared" si="1"/>
        <v>EXCLUDE</v>
      </c>
      <c r="M30" s="28" t="str">
        <f t="shared" si="2"/>
        <v>Digital Twin not core / buzzword</v>
      </c>
      <c r="N30" s="29"/>
      <c r="O30" s="29"/>
      <c r="P30" s="30"/>
      <c r="Q30" s="30"/>
      <c r="R30" s="30"/>
      <c r="S30" s="28" t="str">
        <f t="shared" si="3"/>
        <v/>
      </c>
      <c r="T30" s="28" t="str">
        <f t="shared" si="4"/>
        <v/>
      </c>
      <c r="U30" s="31"/>
      <c r="V30" s="31"/>
      <c r="W30" s="31"/>
      <c r="X30" s="31"/>
      <c r="Y30" s="28" t="str">
        <f t="shared" si="5"/>
        <v/>
      </c>
      <c r="Z30" s="31"/>
      <c r="AA30" s="31"/>
      <c r="AB30" s="31"/>
      <c r="AC30" s="31"/>
      <c r="AD30" s="31"/>
      <c r="AE30" s="31"/>
      <c r="AF30" s="31"/>
      <c r="AG30" s="15" t="s">
        <v>329</v>
      </c>
      <c r="AH30" s="35"/>
      <c r="AI30" s="35"/>
      <c r="AK30"/>
      <c r="AM30" s="56"/>
      <c r="AN30" s="57"/>
      <c r="AO30" s="63" t="str">
        <f>IF($A30="","",IFERROR(_xlfn.XLOOKUP($A30,'2_DOI_Lookup'!$A$2:$A$430,'2_DOI_Lookup'!$B$2:$B$430),"NOT IN SOURCE"))</f>
        <v>10.3390/app14199109</v>
      </c>
    </row>
    <row r="31" spans="1:41" ht="45.6" hidden="1" x14ac:dyDescent="0.3">
      <c r="A31" s="64">
        <v>3940</v>
      </c>
      <c r="B31" s="65"/>
      <c r="C31" s="66"/>
      <c r="D31" s="65"/>
      <c r="E31" s="65" t="str">
        <f>IF($A31="","",IFERROR(_xlfn.XLOOKUP($A31,'2_DOI_Lookup'!$D$2:$D$430,'2_DOI_Lookup'!$E$2:$E$430),"TITLE NOT IN SOURCE"))</f>
        <v>Circular economy in construction: The digital transformation perspective</v>
      </c>
      <c r="F31" s="64" t="s">
        <v>310</v>
      </c>
      <c r="G31" s="67" t="s">
        <v>311</v>
      </c>
      <c r="H31" s="67" t="s">
        <v>312</v>
      </c>
      <c r="I31" s="67" t="s">
        <v>312</v>
      </c>
      <c r="J31" s="67" t="s">
        <v>311</v>
      </c>
      <c r="K31" s="67" t="s">
        <v>311</v>
      </c>
      <c r="L31" s="68" t="str">
        <f t="shared" si="1"/>
        <v>EXCLUDE</v>
      </c>
      <c r="M31" s="68" t="str">
        <f t="shared" si="2"/>
        <v>Digital Twin not core / buzzword</v>
      </c>
      <c r="N31" s="69"/>
      <c r="O31" s="69"/>
      <c r="P31" s="70"/>
      <c r="Q31" s="70"/>
      <c r="R31" s="70"/>
      <c r="S31" s="68" t="str">
        <f t="shared" si="3"/>
        <v/>
      </c>
      <c r="T31" s="68" t="str">
        <f t="shared" si="4"/>
        <v/>
      </c>
      <c r="U31" s="71"/>
      <c r="V31" s="71"/>
      <c r="W31" s="71"/>
      <c r="X31" s="71"/>
      <c r="Y31" s="68" t="str">
        <f t="shared" si="5"/>
        <v/>
      </c>
      <c r="Z31" s="71"/>
      <c r="AA31" s="71"/>
      <c r="AB31" s="71"/>
      <c r="AC31" s="71"/>
      <c r="AD31" s="71"/>
      <c r="AE31" s="71"/>
      <c r="AF31" s="71"/>
      <c r="AG31" s="72" t="s">
        <v>330</v>
      </c>
      <c r="AH31" s="35"/>
      <c r="AI31" s="35"/>
      <c r="AK31"/>
      <c r="AM31" s="56"/>
      <c r="AN31" s="57"/>
      <c r="AO31" s="63" t="str">
        <f>IF($A31="","",IFERROR(_xlfn.XLOOKUP($A31,'2_DOI_Lookup'!$A$2:$A$430,'2_DOI_Lookup'!$B$2:$B$430),"NOT IN SOURCE"))</f>
        <v>10.1016/j.clet.2023.100715</v>
      </c>
    </row>
    <row r="32" spans="1:41" ht="72" hidden="1" x14ac:dyDescent="0.3">
      <c r="A32" s="26">
        <v>4037</v>
      </c>
      <c r="B32" s="9" t="s">
        <v>175</v>
      </c>
      <c r="C32" s="32">
        <v>2026</v>
      </c>
      <c r="D32" s="9"/>
      <c r="E32" s="9" t="str">
        <f>IF($A32="","",IFERROR(_xlfn.XLOOKUP($A32,'2_DOI_Lookup'!$D$2:$D$430,'2_DOI_Lookup'!$E$2:$E$430),"TITLE NOT IN SOURCE"))</f>
        <v>Intelligent technologies for tunnel construction and maintenance: A state-of-the-art review of methods and supporting platforms</v>
      </c>
      <c r="F32" s="26" t="s">
        <v>310</v>
      </c>
      <c r="G32" s="27" t="s">
        <v>311</v>
      </c>
      <c r="H32" s="27" t="s">
        <v>311</v>
      </c>
      <c r="I32" s="27" t="s">
        <v>311</v>
      </c>
      <c r="J32" s="27" t="s">
        <v>311</v>
      </c>
      <c r="K32" s="27" t="s">
        <v>311</v>
      </c>
      <c r="L32" s="28" t="str">
        <f t="shared" si="1"/>
        <v>INCLUDE</v>
      </c>
      <c r="M32" s="28" t="str">
        <f t="shared" si="2"/>
        <v/>
      </c>
      <c r="N32" s="29" t="s">
        <v>49</v>
      </c>
      <c r="O32" s="29" t="s">
        <v>49</v>
      </c>
      <c r="P32" s="30" t="s">
        <v>58</v>
      </c>
      <c r="Q32" s="30" t="s">
        <v>49</v>
      </c>
      <c r="R32" s="30" t="s">
        <v>49</v>
      </c>
      <c r="S32" s="28" t="str">
        <f t="shared" si="3"/>
        <v>EXCLUDE</v>
      </c>
      <c r="T32" s="28" t="str">
        <f t="shared" si="4"/>
        <v>Digital Twin mentioned only, not the subject</v>
      </c>
      <c r="U32" s="31" t="s">
        <v>82</v>
      </c>
      <c r="V32" s="31"/>
      <c r="W32" s="31"/>
      <c r="X32" s="31"/>
      <c r="Y32" s="28" t="str">
        <f t="shared" si="5"/>
        <v/>
      </c>
      <c r="Z32" s="31"/>
      <c r="AA32" s="31"/>
      <c r="AB32" s="31"/>
      <c r="AC32" s="31"/>
      <c r="AD32" s="31"/>
      <c r="AE32" s="31"/>
      <c r="AF32" s="31"/>
      <c r="AG32" s="15" t="s">
        <v>692</v>
      </c>
      <c r="AH32" s="97"/>
      <c r="AI32" s="97"/>
      <c r="AJ32" s="98"/>
      <c r="AK32" s="98"/>
      <c r="AL32" s="98"/>
      <c r="AM32" s="99"/>
      <c r="AN32" s="100" t="s">
        <v>1443</v>
      </c>
      <c r="AO32" s="101" t="str">
        <f>IF($A32="","",IFERROR(_xlfn.XLOOKUP($A32,'2_DOI_Lookup'!$A$2:$A$430,'2_DOI_Lookup'!$B$2:$B$430),"NOT IN SOURCE"))</f>
        <v>10.1016/j.tust.2025.107207</v>
      </c>
    </row>
    <row r="33" spans="1:41" ht="45.6" hidden="1" x14ac:dyDescent="0.3">
      <c r="A33" s="73">
        <v>3551</v>
      </c>
      <c r="B33" s="74"/>
      <c r="C33" s="75"/>
      <c r="D33" s="74"/>
      <c r="E33" s="74" t="str">
        <f>IF($A33="","",IFERROR(_xlfn.XLOOKUP($A33,'2_DOI_Lookup'!$D$2:$D$430,'2_DOI_Lookup'!$E$2:$E$430),"TITLE NOT IN SOURCE"))</f>
        <v>Improving Organizational and Engineering Reliability during Dismantling of Buildings</v>
      </c>
      <c r="F33" s="73" t="s">
        <v>309</v>
      </c>
      <c r="G33" s="76" t="s">
        <v>311</v>
      </c>
      <c r="H33" s="76" t="s">
        <v>312</v>
      </c>
      <c r="I33" s="76" t="s">
        <v>311</v>
      </c>
      <c r="J33" s="76" t="s">
        <v>311</v>
      </c>
      <c r="K33" s="76" t="s">
        <v>312</v>
      </c>
      <c r="L33" s="77" t="str">
        <f t="shared" si="1"/>
        <v>EXCLUDE</v>
      </c>
      <c r="M33" s="77" t="str">
        <f t="shared" si="2"/>
        <v>Digital Twin not core / buzzword</v>
      </c>
      <c r="N33" s="78"/>
      <c r="O33" s="78"/>
      <c r="P33" s="79"/>
      <c r="Q33" s="79"/>
      <c r="R33" s="79"/>
      <c r="S33" s="77" t="str">
        <f t="shared" si="3"/>
        <v/>
      </c>
      <c r="T33" s="77" t="str">
        <f t="shared" si="4"/>
        <v/>
      </c>
      <c r="U33" s="80"/>
      <c r="V33" s="80"/>
      <c r="W33" s="80"/>
      <c r="X33" s="80"/>
      <c r="Y33" s="77" t="str">
        <f t="shared" si="5"/>
        <v/>
      </c>
      <c r="Z33" s="80"/>
      <c r="AA33" s="80"/>
      <c r="AB33" s="80"/>
      <c r="AC33" s="80"/>
      <c r="AD33" s="80"/>
      <c r="AE33" s="80"/>
      <c r="AF33" s="80"/>
      <c r="AG33" s="81" t="s">
        <v>331</v>
      </c>
      <c r="AH33" s="35"/>
      <c r="AI33" s="35"/>
      <c r="AK33"/>
      <c r="AM33" s="56"/>
      <c r="AN33" s="57"/>
      <c r="AO33" s="63" t="str">
        <f>IF($A33="","",IFERROR(_xlfn.XLOOKUP($A33,'2_DOI_Lookup'!$A$2:$A$430,'2_DOI_Lookup'!$B$2:$B$430),"NOT IN SOURCE"))</f>
        <v>10.24000/0409-2961-2025-10-72-79</v>
      </c>
    </row>
    <row r="34" spans="1:41" ht="79.8" hidden="1" x14ac:dyDescent="0.3">
      <c r="A34" s="26">
        <v>3571</v>
      </c>
      <c r="B34" s="9"/>
      <c r="C34" s="32"/>
      <c r="D34" s="9"/>
      <c r="E34" s="9" t="str">
        <f>IF($A34="","",IFERROR(_xlfn.XLOOKUP($A34,'2_DOI_Lookup'!$D$2:$D$430,'2_DOI_Lookup'!$E$2:$E$430),"TITLE NOT IN SOURCE"))</f>
        <v>The Process of Digitalization of the Urban Environment for the Development of Sustainable and Circular Cities: A Case Study of Bologna, Italy</v>
      </c>
      <c r="F34" s="26" t="s">
        <v>309</v>
      </c>
      <c r="G34" s="27" t="s">
        <v>311</v>
      </c>
      <c r="H34" s="27" t="s">
        <v>312</v>
      </c>
      <c r="I34" s="27" t="s">
        <v>312</v>
      </c>
      <c r="J34" s="27" t="s">
        <v>311</v>
      </c>
      <c r="K34" s="27" t="s">
        <v>311</v>
      </c>
      <c r="L34" s="28" t="str">
        <f t="shared" si="1"/>
        <v>EXCLUDE</v>
      </c>
      <c r="M34" s="28" t="str">
        <f t="shared" si="2"/>
        <v>Digital Twin not core / buzzword</v>
      </c>
      <c r="N34" s="29"/>
      <c r="O34" s="29"/>
      <c r="P34" s="30"/>
      <c r="Q34" s="30"/>
      <c r="R34" s="30"/>
      <c r="S34" s="28" t="str">
        <f t="shared" si="3"/>
        <v/>
      </c>
      <c r="T34" s="28" t="str">
        <f t="shared" si="4"/>
        <v/>
      </c>
      <c r="U34" s="31"/>
      <c r="V34" s="31"/>
      <c r="W34" s="31"/>
      <c r="X34" s="31"/>
      <c r="Y34" s="28" t="str">
        <f t="shared" si="5"/>
        <v/>
      </c>
      <c r="Z34" s="31"/>
      <c r="AA34" s="31"/>
      <c r="AB34" s="31"/>
      <c r="AC34" s="31"/>
      <c r="AD34" s="31"/>
      <c r="AE34" s="31"/>
      <c r="AF34" s="31"/>
      <c r="AG34" s="15" t="s">
        <v>332</v>
      </c>
      <c r="AH34" s="35"/>
      <c r="AI34" s="35"/>
      <c r="AK34"/>
      <c r="AM34" s="56"/>
      <c r="AN34" s="57"/>
      <c r="AO34" s="63" t="str">
        <f>IF($A34="","",IFERROR(_xlfn.XLOOKUP($A34,'2_DOI_Lookup'!$A$2:$A$430,'2_DOI_Lookup'!$B$2:$B$430),"NOT IN SOURCE"))</f>
        <v>10.3390/su142113740</v>
      </c>
    </row>
    <row r="35" spans="1:41" ht="34.200000000000003" hidden="1" x14ac:dyDescent="0.3">
      <c r="A35" s="26">
        <v>3707</v>
      </c>
      <c r="B35" s="9"/>
      <c r="C35" s="32"/>
      <c r="D35" s="9"/>
      <c r="E35" s="9" t="str">
        <f>IF($A35="","",IFERROR(_xlfn.XLOOKUP($A35,'2_DOI_Lookup'!$D$2:$D$430,'2_DOI_Lookup'!$E$2:$E$430),"TITLE NOT IN SOURCE"))</f>
        <v>Construction and application of digital twin system for coal ports</v>
      </c>
      <c r="F35" s="26" t="s">
        <v>309</v>
      </c>
      <c r="G35" s="27" t="s">
        <v>312</v>
      </c>
      <c r="H35" s="27" t="s">
        <v>311</v>
      </c>
      <c r="I35" s="27" t="s">
        <v>311</v>
      </c>
      <c r="J35" s="27" t="s">
        <v>311</v>
      </c>
      <c r="K35" s="27" t="s">
        <v>312</v>
      </c>
      <c r="L35" s="28" t="str">
        <f t="shared" si="1"/>
        <v>EXCLUDE</v>
      </c>
      <c r="M35" s="28" t="str">
        <f t="shared" si="2"/>
        <v>Wrong domain (non-AECO)</v>
      </c>
      <c r="N35" s="29"/>
      <c r="O35" s="29"/>
      <c r="P35" s="30"/>
      <c r="Q35" s="30"/>
      <c r="R35" s="30"/>
      <c r="S35" s="28" t="str">
        <f t="shared" si="3"/>
        <v/>
      </c>
      <c r="T35" s="28" t="str">
        <f t="shared" si="4"/>
        <v/>
      </c>
      <c r="U35" s="31"/>
      <c r="V35" s="31"/>
      <c r="W35" s="31"/>
      <c r="X35" s="31"/>
      <c r="Y35" s="28" t="str">
        <f t="shared" si="5"/>
        <v/>
      </c>
      <c r="Z35" s="31"/>
      <c r="AA35" s="31"/>
      <c r="AB35" s="31"/>
      <c r="AC35" s="31"/>
      <c r="AD35" s="31"/>
      <c r="AE35" s="31"/>
      <c r="AF35" s="31"/>
      <c r="AG35" s="15" t="s">
        <v>333</v>
      </c>
      <c r="AH35" s="35"/>
      <c r="AI35" s="35"/>
      <c r="AK35"/>
      <c r="AM35" s="56"/>
      <c r="AN35" s="57"/>
      <c r="AO35" s="63">
        <f>IF($A35="","",IFERROR(_xlfn.XLOOKUP($A35,'2_DOI_Lookup'!$A$2:$A$430,'2_DOI_Lookup'!$B$2:$B$430),"NOT IN SOURCE"))</f>
        <v>0</v>
      </c>
    </row>
    <row r="36" spans="1:41" ht="79.8" hidden="1" x14ac:dyDescent="0.3">
      <c r="A36" s="26">
        <v>3613</v>
      </c>
      <c r="B36" s="9"/>
      <c r="C36" s="32"/>
      <c r="D36" s="9"/>
      <c r="E36" s="9" t="str">
        <f>IF($A36="","",IFERROR(_xlfn.XLOOKUP($A36,'2_DOI_Lookup'!$D$2:$D$430,'2_DOI_Lookup'!$E$2:$E$430),"TITLE NOT IN SOURCE"))</f>
        <v>Incorporation of pre-existing longitudinal cracks in finite element analyses of corroded reinforced concrete beams failing in anchorage</v>
      </c>
      <c r="F36" s="26" t="s">
        <v>309</v>
      </c>
      <c r="G36" s="27" t="s">
        <v>311</v>
      </c>
      <c r="H36" s="27" t="s">
        <v>312</v>
      </c>
      <c r="I36" s="27" t="s">
        <v>311</v>
      </c>
      <c r="J36" s="27" t="s">
        <v>311</v>
      </c>
      <c r="K36" s="27" t="s">
        <v>311</v>
      </c>
      <c r="L36" s="28" t="str">
        <f t="shared" si="1"/>
        <v>EXCLUDE</v>
      </c>
      <c r="M36" s="28" t="str">
        <f t="shared" si="2"/>
        <v>Digital Twin not core / buzzword</v>
      </c>
      <c r="N36" s="29"/>
      <c r="O36" s="29"/>
      <c r="P36" s="30"/>
      <c r="Q36" s="30"/>
      <c r="R36" s="30"/>
      <c r="S36" s="28" t="str">
        <f t="shared" si="3"/>
        <v/>
      </c>
      <c r="T36" s="28" t="str">
        <f t="shared" si="4"/>
        <v/>
      </c>
      <c r="U36" s="31"/>
      <c r="V36" s="31"/>
      <c r="W36" s="31"/>
      <c r="X36" s="31"/>
      <c r="Y36" s="28" t="str">
        <f t="shared" si="5"/>
        <v/>
      </c>
      <c r="Z36" s="31"/>
      <c r="AA36" s="31"/>
      <c r="AB36" s="31"/>
      <c r="AC36" s="31"/>
      <c r="AD36" s="31"/>
      <c r="AE36" s="31"/>
      <c r="AF36" s="31"/>
      <c r="AG36" s="15" t="s">
        <v>334</v>
      </c>
      <c r="AH36" s="35"/>
      <c r="AI36" s="35"/>
      <c r="AK36"/>
      <c r="AM36" s="56"/>
      <c r="AN36" s="57"/>
      <c r="AO36" s="63" t="str">
        <f>IF($A36="","",IFERROR(_xlfn.XLOOKUP($A36,'2_DOI_Lookup'!$A$2:$A$430,'2_DOI_Lookup'!$B$2:$B$430),"NOT IN SOURCE"))</f>
        <v>10.1080/15732479.2020.1782444</v>
      </c>
    </row>
    <row r="37" spans="1:41" ht="57" hidden="1" x14ac:dyDescent="0.3">
      <c r="A37" s="26">
        <v>3645</v>
      </c>
      <c r="B37" s="9"/>
      <c r="C37" s="32"/>
      <c r="D37" s="9"/>
      <c r="E37" s="9" t="str">
        <f>IF($A37="","",IFERROR(_xlfn.XLOOKUP($A37,'2_DOI_Lookup'!$D$2:$D$430,'2_DOI_Lookup'!$E$2:$E$430),"TITLE NOT IN SOURCE"))</f>
        <v>The evolution of BIM work standards: current, best, and future practices from a BIM Manager's perspective</v>
      </c>
      <c r="F37" s="26" t="s">
        <v>309</v>
      </c>
      <c r="G37" s="27" t="s">
        <v>311</v>
      </c>
      <c r="H37" s="27" t="s">
        <v>312</v>
      </c>
      <c r="I37" s="27" t="s">
        <v>312</v>
      </c>
      <c r="J37" s="27" t="s">
        <v>311</v>
      </c>
      <c r="K37" s="27" t="s">
        <v>311</v>
      </c>
      <c r="L37" s="28" t="str">
        <f t="shared" si="1"/>
        <v>EXCLUDE</v>
      </c>
      <c r="M37" s="28" t="str">
        <f t="shared" si="2"/>
        <v>Digital Twin not core / buzzword</v>
      </c>
      <c r="N37" s="29"/>
      <c r="O37" s="29"/>
      <c r="P37" s="30"/>
      <c r="Q37" s="30"/>
      <c r="R37" s="30"/>
      <c r="S37" s="28" t="str">
        <f t="shared" si="3"/>
        <v/>
      </c>
      <c r="T37" s="28" t="str">
        <f t="shared" si="4"/>
        <v/>
      </c>
      <c r="U37" s="31"/>
      <c r="V37" s="31"/>
      <c r="W37" s="31"/>
      <c r="X37" s="31"/>
      <c r="Y37" s="28" t="str">
        <f t="shared" si="5"/>
        <v/>
      </c>
      <c r="Z37" s="31"/>
      <c r="AA37" s="31"/>
      <c r="AB37" s="31"/>
      <c r="AC37" s="31"/>
      <c r="AD37" s="31"/>
      <c r="AE37" s="31"/>
      <c r="AF37" s="31"/>
      <c r="AG37" s="15" t="s">
        <v>335</v>
      </c>
      <c r="AH37" s="35"/>
      <c r="AI37" s="35"/>
      <c r="AK37"/>
      <c r="AM37" s="56"/>
      <c r="AN37" s="57"/>
      <c r="AO37" s="63" t="str">
        <f>IF($A37="","",IFERROR(_xlfn.XLOOKUP($A37,'2_DOI_Lookup'!$A$2:$A$430,'2_DOI_Lookup'!$B$2:$B$430),"NOT IN SOURCE"))</f>
        <v>10.35784/bud-arch.9187</v>
      </c>
    </row>
    <row r="38" spans="1:41" ht="45.6" hidden="1" x14ac:dyDescent="0.3">
      <c r="A38" s="64">
        <v>3807</v>
      </c>
      <c r="B38" s="65"/>
      <c r="C38" s="66"/>
      <c r="D38" s="65"/>
      <c r="E38" s="65" t="str">
        <f>IF($A38="","",IFERROR(_xlfn.XLOOKUP($A38,'2_DOI_Lookup'!$D$2:$D$430,'2_DOI_Lookup'!$E$2:$E$430),"TITLE NOT IN SOURCE"))</f>
        <v>Railway condition information modelling in a BIM framework for maintenance applications</v>
      </c>
      <c r="F38" s="64" t="s">
        <v>309</v>
      </c>
      <c r="G38" s="67" t="s">
        <v>311</v>
      </c>
      <c r="H38" s="67" t="s">
        <v>312</v>
      </c>
      <c r="I38" s="67" t="s">
        <v>311</v>
      </c>
      <c r="J38" s="67" t="s">
        <v>311</v>
      </c>
      <c r="K38" s="67" t="s">
        <v>311</v>
      </c>
      <c r="L38" s="68" t="str">
        <f t="shared" si="1"/>
        <v>EXCLUDE</v>
      </c>
      <c r="M38" s="68" t="str">
        <f t="shared" si="2"/>
        <v>Digital Twin not core / buzzword</v>
      </c>
      <c r="N38" s="69"/>
      <c r="O38" s="69"/>
      <c r="P38" s="70"/>
      <c r="Q38" s="70"/>
      <c r="R38" s="70"/>
      <c r="S38" s="68" t="str">
        <f t="shared" si="3"/>
        <v/>
      </c>
      <c r="T38" s="68" t="str">
        <f t="shared" si="4"/>
        <v/>
      </c>
      <c r="U38" s="71"/>
      <c r="V38" s="71"/>
      <c r="W38" s="71"/>
      <c r="X38" s="71"/>
      <c r="Y38" s="68" t="str">
        <f t="shared" si="5"/>
        <v/>
      </c>
      <c r="Z38" s="71"/>
      <c r="AA38" s="71"/>
      <c r="AB38" s="71"/>
      <c r="AC38" s="71"/>
      <c r="AD38" s="71"/>
      <c r="AE38" s="71"/>
      <c r="AF38" s="71"/>
      <c r="AG38" s="72" t="s">
        <v>336</v>
      </c>
      <c r="AH38" s="35"/>
      <c r="AI38" s="35"/>
      <c r="AK38"/>
      <c r="AM38" s="56"/>
      <c r="AN38" s="57"/>
      <c r="AO38" s="63" t="str">
        <f>IF($A38="","",IFERROR(_xlfn.XLOOKUP($A38,'2_DOI_Lookup'!$A$2:$A$430,'2_DOI_Lookup'!$B$2:$B$430),"NOT IN SOURCE"))</f>
        <v>10.1080/23248378.2024.2397660</v>
      </c>
    </row>
    <row r="39" spans="1:41" ht="79.8" x14ac:dyDescent="0.3">
      <c r="A39" s="26">
        <v>3595</v>
      </c>
      <c r="B39" s="9" t="s">
        <v>176</v>
      </c>
      <c r="C39" s="32">
        <v>2021</v>
      </c>
      <c r="D39" s="9"/>
      <c r="E39" s="9" t="str">
        <f>IF($A39="","",IFERROR(_xlfn.XLOOKUP($A39,'2_DOI_Lookup'!$D$2:$D$430,'2_DOI_Lookup'!$E$2:$E$430),"TITLE NOT IN SOURCE"))</f>
        <v>Digital Twin conceptual framework for improving critical infrastructure resilience</v>
      </c>
      <c r="F39" s="26" t="s">
        <v>309</v>
      </c>
      <c r="G39" s="27" t="s">
        <v>311</v>
      </c>
      <c r="H39" s="27" t="s">
        <v>311</v>
      </c>
      <c r="I39" s="27" t="s">
        <v>311</v>
      </c>
      <c r="J39" s="27" t="s">
        <v>311</v>
      </c>
      <c r="K39" s="27" t="s">
        <v>311</v>
      </c>
      <c r="L39" s="28" t="str">
        <f t="shared" si="1"/>
        <v>INCLUDE</v>
      </c>
      <c r="M39" s="28" t="str">
        <f t="shared" si="2"/>
        <v/>
      </c>
      <c r="N39" s="29" t="s">
        <v>49</v>
      </c>
      <c r="O39" s="29" t="s">
        <v>49</v>
      </c>
      <c r="P39" s="30" t="s">
        <v>49</v>
      </c>
      <c r="Q39" s="30" t="s">
        <v>49</v>
      </c>
      <c r="R39" s="30" t="s">
        <v>49</v>
      </c>
      <c r="S39" s="28" t="str">
        <f t="shared" si="3"/>
        <v>INCLUDE</v>
      </c>
      <c r="T39" s="28" t="str">
        <f t="shared" si="4"/>
        <v/>
      </c>
      <c r="U39" s="31" t="s">
        <v>52</v>
      </c>
      <c r="V39" s="31">
        <v>0</v>
      </c>
      <c r="W39" s="31">
        <v>0</v>
      </c>
      <c r="X39" s="31">
        <v>1</v>
      </c>
      <c r="Y39" s="28" t="str">
        <f t="shared" si="5"/>
        <v>Single</v>
      </c>
      <c r="Z39" s="31" t="s">
        <v>9</v>
      </c>
      <c r="AA39" s="31" t="s">
        <v>53</v>
      </c>
      <c r="AB39" s="31" t="s">
        <v>91</v>
      </c>
      <c r="AC39" s="31" t="s">
        <v>64</v>
      </c>
      <c r="AD39" s="31" t="s">
        <v>56</v>
      </c>
      <c r="AE39" s="31">
        <v>3</v>
      </c>
      <c r="AF39" s="31" t="s">
        <v>86</v>
      </c>
      <c r="AG39" s="15" t="s">
        <v>337</v>
      </c>
      <c r="AH39" s="97" t="s">
        <v>768</v>
      </c>
      <c r="AI39" s="97" t="s">
        <v>769</v>
      </c>
      <c r="AJ39" s="98" t="s">
        <v>82</v>
      </c>
      <c r="AK39" s="98" t="s">
        <v>1098</v>
      </c>
      <c r="AL39" s="98" t="s">
        <v>1083</v>
      </c>
      <c r="AM39" s="99"/>
      <c r="AN39" s="100" t="s">
        <v>1269</v>
      </c>
      <c r="AO39" s="101" t="str">
        <f>IF($A39="","",IFERROR(_xlfn.XLOOKUP($A39,'2_DOI_Lookup'!$A$2:$A$430,'2_DOI_Lookup'!$B$2:$B$430),"NOT IN SOURCE"))</f>
        <v>10.1515/auto-2021-0104</v>
      </c>
    </row>
    <row r="40" spans="1:41" ht="79.8" hidden="1" x14ac:dyDescent="0.3">
      <c r="A40" s="73">
        <v>3888</v>
      </c>
      <c r="B40" s="74"/>
      <c r="C40" s="75"/>
      <c r="D40" s="74"/>
      <c r="E40" s="74" t="str">
        <f>IF($A40="","",IFERROR(_xlfn.XLOOKUP($A40,'2_DOI_Lookup'!$D$2:$D$430,'2_DOI_Lookup'!$E$2:$E$430),"TITLE NOT IN SOURCE"))</f>
        <v>From BIM to Web3: A critical interpretive synthesis of present and emerging data management approaches in construction informatics</v>
      </c>
      <c r="F40" s="73" t="s">
        <v>310</v>
      </c>
      <c r="G40" s="76" t="s">
        <v>311</v>
      </c>
      <c r="H40" s="76" t="s">
        <v>312</v>
      </c>
      <c r="I40" s="76" t="s">
        <v>312</v>
      </c>
      <c r="J40" s="76" t="s">
        <v>311</v>
      </c>
      <c r="K40" s="76" t="s">
        <v>311</v>
      </c>
      <c r="L40" s="77" t="str">
        <f t="shared" si="1"/>
        <v>EXCLUDE</v>
      </c>
      <c r="M40" s="77" t="str">
        <f t="shared" si="2"/>
        <v>Digital Twin not core / buzzword</v>
      </c>
      <c r="N40" s="78"/>
      <c r="O40" s="78"/>
      <c r="P40" s="79"/>
      <c r="Q40" s="79"/>
      <c r="R40" s="79"/>
      <c r="S40" s="77" t="str">
        <f t="shared" si="3"/>
        <v/>
      </c>
      <c r="T40" s="77" t="str">
        <f t="shared" si="4"/>
        <v/>
      </c>
      <c r="U40" s="80"/>
      <c r="V40" s="80"/>
      <c r="W40" s="80"/>
      <c r="X40" s="80"/>
      <c r="Y40" s="77" t="str">
        <f t="shared" si="5"/>
        <v/>
      </c>
      <c r="Z40" s="80"/>
      <c r="AA40" s="80"/>
      <c r="AB40" s="80"/>
      <c r="AC40" s="80"/>
      <c r="AD40" s="80"/>
      <c r="AE40" s="80"/>
      <c r="AF40" s="80"/>
      <c r="AG40" s="81" t="s">
        <v>338</v>
      </c>
      <c r="AH40" s="35"/>
      <c r="AI40" s="35"/>
      <c r="AK40"/>
      <c r="AM40" s="56"/>
      <c r="AN40" s="57"/>
      <c r="AO40" s="63" t="str">
        <f>IF($A40="","",IFERROR(_xlfn.XLOOKUP($A40,'2_DOI_Lookup'!$A$2:$A$430,'2_DOI_Lookup'!$B$2:$B$430),"NOT IN SOURCE"))</f>
        <v>10.1016/j.aei.2024.102884</v>
      </c>
    </row>
    <row r="41" spans="1:41" ht="68.400000000000006" hidden="1" x14ac:dyDescent="0.3">
      <c r="A41" s="26">
        <v>3869</v>
      </c>
      <c r="B41" s="9"/>
      <c r="C41" s="32"/>
      <c r="D41" s="9"/>
      <c r="E41" s="9" t="str">
        <f>IF($A41="","",IFERROR(_xlfn.XLOOKUP($A41,'2_DOI_Lookup'!$D$2:$D$430,'2_DOI_Lookup'!$E$2:$E$430),"TITLE NOT IN SOURCE"))</f>
        <v>Affective computing in smart city spaces: Research on emotion recognition and response mechanisms under a digital twin framework</v>
      </c>
      <c r="F41" s="26" t="s">
        <v>309</v>
      </c>
      <c r="G41" s="27" t="s">
        <v>312</v>
      </c>
      <c r="H41" s="27" t="s">
        <v>312</v>
      </c>
      <c r="I41" s="27" t="s">
        <v>312</v>
      </c>
      <c r="J41" s="27" t="s">
        <v>311</v>
      </c>
      <c r="K41" s="27" t="s">
        <v>311</v>
      </c>
      <c r="L41" s="28" t="str">
        <f t="shared" si="1"/>
        <v>EXCLUDE</v>
      </c>
      <c r="M41" s="28" t="str">
        <f t="shared" si="2"/>
        <v>Wrong domain (non-AECO)</v>
      </c>
      <c r="N41" s="29"/>
      <c r="O41" s="29"/>
      <c r="P41" s="30"/>
      <c r="Q41" s="30"/>
      <c r="R41" s="30"/>
      <c r="S41" s="28" t="str">
        <f t="shared" si="3"/>
        <v/>
      </c>
      <c r="T41" s="28" t="str">
        <f t="shared" si="4"/>
        <v/>
      </c>
      <c r="U41" s="31"/>
      <c r="V41" s="31"/>
      <c r="W41" s="31"/>
      <c r="X41" s="31"/>
      <c r="Y41" s="28" t="str">
        <f t="shared" si="5"/>
        <v/>
      </c>
      <c r="Z41" s="31"/>
      <c r="AA41" s="31"/>
      <c r="AB41" s="31"/>
      <c r="AC41" s="31"/>
      <c r="AD41" s="31"/>
      <c r="AE41" s="31"/>
      <c r="AF41" s="31"/>
      <c r="AG41" s="15" t="s">
        <v>339</v>
      </c>
      <c r="AH41" s="35"/>
      <c r="AI41" s="35"/>
      <c r="AK41"/>
      <c r="AM41" s="56"/>
      <c r="AN41" s="57"/>
      <c r="AO41" s="63" t="str">
        <f>IF($A41="","",IFERROR(_xlfn.XLOOKUP($A41,'2_DOI_Lookup'!$A$2:$A$430,'2_DOI_Lookup'!$B$2:$B$430),"NOT IN SOURCE"))</f>
        <v>10.1016/j.ijcce.2026.04.001</v>
      </c>
    </row>
    <row r="42" spans="1:41" ht="68.400000000000006" hidden="1" x14ac:dyDescent="0.3">
      <c r="A42" s="26">
        <v>3702</v>
      </c>
      <c r="B42" s="9"/>
      <c r="C42" s="32"/>
      <c r="D42" s="9"/>
      <c r="E42" s="9" t="str">
        <f>IF($A42="","",IFERROR(_xlfn.XLOOKUP($A42,'2_DOI_Lookup'!$D$2:$D$430,'2_DOI_Lookup'!$E$2:$E$430),"TITLE NOT IN SOURCE"))</f>
        <v>TunnelSDF-FilterNet: A Domain-Aware Neural Framework for High-Fidelity 3D Reconstruction of Railway Tunnels</v>
      </c>
      <c r="F42" s="26" t="s">
        <v>309</v>
      </c>
      <c r="G42" s="27" t="s">
        <v>311</v>
      </c>
      <c r="H42" s="27" t="s">
        <v>312</v>
      </c>
      <c r="I42" s="27" t="s">
        <v>311</v>
      </c>
      <c r="J42" s="27" t="s">
        <v>311</v>
      </c>
      <c r="K42" s="27" t="s">
        <v>311</v>
      </c>
      <c r="L42" s="28" t="str">
        <f t="shared" si="1"/>
        <v>EXCLUDE</v>
      </c>
      <c r="M42" s="28" t="str">
        <f t="shared" si="2"/>
        <v>Digital Twin not core / buzzword</v>
      </c>
      <c r="N42" s="29"/>
      <c r="O42" s="29"/>
      <c r="P42" s="30"/>
      <c r="Q42" s="30"/>
      <c r="R42" s="30"/>
      <c r="S42" s="28" t="str">
        <f t="shared" si="3"/>
        <v/>
      </c>
      <c r="T42" s="28" t="str">
        <f t="shared" si="4"/>
        <v/>
      </c>
      <c r="U42" s="31"/>
      <c r="V42" s="31"/>
      <c r="W42" s="31"/>
      <c r="X42" s="31"/>
      <c r="Y42" s="28" t="str">
        <f t="shared" si="5"/>
        <v/>
      </c>
      <c r="Z42" s="31"/>
      <c r="AA42" s="31"/>
      <c r="AB42" s="31"/>
      <c r="AC42" s="31"/>
      <c r="AD42" s="31"/>
      <c r="AE42" s="31"/>
      <c r="AF42" s="31"/>
      <c r="AG42" s="15" t="s">
        <v>340</v>
      </c>
      <c r="AH42" s="35"/>
      <c r="AI42" s="35"/>
      <c r="AK42"/>
      <c r="AM42" s="56"/>
      <c r="AN42" s="57"/>
      <c r="AO42" s="63" t="str">
        <f>IF($A42="","",IFERROR(_xlfn.XLOOKUP($A42,'2_DOI_Lookup'!$A$2:$A$430,'2_DOI_Lookup'!$B$2:$B$430),"NOT IN SOURCE"))</f>
        <v>10.1007/s40864-026-00273-z</v>
      </c>
    </row>
    <row r="43" spans="1:41" ht="57" hidden="1" x14ac:dyDescent="0.3">
      <c r="A43" s="26">
        <v>3901</v>
      </c>
      <c r="B43" s="9"/>
      <c r="C43" s="32"/>
      <c r="D43" s="9"/>
      <c r="E43" s="9" t="str">
        <f>IF($A43="","",IFERROR(_xlfn.XLOOKUP($A43,'2_DOI_Lookup'!$D$2:$D$430,'2_DOI_Lookup'!$E$2:$E$430),"TITLE NOT IN SOURCE"))</f>
        <v>Methodology for 3D Management of University Faculties Using Integrated GIS and BIM Models: A Case Study</v>
      </c>
      <c r="F43" s="26" t="s">
        <v>310</v>
      </c>
      <c r="G43" s="27" t="s">
        <v>311</v>
      </c>
      <c r="H43" s="27" t="s">
        <v>312</v>
      </c>
      <c r="I43" s="27" t="s">
        <v>312</v>
      </c>
      <c r="J43" s="27" t="s">
        <v>311</v>
      </c>
      <c r="K43" s="27" t="s">
        <v>311</v>
      </c>
      <c r="L43" s="28" t="str">
        <f t="shared" si="1"/>
        <v>EXCLUDE</v>
      </c>
      <c r="M43" s="28" t="str">
        <f t="shared" si="2"/>
        <v>Digital Twin not core / buzzword</v>
      </c>
      <c r="N43" s="29"/>
      <c r="O43" s="29"/>
      <c r="P43" s="30"/>
      <c r="Q43" s="30"/>
      <c r="R43" s="30"/>
      <c r="S43" s="28" t="str">
        <f t="shared" si="3"/>
        <v/>
      </c>
      <c r="T43" s="28" t="str">
        <f t="shared" si="4"/>
        <v/>
      </c>
      <c r="U43" s="31"/>
      <c r="V43" s="31"/>
      <c r="W43" s="31"/>
      <c r="X43" s="31"/>
      <c r="Y43" s="28" t="str">
        <f t="shared" si="5"/>
        <v/>
      </c>
      <c r="Z43" s="31"/>
      <c r="AA43" s="31"/>
      <c r="AB43" s="31"/>
      <c r="AC43" s="31"/>
      <c r="AD43" s="31"/>
      <c r="AE43" s="31"/>
      <c r="AF43" s="31"/>
      <c r="AG43" s="15" t="s">
        <v>341</v>
      </c>
      <c r="AH43" s="35"/>
      <c r="AI43" s="35"/>
      <c r="AK43"/>
      <c r="AM43" s="56"/>
      <c r="AN43" s="57"/>
      <c r="AO43" s="63" t="str">
        <f>IF($A43="","",IFERROR(_xlfn.XLOOKUP($A43,'2_DOI_Lookup'!$A$2:$A$430,'2_DOI_Lookup'!$B$2:$B$430),"NOT IN SOURCE"))</f>
        <v>10.3390/buildings14113547</v>
      </c>
    </row>
    <row r="44" spans="1:41" ht="45.6" hidden="1" x14ac:dyDescent="0.3">
      <c r="A44" s="26">
        <v>3889</v>
      </c>
      <c r="B44" s="9"/>
      <c r="C44" s="32"/>
      <c r="D44" s="9"/>
      <c r="E44" s="9" t="str">
        <f>IF($A44="","",IFERROR(_xlfn.XLOOKUP($A44,'2_DOI_Lookup'!$D$2:$D$430,'2_DOI_Lookup'!$E$2:$E$430),"TITLE NOT IN SOURCE"))</f>
        <v>Integration of BIM Tools for the Facility Management of Railway Bridges</v>
      </c>
      <c r="F44" s="26" t="s">
        <v>310</v>
      </c>
      <c r="G44" s="27" t="s">
        <v>311</v>
      </c>
      <c r="H44" s="27" t="s">
        <v>312</v>
      </c>
      <c r="I44" s="27" t="s">
        <v>311</v>
      </c>
      <c r="J44" s="27" t="s">
        <v>311</v>
      </c>
      <c r="K44" s="27" t="s">
        <v>311</v>
      </c>
      <c r="L44" s="28" t="str">
        <f t="shared" si="1"/>
        <v>EXCLUDE</v>
      </c>
      <c r="M44" s="28" t="str">
        <f t="shared" si="2"/>
        <v>Digital Twin not core / buzzword</v>
      </c>
      <c r="N44" s="29"/>
      <c r="O44" s="29"/>
      <c r="P44" s="30"/>
      <c r="Q44" s="30"/>
      <c r="R44" s="30"/>
      <c r="S44" s="28" t="str">
        <f t="shared" si="3"/>
        <v/>
      </c>
      <c r="T44" s="28" t="str">
        <f t="shared" si="4"/>
        <v/>
      </c>
      <c r="U44" s="31"/>
      <c r="V44" s="31"/>
      <c r="W44" s="31"/>
      <c r="X44" s="31"/>
      <c r="Y44" s="28" t="str">
        <f t="shared" si="5"/>
        <v/>
      </c>
      <c r="Z44" s="31"/>
      <c r="AA44" s="31"/>
      <c r="AB44" s="31"/>
      <c r="AC44" s="31"/>
      <c r="AD44" s="31"/>
      <c r="AE44" s="31"/>
      <c r="AF44" s="31"/>
      <c r="AG44" s="15" t="s">
        <v>342</v>
      </c>
      <c r="AH44" s="35"/>
      <c r="AI44" s="35"/>
      <c r="AK44"/>
      <c r="AM44" s="56"/>
      <c r="AN44" s="57"/>
      <c r="AO44" s="63" t="str">
        <f>IF($A44="","",IFERROR(_xlfn.XLOOKUP($A44,'2_DOI_Lookup'!$A$2:$A$430,'2_DOI_Lookup'!$B$2:$B$430),"NOT IN SOURCE"))</f>
        <v>10.3390/app14146209</v>
      </c>
    </row>
    <row r="45" spans="1:41" ht="45.6" hidden="1" x14ac:dyDescent="0.3">
      <c r="A45" s="64">
        <v>3555</v>
      </c>
      <c r="B45" s="65"/>
      <c r="C45" s="66"/>
      <c r="D45" s="65"/>
      <c r="E45" s="65" t="str">
        <f>IF($A45="","",IFERROR(_xlfn.XLOOKUP($A45,'2_DOI_Lookup'!$D$2:$D$430,'2_DOI_Lookup'!$E$2:$E$430),"TITLE NOT IN SOURCE"))</f>
        <v>Climate Change Impacts on Reinforced Concrete Structures: A Bibliometric Analysis</v>
      </c>
      <c r="F45" s="64" t="s">
        <v>309</v>
      </c>
      <c r="G45" s="67" t="s">
        <v>311</v>
      </c>
      <c r="H45" s="67" t="s">
        <v>312</v>
      </c>
      <c r="I45" s="67" t="s">
        <v>312</v>
      </c>
      <c r="J45" s="67" t="s">
        <v>311</v>
      </c>
      <c r="K45" s="67" t="s">
        <v>311</v>
      </c>
      <c r="L45" s="68" t="str">
        <f t="shared" si="1"/>
        <v>EXCLUDE</v>
      </c>
      <c r="M45" s="68" t="str">
        <f t="shared" si="2"/>
        <v>Digital Twin not core / buzzword</v>
      </c>
      <c r="N45" s="69"/>
      <c r="O45" s="69"/>
      <c r="P45" s="70"/>
      <c r="Q45" s="70"/>
      <c r="R45" s="70"/>
      <c r="S45" s="68" t="str">
        <f t="shared" si="3"/>
        <v/>
      </c>
      <c r="T45" s="68" t="str">
        <f t="shared" si="4"/>
        <v/>
      </c>
      <c r="U45" s="71"/>
      <c r="V45" s="71"/>
      <c r="W45" s="71"/>
      <c r="X45" s="71"/>
      <c r="Y45" s="68" t="str">
        <f t="shared" si="5"/>
        <v/>
      </c>
      <c r="Z45" s="71"/>
      <c r="AA45" s="71"/>
      <c r="AB45" s="71"/>
      <c r="AC45" s="71"/>
      <c r="AD45" s="71"/>
      <c r="AE45" s="71"/>
      <c r="AF45" s="71"/>
      <c r="AG45" s="72" t="s">
        <v>343</v>
      </c>
      <c r="AH45" s="35"/>
      <c r="AI45" s="35"/>
      <c r="AK45"/>
      <c r="AM45" s="56"/>
      <c r="AN45" s="57"/>
      <c r="AO45" s="63" t="str">
        <f>IF($A45="","",IFERROR(_xlfn.XLOOKUP($A45,'2_DOI_Lookup'!$A$2:$A$430,'2_DOI_Lookup'!$B$2:$B$430),"NOT IN SOURCE"))</f>
        <v>10.1080/10168664.2026.2649216</v>
      </c>
    </row>
    <row r="46" spans="1:41" ht="102.6" x14ac:dyDescent="0.3">
      <c r="A46" s="26">
        <v>3658</v>
      </c>
      <c r="B46" s="9" t="s">
        <v>177</v>
      </c>
      <c r="C46" s="32">
        <v>2026</v>
      </c>
      <c r="D46" s="9"/>
      <c r="E46" s="9" t="str">
        <f>IF($A46="","",IFERROR(_xlfn.XLOOKUP($A46,'2_DOI_Lookup'!$D$2:$D$430,'2_DOI_Lookup'!$E$2:$E$430),"TITLE NOT IN SOURCE"))</f>
        <v>AI based surrogate model for digital twins in structural health monitoring of reinforced concrete structures</v>
      </c>
      <c r="F46" s="26" t="s">
        <v>309</v>
      </c>
      <c r="G46" s="27" t="s">
        <v>311</v>
      </c>
      <c r="H46" s="27" t="s">
        <v>311</v>
      </c>
      <c r="I46" s="27" t="s">
        <v>311</v>
      </c>
      <c r="J46" s="27" t="s">
        <v>311</v>
      </c>
      <c r="K46" s="27" t="s">
        <v>311</v>
      </c>
      <c r="L46" s="28" t="str">
        <f t="shared" si="1"/>
        <v>INCLUDE</v>
      </c>
      <c r="M46" s="28" t="str">
        <f t="shared" si="2"/>
        <v/>
      </c>
      <c r="N46" s="29" t="s">
        <v>311</v>
      </c>
      <c r="O46" s="29" t="s">
        <v>311</v>
      </c>
      <c r="P46" s="30" t="s">
        <v>311</v>
      </c>
      <c r="Q46" s="30" t="s">
        <v>311</v>
      </c>
      <c r="R46" s="30" t="s">
        <v>311</v>
      </c>
      <c r="S46" s="28" t="str">
        <f t="shared" si="3"/>
        <v>INCLUDE</v>
      </c>
      <c r="T46" s="28" t="str">
        <f t="shared" si="4"/>
        <v/>
      </c>
      <c r="U46" s="31" t="s">
        <v>52</v>
      </c>
      <c r="V46" s="31">
        <v>0</v>
      </c>
      <c r="W46" s="31">
        <v>0</v>
      </c>
      <c r="X46" s="31">
        <v>1</v>
      </c>
      <c r="Y46" s="28" t="str">
        <f t="shared" si="5"/>
        <v>Single</v>
      </c>
      <c r="Z46" s="31" t="s">
        <v>9</v>
      </c>
      <c r="AA46" s="31" t="s">
        <v>53</v>
      </c>
      <c r="AB46" s="31" t="s">
        <v>92</v>
      </c>
      <c r="AC46" s="31" t="s">
        <v>55</v>
      </c>
      <c r="AD46" s="31" t="s">
        <v>65</v>
      </c>
      <c r="AE46" s="31">
        <v>3</v>
      </c>
      <c r="AF46" s="31" t="s">
        <v>80</v>
      </c>
      <c r="AG46" s="15" t="s">
        <v>606</v>
      </c>
      <c r="AH46" s="97" t="s">
        <v>770</v>
      </c>
      <c r="AI46" s="97" t="s">
        <v>771</v>
      </c>
      <c r="AJ46" s="98" t="s">
        <v>1078</v>
      </c>
      <c r="AK46" s="115" t="s">
        <v>1099</v>
      </c>
      <c r="AL46" s="98" t="s">
        <v>1083</v>
      </c>
      <c r="AM46" s="99"/>
      <c r="AN46" s="100" t="s">
        <v>1280</v>
      </c>
      <c r="AO46" s="101">
        <f>IF($A46="","",IFERROR(_xlfn.XLOOKUP($A46,'2_DOI_Lookup'!$A$2:$A$430,'2_DOI_Lookup'!$B$2:$B$430),"NOT IN SOURCE"))</f>
        <v>0</v>
      </c>
    </row>
    <row r="47" spans="1:41" ht="45.6" hidden="1" x14ac:dyDescent="0.3">
      <c r="A47" s="82">
        <v>3958</v>
      </c>
      <c r="B47" s="83"/>
      <c r="C47" s="84"/>
      <c r="D47" s="83"/>
      <c r="E47" s="83" t="str">
        <f>IF($A47="","",IFERROR(_xlfn.XLOOKUP($A47,'2_DOI_Lookup'!$D$2:$D$430,'2_DOI_Lookup'!$E$2:$E$430),"TITLE NOT IN SOURCE"))</f>
        <v>Integration of Emerging Technologies with Construction Practices in Australia</v>
      </c>
      <c r="F47" s="82" t="s">
        <v>310</v>
      </c>
      <c r="G47" s="85" t="s">
        <v>311</v>
      </c>
      <c r="H47" s="85" t="s">
        <v>312</v>
      </c>
      <c r="I47" s="85" t="s">
        <v>312</v>
      </c>
      <c r="J47" s="85" t="s">
        <v>311</v>
      </c>
      <c r="K47" s="85" t="s">
        <v>311</v>
      </c>
      <c r="L47" s="86" t="str">
        <f t="shared" si="1"/>
        <v>EXCLUDE</v>
      </c>
      <c r="M47" s="86" t="str">
        <f t="shared" si="2"/>
        <v>Digital Twin not core / buzzword</v>
      </c>
      <c r="N47" s="87"/>
      <c r="O47" s="87"/>
      <c r="P47" s="88"/>
      <c r="Q47" s="88"/>
      <c r="R47" s="88"/>
      <c r="S47" s="86" t="str">
        <f t="shared" si="3"/>
        <v/>
      </c>
      <c r="T47" s="86" t="str">
        <f t="shared" si="4"/>
        <v/>
      </c>
      <c r="U47" s="89"/>
      <c r="V47" s="89"/>
      <c r="W47" s="89"/>
      <c r="X47" s="89"/>
      <c r="Y47" s="86" t="str">
        <f t="shared" si="5"/>
        <v/>
      </c>
      <c r="Z47" s="89"/>
      <c r="AA47" s="89"/>
      <c r="AB47" s="89"/>
      <c r="AC47" s="89"/>
      <c r="AD47" s="89"/>
      <c r="AE47" s="89"/>
      <c r="AF47" s="89"/>
      <c r="AG47" s="90" t="s">
        <v>344</v>
      </c>
      <c r="AH47" s="35"/>
      <c r="AI47" s="35"/>
      <c r="AK47"/>
      <c r="AM47" s="56"/>
      <c r="AN47" s="57"/>
      <c r="AO47" s="63" t="str">
        <f>IF($A47="","",IFERROR(_xlfn.XLOOKUP($A47,'2_DOI_Lookup'!$A$2:$A$430,'2_DOI_Lookup'!$B$2:$B$430),"NOT IN SOURCE"))</f>
        <v>10.3390/buildings15030396</v>
      </c>
    </row>
    <row r="48" spans="1:41" ht="100.8" x14ac:dyDescent="0.3">
      <c r="A48" s="26">
        <v>3936</v>
      </c>
      <c r="B48" s="9" t="s">
        <v>178</v>
      </c>
      <c r="C48" s="32">
        <v>2024</v>
      </c>
      <c r="D48" s="9"/>
      <c r="E48" s="9" t="str">
        <f>IF($A48="","",IFERROR(_xlfn.XLOOKUP($A48,'2_DOI_Lookup'!$D$2:$D$430,'2_DOI_Lookup'!$E$2:$E$430),"TITLE NOT IN SOURCE"))</f>
        <v>Digital twinning of building construction processes. Case study: A reinforced concrete cast-in structure</v>
      </c>
      <c r="F48" s="26" t="s">
        <v>310</v>
      </c>
      <c r="G48" s="27" t="s">
        <v>311</v>
      </c>
      <c r="H48" s="27" t="s">
        <v>311</v>
      </c>
      <c r="I48" s="27" t="s">
        <v>311</v>
      </c>
      <c r="J48" s="27" t="s">
        <v>311</v>
      </c>
      <c r="K48" s="27" t="s">
        <v>311</v>
      </c>
      <c r="L48" s="28" t="str">
        <f t="shared" si="1"/>
        <v>INCLUDE</v>
      </c>
      <c r="M48" s="28" t="str">
        <f t="shared" si="2"/>
        <v/>
      </c>
      <c r="N48" s="29" t="s">
        <v>49</v>
      </c>
      <c r="O48" s="29" t="s">
        <v>49</v>
      </c>
      <c r="P48" s="30" t="s">
        <v>49</v>
      </c>
      <c r="Q48" s="30" t="s">
        <v>49</v>
      </c>
      <c r="R48" s="30" t="s">
        <v>49</v>
      </c>
      <c r="S48" s="28" t="str">
        <f t="shared" si="3"/>
        <v>INCLUDE</v>
      </c>
      <c r="T48" s="28" t="str">
        <f t="shared" si="4"/>
        <v/>
      </c>
      <c r="U48" s="31" t="s">
        <v>61</v>
      </c>
      <c r="V48" s="31">
        <v>0</v>
      </c>
      <c r="W48" s="31">
        <v>1</v>
      </c>
      <c r="X48" s="31">
        <v>0</v>
      </c>
      <c r="Y48" s="28" t="str">
        <f t="shared" si="5"/>
        <v>Single</v>
      </c>
      <c r="Z48" s="31" t="s">
        <v>69</v>
      </c>
      <c r="AA48" s="31" t="s">
        <v>53</v>
      </c>
      <c r="AB48" s="31" t="s">
        <v>92</v>
      </c>
      <c r="AC48" s="31" t="s">
        <v>64</v>
      </c>
      <c r="AD48" s="31" t="s">
        <v>72</v>
      </c>
      <c r="AE48" s="31">
        <v>4</v>
      </c>
      <c r="AF48" s="31" t="s">
        <v>57</v>
      </c>
      <c r="AG48" s="15" t="s">
        <v>693</v>
      </c>
      <c r="AH48" s="97" t="s">
        <v>772</v>
      </c>
      <c r="AI48" s="97" t="s">
        <v>773</v>
      </c>
      <c r="AJ48" s="98" t="s">
        <v>1079</v>
      </c>
      <c r="AK48" s="98" t="s">
        <v>1100</v>
      </c>
      <c r="AL48" s="98" t="s">
        <v>1083</v>
      </c>
      <c r="AM48" s="99"/>
      <c r="AN48" s="100" t="s">
        <v>1382</v>
      </c>
      <c r="AO48" s="101" t="str">
        <f>IF($A48="","",IFERROR(_xlfn.XLOOKUP($A48,'2_DOI_Lookup'!$A$2:$A$430,'2_DOI_Lookup'!$B$2:$B$430),"NOT IN SOURCE"))</f>
        <v>10.1016/j.jobe.2024.108522</v>
      </c>
    </row>
    <row r="49" spans="1:41" ht="72" x14ac:dyDescent="0.3">
      <c r="A49" s="26">
        <v>3795</v>
      </c>
      <c r="B49" s="9" t="s">
        <v>179</v>
      </c>
      <c r="C49" s="32">
        <v>2025</v>
      </c>
      <c r="D49" s="9"/>
      <c r="E49" s="9" t="str">
        <f>IF($A49="","",IFERROR(_xlfn.XLOOKUP($A49,'2_DOI_Lookup'!$D$2:$D$430,'2_DOI_Lookup'!$E$2:$E$430),"TITLE NOT IN SOURCE"))</f>
        <v>Risk Mitigation of a Heritage Bridge Using Noninvasive Sensors</v>
      </c>
      <c r="F49" s="26" t="s">
        <v>309</v>
      </c>
      <c r="G49" s="27" t="s">
        <v>311</v>
      </c>
      <c r="H49" s="27" t="s">
        <v>311</v>
      </c>
      <c r="I49" s="27" t="s">
        <v>311</v>
      </c>
      <c r="J49" s="27" t="s">
        <v>311</v>
      </c>
      <c r="K49" s="27" t="s">
        <v>311</v>
      </c>
      <c r="L49" s="28" t="str">
        <f t="shared" si="1"/>
        <v>INCLUDE</v>
      </c>
      <c r="M49" s="28" t="str">
        <f t="shared" si="2"/>
        <v/>
      </c>
      <c r="N49" s="29" t="s">
        <v>49</v>
      </c>
      <c r="O49" s="29" t="s">
        <v>49</v>
      </c>
      <c r="P49" s="30" t="s">
        <v>49</v>
      </c>
      <c r="Q49" s="30" t="s">
        <v>49</v>
      </c>
      <c r="R49" s="30" t="s">
        <v>49</v>
      </c>
      <c r="S49" s="28" t="str">
        <f t="shared" si="3"/>
        <v>INCLUDE</v>
      </c>
      <c r="T49" s="28" t="str">
        <f t="shared" si="4"/>
        <v/>
      </c>
      <c r="U49" s="31" t="s">
        <v>61</v>
      </c>
      <c r="V49" s="31">
        <v>0</v>
      </c>
      <c r="W49" s="31">
        <v>0</v>
      </c>
      <c r="X49" s="31">
        <v>1</v>
      </c>
      <c r="Y49" s="28" t="str">
        <f t="shared" si="5"/>
        <v>Single</v>
      </c>
      <c r="Z49" s="31" t="s">
        <v>9</v>
      </c>
      <c r="AA49" s="31" t="s">
        <v>53</v>
      </c>
      <c r="AB49" s="31" t="s">
        <v>88</v>
      </c>
      <c r="AC49" s="31" t="s">
        <v>64</v>
      </c>
      <c r="AD49" s="31" t="s">
        <v>72</v>
      </c>
      <c r="AE49" s="31">
        <v>4</v>
      </c>
      <c r="AF49" s="31" t="s">
        <v>80</v>
      </c>
      <c r="AG49" s="15" t="s">
        <v>694</v>
      </c>
      <c r="AH49" s="97" t="s">
        <v>774</v>
      </c>
      <c r="AI49" s="97" t="s">
        <v>775</v>
      </c>
      <c r="AJ49" s="98" t="s">
        <v>1080</v>
      </c>
      <c r="AK49" s="98" t="s">
        <v>1101</v>
      </c>
      <c r="AL49" s="98" t="s">
        <v>1084</v>
      </c>
      <c r="AM49" s="99"/>
      <c r="AN49" s="100" t="s">
        <v>1302</v>
      </c>
      <c r="AO49" s="101" t="str">
        <f>IF($A49="","",IFERROR(_xlfn.XLOOKUP($A49,'2_DOI_Lookup'!$A$2:$A$430,'2_DOI_Lookup'!$B$2:$B$430),"NOT IN SOURCE"))</f>
        <v>10.3390/s25123727</v>
      </c>
    </row>
    <row r="50" spans="1:41" ht="102.6" x14ac:dyDescent="0.3">
      <c r="A50" s="26">
        <v>3998</v>
      </c>
      <c r="B50" s="9" t="s">
        <v>180</v>
      </c>
      <c r="C50" s="32">
        <v>2024</v>
      </c>
      <c r="D50" s="9"/>
      <c r="E50" s="9" t="str">
        <f>IF($A50="","",IFERROR(_xlfn.XLOOKUP($A50,'2_DOI_Lookup'!$D$2:$D$430,'2_DOI_Lookup'!$E$2:$E$430),"TITLE NOT IN SOURCE"))</f>
        <v>Autonomous dimensional inspection and issue tracking of rebar using semantically enriched 3D models</v>
      </c>
      <c r="F50" s="26" t="s">
        <v>310</v>
      </c>
      <c r="G50" s="27" t="s">
        <v>311</v>
      </c>
      <c r="H50" s="27" t="s">
        <v>311</v>
      </c>
      <c r="I50" s="27" t="s">
        <v>311</v>
      </c>
      <c r="J50" s="27" t="s">
        <v>311</v>
      </c>
      <c r="K50" s="27" t="s">
        <v>311</v>
      </c>
      <c r="L50" s="28" t="str">
        <f t="shared" si="1"/>
        <v>INCLUDE</v>
      </c>
      <c r="M50" s="28" t="str">
        <f t="shared" si="2"/>
        <v/>
      </c>
      <c r="N50" s="29" t="s">
        <v>49</v>
      </c>
      <c r="O50" s="29" t="s">
        <v>49</v>
      </c>
      <c r="P50" s="30" t="s">
        <v>49</v>
      </c>
      <c r="Q50" s="30" t="s">
        <v>49</v>
      </c>
      <c r="R50" s="30" t="s">
        <v>49</v>
      </c>
      <c r="S50" s="28" t="str">
        <f t="shared" si="3"/>
        <v>INCLUDE</v>
      </c>
      <c r="T50" s="28" t="str">
        <f t="shared" si="4"/>
        <v/>
      </c>
      <c r="U50" s="31" t="s">
        <v>52</v>
      </c>
      <c r="V50" s="31">
        <v>0</v>
      </c>
      <c r="W50" s="31">
        <v>1</v>
      </c>
      <c r="X50" s="31">
        <v>0</v>
      </c>
      <c r="Y50" s="28" t="str">
        <f t="shared" si="5"/>
        <v>Single</v>
      </c>
      <c r="Z50" s="31" t="s">
        <v>11</v>
      </c>
      <c r="AA50" s="31" t="s">
        <v>53</v>
      </c>
      <c r="AB50" s="31" t="s">
        <v>54</v>
      </c>
      <c r="AC50" s="31" t="s">
        <v>64</v>
      </c>
      <c r="AD50" s="31" t="s">
        <v>72</v>
      </c>
      <c r="AE50" s="31">
        <v>4</v>
      </c>
      <c r="AF50" s="31" t="s">
        <v>73</v>
      </c>
      <c r="AG50" s="15" t="s">
        <v>345</v>
      </c>
      <c r="AH50" s="97" t="s">
        <v>776</v>
      </c>
      <c r="AI50" s="97" t="s">
        <v>777</v>
      </c>
      <c r="AJ50" s="98" t="s">
        <v>1080</v>
      </c>
      <c r="AK50" s="98" t="s">
        <v>1102</v>
      </c>
      <c r="AL50" s="98" t="s">
        <v>1083</v>
      </c>
      <c r="AM50" s="99"/>
      <c r="AN50" s="100" t="s">
        <v>1426</v>
      </c>
      <c r="AO50" s="101" t="str">
        <f>IF($A50="","",IFERROR(_xlfn.XLOOKUP($A50,'2_DOI_Lookup'!$A$2:$A$430,'2_DOI_Lookup'!$B$2:$B$430),"NOT IN SOURCE"))</f>
        <v>10.1016/j.autcon.2024.105303</v>
      </c>
    </row>
    <row r="51" spans="1:41" ht="388.8" x14ac:dyDescent="0.3">
      <c r="A51" s="26">
        <v>3984</v>
      </c>
      <c r="B51" s="9" t="s">
        <v>181</v>
      </c>
      <c r="C51" s="32">
        <v>2026</v>
      </c>
      <c r="D51" s="9"/>
      <c r="E51" s="9" t="str">
        <f>IF($A51="","",IFERROR(_xlfn.XLOOKUP($A51,'2_DOI_Lookup'!$D$2:$D$430,'2_DOI_Lookup'!$E$2:$E$430),"TITLE NOT IN SOURCE"))</f>
        <v>A transformer-based surrogate modeling strategy for tunnel digital twin in full-field displacement prediction under adjacent tunnel construction</v>
      </c>
      <c r="F51" s="59" t="s">
        <v>310</v>
      </c>
      <c r="G51" s="27" t="s">
        <v>311</v>
      </c>
      <c r="H51" s="27" t="s">
        <v>311</v>
      </c>
      <c r="I51" s="27" t="s">
        <v>311</v>
      </c>
      <c r="J51" s="27" t="s">
        <v>311</v>
      </c>
      <c r="K51" s="27" t="s">
        <v>311</v>
      </c>
      <c r="L51" s="28" t="str">
        <f t="shared" si="1"/>
        <v>INCLUDE</v>
      </c>
      <c r="M51" s="28" t="str">
        <f t="shared" si="2"/>
        <v/>
      </c>
      <c r="N51" s="29" t="s">
        <v>49</v>
      </c>
      <c r="O51" s="29" t="s">
        <v>49</v>
      </c>
      <c r="P51" s="30" t="s">
        <v>49</v>
      </c>
      <c r="Q51" s="30" t="s">
        <v>49</v>
      </c>
      <c r="R51" s="30" t="s">
        <v>49</v>
      </c>
      <c r="S51" s="28" t="str">
        <f t="shared" si="3"/>
        <v>INCLUDE</v>
      </c>
      <c r="T51" s="28" t="str">
        <f t="shared" si="4"/>
        <v/>
      </c>
      <c r="U51" s="31" t="s">
        <v>61</v>
      </c>
      <c r="V51" s="31">
        <v>0</v>
      </c>
      <c r="W51" s="31">
        <v>1</v>
      </c>
      <c r="X51" s="31">
        <v>0</v>
      </c>
      <c r="Y51" s="28" t="str">
        <f t="shared" si="5"/>
        <v>Single</v>
      </c>
      <c r="Z51" s="31" t="s">
        <v>9</v>
      </c>
      <c r="AA51" s="31" t="s">
        <v>70</v>
      </c>
      <c r="AB51" s="31" t="s">
        <v>78</v>
      </c>
      <c r="AC51" s="31" t="s">
        <v>64</v>
      </c>
      <c r="AD51" s="31" t="s">
        <v>72</v>
      </c>
      <c r="AE51" s="31">
        <v>4</v>
      </c>
      <c r="AF51" s="31" t="s">
        <v>84</v>
      </c>
      <c r="AG51" s="15" t="s">
        <v>346</v>
      </c>
      <c r="AH51" s="97" t="s">
        <v>778</v>
      </c>
      <c r="AI51" s="97" t="s">
        <v>779</v>
      </c>
      <c r="AJ51" s="98" t="s">
        <v>1081</v>
      </c>
      <c r="AK51" s="98" t="s">
        <v>1103</v>
      </c>
      <c r="AL51" s="98" t="s">
        <v>1083</v>
      </c>
      <c r="AM51" s="99" t="s">
        <v>1448</v>
      </c>
      <c r="AN51" s="100" t="s">
        <v>1464</v>
      </c>
      <c r="AO51" s="101" t="str">
        <f>IF($A51="","",IFERROR(_xlfn.XLOOKUP($A51,'2_DOI_Lookup'!$A$2:$A$430,'2_DOI_Lookup'!$B$2:$B$430),"NOT IN SOURCE"))</f>
        <v>10.1016/j.aei.2025.104045</v>
      </c>
    </row>
    <row r="52" spans="1:41" ht="45.6" hidden="1" x14ac:dyDescent="0.3">
      <c r="A52" s="82">
        <v>3601</v>
      </c>
      <c r="B52" s="83"/>
      <c r="C52" s="84"/>
      <c r="D52" s="83"/>
      <c r="E52" s="83" t="str">
        <f>IF($A52="","",IFERROR(_xlfn.XLOOKUP($A52,'2_DOI_Lookup'!$D$2:$D$430,'2_DOI_Lookup'!$E$2:$E$430),"TITLE NOT IN SOURCE"))</f>
        <v>Digital twin-based experimental method for construction loads of adjacent works</v>
      </c>
      <c r="F52" s="82" t="s">
        <v>309</v>
      </c>
      <c r="G52" s="85" t="s">
        <v>311</v>
      </c>
      <c r="H52" s="85" t="s">
        <v>311</v>
      </c>
      <c r="I52" s="85" t="s">
        <v>311</v>
      </c>
      <c r="J52" s="85" t="s">
        <v>311</v>
      </c>
      <c r="K52" s="85" t="s">
        <v>312</v>
      </c>
      <c r="L52" s="86" t="str">
        <f t="shared" si="1"/>
        <v>EXCLUDE</v>
      </c>
      <c r="M52" s="86" t="str">
        <f t="shared" si="2"/>
        <v>Non-English</v>
      </c>
      <c r="N52" s="87"/>
      <c r="O52" s="87"/>
      <c r="P52" s="88"/>
      <c r="Q52" s="88"/>
      <c r="R52" s="88"/>
      <c r="S52" s="86" t="str">
        <f t="shared" si="3"/>
        <v/>
      </c>
      <c r="T52" s="86" t="str">
        <f t="shared" si="4"/>
        <v/>
      </c>
      <c r="U52" s="89"/>
      <c r="V52" s="89"/>
      <c r="W52" s="89"/>
      <c r="X52" s="89"/>
      <c r="Y52" s="86" t="str">
        <f t="shared" si="5"/>
        <v/>
      </c>
      <c r="Z52" s="89"/>
      <c r="AA52" s="89"/>
      <c r="AB52" s="89"/>
      <c r="AC52" s="89"/>
      <c r="AD52" s="89"/>
      <c r="AE52" s="89"/>
      <c r="AF52" s="89"/>
      <c r="AG52" s="90" t="s">
        <v>347</v>
      </c>
      <c r="AH52" s="35"/>
      <c r="AI52" s="35"/>
      <c r="AK52"/>
      <c r="AM52" s="56"/>
      <c r="AN52" s="57"/>
      <c r="AO52" s="63">
        <f>IF($A52="","",IFERROR(_xlfn.XLOOKUP($A52,'2_DOI_Lookup'!$A$2:$A$430,'2_DOI_Lookup'!$B$2:$B$430),"NOT IN SOURCE"))</f>
        <v>0</v>
      </c>
    </row>
    <row r="53" spans="1:41" ht="100.8" x14ac:dyDescent="0.3">
      <c r="A53" s="26">
        <v>3911</v>
      </c>
      <c r="B53" s="9" t="s">
        <v>182</v>
      </c>
      <c r="C53" s="32">
        <v>2025</v>
      </c>
      <c r="D53" s="9"/>
      <c r="E53" s="9" t="str">
        <f>IF($A53="","",IFERROR(_xlfn.XLOOKUP($A53,'2_DOI_Lookup'!$D$2:$D$430,'2_DOI_Lookup'!$E$2:$E$430),"TITLE NOT IN SOURCE"))</f>
        <v>Digital Twin-Based and Knowledge Graph-Enhanced Emergency Response in Urban Infrastructure Construction</v>
      </c>
      <c r="F53" s="26" t="s">
        <v>310</v>
      </c>
      <c r="G53" s="27" t="s">
        <v>311</v>
      </c>
      <c r="H53" s="27" t="s">
        <v>311</v>
      </c>
      <c r="I53" s="27" t="s">
        <v>311</v>
      </c>
      <c r="J53" s="27" t="s">
        <v>311</v>
      </c>
      <c r="K53" s="27" t="s">
        <v>311</v>
      </c>
      <c r="L53" s="28" t="str">
        <f t="shared" si="1"/>
        <v>INCLUDE</v>
      </c>
      <c r="M53" s="28" t="str">
        <f t="shared" si="2"/>
        <v/>
      </c>
      <c r="N53" s="29" t="s">
        <v>49</v>
      </c>
      <c r="O53" s="29" t="s">
        <v>49</v>
      </c>
      <c r="P53" s="30" t="s">
        <v>49</v>
      </c>
      <c r="Q53" s="30" t="s">
        <v>49</v>
      </c>
      <c r="R53" s="30" t="s">
        <v>49</v>
      </c>
      <c r="S53" s="28" t="str">
        <f t="shared" si="3"/>
        <v>INCLUDE</v>
      </c>
      <c r="T53" s="28" t="str">
        <f t="shared" si="4"/>
        <v/>
      </c>
      <c r="U53" s="31" t="s">
        <v>68</v>
      </c>
      <c r="V53" s="31">
        <v>0</v>
      </c>
      <c r="W53" s="31">
        <v>1</v>
      </c>
      <c r="X53" s="31">
        <v>0</v>
      </c>
      <c r="Y53" s="28" t="str">
        <f t="shared" si="5"/>
        <v>Single</v>
      </c>
      <c r="Z53" s="31" t="s">
        <v>9</v>
      </c>
      <c r="AA53" s="31" t="s">
        <v>53</v>
      </c>
      <c r="AB53" s="31" t="s">
        <v>89</v>
      </c>
      <c r="AC53" s="31" t="s">
        <v>64</v>
      </c>
      <c r="AD53" s="31" t="s">
        <v>72</v>
      </c>
      <c r="AE53" s="31">
        <v>4</v>
      </c>
      <c r="AF53" s="31" t="s">
        <v>84</v>
      </c>
      <c r="AG53" s="15" t="s">
        <v>695</v>
      </c>
      <c r="AH53" s="97" t="s">
        <v>780</v>
      </c>
      <c r="AI53" s="97" t="s">
        <v>781</v>
      </c>
      <c r="AJ53" s="98" t="s">
        <v>1081</v>
      </c>
      <c r="AK53" s="98" t="s">
        <v>1104</v>
      </c>
      <c r="AL53" s="98" t="s">
        <v>1083</v>
      </c>
      <c r="AM53" s="99"/>
      <c r="AN53" s="100" t="s">
        <v>1329</v>
      </c>
      <c r="AO53" s="101" t="str">
        <f>IF($A53="","",IFERROR(_xlfn.XLOOKUP($A53,'2_DOI_Lookup'!$A$2:$A$430,'2_DOI_Lookup'!$B$2:$B$430),"NOT IN SOURCE"))</f>
        <v>10.3390/app15116009</v>
      </c>
    </row>
    <row r="54" spans="1:41" ht="144" x14ac:dyDescent="0.3">
      <c r="A54" s="26">
        <v>3953</v>
      </c>
      <c r="B54" s="9" t="s">
        <v>183</v>
      </c>
      <c r="C54" s="32">
        <v>2026</v>
      </c>
      <c r="D54" s="9"/>
      <c r="E54" s="61" t="str">
        <f>IF($A54="","",IFERROR(_xlfn.XLOOKUP($A54,'2_DOI_Lookup'!$D$2:$D$430,'2_DOI_Lookup'!$E$2:$E$430),"TITLE NOT IN SOURCE"))</f>
        <v>Digital Twin-Enabled Robust Parallel Control of Construction Engineering Equipment Under Uncertainty</v>
      </c>
      <c r="F54" s="26" t="s">
        <v>310</v>
      </c>
      <c r="G54" s="27" t="s">
        <v>311</v>
      </c>
      <c r="H54" s="27" t="s">
        <v>311</v>
      </c>
      <c r="I54" s="27" t="s">
        <v>311</v>
      </c>
      <c r="J54" s="27" t="s">
        <v>311</v>
      </c>
      <c r="K54" s="27" t="s">
        <v>311</v>
      </c>
      <c r="L54" s="28" t="str">
        <f t="shared" si="1"/>
        <v>INCLUDE</v>
      </c>
      <c r="M54" s="28" t="str">
        <f t="shared" si="2"/>
        <v/>
      </c>
      <c r="N54" s="29" t="s">
        <v>49</v>
      </c>
      <c r="O54" s="29" t="s">
        <v>49</v>
      </c>
      <c r="P54" s="30" t="s">
        <v>49</v>
      </c>
      <c r="Q54" s="30" t="s">
        <v>49</v>
      </c>
      <c r="R54" s="30" t="s">
        <v>49</v>
      </c>
      <c r="S54" s="28" t="str">
        <f t="shared" si="3"/>
        <v>INCLUDE</v>
      </c>
      <c r="T54" s="28" t="str">
        <f t="shared" si="4"/>
        <v/>
      </c>
      <c r="U54" s="31" t="s">
        <v>68</v>
      </c>
      <c r="V54" s="31">
        <v>0</v>
      </c>
      <c r="W54" s="31">
        <v>1</v>
      </c>
      <c r="X54" s="31">
        <v>0</v>
      </c>
      <c r="Y54" s="28" t="str">
        <f t="shared" si="5"/>
        <v>Single</v>
      </c>
      <c r="Z54" s="31" t="s">
        <v>9</v>
      </c>
      <c r="AA54" s="31" t="s">
        <v>62</v>
      </c>
      <c r="AB54" s="31" t="s">
        <v>92</v>
      </c>
      <c r="AC54" s="31" t="s">
        <v>64</v>
      </c>
      <c r="AD54" s="31" t="s">
        <v>72</v>
      </c>
      <c r="AE54" s="31">
        <v>4</v>
      </c>
      <c r="AF54" s="31" t="s">
        <v>80</v>
      </c>
      <c r="AG54" s="15" t="s">
        <v>696</v>
      </c>
      <c r="AH54" s="97" t="s">
        <v>782</v>
      </c>
      <c r="AI54" s="97" t="s">
        <v>783</v>
      </c>
      <c r="AJ54" s="98" t="s">
        <v>1080</v>
      </c>
      <c r="AK54" s="98" t="s">
        <v>1105</v>
      </c>
      <c r="AL54" s="98" t="s">
        <v>1084</v>
      </c>
      <c r="AM54" s="99"/>
      <c r="AN54" s="100" t="s">
        <v>1397</v>
      </c>
      <c r="AO54" s="101" t="str">
        <f>IF($A54="","",IFERROR(_xlfn.XLOOKUP($A54,'2_DOI_Lookup'!$A$2:$A$430,'2_DOI_Lookup'!$B$2:$B$430),"NOT IN SOURCE"))</f>
        <v>10.3390/buildings16101982</v>
      </c>
    </row>
    <row r="55" spans="1:41" ht="34.200000000000003" hidden="1" x14ac:dyDescent="0.3">
      <c r="A55" s="73">
        <v>3873</v>
      </c>
      <c r="B55" s="74"/>
      <c r="C55" s="75"/>
      <c r="D55" s="74"/>
      <c r="E55" s="74" t="str">
        <f>IF($A55="","",IFERROR(_xlfn.XLOOKUP($A55,'2_DOI_Lookup'!$D$2:$D$430,'2_DOI_Lookup'!$E$2:$E$430),"TITLE NOT IN SOURCE"))</f>
        <v>Construction and application of Digital Twin model of pipeline</v>
      </c>
      <c r="F55" s="73" t="s">
        <v>309</v>
      </c>
      <c r="G55" s="76" t="s">
        <v>312</v>
      </c>
      <c r="H55" s="76" t="s">
        <v>311</v>
      </c>
      <c r="I55" s="76" t="s">
        <v>311</v>
      </c>
      <c r="J55" s="76" t="s">
        <v>311</v>
      </c>
      <c r="K55" s="76" t="s">
        <v>312</v>
      </c>
      <c r="L55" s="77" t="str">
        <f t="shared" si="1"/>
        <v>EXCLUDE</v>
      </c>
      <c r="M55" s="77" t="str">
        <f t="shared" si="2"/>
        <v>Wrong domain (non-AECO)</v>
      </c>
      <c r="N55" s="78"/>
      <c r="O55" s="78"/>
      <c r="P55" s="79"/>
      <c r="Q55" s="79"/>
      <c r="R55" s="79"/>
      <c r="S55" s="77" t="str">
        <f t="shared" si="3"/>
        <v/>
      </c>
      <c r="T55" s="77" t="str">
        <f t="shared" si="4"/>
        <v/>
      </c>
      <c r="U55" s="80"/>
      <c r="V55" s="80"/>
      <c r="W55" s="80"/>
      <c r="X55" s="80"/>
      <c r="Y55" s="77" t="str">
        <f t="shared" si="5"/>
        <v/>
      </c>
      <c r="Z55" s="80"/>
      <c r="AA55" s="80"/>
      <c r="AB55" s="80"/>
      <c r="AC55" s="80"/>
      <c r="AD55" s="80"/>
      <c r="AE55" s="80"/>
      <c r="AF55" s="80"/>
      <c r="AG55" s="81" t="s">
        <v>348</v>
      </c>
      <c r="AH55" s="35"/>
      <c r="AI55" s="35"/>
      <c r="AK55"/>
      <c r="AM55" s="56"/>
      <c r="AN55" s="57"/>
      <c r="AO55" s="63" t="str">
        <f>IF($A55="","",IFERROR(_xlfn.XLOOKUP($A55,'2_DOI_Lookup'!$A$2:$A$430,'2_DOI_Lookup'!$B$2:$B$430),"NOT IN SOURCE"))</f>
        <v>10.6047/j.issn.1000-8241.2021.06.006</v>
      </c>
    </row>
    <row r="56" spans="1:41" ht="57" hidden="1" x14ac:dyDescent="0.3">
      <c r="A56" s="26">
        <v>3745</v>
      </c>
      <c r="B56" s="9"/>
      <c r="C56" s="32"/>
      <c r="D56" s="9"/>
      <c r="E56" s="9" t="str">
        <f>IF($A56="","",IFERROR(_xlfn.XLOOKUP($A56,'2_DOI_Lookup'!$D$2:$D$430,'2_DOI_Lookup'!$E$2:$E$430),"TITLE NOT IN SOURCE"))</f>
        <v>Monitoring Construction and System Development of Bridge Horizontal Rotation "Traction-rotation"</v>
      </c>
      <c r="F56" s="26" t="s">
        <v>309</v>
      </c>
      <c r="G56" s="27" t="s">
        <v>311</v>
      </c>
      <c r="H56" s="27" t="s">
        <v>311</v>
      </c>
      <c r="I56" s="27" t="s">
        <v>311</v>
      </c>
      <c r="J56" s="27" t="s">
        <v>311</v>
      </c>
      <c r="K56" s="27" t="s">
        <v>312</v>
      </c>
      <c r="L56" s="28" t="str">
        <f t="shared" si="1"/>
        <v>EXCLUDE</v>
      </c>
      <c r="M56" s="28" t="str">
        <f t="shared" si="2"/>
        <v>Non-English</v>
      </c>
      <c r="N56" s="29"/>
      <c r="O56" s="29"/>
      <c r="P56" s="30"/>
      <c r="Q56" s="30"/>
      <c r="R56" s="30"/>
      <c r="S56" s="28" t="str">
        <f t="shared" si="3"/>
        <v/>
      </c>
      <c r="T56" s="28" t="str">
        <f t="shared" si="4"/>
        <v/>
      </c>
      <c r="U56" s="31"/>
      <c r="V56" s="31"/>
      <c r="W56" s="31"/>
      <c r="X56" s="31"/>
      <c r="Y56" s="28" t="str">
        <f t="shared" si="5"/>
        <v/>
      </c>
      <c r="Z56" s="31"/>
      <c r="AA56" s="31"/>
      <c r="AB56" s="31"/>
      <c r="AC56" s="31"/>
      <c r="AD56" s="31"/>
      <c r="AE56" s="31"/>
      <c r="AF56" s="31"/>
      <c r="AG56" s="15" t="s">
        <v>349</v>
      </c>
      <c r="AH56" s="35"/>
      <c r="AI56" s="35"/>
      <c r="AK56"/>
      <c r="AM56" s="56"/>
      <c r="AN56" s="57"/>
      <c r="AO56" s="63" t="str">
        <f>IF($A56="","",IFERROR(_xlfn.XLOOKUP($A56,'2_DOI_Lookup'!$A$2:$A$430,'2_DOI_Lookup'!$B$2:$B$430),"NOT IN SOURCE"))</f>
        <v>10.19721/j.cnki.1001-7372.2025.06.006</v>
      </c>
    </row>
    <row r="57" spans="1:41" ht="57" hidden="1" x14ac:dyDescent="0.3">
      <c r="A57" s="26">
        <v>3509</v>
      </c>
      <c r="B57" s="9"/>
      <c r="C57" s="32"/>
      <c r="D57" s="9"/>
      <c r="E57" s="9" t="str">
        <f>IF($A57="","",IFERROR(_xlfn.XLOOKUP($A57,'2_DOI_Lookup'!$D$2:$D$430,'2_DOI_Lookup'!$E$2:$E$430),"TITLE NOT IN SOURCE"))</f>
        <v>Multi-Modal Excavator Activity Recognition Using Two-Stream CNN-LSTM with RGB and Point Cloud Inputs</v>
      </c>
      <c r="F57" s="26" t="s">
        <v>309</v>
      </c>
      <c r="G57" s="27" t="s">
        <v>311</v>
      </c>
      <c r="H57" s="27" t="s">
        <v>312</v>
      </c>
      <c r="I57" s="27" t="s">
        <v>311</v>
      </c>
      <c r="J57" s="27" t="s">
        <v>311</v>
      </c>
      <c r="K57" s="27" t="s">
        <v>311</v>
      </c>
      <c r="L57" s="28" t="str">
        <f t="shared" si="1"/>
        <v>EXCLUDE</v>
      </c>
      <c r="M57" s="28" t="str">
        <f t="shared" si="2"/>
        <v>Digital Twin not core / buzzword</v>
      </c>
      <c r="N57" s="29"/>
      <c r="O57" s="29"/>
      <c r="P57" s="30"/>
      <c r="Q57" s="30"/>
      <c r="R57" s="30"/>
      <c r="S57" s="28" t="str">
        <f t="shared" si="3"/>
        <v/>
      </c>
      <c r="T57" s="28" t="str">
        <f t="shared" si="4"/>
        <v/>
      </c>
      <c r="U57" s="31"/>
      <c r="V57" s="31"/>
      <c r="W57" s="31"/>
      <c r="X57" s="31"/>
      <c r="Y57" s="28" t="str">
        <f t="shared" si="5"/>
        <v/>
      </c>
      <c r="Z57" s="31"/>
      <c r="AA57" s="31"/>
      <c r="AB57" s="31"/>
      <c r="AC57" s="31"/>
      <c r="AD57" s="31"/>
      <c r="AE57" s="31"/>
      <c r="AF57" s="31"/>
      <c r="AG57" s="15" t="s">
        <v>350</v>
      </c>
      <c r="AH57" s="35"/>
      <c r="AI57" s="35"/>
      <c r="AK57"/>
      <c r="AM57" s="56"/>
      <c r="AN57" s="57"/>
      <c r="AO57" s="63" t="str">
        <f>IF($A57="","",IFERROR(_xlfn.XLOOKUP($A57,'2_DOI_Lookup'!$A$2:$A$430,'2_DOI_Lookup'!$B$2:$B$430),"NOT IN SOURCE"))</f>
        <v>10.3390/app15158505</v>
      </c>
    </row>
    <row r="58" spans="1:41" ht="34.200000000000003" hidden="1" x14ac:dyDescent="0.3">
      <c r="A58" s="26">
        <v>3529</v>
      </c>
      <c r="B58" s="9"/>
      <c r="C58" s="32"/>
      <c r="D58" s="9"/>
      <c r="E58" s="9" t="str">
        <f>IF($A58="","",IFERROR(_xlfn.XLOOKUP($A58,'2_DOI_Lookup'!$D$2:$D$430,'2_DOI_Lookup'!$E$2:$E$430),"TITLE NOT IN SOURCE"))</f>
        <v>Guidance for Materials 4.0 to interact with a digital twin</v>
      </c>
      <c r="F58" s="26" t="s">
        <v>309</v>
      </c>
      <c r="G58" s="27" t="s">
        <v>312</v>
      </c>
      <c r="H58" s="27" t="s">
        <v>311</v>
      </c>
      <c r="I58" s="27" t="s">
        <v>312</v>
      </c>
      <c r="J58" s="27" t="s">
        <v>311</v>
      </c>
      <c r="K58" s="27" t="s">
        <v>311</v>
      </c>
      <c r="L58" s="28" t="str">
        <f t="shared" si="1"/>
        <v>EXCLUDE</v>
      </c>
      <c r="M58" s="28" t="str">
        <f t="shared" si="2"/>
        <v>Wrong domain (non-AECO)</v>
      </c>
      <c r="N58" s="29"/>
      <c r="O58" s="29"/>
      <c r="P58" s="30"/>
      <c r="Q58" s="30"/>
      <c r="R58" s="30"/>
      <c r="S58" s="28" t="str">
        <f t="shared" si="3"/>
        <v/>
      </c>
      <c r="T58" s="28" t="str">
        <f t="shared" si="4"/>
        <v/>
      </c>
      <c r="U58" s="31"/>
      <c r="V58" s="31"/>
      <c r="W58" s="31"/>
      <c r="X58" s="31"/>
      <c r="Y58" s="28" t="str">
        <f t="shared" si="5"/>
        <v/>
      </c>
      <c r="Z58" s="31"/>
      <c r="AA58" s="31"/>
      <c r="AB58" s="31"/>
      <c r="AC58" s="31"/>
      <c r="AD58" s="31"/>
      <c r="AE58" s="31"/>
      <c r="AF58" s="31"/>
      <c r="AG58" s="15" t="s">
        <v>351</v>
      </c>
      <c r="AH58" s="35"/>
      <c r="AI58" s="35"/>
      <c r="AK58"/>
      <c r="AM58" s="56"/>
      <c r="AN58" s="57"/>
      <c r="AO58" s="63" t="str">
        <f>IF($A58="","",IFERROR(_xlfn.XLOOKUP($A58,'2_DOI_Lookup'!$A$2:$A$430,'2_DOI_Lookup'!$B$2:$B$430),"NOT IN SOURCE"))</f>
        <v>10.1017/dce.2022.23</v>
      </c>
    </row>
    <row r="59" spans="1:41" ht="68.400000000000006" hidden="1" x14ac:dyDescent="0.3">
      <c r="A59" s="26">
        <v>3660</v>
      </c>
      <c r="B59" s="9"/>
      <c r="C59" s="32"/>
      <c r="D59" s="9"/>
      <c r="E59" s="9" t="str">
        <f>IF($A59="","",IFERROR(_xlfn.XLOOKUP($A59,'2_DOI_Lookup'!$D$2:$D$430,'2_DOI_Lookup'!$E$2:$E$430),"TITLE NOT IN SOURCE"))</f>
        <v>On-Site Safety Inspections Through Marker-Less Augmented Reality and Blockchain Notarization of BIM-Based Processes †</v>
      </c>
      <c r="F59" s="26" t="s">
        <v>309</v>
      </c>
      <c r="G59" s="27" t="s">
        <v>311</v>
      </c>
      <c r="H59" s="27" t="s">
        <v>312</v>
      </c>
      <c r="I59" s="27" t="s">
        <v>311</v>
      </c>
      <c r="J59" s="27" t="s">
        <v>311</v>
      </c>
      <c r="K59" s="27" t="s">
        <v>311</v>
      </c>
      <c r="L59" s="28" t="str">
        <f t="shared" si="1"/>
        <v>EXCLUDE</v>
      </c>
      <c r="M59" s="28" t="str">
        <f t="shared" si="2"/>
        <v>Digital Twin not core / buzzword</v>
      </c>
      <c r="N59" s="29"/>
      <c r="O59" s="29"/>
      <c r="P59" s="30"/>
      <c r="Q59" s="30"/>
      <c r="R59" s="30"/>
      <c r="S59" s="28" t="str">
        <f t="shared" si="3"/>
        <v/>
      </c>
      <c r="T59" s="28" t="str">
        <f t="shared" si="4"/>
        <v/>
      </c>
      <c r="U59" s="31"/>
      <c r="V59" s="31"/>
      <c r="W59" s="31"/>
      <c r="X59" s="31"/>
      <c r="Y59" s="28" t="str">
        <f t="shared" si="5"/>
        <v/>
      </c>
      <c r="Z59" s="31"/>
      <c r="AA59" s="31"/>
      <c r="AB59" s="31"/>
      <c r="AC59" s="31"/>
      <c r="AD59" s="31"/>
      <c r="AE59" s="31"/>
      <c r="AF59" s="31"/>
      <c r="AG59" s="15" t="s">
        <v>352</v>
      </c>
      <c r="AH59" s="35"/>
      <c r="AI59" s="35"/>
      <c r="AK59"/>
      <c r="AM59" s="56"/>
      <c r="AN59" s="57"/>
      <c r="AO59" s="63" t="str">
        <f>IF($A59="","",IFERROR(_xlfn.XLOOKUP($A59,'2_DOI_Lookup'!$A$2:$A$430,'2_DOI_Lookup'!$B$2:$B$430),"NOT IN SOURCE"))</f>
        <v>10.3390/buildings15132318</v>
      </c>
    </row>
    <row r="60" spans="1:41" ht="68.400000000000006" hidden="1" x14ac:dyDescent="0.3">
      <c r="A60" s="26">
        <v>3931</v>
      </c>
      <c r="B60" s="9"/>
      <c r="C60" s="32"/>
      <c r="D60" s="9"/>
      <c r="E60" s="9" t="str">
        <f>IF($A60="","",IFERROR(_xlfn.XLOOKUP($A60,'2_DOI_Lookup'!$D$2:$D$430,'2_DOI_Lookup'!$E$2:$E$430),"TITLE NOT IN SOURCE"))</f>
        <v>On-Site Safety Inspections Through Marker-Less Augmented Reality and Blockchain Notarization of BIM-Based Processes</v>
      </c>
      <c r="F60" s="26" t="s">
        <v>310</v>
      </c>
      <c r="G60" s="27" t="s">
        <v>311</v>
      </c>
      <c r="H60" s="27" t="s">
        <v>312</v>
      </c>
      <c r="I60" s="27" t="s">
        <v>311</v>
      </c>
      <c r="J60" s="27" t="s">
        <v>311</v>
      </c>
      <c r="K60" s="27" t="s">
        <v>311</v>
      </c>
      <c r="L60" s="28" t="str">
        <f t="shared" si="1"/>
        <v>EXCLUDE</v>
      </c>
      <c r="M60" s="28" t="str">
        <f t="shared" si="2"/>
        <v>Digital Twin not core / buzzword</v>
      </c>
      <c r="N60" s="29"/>
      <c r="O60" s="29"/>
      <c r="P60" s="30"/>
      <c r="Q60" s="30"/>
      <c r="R60" s="30"/>
      <c r="S60" s="28" t="str">
        <f t="shared" si="3"/>
        <v/>
      </c>
      <c r="T60" s="28" t="str">
        <f t="shared" si="4"/>
        <v/>
      </c>
      <c r="U60" s="31"/>
      <c r="V60" s="31"/>
      <c r="W60" s="31"/>
      <c r="X60" s="31"/>
      <c r="Y60" s="28" t="str">
        <f t="shared" si="5"/>
        <v/>
      </c>
      <c r="Z60" s="31"/>
      <c r="AA60" s="31"/>
      <c r="AB60" s="31"/>
      <c r="AC60" s="31"/>
      <c r="AD60" s="31"/>
      <c r="AE60" s="31"/>
      <c r="AF60" s="31"/>
      <c r="AG60" s="15" t="s">
        <v>353</v>
      </c>
      <c r="AH60" s="35"/>
      <c r="AI60" s="35"/>
      <c r="AK60"/>
      <c r="AM60" s="56"/>
      <c r="AN60" s="57"/>
      <c r="AO60" s="63" t="str">
        <f>IF($A60="","",IFERROR(_xlfn.XLOOKUP($A60,'2_DOI_Lookup'!$A$2:$A$430,'2_DOI_Lookup'!$B$2:$B$430),"NOT IN SOURCE"))</f>
        <v>10.3390/buildings15132318</v>
      </c>
    </row>
    <row r="61" spans="1:41" ht="45.6" hidden="1" x14ac:dyDescent="0.3">
      <c r="A61" s="26">
        <v>3679</v>
      </c>
      <c r="B61" s="9"/>
      <c r="C61" s="32"/>
      <c r="D61" s="9"/>
      <c r="E61" s="9" t="str">
        <f>IF($A61="","",IFERROR(_xlfn.XLOOKUP($A61,'2_DOI_Lookup'!$D$2:$D$430,'2_DOI_Lookup'!$E$2:$E$430),"TITLE NOT IN SOURCE"))</f>
        <v>Intelligent Transportation Systems Using Roadside Infrastructure: A Literature Survey</v>
      </c>
      <c r="F61" s="26" t="s">
        <v>309</v>
      </c>
      <c r="G61" s="27" t="s">
        <v>312</v>
      </c>
      <c r="H61" s="27" t="s">
        <v>312</v>
      </c>
      <c r="I61" s="27" t="s">
        <v>312</v>
      </c>
      <c r="J61" s="27" t="s">
        <v>311</v>
      </c>
      <c r="K61" s="27" t="s">
        <v>311</v>
      </c>
      <c r="L61" s="28" t="str">
        <f t="shared" si="1"/>
        <v>EXCLUDE</v>
      </c>
      <c r="M61" s="28" t="str">
        <f t="shared" si="2"/>
        <v>Wrong domain (non-AECO)</v>
      </c>
      <c r="N61" s="29"/>
      <c r="O61" s="29"/>
      <c r="P61" s="30"/>
      <c r="Q61" s="30"/>
      <c r="R61" s="30"/>
      <c r="S61" s="28" t="str">
        <f t="shared" si="3"/>
        <v/>
      </c>
      <c r="T61" s="28" t="str">
        <f t="shared" si="4"/>
        <v/>
      </c>
      <c r="U61" s="31"/>
      <c r="V61" s="31"/>
      <c r="W61" s="31"/>
      <c r="X61" s="31"/>
      <c r="Y61" s="28" t="str">
        <f t="shared" si="5"/>
        <v/>
      </c>
      <c r="Z61" s="31"/>
      <c r="AA61" s="31"/>
      <c r="AB61" s="31"/>
      <c r="AC61" s="31"/>
      <c r="AD61" s="31"/>
      <c r="AE61" s="31"/>
      <c r="AF61" s="31"/>
      <c r="AG61" s="15" t="s">
        <v>354</v>
      </c>
      <c r="AH61" s="35"/>
      <c r="AI61" s="35"/>
      <c r="AK61"/>
      <c r="AM61" s="56"/>
      <c r="AN61" s="57"/>
      <c r="AO61" s="63" t="str">
        <f>IF($A61="","",IFERROR(_xlfn.XLOOKUP($A61,'2_DOI_Lookup'!$A$2:$A$430,'2_DOI_Lookup'!$B$2:$B$430),"NOT IN SOURCE"))</f>
        <v>10.1109/TITS.2023.3343434</v>
      </c>
    </row>
    <row r="62" spans="1:41" ht="57" hidden="1" x14ac:dyDescent="0.3">
      <c r="A62" s="26">
        <v>3651</v>
      </c>
      <c r="B62" s="9"/>
      <c r="C62" s="32"/>
      <c r="D62" s="9"/>
      <c r="E62" s="9" t="str">
        <f>IF($A62="","",IFERROR(_xlfn.XLOOKUP($A62,'2_DOI_Lookup'!$D$2:$D$430,'2_DOI_Lookup'!$E$2:$E$430),"TITLE NOT IN SOURCE"))</f>
        <v>The role of the foundation flexibility on the seismic response of a modern tall building: Vertically incident plane waves</v>
      </c>
      <c r="F62" s="26" t="s">
        <v>309</v>
      </c>
      <c r="G62" s="27" t="s">
        <v>311</v>
      </c>
      <c r="H62" s="27" t="s">
        <v>312</v>
      </c>
      <c r="I62" s="27" t="s">
        <v>311</v>
      </c>
      <c r="J62" s="27" t="s">
        <v>311</v>
      </c>
      <c r="K62" s="27" t="s">
        <v>311</v>
      </c>
      <c r="L62" s="28" t="str">
        <f t="shared" si="1"/>
        <v>EXCLUDE</v>
      </c>
      <c r="M62" s="28" t="str">
        <f t="shared" si="2"/>
        <v>Digital Twin not core / buzzword</v>
      </c>
      <c r="N62" s="29"/>
      <c r="O62" s="29"/>
      <c r="P62" s="30"/>
      <c r="Q62" s="30"/>
      <c r="R62" s="30"/>
      <c r="S62" s="28" t="str">
        <f t="shared" si="3"/>
        <v/>
      </c>
      <c r="T62" s="28" t="str">
        <f t="shared" si="4"/>
        <v/>
      </c>
      <c r="U62" s="31"/>
      <c r="V62" s="31"/>
      <c r="W62" s="31"/>
      <c r="X62" s="31"/>
      <c r="Y62" s="28" t="str">
        <f t="shared" si="5"/>
        <v/>
      </c>
      <c r="Z62" s="31"/>
      <c r="AA62" s="31"/>
      <c r="AB62" s="31"/>
      <c r="AC62" s="31"/>
      <c r="AD62" s="31"/>
      <c r="AE62" s="31"/>
      <c r="AF62" s="31"/>
      <c r="AG62" s="15" t="s">
        <v>355</v>
      </c>
      <c r="AH62" s="35"/>
      <c r="AI62" s="35"/>
      <c r="AK62"/>
      <c r="AM62" s="56"/>
      <c r="AN62" s="57"/>
      <c r="AO62" s="63" t="str">
        <f>IF($A62="","",IFERROR(_xlfn.XLOOKUP($A62,'2_DOI_Lookup'!$A$2:$A$430,'2_DOI_Lookup'!$B$2:$B$430),"NOT IN SOURCE"))</f>
        <v>10.1016/j.soildyn.2024.108819</v>
      </c>
    </row>
    <row r="63" spans="1:41" ht="68.400000000000006" hidden="1" x14ac:dyDescent="0.3">
      <c r="A63" s="26">
        <v>3830</v>
      </c>
      <c r="B63" s="9"/>
      <c r="C63" s="32"/>
      <c r="D63" s="9"/>
      <c r="E63" s="9" t="str">
        <f>IF($A63="","",IFERROR(_xlfn.XLOOKUP($A63,'2_DOI_Lookup'!$D$2:$D$430,'2_DOI_Lookup'!$E$2:$E$430),"TITLE NOT IN SOURCE"))</f>
        <v>For how large soil shear wave velocity the soil-structure interaction effects on a tall building can be neglected? – A case study</v>
      </c>
      <c r="F63" s="26" t="s">
        <v>309</v>
      </c>
      <c r="G63" s="27" t="s">
        <v>311</v>
      </c>
      <c r="H63" s="27" t="s">
        <v>312</v>
      </c>
      <c r="I63" s="27" t="s">
        <v>311</v>
      </c>
      <c r="J63" s="27" t="s">
        <v>311</v>
      </c>
      <c r="K63" s="27" t="s">
        <v>311</v>
      </c>
      <c r="L63" s="28" t="str">
        <f t="shared" si="1"/>
        <v>EXCLUDE</v>
      </c>
      <c r="M63" s="28" t="str">
        <f t="shared" si="2"/>
        <v>Digital Twin not core / buzzword</v>
      </c>
      <c r="N63" s="29"/>
      <c r="O63" s="29"/>
      <c r="P63" s="30"/>
      <c r="Q63" s="30"/>
      <c r="R63" s="30"/>
      <c r="S63" s="28" t="str">
        <f t="shared" si="3"/>
        <v/>
      </c>
      <c r="T63" s="28" t="str">
        <f t="shared" si="4"/>
        <v/>
      </c>
      <c r="U63" s="31"/>
      <c r="V63" s="31"/>
      <c r="W63" s="31"/>
      <c r="X63" s="31"/>
      <c r="Y63" s="28" t="str">
        <f t="shared" si="5"/>
        <v/>
      </c>
      <c r="Z63" s="31"/>
      <c r="AA63" s="31"/>
      <c r="AB63" s="31"/>
      <c r="AC63" s="31"/>
      <c r="AD63" s="31"/>
      <c r="AE63" s="31"/>
      <c r="AF63" s="31"/>
      <c r="AG63" s="15" t="s">
        <v>356</v>
      </c>
      <c r="AH63" s="35"/>
      <c r="AI63" s="35"/>
      <c r="AK63"/>
      <c r="AM63" s="56"/>
      <c r="AN63" s="57"/>
      <c r="AO63" s="63" t="str">
        <f>IF($A63="","",IFERROR(_xlfn.XLOOKUP($A63,'2_DOI_Lookup'!$A$2:$A$430,'2_DOI_Lookup'!$B$2:$B$430),"NOT IN SOURCE"))</f>
        <v>10.1016/j.soildyn.2024.108845</v>
      </c>
    </row>
    <row r="64" spans="1:41" ht="57" hidden="1" x14ac:dyDescent="0.3">
      <c r="A64" s="64">
        <v>3793</v>
      </c>
      <c r="B64" s="65"/>
      <c r="C64" s="66"/>
      <c r="D64" s="65"/>
      <c r="E64" s="65" t="str">
        <f>IF($A64="","",IFERROR(_xlfn.XLOOKUP($A64,'2_DOI_Lookup'!$D$2:$D$430,'2_DOI_Lookup'!$E$2:$E$430),"TITLE NOT IN SOURCE"))</f>
        <v>Online traffic load identification of high-speed railway bridge using time integration of strain monitoring data</v>
      </c>
      <c r="F64" s="64" t="s">
        <v>309</v>
      </c>
      <c r="G64" s="67" t="s">
        <v>311</v>
      </c>
      <c r="H64" s="67" t="s">
        <v>312</v>
      </c>
      <c r="I64" s="67" t="s">
        <v>311</v>
      </c>
      <c r="J64" s="67" t="s">
        <v>311</v>
      </c>
      <c r="K64" s="67" t="s">
        <v>311</v>
      </c>
      <c r="L64" s="68" t="str">
        <f t="shared" si="1"/>
        <v>EXCLUDE</v>
      </c>
      <c r="M64" s="68" t="str">
        <f t="shared" si="2"/>
        <v>Digital Twin not core / buzzword</v>
      </c>
      <c r="N64" s="69"/>
      <c r="O64" s="69"/>
      <c r="P64" s="70"/>
      <c r="Q64" s="70"/>
      <c r="R64" s="70"/>
      <c r="S64" s="68" t="str">
        <f t="shared" si="3"/>
        <v/>
      </c>
      <c r="T64" s="68" t="str">
        <f t="shared" si="4"/>
        <v/>
      </c>
      <c r="U64" s="71"/>
      <c r="V64" s="71"/>
      <c r="W64" s="71"/>
      <c r="X64" s="71"/>
      <c r="Y64" s="68" t="str">
        <f t="shared" si="5"/>
        <v/>
      </c>
      <c r="Z64" s="71"/>
      <c r="AA64" s="71"/>
      <c r="AB64" s="71"/>
      <c r="AC64" s="71"/>
      <c r="AD64" s="71"/>
      <c r="AE64" s="71"/>
      <c r="AF64" s="71"/>
      <c r="AG64" s="72" t="s">
        <v>357</v>
      </c>
      <c r="AH64" s="35"/>
      <c r="AI64" s="35"/>
      <c r="AK64"/>
      <c r="AM64" s="56"/>
      <c r="AN64" s="57"/>
      <c r="AO64" s="63" t="str">
        <f>IF($A64="","",IFERROR(_xlfn.XLOOKUP($A64,'2_DOI_Lookup'!$A$2:$A$430,'2_DOI_Lookup'!$B$2:$B$430),"NOT IN SOURCE"))</f>
        <v>10.1016/j.measurement.2026.120781</v>
      </c>
    </row>
    <row r="65" spans="1:41" ht="91.2" x14ac:dyDescent="0.3">
      <c r="A65" s="26">
        <v>3802</v>
      </c>
      <c r="B65" s="9" t="s">
        <v>184</v>
      </c>
      <c r="C65" s="32">
        <v>2022</v>
      </c>
      <c r="D65" s="9"/>
      <c r="E65" s="9" t="str">
        <f>IF($A65="","",IFERROR(_xlfn.XLOOKUP($A65,'2_DOI_Lookup'!$D$2:$D$430,'2_DOI_Lookup'!$E$2:$E$430),"TITLE NOT IN SOURCE"))</f>
        <v>Digital Twin System of Bridges Group Based on Machine Vision Fusion Monitoring of Bridge Traffic Load</v>
      </c>
      <c r="F65" s="26" t="s">
        <v>309</v>
      </c>
      <c r="G65" s="27" t="s">
        <v>311</v>
      </c>
      <c r="H65" s="27" t="s">
        <v>311</v>
      </c>
      <c r="I65" s="27" t="s">
        <v>311</v>
      </c>
      <c r="J65" s="27" t="s">
        <v>311</v>
      </c>
      <c r="K65" s="27" t="s">
        <v>311</v>
      </c>
      <c r="L65" s="28" t="str">
        <f t="shared" si="1"/>
        <v>INCLUDE</v>
      </c>
      <c r="M65" s="28" t="str">
        <f t="shared" si="2"/>
        <v/>
      </c>
      <c r="N65" s="29" t="s">
        <v>49</v>
      </c>
      <c r="O65" s="29" t="s">
        <v>49</v>
      </c>
      <c r="P65" s="30" t="s">
        <v>49</v>
      </c>
      <c r="Q65" s="30" t="s">
        <v>49</v>
      </c>
      <c r="R65" s="30" t="s">
        <v>49</v>
      </c>
      <c r="S65" s="28" t="str">
        <f t="shared" si="3"/>
        <v>INCLUDE</v>
      </c>
      <c r="T65" s="28" t="str">
        <f t="shared" si="4"/>
        <v/>
      </c>
      <c r="U65" s="31" t="s">
        <v>61</v>
      </c>
      <c r="V65" s="31">
        <v>0</v>
      </c>
      <c r="W65" s="31">
        <v>0</v>
      </c>
      <c r="X65" s="31">
        <v>1</v>
      </c>
      <c r="Y65" s="28" t="str">
        <f t="shared" si="5"/>
        <v>Single</v>
      </c>
      <c r="Z65" s="31" t="s">
        <v>9</v>
      </c>
      <c r="AA65" s="31" t="s">
        <v>53</v>
      </c>
      <c r="AB65" s="31" t="s">
        <v>54</v>
      </c>
      <c r="AC65" s="31" t="s">
        <v>64</v>
      </c>
      <c r="AD65" s="31" t="s">
        <v>72</v>
      </c>
      <c r="AE65" s="31">
        <v>4</v>
      </c>
      <c r="AF65" s="31" t="s">
        <v>84</v>
      </c>
      <c r="AG65" s="15" t="s">
        <v>358</v>
      </c>
      <c r="AH65" s="97" t="s">
        <v>784</v>
      </c>
      <c r="AI65" s="97" t="s">
        <v>785</v>
      </c>
      <c r="AJ65" s="98" t="s">
        <v>1081</v>
      </c>
      <c r="AK65" s="98" t="s">
        <v>1106</v>
      </c>
      <c r="AL65" s="98" t="s">
        <v>1083</v>
      </c>
      <c r="AM65" s="99"/>
      <c r="AN65" s="100" t="s">
        <v>1303</v>
      </c>
      <c r="AO65" s="101" t="str">
        <f>IF($A65="","",IFERROR(_xlfn.XLOOKUP($A65,'2_DOI_Lookup'!$A$2:$A$430,'2_DOI_Lookup'!$B$2:$B$430),"NOT IN SOURCE"))</f>
        <v>10.1109/TITS.2021.3130025</v>
      </c>
    </row>
    <row r="66" spans="1:41" ht="68.400000000000006" hidden="1" x14ac:dyDescent="0.3">
      <c r="A66" s="73">
        <v>4007</v>
      </c>
      <c r="B66" s="74"/>
      <c r="C66" s="75"/>
      <c r="D66" s="74"/>
      <c r="E66" s="74" t="str">
        <f>IF($A66="","",IFERROR(_xlfn.XLOOKUP($A66,'2_DOI_Lookup'!$D$2:$D$430,'2_DOI_Lookup'!$E$2:$E$430),"TITLE NOT IN SOURCE"))</f>
        <v>Assessing the Suitability of Damage Indexes for Digital Twin Applications in RC Buildings Considering Masonry Infills</v>
      </c>
      <c r="F66" s="73" t="s">
        <v>310</v>
      </c>
      <c r="G66" s="76" t="s">
        <v>311</v>
      </c>
      <c r="H66" s="76" t="s">
        <v>312</v>
      </c>
      <c r="I66" s="76" t="s">
        <v>311</v>
      </c>
      <c r="J66" s="76" t="s">
        <v>311</v>
      </c>
      <c r="K66" s="76" t="s">
        <v>311</v>
      </c>
      <c r="L66" s="77" t="str">
        <f t="shared" si="1"/>
        <v>EXCLUDE</v>
      </c>
      <c r="M66" s="77" t="str">
        <f t="shared" si="2"/>
        <v>Digital Twin not core / buzzword</v>
      </c>
      <c r="N66" s="78"/>
      <c r="O66" s="78"/>
      <c r="P66" s="79"/>
      <c r="Q66" s="79"/>
      <c r="R66" s="79"/>
      <c r="S66" s="77" t="str">
        <f t="shared" si="3"/>
        <v/>
      </c>
      <c r="T66" s="77" t="str">
        <f t="shared" si="4"/>
        <v/>
      </c>
      <c r="U66" s="80"/>
      <c r="V66" s="80"/>
      <c r="W66" s="80"/>
      <c r="X66" s="80"/>
      <c r="Y66" s="77" t="str">
        <f t="shared" si="5"/>
        <v/>
      </c>
      <c r="Z66" s="80"/>
      <c r="AA66" s="80"/>
      <c r="AB66" s="80"/>
      <c r="AC66" s="80"/>
      <c r="AD66" s="80"/>
      <c r="AE66" s="80"/>
      <c r="AF66" s="80"/>
      <c r="AG66" s="81" t="s">
        <v>359</v>
      </c>
      <c r="AH66" s="35"/>
      <c r="AI66" s="35"/>
      <c r="AK66"/>
      <c r="AM66" s="56"/>
      <c r="AN66" s="57"/>
      <c r="AO66" s="63" t="str">
        <f>IF($A66="","",IFERROR(_xlfn.XLOOKUP($A66,'2_DOI_Lookup'!$A$2:$A$430,'2_DOI_Lookup'!$B$2:$B$430),"NOT IN SOURCE"))</f>
        <v>10.3390/app15041999</v>
      </c>
    </row>
    <row r="67" spans="1:41" ht="68.400000000000006" hidden="1" x14ac:dyDescent="0.3">
      <c r="A67" s="26">
        <v>3708</v>
      </c>
      <c r="B67" s="9"/>
      <c r="C67" s="32"/>
      <c r="D67" s="9"/>
      <c r="E67" s="9" t="str">
        <f>IF($A67="","",IFERROR(_xlfn.XLOOKUP($A67,'2_DOI_Lookup'!$D$2:$D$430,'2_DOI_Lookup'!$E$2:$E$430),"TITLE NOT IN SOURCE"))</f>
        <v>The role of the marine research infrastructures in the European marine observation landscape: present and future perspectives</v>
      </c>
      <c r="F67" s="26" t="s">
        <v>309</v>
      </c>
      <c r="G67" s="27" t="s">
        <v>312</v>
      </c>
      <c r="H67" s="27" t="s">
        <v>312</v>
      </c>
      <c r="I67" s="27" t="s">
        <v>312</v>
      </c>
      <c r="J67" s="27" t="s">
        <v>311</v>
      </c>
      <c r="K67" s="27" t="s">
        <v>311</v>
      </c>
      <c r="L67" s="28" t="str">
        <f t="shared" si="1"/>
        <v>EXCLUDE</v>
      </c>
      <c r="M67" s="28" t="str">
        <f t="shared" si="2"/>
        <v>Wrong domain (non-AECO)</v>
      </c>
      <c r="N67" s="29"/>
      <c r="O67" s="29"/>
      <c r="P67" s="30"/>
      <c r="Q67" s="30"/>
      <c r="R67" s="30"/>
      <c r="S67" s="28" t="str">
        <f t="shared" si="3"/>
        <v/>
      </c>
      <c r="T67" s="28" t="str">
        <f t="shared" si="4"/>
        <v/>
      </c>
      <c r="U67" s="31"/>
      <c r="V67" s="31"/>
      <c r="W67" s="31"/>
      <c r="X67" s="31"/>
      <c r="Y67" s="28" t="str">
        <f t="shared" si="5"/>
        <v/>
      </c>
      <c r="Z67" s="31"/>
      <c r="AA67" s="31"/>
      <c r="AB67" s="31"/>
      <c r="AC67" s="31"/>
      <c r="AD67" s="31"/>
      <c r="AE67" s="31"/>
      <c r="AF67" s="31"/>
      <c r="AG67" s="15" t="s">
        <v>360</v>
      </c>
      <c r="AH67" s="35"/>
      <c r="AI67" s="35"/>
      <c r="AK67"/>
      <c r="AM67" s="56"/>
      <c r="AN67" s="57"/>
      <c r="AO67" s="63" t="str">
        <f>IF($A67="","",IFERROR(_xlfn.XLOOKUP($A67,'2_DOI_Lookup'!$A$2:$A$430,'2_DOI_Lookup'!$B$2:$B$430),"NOT IN SOURCE"))</f>
        <v>10.3389/fmars.2023.1047251</v>
      </c>
    </row>
    <row r="68" spans="1:41" ht="57" hidden="1" x14ac:dyDescent="0.3">
      <c r="A68" s="64">
        <v>3631</v>
      </c>
      <c r="B68" s="65"/>
      <c r="C68" s="66"/>
      <c r="D68" s="65"/>
      <c r="E68" s="65" t="str">
        <f>IF($A68="","",IFERROR(_xlfn.XLOOKUP($A68,'2_DOI_Lookup'!$D$2:$D$430,'2_DOI_Lookup'!$E$2:$E$430),"TITLE NOT IN SOURCE"))</f>
        <v>Enhancing Operational Resilience of Critical Infrastructure Processes Through Chaos Engineering</v>
      </c>
      <c r="F68" s="64" t="s">
        <v>309</v>
      </c>
      <c r="G68" s="67" t="s">
        <v>312</v>
      </c>
      <c r="H68" s="67" t="s">
        <v>311</v>
      </c>
      <c r="I68" s="67" t="s">
        <v>312</v>
      </c>
      <c r="J68" s="67" t="s">
        <v>311</v>
      </c>
      <c r="K68" s="67" t="s">
        <v>311</v>
      </c>
      <c r="L68" s="68" t="str">
        <f t="shared" si="1"/>
        <v>EXCLUDE</v>
      </c>
      <c r="M68" s="68" t="str">
        <f t="shared" si="2"/>
        <v>Wrong domain (non-AECO)</v>
      </c>
      <c r="N68" s="69"/>
      <c r="O68" s="69"/>
      <c r="P68" s="70"/>
      <c r="Q68" s="70"/>
      <c r="R68" s="70"/>
      <c r="S68" s="68" t="str">
        <f t="shared" si="3"/>
        <v/>
      </c>
      <c r="T68" s="68" t="str">
        <f t="shared" si="4"/>
        <v/>
      </c>
      <c r="U68" s="71"/>
      <c r="V68" s="71"/>
      <c r="W68" s="71"/>
      <c r="X68" s="71"/>
      <c r="Y68" s="68" t="str">
        <f t="shared" si="5"/>
        <v/>
      </c>
      <c r="Z68" s="71"/>
      <c r="AA68" s="71"/>
      <c r="AB68" s="71"/>
      <c r="AC68" s="71"/>
      <c r="AD68" s="71"/>
      <c r="AE68" s="71"/>
      <c r="AF68" s="71"/>
      <c r="AG68" s="72" t="s">
        <v>361</v>
      </c>
      <c r="AH68" s="35"/>
      <c r="AI68" s="35"/>
      <c r="AK68"/>
      <c r="AM68" s="56"/>
      <c r="AN68" s="57"/>
      <c r="AO68" s="63" t="str">
        <f>IF($A68="","",IFERROR(_xlfn.XLOOKUP($A68,'2_DOI_Lookup'!$A$2:$A$430,'2_DOI_Lookup'!$B$2:$B$430),"NOT IN SOURCE"))</f>
        <v>10.1109/ACCESS.2023.3316028</v>
      </c>
    </row>
    <row r="69" spans="1:41" ht="91.2" x14ac:dyDescent="0.3">
      <c r="A69" s="26">
        <v>3626</v>
      </c>
      <c r="B69" s="9" t="s">
        <v>185</v>
      </c>
      <c r="C69" s="32">
        <v>2026</v>
      </c>
      <c r="D69" s="9"/>
      <c r="E69" s="9" t="str">
        <f>IF($A69="","",IFERROR(_xlfn.XLOOKUP($A69,'2_DOI_Lookup'!$D$2:$D$430,'2_DOI_Lookup'!$E$2:$E$430),"TITLE NOT IN SOURCE"))</f>
        <v>Interconnected digital twins of subway stations for decision support systems</v>
      </c>
      <c r="F69" s="26" t="s">
        <v>309</v>
      </c>
      <c r="G69" s="27" t="s">
        <v>311</v>
      </c>
      <c r="H69" s="27" t="s">
        <v>311</v>
      </c>
      <c r="I69" s="27" t="s">
        <v>311</v>
      </c>
      <c r="J69" s="27" t="s">
        <v>311</v>
      </c>
      <c r="K69" s="27" t="s">
        <v>311</v>
      </c>
      <c r="L69" s="28" t="str">
        <f t="shared" ref="L69:L132" si="6">IF(COUNTBLANK(G69:K69)=5,"",IF(COUNTIF(G69:K69,"No")&gt;0,"EXCLUDE","INCLUDE"))</f>
        <v>INCLUDE</v>
      </c>
      <c r="M69" s="28" t="str">
        <f t="shared" ref="M69:M132" si="7">IF(L69&lt;&gt;"EXCLUDE","",IF(G69="No","Wrong domain (non-AECO)",IF(H69="No","Digital Twin not core / buzzword",IF(I69="No","No Design for Safety/Quality/PtD",IF(J69="No","Wrong publication type",IF(K69="No","Non-English",""))))))</f>
        <v/>
      </c>
      <c r="N69" s="29" t="s">
        <v>49</v>
      </c>
      <c r="O69" s="29" t="s">
        <v>49</v>
      </c>
      <c r="P69" s="30" t="s">
        <v>49</v>
      </c>
      <c r="Q69" s="30" t="s">
        <v>49</v>
      </c>
      <c r="R69" s="30" t="s">
        <v>49</v>
      </c>
      <c r="S69" s="28" t="str">
        <f t="shared" ref="S69:S132" si="8">IF(N69&lt;&gt;"Yes","",IF(COUNTBLANK(P69:R69)=3,"",IF(COUNTIF(P69:R69,"No")&gt;0,"EXCLUDE","INCLUDE")))</f>
        <v>INCLUDE</v>
      </c>
      <c r="T69" s="28" t="str">
        <f t="shared" ref="T69:T132" si="9">IF(S69&lt;&gt;"EXCLUDE","",IF(P69="No","Digital Twin mentioned only, not the subject",IF(Q69="No","No Design for Safety/Quality in full text",IF(R69="No","Methodology not codable",""))))</f>
        <v/>
      </c>
      <c r="U69" s="31" t="s">
        <v>61</v>
      </c>
      <c r="V69" s="31">
        <v>0</v>
      </c>
      <c r="W69" s="31">
        <v>0</v>
      </c>
      <c r="X69" s="31">
        <v>1</v>
      </c>
      <c r="Y69" s="28" t="str">
        <f t="shared" ref="Y69:Y132" si="10">IF(SUM(V69:X69)=0,"",IF(SUM(V69:X69)&gt;=2,"Multi","Single"))</f>
        <v>Single</v>
      </c>
      <c r="Z69" s="31" t="s">
        <v>9</v>
      </c>
      <c r="AA69" s="31" t="s">
        <v>53</v>
      </c>
      <c r="AB69" s="31" t="s">
        <v>54</v>
      </c>
      <c r="AC69" s="31" t="s">
        <v>64</v>
      </c>
      <c r="AD69" s="31" t="s">
        <v>72</v>
      </c>
      <c r="AE69" s="31">
        <v>4</v>
      </c>
      <c r="AF69" s="31" t="s">
        <v>84</v>
      </c>
      <c r="AG69" s="15" t="s">
        <v>362</v>
      </c>
      <c r="AH69" s="97" t="s">
        <v>786</v>
      </c>
      <c r="AI69" s="97" t="s">
        <v>787</v>
      </c>
      <c r="AJ69" s="98" t="s">
        <v>1079</v>
      </c>
      <c r="AK69" s="98" t="s">
        <v>1107</v>
      </c>
      <c r="AL69" s="98" t="s">
        <v>1084</v>
      </c>
      <c r="AM69" s="99"/>
      <c r="AN69" s="100" t="s">
        <v>1275</v>
      </c>
      <c r="AO69" s="101" t="str">
        <f>IF($A69="","",IFERROR(_xlfn.XLOOKUP($A69,'2_DOI_Lookup'!$A$2:$A$430,'2_DOI_Lookup'!$B$2:$B$430),"NOT IN SOURCE"))</f>
        <v>10.1016/j.rineng.2026.110745</v>
      </c>
    </row>
    <row r="70" spans="1:41" ht="91.2" x14ac:dyDescent="0.3">
      <c r="A70" s="26">
        <v>3967</v>
      </c>
      <c r="B70" s="9" t="s">
        <v>186</v>
      </c>
      <c r="C70" s="32">
        <v>2025</v>
      </c>
      <c r="D70" s="9"/>
      <c r="E70" s="9" t="str">
        <f>IF($A70="","",IFERROR(_xlfn.XLOOKUP($A70,'2_DOI_Lookup'!$D$2:$D$430,'2_DOI_Lookup'!$E$2:$E$430),"TITLE NOT IN SOURCE"))</f>
        <v>Structural Analysis of Construction Risk Management Assessment Model Based on Digital Twins</v>
      </c>
      <c r="F70" s="26" t="s">
        <v>310</v>
      </c>
      <c r="G70" s="27" t="s">
        <v>311</v>
      </c>
      <c r="H70" s="27" t="s">
        <v>311</v>
      </c>
      <c r="I70" s="27" t="s">
        <v>311</v>
      </c>
      <c r="J70" s="27" t="s">
        <v>311</v>
      </c>
      <c r="K70" s="27" t="s">
        <v>311</v>
      </c>
      <c r="L70" s="28" t="str">
        <f t="shared" si="6"/>
        <v>INCLUDE</v>
      </c>
      <c r="M70" s="28" t="str">
        <f t="shared" si="7"/>
        <v/>
      </c>
      <c r="N70" s="29" t="s">
        <v>49</v>
      </c>
      <c r="O70" s="29" t="s">
        <v>49</v>
      </c>
      <c r="P70" s="30" t="s">
        <v>49</v>
      </c>
      <c r="Q70" s="30" t="s">
        <v>49</v>
      </c>
      <c r="R70" s="30" t="s">
        <v>49</v>
      </c>
      <c r="S70" s="28" t="str">
        <f t="shared" si="8"/>
        <v>INCLUDE</v>
      </c>
      <c r="T70" s="28" t="str">
        <f t="shared" si="9"/>
        <v/>
      </c>
      <c r="U70" s="31" t="s">
        <v>61</v>
      </c>
      <c r="V70" s="31">
        <v>0</v>
      </c>
      <c r="W70" s="31">
        <v>1</v>
      </c>
      <c r="X70" s="31">
        <v>0</v>
      </c>
      <c r="Y70" s="28" t="str">
        <f t="shared" si="10"/>
        <v>Single</v>
      </c>
      <c r="Z70" s="31" t="s">
        <v>69</v>
      </c>
      <c r="AA70" s="31" t="s">
        <v>53</v>
      </c>
      <c r="AB70" s="31" t="s">
        <v>92</v>
      </c>
      <c r="AC70" s="31" t="s">
        <v>64</v>
      </c>
      <c r="AD70" s="31" t="s">
        <v>72</v>
      </c>
      <c r="AE70" s="31">
        <v>3</v>
      </c>
      <c r="AF70" s="31" t="s">
        <v>84</v>
      </c>
      <c r="AG70" s="15" t="s">
        <v>697</v>
      </c>
      <c r="AH70" s="97" t="s">
        <v>788</v>
      </c>
      <c r="AI70" s="97" t="s">
        <v>789</v>
      </c>
      <c r="AJ70" s="98" t="s">
        <v>82</v>
      </c>
      <c r="AK70" s="98" t="s">
        <v>1108</v>
      </c>
      <c r="AL70" s="98" t="s">
        <v>1083</v>
      </c>
      <c r="AM70" s="99"/>
      <c r="AN70" s="100" t="s">
        <v>1403</v>
      </c>
      <c r="AO70" s="101" t="str">
        <f>IF($A70="","",IFERROR(_xlfn.XLOOKUP($A70,'2_DOI_Lookup'!$A$2:$A$430,'2_DOI_Lookup'!$B$2:$B$430),"NOT IN SOURCE"))</f>
        <v>10.21315/jcdc.2025.30.s2.10</v>
      </c>
    </row>
    <row r="71" spans="1:41" ht="86.4" x14ac:dyDescent="0.3">
      <c r="A71" s="26">
        <v>4036</v>
      </c>
      <c r="B71" s="9" t="s">
        <v>186</v>
      </c>
      <c r="C71" s="32">
        <v>2025</v>
      </c>
      <c r="D71" s="9"/>
      <c r="E71" s="9" t="str">
        <f>IF($A71="","",IFERROR(_xlfn.XLOOKUP($A71,'2_DOI_Lookup'!$D$2:$D$430,'2_DOI_Lookup'!$E$2:$E$430),"TITLE NOT IN SOURCE"))</f>
        <v>Real-time bridge disaster management: Enabling technology and application framework</v>
      </c>
      <c r="F71" s="26" t="s">
        <v>310</v>
      </c>
      <c r="G71" s="27" t="s">
        <v>311</v>
      </c>
      <c r="H71" s="27" t="s">
        <v>311</v>
      </c>
      <c r="I71" s="27" t="s">
        <v>311</v>
      </c>
      <c r="J71" s="27" t="s">
        <v>311</v>
      </c>
      <c r="K71" s="27" t="s">
        <v>311</v>
      </c>
      <c r="L71" s="28" t="str">
        <f t="shared" si="6"/>
        <v>INCLUDE</v>
      </c>
      <c r="M71" s="28" t="str">
        <f t="shared" si="7"/>
        <v/>
      </c>
      <c r="N71" s="29" t="s">
        <v>49</v>
      </c>
      <c r="O71" s="29" t="s">
        <v>49</v>
      </c>
      <c r="P71" s="30" t="s">
        <v>49</v>
      </c>
      <c r="Q71" s="30" t="s">
        <v>49</v>
      </c>
      <c r="R71" s="30" t="s">
        <v>49</v>
      </c>
      <c r="S71" s="28" t="str">
        <f t="shared" si="8"/>
        <v>INCLUDE</v>
      </c>
      <c r="T71" s="28" t="str">
        <f t="shared" si="9"/>
        <v/>
      </c>
      <c r="U71" s="31" t="s">
        <v>52</v>
      </c>
      <c r="V71" s="31">
        <v>0</v>
      </c>
      <c r="W71" s="31">
        <v>0</v>
      </c>
      <c r="X71" s="31">
        <v>1</v>
      </c>
      <c r="Y71" s="28" t="str">
        <f t="shared" si="10"/>
        <v>Single</v>
      </c>
      <c r="Z71" s="31" t="s">
        <v>9</v>
      </c>
      <c r="AA71" s="31" t="s">
        <v>53</v>
      </c>
      <c r="AB71" s="31" t="s">
        <v>91</v>
      </c>
      <c r="AC71" s="31" t="s">
        <v>64</v>
      </c>
      <c r="AD71" s="31" t="s">
        <v>56</v>
      </c>
      <c r="AE71" s="31">
        <v>3</v>
      </c>
      <c r="AF71" s="31" t="s">
        <v>57</v>
      </c>
      <c r="AG71" s="15" t="s">
        <v>363</v>
      </c>
      <c r="AH71" s="97" t="s">
        <v>790</v>
      </c>
      <c r="AI71" s="97" t="s">
        <v>791</v>
      </c>
      <c r="AJ71" s="98" t="s">
        <v>82</v>
      </c>
      <c r="AK71" s="98" t="s">
        <v>1109</v>
      </c>
      <c r="AL71" s="98" t="s">
        <v>1083</v>
      </c>
      <c r="AM71" s="99"/>
      <c r="AN71" s="100" t="s">
        <v>1442</v>
      </c>
      <c r="AO71" s="101" t="str">
        <f>IF($A71="","",IFERROR(_xlfn.XLOOKUP($A71,'2_DOI_Lookup'!$A$2:$A$430,'2_DOI_Lookup'!$B$2:$B$430),"NOT IN SOURCE"))</f>
        <v>10.1016/j.autcon.2025.106150</v>
      </c>
    </row>
    <row r="72" spans="1:41" ht="114" x14ac:dyDescent="0.3">
      <c r="A72" s="26">
        <v>3760</v>
      </c>
      <c r="B72" s="9" t="s">
        <v>187</v>
      </c>
      <c r="C72" s="32">
        <v>2026</v>
      </c>
      <c r="D72" s="9"/>
      <c r="E72" s="9" t="str">
        <f>IF($A72="","",IFERROR(_xlfn.XLOOKUP($A72,'2_DOI_Lookup'!$D$2:$D$430,'2_DOI_Lookup'!$E$2:$E$430),"TITLE NOT IN SOURCE"))</f>
        <v>Integrating LLMs and Digital Twins for Adaptive Multi-Robot Task Allocation in Construction</v>
      </c>
      <c r="F72" s="26" t="s">
        <v>309</v>
      </c>
      <c r="G72" s="27" t="s">
        <v>311</v>
      </c>
      <c r="H72" s="27" t="s">
        <v>311</v>
      </c>
      <c r="I72" s="27" t="s">
        <v>311</v>
      </c>
      <c r="J72" s="27" t="s">
        <v>311</v>
      </c>
      <c r="K72" s="27" t="s">
        <v>311</v>
      </c>
      <c r="L72" s="28" t="str">
        <f t="shared" si="6"/>
        <v>INCLUDE</v>
      </c>
      <c r="M72" s="28" t="str">
        <f t="shared" si="7"/>
        <v/>
      </c>
      <c r="N72" s="29" t="s">
        <v>49</v>
      </c>
      <c r="O72" s="29" t="s">
        <v>49</v>
      </c>
      <c r="P72" s="30" t="s">
        <v>49</v>
      </c>
      <c r="Q72" s="30" t="s">
        <v>49</v>
      </c>
      <c r="R72" s="30" t="s">
        <v>49</v>
      </c>
      <c r="S72" s="28" t="str">
        <f t="shared" si="8"/>
        <v>INCLUDE</v>
      </c>
      <c r="T72" s="28" t="str">
        <f t="shared" si="9"/>
        <v/>
      </c>
      <c r="U72" s="31" t="s">
        <v>68</v>
      </c>
      <c r="V72" s="31">
        <v>0</v>
      </c>
      <c r="W72" s="31">
        <v>1</v>
      </c>
      <c r="X72" s="31">
        <v>0</v>
      </c>
      <c r="Y72" s="28" t="str">
        <f t="shared" si="10"/>
        <v>Single</v>
      </c>
      <c r="Z72" s="31" t="s">
        <v>9</v>
      </c>
      <c r="AA72" s="31" t="s">
        <v>53</v>
      </c>
      <c r="AB72" s="31" t="s">
        <v>78</v>
      </c>
      <c r="AC72" s="31" t="s">
        <v>64</v>
      </c>
      <c r="AD72" s="31" t="s">
        <v>72</v>
      </c>
      <c r="AE72" s="31">
        <v>4</v>
      </c>
      <c r="AF72" s="31" t="s">
        <v>84</v>
      </c>
      <c r="AG72" s="15" t="s">
        <v>364</v>
      </c>
      <c r="AH72" s="97" t="s">
        <v>792</v>
      </c>
      <c r="AI72" s="97" t="s">
        <v>793</v>
      </c>
      <c r="AJ72" s="98" t="s">
        <v>1081</v>
      </c>
      <c r="AK72" s="98" t="s">
        <v>1110</v>
      </c>
      <c r="AL72" s="98" t="s">
        <v>1083</v>
      </c>
      <c r="AM72" s="99"/>
      <c r="AN72" s="100" t="s">
        <v>1293</v>
      </c>
      <c r="AO72" s="101" t="str">
        <f>IF($A72="","",IFERROR(_xlfn.XLOOKUP($A72,'2_DOI_Lookup'!$A$2:$A$430,'2_DOI_Lookup'!$B$2:$B$430),"NOT IN SOURCE"))</f>
        <v>10.1109/TASE.2026.3697962</v>
      </c>
    </row>
    <row r="73" spans="1:41" ht="68.400000000000006" hidden="1" x14ac:dyDescent="0.3">
      <c r="A73" s="73">
        <v>3521</v>
      </c>
      <c r="B73" s="74"/>
      <c r="C73" s="75"/>
      <c r="D73" s="74"/>
      <c r="E73" s="74" t="str">
        <f>IF($A73="","",IFERROR(_xlfn.XLOOKUP($A73,'2_DOI_Lookup'!$D$2:$D$430,'2_DOI_Lookup'!$E$2:$E$430),"TITLE NOT IN SOURCE"))</f>
        <v>Application Benefit Analysis of Digital Twin Technology in Tunnel Construction Based on DEMATEL and System Dynamics</v>
      </c>
      <c r="F73" s="73" t="s">
        <v>309</v>
      </c>
      <c r="G73" s="76" t="s">
        <v>311</v>
      </c>
      <c r="H73" s="76" t="s">
        <v>311</v>
      </c>
      <c r="I73" s="76" t="s">
        <v>311</v>
      </c>
      <c r="J73" s="76" t="s">
        <v>311</v>
      </c>
      <c r="K73" s="76" t="s">
        <v>312</v>
      </c>
      <c r="L73" s="77" t="str">
        <f t="shared" si="6"/>
        <v>EXCLUDE</v>
      </c>
      <c r="M73" s="77" t="str">
        <f t="shared" si="7"/>
        <v>Non-English</v>
      </c>
      <c r="N73" s="78"/>
      <c r="O73" s="78"/>
      <c r="P73" s="79"/>
      <c r="Q73" s="79"/>
      <c r="R73" s="79"/>
      <c r="S73" s="77" t="str">
        <f t="shared" si="8"/>
        <v/>
      </c>
      <c r="T73" s="77" t="str">
        <f t="shared" si="9"/>
        <v/>
      </c>
      <c r="U73" s="80"/>
      <c r="V73" s="80"/>
      <c r="W73" s="80"/>
      <c r="X73" s="80"/>
      <c r="Y73" s="77" t="str">
        <f t="shared" si="10"/>
        <v/>
      </c>
      <c r="Z73" s="80"/>
      <c r="AA73" s="80"/>
      <c r="AB73" s="80"/>
      <c r="AC73" s="80"/>
      <c r="AD73" s="80"/>
      <c r="AE73" s="80"/>
      <c r="AF73" s="80"/>
      <c r="AG73" s="81" t="s">
        <v>365</v>
      </c>
      <c r="AH73" s="35"/>
      <c r="AI73" s="35"/>
      <c r="AK73"/>
      <c r="AM73" s="56"/>
      <c r="AN73" s="57"/>
      <c r="AO73" s="63" t="str">
        <f>IF($A73="","",IFERROR(_xlfn.XLOOKUP($A73,'2_DOI_Lookup'!$A$2:$A$430,'2_DOI_Lookup'!$B$2:$B$430),"NOT IN SOURCE"))</f>
        <v>10.3973/j.issn.2096-4498.2024.S1.021</v>
      </c>
    </row>
    <row r="74" spans="1:41" ht="45.6" hidden="1" x14ac:dyDescent="0.3">
      <c r="A74" s="26">
        <v>4002</v>
      </c>
      <c r="B74" s="9"/>
      <c r="C74" s="32"/>
      <c r="D74" s="9"/>
      <c r="E74" s="9" t="str">
        <f>IF($A74="","",IFERROR(_xlfn.XLOOKUP($A74,'2_DOI_Lookup'!$D$2:$D$430,'2_DOI_Lookup'!$E$2:$E$430),"TITLE NOT IN SOURCE"))</f>
        <v>Smart building evacuation by tracking multi-camera network and explainable Re-identification model</v>
      </c>
      <c r="F74" s="26" t="s">
        <v>310</v>
      </c>
      <c r="G74" s="27" t="s">
        <v>311</v>
      </c>
      <c r="H74" s="27" t="s">
        <v>312</v>
      </c>
      <c r="I74" s="27" t="s">
        <v>311</v>
      </c>
      <c r="J74" s="27" t="s">
        <v>311</v>
      </c>
      <c r="K74" s="27" t="s">
        <v>311</v>
      </c>
      <c r="L74" s="28" t="str">
        <f t="shared" si="6"/>
        <v>EXCLUDE</v>
      </c>
      <c r="M74" s="28" t="str">
        <f t="shared" si="7"/>
        <v>Digital Twin not core / buzzword</v>
      </c>
      <c r="N74" s="29"/>
      <c r="O74" s="29"/>
      <c r="P74" s="30"/>
      <c r="Q74" s="30"/>
      <c r="R74" s="30"/>
      <c r="S74" s="28" t="str">
        <f t="shared" si="8"/>
        <v/>
      </c>
      <c r="T74" s="28" t="str">
        <f t="shared" si="9"/>
        <v/>
      </c>
      <c r="U74" s="31"/>
      <c r="V74" s="31"/>
      <c r="W74" s="31"/>
      <c r="X74" s="31"/>
      <c r="Y74" s="28" t="str">
        <f t="shared" si="10"/>
        <v/>
      </c>
      <c r="Z74" s="31"/>
      <c r="AA74" s="31"/>
      <c r="AB74" s="31"/>
      <c r="AC74" s="31"/>
      <c r="AD74" s="31"/>
      <c r="AE74" s="31"/>
      <c r="AF74" s="31"/>
      <c r="AG74" s="15" t="s">
        <v>366</v>
      </c>
      <c r="AH74" s="35"/>
      <c r="AI74" s="35"/>
      <c r="AK74"/>
      <c r="AM74" s="56"/>
      <c r="AN74" s="57"/>
      <c r="AO74" s="63" t="str">
        <f>IF($A74="","",IFERROR(_xlfn.XLOOKUP($A74,'2_DOI_Lookup'!$A$2:$A$430,'2_DOI_Lookup'!$B$2:$B$430),"NOT IN SOURCE"))</f>
        <v>10.1016/j.engappai.2025.110394</v>
      </c>
    </row>
    <row r="75" spans="1:41" ht="57" hidden="1" x14ac:dyDescent="0.3">
      <c r="A75" s="64">
        <v>3528</v>
      </c>
      <c r="B75" s="65"/>
      <c r="C75" s="66"/>
      <c r="D75" s="65"/>
      <c r="E75" s="65" t="str">
        <f>IF($A75="","",IFERROR(_xlfn.XLOOKUP($A75,'2_DOI_Lookup'!$D$2:$D$430,'2_DOI_Lookup'!$E$2:$E$430),"TITLE NOT IN SOURCE"))</f>
        <v>Digital twin system construction method for evaluating load carrying capacity of crane structures</v>
      </c>
      <c r="F75" s="64" t="s">
        <v>309</v>
      </c>
      <c r="G75" s="67" t="s">
        <v>311</v>
      </c>
      <c r="H75" s="67" t="s">
        <v>311</v>
      </c>
      <c r="I75" s="67" t="s">
        <v>311</v>
      </c>
      <c r="J75" s="67" t="s">
        <v>311</v>
      </c>
      <c r="K75" s="67" t="s">
        <v>312</v>
      </c>
      <c r="L75" s="68" t="str">
        <f t="shared" si="6"/>
        <v>EXCLUDE</v>
      </c>
      <c r="M75" s="68" t="str">
        <f t="shared" si="7"/>
        <v>Non-English</v>
      </c>
      <c r="N75" s="69"/>
      <c r="O75" s="69"/>
      <c r="P75" s="70"/>
      <c r="Q75" s="70"/>
      <c r="R75" s="70"/>
      <c r="S75" s="68" t="str">
        <f t="shared" si="8"/>
        <v/>
      </c>
      <c r="T75" s="68" t="str">
        <f t="shared" si="9"/>
        <v/>
      </c>
      <c r="U75" s="71"/>
      <c r="V75" s="71"/>
      <c r="W75" s="71"/>
      <c r="X75" s="71"/>
      <c r="Y75" s="68" t="str">
        <f t="shared" si="10"/>
        <v/>
      </c>
      <c r="Z75" s="71"/>
      <c r="AA75" s="71"/>
      <c r="AB75" s="71"/>
      <c r="AC75" s="71"/>
      <c r="AD75" s="71"/>
      <c r="AE75" s="71"/>
      <c r="AF75" s="71"/>
      <c r="AG75" s="72" t="s">
        <v>367</v>
      </c>
      <c r="AH75" s="35"/>
      <c r="AI75" s="35"/>
      <c r="AK75"/>
      <c r="AM75" s="56"/>
      <c r="AN75" s="57"/>
      <c r="AO75" s="63" t="str">
        <f>IF($A75="","",IFERROR(_xlfn.XLOOKUP($A75,'2_DOI_Lookup'!$A$2:$A$430,'2_DOI_Lookup'!$B$2:$B$430),"NOT IN SOURCE"))</f>
        <v>10.13196/j.cims.2023.0391</v>
      </c>
    </row>
    <row r="76" spans="1:41" ht="79.8" x14ac:dyDescent="0.3">
      <c r="A76" s="26">
        <v>3736</v>
      </c>
      <c r="B76" s="9" t="s">
        <v>188</v>
      </c>
      <c r="C76" s="32">
        <v>2026</v>
      </c>
      <c r="D76" s="9"/>
      <c r="E76" s="9" t="str">
        <f>IF($A76="","",IFERROR(_xlfn.XLOOKUP($A76,'2_DOI_Lookup'!$D$2:$D$430,'2_DOI_Lookup'!$E$2:$E$430),"TITLE NOT IN SOURCE"))</f>
        <v>Stakeholder-informed renovation digital twin for multi-domain monitoring: Pilot implementation and acceptance evaluation</v>
      </c>
      <c r="F76" s="26" t="s">
        <v>309</v>
      </c>
      <c r="G76" s="27" t="s">
        <v>311</v>
      </c>
      <c r="H76" s="27" t="s">
        <v>311</v>
      </c>
      <c r="I76" s="27" t="s">
        <v>311</v>
      </c>
      <c r="J76" s="27" t="s">
        <v>311</v>
      </c>
      <c r="K76" s="27" t="s">
        <v>311</v>
      </c>
      <c r="L76" s="28" t="str">
        <f t="shared" si="6"/>
        <v>INCLUDE</v>
      </c>
      <c r="M76" s="28" t="str">
        <f t="shared" si="7"/>
        <v/>
      </c>
      <c r="N76" s="29" t="s">
        <v>311</v>
      </c>
      <c r="O76" s="29" t="s">
        <v>311</v>
      </c>
      <c r="P76" s="30" t="s">
        <v>311</v>
      </c>
      <c r="Q76" s="30" t="s">
        <v>311</v>
      </c>
      <c r="R76" s="30" t="s">
        <v>311</v>
      </c>
      <c r="S76" s="28" t="str">
        <f t="shared" si="8"/>
        <v>INCLUDE</v>
      </c>
      <c r="T76" s="28" t="str">
        <f t="shared" si="9"/>
        <v/>
      </c>
      <c r="U76" s="31" t="s">
        <v>61</v>
      </c>
      <c r="V76" s="31">
        <v>0</v>
      </c>
      <c r="W76" s="31">
        <v>1</v>
      </c>
      <c r="X76" s="31">
        <v>0</v>
      </c>
      <c r="Y76" s="28" t="str">
        <f t="shared" si="10"/>
        <v>Single</v>
      </c>
      <c r="Z76" s="31" t="s">
        <v>69</v>
      </c>
      <c r="AA76" s="31" t="s">
        <v>53</v>
      </c>
      <c r="AB76" s="31" t="s">
        <v>91</v>
      </c>
      <c r="AC76" s="31" t="s">
        <v>64</v>
      </c>
      <c r="AD76" s="31" t="s">
        <v>72</v>
      </c>
      <c r="AE76" s="31">
        <v>4</v>
      </c>
      <c r="AF76" s="31" t="s">
        <v>86</v>
      </c>
      <c r="AG76" s="15" t="s">
        <v>607</v>
      </c>
      <c r="AH76" s="97" t="s">
        <v>794</v>
      </c>
      <c r="AI76" s="97" t="s">
        <v>795</v>
      </c>
      <c r="AJ76" s="98" t="s">
        <v>1079</v>
      </c>
      <c r="AK76" s="98" t="s">
        <v>1111</v>
      </c>
      <c r="AL76" s="98" t="s">
        <v>1084</v>
      </c>
      <c r="AM76" s="99"/>
      <c r="AN76" s="100" t="s">
        <v>1291</v>
      </c>
      <c r="AO76" s="101" t="str">
        <f>IF($A76="","",IFERROR(_xlfn.XLOOKUP($A76,'2_DOI_Lookup'!$A$2:$A$430,'2_DOI_Lookup'!$B$2:$B$430),"NOT IN SOURCE"))</f>
        <v>10.1016/j.enbuild.2026.116979</v>
      </c>
    </row>
    <row r="77" spans="1:41" ht="45.6" hidden="1" x14ac:dyDescent="0.3">
      <c r="A77" s="82">
        <v>3625</v>
      </c>
      <c r="B77" s="83"/>
      <c r="C77" s="84"/>
      <c r="D77" s="83"/>
      <c r="E77" s="83" t="str">
        <f>IF($A77="","",IFERROR(_xlfn.XLOOKUP($A77,'2_DOI_Lookup'!$D$2:$D$430,'2_DOI_Lookup'!$E$2:$E$430),"TITLE NOT IN SOURCE"))</f>
        <v>Digital twin-driven on-line monitoring method of metal selective laser melting building process</v>
      </c>
      <c r="F77" s="82" t="s">
        <v>309</v>
      </c>
      <c r="G77" s="85" t="s">
        <v>312</v>
      </c>
      <c r="H77" s="85" t="s">
        <v>311</v>
      </c>
      <c r="I77" s="85" t="s">
        <v>311</v>
      </c>
      <c r="J77" s="85" t="s">
        <v>311</v>
      </c>
      <c r="K77" s="85" t="s">
        <v>312</v>
      </c>
      <c r="L77" s="86" t="str">
        <f t="shared" si="6"/>
        <v>EXCLUDE</v>
      </c>
      <c r="M77" s="86" t="str">
        <f t="shared" si="7"/>
        <v>Wrong domain (non-AECO)</v>
      </c>
      <c r="N77" s="87"/>
      <c r="O77" s="87"/>
      <c r="P77" s="88"/>
      <c r="Q77" s="88"/>
      <c r="R77" s="88"/>
      <c r="S77" s="86" t="str">
        <f t="shared" si="8"/>
        <v/>
      </c>
      <c r="T77" s="86" t="str">
        <f t="shared" si="9"/>
        <v/>
      </c>
      <c r="U77" s="89"/>
      <c r="V77" s="89"/>
      <c r="W77" s="89"/>
      <c r="X77" s="89"/>
      <c r="Y77" s="86" t="str">
        <f t="shared" si="10"/>
        <v/>
      </c>
      <c r="Z77" s="89"/>
      <c r="AA77" s="89"/>
      <c r="AB77" s="89"/>
      <c r="AC77" s="89"/>
      <c r="AD77" s="89"/>
      <c r="AE77" s="89"/>
      <c r="AF77" s="89"/>
      <c r="AG77" s="90" t="s">
        <v>368</v>
      </c>
      <c r="AH77" s="35"/>
      <c r="AI77" s="35"/>
      <c r="AK77"/>
      <c r="AM77" s="56"/>
      <c r="AN77" s="57"/>
      <c r="AO77" s="63" t="str">
        <f>IF($A77="","",IFERROR(_xlfn.XLOOKUP($A77,'2_DOI_Lookup'!$A$2:$A$430,'2_DOI_Lookup'!$B$2:$B$430),"NOT IN SOURCE"))</f>
        <v>10.13196/j.cims.2021.02.008</v>
      </c>
    </row>
    <row r="78" spans="1:41" ht="72" x14ac:dyDescent="0.3">
      <c r="A78" s="26">
        <v>3906</v>
      </c>
      <c r="B78" s="9" t="s">
        <v>189</v>
      </c>
      <c r="C78" s="32">
        <v>2022</v>
      </c>
      <c r="D78" s="9"/>
      <c r="E78" s="9" t="str">
        <f>IF($A78="","",IFERROR(_xlfn.XLOOKUP($A78,'2_DOI_Lookup'!$D$2:$D$430,'2_DOI_Lookup'!$E$2:$E$430),"TITLE NOT IN SOURCE"))</f>
        <v>Digital Twins for Construction Assets Using BIM Standard Specifications</v>
      </c>
      <c r="F78" s="26" t="s">
        <v>310</v>
      </c>
      <c r="G78" s="27" t="s">
        <v>311</v>
      </c>
      <c r="H78" s="27" t="s">
        <v>311</v>
      </c>
      <c r="I78" s="27" t="s">
        <v>311</v>
      </c>
      <c r="J78" s="27" t="s">
        <v>311</v>
      </c>
      <c r="K78" s="27" t="s">
        <v>311</v>
      </c>
      <c r="L78" s="28" t="str">
        <f t="shared" si="6"/>
        <v>INCLUDE</v>
      </c>
      <c r="M78" s="28" t="str">
        <f t="shared" si="7"/>
        <v/>
      </c>
      <c r="N78" s="29" t="s">
        <v>49</v>
      </c>
      <c r="O78" s="29" t="s">
        <v>49</v>
      </c>
      <c r="P78" s="30" t="s">
        <v>49</v>
      </c>
      <c r="Q78" s="30" t="s">
        <v>49</v>
      </c>
      <c r="R78" s="30" t="s">
        <v>49</v>
      </c>
      <c r="S78" s="28" t="str">
        <f t="shared" si="8"/>
        <v>INCLUDE</v>
      </c>
      <c r="T78" s="28" t="str">
        <f t="shared" si="9"/>
        <v/>
      </c>
      <c r="U78" s="31" t="s">
        <v>82</v>
      </c>
      <c r="V78" s="31">
        <v>1</v>
      </c>
      <c r="W78" s="31">
        <v>1</v>
      </c>
      <c r="X78" s="31">
        <v>1</v>
      </c>
      <c r="Y78" s="28" t="str">
        <f t="shared" si="10"/>
        <v>Multi</v>
      </c>
      <c r="Z78" s="31" t="s">
        <v>69</v>
      </c>
      <c r="AA78" s="31" t="s">
        <v>53</v>
      </c>
      <c r="AB78" s="31" t="s">
        <v>91</v>
      </c>
      <c r="AC78" s="31" t="s">
        <v>64</v>
      </c>
      <c r="AD78" s="31" t="s">
        <v>56</v>
      </c>
      <c r="AE78" s="31">
        <v>3</v>
      </c>
      <c r="AF78" s="31" t="s">
        <v>57</v>
      </c>
      <c r="AG78" s="15" t="s">
        <v>698</v>
      </c>
      <c r="AH78" s="97" t="s">
        <v>796</v>
      </c>
      <c r="AI78" s="97" t="s">
        <v>797</v>
      </c>
      <c r="AJ78" s="98" t="s">
        <v>82</v>
      </c>
      <c r="AK78" s="98" t="s">
        <v>1112</v>
      </c>
      <c r="AL78" s="98" t="s">
        <v>1083</v>
      </c>
      <c r="AM78" s="99"/>
      <c r="AN78" s="100" t="s">
        <v>1326</v>
      </c>
      <c r="AO78" s="101" t="str">
        <f>IF($A78="","",IFERROR(_xlfn.XLOOKUP($A78,'2_DOI_Lookup'!$A$2:$A$430,'2_DOI_Lookup'!$B$2:$B$430),"NOT IN SOURCE"))</f>
        <v>10.3390/buildings12122155</v>
      </c>
    </row>
    <row r="79" spans="1:41" ht="45.6" hidden="1" x14ac:dyDescent="0.3">
      <c r="A79" s="82">
        <v>3921</v>
      </c>
      <c r="B79" s="83"/>
      <c r="C79" s="84"/>
      <c r="D79" s="83"/>
      <c r="E79" s="83" t="str">
        <f>IF($A79="","",IFERROR(_xlfn.XLOOKUP($A79,'2_DOI_Lookup'!$D$2:$D$430,'2_DOI_Lookup'!$E$2:$E$430),"TITLE NOT IN SOURCE"))</f>
        <v>Predictive digital monitoring of construction resources: an integrated digital twin solution</v>
      </c>
      <c r="F79" s="82" t="s">
        <v>310</v>
      </c>
      <c r="G79" s="85" t="s">
        <v>311</v>
      </c>
      <c r="H79" s="85" t="s">
        <v>311</v>
      </c>
      <c r="I79" s="85" t="s">
        <v>312</v>
      </c>
      <c r="J79" s="85" t="s">
        <v>311</v>
      </c>
      <c r="K79" s="85" t="s">
        <v>311</v>
      </c>
      <c r="L79" s="86" t="str">
        <f t="shared" si="6"/>
        <v>EXCLUDE</v>
      </c>
      <c r="M79" s="86" t="str">
        <f t="shared" si="7"/>
        <v>No Design for Safety/Quality/PtD</v>
      </c>
      <c r="N79" s="87"/>
      <c r="O79" s="87"/>
      <c r="P79" s="88"/>
      <c r="Q79" s="88"/>
      <c r="R79" s="88"/>
      <c r="S79" s="86" t="str">
        <f t="shared" si="8"/>
        <v/>
      </c>
      <c r="T79" s="86" t="str">
        <f t="shared" si="9"/>
        <v/>
      </c>
      <c r="U79" s="89"/>
      <c r="V79" s="89"/>
      <c r="W79" s="89"/>
      <c r="X79" s="89"/>
      <c r="Y79" s="86" t="str">
        <f t="shared" si="10"/>
        <v/>
      </c>
      <c r="Z79" s="89"/>
      <c r="AA79" s="89"/>
      <c r="AB79" s="89"/>
      <c r="AC79" s="89"/>
      <c r="AD79" s="89"/>
      <c r="AE79" s="89"/>
      <c r="AF79" s="89"/>
      <c r="AG79" s="90" t="s">
        <v>369</v>
      </c>
      <c r="AH79" s="35"/>
      <c r="AI79" s="35"/>
      <c r="AK79"/>
      <c r="AM79" s="56"/>
      <c r="AN79" s="57"/>
      <c r="AO79" s="63" t="str">
        <f>IF($A79="","",IFERROR(_xlfn.XLOOKUP($A79,'2_DOI_Lookup'!$A$2:$A$430,'2_DOI_Lookup'!$B$2:$B$430),"NOT IN SOURCE"))</f>
        <v>10.1108/ECAM-04-2025-0604</v>
      </c>
    </row>
    <row r="80" spans="1:41" ht="144" x14ac:dyDescent="0.3">
      <c r="A80" s="26">
        <v>4046</v>
      </c>
      <c r="B80" s="9" t="s">
        <v>190</v>
      </c>
      <c r="C80" s="32">
        <v>2024</v>
      </c>
      <c r="D80" s="9"/>
      <c r="E80" s="9" t="str">
        <f>IF($A80="","",IFERROR(_xlfn.XLOOKUP($A80,'2_DOI_Lookup'!$D$2:$D$430,'2_DOI_Lookup'!$E$2:$E$430),"TITLE NOT IN SOURCE"))</f>
        <v>Exploring Data for Construction Digital Twins: Building Health and Safety and Progress Monitoring Twins Using the Unreal Gaming Engine</v>
      </c>
      <c r="F80" s="26" t="s">
        <v>310</v>
      </c>
      <c r="G80" s="27" t="s">
        <v>311</v>
      </c>
      <c r="H80" s="27" t="s">
        <v>311</v>
      </c>
      <c r="I80" s="27" t="s">
        <v>311</v>
      </c>
      <c r="J80" s="27" t="s">
        <v>311</v>
      </c>
      <c r="K80" s="27" t="s">
        <v>311</v>
      </c>
      <c r="L80" s="28" t="str">
        <f t="shared" si="6"/>
        <v>INCLUDE</v>
      </c>
      <c r="M80" s="28" t="str">
        <f t="shared" si="7"/>
        <v/>
      </c>
      <c r="N80" s="29" t="s">
        <v>311</v>
      </c>
      <c r="O80" s="29" t="s">
        <v>311</v>
      </c>
      <c r="P80" s="30" t="s">
        <v>311</v>
      </c>
      <c r="Q80" s="30" t="s">
        <v>311</v>
      </c>
      <c r="R80" s="30" t="s">
        <v>311</v>
      </c>
      <c r="S80" s="28" t="str">
        <f t="shared" si="8"/>
        <v>INCLUDE</v>
      </c>
      <c r="T80" s="28" t="str">
        <f t="shared" si="9"/>
        <v/>
      </c>
      <c r="U80" s="31" t="s">
        <v>68</v>
      </c>
      <c r="V80" s="31">
        <v>0</v>
      </c>
      <c r="W80" s="31">
        <v>1</v>
      </c>
      <c r="X80" s="31">
        <v>0</v>
      </c>
      <c r="Y80" s="28" t="str">
        <f t="shared" si="10"/>
        <v>Single</v>
      </c>
      <c r="Z80" s="31" t="s">
        <v>9</v>
      </c>
      <c r="AA80" s="31" t="s">
        <v>53</v>
      </c>
      <c r="AB80" s="31" t="s">
        <v>91</v>
      </c>
      <c r="AC80" s="31" t="s">
        <v>64</v>
      </c>
      <c r="AD80" s="31" t="s">
        <v>79</v>
      </c>
      <c r="AE80" s="31">
        <v>3</v>
      </c>
      <c r="AF80" s="31" t="s">
        <v>57</v>
      </c>
      <c r="AG80" s="15" t="s">
        <v>608</v>
      </c>
      <c r="AH80" s="97" t="s">
        <v>798</v>
      </c>
      <c r="AI80" s="97" t="s">
        <v>799</v>
      </c>
      <c r="AJ80" s="98" t="s">
        <v>1080</v>
      </c>
      <c r="AK80" s="98" t="s">
        <v>1113</v>
      </c>
      <c r="AL80" s="98" t="s">
        <v>1083</v>
      </c>
      <c r="AM80" s="99"/>
      <c r="AN80" s="100" t="s">
        <v>1446</v>
      </c>
      <c r="AO80" s="101" t="str">
        <f>IF($A80="","",IFERROR(_xlfn.XLOOKUP($A80,'2_DOI_Lookup'!$A$2:$A$430,'2_DOI_Lookup'!$B$2:$B$430),"NOT IN SOURCE"))</f>
        <v>10.3390/buildings14072216</v>
      </c>
    </row>
    <row r="81" spans="1:41" ht="68.400000000000006" hidden="1" x14ac:dyDescent="0.3">
      <c r="A81" s="82">
        <v>3912</v>
      </c>
      <c r="B81" s="83"/>
      <c r="C81" s="84"/>
      <c r="D81" s="83"/>
      <c r="E81" s="83" t="str">
        <f>IF($A81="","",IFERROR(_xlfn.XLOOKUP($A81,'2_DOI_Lookup'!$D$2:$D$430,'2_DOI_Lookup'!$E$2:$E$430),"TITLE NOT IN SOURCE"))</f>
        <v>Seismic Failure Mechanism Shift in RC Buildings Revealed by NDT-Supported, Field-Calibrated BIM-Based Models</v>
      </c>
      <c r="F81" s="82" t="s">
        <v>310</v>
      </c>
      <c r="G81" s="85" t="s">
        <v>311</v>
      </c>
      <c r="H81" s="85" t="s">
        <v>312</v>
      </c>
      <c r="I81" s="85" t="s">
        <v>311</v>
      </c>
      <c r="J81" s="85" t="s">
        <v>311</v>
      </c>
      <c r="K81" s="85" t="s">
        <v>311</v>
      </c>
      <c r="L81" s="86" t="str">
        <f t="shared" si="6"/>
        <v>EXCLUDE</v>
      </c>
      <c r="M81" s="86" t="str">
        <f t="shared" si="7"/>
        <v>Digital Twin not core / buzzword</v>
      </c>
      <c r="N81" s="87"/>
      <c r="O81" s="87"/>
      <c r="P81" s="88"/>
      <c r="Q81" s="88"/>
      <c r="R81" s="88"/>
      <c r="S81" s="86" t="str">
        <f t="shared" si="8"/>
        <v/>
      </c>
      <c r="T81" s="86" t="str">
        <f t="shared" si="9"/>
        <v/>
      </c>
      <c r="U81" s="89"/>
      <c r="V81" s="89"/>
      <c r="W81" s="89"/>
      <c r="X81" s="89"/>
      <c r="Y81" s="86" t="str">
        <f t="shared" si="10"/>
        <v/>
      </c>
      <c r="Z81" s="89"/>
      <c r="AA81" s="89"/>
      <c r="AB81" s="89"/>
      <c r="AC81" s="89"/>
      <c r="AD81" s="89"/>
      <c r="AE81" s="89"/>
      <c r="AF81" s="89"/>
      <c r="AG81" s="90" t="s">
        <v>370</v>
      </c>
      <c r="AH81" s="35"/>
      <c r="AI81" s="35"/>
      <c r="AK81"/>
      <c r="AM81" s="56"/>
      <c r="AN81" s="57"/>
      <c r="AO81" s="63" t="str">
        <f>IF($A81="","",IFERROR(_xlfn.XLOOKUP($A81,'2_DOI_Lookup'!$A$2:$A$430,'2_DOI_Lookup'!$B$2:$B$430),"NOT IN SOURCE"))</f>
        <v>10.3390/app16010455</v>
      </c>
    </row>
    <row r="82" spans="1:41" ht="100.8" x14ac:dyDescent="0.3">
      <c r="A82" s="26">
        <v>4029</v>
      </c>
      <c r="B82" s="9" t="s">
        <v>191</v>
      </c>
      <c r="C82" s="32">
        <v>2023</v>
      </c>
      <c r="D82" s="9"/>
      <c r="E82" s="9" t="str">
        <f>IF($A82="","",IFERROR(_xlfn.XLOOKUP($A82,'2_DOI_Lookup'!$D$2:$D$430,'2_DOI_Lookup'!$E$2:$E$430),"TITLE NOT IN SOURCE"))</f>
        <v>Intervention and management of construction workers' unsafe behavior: A simulation digital twin model</v>
      </c>
      <c r="F82" s="26" t="s">
        <v>310</v>
      </c>
      <c r="G82" s="27" t="s">
        <v>311</v>
      </c>
      <c r="H82" s="27" t="s">
        <v>311</v>
      </c>
      <c r="I82" s="27" t="s">
        <v>311</v>
      </c>
      <c r="J82" s="27" t="s">
        <v>311</v>
      </c>
      <c r="K82" s="27" t="s">
        <v>311</v>
      </c>
      <c r="L82" s="28" t="str">
        <f t="shared" si="6"/>
        <v>INCLUDE</v>
      </c>
      <c r="M82" s="28" t="str">
        <f t="shared" si="7"/>
        <v/>
      </c>
      <c r="N82" s="29" t="s">
        <v>311</v>
      </c>
      <c r="O82" s="29" t="s">
        <v>311</v>
      </c>
      <c r="P82" s="30" t="s">
        <v>311</v>
      </c>
      <c r="Q82" s="30" t="s">
        <v>311</v>
      </c>
      <c r="R82" s="30" t="s">
        <v>311</v>
      </c>
      <c r="S82" s="28" t="str">
        <f t="shared" si="8"/>
        <v>INCLUDE</v>
      </c>
      <c r="T82" s="28" t="str">
        <f t="shared" si="9"/>
        <v/>
      </c>
      <c r="U82" s="31" t="s">
        <v>52</v>
      </c>
      <c r="V82" s="31">
        <v>0</v>
      </c>
      <c r="W82" s="31">
        <v>1</v>
      </c>
      <c r="X82" s="31">
        <v>0</v>
      </c>
      <c r="Y82" s="28" t="str">
        <f t="shared" si="10"/>
        <v>Single</v>
      </c>
      <c r="Z82" s="31" t="s">
        <v>9</v>
      </c>
      <c r="AA82" s="31" t="s">
        <v>53</v>
      </c>
      <c r="AB82" s="31" t="s">
        <v>87</v>
      </c>
      <c r="AC82" s="31" t="s">
        <v>55</v>
      </c>
      <c r="AD82" s="31" t="s">
        <v>65</v>
      </c>
      <c r="AE82" s="31">
        <v>4</v>
      </c>
      <c r="AF82" s="31" t="s">
        <v>84</v>
      </c>
      <c r="AG82" s="15" t="s">
        <v>609</v>
      </c>
      <c r="AH82" s="97" t="s">
        <v>800</v>
      </c>
      <c r="AI82" s="97" t="s">
        <v>801</v>
      </c>
      <c r="AJ82" s="98" t="s">
        <v>1078</v>
      </c>
      <c r="AK82" s="115" t="s">
        <v>1114</v>
      </c>
      <c r="AL82" s="98" t="s">
        <v>1083</v>
      </c>
      <c r="AM82" s="99"/>
      <c r="AN82" s="100" t="s">
        <v>1440</v>
      </c>
      <c r="AO82" s="101" t="str">
        <f>IF($A82="","",IFERROR(_xlfn.XLOOKUP($A82,'2_DOI_Lookup'!$A$2:$A$430,'2_DOI_Lookup'!$B$2:$B$430),"NOT IN SOURCE"))</f>
        <v>10.1016/j.aei.2023.102182</v>
      </c>
    </row>
    <row r="83" spans="1:41" ht="45.6" hidden="1" x14ac:dyDescent="0.3">
      <c r="A83" s="73">
        <v>3782</v>
      </c>
      <c r="B83" s="74"/>
      <c r="C83" s="75"/>
      <c r="D83" s="74"/>
      <c r="E83" s="74" t="str">
        <f>IF($A83="","",IFERROR(_xlfn.XLOOKUP($A83,'2_DOI_Lookup'!$D$2:$D$430,'2_DOI_Lookup'!$E$2:$E$430),"TITLE NOT IN SOURCE"))</f>
        <v>A scientometric analysis of drone-based structural health monitoring and new technologies</v>
      </c>
      <c r="F83" s="73" t="s">
        <v>309</v>
      </c>
      <c r="G83" s="76" t="s">
        <v>311</v>
      </c>
      <c r="H83" s="76" t="s">
        <v>312</v>
      </c>
      <c r="I83" s="76" t="s">
        <v>311</v>
      </c>
      <c r="J83" s="76" t="s">
        <v>311</v>
      </c>
      <c r="K83" s="76" t="s">
        <v>311</v>
      </c>
      <c r="L83" s="77" t="str">
        <f t="shared" si="6"/>
        <v>EXCLUDE</v>
      </c>
      <c r="M83" s="77" t="str">
        <f t="shared" si="7"/>
        <v>Digital Twin not core / buzzword</v>
      </c>
      <c r="N83" s="78"/>
      <c r="O83" s="78"/>
      <c r="P83" s="79"/>
      <c r="Q83" s="79"/>
      <c r="R83" s="79"/>
      <c r="S83" s="77" t="str">
        <f t="shared" si="8"/>
        <v/>
      </c>
      <c r="T83" s="77" t="str">
        <f t="shared" si="9"/>
        <v/>
      </c>
      <c r="U83" s="80"/>
      <c r="V83" s="80"/>
      <c r="W83" s="80"/>
      <c r="X83" s="80"/>
      <c r="Y83" s="77" t="str">
        <f t="shared" si="10"/>
        <v/>
      </c>
      <c r="Z83" s="80"/>
      <c r="AA83" s="80"/>
      <c r="AB83" s="80"/>
      <c r="AC83" s="80"/>
      <c r="AD83" s="80"/>
      <c r="AE83" s="80"/>
      <c r="AF83" s="80"/>
      <c r="AG83" s="81" t="s">
        <v>371</v>
      </c>
      <c r="AH83" s="35"/>
      <c r="AI83" s="35"/>
      <c r="AK83"/>
      <c r="AM83" s="56"/>
      <c r="AN83" s="57"/>
      <c r="AO83" s="63" t="str">
        <f>IF($A83="","",IFERROR(_xlfn.XLOOKUP($A83,'2_DOI_Lookup'!$A$2:$A$430,'2_DOI_Lookup'!$B$2:$B$430),"NOT IN SOURCE"))</f>
        <v>10.1177/13694332241255734</v>
      </c>
    </row>
    <row r="84" spans="1:41" ht="57" hidden="1" x14ac:dyDescent="0.3">
      <c r="A84" s="26">
        <v>3955</v>
      </c>
      <c r="B84" s="9"/>
      <c r="C84" s="32"/>
      <c r="D84" s="9"/>
      <c r="E84" s="9" t="str">
        <f>IF($A84="","",IFERROR(_xlfn.XLOOKUP($A84,'2_DOI_Lookup'!$D$2:$D$430,'2_DOI_Lookup'!$E$2:$E$430),"TITLE NOT IN SOURCE"))</f>
        <v>Development of a BIM and IoT-Based Smart Lighting Maintenance System Prototype for Universities' FM Sector</v>
      </c>
      <c r="F84" s="26" t="s">
        <v>310</v>
      </c>
      <c r="G84" s="27" t="s">
        <v>311</v>
      </c>
      <c r="H84" s="27" t="s">
        <v>311</v>
      </c>
      <c r="I84" s="27" t="s">
        <v>312</v>
      </c>
      <c r="J84" s="27" t="s">
        <v>311</v>
      </c>
      <c r="K84" s="27" t="s">
        <v>311</v>
      </c>
      <c r="L84" s="28" t="str">
        <f t="shared" si="6"/>
        <v>EXCLUDE</v>
      </c>
      <c r="M84" s="28" t="str">
        <f t="shared" si="7"/>
        <v>No Design for Safety/Quality/PtD</v>
      </c>
      <c r="N84" s="29"/>
      <c r="O84" s="29"/>
      <c r="P84" s="30"/>
      <c r="Q84" s="30"/>
      <c r="R84" s="30"/>
      <c r="S84" s="28" t="str">
        <f t="shared" si="8"/>
        <v/>
      </c>
      <c r="T84" s="28" t="str">
        <f t="shared" si="9"/>
        <v/>
      </c>
      <c r="U84" s="31"/>
      <c r="V84" s="31"/>
      <c r="W84" s="31"/>
      <c r="X84" s="31"/>
      <c r="Y84" s="28" t="str">
        <f t="shared" si="10"/>
        <v/>
      </c>
      <c r="Z84" s="31"/>
      <c r="AA84" s="31"/>
      <c r="AB84" s="31"/>
      <c r="AC84" s="31"/>
      <c r="AD84" s="31"/>
      <c r="AE84" s="31"/>
      <c r="AF84" s="31"/>
      <c r="AG84" s="15" t="s">
        <v>372</v>
      </c>
      <c r="AH84" s="35"/>
      <c r="AI84" s="35"/>
      <c r="AK84"/>
      <c r="AM84" s="56"/>
      <c r="AN84" s="57"/>
      <c r="AO84" s="63" t="str">
        <f>IF($A84="","",IFERROR(_xlfn.XLOOKUP($A84,'2_DOI_Lookup'!$A$2:$A$430,'2_DOI_Lookup'!$B$2:$B$430),"NOT IN SOURCE"))</f>
        <v>10.3390/buildings12020099</v>
      </c>
    </row>
    <row r="85" spans="1:41" ht="34.200000000000003" hidden="1" x14ac:dyDescent="0.3">
      <c r="A85" s="26">
        <v>3632</v>
      </c>
      <c r="B85" s="9"/>
      <c r="C85" s="32"/>
      <c r="D85" s="9"/>
      <c r="E85" s="9" t="str">
        <f>IF($A85="","",IFERROR(_xlfn.XLOOKUP($A85,'2_DOI_Lookup'!$D$2:$D$430,'2_DOI_Lookup'!$E$2:$E$430),"TITLE NOT IN SOURCE"))</f>
        <v>Machine learning for design and analysis of steel frame halls</v>
      </c>
      <c r="F85" s="26" t="s">
        <v>309</v>
      </c>
      <c r="G85" s="27" t="s">
        <v>311</v>
      </c>
      <c r="H85" s="27" t="s">
        <v>312</v>
      </c>
      <c r="I85" s="27" t="s">
        <v>312</v>
      </c>
      <c r="J85" s="27" t="s">
        <v>311</v>
      </c>
      <c r="K85" s="27" t="s">
        <v>311</v>
      </c>
      <c r="L85" s="28" t="str">
        <f t="shared" si="6"/>
        <v>EXCLUDE</v>
      </c>
      <c r="M85" s="28" t="str">
        <f t="shared" si="7"/>
        <v>Digital Twin not core / buzzword</v>
      </c>
      <c r="N85" s="29"/>
      <c r="O85" s="29"/>
      <c r="P85" s="30"/>
      <c r="Q85" s="30"/>
      <c r="R85" s="30"/>
      <c r="S85" s="28" t="str">
        <f t="shared" si="8"/>
        <v/>
      </c>
      <c r="T85" s="28" t="str">
        <f t="shared" si="9"/>
        <v/>
      </c>
      <c r="U85" s="31"/>
      <c r="V85" s="31"/>
      <c r="W85" s="31"/>
      <c r="X85" s="31"/>
      <c r="Y85" s="28" t="str">
        <f t="shared" si="10"/>
        <v/>
      </c>
      <c r="Z85" s="31"/>
      <c r="AA85" s="31"/>
      <c r="AB85" s="31"/>
      <c r="AC85" s="31"/>
      <c r="AD85" s="31"/>
      <c r="AE85" s="31"/>
      <c r="AF85" s="31"/>
      <c r="AG85" s="15" t="s">
        <v>373</v>
      </c>
      <c r="AH85" s="35"/>
      <c r="AI85" s="35"/>
      <c r="AK85"/>
      <c r="AM85" s="56"/>
      <c r="AN85" s="57"/>
      <c r="AO85" s="63" t="str">
        <f>IF($A85="","",IFERROR(_xlfn.XLOOKUP($A85,'2_DOI_Lookup'!$A$2:$A$430,'2_DOI_Lookup'!$B$2:$B$430),"NOT IN SOURCE"))</f>
        <v>10.1002/stab.202200054</v>
      </c>
    </row>
    <row r="86" spans="1:41" ht="45.6" hidden="1" x14ac:dyDescent="0.3">
      <c r="A86" s="26">
        <v>4048</v>
      </c>
      <c r="B86" s="9"/>
      <c r="C86" s="32"/>
      <c r="D86" s="9"/>
      <c r="E86" s="9" t="str">
        <f>IF($A86="","",IFERROR(_xlfn.XLOOKUP($A86,'2_DOI_Lookup'!$D$2:$D$430,'2_DOI_Lookup'!$E$2:$E$430),"TITLE NOT IN SOURCE"))</f>
        <v>Maschinelles Lernen beim Entwurf und der Bemessung von Stahlrahmenhallen</v>
      </c>
      <c r="F86" s="26" t="s">
        <v>310</v>
      </c>
      <c r="G86" s="27" t="s">
        <v>311</v>
      </c>
      <c r="H86" s="27" t="s">
        <v>312</v>
      </c>
      <c r="I86" s="27" t="s">
        <v>312</v>
      </c>
      <c r="J86" s="27" t="s">
        <v>311</v>
      </c>
      <c r="K86" s="27" t="s">
        <v>312</v>
      </c>
      <c r="L86" s="28" t="str">
        <f t="shared" si="6"/>
        <v>EXCLUDE</v>
      </c>
      <c r="M86" s="28" t="str">
        <f t="shared" si="7"/>
        <v>Digital Twin not core / buzzword</v>
      </c>
      <c r="N86" s="29"/>
      <c r="O86" s="29"/>
      <c r="P86" s="30"/>
      <c r="Q86" s="30"/>
      <c r="R86" s="30"/>
      <c r="S86" s="28" t="str">
        <f t="shared" si="8"/>
        <v/>
      </c>
      <c r="T86" s="28" t="str">
        <f t="shared" si="9"/>
        <v/>
      </c>
      <c r="U86" s="31"/>
      <c r="V86" s="31"/>
      <c r="W86" s="31"/>
      <c r="X86" s="31"/>
      <c r="Y86" s="28" t="str">
        <f t="shared" si="10"/>
        <v/>
      </c>
      <c r="Z86" s="31"/>
      <c r="AA86" s="31"/>
      <c r="AB86" s="31"/>
      <c r="AC86" s="31"/>
      <c r="AD86" s="31"/>
      <c r="AE86" s="31"/>
      <c r="AF86" s="31"/>
      <c r="AG86" s="15" t="s">
        <v>374</v>
      </c>
      <c r="AH86" s="35"/>
      <c r="AI86" s="35"/>
      <c r="AK86"/>
      <c r="AM86" s="56"/>
      <c r="AN86" s="57"/>
      <c r="AO86" s="63" t="str">
        <f>IF($A86="","",IFERROR(_xlfn.XLOOKUP($A86,'2_DOI_Lookup'!$A$2:$A$430,'2_DOI_Lookup'!$B$2:$B$430),"NOT IN SOURCE"))</f>
        <v>10.1002/stab.202200054</v>
      </c>
    </row>
    <row r="87" spans="1:41" ht="79.8" hidden="1" x14ac:dyDescent="0.3">
      <c r="A87" s="64">
        <v>3824</v>
      </c>
      <c r="B87" s="65"/>
      <c r="C87" s="66"/>
      <c r="D87" s="65"/>
      <c r="E87" s="65" t="str">
        <f>IF($A87="","",IFERROR(_xlfn.XLOOKUP($A87,'2_DOI_Lookup'!$D$2:$D$430,'2_DOI_Lookup'!$E$2:$E$430),"TITLE NOT IN SOURCE"))</f>
        <v>Preliminary architecture design for human-in-the-loop control of robotic equipment in remote handling tasks: Case study on the NEFERTARI project</v>
      </c>
      <c r="F87" s="64" t="s">
        <v>309</v>
      </c>
      <c r="G87" s="67" t="s">
        <v>312</v>
      </c>
      <c r="H87" s="67" t="s">
        <v>311</v>
      </c>
      <c r="I87" s="67" t="s">
        <v>312</v>
      </c>
      <c r="J87" s="67" t="s">
        <v>311</v>
      </c>
      <c r="K87" s="67" t="s">
        <v>311</v>
      </c>
      <c r="L87" s="68" t="str">
        <f t="shared" si="6"/>
        <v>EXCLUDE</v>
      </c>
      <c r="M87" s="68" t="str">
        <f t="shared" si="7"/>
        <v>Wrong domain (non-AECO)</v>
      </c>
      <c r="N87" s="69"/>
      <c r="O87" s="69"/>
      <c r="P87" s="70"/>
      <c r="Q87" s="70"/>
      <c r="R87" s="70"/>
      <c r="S87" s="68" t="str">
        <f t="shared" si="8"/>
        <v/>
      </c>
      <c r="T87" s="68" t="str">
        <f t="shared" si="9"/>
        <v/>
      </c>
      <c r="U87" s="71"/>
      <c r="V87" s="71"/>
      <c r="W87" s="71"/>
      <c r="X87" s="71"/>
      <c r="Y87" s="68" t="str">
        <f t="shared" si="10"/>
        <v/>
      </c>
      <c r="Z87" s="71"/>
      <c r="AA87" s="71"/>
      <c r="AB87" s="71"/>
      <c r="AC87" s="71"/>
      <c r="AD87" s="71"/>
      <c r="AE87" s="71"/>
      <c r="AF87" s="71"/>
      <c r="AG87" s="72" t="s">
        <v>375</v>
      </c>
      <c r="AH87" s="35"/>
      <c r="AI87" s="35"/>
      <c r="AK87"/>
      <c r="AM87" s="56"/>
      <c r="AN87" s="57"/>
      <c r="AO87" s="63" t="str">
        <f>IF($A87="","",IFERROR(_xlfn.XLOOKUP($A87,'2_DOI_Lookup'!$A$2:$A$430,'2_DOI_Lookup'!$B$2:$B$430),"NOT IN SOURCE"))</f>
        <v>10.1016/j.fusengdes.2024.114586</v>
      </c>
    </row>
    <row r="88" spans="1:41" ht="91.2" x14ac:dyDescent="0.3">
      <c r="A88" s="26">
        <v>3493</v>
      </c>
      <c r="B88" s="9" t="s">
        <v>192</v>
      </c>
      <c r="C88" s="32">
        <v>2024</v>
      </c>
      <c r="D88" s="9"/>
      <c r="E88" s="9" t="str">
        <f>IF($A88="","",IFERROR(_xlfn.XLOOKUP($A88,'2_DOI_Lookup'!$D$2:$D$430,'2_DOI_Lookup'!$E$2:$E$430),"TITLE NOT IN SOURCE"))</f>
        <v>Digital twins in bridge engineering for streamlined maintenance and enhanced sustainability</v>
      </c>
      <c r="F88" s="26" t="s">
        <v>309</v>
      </c>
      <c r="G88" s="27" t="s">
        <v>311</v>
      </c>
      <c r="H88" s="27" t="s">
        <v>311</v>
      </c>
      <c r="I88" s="27" t="s">
        <v>311</v>
      </c>
      <c r="J88" s="27" t="s">
        <v>311</v>
      </c>
      <c r="K88" s="27" t="s">
        <v>311</v>
      </c>
      <c r="L88" s="28" t="str">
        <f t="shared" si="6"/>
        <v>INCLUDE</v>
      </c>
      <c r="M88" s="28" t="str">
        <f t="shared" si="7"/>
        <v/>
      </c>
      <c r="N88" s="29" t="s">
        <v>311</v>
      </c>
      <c r="O88" s="29" t="s">
        <v>311</v>
      </c>
      <c r="P88" s="30" t="s">
        <v>311</v>
      </c>
      <c r="Q88" s="30" t="s">
        <v>311</v>
      </c>
      <c r="R88" s="30" t="s">
        <v>311</v>
      </c>
      <c r="S88" s="28" t="str">
        <f t="shared" si="8"/>
        <v>INCLUDE</v>
      </c>
      <c r="T88" s="28" t="str">
        <f t="shared" si="9"/>
        <v/>
      </c>
      <c r="U88" s="31" t="s">
        <v>61</v>
      </c>
      <c r="V88" s="31">
        <v>0</v>
      </c>
      <c r="W88" s="31">
        <v>0</v>
      </c>
      <c r="X88" s="31">
        <v>1</v>
      </c>
      <c r="Y88" s="28" t="str">
        <f t="shared" si="10"/>
        <v>Single</v>
      </c>
      <c r="Z88" s="31" t="s">
        <v>9</v>
      </c>
      <c r="AA88" s="31" t="s">
        <v>53</v>
      </c>
      <c r="AB88" s="31" t="s">
        <v>88</v>
      </c>
      <c r="AC88" s="31" t="s">
        <v>64</v>
      </c>
      <c r="AD88" s="31" t="s">
        <v>72</v>
      </c>
      <c r="AE88" s="31">
        <v>4</v>
      </c>
      <c r="AF88" s="31" t="s">
        <v>86</v>
      </c>
      <c r="AG88" s="15" t="s">
        <v>610</v>
      </c>
      <c r="AH88" s="97" t="s">
        <v>802</v>
      </c>
      <c r="AI88" s="97" t="s">
        <v>803</v>
      </c>
      <c r="AJ88" s="98" t="s">
        <v>1080</v>
      </c>
      <c r="AK88" s="98" t="s">
        <v>1115</v>
      </c>
      <c r="AL88" s="98" t="s">
        <v>1083</v>
      </c>
      <c r="AM88" s="99"/>
      <c r="AN88" s="100" t="s">
        <v>1253</v>
      </c>
      <c r="AO88" s="101" t="str">
        <f>IF($A88="","",IFERROR(_xlfn.XLOOKUP($A88,'2_DOI_Lookup'!$A$2:$A$430,'2_DOI_Lookup'!$B$2:$B$430),"NOT IN SOURCE"))</f>
        <v>10.1016/j.autcon.2024.105834</v>
      </c>
    </row>
    <row r="89" spans="1:41" ht="79.8" hidden="1" x14ac:dyDescent="0.3">
      <c r="A89" s="82">
        <v>4032</v>
      </c>
      <c r="B89" s="83"/>
      <c r="C89" s="84"/>
      <c r="D89" s="83"/>
      <c r="E89" s="83" t="str">
        <f>IF($A89="","",IFERROR(_xlfn.XLOOKUP($A89,'2_DOI_Lookup'!$D$2:$D$430,'2_DOI_Lookup'!$E$2:$E$430),"TITLE NOT IN SOURCE"))</f>
        <v>Resilient ventilation network construction in complex underground mining environments: A holistic strategy from resilience perception to resilience enhancement</v>
      </c>
      <c r="F89" s="82" t="s">
        <v>310</v>
      </c>
      <c r="G89" s="85" t="s">
        <v>312</v>
      </c>
      <c r="H89" s="85" t="s">
        <v>311</v>
      </c>
      <c r="I89" s="85" t="s">
        <v>311</v>
      </c>
      <c r="J89" s="85" t="s">
        <v>311</v>
      </c>
      <c r="K89" s="85" t="s">
        <v>311</v>
      </c>
      <c r="L89" s="86" t="str">
        <f t="shared" si="6"/>
        <v>EXCLUDE</v>
      </c>
      <c r="M89" s="86" t="str">
        <f t="shared" si="7"/>
        <v>Wrong domain (non-AECO)</v>
      </c>
      <c r="N89" s="87"/>
      <c r="O89" s="87"/>
      <c r="P89" s="88"/>
      <c r="Q89" s="88"/>
      <c r="R89" s="88"/>
      <c r="S89" s="86" t="str">
        <f t="shared" si="8"/>
        <v/>
      </c>
      <c r="T89" s="86" t="str">
        <f t="shared" si="9"/>
        <v/>
      </c>
      <c r="U89" s="89"/>
      <c r="V89" s="89"/>
      <c r="W89" s="89"/>
      <c r="X89" s="89"/>
      <c r="Y89" s="86" t="str">
        <f t="shared" si="10"/>
        <v/>
      </c>
      <c r="Z89" s="89"/>
      <c r="AA89" s="89"/>
      <c r="AB89" s="89"/>
      <c r="AC89" s="89"/>
      <c r="AD89" s="89"/>
      <c r="AE89" s="89"/>
      <c r="AF89" s="89"/>
      <c r="AG89" s="90" t="s">
        <v>376</v>
      </c>
      <c r="AH89" s="35"/>
      <c r="AI89" s="35"/>
      <c r="AK89"/>
      <c r="AM89" s="56"/>
      <c r="AN89" s="57"/>
      <c r="AO89" s="63" t="str">
        <f>IF($A89="","",IFERROR(_xlfn.XLOOKUP($A89,'2_DOI_Lookup'!$A$2:$A$430,'2_DOI_Lookup'!$B$2:$B$430),"NOT IN SOURCE"))</f>
        <v>10.1016/j.ress.2026.112634</v>
      </c>
    </row>
    <row r="90" spans="1:41" ht="79.8" x14ac:dyDescent="0.3">
      <c r="A90" s="26">
        <v>3775</v>
      </c>
      <c r="B90" s="9" t="s">
        <v>193</v>
      </c>
      <c r="C90" s="32">
        <v>2025</v>
      </c>
      <c r="D90" s="9"/>
      <c r="E90" s="9" t="str">
        <f>IF($A90="","",IFERROR(_xlfn.XLOOKUP($A90,'2_DOI_Lookup'!$D$2:$D$430,'2_DOI_Lookup'!$E$2:$E$430),"TITLE NOT IN SOURCE"))</f>
        <v>Digital twin-based vibration displacement sensing and recognition technology for large engineering structures</v>
      </c>
      <c r="F90" s="26" t="s">
        <v>309</v>
      </c>
      <c r="G90" s="27" t="s">
        <v>311</v>
      </c>
      <c r="H90" s="27" t="s">
        <v>311</v>
      </c>
      <c r="I90" s="27" t="s">
        <v>311</v>
      </c>
      <c r="J90" s="27" t="s">
        <v>311</v>
      </c>
      <c r="K90" s="27" t="s">
        <v>311</v>
      </c>
      <c r="L90" s="28" t="str">
        <f t="shared" si="6"/>
        <v>INCLUDE</v>
      </c>
      <c r="M90" s="28" t="str">
        <f t="shared" si="7"/>
        <v/>
      </c>
      <c r="N90" s="29" t="s">
        <v>49</v>
      </c>
      <c r="O90" s="29" t="s">
        <v>49</v>
      </c>
      <c r="P90" s="30" t="s">
        <v>49</v>
      </c>
      <c r="Q90" s="30" t="s">
        <v>49</v>
      </c>
      <c r="R90" s="30" t="s">
        <v>49</v>
      </c>
      <c r="S90" s="28" t="str">
        <f t="shared" si="8"/>
        <v>INCLUDE</v>
      </c>
      <c r="T90" s="28" t="str">
        <f t="shared" si="9"/>
        <v/>
      </c>
      <c r="U90" s="31" t="s">
        <v>61</v>
      </c>
      <c r="V90" s="31">
        <v>0</v>
      </c>
      <c r="W90" s="31">
        <v>1</v>
      </c>
      <c r="X90" s="31">
        <v>0</v>
      </c>
      <c r="Y90" s="28" t="str">
        <f t="shared" si="10"/>
        <v>Single</v>
      </c>
      <c r="Z90" s="31" t="s">
        <v>9</v>
      </c>
      <c r="AA90" s="31" t="s">
        <v>53</v>
      </c>
      <c r="AB90" s="31" t="s">
        <v>92</v>
      </c>
      <c r="AC90" s="31" t="s">
        <v>55</v>
      </c>
      <c r="AD90" s="31" t="s">
        <v>65</v>
      </c>
      <c r="AE90" s="31">
        <v>3</v>
      </c>
      <c r="AF90" s="31" t="s">
        <v>84</v>
      </c>
      <c r="AG90" s="15" t="s">
        <v>699</v>
      </c>
      <c r="AH90" s="97" t="s">
        <v>804</v>
      </c>
      <c r="AI90" s="97" t="s">
        <v>805</v>
      </c>
      <c r="AJ90" s="98" t="s">
        <v>1078</v>
      </c>
      <c r="AK90" s="115" t="s">
        <v>1116</v>
      </c>
      <c r="AL90" s="98" t="s">
        <v>1083</v>
      </c>
      <c r="AM90" s="99"/>
      <c r="AN90" s="100" t="s">
        <v>1298</v>
      </c>
      <c r="AO90" s="101" t="str">
        <f>IF($A90="","",IFERROR(_xlfn.XLOOKUP($A90,'2_DOI_Lookup'!$A$2:$A$430,'2_DOI_Lookup'!$B$2:$B$430),"NOT IN SOURCE"))</f>
        <v>10.24425/ace.2025.156179</v>
      </c>
    </row>
    <row r="91" spans="1:41" ht="22.8" hidden="1" x14ac:dyDescent="0.3">
      <c r="A91" s="82">
        <v>3826</v>
      </c>
      <c r="B91" s="83"/>
      <c r="C91" s="84"/>
      <c r="D91" s="83"/>
      <c r="E91" s="83" t="str">
        <f>IF($A91="","",IFERROR(_xlfn.XLOOKUP($A91,'2_DOI_Lookup'!$D$2:$D$430,'2_DOI_Lookup'!$E$2:$E$430),"TITLE NOT IN SOURCE"))</f>
        <v>Cooperative Localization in Transportation 5.0</v>
      </c>
      <c r="F91" s="82" t="s">
        <v>309</v>
      </c>
      <c r="G91" s="85" t="s">
        <v>312</v>
      </c>
      <c r="H91" s="85" t="s">
        <v>312</v>
      </c>
      <c r="I91" s="85" t="s">
        <v>312</v>
      </c>
      <c r="J91" s="85" t="s">
        <v>311</v>
      </c>
      <c r="K91" s="85" t="s">
        <v>311</v>
      </c>
      <c r="L91" s="86" t="str">
        <f t="shared" si="6"/>
        <v>EXCLUDE</v>
      </c>
      <c r="M91" s="86" t="str">
        <f t="shared" si="7"/>
        <v>Wrong domain (non-AECO)</v>
      </c>
      <c r="N91" s="87"/>
      <c r="O91" s="87"/>
      <c r="P91" s="88"/>
      <c r="Q91" s="88"/>
      <c r="R91" s="88"/>
      <c r="S91" s="86" t="str">
        <f t="shared" si="8"/>
        <v/>
      </c>
      <c r="T91" s="86" t="str">
        <f t="shared" si="9"/>
        <v/>
      </c>
      <c r="U91" s="89"/>
      <c r="V91" s="89"/>
      <c r="W91" s="89"/>
      <c r="X91" s="89"/>
      <c r="Y91" s="86" t="str">
        <f t="shared" si="10"/>
        <v/>
      </c>
      <c r="Z91" s="89"/>
      <c r="AA91" s="89"/>
      <c r="AB91" s="89"/>
      <c r="AC91" s="89"/>
      <c r="AD91" s="89"/>
      <c r="AE91" s="89"/>
      <c r="AF91" s="89"/>
      <c r="AG91" s="90" t="s">
        <v>377</v>
      </c>
      <c r="AH91" s="35"/>
      <c r="AI91" s="35"/>
      <c r="AK91"/>
      <c r="AM91" s="56"/>
      <c r="AN91" s="57"/>
      <c r="AO91" s="63" t="str">
        <f>IF($A91="","",IFERROR(_xlfn.XLOOKUP($A91,'2_DOI_Lookup'!$A$2:$A$430,'2_DOI_Lookup'!$B$2:$B$430),"NOT IN SOURCE"))</f>
        <v>10.1109/TIV.2024.3377163</v>
      </c>
    </row>
    <row r="92" spans="1:41" ht="102.6" x14ac:dyDescent="0.3">
      <c r="A92" s="26">
        <v>3876</v>
      </c>
      <c r="B92" s="9" t="s">
        <v>194</v>
      </c>
      <c r="C92" s="32">
        <v>2024</v>
      </c>
      <c r="D92" s="9"/>
      <c r="E92" s="9" t="str">
        <f>IF($A92="","",IFERROR(_xlfn.XLOOKUP($A92,'2_DOI_Lookup'!$D$2:$D$430,'2_DOI_Lookup'!$E$2:$E$430),"TITLE NOT IN SOURCE"))</f>
        <v>Bridge Digital Twin for Practical Bridge Operation and Maintenance by Integrating GIS and BIM</v>
      </c>
      <c r="F92" s="26" t="s">
        <v>310</v>
      </c>
      <c r="G92" s="27" t="s">
        <v>311</v>
      </c>
      <c r="H92" s="27" t="s">
        <v>311</v>
      </c>
      <c r="I92" s="27" t="s">
        <v>311</v>
      </c>
      <c r="J92" s="27" t="s">
        <v>311</v>
      </c>
      <c r="K92" s="27" t="s">
        <v>311</v>
      </c>
      <c r="L92" s="28" t="str">
        <f t="shared" si="6"/>
        <v>INCLUDE</v>
      </c>
      <c r="M92" s="28" t="str">
        <f t="shared" si="7"/>
        <v/>
      </c>
      <c r="N92" s="29" t="s">
        <v>311</v>
      </c>
      <c r="O92" s="29" t="s">
        <v>311</v>
      </c>
      <c r="P92" s="30" t="s">
        <v>311</v>
      </c>
      <c r="Q92" s="30" t="s">
        <v>311</v>
      </c>
      <c r="R92" s="30" t="s">
        <v>311</v>
      </c>
      <c r="S92" s="28" t="str">
        <f t="shared" si="8"/>
        <v>INCLUDE</v>
      </c>
      <c r="T92" s="28" t="str">
        <f t="shared" si="9"/>
        <v/>
      </c>
      <c r="U92" s="31" t="s">
        <v>61</v>
      </c>
      <c r="V92" s="31">
        <v>0</v>
      </c>
      <c r="W92" s="31">
        <v>0</v>
      </c>
      <c r="X92" s="31">
        <v>1</v>
      </c>
      <c r="Y92" s="28" t="str">
        <f t="shared" si="10"/>
        <v>Single</v>
      </c>
      <c r="Z92" s="31" t="s">
        <v>9</v>
      </c>
      <c r="AA92" s="31" t="s">
        <v>53</v>
      </c>
      <c r="AB92" s="31" t="s">
        <v>91</v>
      </c>
      <c r="AC92" s="31" t="s">
        <v>64</v>
      </c>
      <c r="AD92" s="31" t="s">
        <v>72</v>
      </c>
      <c r="AE92" s="31">
        <v>4</v>
      </c>
      <c r="AF92" s="31" t="s">
        <v>86</v>
      </c>
      <c r="AG92" s="15" t="s">
        <v>611</v>
      </c>
      <c r="AH92" s="97" t="s">
        <v>806</v>
      </c>
      <c r="AI92" s="97" t="s">
        <v>807</v>
      </c>
      <c r="AJ92" s="98" t="s">
        <v>1080</v>
      </c>
      <c r="AK92" s="98" t="s">
        <v>1117</v>
      </c>
      <c r="AL92" s="98" t="s">
        <v>1083</v>
      </c>
      <c r="AM92" s="99"/>
      <c r="AN92" s="100" t="s">
        <v>1315</v>
      </c>
      <c r="AO92" s="101" t="str">
        <f>IF($A92="","",IFERROR(_xlfn.XLOOKUP($A92,'2_DOI_Lookup'!$A$2:$A$430,'2_DOI_Lookup'!$B$2:$B$430),"NOT IN SOURCE"))</f>
        <v>10.3390/buildings14123731</v>
      </c>
    </row>
    <row r="93" spans="1:41" ht="45.6" hidden="1" x14ac:dyDescent="0.3">
      <c r="A93" s="73">
        <v>3786</v>
      </c>
      <c r="B93" s="74"/>
      <c r="C93" s="75"/>
      <c r="D93" s="74"/>
      <c r="E93" s="74" t="str">
        <f>IF($A93="","",IFERROR(_xlfn.XLOOKUP($A93,'2_DOI_Lookup'!$D$2:$D$430,'2_DOI_Lookup'!$E$2:$E$430),"TITLE NOT IN SOURCE"))</f>
        <v>Virtual and Augmented Reality Use Cases for Fusion Design Engineering</v>
      </c>
      <c r="F93" s="73" t="s">
        <v>309</v>
      </c>
      <c r="G93" s="76" t="s">
        <v>312</v>
      </c>
      <c r="H93" s="76" t="s">
        <v>312</v>
      </c>
      <c r="I93" s="76" t="s">
        <v>312</v>
      </c>
      <c r="J93" s="76" t="s">
        <v>311</v>
      </c>
      <c r="K93" s="76" t="s">
        <v>311</v>
      </c>
      <c r="L93" s="77" t="str">
        <f t="shared" si="6"/>
        <v>EXCLUDE</v>
      </c>
      <c r="M93" s="77" t="str">
        <f t="shared" si="7"/>
        <v>Wrong domain (non-AECO)</v>
      </c>
      <c r="N93" s="78"/>
      <c r="O93" s="78"/>
      <c r="P93" s="79"/>
      <c r="Q93" s="79"/>
      <c r="R93" s="79"/>
      <c r="S93" s="77" t="str">
        <f t="shared" si="8"/>
        <v/>
      </c>
      <c r="T93" s="77" t="str">
        <f t="shared" si="9"/>
        <v/>
      </c>
      <c r="U93" s="80"/>
      <c r="V93" s="80"/>
      <c r="W93" s="80"/>
      <c r="X93" s="80"/>
      <c r="Y93" s="77" t="str">
        <f t="shared" si="10"/>
        <v/>
      </c>
      <c r="Z93" s="80"/>
      <c r="AA93" s="80"/>
      <c r="AB93" s="80"/>
      <c r="AC93" s="80"/>
      <c r="AD93" s="80"/>
      <c r="AE93" s="80"/>
      <c r="AF93" s="80"/>
      <c r="AG93" s="81" t="s">
        <v>378</v>
      </c>
      <c r="AH93" s="35"/>
      <c r="AI93" s="35"/>
      <c r="AK93"/>
      <c r="AM93" s="56"/>
      <c r="AN93" s="57"/>
      <c r="AO93" s="63" t="str">
        <f>IF($A93="","",IFERROR(_xlfn.XLOOKUP($A93,'2_DOI_Lookup'!$A$2:$A$430,'2_DOI_Lookup'!$B$2:$B$430),"NOT IN SOURCE"))</f>
        <v>10.1016/j.fusengdes.2021.112780</v>
      </c>
    </row>
    <row r="94" spans="1:41" ht="45.6" hidden="1" x14ac:dyDescent="0.3">
      <c r="A94" s="26">
        <v>3778</v>
      </c>
      <c r="B94" s="9"/>
      <c r="C94" s="32"/>
      <c r="D94" s="9"/>
      <c r="E94" s="9" t="str">
        <f>IF($A94="","",IFERROR(_xlfn.XLOOKUP($A94,'2_DOI_Lookup'!$D$2:$D$430,'2_DOI_Lookup'!$E$2:$E$430),"TITLE NOT IN SOURCE"))</f>
        <v>Digital twin for smart coal mining workface: Technological frame and construction</v>
      </c>
      <c r="F94" s="26" t="s">
        <v>309</v>
      </c>
      <c r="G94" s="27" t="s">
        <v>312</v>
      </c>
      <c r="H94" s="27" t="s">
        <v>311</v>
      </c>
      <c r="I94" s="27" t="s">
        <v>311</v>
      </c>
      <c r="J94" s="27" t="s">
        <v>311</v>
      </c>
      <c r="K94" s="27" t="s">
        <v>312</v>
      </c>
      <c r="L94" s="28" t="str">
        <f t="shared" si="6"/>
        <v>EXCLUDE</v>
      </c>
      <c r="M94" s="28" t="str">
        <f t="shared" si="7"/>
        <v>Wrong domain (non-AECO)</v>
      </c>
      <c r="N94" s="29"/>
      <c r="O94" s="29"/>
      <c r="P94" s="30"/>
      <c r="Q94" s="30"/>
      <c r="R94" s="30"/>
      <c r="S94" s="28" t="str">
        <f t="shared" si="8"/>
        <v/>
      </c>
      <c r="T94" s="28" t="str">
        <f t="shared" si="9"/>
        <v/>
      </c>
      <c r="U94" s="31"/>
      <c r="V94" s="31"/>
      <c r="W94" s="31"/>
      <c r="X94" s="31"/>
      <c r="Y94" s="28" t="str">
        <f t="shared" si="10"/>
        <v/>
      </c>
      <c r="Z94" s="31"/>
      <c r="AA94" s="31"/>
      <c r="AB94" s="31"/>
      <c r="AC94" s="31"/>
      <c r="AD94" s="31"/>
      <c r="AE94" s="31"/>
      <c r="AF94" s="31"/>
      <c r="AG94" s="15" t="s">
        <v>379</v>
      </c>
      <c r="AH94" s="35"/>
      <c r="AI94" s="35"/>
      <c r="AK94"/>
      <c r="AM94" s="56"/>
      <c r="AN94" s="57"/>
      <c r="AO94" s="63" t="str">
        <f>IF($A94="","",IFERROR(_xlfn.XLOOKUP($A94,'2_DOI_Lookup'!$A$2:$A$430,'2_DOI_Lookup'!$B$2:$B$430),"NOT IN SOURCE"))</f>
        <v>10.13225/j.cnki.jccs.ZN20.0327</v>
      </c>
    </row>
    <row r="95" spans="1:41" ht="79.8" hidden="1" x14ac:dyDescent="0.3">
      <c r="A95" s="64">
        <v>3797</v>
      </c>
      <c r="B95" s="65"/>
      <c r="C95" s="66"/>
      <c r="D95" s="65"/>
      <c r="E95" s="65" t="str">
        <f>IF($A95="","",IFERROR(_xlfn.XLOOKUP($A95,'2_DOI_Lookup'!$D$2:$D$430,'2_DOI_Lookup'!$E$2:$E$430),"TITLE NOT IN SOURCE"))</f>
        <v>Construction of Autonomous Collaborative Resource Control System for Electric Vehicles Based on Intelligent Sensing Internet of Vehicles</v>
      </c>
      <c r="F95" s="64" t="s">
        <v>309</v>
      </c>
      <c r="G95" s="67" t="s">
        <v>312</v>
      </c>
      <c r="H95" s="67" t="s">
        <v>311</v>
      </c>
      <c r="I95" s="67" t="s">
        <v>312</v>
      </c>
      <c r="J95" s="67" t="s">
        <v>311</v>
      </c>
      <c r="K95" s="67" t="s">
        <v>311</v>
      </c>
      <c r="L95" s="68" t="str">
        <f t="shared" si="6"/>
        <v>EXCLUDE</v>
      </c>
      <c r="M95" s="68" t="str">
        <f t="shared" si="7"/>
        <v>Wrong domain (non-AECO)</v>
      </c>
      <c r="N95" s="69"/>
      <c r="O95" s="69"/>
      <c r="P95" s="70"/>
      <c r="Q95" s="70"/>
      <c r="R95" s="70"/>
      <c r="S95" s="68" t="str">
        <f t="shared" si="8"/>
        <v/>
      </c>
      <c r="T95" s="68" t="str">
        <f t="shared" si="9"/>
        <v/>
      </c>
      <c r="U95" s="71"/>
      <c r="V95" s="71"/>
      <c r="W95" s="71"/>
      <c r="X95" s="71"/>
      <c r="Y95" s="68" t="str">
        <f t="shared" si="10"/>
        <v/>
      </c>
      <c r="Z95" s="71"/>
      <c r="AA95" s="71"/>
      <c r="AB95" s="71"/>
      <c r="AC95" s="71"/>
      <c r="AD95" s="71"/>
      <c r="AE95" s="71"/>
      <c r="AF95" s="71"/>
      <c r="AG95" s="72" t="s">
        <v>380</v>
      </c>
      <c r="AH95" s="35"/>
      <c r="AI95" s="35"/>
      <c r="AK95"/>
      <c r="AM95" s="56"/>
      <c r="AN95" s="57"/>
      <c r="AO95" s="63" t="str">
        <f>IF($A95="","",IFERROR(_xlfn.XLOOKUP($A95,'2_DOI_Lookup'!$A$2:$A$430,'2_DOI_Lookup'!$B$2:$B$430),"NOT IN SOURCE"))</f>
        <v>10.1007/s13177-026-00684-z</v>
      </c>
    </row>
    <row r="96" spans="1:41" ht="316.8" x14ac:dyDescent="0.3">
      <c r="A96" s="26">
        <v>3979</v>
      </c>
      <c r="B96" s="9" t="s">
        <v>195</v>
      </c>
      <c r="C96" s="32">
        <v>2025</v>
      </c>
      <c r="D96" s="9"/>
      <c r="E96" s="9" t="str">
        <f>IF($A96="","",IFERROR(_xlfn.XLOOKUP($A96,'2_DOI_Lookup'!$D$2:$D$430,'2_DOI_Lookup'!$E$2:$E$430),"TITLE NOT IN SOURCE"))</f>
        <v>Integrating multi-source data for life-cycle risk assessment of bridge networks: a system digital twin framework</v>
      </c>
      <c r="F96" s="26" t="s">
        <v>310</v>
      </c>
      <c r="G96" s="27" t="s">
        <v>311</v>
      </c>
      <c r="H96" s="27" t="s">
        <v>311</v>
      </c>
      <c r="I96" s="27" t="s">
        <v>311</v>
      </c>
      <c r="J96" s="27" t="s">
        <v>311</v>
      </c>
      <c r="K96" s="27" t="s">
        <v>311</v>
      </c>
      <c r="L96" s="28" t="str">
        <f t="shared" si="6"/>
        <v>INCLUDE</v>
      </c>
      <c r="M96" s="28" t="str">
        <f t="shared" si="7"/>
        <v/>
      </c>
      <c r="N96" s="29" t="s">
        <v>49</v>
      </c>
      <c r="O96" s="29" t="s">
        <v>49</v>
      </c>
      <c r="P96" s="30" t="s">
        <v>49</v>
      </c>
      <c r="Q96" s="30" t="s">
        <v>49</v>
      </c>
      <c r="R96" s="30" t="s">
        <v>49</v>
      </c>
      <c r="S96" s="28" t="str">
        <f t="shared" si="8"/>
        <v>INCLUDE</v>
      </c>
      <c r="T96" s="28" t="str">
        <f t="shared" si="9"/>
        <v/>
      </c>
      <c r="U96" s="31" t="s">
        <v>61</v>
      </c>
      <c r="V96" s="31">
        <v>0</v>
      </c>
      <c r="W96" s="31">
        <v>0</v>
      </c>
      <c r="X96" s="31">
        <v>1</v>
      </c>
      <c r="Y96" s="28" t="str">
        <f t="shared" si="10"/>
        <v>Single</v>
      </c>
      <c r="Z96" s="31" t="s">
        <v>9</v>
      </c>
      <c r="AA96" s="31" t="s">
        <v>53</v>
      </c>
      <c r="AB96" s="31" t="s">
        <v>85</v>
      </c>
      <c r="AC96" s="31" t="s">
        <v>64</v>
      </c>
      <c r="AD96" s="31" t="s">
        <v>72</v>
      </c>
      <c r="AE96" s="31">
        <v>4</v>
      </c>
      <c r="AF96" s="31" t="s">
        <v>84</v>
      </c>
      <c r="AG96" s="15" t="s">
        <v>700</v>
      </c>
      <c r="AH96" s="97" t="s">
        <v>808</v>
      </c>
      <c r="AI96" s="97" t="s">
        <v>809</v>
      </c>
      <c r="AJ96" s="98" t="s">
        <v>1081</v>
      </c>
      <c r="AK96" s="98" t="s">
        <v>1118</v>
      </c>
      <c r="AL96" s="98" t="s">
        <v>1083</v>
      </c>
      <c r="AM96" s="99" t="s">
        <v>1449</v>
      </c>
      <c r="AN96" s="100" t="s">
        <v>1450</v>
      </c>
      <c r="AO96" s="101" t="str">
        <f>IF($A96="","",IFERROR(_xlfn.XLOOKUP($A96,'2_DOI_Lookup'!$A$2:$A$430,'2_DOI_Lookup'!$B$2:$B$430),"NOT IN SOURCE"))</f>
        <v>10.1186/s43065-025-00121-7</v>
      </c>
    </row>
    <row r="97" spans="1:41" ht="45.6" hidden="1" x14ac:dyDescent="0.3">
      <c r="A97" s="73">
        <v>3962</v>
      </c>
      <c r="B97" s="74"/>
      <c r="C97" s="75"/>
      <c r="D97" s="74"/>
      <c r="E97" s="74" t="str">
        <f>IF($A97="","",IFERROR(_xlfn.XLOOKUP($A97,'2_DOI_Lookup'!$D$2:$D$430,'2_DOI_Lookup'!$E$2:$E$430),"TITLE NOT IN SOURCE"))</f>
        <v>Federation of non-destructive testing data for bridge asset management</v>
      </c>
      <c r="F97" s="73" t="s">
        <v>310</v>
      </c>
      <c r="G97" s="76" t="s">
        <v>311</v>
      </c>
      <c r="H97" s="76" t="s">
        <v>312</v>
      </c>
      <c r="I97" s="76" t="s">
        <v>311</v>
      </c>
      <c r="J97" s="76" t="s">
        <v>311</v>
      </c>
      <c r="K97" s="76" t="s">
        <v>311</v>
      </c>
      <c r="L97" s="77" t="str">
        <f t="shared" si="6"/>
        <v>EXCLUDE</v>
      </c>
      <c r="M97" s="77" t="str">
        <f t="shared" si="7"/>
        <v>Digital Twin not core / buzzword</v>
      </c>
      <c r="N97" s="78"/>
      <c r="O97" s="78"/>
      <c r="P97" s="79"/>
      <c r="Q97" s="79"/>
      <c r="R97" s="79"/>
      <c r="S97" s="77" t="str">
        <f t="shared" si="8"/>
        <v/>
      </c>
      <c r="T97" s="77" t="str">
        <f t="shared" si="9"/>
        <v/>
      </c>
      <c r="U97" s="80"/>
      <c r="V97" s="80"/>
      <c r="W97" s="80"/>
      <c r="X97" s="80"/>
      <c r="Y97" s="77" t="str">
        <f t="shared" si="10"/>
        <v/>
      </c>
      <c r="Z97" s="80"/>
      <c r="AA97" s="80"/>
      <c r="AB97" s="80"/>
      <c r="AC97" s="80"/>
      <c r="AD97" s="80"/>
      <c r="AE97" s="80"/>
      <c r="AF97" s="80"/>
      <c r="AG97" s="81" t="s">
        <v>381</v>
      </c>
      <c r="AH97" s="35"/>
      <c r="AI97" s="35"/>
      <c r="AK97"/>
      <c r="AM97" s="56"/>
      <c r="AN97" s="57"/>
      <c r="AO97" s="63" t="str">
        <f>IF($A97="","",IFERROR(_xlfn.XLOOKUP($A97,'2_DOI_Lookup'!$A$2:$A$430,'2_DOI_Lookup'!$B$2:$B$430),"NOT IN SOURCE"))</f>
        <v>10.1680/jcien.25.00463</v>
      </c>
    </row>
    <row r="98" spans="1:41" ht="68.400000000000006" hidden="1" x14ac:dyDescent="0.3">
      <c r="A98" s="26">
        <v>3542</v>
      </c>
      <c r="B98" s="9"/>
      <c r="C98" s="32"/>
      <c r="D98" s="9"/>
      <c r="E98" s="9" t="str">
        <f>IF($A98="","",IFERROR(_xlfn.XLOOKUP($A98,'2_DOI_Lookup'!$D$2:$D$430,'2_DOI_Lookup'!$E$2:$E$430),"TITLE NOT IN SOURCE"))</f>
        <v>Construction of damage-free digital twin of damaged aero-engine blades for repair volume generation in remanufacturing</v>
      </c>
      <c r="F98" s="26" t="s">
        <v>309</v>
      </c>
      <c r="G98" s="27" t="s">
        <v>312</v>
      </c>
      <c r="H98" s="27" t="s">
        <v>311</v>
      </c>
      <c r="I98" s="27" t="s">
        <v>312</v>
      </c>
      <c r="J98" s="27" t="s">
        <v>311</v>
      </c>
      <c r="K98" s="27" t="s">
        <v>311</v>
      </c>
      <c r="L98" s="28" t="str">
        <f t="shared" si="6"/>
        <v>EXCLUDE</v>
      </c>
      <c r="M98" s="28" t="str">
        <f t="shared" si="7"/>
        <v>Wrong domain (non-AECO)</v>
      </c>
      <c r="N98" s="29"/>
      <c r="O98" s="29"/>
      <c r="P98" s="30"/>
      <c r="Q98" s="30"/>
      <c r="R98" s="30"/>
      <c r="S98" s="28" t="str">
        <f t="shared" si="8"/>
        <v/>
      </c>
      <c r="T98" s="28" t="str">
        <f t="shared" si="9"/>
        <v/>
      </c>
      <c r="U98" s="31"/>
      <c r="V98" s="31"/>
      <c r="W98" s="31"/>
      <c r="X98" s="31"/>
      <c r="Y98" s="28" t="str">
        <f t="shared" si="10"/>
        <v/>
      </c>
      <c r="Z98" s="31"/>
      <c r="AA98" s="31"/>
      <c r="AB98" s="31"/>
      <c r="AC98" s="31"/>
      <c r="AD98" s="31"/>
      <c r="AE98" s="31"/>
      <c r="AF98" s="31"/>
      <c r="AG98" s="15" t="s">
        <v>382</v>
      </c>
      <c r="AH98" s="35"/>
      <c r="AI98" s="35"/>
      <c r="AK98"/>
      <c r="AM98" s="56"/>
      <c r="AN98" s="57"/>
      <c r="AO98" s="63" t="str">
        <f>IF($A98="","",IFERROR(_xlfn.XLOOKUP($A98,'2_DOI_Lookup'!$A$2:$A$430,'2_DOI_Lookup'!$B$2:$B$430),"NOT IN SOURCE"))</f>
        <v>10.1016/j.rcim.2022.102335</v>
      </c>
    </row>
    <row r="99" spans="1:41" ht="91.2" hidden="1" x14ac:dyDescent="0.3">
      <c r="A99" s="26">
        <v>3580</v>
      </c>
      <c r="B99" s="9"/>
      <c r="C99" s="32"/>
      <c r="D99" s="9"/>
      <c r="E99" s="9" t="str">
        <f>IF($A99="","",IFERROR(_xlfn.XLOOKUP($A99,'2_DOI_Lookup'!$D$2:$D$430,'2_DOI_Lookup'!$E$2:$E$430),"TITLE NOT IN SOURCE"))</f>
        <v>The Conventional Construction Scenario and the Emergence of Advance Technologies in the Bridge Construction: Implementation, Impediments, and Case Study</v>
      </c>
      <c r="F99" s="26" t="s">
        <v>309</v>
      </c>
      <c r="G99" s="27" t="s">
        <v>311</v>
      </c>
      <c r="H99" s="27" t="s">
        <v>312</v>
      </c>
      <c r="I99" s="27" t="s">
        <v>312</v>
      </c>
      <c r="J99" s="27" t="s">
        <v>311</v>
      </c>
      <c r="K99" s="27" t="s">
        <v>311</v>
      </c>
      <c r="L99" s="28" t="str">
        <f t="shared" si="6"/>
        <v>EXCLUDE</v>
      </c>
      <c r="M99" s="28" t="str">
        <f t="shared" si="7"/>
        <v>Digital Twin not core / buzzword</v>
      </c>
      <c r="N99" s="29"/>
      <c r="O99" s="29"/>
      <c r="P99" s="30"/>
      <c r="Q99" s="30"/>
      <c r="R99" s="30"/>
      <c r="S99" s="28" t="str">
        <f t="shared" si="8"/>
        <v/>
      </c>
      <c r="T99" s="28" t="str">
        <f t="shared" si="9"/>
        <v/>
      </c>
      <c r="U99" s="31"/>
      <c r="V99" s="31"/>
      <c r="W99" s="31"/>
      <c r="X99" s="31"/>
      <c r="Y99" s="28" t="str">
        <f t="shared" si="10"/>
        <v/>
      </c>
      <c r="Z99" s="31"/>
      <c r="AA99" s="31"/>
      <c r="AB99" s="31"/>
      <c r="AC99" s="31"/>
      <c r="AD99" s="31"/>
      <c r="AE99" s="31"/>
      <c r="AF99" s="31"/>
      <c r="AG99" s="15" t="s">
        <v>383</v>
      </c>
      <c r="AH99" s="35"/>
      <c r="AI99" s="35"/>
      <c r="AK99"/>
      <c r="AM99" s="56"/>
      <c r="AN99" s="57"/>
      <c r="AO99" s="63" t="str">
        <f>IF($A99="","",IFERROR(_xlfn.XLOOKUP($A99,'2_DOI_Lookup'!$A$2:$A$430,'2_DOI_Lookup'!$B$2:$B$430),"NOT IN SOURCE"))</f>
        <v>10.1007/s40030-023-00732-x</v>
      </c>
    </row>
    <row r="100" spans="1:41" ht="45.6" hidden="1" x14ac:dyDescent="0.3">
      <c r="A100" s="64">
        <v>3611</v>
      </c>
      <c r="B100" s="65"/>
      <c r="C100" s="66"/>
      <c r="D100" s="65"/>
      <c r="E100" s="65" t="str">
        <f>IF($A100="","",IFERROR(_xlfn.XLOOKUP($A100,'2_DOI_Lookup'!$D$2:$D$430,'2_DOI_Lookup'!$E$2:$E$430),"TITLE NOT IN SOURCE"))</f>
        <v>Digital twin driven airflow intelligent control system for the air outlet of heading face</v>
      </c>
      <c r="F100" s="64" t="s">
        <v>309</v>
      </c>
      <c r="G100" s="67" t="s">
        <v>312</v>
      </c>
      <c r="H100" s="67" t="s">
        <v>311</v>
      </c>
      <c r="I100" s="67" t="s">
        <v>311</v>
      </c>
      <c r="J100" s="67" t="s">
        <v>311</v>
      </c>
      <c r="K100" s="67" t="s">
        <v>312</v>
      </c>
      <c r="L100" s="68" t="str">
        <f t="shared" si="6"/>
        <v>EXCLUDE</v>
      </c>
      <c r="M100" s="68" t="str">
        <f t="shared" si="7"/>
        <v>Wrong domain (non-AECO)</v>
      </c>
      <c r="N100" s="69"/>
      <c r="O100" s="69"/>
      <c r="P100" s="70"/>
      <c r="Q100" s="70"/>
      <c r="R100" s="70"/>
      <c r="S100" s="68" t="str">
        <f t="shared" si="8"/>
        <v/>
      </c>
      <c r="T100" s="68" t="str">
        <f t="shared" si="9"/>
        <v/>
      </c>
      <c r="U100" s="71"/>
      <c r="V100" s="71"/>
      <c r="W100" s="71"/>
      <c r="X100" s="71"/>
      <c r="Y100" s="68" t="str">
        <f t="shared" si="10"/>
        <v/>
      </c>
      <c r="Z100" s="71"/>
      <c r="AA100" s="71"/>
      <c r="AB100" s="71"/>
      <c r="AC100" s="71"/>
      <c r="AD100" s="71"/>
      <c r="AE100" s="71"/>
      <c r="AF100" s="71"/>
      <c r="AG100" s="72" t="s">
        <v>384</v>
      </c>
      <c r="AH100" s="35"/>
      <c r="AI100" s="35"/>
      <c r="AK100"/>
      <c r="AM100" s="56"/>
      <c r="AN100" s="57"/>
      <c r="AO100" s="63" t="str">
        <f>IF($A100="","",IFERROR(_xlfn.XLOOKUP($A100,'2_DOI_Lookup'!$A$2:$A$430,'2_DOI_Lookup'!$B$2:$B$430),"NOT IN SOURCE"))</f>
        <v>10.13225/j.cnki.jccs.2020.0963</v>
      </c>
    </row>
    <row r="101" spans="1:41" ht="102.6" x14ac:dyDescent="0.3">
      <c r="A101" s="26">
        <v>4005</v>
      </c>
      <c r="B101" s="9" t="s">
        <v>196</v>
      </c>
      <c r="C101" s="32">
        <v>2023</v>
      </c>
      <c r="D101" s="9"/>
      <c r="E101" s="9" t="str">
        <f>IF($A101="","",IFERROR(_xlfn.XLOOKUP($A101,'2_DOI_Lookup'!$D$2:$D$430,'2_DOI_Lookup'!$E$2:$E$430),"TITLE NOT IN SOURCE"))</f>
        <v>Mixed Reality for Safe and Reliable Human-Robot Collaboration in Timber Frame Construction</v>
      </c>
      <c r="F101" s="26" t="s">
        <v>310</v>
      </c>
      <c r="G101" s="27" t="s">
        <v>311</v>
      </c>
      <c r="H101" s="27" t="s">
        <v>311</v>
      </c>
      <c r="I101" s="27" t="s">
        <v>311</v>
      </c>
      <c r="J101" s="27" t="s">
        <v>311</v>
      </c>
      <c r="K101" s="27" t="s">
        <v>311</v>
      </c>
      <c r="L101" s="28" t="str">
        <f t="shared" si="6"/>
        <v>INCLUDE</v>
      </c>
      <c r="M101" s="28" t="str">
        <f t="shared" si="7"/>
        <v/>
      </c>
      <c r="N101" s="29" t="s">
        <v>311</v>
      </c>
      <c r="O101" s="29" t="s">
        <v>311</v>
      </c>
      <c r="P101" s="30" t="s">
        <v>311</v>
      </c>
      <c r="Q101" s="30" t="s">
        <v>311</v>
      </c>
      <c r="R101" s="30" t="s">
        <v>311</v>
      </c>
      <c r="S101" s="28" t="str">
        <f t="shared" si="8"/>
        <v>INCLUDE</v>
      </c>
      <c r="T101" s="28" t="str">
        <f t="shared" si="9"/>
        <v/>
      </c>
      <c r="U101" s="31" t="s">
        <v>68</v>
      </c>
      <c r="V101" s="31">
        <v>0</v>
      </c>
      <c r="W101" s="31">
        <v>1</v>
      </c>
      <c r="X101" s="31">
        <v>0</v>
      </c>
      <c r="Y101" s="28" t="str">
        <f t="shared" si="10"/>
        <v>Single</v>
      </c>
      <c r="Z101" s="31" t="s">
        <v>9</v>
      </c>
      <c r="AA101" s="31" t="s">
        <v>53</v>
      </c>
      <c r="AB101" s="31" t="s">
        <v>54</v>
      </c>
      <c r="AC101" s="31" t="s">
        <v>64</v>
      </c>
      <c r="AD101" s="31" t="s">
        <v>72</v>
      </c>
      <c r="AE101" s="31">
        <v>4</v>
      </c>
      <c r="AF101" s="31" t="s">
        <v>80</v>
      </c>
      <c r="AG101" s="15" t="s">
        <v>612</v>
      </c>
      <c r="AH101" s="97" t="s">
        <v>810</v>
      </c>
      <c r="AI101" s="97" t="s">
        <v>811</v>
      </c>
      <c r="AJ101" s="98" t="s">
        <v>1080</v>
      </c>
      <c r="AK101" s="98" t="s">
        <v>1119</v>
      </c>
      <c r="AL101" s="98" t="s">
        <v>1083</v>
      </c>
      <c r="AM101" s="99"/>
      <c r="AN101" s="100" t="s">
        <v>1431</v>
      </c>
      <c r="AO101" s="101" t="str">
        <f>IF($A101="","",IFERROR(_xlfn.XLOOKUP($A101,'2_DOI_Lookup'!$A$2:$A$430,'2_DOI_Lookup'!$B$2:$B$430),"NOT IN SOURCE"))</f>
        <v>10.3390/buildings13081965</v>
      </c>
    </row>
    <row r="102" spans="1:41" ht="45.6" hidden="1" x14ac:dyDescent="0.3">
      <c r="A102" s="73">
        <v>3652</v>
      </c>
      <c r="B102" s="74"/>
      <c r="C102" s="75"/>
      <c r="D102" s="74"/>
      <c r="E102" s="74" t="str">
        <f>IF($A102="","",IFERROR(_xlfn.XLOOKUP($A102,'2_DOI_Lookup'!$D$2:$D$430,'2_DOI_Lookup'!$E$2:$E$430),"TITLE NOT IN SOURCE"))</f>
        <v>Protecting critical infrastructure against cascading effects: The PRECINCT approach</v>
      </c>
      <c r="F102" s="73" t="s">
        <v>309</v>
      </c>
      <c r="G102" s="76" t="s">
        <v>312</v>
      </c>
      <c r="H102" s="76" t="s">
        <v>311</v>
      </c>
      <c r="I102" s="76" t="s">
        <v>312</v>
      </c>
      <c r="J102" s="76" t="s">
        <v>311</v>
      </c>
      <c r="K102" s="76" t="s">
        <v>311</v>
      </c>
      <c r="L102" s="77" t="str">
        <f t="shared" si="6"/>
        <v>EXCLUDE</v>
      </c>
      <c r="M102" s="77" t="str">
        <f t="shared" si="7"/>
        <v>Wrong domain (non-AECO)</v>
      </c>
      <c r="N102" s="78"/>
      <c r="O102" s="78"/>
      <c r="P102" s="79"/>
      <c r="Q102" s="79"/>
      <c r="R102" s="79"/>
      <c r="S102" s="77" t="str">
        <f t="shared" si="8"/>
        <v/>
      </c>
      <c r="T102" s="77" t="str">
        <f t="shared" si="9"/>
        <v/>
      </c>
      <c r="U102" s="80"/>
      <c r="V102" s="80"/>
      <c r="W102" s="80"/>
      <c r="X102" s="80"/>
      <c r="Y102" s="77" t="str">
        <f t="shared" si="10"/>
        <v/>
      </c>
      <c r="Z102" s="80"/>
      <c r="AA102" s="80"/>
      <c r="AB102" s="80"/>
      <c r="AC102" s="80"/>
      <c r="AD102" s="80"/>
      <c r="AE102" s="80"/>
      <c r="AF102" s="80"/>
      <c r="AG102" s="81" t="s">
        <v>385</v>
      </c>
      <c r="AH102" s="35"/>
      <c r="AI102" s="35"/>
      <c r="AK102"/>
      <c r="AM102" s="56"/>
      <c r="AN102" s="57"/>
      <c r="AO102" s="63" t="str">
        <f>IF($A102="","",IFERROR(_xlfn.XLOOKUP($A102,'2_DOI_Lookup'!$A$2:$A$430,'2_DOI_Lookup'!$B$2:$B$430),"NOT IN SOURCE"))</f>
        <v>10.1016/j.rcns.2024.04.001</v>
      </c>
    </row>
    <row r="103" spans="1:41" ht="34.200000000000003" hidden="1" x14ac:dyDescent="0.3">
      <c r="A103" s="64">
        <v>3942</v>
      </c>
      <c r="B103" s="65"/>
      <c r="C103" s="66"/>
      <c r="D103" s="65"/>
      <c r="E103" s="65" t="str">
        <f>IF($A103="","",IFERROR(_xlfn.XLOOKUP($A103,'2_DOI_Lookup'!$D$2:$D$430,'2_DOI_Lookup'!$E$2:$E$430),"TITLE NOT IN SOURCE"))</f>
        <v>Robotic devices for Structural Health Monitoring</v>
      </c>
      <c r="F103" s="64" t="s">
        <v>310</v>
      </c>
      <c r="G103" s="67" t="s">
        <v>311</v>
      </c>
      <c r="H103" s="67" t="s">
        <v>312</v>
      </c>
      <c r="I103" s="67" t="s">
        <v>311</v>
      </c>
      <c r="J103" s="67" t="s">
        <v>311</v>
      </c>
      <c r="K103" s="67" t="s">
        <v>311</v>
      </c>
      <c r="L103" s="68" t="str">
        <f t="shared" si="6"/>
        <v>EXCLUDE</v>
      </c>
      <c r="M103" s="68" t="str">
        <f t="shared" si="7"/>
        <v>Digital Twin not core / buzzword</v>
      </c>
      <c r="N103" s="69"/>
      <c r="O103" s="69"/>
      <c r="P103" s="70"/>
      <c r="Q103" s="70"/>
      <c r="R103" s="70"/>
      <c r="S103" s="68" t="str">
        <f t="shared" si="8"/>
        <v/>
      </c>
      <c r="T103" s="68" t="str">
        <f t="shared" si="9"/>
        <v/>
      </c>
      <c r="U103" s="71"/>
      <c r="V103" s="71"/>
      <c r="W103" s="71"/>
      <c r="X103" s="71"/>
      <c r="Y103" s="68" t="str">
        <f t="shared" si="10"/>
        <v/>
      </c>
      <c r="Z103" s="71"/>
      <c r="AA103" s="71"/>
      <c r="AB103" s="71"/>
      <c r="AC103" s="71"/>
      <c r="AD103" s="71"/>
      <c r="AE103" s="71"/>
      <c r="AF103" s="71"/>
      <c r="AG103" s="72" t="s">
        <v>386</v>
      </c>
      <c r="AH103" s="35"/>
      <c r="AI103" s="35"/>
      <c r="AK103"/>
      <c r="AM103" s="56"/>
      <c r="AN103" s="57"/>
      <c r="AO103" s="63" t="str">
        <f>IF($A103="","",IFERROR(_xlfn.XLOOKUP($A103,'2_DOI_Lookup'!$A$2:$A$430,'2_DOI_Lookup'!$B$2:$B$430),"NOT IN SOURCE"))</f>
        <v>10.1002/suco.202400890</v>
      </c>
    </row>
    <row r="104" spans="1:41" ht="114" x14ac:dyDescent="0.3">
      <c r="A104" s="26">
        <v>4026</v>
      </c>
      <c r="B104" s="9" t="s">
        <v>197</v>
      </c>
      <c r="C104" s="32">
        <v>2023</v>
      </c>
      <c r="D104" s="9"/>
      <c r="E104" s="9" t="str">
        <f>IF($A104="","",IFERROR(_xlfn.XLOOKUP($A104,'2_DOI_Lookup'!$D$2:$D$430,'2_DOI_Lookup'!$E$2:$E$430),"TITLE NOT IN SOURCE"))</f>
        <v>Data-Driven Condition Assessment and Life Cycle Analysis Methods for Dynamically and Fatigue-Loaded Railway Infrastructure Components</v>
      </c>
      <c r="F104" s="26" t="s">
        <v>310</v>
      </c>
      <c r="G104" s="27" t="s">
        <v>311</v>
      </c>
      <c r="H104" s="27" t="s">
        <v>311</v>
      </c>
      <c r="I104" s="27" t="s">
        <v>311</v>
      </c>
      <c r="J104" s="27" t="s">
        <v>311</v>
      </c>
      <c r="K104" s="27" t="s">
        <v>311</v>
      </c>
      <c r="L104" s="28" t="str">
        <f t="shared" si="6"/>
        <v>INCLUDE</v>
      </c>
      <c r="M104" s="28" t="str">
        <f t="shared" si="7"/>
        <v/>
      </c>
      <c r="N104" s="29" t="s">
        <v>49</v>
      </c>
      <c r="O104" s="29" t="s">
        <v>49</v>
      </c>
      <c r="P104" s="30" t="s">
        <v>49</v>
      </c>
      <c r="Q104" s="30" t="s">
        <v>49</v>
      </c>
      <c r="R104" s="30" t="s">
        <v>49</v>
      </c>
      <c r="S104" s="28" t="str">
        <f t="shared" si="8"/>
        <v>INCLUDE</v>
      </c>
      <c r="T104" s="28" t="str">
        <f t="shared" si="9"/>
        <v/>
      </c>
      <c r="U104" s="31" t="s">
        <v>52</v>
      </c>
      <c r="V104" s="31">
        <v>0</v>
      </c>
      <c r="W104" s="31">
        <v>0</v>
      </c>
      <c r="X104" s="31">
        <v>1</v>
      </c>
      <c r="Y104" s="28" t="str">
        <f t="shared" si="10"/>
        <v>Single</v>
      </c>
      <c r="Z104" s="31" t="s">
        <v>9</v>
      </c>
      <c r="AA104" s="31" t="s">
        <v>62</v>
      </c>
      <c r="AB104" s="31" t="s">
        <v>88</v>
      </c>
      <c r="AC104" s="31" t="s">
        <v>64</v>
      </c>
      <c r="AD104" s="31" t="s">
        <v>65</v>
      </c>
      <c r="AE104" s="31">
        <v>4</v>
      </c>
      <c r="AF104" s="31" t="s">
        <v>84</v>
      </c>
      <c r="AG104" s="15" t="s">
        <v>701</v>
      </c>
      <c r="AH104" s="97" t="s">
        <v>812</v>
      </c>
      <c r="AI104" s="97" t="s">
        <v>813</v>
      </c>
      <c r="AJ104" s="98" t="s">
        <v>82</v>
      </c>
      <c r="AK104" s="98" t="s">
        <v>1120</v>
      </c>
      <c r="AL104" s="98" t="s">
        <v>1083</v>
      </c>
      <c r="AM104" s="99"/>
      <c r="AN104" s="100" t="s">
        <v>1437</v>
      </c>
      <c r="AO104" s="101" t="str">
        <f>IF($A104="","",IFERROR(_xlfn.XLOOKUP($A104,'2_DOI_Lookup'!$A$2:$A$430,'2_DOI_Lookup'!$B$2:$B$430),"NOT IN SOURCE"))</f>
        <v>10.3390/infrastructures8110162</v>
      </c>
    </row>
    <row r="105" spans="1:41" ht="45.6" hidden="1" x14ac:dyDescent="0.3">
      <c r="A105" s="82">
        <v>4031</v>
      </c>
      <c r="B105" s="83"/>
      <c r="C105" s="84"/>
      <c r="D105" s="83"/>
      <c r="E105" s="83" t="str">
        <f>IF($A105="","",IFERROR(_xlfn.XLOOKUP($A105,'2_DOI_Lookup'!$D$2:$D$430,'2_DOI_Lookup'!$E$2:$E$430),"TITLE NOT IN SOURCE"))</f>
        <v>Dynamic train-bridge compatibility: the reference method as a new form of verification</v>
      </c>
      <c r="F105" s="82" t="s">
        <v>310</v>
      </c>
      <c r="G105" s="85" t="s">
        <v>311</v>
      </c>
      <c r="H105" s="85" t="s">
        <v>312</v>
      </c>
      <c r="I105" s="85" t="s">
        <v>311</v>
      </c>
      <c r="J105" s="85" t="s">
        <v>311</v>
      </c>
      <c r="K105" s="85" t="s">
        <v>311</v>
      </c>
      <c r="L105" s="86" t="str">
        <f t="shared" si="6"/>
        <v>EXCLUDE</v>
      </c>
      <c r="M105" s="86" t="str">
        <f t="shared" si="7"/>
        <v>Digital Twin not core / buzzword</v>
      </c>
      <c r="N105" s="87"/>
      <c r="O105" s="87"/>
      <c r="P105" s="88"/>
      <c r="Q105" s="88"/>
      <c r="R105" s="88"/>
      <c r="S105" s="86" t="str">
        <f t="shared" si="8"/>
        <v/>
      </c>
      <c r="T105" s="86" t="str">
        <f t="shared" si="9"/>
        <v/>
      </c>
      <c r="U105" s="89"/>
      <c r="V105" s="89"/>
      <c r="W105" s="89"/>
      <c r="X105" s="89"/>
      <c r="Y105" s="86" t="str">
        <f t="shared" si="10"/>
        <v/>
      </c>
      <c r="Z105" s="89"/>
      <c r="AA105" s="89"/>
      <c r="AB105" s="89"/>
      <c r="AC105" s="89"/>
      <c r="AD105" s="89"/>
      <c r="AE105" s="89"/>
      <c r="AF105" s="89"/>
      <c r="AG105" s="90" t="s">
        <v>387</v>
      </c>
      <c r="AH105" s="35"/>
      <c r="AI105" s="35"/>
      <c r="AK105"/>
      <c r="AM105" s="56"/>
      <c r="AN105" s="57"/>
      <c r="AO105" s="63" t="str">
        <f>IF($A105="","",IFERROR(_xlfn.XLOOKUP($A105,'2_DOI_Lookup'!$A$2:$A$430,'2_DOI_Lookup'!$B$2:$B$430),"NOT IN SOURCE"))</f>
        <v>10.1002/bate.202300009</v>
      </c>
    </row>
    <row r="106" spans="1:41" ht="91.2" x14ac:dyDescent="0.3">
      <c r="A106" s="26">
        <v>3577</v>
      </c>
      <c r="B106" s="9" t="s">
        <v>198</v>
      </c>
      <c r="C106" s="32">
        <v>2023</v>
      </c>
      <c r="D106" s="9"/>
      <c r="E106" s="9" t="str">
        <f>IF($A106="","",IFERROR(_xlfn.XLOOKUP($A106,'2_DOI_Lookup'!$D$2:$D$430,'2_DOI_Lookup'!$E$2:$E$430),"TITLE NOT IN SOURCE"))</f>
        <v>A Metaverse-Based Teaching Building Evacuation Training System With Deep Reinforcement Learning</v>
      </c>
      <c r="F106" s="26" t="s">
        <v>309</v>
      </c>
      <c r="G106" s="27" t="s">
        <v>311</v>
      </c>
      <c r="H106" s="27" t="s">
        <v>311</v>
      </c>
      <c r="I106" s="27" t="s">
        <v>311</v>
      </c>
      <c r="J106" s="27" t="s">
        <v>311</v>
      </c>
      <c r="K106" s="27" t="s">
        <v>311</v>
      </c>
      <c r="L106" s="28" t="str">
        <f t="shared" si="6"/>
        <v>INCLUDE</v>
      </c>
      <c r="M106" s="28" t="str">
        <f t="shared" si="7"/>
        <v/>
      </c>
      <c r="N106" s="29" t="s">
        <v>311</v>
      </c>
      <c r="O106" s="29" t="s">
        <v>311</v>
      </c>
      <c r="P106" s="30" t="s">
        <v>311</v>
      </c>
      <c r="Q106" s="30" t="s">
        <v>311</v>
      </c>
      <c r="R106" s="30" t="s">
        <v>311</v>
      </c>
      <c r="S106" s="28" t="str">
        <f t="shared" si="8"/>
        <v>INCLUDE</v>
      </c>
      <c r="T106" s="28" t="str">
        <f t="shared" si="9"/>
        <v/>
      </c>
      <c r="U106" s="31" t="s">
        <v>61</v>
      </c>
      <c r="V106" s="31">
        <v>0</v>
      </c>
      <c r="W106" s="31">
        <v>0</v>
      </c>
      <c r="X106" s="31">
        <v>1</v>
      </c>
      <c r="Y106" s="28" t="str">
        <f t="shared" si="10"/>
        <v>Single</v>
      </c>
      <c r="Z106" s="31" t="s">
        <v>9</v>
      </c>
      <c r="AA106" s="31" t="s">
        <v>53</v>
      </c>
      <c r="AB106" s="31" t="s">
        <v>83</v>
      </c>
      <c r="AC106" s="31" t="s">
        <v>64</v>
      </c>
      <c r="AD106" s="31" t="s">
        <v>65</v>
      </c>
      <c r="AE106" s="31">
        <v>4</v>
      </c>
      <c r="AF106" s="31" t="s">
        <v>80</v>
      </c>
      <c r="AG106" s="15" t="s">
        <v>613</v>
      </c>
      <c r="AH106" s="97" t="s">
        <v>814</v>
      </c>
      <c r="AI106" s="97" t="s">
        <v>815</v>
      </c>
      <c r="AJ106" s="98" t="s">
        <v>82</v>
      </c>
      <c r="AK106" s="98" t="s">
        <v>1121</v>
      </c>
      <c r="AL106" s="98" t="s">
        <v>1083</v>
      </c>
      <c r="AM106" s="99"/>
      <c r="AN106" s="100" t="s">
        <v>1264</v>
      </c>
      <c r="AO106" s="101" t="str">
        <f>IF($A106="","",IFERROR(_xlfn.XLOOKUP($A106,'2_DOI_Lookup'!$A$2:$A$430,'2_DOI_Lookup'!$B$2:$B$430),"NOT IN SOURCE"))</f>
        <v>10.1109/TSMC.2022.3231299</v>
      </c>
    </row>
    <row r="107" spans="1:41" ht="68.400000000000006" hidden="1" x14ac:dyDescent="0.3">
      <c r="A107" s="82">
        <v>3908</v>
      </c>
      <c r="B107" s="83"/>
      <c r="C107" s="84"/>
      <c r="D107" s="83"/>
      <c r="E107" s="83" t="str">
        <f>IF($A107="","",IFERROR(_xlfn.XLOOKUP($A107,'2_DOI_Lookup'!$D$2:$D$430,'2_DOI_Lookup'!$E$2:$E$430),"TITLE NOT IN SOURCE"))</f>
        <v>The Challenge of Machine Learning and Artificial Intelligence in the Construction Sector: The Lesson Learned from the Rome Technopole Project</v>
      </c>
      <c r="F107" s="82" t="s">
        <v>310</v>
      </c>
      <c r="G107" s="85" t="s">
        <v>311</v>
      </c>
      <c r="H107" s="85" t="s">
        <v>311</v>
      </c>
      <c r="I107" s="85" t="s">
        <v>312</v>
      </c>
      <c r="J107" s="85" t="s">
        <v>311</v>
      </c>
      <c r="K107" s="85" t="s">
        <v>311</v>
      </c>
      <c r="L107" s="86" t="str">
        <f t="shared" si="6"/>
        <v>EXCLUDE</v>
      </c>
      <c r="M107" s="86" t="str">
        <f t="shared" si="7"/>
        <v>No Design for Safety/Quality/PtD</v>
      </c>
      <c r="N107" s="87"/>
      <c r="O107" s="87"/>
      <c r="P107" s="88"/>
      <c r="Q107" s="88"/>
      <c r="R107" s="88"/>
      <c r="S107" s="86" t="str">
        <f t="shared" si="8"/>
        <v/>
      </c>
      <c r="T107" s="86" t="str">
        <f t="shared" si="9"/>
        <v/>
      </c>
      <c r="U107" s="89"/>
      <c r="V107" s="89"/>
      <c r="W107" s="89"/>
      <c r="X107" s="89"/>
      <c r="Y107" s="86" t="str">
        <f t="shared" si="10"/>
        <v/>
      </c>
      <c r="Z107" s="89"/>
      <c r="AA107" s="89"/>
      <c r="AB107" s="89"/>
      <c r="AC107" s="89"/>
      <c r="AD107" s="89"/>
      <c r="AE107" s="89"/>
      <c r="AF107" s="89"/>
      <c r="AG107" s="90" t="s">
        <v>388</v>
      </c>
      <c r="AH107" s="35"/>
      <c r="AI107" s="35"/>
      <c r="AK107"/>
      <c r="AM107" s="56"/>
      <c r="AN107" s="57"/>
      <c r="AO107" s="63" t="str">
        <f>IF($A107="","",IFERROR(_xlfn.XLOOKUP($A107,'2_DOI_Lookup'!$A$2:$A$430,'2_DOI_Lookup'!$B$2:$B$430),"NOT IN SOURCE"))</f>
        <v>10.3390/app16104964</v>
      </c>
    </row>
    <row r="108" spans="1:41" ht="115.2" x14ac:dyDescent="0.3">
      <c r="A108" s="26">
        <v>3977</v>
      </c>
      <c r="B108" s="9" t="s">
        <v>199</v>
      </c>
      <c r="C108" s="32">
        <v>2026</v>
      </c>
      <c r="D108" s="9"/>
      <c r="E108" s="9" t="str">
        <f>IF($A108="","",IFERROR(_xlfn.XLOOKUP($A108,'2_DOI_Lookup'!$D$2:$D$430,'2_DOI_Lookup'!$E$2:$E$430),"TITLE NOT IN SOURCE"))</f>
        <v>AN INTELLIGENT CONSTRUCTION SYSTEM BASED ON DIGITAL TWIN AND FOUNDATION MODEL OPTIMIZATION</v>
      </c>
      <c r="F108" s="26" t="s">
        <v>310</v>
      </c>
      <c r="G108" s="27" t="s">
        <v>311</v>
      </c>
      <c r="H108" s="27" t="s">
        <v>311</v>
      </c>
      <c r="I108" s="27" t="s">
        <v>311</v>
      </c>
      <c r="J108" s="27" t="s">
        <v>311</v>
      </c>
      <c r="K108" s="27" t="s">
        <v>311</v>
      </c>
      <c r="L108" s="28" t="str">
        <f t="shared" si="6"/>
        <v>INCLUDE</v>
      </c>
      <c r="M108" s="28" t="str">
        <f t="shared" si="7"/>
        <v/>
      </c>
      <c r="N108" s="29" t="s">
        <v>311</v>
      </c>
      <c r="O108" s="29" t="s">
        <v>311</v>
      </c>
      <c r="P108" s="30" t="s">
        <v>311</v>
      </c>
      <c r="Q108" s="30" t="s">
        <v>311</v>
      </c>
      <c r="R108" s="30" t="s">
        <v>311</v>
      </c>
      <c r="S108" s="28" t="str">
        <f t="shared" si="8"/>
        <v>INCLUDE</v>
      </c>
      <c r="T108" s="28" t="str">
        <f t="shared" si="9"/>
        <v/>
      </c>
      <c r="U108" s="31" t="s">
        <v>68</v>
      </c>
      <c r="V108" s="31">
        <v>0</v>
      </c>
      <c r="W108" s="31">
        <v>1</v>
      </c>
      <c r="X108" s="31">
        <v>0</v>
      </c>
      <c r="Y108" s="28" t="str">
        <f t="shared" si="10"/>
        <v>Single</v>
      </c>
      <c r="Z108" s="31" t="s">
        <v>9</v>
      </c>
      <c r="AA108" s="31" t="s">
        <v>53</v>
      </c>
      <c r="AB108" s="31" t="s">
        <v>78</v>
      </c>
      <c r="AC108" s="31" t="s">
        <v>64</v>
      </c>
      <c r="AD108" s="31" t="s">
        <v>72</v>
      </c>
      <c r="AE108" s="31">
        <v>4</v>
      </c>
      <c r="AF108" s="31" t="s">
        <v>80</v>
      </c>
      <c r="AG108" s="15" t="s">
        <v>614</v>
      </c>
      <c r="AH108" s="97" t="s">
        <v>816</v>
      </c>
      <c r="AI108" s="97" t="s">
        <v>817</v>
      </c>
      <c r="AJ108" s="98" t="s">
        <v>1081</v>
      </c>
      <c r="AK108" s="98" t="s">
        <v>1122</v>
      </c>
      <c r="AL108" s="98" t="s">
        <v>1083</v>
      </c>
      <c r="AM108" s="99"/>
      <c r="AN108" s="100" t="s">
        <v>1417</v>
      </c>
      <c r="AO108" s="101" t="str">
        <f>IF($A108="","",IFERROR(_xlfn.XLOOKUP($A108,'2_DOI_Lookup'!$A$2:$A$430,'2_DOI_Lookup'!$B$2:$B$430),"NOT IN SOURCE"))</f>
        <v>10.3846/jcem.2026.26154</v>
      </c>
    </row>
    <row r="109" spans="1:41" ht="57" hidden="1" x14ac:dyDescent="0.3">
      <c r="A109" s="82">
        <v>3609</v>
      </c>
      <c r="B109" s="83"/>
      <c r="C109" s="84"/>
      <c r="D109" s="83"/>
      <c r="E109" s="83" t="str">
        <f>IF($A109="","",IFERROR(_xlfn.XLOOKUP($A109,'2_DOI_Lookup'!$D$2:$D$430,'2_DOI_Lookup'!$E$2:$E$430),"TITLE NOT IN SOURCE"))</f>
        <v>Study on the Construction and Application of Digital Twins on High Voltage Transmission Line Live Working Scenes</v>
      </c>
      <c r="F109" s="82" t="s">
        <v>309</v>
      </c>
      <c r="G109" s="85" t="s">
        <v>312</v>
      </c>
      <c r="H109" s="85" t="s">
        <v>311</v>
      </c>
      <c r="I109" s="85" t="s">
        <v>311</v>
      </c>
      <c r="J109" s="85" t="s">
        <v>311</v>
      </c>
      <c r="K109" s="85" t="s">
        <v>311</v>
      </c>
      <c r="L109" s="86" t="str">
        <f t="shared" si="6"/>
        <v>EXCLUDE</v>
      </c>
      <c r="M109" s="86" t="str">
        <f t="shared" si="7"/>
        <v>Wrong domain (non-AECO)</v>
      </c>
      <c r="N109" s="87"/>
      <c r="O109" s="87"/>
      <c r="P109" s="88"/>
      <c r="Q109" s="88"/>
      <c r="R109" s="88"/>
      <c r="S109" s="86" t="str">
        <f t="shared" si="8"/>
        <v/>
      </c>
      <c r="T109" s="86" t="str">
        <f t="shared" si="9"/>
        <v/>
      </c>
      <c r="U109" s="89"/>
      <c r="V109" s="89"/>
      <c r="W109" s="89"/>
      <c r="X109" s="89"/>
      <c r="Y109" s="86" t="str">
        <f t="shared" si="10"/>
        <v/>
      </c>
      <c r="Z109" s="89"/>
      <c r="AA109" s="89"/>
      <c r="AB109" s="89"/>
      <c r="AC109" s="89"/>
      <c r="AD109" s="89"/>
      <c r="AE109" s="89"/>
      <c r="AF109" s="89"/>
      <c r="AG109" s="90" t="s">
        <v>389</v>
      </c>
      <c r="AH109" s="35"/>
      <c r="AI109" s="35"/>
      <c r="AK109"/>
      <c r="AM109" s="56"/>
      <c r="AN109" s="57"/>
      <c r="AO109" s="63" t="str">
        <f>IF($A109="","",IFERROR(_xlfn.XLOOKUP($A109,'2_DOI_Lookup'!$A$2:$A$430,'2_DOI_Lookup'!$B$2:$B$430),"NOT IN SOURCE"))</f>
        <v>10.1109/ACCESS.2021.3097179</v>
      </c>
    </row>
    <row r="110" spans="1:41" ht="148.19999999999999" x14ac:dyDescent="0.3">
      <c r="A110" s="26">
        <v>3924</v>
      </c>
      <c r="B110" s="9" t="s">
        <v>200</v>
      </c>
      <c r="C110" s="32">
        <v>2025</v>
      </c>
      <c r="D110" s="9"/>
      <c r="E110" s="9" t="str">
        <f>IF($A110="","",IFERROR(_xlfn.XLOOKUP($A110,'2_DOI_Lookup'!$D$2:$D$430,'2_DOI_Lookup'!$E$2:$E$430),"TITLE NOT IN SOURCE"))</f>
        <v>A methodology for sky-space-ground integrated remote sensing monitoring: A digital twin framework for multi-source Data-BIM integration in residential quality monitoring</v>
      </c>
      <c r="F110" s="26" t="s">
        <v>310</v>
      </c>
      <c r="G110" s="27" t="s">
        <v>311</v>
      </c>
      <c r="H110" s="27" t="s">
        <v>311</v>
      </c>
      <c r="I110" s="27" t="s">
        <v>311</v>
      </c>
      <c r="J110" s="27" t="s">
        <v>311</v>
      </c>
      <c r="K110" s="27" t="s">
        <v>311</v>
      </c>
      <c r="L110" s="28" t="str">
        <f t="shared" si="6"/>
        <v>INCLUDE</v>
      </c>
      <c r="M110" s="28" t="str">
        <f t="shared" si="7"/>
        <v/>
      </c>
      <c r="N110" s="29" t="s">
        <v>311</v>
      </c>
      <c r="O110" s="29" t="s">
        <v>311</v>
      </c>
      <c r="P110" s="30" t="s">
        <v>311</v>
      </c>
      <c r="Q110" s="30" t="s">
        <v>311</v>
      </c>
      <c r="R110" s="30" t="s">
        <v>311</v>
      </c>
      <c r="S110" s="28" t="str">
        <f t="shared" si="8"/>
        <v>INCLUDE</v>
      </c>
      <c r="T110" s="28" t="str">
        <f t="shared" si="9"/>
        <v/>
      </c>
      <c r="U110" s="31" t="s">
        <v>61</v>
      </c>
      <c r="V110" s="31">
        <v>0</v>
      </c>
      <c r="W110" s="31">
        <v>0</v>
      </c>
      <c r="X110" s="31">
        <v>1</v>
      </c>
      <c r="Y110" s="28" t="str">
        <f t="shared" si="10"/>
        <v>Single</v>
      </c>
      <c r="Z110" s="31" t="s">
        <v>11</v>
      </c>
      <c r="AA110" s="31" t="s">
        <v>53</v>
      </c>
      <c r="AB110" s="31" t="s">
        <v>91</v>
      </c>
      <c r="AC110" s="31" t="s">
        <v>64</v>
      </c>
      <c r="AD110" s="31" t="s">
        <v>72</v>
      </c>
      <c r="AE110" s="31">
        <v>4</v>
      </c>
      <c r="AF110" s="31" t="s">
        <v>57</v>
      </c>
      <c r="AG110" s="15" t="s">
        <v>615</v>
      </c>
      <c r="AH110" s="97" t="s">
        <v>818</v>
      </c>
      <c r="AI110" s="97" t="s">
        <v>819</v>
      </c>
      <c r="AJ110" s="98" t="s">
        <v>1081</v>
      </c>
      <c r="AK110" s="98" t="s">
        <v>1123</v>
      </c>
      <c r="AL110" s="98" t="s">
        <v>1083</v>
      </c>
      <c r="AM110" s="99"/>
      <c r="AN110" s="100" t="s">
        <v>1370</v>
      </c>
      <c r="AO110" s="101" t="str">
        <f>IF($A110="","",IFERROR(_xlfn.XLOOKUP($A110,'2_DOI_Lookup'!$A$2:$A$430,'2_DOI_Lookup'!$B$2:$B$430),"NOT IN SOURCE"))</f>
        <v>10.1016/j.jobe.2025.111976</v>
      </c>
    </row>
    <row r="111" spans="1:41" ht="79.8" hidden="1" x14ac:dyDescent="0.3">
      <c r="A111" s="73">
        <v>3980</v>
      </c>
      <c r="B111" s="74"/>
      <c r="C111" s="75"/>
      <c r="D111" s="74"/>
      <c r="E111" s="74" t="str">
        <f>IF($A111="","",IFERROR(_xlfn.XLOOKUP($A111,'2_DOI_Lookup'!$D$2:$D$430,'2_DOI_Lookup'!$E$2:$E$430),"TITLE NOT IN SOURCE"))</f>
        <v>Digital twin-enabled cooperative autonomous truck platooning framework for modeling, cost estimation, and decision-making in transportation systems</v>
      </c>
      <c r="F111" s="73" t="s">
        <v>310</v>
      </c>
      <c r="G111" s="76" t="s">
        <v>312</v>
      </c>
      <c r="H111" s="76" t="s">
        <v>311</v>
      </c>
      <c r="I111" s="76" t="s">
        <v>312</v>
      </c>
      <c r="J111" s="76" t="s">
        <v>311</v>
      </c>
      <c r="K111" s="76" t="s">
        <v>311</v>
      </c>
      <c r="L111" s="77" t="str">
        <f t="shared" si="6"/>
        <v>EXCLUDE</v>
      </c>
      <c r="M111" s="77" t="str">
        <f t="shared" si="7"/>
        <v>Wrong domain (non-AECO)</v>
      </c>
      <c r="N111" s="78"/>
      <c r="O111" s="78"/>
      <c r="P111" s="79"/>
      <c r="Q111" s="79"/>
      <c r="R111" s="79"/>
      <c r="S111" s="77" t="str">
        <f t="shared" si="8"/>
        <v/>
      </c>
      <c r="T111" s="77" t="str">
        <f t="shared" si="9"/>
        <v/>
      </c>
      <c r="U111" s="80"/>
      <c r="V111" s="80"/>
      <c r="W111" s="80"/>
      <c r="X111" s="80"/>
      <c r="Y111" s="77" t="str">
        <f t="shared" si="10"/>
        <v/>
      </c>
      <c r="Z111" s="80"/>
      <c r="AA111" s="80"/>
      <c r="AB111" s="80"/>
      <c r="AC111" s="80"/>
      <c r="AD111" s="80"/>
      <c r="AE111" s="80"/>
      <c r="AF111" s="80"/>
      <c r="AG111" s="81" t="s">
        <v>390</v>
      </c>
      <c r="AH111" s="35"/>
      <c r="AI111" s="35"/>
      <c r="AK111"/>
      <c r="AM111" s="56"/>
      <c r="AN111" s="57"/>
      <c r="AO111" s="63" t="str">
        <f>IF($A111="","",IFERROR(_xlfn.XLOOKUP($A111,'2_DOI_Lookup'!$A$2:$A$430,'2_DOI_Lookup'!$B$2:$B$430),"NOT IN SOURCE"))</f>
        <v>10.1016/j.tre.2025.104596</v>
      </c>
    </row>
    <row r="112" spans="1:41" ht="79.8" hidden="1" x14ac:dyDescent="0.3">
      <c r="A112" s="64">
        <v>4045</v>
      </c>
      <c r="B112" s="65"/>
      <c r="C112" s="66"/>
      <c r="D112" s="65"/>
      <c r="E112" s="65" t="str">
        <f>IF($A112="","",IFERROR(_xlfn.XLOOKUP($A112,'2_DOI_Lookup'!$D$2:$D$430,'2_DOI_Lookup'!$E$2:$E$430),"TITLE NOT IN SOURCE"))</f>
        <v>Exploring the Impact of Construction 4.0 on Industrial Relations: A Comprehensive Thematic Synthesis of Workforce Transformation in the Digital Era of Construction</v>
      </c>
      <c r="F112" s="64" t="s">
        <v>310</v>
      </c>
      <c r="G112" s="67" t="s">
        <v>311</v>
      </c>
      <c r="H112" s="67" t="s">
        <v>312</v>
      </c>
      <c r="I112" s="67" t="s">
        <v>312</v>
      </c>
      <c r="J112" s="67" t="s">
        <v>311</v>
      </c>
      <c r="K112" s="67" t="s">
        <v>311</v>
      </c>
      <c r="L112" s="68" t="str">
        <f t="shared" si="6"/>
        <v>EXCLUDE</v>
      </c>
      <c r="M112" s="68" t="str">
        <f t="shared" si="7"/>
        <v>Digital Twin not core / buzzword</v>
      </c>
      <c r="N112" s="69"/>
      <c r="O112" s="69"/>
      <c r="P112" s="70"/>
      <c r="Q112" s="70"/>
      <c r="R112" s="70"/>
      <c r="S112" s="68" t="str">
        <f t="shared" si="8"/>
        <v/>
      </c>
      <c r="T112" s="68" t="str">
        <f t="shared" si="9"/>
        <v/>
      </c>
      <c r="U112" s="71"/>
      <c r="V112" s="71"/>
      <c r="W112" s="71"/>
      <c r="X112" s="71"/>
      <c r="Y112" s="68" t="str">
        <f t="shared" si="10"/>
        <v/>
      </c>
      <c r="Z112" s="71"/>
      <c r="AA112" s="71"/>
      <c r="AB112" s="71"/>
      <c r="AC112" s="71"/>
      <c r="AD112" s="71"/>
      <c r="AE112" s="71"/>
      <c r="AF112" s="71"/>
      <c r="AG112" s="72" t="s">
        <v>391</v>
      </c>
      <c r="AH112" s="35"/>
      <c r="AI112" s="35"/>
      <c r="AK112"/>
      <c r="AM112" s="56"/>
      <c r="AN112" s="57"/>
      <c r="AO112" s="63" t="str">
        <f>IF($A112="","",IFERROR(_xlfn.XLOOKUP($A112,'2_DOI_Lookup'!$A$2:$A$430,'2_DOI_Lookup'!$B$2:$B$430),"NOT IN SOURCE"))</f>
        <v>10.3390/buildings15091428</v>
      </c>
    </row>
    <row r="113" spans="1:41" ht="79.8" x14ac:dyDescent="0.3">
      <c r="A113" s="26">
        <v>3770</v>
      </c>
      <c r="B113" s="9" t="s">
        <v>201</v>
      </c>
      <c r="C113" s="32">
        <v>2020</v>
      </c>
      <c r="D113" s="9"/>
      <c r="E113" s="9" t="str">
        <f>IF($A113="","",IFERROR(_xlfn.XLOOKUP($A113,'2_DOI_Lookup'!$D$2:$D$430,'2_DOI_Lookup'!$E$2:$E$430),"TITLE NOT IN SOURCE"))</f>
        <v>Participatory Sensing and Digital Twin City: Updating Virtual City Models for Enhanced Risk-Informed Decision-Making</v>
      </c>
      <c r="F113" s="26" t="s">
        <v>309</v>
      </c>
      <c r="G113" s="27" t="s">
        <v>311</v>
      </c>
      <c r="H113" s="27" t="s">
        <v>311</v>
      </c>
      <c r="I113" s="27" t="s">
        <v>311</v>
      </c>
      <c r="J113" s="27" t="s">
        <v>311</v>
      </c>
      <c r="K113" s="27" t="s">
        <v>311</v>
      </c>
      <c r="L113" s="28" t="str">
        <f t="shared" si="6"/>
        <v>INCLUDE</v>
      </c>
      <c r="M113" s="28" t="str">
        <f t="shared" si="7"/>
        <v/>
      </c>
      <c r="N113" s="29" t="s">
        <v>49</v>
      </c>
      <c r="O113" s="29" t="s">
        <v>49</v>
      </c>
      <c r="P113" s="30" t="s">
        <v>49</v>
      </c>
      <c r="Q113" s="30" t="s">
        <v>49</v>
      </c>
      <c r="R113" s="30" t="s">
        <v>49</v>
      </c>
      <c r="S113" s="28" t="str">
        <f t="shared" si="8"/>
        <v>INCLUDE</v>
      </c>
      <c r="T113" s="28" t="str">
        <f t="shared" si="9"/>
        <v/>
      </c>
      <c r="U113" s="31" t="s">
        <v>61</v>
      </c>
      <c r="V113" s="31">
        <v>0</v>
      </c>
      <c r="W113" s="31">
        <v>0</v>
      </c>
      <c r="X113" s="31">
        <v>1</v>
      </c>
      <c r="Y113" s="28" t="str">
        <f t="shared" si="10"/>
        <v>Single</v>
      </c>
      <c r="Z113" s="31" t="s">
        <v>9</v>
      </c>
      <c r="AA113" s="31" t="s">
        <v>53</v>
      </c>
      <c r="AB113" s="31" t="s">
        <v>54</v>
      </c>
      <c r="AC113" s="31" t="s">
        <v>55</v>
      </c>
      <c r="AD113" s="31" t="s">
        <v>72</v>
      </c>
      <c r="AE113" s="31">
        <v>3</v>
      </c>
      <c r="AF113" s="31" t="s">
        <v>73</v>
      </c>
      <c r="AG113" s="15" t="s">
        <v>702</v>
      </c>
      <c r="AH113" s="97" t="s">
        <v>820</v>
      </c>
      <c r="AI113" s="97" t="s">
        <v>821</v>
      </c>
      <c r="AJ113" s="98" t="s">
        <v>1078</v>
      </c>
      <c r="AK113" s="115" t="s">
        <v>1124</v>
      </c>
      <c r="AL113" s="98" t="s">
        <v>1083</v>
      </c>
      <c r="AM113" s="99"/>
      <c r="AN113" s="100" t="s">
        <v>1296</v>
      </c>
      <c r="AO113" s="101" t="str">
        <f>IF($A113="","",IFERROR(_xlfn.XLOOKUP($A113,'2_DOI_Lookup'!$A$2:$A$430,'2_DOI_Lookup'!$B$2:$B$430),"NOT IN SOURCE"))</f>
        <v>10.1061/(ASCE)ME.1943-5479.0000748</v>
      </c>
    </row>
    <row r="114" spans="1:41" ht="100.8" x14ac:dyDescent="0.3">
      <c r="A114" s="26">
        <v>3926</v>
      </c>
      <c r="B114" s="9" t="s">
        <v>202</v>
      </c>
      <c r="C114" s="32">
        <v>2026</v>
      </c>
      <c r="D114" s="9"/>
      <c r="E114" s="9" t="str">
        <f>IF($A114="","",IFERROR(_xlfn.XLOOKUP($A114,'2_DOI_Lookup'!$D$2:$D$430,'2_DOI_Lookup'!$E$2:$E$430),"TITLE NOT IN SOURCE"))</f>
        <v>Construction Path of Shanghai Oriental Hub Municipal Pipeline Full Cycle Digital Twin Platform</v>
      </c>
      <c r="F114" s="26" t="s">
        <v>310</v>
      </c>
      <c r="G114" s="27" t="s">
        <v>311</v>
      </c>
      <c r="H114" s="27" t="s">
        <v>311</v>
      </c>
      <c r="I114" s="27" t="s">
        <v>311</v>
      </c>
      <c r="J114" s="27" t="s">
        <v>311</v>
      </c>
      <c r="K114" s="27" t="s">
        <v>311</v>
      </c>
      <c r="L114" s="28" t="str">
        <f t="shared" si="6"/>
        <v>INCLUDE</v>
      </c>
      <c r="M114" s="28" t="str">
        <f t="shared" si="7"/>
        <v/>
      </c>
      <c r="N114" s="29" t="s">
        <v>49</v>
      </c>
      <c r="O114" s="29" t="s">
        <v>49</v>
      </c>
      <c r="P114" s="30" t="s">
        <v>49</v>
      </c>
      <c r="Q114" s="30" t="s">
        <v>49</v>
      </c>
      <c r="R114" s="30" t="s">
        <v>49</v>
      </c>
      <c r="S114" s="28" t="str">
        <f t="shared" si="8"/>
        <v>INCLUDE</v>
      </c>
      <c r="T114" s="28" t="str">
        <f t="shared" si="9"/>
        <v/>
      </c>
      <c r="U114" s="31" t="s">
        <v>61</v>
      </c>
      <c r="V114" s="31">
        <v>1</v>
      </c>
      <c r="W114" s="31">
        <v>1</v>
      </c>
      <c r="X114" s="31">
        <v>1</v>
      </c>
      <c r="Y114" s="28" t="str">
        <f t="shared" si="10"/>
        <v>Multi</v>
      </c>
      <c r="Z114" s="31" t="s">
        <v>69</v>
      </c>
      <c r="AA114" s="31" t="s">
        <v>53</v>
      </c>
      <c r="AB114" s="31" t="s">
        <v>92</v>
      </c>
      <c r="AC114" s="31" t="s">
        <v>64</v>
      </c>
      <c r="AD114" s="31" t="s">
        <v>72</v>
      </c>
      <c r="AE114" s="31">
        <v>4</v>
      </c>
      <c r="AF114" s="31" t="s">
        <v>86</v>
      </c>
      <c r="AG114" s="15" t="s">
        <v>703</v>
      </c>
      <c r="AH114" s="97" t="s">
        <v>822</v>
      </c>
      <c r="AI114" s="97" t="s">
        <v>823</v>
      </c>
      <c r="AJ114" s="98" t="s">
        <v>1080</v>
      </c>
      <c r="AK114" s="98" t="s">
        <v>1125</v>
      </c>
      <c r="AL114" s="98" t="s">
        <v>1084</v>
      </c>
      <c r="AM114" s="99"/>
      <c r="AN114" s="100" t="s">
        <v>1371</v>
      </c>
      <c r="AO114" s="101" t="str">
        <f>IF($A114="","",IFERROR(_xlfn.XLOOKUP($A114,'2_DOI_Lookup'!$A$2:$A$430,'2_DOI_Lookup'!$B$2:$B$430),"NOT IN SOURCE"))</f>
        <v>10.1155/adce/8916300</v>
      </c>
    </row>
    <row r="115" spans="1:41" ht="345.6" x14ac:dyDescent="0.3">
      <c r="A115" s="26">
        <v>3959</v>
      </c>
      <c r="B115" s="9" t="s">
        <v>203</v>
      </c>
      <c r="C115" s="32">
        <v>2025</v>
      </c>
      <c r="D115" s="9" t="s">
        <v>1414</v>
      </c>
      <c r="E115" s="9" t="str">
        <f>IF($A115="","",IFERROR(_xlfn.XLOOKUP($A115,'2_DOI_Lookup'!$D$2:$D$430,'2_DOI_Lookup'!$E$2:$E$430),"TITLE NOT IN SOURCE"))</f>
        <v>Enhancing worker monitoring and management on large-scale construction sites with UAVs and digital twin modeling</v>
      </c>
      <c r="F115" s="26" t="s">
        <v>310</v>
      </c>
      <c r="G115" s="27" t="s">
        <v>311</v>
      </c>
      <c r="H115" s="27" t="s">
        <v>311</v>
      </c>
      <c r="I115" s="27" t="s">
        <v>311</v>
      </c>
      <c r="J115" s="27" t="s">
        <v>311</v>
      </c>
      <c r="K115" s="27" t="s">
        <v>311</v>
      </c>
      <c r="L115" s="28" t="str">
        <f t="shared" si="6"/>
        <v>INCLUDE</v>
      </c>
      <c r="M115" s="28" t="str">
        <f t="shared" si="7"/>
        <v/>
      </c>
      <c r="N115" s="29" t="s">
        <v>311</v>
      </c>
      <c r="O115" s="29" t="s">
        <v>311</v>
      </c>
      <c r="P115" s="30" t="s">
        <v>311</v>
      </c>
      <c r="Q115" s="30" t="s">
        <v>311</v>
      </c>
      <c r="R115" s="30" t="s">
        <v>311</v>
      </c>
      <c r="S115" s="28" t="str">
        <f t="shared" si="8"/>
        <v>INCLUDE</v>
      </c>
      <c r="T115" s="28" t="str">
        <f t="shared" si="9"/>
        <v/>
      </c>
      <c r="U115" s="31" t="s">
        <v>61</v>
      </c>
      <c r="V115" s="31">
        <v>0</v>
      </c>
      <c r="W115" s="31">
        <v>1</v>
      </c>
      <c r="X115" s="31">
        <v>0</v>
      </c>
      <c r="Y115" s="28" t="str">
        <f t="shared" si="10"/>
        <v>Single</v>
      </c>
      <c r="Z115" s="31" t="s">
        <v>9</v>
      </c>
      <c r="AA115" s="31" t="s">
        <v>53</v>
      </c>
      <c r="AB115" s="31" t="s">
        <v>54</v>
      </c>
      <c r="AC115" s="31" t="s">
        <v>64</v>
      </c>
      <c r="AD115" s="31" t="s">
        <v>79</v>
      </c>
      <c r="AE115" s="31">
        <v>4</v>
      </c>
      <c r="AF115" s="31" t="s">
        <v>80</v>
      </c>
      <c r="AG115" s="15" t="s">
        <v>616</v>
      </c>
      <c r="AH115" s="97" t="s">
        <v>824</v>
      </c>
      <c r="AI115" s="97" t="s">
        <v>825</v>
      </c>
      <c r="AJ115" s="98" t="s">
        <v>1081</v>
      </c>
      <c r="AK115" s="98" t="s">
        <v>1126</v>
      </c>
      <c r="AL115" s="98" t="s">
        <v>1083</v>
      </c>
      <c r="AM115" s="99" t="s">
        <v>1416</v>
      </c>
      <c r="AN115" s="100" t="s">
        <v>1415</v>
      </c>
      <c r="AO115" s="101" t="str">
        <f>IF($A115="","",IFERROR(_xlfn.XLOOKUP($A115,'2_DOI_Lookup'!$A$2:$A$430,'2_DOI_Lookup'!$B$2:$B$430),"NOT IN SOURCE"))</f>
        <v>10.1016/j.autcon.2025.106108</v>
      </c>
    </row>
    <row r="116" spans="1:41" ht="114" x14ac:dyDescent="0.3">
      <c r="A116" s="26">
        <v>3765</v>
      </c>
      <c r="B116" s="9" t="s">
        <v>202</v>
      </c>
      <c r="C116" s="32">
        <v>2026</v>
      </c>
      <c r="D116" s="9"/>
      <c r="E116" s="9" t="str">
        <f>IF($A116="","",IFERROR(_xlfn.XLOOKUP($A116,'2_DOI_Lookup'!$D$2:$D$430,'2_DOI_Lookup'!$E$2:$E$430),"TITLE NOT IN SOURCE"))</f>
        <v>Digital twin-driven pose estimation and trajectory prediction for modular integrated construction on-site stacking via spatio-temporal feature fusion modeling</v>
      </c>
      <c r="F116" s="26" t="s">
        <v>309</v>
      </c>
      <c r="G116" s="27" t="s">
        <v>311</v>
      </c>
      <c r="H116" s="27" t="s">
        <v>311</v>
      </c>
      <c r="I116" s="27" t="s">
        <v>311</v>
      </c>
      <c r="J116" s="27" t="s">
        <v>311</v>
      </c>
      <c r="K116" s="27" t="s">
        <v>311</v>
      </c>
      <c r="L116" s="28" t="str">
        <f t="shared" si="6"/>
        <v>INCLUDE</v>
      </c>
      <c r="M116" s="28" t="str">
        <f t="shared" si="7"/>
        <v/>
      </c>
      <c r="N116" s="29" t="s">
        <v>311</v>
      </c>
      <c r="O116" s="29" t="s">
        <v>311</v>
      </c>
      <c r="P116" s="30" t="s">
        <v>311</v>
      </c>
      <c r="Q116" s="30" t="s">
        <v>311</v>
      </c>
      <c r="R116" s="30" t="s">
        <v>311</v>
      </c>
      <c r="S116" s="28" t="str">
        <f t="shared" si="8"/>
        <v>INCLUDE</v>
      </c>
      <c r="T116" s="28" t="str">
        <f t="shared" si="9"/>
        <v/>
      </c>
      <c r="U116" s="31" t="s">
        <v>61</v>
      </c>
      <c r="V116" s="31">
        <v>0</v>
      </c>
      <c r="W116" s="31">
        <v>1</v>
      </c>
      <c r="X116" s="31">
        <v>0</v>
      </c>
      <c r="Y116" s="28" t="str">
        <f t="shared" si="10"/>
        <v>Single</v>
      </c>
      <c r="Z116" s="31" t="s">
        <v>9</v>
      </c>
      <c r="AA116" s="31" t="s">
        <v>53</v>
      </c>
      <c r="AB116" s="31" t="s">
        <v>78</v>
      </c>
      <c r="AC116" s="31" t="s">
        <v>64</v>
      </c>
      <c r="AD116" s="31" t="s">
        <v>72</v>
      </c>
      <c r="AE116" s="31">
        <v>4</v>
      </c>
      <c r="AF116" s="31" t="s">
        <v>84</v>
      </c>
      <c r="AG116" s="15" t="s">
        <v>617</v>
      </c>
      <c r="AH116" s="97" t="s">
        <v>826</v>
      </c>
      <c r="AI116" s="97" t="s">
        <v>827</v>
      </c>
      <c r="AJ116" s="98" t="s">
        <v>1081</v>
      </c>
      <c r="AK116" s="98" t="s">
        <v>1127</v>
      </c>
      <c r="AL116" s="98" t="s">
        <v>1083</v>
      </c>
      <c r="AM116" s="99"/>
      <c r="AN116" s="100" t="s">
        <v>1294</v>
      </c>
      <c r="AO116" s="101" t="str">
        <f>IF($A116="","",IFERROR(_xlfn.XLOOKUP($A116,'2_DOI_Lookup'!$A$2:$A$430,'2_DOI_Lookup'!$B$2:$B$430),"NOT IN SOURCE"))</f>
        <v>10.1016/j.compind.2026.104501</v>
      </c>
    </row>
    <row r="117" spans="1:41" ht="45.6" hidden="1" x14ac:dyDescent="0.3">
      <c r="A117" s="73">
        <v>3913</v>
      </c>
      <c r="B117" s="74"/>
      <c r="C117" s="75"/>
      <c r="D117" s="74"/>
      <c r="E117" s="74" t="str">
        <f>IF($A117="","",IFERROR(_xlfn.XLOOKUP($A117,'2_DOI_Lookup'!$D$2:$D$430,'2_DOI_Lookup'!$E$2:$E$430),"TITLE NOT IN SOURCE"))</f>
        <v>A Method for Building a Mixed-Reality Digital Twin of a Roadheader Monitoring System</v>
      </c>
      <c r="F117" s="73" t="s">
        <v>310</v>
      </c>
      <c r="G117" s="76" t="s">
        <v>312</v>
      </c>
      <c r="H117" s="76" t="s">
        <v>311</v>
      </c>
      <c r="I117" s="76" t="s">
        <v>311</v>
      </c>
      <c r="J117" s="76" t="s">
        <v>311</v>
      </c>
      <c r="K117" s="76" t="s">
        <v>311</v>
      </c>
      <c r="L117" s="77" t="str">
        <f t="shared" si="6"/>
        <v>EXCLUDE</v>
      </c>
      <c r="M117" s="77" t="str">
        <f t="shared" si="7"/>
        <v>Wrong domain (non-AECO)</v>
      </c>
      <c r="N117" s="78"/>
      <c r="O117" s="78"/>
      <c r="P117" s="79"/>
      <c r="Q117" s="79"/>
      <c r="R117" s="79"/>
      <c r="S117" s="77" t="str">
        <f t="shared" si="8"/>
        <v/>
      </c>
      <c r="T117" s="77" t="str">
        <f t="shared" si="9"/>
        <v/>
      </c>
      <c r="U117" s="80"/>
      <c r="V117" s="80"/>
      <c r="W117" s="80"/>
      <c r="X117" s="80"/>
      <c r="Y117" s="77" t="str">
        <f t="shared" si="10"/>
        <v/>
      </c>
      <c r="Z117" s="80"/>
      <c r="AA117" s="80"/>
      <c r="AB117" s="80"/>
      <c r="AC117" s="80"/>
      <c r="AD117" s="80"/>
      <c r="AE117" s="80"/>
      <c r="AF117" s="80"/>
      <c r="AG117" s="81" t="s">
        <v>392</v>
      </c>
      <c r="AH117" s="35"/>
      <c r="AI117" s="35"/>
      <c r="AK117"/>
      <c r="AM117" s="56"/>
      <c r="AN117" s="57"/>
      <c r="AO117" s="63" t="str">
        <f>IF($A117="","",IFERROR(_xlfn.XLOOKUP($A117,'2_DOI_Lookup'!$A$2:$A$430,'2_DOI_Lookup'!$B$2:$B$430),"NOT IN SOURCE"))</f>
        <v>10.3390/app142411582</v>
      </c>
    </row>
    <row r="118" spans="1:41" ht="68.400000000000006" hidden="1" x14ac:dyDescent="0.3">
      <c r="A118" s="64">
        <v>3636</v>
      </c>
      <c r="B118" s="65"/>
      <c r="C118" s="66"/>
      <c r="D118" s="65"/>
      <c r="E118" s="65" t="str">
        <f>IF($A118="","",IFERROR(_xlfn.XLOOKUP($A118,'2_DOI_Lookup'!$D$2:$D$430,'2_DOI_Lookup'!$E$2:$E$430),"TITLE NOT IN SOURCE"))</f>
        <v>A TOOL-BASED SYSTEM ARCHITECTURE FOR A DIGITAL TWIN: A CASE STUDY IN A HEALTHCARE FACILITY</v>
      </c>
      <c r="F118" s="64" t="s">
        <v>309</v>
      </c>
      <c r="G118" s="67" t="s">
        <v>311</v>
      </c>
      <c r="H118" s="67" t="s">
        <v>311</v>
      </c>
      <c r="I118" s="67" t="s">
        <v>312</v>
      </c>
      <c r="J118" s="67" t="s">
        <v>311</v>
      </c>
      <c r="K118" s="67" t="s">
        <v>311</v>
      </c>
      <c r="L118" s="68" t="str">
        <f t="shared" si="6"/>
        <v>EXCLUDE</v>
      </c>
      <c r="M118" s="68" t="str">
        <f t="shared" si="7"/>
        <v>No Design for Safety/Quality/PtD</v>
      </c>
      <c r="N118" s="69"/>
      <c r="O118" s="69"/>
      <c r="P118" s="70"/>
      <c r="Q118" s="70"/>
      <c r="R118" s="70"/>
      <c r="S118" s="68" t="str">
        <f t="shared" si="8"/>
        <v/>
      </c>
      <c r="T118" s="68" t="str">
        <f t="shared" si="9"/>
        <v/>
      </c>
      <c r="U118" s="71"/>
      <c r="V118" s="71"/>
      <c r="W118" s="71"/>
      <c r="X118" s="71"/>
      <c r="Y118" s="68" t="str">
        <f t="shared" si="10"/>
        <v/>
      </c>
      <c r="Z118" s="71"/>
      <c r="AA118" s="71"/>
      <c r="AB118" s="71"/>
      <c r="AC118" s="71"/>
      <c r="AD118" s="71"/>
      <c r="AE118" s="71"/>
      <c r="AF118" s="71"/>
      <c r="AG118" s="72" t="s">
        <v>393</v>
      </c>
      <c r="AH118" s="35"/>
      <c r="AI118" s="35"/>
      <c r="AK118"/>
      <c r="AM118" s="56"/>
      <c r="AN118" s="57"/>
      <c r="AO118" s="63" t="str">
        <f>IF($A118="","",IFERROR(_xlfn.XLOOKUP($A118,'2_DOI_Lookup'!$A$2:$A$430,'2_DOI_Lookup'!$B$2:$B$430),"NOT IN SOURCE"))</f>
        <v>10.36680/J.ITCON.2023.006</v>
      </c>
    </row>
    <row r="119" spans="1:41" ht="86.4" x14ac:dyDescent="0.3">
      <c r="A119" s="26">
        <v>3973</v>
      </c>
      <c r="B119" s="9" t="s">
        <v>204</v>
      </c>
      <c r="C119" s="32">
        <v>2022</v>
      </c>
      <c r="D119" s="9"/>
      <c r="E119" s="9" t="str">
        <f>IF($A119="","",IFERROR(_xlfn.XLOOKUP($A119,'2_DOI_Lookup'!$D$2:$D$430,'2_DOI_Lookup'!$E$2:$E$430),"TITLE NOT IN SOURCE"))</f>
        <v>Augmented reality and digital twin system for interaction with construction machinery</v>
      </c>
      <c r="F119" s="26" t="s">
        <v>310</v>
      </c>
      <c r="G119" s="27" t="s">
        <v>311</v>
      </c>
      <c r="H119" s="27" t="s">
        <v>311</v>
      </c>
      <c r="I119" s="27" t="s">
        <v>311</v>
      </c>
      <c r="J119" s="27" t="s">
        <v>311</v>
      </c>
      <c r="K119" s="27" t="s">
        <v>311</v>
      </c>
      <c r="L119" s="28" t="str">
        <f t="shared" si="6"/>
        <v>INCLUDE</v>
      </c>
      <c r="M119" s="28" t="str">
        <f t="shared" si="7"/>
        <v/>
      </c>
      <c r="N119" s="29" t="s">
        <v>49</v>
      </c>
      <c r="O119" s="29" t="s">
        <v>49</v>
      </c>
      <c r="P119" s="30" t="s">
        <v>49</v>
      </c>
      <c r="Q119" s="30" t="s">
        <v>49</v>
      </c>
      <c r="R119" s="30" t="s">
        <v>49</v>
      </c>
      <c r="S119" s="28" t="str">
        <f t="shared" si="8"/>
        <v>INCLUDE</v>
      </c>
      <c r="T119" s="28" t="str">
        <f t="shared" si="9"/>
        <v/>
      </c>
      <c r="U119" s="31" t="s">
        <v>68</v>
      </c>
      <c r="V119" s="31">
        <v>0</v>
      </c>
      <c r="W119" s="31">
        <v>1</v>
      </c>
      <c r="X119" s="31">
        <v>0</v>
      </c>
      <c r="Y119" s="28" t="str">
        <f t="shared" si="10"/>
        <v>Single</v>
      </c>
      <c r="Z119" s="31" t="s">
        <v>9</v>
      </c>
      <c r="AA119" s="31" t="s">
        <v>53</v>
      </c>
      <c r="AB119" s="31" t="s">
        <v>91</v>
      </c>
      <c r="AC119" s="31" t="s">
        <v>55</v>
      </c>
      <c r="AD119" s="31" t="s">
        <v>65</v>
      </c>
      <c r="AE119" s="31">
        <v>3</v>
      </c>
      <c r="AF119" s="31" t="s">
        <v>57</v>
      </c>
      <c r="AG119" s="15" t="s">
        <v>704</v>
      </c>
      <c r="AH119" s="97" t="s">
        <v>828</v>
      </c>
      <c r="AI119" s="97" t="s">
        <v>829</v>
      </c>
      <c r="AJ119" s="98" t="s">
        <v>1078</v>
      </c>
      <c r="AK119" s="115" t="s">
        <v>1128</v>
      </c>
      <c r="AL119" s="98" t="s">
        <v>1083</v>
      </c>
      <c r="AM119" s="99"/>
      <c r="AN119" s="100" t="s">
        <v>1408</v>
      </c>
      <c r="AO119" s="101" t="str">
        <f>IF($A119="","",IFERROR(_xlfn.XLOOKUP($A119,'2_DOI_Lookup'!$A$2:$A$430,'2_DOI_Lookup'!$B$2:$B$430),"NOT IN SOURCE"))</f>
        <v>10.1080/13467581.2020.1869557</v>
      </c>
    </row>
    <row r="120" spans="1:41" ht="45.6" hidden="1" x14ac:dyDescent="0.3">
      <c r="A120" s="73">
        <v>3735</v>
      </c>
      <c r="B120" s="74"/>
      <c r="C120" s="75"/>
      <c r="D120" s="74"/>
      <c r="E120" s="74" t="str">
        <f>IF($A120="","",IFERROR(_xlfn.XLOOKUP($A120,'2_DOI_Lookup'!$D$2:$D$430,'2_DOI_Lookup'!$E$2:$E$430),"TITLE NOT IN SOURCE"))</f>
        <v>ANCHOR-Grid: Authenticating Smart Grid Digital Twins Using Real-World Anchors</v>
      </c>
      <c r="F120" s="73" t="s">
        <v>309</v>
      </c>
      <c r="G120" s="76" t="s">
        <v>312</v>
      </c>
      <c r="H120" s="76" t="s">
        <v>311</v>
      </c>
      <c r="I120" s="76" t="s">
        <v>312</v>
      </c>
      <c r="J120" s="76" t="s">
        <v>311</v>
      </c>
      <c r="K120" s="76" t="s">
        <v>311</v>
      </c>
      <c r="L120" s="77" t="str">
        <f t="shared" si="6"/>
        <v>EXCLUDE</v>
      </c>
      <c r="M120" s="77" t="str">
        <f t="shared" si="7"/>
        <v>Wrong domain (non-AECO)</v>
      </c>
      <c r="N120" s="78"/>
      <c r="O120" s="78"/>
      <c r="P120" s="79"/>
      <c r="Q120" s="79"/>
      <c r="R120" s="79"/>
      <c r="S120" s="77" t="str">
        <f t="shared" si="8"/>
        <v/>
      </c>
      <c r="T120" s="77" t="str">
        <f t="shared" si="9"/>
        <v/>
      </c>
      <c r="U120" s="80"/>
      <c r="V120" s="80"/>
      <c r="W120" s="80"/>
      <c r="X120" s="80"/>
      <c r="Y120" s="77" t="str">
        <f t="shared" si="10"/>
        <v/>
      </c>
      <c r="Z120" s="80"/>
      <c r="AA120" s="80"/>
      <c r="AB120" s="80"/>
      <c r="AC120" s="80"/>
      <c r="AD120" s="80"/>
      <c r="AE120" s="80"/>
      <c r="AF120" s="80"/>
      <c r="AG120" s="81" t="s">
        <v>394</v>
      </c>
      <c r="AH120" s="35"/>
      <c r="AI120" s="35"/>
      <c r="AK120"/>
      <c r="AM120" s="56"/>
      <c r="AN120" s="57"/>
      <c r="AO120" s="63" t="str">
        <f>IF($A120="","",IFERROR(_xlfn.XLOOKUP($A120,'2_DOI_Lookup'!$A$2:$A$430,'2_DOI_Lookup'!$B$2:$B$430),"NOT IN SOURCE"))</f>
        <v>10.3390/s25102969</v>
      </c>
    </row>
    <row r="121" spans="1:41" ht="57" hidden="1" x14ac:dyDescent="0.3">
      <c r="A121" s="64">
        <v>3537</v>
      </c>
      <c r="B121" s="65"/>
      <c r="C121" s="66"/>
      <c r="D121" s="65"/>
      <c r="E121" s="65" t="str">
        <f>IF($A121="","",IFERROR(_xlfn.XLOOKUP($A121,'2_DOI_Lookup'!$D$2:$D$430,'2_DOI_Lookup'!$E$2:$E$430),"TITLE NOT IN SOURCE"))</f>
        <v>Navigating the Future: Developing Smart Fairways for Enhanced Maritime Safety and Efficiency</v>
      </c>
      <c r="F121" s="64" t="s">
        <v>309</v>
      </c>
      <c r="G121" s="67" t="s">
        <v>312</v>
      </c>
      <c r="H121" s="67" t="s">
        <v>311</v>
      </c>
      <c r="I121" s="67" t="s">
        <v>311</v>
      </c>
      <c r="J121" s="67" t="s">
        <v>311</v>
      </c>
      <c r="K121" s="67" t="s">
        <v>311</v>
      </c>
      <c r="L121" s="68" t="str">
        <f t="shared" si="6"/>
        <v>EXCLUDE</v>
      </c>
      <c r="M121" s="68" t="str">
        <f t="shared" si="7"/>
        <v>Wrong domain (non-AECO)</v>
      </c>
      <c r="N121" s="69"/>
      <c r="O121" s="69"/>
      <c r="P121" s="70"/>
      <c r="Q121" s="70"/>
      <c r="R121" s="70"/>
      <c r="S121" s="68" t="str">
        <f t="shared" si="8"/>
        <v/>
      </c>
      <c r="T121" s="68" t="str">
        <f t="shared" si="9"/>
        <v/>
      </c>
      <c r="U121" s="71"/>
      <c r="V121" s="71"/>
      <c r="W121" s="71"/>
      <c r="X121" s="71"/>
      <c r="Y121" s="68" t="str">
        <f t="shared" si="10"/>
        <v/>
      </c>
      <c r="Z121" s="71"/>
      <c r="AA121" s="71"/>
      <c r="AB121" s="71"/>
      <c r="AC121" s="71"/>
      <c r="AD121" s="71"/>
      <c r="AE121" s="71"/>
      <c r="AF121" s="71"/>
      <c r="AG121" s="72" t="s">
        <v>395</v>
      </c>
      <c r="AH121" s="35"/>
      <c r="AI121" s="35"/>
      <c r="AK121"/>
      <c r="AM121" s="56"/>
      <c r="AN121" s="57"/>
      <c r="AO121" s="63" t="str">
        <f>IF($A121="","",IFERROR(_xlfn.XLOOKUP($A121,'2_DOI_Lookup'!$A$2:$A$430,'2_DOI_Lookup'!$B$2:$B$430),"NOT IN SOURCE"))</f>
        <v>10.3390/jmse12020324</v>
      </c>
    </row>
    <row r="122" spans="1:41" ht="158.4" x14ac:dyDescent="0.3">
      <c r="A122" s="26">
        <v>3813</v>
      </c>
      <c r="B122" s="9" t="s">
        <v>205</v>
      </c>
      <c r="C122" s="32">
        <v>2025</v>
      </c>
      <c r="D122" s="9"/>
      <c r="E122" s="9" t="str">
        <f>IF($A122="","",IFERROR(_xlfn.XLOOKUP($A122,'2_DOI_Lookup'!$D$2:$D$430,'2_DOI_Lookup'!$E$2:$E$430),"TITLE NOT IN SOURCE"))</f>
        <v>Toward intelligent tunnel construction: The universal discontinuity index for rapid probabilistic prediction of progressive batch rock-block failure—A theoretical, numerical, and experimental validation framework</v>
      </c>
      <c r="F122" s="26" t="s">
        <v>309</v>
      </c>
      <c r="G122" s="27" t="s">
        <v>311</v>
      </c>
      <c r="H122" s="27" t="s">
        <v>311</v>
      </c>
      <c r="I122" s="27" t="s">
        <v>311</v>
      </c>
      <c r="J122" s="27" t="s">
        <v>311</v>
      </c>
      <c r="K122" s="27" t="s">
        <v>311</v>
      </c>
      <c r="L122" s="28" t="str">
        <f t="shared" si="6"/>
        <v>INCLUDE</v>
      </c>
      <c r="M122" s="28" t="str">
        <f t="shared" si="7"/>
        <v/>
      </c>
      <c r="N122" s="29" t="s">
        <v>311</v>
      </c>
      <c r="O122" s="29" t="s">
        <v>311</v>
      </c>
      <c r="P122" s="30" t="s">
        <v>311</v>
      </c>
      <c r="Q122" s="30" t="s">
        <v>311</v>
      </c>
      <c r="R122" s="30" t="s">
        <v>311</v>
      </c>
      <c r="S122" s="28" t="str">
        <f t="shared" si="8"/>
        <v>INCLUDE</v>
      </c>
      <c r="T122" s="28" t="str">
        <f t="shared" si="9"/>
        <v/>
      </c>
      <c r="U122" s="31" t="s">
        <v>61</v>
      </c>
      <c r="V122" s="31">
        <v>0</v>
      </c>
      <c r="W122" s="31">
        <v>1</v>
      </c>
      <c r="X122" s="31">
        <v>0</v>
      </c>
      <c r="Y122" s="28" t="str">
        <f t="shared" si="10"/>
        <v>Single</v>
      </c>
      <c r="Z122" s="31" t="s">
        <v>9</v>
      </c>
      <c r="AA122" s="31" t="s">
        <v>53</v>
      </c>
      <c r="AB122" s="31" t="s">
        <v>90</v>
      </c>
      <c r="AC122" s="31" t="s">
        <v>64</v>
      </c>
      <c r="AD122" s="31" t="s">
        <v>72</v>
      </c>
      <c r="AE122" s="31">
        <v>4</v>
      </c>
      <c r="AF122" s="31" t="s">
        <v>84</v>
      </c>
      <c r="AG122" s="15" t="s">
        <v>618</v>
      </c>
      <c r="AH122" s="97" t="s">
        <v>830</v>
      </c>
      <c r="AI122" s="97" t="s">
        <v>831</v>
      </c>
      <c r="AJ122" s="98" t="s">
        <v>1081</v>
      </c>
      <c r="AK122" s="98" t="s">
        <v>1129</v>
      </c>
      <c r="AL122" s="98" t="s">
        <v>1083</v>
      </c>
      <c r="AM122" s="99" t="s">
        <v>1353</v>
      </c>
      <c r="AN122" s="100" t="s">
        <v>1354</v>
      </c>
      <c r="AO122" s="101" t="str">
        <f>IF($A122="","",IFERROR(_xlfn.XLOOKUP($A122,'2_DOI_Lookup'!$A$2:$A$430,'2_DOI_Lookup'!$B$2:$B$430),"NOT IN SOURCE"))</f>
        <v>10.1016/j.tust.2025.107017</v>
      </c>
    </row>
    <row r="123" spans="1:41" s="138" customFormat="1" ht="114" x14ac:dyDescent="0.3">
      <c r="A123" s="125">
        <v>4018</v>
      </c>
      <c r="B123" s="126"/>
      <c r="C123" s="127"/>
      <c r="D123" s="126"/>
      <c r="E123" s="126" t="str">
        <f>IF($A123="","",IFERROR(_xlfn.XLOOKUP($A123,'2_DOI_Lookup'!$D$2:$D$430,'2_DOI_Lookup'!$E$2:$E$430),"TITLE NOT IN SOURCE"))</f>
        <v>Toward intelligent tunnel construction: The universal discontinuity index for rapid probabilistic prediction of progressive batch rock-block failure-A theoretical, numerical, and experimental validation framework</v>
      </c>
      <c r="F123" s="125" t="s">
        <v>310</v>
      </c>
      <c r="G123" s="128" t="s">
        <v>311</v>
      </c>
      <c r="H123" s="128" t="s">
        <v>311</v>
      </c>
      <c r="I123" s="128" t="s">
        <v>311</v>
      </c>
      <c r="J123" s="128" t="s">
        <v>311</v>
      </c>
      <c r="K123" s="128" t="s">
        <v>311</v>
      </c>
      <c r="L123" s="129" t="str">
        <f t="shared" si="6"/>
        <v>INCLUDE</v>
      </c>
      <c r="M123" s="129" t="str">
        <f t="shared" si="7"/>
        <v/>
      </c>
      <c r="N123" s="130" t="s">
        <v>49</v>
      </c>
      <c r="O123" s="130" t="s">
        <v>49</v>
      </c>
      <c r="P123" s="131"/>
      <c r="Q123" s="131"/>
      <c r="R123" s="131"/>
      <c r="S123" s="139" t="s">
        <v>2327</v>
      </c>
      <c r="T123" s="139" t="s">
        <v>2325</v>
      </c>
      <c r="U123" s="130"/>
      <c r="V123" s="130"/>
      <c r="W123" s="130"/>
      <c r="X123" s="130"/>
      <c r="Y123" s="129" t="str">
        <f t="shared" si="10"/>
        <v/>
      </c>
      <c r="Z123" s="130"/>
      <c r="AA123" s="130"/>
      <c r="AB123" s="130"/>
      <c r="AC123" s="130"/>
      <c r="AD123" s="130"/>
      <c r="AE123" s="130"/>
      <c r="AF123" s="130"/>
      <c r="AG123" s="132" t="s">
        <v>1893</v>
      </c>
      <c r="AH123" s="133"/>
      <c r="AI123" s="133"/>
      <c r="AJ123" s="134"/>
      <c r="AK123" s="134"/>
      <c r="AL123" s="134"/>
      <c r="AM123" s="135" t="s">
        <v>1894</v>
      </c>
      <c r="AN123" s="136"/>
      <c r="AO123" s="137" t="str">
        <f>IF($A123="","",IFERROR(_xlfn.XLOOKUP($A123,'2_DOI_Lookup'!$A$2:$A$430,'2_DOI_Lookup'!$B$2:$B$430),"NOT IN SOURCE"))</f>
        <v>10.1016/j.tust.2025.107017</v>
      </c>
    </row>
    <row r="124" spans="1:41" ht="79.8" hidden="1" x14ac:dyDescent="0.3">
      <c r="A124" s="82">
        <v>3556</v>
      </c>
      <c r="B124" s="83"/>
      <c r="C124" s="84"/>
      <c r="D124" s="83"/>
      <c r="E124" s="83" t="str">
        <f>IF($A124="","",IFERROR(_xlfn.XLOOKUP($A124,'2_DOI_Lookup'!$D$2:$D$430,'2_DOI_Lookup'!$E$2:$E$430),"TITLE NOT IN SOURCE"))</f>
        <v>Exploring the Construction of a Composite Risk Prevention and Control System Framework for Underground Space Digitalization</v>
      </c>
      <c r="F124" s="82" t="s">
        <v>309</v>
      </c>
      <c r="G124" s="85" t="s">
        <v>311</v>
      </c>
      <c r="H124" s="85" t="s">
        <v>311</v>
      </c>
      <c r="I124" s="85" t="s">
        <v>311</v>
      </c>
      <c r="J124" s="85" t="s">
        <v>311</v>
      </c>
      <c r="K124" s="85" t="s">
        <v>312</v>
      </c>
      <c r="L124" s="86" t="str">
        <f t="shared" si="6"/>
        <v>EXCLUDE</v>
      </c>
      <c r="M124" s="86" t="str">
        <f t="shared" si="7"/>
        <v>Non-English</v>
      </c>
      <c r="N124" s="87"/>
      <c r="O124" s="87"/>
      <c r="P124" s="88"/>
      <c r="Q124" s="88"/>
      <c r="R124" s="88"/>
      <c r="S124" s="86" t="str">
        <f t="shared" si="8"/>
        <v/>
      </c>
      <c r="T124" s="86" t="str">
        <f t="shared" si="9"/>
        <v/>
      </c>
      <c r="U124" s="89"/>
      <c r="V124" s="89"/>
      <c r="W124" s="89"/>
      <c r="X124" s="89"/>
      <c r="Y124" s="86" t="str">
        <f t="shared" si="10"/>
        <v/>
      </c>
      <c r="Z124" s="89"/>
      <c r="AA124" s="89"/>
      <c r="AB124" s="89"/>
      <c r="AC124" s="89"/>
      <c r="AD124" s="89"/>
      <c r="AE124" s="89"/>
      <c r="AF124" s="89"/>
      <c r="AG124" s="90" t="s">
        <v>396</v>
      </c>
      <c r="AH124" s="35"/>
      <c r="AI124" s="35"/>
      <c r="AK124"/>
      <c r="AM124" s="56"/>
      <c r="AN124" s="57"/>
      <c r="AO124" s="63" t="str">
        <f>IF($A124="","",IFERROR(_xlfn.XLOOKUP($A124,'2_DOI_Lookup'!$A$2:$A$430,'2_DOI_Lookup'!$B$2:$B$430),"NOT IN SOURCE"))</f>
        <v>10.20174/j.JUSE.2025.05.38</v>
      </c>
    </row>
    <row r="125" spans="1:41" ht="125.4" x14ac:dyDescent="0.3">
      <c r="A125" s="26">
        <v>3558</v>
      </c>
      <c r="B125" s="9" t="s">
        <v>206</v>
      </c>
      <c r="C125" s="32">
        <v>2022</v>
      </c>
      <c r="D125" s="9"/>
      <c r="E125" s="9" t="str">
        <f>IF($A125="","",IFERROR(_xlfn.XLOOKUP($A125,'2_DOI_Lookup'!$D$2:$D$430,'2_DOI_Lookup'!$E$2:$E$430),"TITLE NOT IN SOURCE"))</f>
        <v>An Integrated Intelligent Approach for Monitoring and Management of a Deep Foundation Pit in a Subway Station</v>
      </c>
      <c r="F125" s="26" t="s">
        <v>309</v>
      </c>
      <c r="G125" s="27" t="s">
        <v>311</v>
      </c>
      <c r="H125" s="27" t="s">
        <v>311</v>
      </c>
      <c r="I125" s="27" t="s">
        <v>311</v>
      </c>
      <c r="J125" s="27" t="s">
        <v>311</v>
      </c>
      <c r="K125" s="27" t="s">
        <v>311</v>
      </c>
      <c r="L125" s="28" t="str">
        <f t="shared" si="6"/>
        <v>INCLUDE</v>
      </c>
      <c r="M125" s="28" t="str">
        <f t="shared" si="7"/>
        <v/>
      </c>
      <c r="N125" s="29" t="s">
        <v>311</v>
      </c>
      <c r="O125" s="29" t="s">
        <v>311</v>
      </c>
      <c r="P125" s="30" t="s">
        <v>311</v>
      </c>
      <c r="Q125" s="30" t="s">
        <v>311</v>
      </c>
      <c r="R125" s="30" t="s">
        <v>311</v>
      </c>
      <c r="S125" s="28" t="str">
        <f t="shared" si="8"/>
        <v>INCLUDE</v>
      </c>
      <c r="T125" s="28" t="str">
        <f t="shared" si="9"/>
        <v/>
      </c>
      <c r="U125" s="31" t="s">
        <v>61</v>
      </c>
      <c r="V125" s="31">
        <v>0</v>
      </c>
      <c r="W125" s="31">
        <v>1</v>
      </c>
      <c r="X125" s="31">
        <v>0</v>
      </c>
      <c r="Y125" s="28" t="str">
        <f t="shared" si="10"/>
        <v>Single</v>
      </c>
      <c r="Z125" s="31" t="s">
        <v>9</v>
      </c>
      <c r="AA125" s="31" t="s">
        <v>53</v>
      </c>
      <c r="AB125" s="31" t="s">
        <v>92</v>
      </c>
      <c r="AC125" s="31" t="s">
        <v>64</v>
      </c>
      <c r="AD125" s="31" t="s">
        <v>72</v>
      </c>
      <c r="AE125" s="31">
        <v>4</v>
      </c>
      <c r="AF125" s="31" t="s">
        <v>57</v>
      </c>
      <c r="AG125" s="15" t="s">
        <v>619</v>
      </c>
      <c r="AH125" s="97" t="s">
        <v>832</v>
      </c>
      <c r="AI125" s="97" t="s">
        <v>833</v>
      </c>
      <c r="AJ125" s="98" t="s">
        <v>1081</v>
      </c>
      <c r="AK125" s="98" t="s">
        <v>1130</v>
      </c>
      <c r="AL125" s="98" t="s">
        <v>1083</v>
      </c>
      <c r="AM125" s="99"/>
      <c r="AN125" s="100" t="s">
        <v>1260</v>
      </c>
      <c r="AO125" s="101" t="str">
        <f>IF($A125="","",IFERROR(_xlfn.XLOOKUP($A125,'2_DOI_Lookup'!$A$2:$A$430,'2_DOI_Lookup'!$B$2:$B$430),"NOT IN SOURCE"))</f>
        <v>10.3390/s22228737</v>
      </c>
    </row>
    <row r="126" spans="1:41" ht="159.6" x14ac:dyDescent="0.3">
      <c r="A126" s="26">
        <v>3886</v>
      </c>
      <c r="B126" s="9" t="s">
        <v>207</v>
      </c>
      <c r="C126" s="32">
        <v>2025</v>
      </c>
      <c r="D126" s="9"/>
      <c r="E126" s="9" t="str">
        <f>IF($A126="","",IFERROR(_xlfn.XLOOKUP($A126,'2_DOI_Lookup'!$D$2:$D$430,'2_DOI_Lookup'!$E$2:$E$430),"TITLE NOT IN SOURCE"))</f>
        <v>Digital construction site layout planning and real-time trajectory analysis for proactive safety monitoring and control of struck-by hazards</v>
      </c>
      <c r="F126" s="26" t="s">
        <v>310</v>
      </c>
      <c r="G126" s="27" t="s">
        <v>311</v>
      </c>
      <c r="H126" s="27" t="s">
        <v>311</v>
      </c>
      <c r="I126" s="27" t="s">
        <v>311</v>
      </c>
      <c r="J126" s="27" t="s">
        <v>311</v>
      </c>
      <c r="K126" s="27" t="s">
        <v>311</v>
      </c>
      <c r="L126" s="28" t="str">
        <f t="shared" si="6"/>
        <v>INCLUDE</v>
      </c>
      <c r="M126" s="28" t="str">
        <f t="shared" si="7"/>
        <v/>
      </c>
      <c r="N126" s="29" t="s">
        <v>311</v>
      </c>
      <c r="O126" s="29" t="s">
        <v>311</v>
      </c>
      <c r="P126" s="30" t="s">
        <v>311</v>
      </c>
      <c r="Q126" s="30" t="s">
        <v>311</v>
      </c>
      <c r="R126" s="30" t="s">
        <v>311</v>
      </c>
      <c r="S126" s="28" t="str">
        <f t="shared" si="8"/>
        <v>INCLUDE</v>
      </c>
      <c r="T126" s="28" t="str">
        <f t="shared" si="9"/>
        <v/>
      </c>
      <c r="U126" s="31" t="s">
        <v>61</v>
      </c>
      <c r="V126" s="31">
        <v>0</v>
      </c>
      <c r="W126" s="31">
        <v>1</v>
      </c>
      <c r="X126" s="31">
        <v>0</v>
      </c>
      <c r="Y126" s="28" t="str">
        <f t="shared" si="10"/>
        <v>Single</v>
      </c>
      <c r="Z126" s="31" t="s">
        <v>9</v>
      </c>
      <c r="AA126" s="31" t="s">
        <v>53</v>
      </c>
      <c r="AB126" s="31" t="s">
        <v>91</v>
      </c>
      <c r="AC126" s="31" t="s">
        <v>55</v>
      </c>
      <c r="AD126" s="31" t="s">
        <v>72</v>
      </c>
      <c r="AE126" s="31">
        <v>4</v>
      </c>
      <c r="AF126" s="31" t="s">
        <v>80</v>
      </c>
      <c r="AG126" s="15" t="s">
        <v>620</v>
      </c>
      <c r="AH126" s="97" t="s">
        <v>834</v>
      </c>
      <c r="AI126" s="97" t="s">
        <v>835</v>
      </c>
      <c r="AJ126" s="98" t="s">
        <v>1078</v>
      </c>
      <c r="AK126" s="115" t="s">
        <v>1131</v>
      </c>
      <c r="AL126" s="98" t="s">
        <v>1083</v>
      </c>
      <c r="AM126" s="99"/>
      <c r="AN126" s="100" t="s">
        <v>1319</v>
      </c>
      <c r="AO126" s="101" t="str">
        <f>IF($A126="","",IFERROR(_xlfn.XLOOKUP($A126,'2_DOI_Lookup'!$A$2:$A$430,'2_DOI_Lookup'!$B$2:$B$430),"NOT IN SOURCE"))</f>
        <v>10.1016/j.autcon.2025.106353</v>
      </c>
    </row>
    <row r="127" spans="1:41" ht="79.8" hidden="1" x14ac:dyDescent="0.3">
      <c r="A127" s="26">
        <v>3949</v>
      </c>
      <c r="B127" s="9" t="s">
        <v>208</v>
      </c>
      <c r="C127" s="32">
        <v>2026</v>
      </c>
      <c r="D127" s="9"/>
      <c r="E127" s="9" t="str">
        <f>IF($A127="","",IFERROR(_xlfn.XLOOKUP($A127,'2_DOI_Lookup'!$D$2:$D$430,'2_DOI_Lookup'!$E$2:$E$430),"TITLE NOT IN SOURCE"))</f>
        <v>Advancing Smart Construction Management: A Comprehensive Analysis of Digital Twin Applications and Challenges</v>
      </c>
      <c r="F127" s="26" t="s">
        <v>310</v>
      </c>
      <c r="G127" s="27" t="s">
        <v>311</v>
      </c>
      <c r="H127" s="27" t="s">
        <v>311</v>
      </c>
      <c r="I127" s="27" t="s">
        <v>311</v>
      </c>
      <c r="J127" s="27" t="s">
        <v>311</v>
      </c>
      <c r="K127" s="27" t="s">
        <v>311</v>
      </c>
      <c r="L127" s="28" t="str">
        <f t="shared" si="6"/>
        <v>INCLUDE</v>
      </c>
      <c r="M127" s="28" t="str">
        <f t="shared" si="7"/>
        <v/>
      </c>
      <c r="N127" s="29" t="s">
        <v>58</v>
      </c>
      <c r="O127" s="29" t="s">
        <v>58</v>
      </c>
      <c r="P127" s="30"/>
      <c r="Q127" s="30"/>
      <c r="R127" s="30"/>
      <c r="S127" s="28" t="str">
        <f t="shared" si="8"/>
        <v/>
      </c>
      <c r="T127" s="28" t="str">
        <f t="shared" si="9"/>
        <v/>
      </c>
      <c r="U127" s="31"/>
      <c r="V127" s="31"/>
      <c r="W127" s="31"/>
      <c r="X127" s="31"/>
      <c r="Y127" s="28" t="str">
        <f t="shared" si="10"/>
        <v/>
      </c>
      <c r="Z127" s="31"/>
      <c r="AA127" s="31"/>
      <c r="AB127" s="31"/>
      <c r="AC127" s="31"/>
      <c r="AD127" s="31"/>
      <c r="AE127" s="31"/>
      <c r="AF127" s="31"/>
      <c r="AG127" s="15" t="s">
        <v>397</v>
      </c>
      <c r="AH127" s="97"/>
      <c r="AI127" s="97"/>
      <c r="AJ127" s="98"/>
      <c r="AK127" s="98"/>
      <c r="AL127" s="98"/>
      <c r="AM127" s="99"/>
      <c r="AN127" s="100"/>
      <c r="AO127" s="101" t="str">
        <f>IF($A127="","",IFERROR(_xlfn.XLOOKUP($A127,'2_DOI_Lookup'!$A$2:$A$430,'2_DOI_Lookup'!$B$2:$B$430),"NOT IN SOURCE"))</f>
        <v>10.1061/JSDCCC.SCENG-1953</v>
      </c>
    </row>
    <row r="128" spans="1:41" ht="45.6" hidden="1" x14ac:dyDescent="0.3">
      <c r="A128" s="82">
        <v>3501</v>
      </c>
      <c r="B128" s="83"/>
      <c r="C128" s="84"/>
      <c r="D128" s="83"/>
      <c r="E128" s="83" t="str">
        <f>IF($A128="","",IFERROR(_xlfn.XLOOKUP($A128,'2_DOI_Lookup'!$D$2:$D$430,'2_DOI_Lookup'!$E$2:$E$430),"TITLE NOT IN SOURCE"))</f>
        <v>Construction of Digital Twin System for Cold Chain Logistics Stereo Warehouse</v>
      </c>
      <c r="F128" s="82" t="s">
        <v>309</v>
      </c>
      <c r="G128" s="85" t="s">
        <v>312</v>
      </c>
      <c r="H128" s="85" t="s">
        <v>311</v>
      </c>
      <c r="I128" s="85" t="s">
        <v>311</v>
      </c>
      <c r="J128" s="85" t="s">
        <v>311</v>
      </c>
      <c r="K128" s="85" t="s">
        <v>311</v>
      </c>
      <c r="L128" s="86" t="str">
        <f t="shared" si="6"/>
        <v>EXCLUDE</v>
      </c>
      <c r="M128" s="86" t="str">
        <f t="shared" si="7"/>
        <v>Wrong domain (non-AECO)</v>
      </c>
      <c r="N128" s="87"/>
      <c r="O128" s="87"/>
      <c r="P128" s="88"/>
      <c r="Q128" s="88"/>
      <c r="R128" s="88"/>
      <c r="S128" s="86" t="str">
        <f t="shared" si="8"/>
        <v/>
      </c>
      <c r="T128" s="86" t="str">
        <f t="shared" si="9"/>
        <v/>
      </c>
      <c r="U128" s="89"/>
      <c r="V128" s="89"/>
      <c r="W128" s="89"/>
      <c r="X128" s="89"/>
      <c r="Y128" s="86" t="str">
        <f t="shared" si="10"/>
        <v/>
      </c>
      <c r="Z128" s="89"/>
      <c r="AA128" s="89"/>
      <c r="AB128" s="89"/>
      <c r="AC128" s="89"/>
      <c r="AD128" s="89"/>
      <c r="AE128" s="89"/>
      <c r="AF128" s="89"/>
      <c r="AG128" s="90" t="s">
        <v>398</v>
      </c>
      <c r="AH128" s="35"/>
      <c r="AI128" s="35"/>
      <c r="AK128"/>
      <c r="AM128" s="56"/>
      <c r="AN128" s="57"/>
      <c r="AO128" s="63" t="str">
        <f>IF($A128="","",IFERROR(_xlfn.XLOOKUP($A128,'2_DOI_Lookup'!$A$2:$A$430,'2_DOI_Lookup'!$B$2:$B$430),"NOT IN SOURCE"))</f>
        <v>10.1109/ACCESS.2023.3295819</v>
      </c>
    </row>
    <row r="129" spans="1:41" ht="136.80000000000001" x14ac:dyDescent="0.3">
      <c r="A129" s="26">
        <v>3956</v>
      </c>
      <c r="B129" s="9" t="s">
        <v>209</v>
      </c>
      <c r="C129" s="32">
        <v>2026</v>
      </c>
      <c r="D129" s="9"/>
      <c r="E129" s="9" t="str">
        <f>IF($A129="","",IFERROR(_xlfn.XLOOKUP($A129,'2_DOI_Lookup'!$D$2:$D$430,'2_DOI_Lookup'!$E$2:$E$430),"TITLE NOT IN SOURCE"))</f>
        <v>Multi-dimensional framework for assessing digital twin maturity in construction machinery</v>
      </c>
      <c r="F129" s="26" t="s">
        <v>310</v>
      </c>
      <c r="G129" s="27" t="s">
        <v>311</v>
      </c>
      <c r="H129" s="27" t="s">
        <v>311</v>
      </c>
      <c r="I129" s="27" t="s">
        <v>311</v>
      </c>
      <c r="J129" s="27" t="s">
        <v>311</v>
      </c>
      <c r="K129" s="27" t="s">
        <v>311</v>
      </c>
      <c r="L129" s="28" t="str">
        <f t="shared" si="6"/>
        <v>INCLUDE</v>
      </c>
      <c r="M129" s="28" t="str">
        <f t="shared" si="7"/>
        <v/>
      </c>
      <c r="N129" s="29" t="s">
        <v>311</v>
      </c>
      <c r="O129" s="29" t="s">
        <v>311</v>
      </c>
      <c r="P129" s="30" t="s">
        <v>311</v>
      </c>
      <c r="Q129" s="30" t="s">
        <v>311</v>
      </c>
      <c r="R129" s="30" t="s">
        <v>311</v>
      </c>
      <c r="S129" s="28" t="str">
        <f t="shared" si="8"/>
        <v>INCLUDE</v>
      </c>
      <c r="T129" s="28" t="str">
        <f t="shared" si="9"/>
        <v/>
      </c>
      <c r="U129" s="31" t="s">
        <v>82</v>
      </c>
      <c r="V129" s="31">
        <v>0</v>
      </c>
      <c r="W129" s="31">
        <v>1</v>
      </c>
      <c r="X129" s="31">
        <v>0</v>
      </c>
      <c r="Y129" s="28" t="str">
        <f t="shared" si="10"/>
        <v>Single</v>
      </c>
      <c r="Z129" s="31" t="s">
        <v>9</v>
      </c>
      <c r="AA129" s="31" t="s">
        <v>53</v>
      </c>
      <c r="AB129" s="31" t="s">
        <v>92</v>
      </c>
      <c r="AC129" s="31" t="s">
        <v>55</v>
      </c>
      <c r="AD129" s="31" t="s">
        <v>72</v>
      </c>
      <c r="AE129" s="31">
        <v>4</v>
      </c>
      <c r="AF129" s="31" t="s">
        <v>86</v>
      </c>
      <c r="AG129" s="15" t="s">
        <v>621</v>
      </c>
      <c r="AH129" s="97" t="s">
        <v>836</v>
      </c>
      <c r="AI129" s="97" t="s">
        <v>837</v>
      </c>
      <c r="AJ129" s="98" t="s">
        <v>1078</v>
      </c>
      <c r="AK129" s="115" t="s">
        <v>1132</v>
      </c>
      <c r="AL129" s="98" t="s">
        <v>1083</v>
      </c>
      <c r="AM129" s="99"/>
      <c r="AN129" s="100" t="s">
        <v>1399</v>
      </c>
      <c r="AO129" s="101" t="str">
        <f>IF($A129="","",IFERROR(_xlfn.XLOOKUP($A129,'2_DOI_Lookup'!$A$2:$A$430,'2_DOI_Lookup'!$B$2:$B$430),"NOT IN SOURCE"))</f>
        <v>10.1016/j.jii.2026.101067</v>
      </c>
    </row>
    <row r="130" spans="1:41" ht="45.6" hidden="1" x14ac:dyDescent="0.3">
      <c r="A130" s="73">
        <v>3971</v>
      </c>
      <c r="B130" s="74"/>
      <c r="C130" s="75"/>
      <c r="D130" s="74"/>
      <c r="E130" s="74" t="str">
        <f>IF($A130="","",IFERROR(_xlfn.XLOOKUP($A130,'2_DOI_Lookup'!$D$2:$D$430,'2_DOI_Lookup'!$E$2:$E$430),"TITLE NOT IN SOURCE"))</f>
        <v>Construction of a digital twin system for the blended-wing-body underwater glider</v>
      </c>
      <c r="F130" s="73" t="s">
        <v>310</v>
      </c>
      <c r="G130" s="76" t="s">
        <v>312</v>
      </c>
      <c r="H130" s="76" t="s">
        <v>311</v>
      </c>
      <c r="I130" s="76" t="s">
        <v>312</v>
      </c>
      <c r="J130" s="76" t="s">
        <v>311</v>
      </c>
      <c r="K130" s="76" t="s">
        <v>311</v>
      </c>
      <c r="L130" s="77" t="str">
        <f t="shared" si="6"/>
        <v>EXCLUDE</v>
      </c>
      <c r="M130" s="77" t="str">
        <f t="shared" si="7"/>
        <v>Wrong domain (non-AECO)</v>
      </c>
      <c r="N130" s="78"/>
      <c r="O130" s="78"/>
      <c r="P130" s="79"/>
      <c r="Q130" s="79"/>
      <c r="R130" s="79"/>
      <c r="S130" s="77" t="str">
        <f t="shared" si="8"/>
        <v/>
      </c>
      <c r="T130" s="77" t="str">
        <f t="shared" si="9"/>
        <v/>
      </c>
      <c r="U130" s="80"/>
      <c r="V130" s="80"/>
      <c r="W130" s="80"/>
      <c r="X130" s="80"/>
      <c r="Y130" s="77" t="str">
        <f t="shared" si="10"/>
        <v/>
      </c>
      <c r="Z130" s="80"/>
      <c r="AA130" s="80"/>
      <c r="AB130" s="80"/>
      <c r="AC130" s="80"/>
      <c r="AD130" s="80"/>
      <c r="AE130" s="80"/>
      <c r="AF130" s="80"/>
      <c r="AG130" s="81" t="s">
        <v>399</v>
      </c>
      <c r="AH130" s="35"/>
      <c r="AI130" s="35"/>
      <c r="AK130"/>
      <c r="AM130" s="56"/>
      <c r="AN130" s="57"/>
      <c r="AO130" s="63" t="str">
        <f>IF($A130="","",IFERROR(_xlfn.XLOOKUP($A130,'2_DOI_Lookup'!$A$2:$A$430,'2_DOI_Lookup'!$B$2:$B$430),"NOT IN SOURCE"))</f>
        <v>10.1016/j.oceaneng.2022.113610</v>
      </c>
    </row>
    <row r="131" spans="1:41" ht="68.400000000000006" hidden="1" x14ac:dyDescent="0.3">
      <c r="A131" s="64">
        <v>3642</v>
      </c>
      <c r="B131" s="65"/>
      <c r="C131" s="66"/>
      <c r="D131" s="65"/>
      <c r="E131" s="65" t="str">
        <f>IF($A131="","",IFERROR(_xlfn.XLOOKUP($A131,'2_DOI_Lookup'!$D$2:$D$430,'2_DOI_Lookup'!$E$2:$E$430),"TITLE NOT IN SOURCE"))</f>
        <v>Design verification and in-service performance evaluation model for high-rise structural engineering based on digital twin technology</v>
      </c>
      <c r="F131" s="64" t="s">
        <v>309</v>
      </c>
      <c r="G131" s="67" t="s">
        <v>311</v>
      </c>
      <c r="H131" s="67" t="s">
        <v>311</v>
      </c>
      <c r="I131" s="67" t="s">
        <v>311</v>
      </c>
      <c r="J131" s="67" t="s">
        <v>311</v>
      </c>
      <c r="K131" s="67" t="s">
        <v>312</v>
      </c>
      <c r="L131" s="68" t="str">
        <f t="shared" si="6"/>
        <v>EXCLUDE</v>
      </c>
      <c r="M131" s="68" t="str">
        <f t="shared" si="7"/>
        <v>Non-English</v>
      </c>
      <c r="N131" s="69"/>
      <c r="O131" s="69"/>
      <c r="P131" s="70"/>
      <c r="Q131" s="70"/>
      <c r="R131" s="70"/>
      <c r="S131" s="68" t="str">
        <f t="shared" si="8"/>
        <v/>
      </c>
      <c r="T131" s="68" t="str">
        <f t="shared" si="9"/>
        <v/>
      </c>
      <c r="U131" s="71"/>
      <c r="V131" s="71"/>
      <c r="W131" s="71"/>
      <c r="X131" s="71"/>
      <c r="Y131" s="68" t="str">
        <f t="shared" si="10"/>
        <v/>
      </c>
      <c r="Z131" s="71"/>
      <c r="AA131" s="71"/>
      <c r="AB131" s="71"/>
      <c r="AC131" s="71"/>
      <c r="AD131" s="71"/>
      <c r="AE131" s="71"/>
      <c r="AF131" s="71"/>
      <c r="AG131" s="72" t="s">
        <v>400</v>
      </c>
      <c r="AH131" s="35"/>
      <c r="AI131" s="35"/>
      <c r="AK131"/>
      <c r="AM131" s="56"/>
      <c r="AN131" s="57"/>
      <c r="AO131" s="63" t="str">
        <f>IF($A131="","",IFERROR(_xlfn.XLOOKUP($A131,'2_DOI_Lookup'!$A$2:$A$430,'2_DOI_Lookup'!$B$2:$B$430),"NOT IN SOURCE"))</f>
        <v>10.14006/j.jzjgxb.2024.0500</v>
      </c>
    </row>
    <row r="132" spans="1:41" ht="91.2" x14ac:dyDescent="0.3">
      <c r="A132" s="26">
        <v>3575</v>
      </c>
      <c r="B132" s="9" t="s">
        <v>210</v>
      </c>
      <c r="C132" s="32">
        <v>2024</v>
      </c>
      <c r="D132" s="9"/>
      <c r="E132" s="9" t="str">
        <f>IF($A132="","",IFERROR(_xlfn.XLOOKUP($A132,'2_DOI_Lookup'!$D$2:$D$430,'2_DOI_Lookup'!$E$2:$E$430),"TITLE NOT IN SOURCE"))</f>
        <v>An intelligent BIM-enabled digital twin framework for real-time structural health monitoring using wireless IoT sensing, digital signal processing, and structural analysis</v>
      </c>
      <c r="F132" s="26" t="s">
        <v>309</v>
      </c>
      <c r="G132" s="27" t="s">
        <v>311</v>
      </c>
      <c r="H132" s="27" t="s">
        <v>311</v>
      </c>
      <c r="I132" s="27" t="s">
        <v>311</v>
      </c>
      <c r="J132" s="27" t="s">
        <v>311</v>
      </c>
      <c r="K132" s="27" t="s">
        <v>311</v>
      </c>
      <c r="L132" s="28" t="str">
        <f t="shared" si="6"/>
        <v>INCLUDE</v>
      </c>
      <c r="M132" s="28" t="str">
        <f t="shared" si="7"/>
        <v/>
      </c>
      <c r="N132" s="29" t="s">
        <v>311</v>
      </c>
      <c r="O132" s="29" t="s">
        <v>311</v>
      </c>
      <c r="P132" s="30" t="s">
        <v>311</v>
      </c>
      <c r="Q132" s="30" t="s">
        <v>311</v>
      </c>
      <c r="R132" s="30" t="s">
        <v>311</v>
      </c>
      <c r="S132" s="28" t="str">
        <f t="shared" si="8"/>
        <v>INCLUDE</v>
      </c>
      <c r="T132" s="28" t="str">
        <f t="shared" si="9"/>
        <v/>
      </c>
      <c r="U132" s="31" t="s">
        <v>61</v>
      </c>
      <c r="V132" s="31">
        <v>0</v>
      </c>
      <c r="W132" s="31">
        <v>0</v>
      </c>
      <c r="X132" s="31">
        <v>1</v>
      </c>
      <c r="Y132" s="28" t="str">
        <f t="shared" si="10"/>
        <v>Single</v>
      </c>
      <c r="Z132" s="31" t="s">
        <v>9</v>
      </c>
      <c r="AA132" s="31" t="s">
        <v>53</v>
      </c>
      <c r="AB132" s="31" t="s">
        <v>91</v>
      </c>
      <c r="AC132" s="31" t="s">
        <v>64</v>
      </c>
      <c r="AD132" s="31" t="s">
        <v>72</v>
      </c>
      <c r="AE132" s="31">
        <v>4</v>
      </c>
      <c r="AF132" s="31" t="s">
        <v>80</v>
      </c>
      <c r="AG132" s="15" t="s">
        <v>622</v>
      </c>
      <c r="AH132" s="97" t="s">
        <v>838</v>
      </c>
      <c r="AI132" s="97" t="s">
        <v>839</v>
      </c>
      <c r="AJ132" s="98" t="s">
        <v>1080</v>
      </c>
      <c r="AK132" s="98" t="s">
        <v>1133</v>
      </c>
      <c r="AL132" s="98" t="s">
        <v>1083</v>
      </c>
      <c r="AM132" s="99"/>
      <c r="AN132" s="100" t="s">
        <v>1263</v>
      </c>
      <c r="AO132" s="101" t="str">
        <f>IF($A132="","",IFERROR(_xlfn.XLOOKUP($A132,'2_DOI_Lookup'!$A$2:$A$430,'2_DOI_Lookup'!$B$2:$B$430),"NOT IN SOURCE"))</f>
        <v>10.1016/j.eswa.2024.124204</v>
      </c>
    </row>
    <row r="133" spans="1:41" ht="102.6" x14ac:dyDescent="0.3">
      <c r="A133" s="26">
        <v>3666</v>
      </c>
      <c r="B133" s="9" t="s">
        <v>211</v>
      </c>
      <c r="C133" s="32">
        <v>2026</v>
      </c>
      <c r="D133" s="9"/>
      <c r="E133" s="9" t="str">
        <f>IF($A133="","",IFERROR(_xlfn.XLOOKUP($A133,'2_DOI_Lookup'!$D$2:$D$430,'2_DOI_Lookup'!$E$2:$E$430),"TITLE NOT IN SOURCE"))</f>
        <v>Research on an intelligent monitoring system for the entire tunnel construction process based on IoT and digital twin</v>
      </c>
      <c r="F133" s="26" t="s">
        <v>309</v>
      </c>
      <c r="G133" s="27" t="s">
        <v>311</v>
      </c>
      <c r="H133" s="27" t="s">
        <v>311</v>
      </c>
      <c r="I133" s="27" t="s">
        <v>311</v>
      </c>
      <c r="J133" s="27" t="s">
        <v>311</v>
      </c>
      <c r="K133" s="27" t="s">
        <v>311</v>
      </c>
      <c r="L133" s="28" t="str">
        <f t="shared" ref="L133:L196" si="11">IF(COUNTBLANK(G133:K133)=5,"",IF(COUNTIF(G133:K133,"No")&gt;0,"EXCLUDE","INCLUDE"))</f>
        <v>INCLUDE</v>
      </c>
      <c r="M133" s="28" t="str">
        <f t="shared" ref="M133:M196" si="12">IF(L133&lt;&gt;"EXCLUDE","",IF(G133="No","Wrong domain (non-AECO)",IF(H133="No","Digital Twin not core / buzzword",IF(I133="No","No Design for Safety/Quality/PtD",IF(J133="No","Wrong publication type",IF(K133="No","Non-English",""))))))</f>
        <v/>
      </c>
      <c r="N133" s="29" t="s">
        <v>311</v>
      </c>
      <c r="O133" s="29" t="s">
        <v>311</v>
      </c>
      <c r="P133" s="30" t="s">
        <v>311</v>
      </c>
      <c r="Q133" s="30" t="s">
        <v>311</v>
      </c>
      <c r="R133" s="30" t="s">
        <v>311</v>
      </c>
      <c r="S133" s="28" t="str">
        <f t="shared" ref="S133:S196" si="13">IF(N133&lt;&gt;"Yes","",IF(COUNTBLANK(P133:R133)=3,"",IF(COUNTIF(P133:R133,"No")&gt;0,"EXCLUDE","INCLUDE")))</f>
        <v>INCLUDE</v>
      </c>
      <c r="T133" s="28" t="str">
        <f t="shared" ref="T133:T196" si="14">IF(S133&lt;&gt;"EXCLUDE","",IF(P133="No","Digital Twin mentioned only, not the subject",IF(Q133="No","No Design for Safety/Quality in full text",IF(R133="No","Methodology not codable",""))))</f>
        <v/>
      </c>
      <c r="U133" s="31" t="s">
        <v>61</v>
      </c>
      <c r="V133" s="31">
        <v>0</v>
      </c>
      <c r="W133" s="31">
        <v>1</v>
      </c>
      <c r="X133" s="31">
        <v>0</v>
      </c>
      <c r="Y133" s="28" t="str">
        <f t="shared" ref="Y133:Y196" si="15">IF(SUM(V133:X133)=0,"",IF(SUM(V133:X133)&gt;=2,"Multi","Single"))</f>
        <v>Single</v>
      </c>
      <c r="Z133" s="31" t="s">
        <v>9</v>
      </c>
      <c r="AA133" s="31" t="s">
        <v>53</v>
      </c>
      <c r="AB133" s="31" t="s">
        <v>91</v>
      </c>
      <c r="AC133" s="31" t="s">
        <v>64</v>
      </c>
      <c r="AD133" s="31" t="s">
        <v>72</v>
      </c>
      <c r="AE133" s="31">
        <v>4</v>
      </c>
      <c r="AF133" s="31" t="s">
        <v>80</v>
      </c>
      <c r="AG133" s="15" t="s">
        <v>623</v>
      </c>
      <c r="AH133" s="97" t="s">
        <v>840</v>
      </c>
      <c r="AI133" s="97" t="s">
        <v>841</v>
      </c>
      <c r="AJ133" s="98" t="s">
        <v>1081</v>
      </c>
      <c r="AK133" s="98" t="s">
        <v>1134</v>
      </c>
      <c r="AL133" s="98" t="s">
        <v>1083</v>
      </c>
      <c r="AM133" s="99"/>
      <c r="AN133" s="100" t="s">
        <v>1282</v>
      </c>
      <c r="AO133" s="101" t="str">
        <f>IF($A133="","",IFERROR(_xlfn.XLOOKUP($A133,'2_DOI_Lookup'!$A$2:$A$430,'2_DOI_Lookup'!$B$2:$B$430),"NOT IN SOURCE"))</f>
        <v>10.1051/ijmqe/2025014</v>
      </c>
    </row>
    <row r="134" spans="1:41" ht="57" hidden="1" x14ac:dyDescent="0.3">
      <c r="A134" s="73">
        <v>3976</v>
      </c>
      <c r="B134" s="74"/>
      <c r="C134" s="75"/>
      <c r="D134" s="74"/>
      <c r="E134" s="74" t="str">
        <f>IF($A134="","",IFERROR(_xlfn.XLOOKUP($A134,'2_DOI_Lookup'!$D$2:$D$430,'2_DOI_Lookup'!$E$2:$E$430),"TITLE NOT IN SOURCE"))</f>
        <v>Parametric modeling and safety simulation of pit excavation affecting adjacent tunnels based on BIM-FEM framework</v>
      </c>
      <c r="F134" s="73" t="s">
        <v>310</v>
      </c>
      <c r="G134" s="76" t="s">
        <v>311</v>
      </c>
      <c r="H134" s="76" t="s">
        <v>312</v>
      </c>
      <c r="I134" s="76" t="s">
        <v>311</v>
      </c>
      <c r="J134" s="76" t="s">
        <v>311</v>
      </c>
      <c r="K134" s="76" t="s">
        <v>311</v>
      </c>
      <c r="L134" s="77" t="str">
        <f t="shared" si="11"/>
        <v>EXCLUDE</v>
      </c>
      <c r="M134" s="77" t="str">
        <f t="shared" si="12"/>
        <v>Digital Twin not core / buzzword</v>
      </c>
      <c r="N134" s="78"/>
      <c r="O134" s="78"/>
      <c r="P134" s="79"/>
      <c r="Q134" s="79"/>
      <c r="R134" s="79"/>
      <c r="S134" s="77" t="str">
        <f t="shared" si="13"/>
        <v/>
      </c>
      <c r="T134" s="77" t="str">
        <f t="shared" si="14"/>
        <v/>
      </c>
      <c r="U134" s="80"/>
      <c r="V134" s="80"/>
      <c r="W134" s="80"/>
      <c r="X134" s="80"/>
      <c r="Y134" s="77" t="str">
        <f t="shared" si="15"/>
        <v/>
      </c>
      <c r="Z134" s="80"/>
      <c r="AA134" s="80"/>
      <c r="AB134" s="80"/>
      <c r="AC134" s="80"/>
      <c r="AD134" s="80"/>
      <c r="AE134" s="80"/>
      <c r="AF134" s="80"/>
      <c r="AG134" s="81" t="s">
        <v>401</v>
      </c>
      <c r="AH134" s="35"/>
      <c r="AI134" s="35"/>
      <c r="AK134"/>
      <c r="AM134" s="56"/>
      <c r="AN134" s="57"/>
      <c r="AO134" s="63" t="str">
        <f>IF($A134="","",IFERROR(_xlfn.XLOOKUP($A134,'2_DOI_Lookup'!$A$2:$A$430,'2_DOI_Lookup'!$B$2:$B$430),"NOT IN SOURCE"))</f>
        <v>10.1016/j.tust.2025.106800</v>
      </c>
    </row>
    <row r="135" spans="1:41" ht="34.200000000000003" hidden="1" x14ac:dyDescent="0.3">
      <c r="A135" s="26">
        <v>3790</v>
      </c>
      <c r="B135" s="9"/>
      <c r="C135" s="32"/>
      <c r="D135" s="9"/>
      <c r="E135" s="9" t="str">
        <f>IF($A135="","",IFERROR(_xlfn.XLOOKUP($A135,'2_DOI_Lookup'!$D$2:$D$430,'2_DOI_Lookup'!$E$2:$E$430),"TITLE NOT IN SOURCE"))</f>
        <v>Research and design of intelligent mine ventilation construction architecture</v>
      </c>
      <c r="F135" s="26" t="s">
        <v>309</v>
      </c>
      <c r="G135" s="27" t="s">
        <v>312</v>
      </c>
      <c r="H135" s="27" t="s">
        <v>312</v>
      </c>
      <c r="I135" s="27" t="s">
        <v>311</v>
      </c>
      <c r="J135" s="27" t="s">
        <v>311</v>
      </c>
      <c r="K135" s="27" t="s">
        <v>311</v>
      </c>
      <c r="L135" s="28" t="str">
        <f t="shared" si="11"/>
        <v>EXCLUDE</v>
      </c>
      <c r="M135" s="28" t="str">
        <f t="shared" si="12"/>
        <v>Wrong domain (non-AECO)</v>
      </c>
      <c r="N135" s="29"/>
      <c r="O135" s="29"/>
      <c r="P135" s="30"/>
      <c r="Q135" s="30"/>
      <c r="R135" s="30"/>
      <c r="S135" s="28" t="str">
        <f t="shared" si="13"/>
        <v/>
      </c>
      <c r="T135" s="28" t="str">
        <f t="shared" si="14"/>
        <v/>
      </c>
      <c r="U135" s="31"/>
      <c r="V135" s="31"/>
      <c r="W135" s="31"/>
      <c r="X135" s="31"/>
      <c r="Y135" s="28" t="str">
        <f t="shared" si="15"/>
        <v/>
      </c>
      <c r="Z135" s="31"/>
      <c r="AA135" s="31"/>
      <c r="AB135" s="31"/>
      <c r="AC135" s="31"/>
      <c r="AD135" s="31"/>
      <c r="AE135" s="31"/>
      <c r="AF135" s="31"/>
      <c r="AG135" s="15" t="s">
        <v>402</v>
      </c>
      <c r="AH135" s="35"/>
      <c r="AI135" s="35"/>
      <c r="AK135"/>
      <c r="AM135" s="56"/>
      <c r="AN135" s="57"/>
      <c r="AO135" s="63" t="str">
        <f>IF($A135="","",IFERROR(_xlfn.XLOOKUP($A135,'2_DOI_Lookup'!$A$2:$A$430,'2_DOI_Lookup'!$B$2:$B$430),"NOT IN SOURCE"))</f>
        <v>10.1093/ijlct/ctac104</v>
      </c>
    </row>
    <row r="136" spans="1:41" ht="45.6" hidden="1" x14ac:dyDescent="0.3">
      <c r="A136" s="26">
        <v>3821</v>
      </c>
      <c r="B136" s="9"/>
      <c r="C136" s="32"/>
      <c r="D136" s="9"/>
      <c r="E136" s="9" t="str">
        <f>IF($A136="","",IFERROR(_xlfn.XLOOKUP($A136,'2_DOI_Lookup'!$D$2:$D$430,'2_DOI_Lookup'!$E$2:$E$430),"TITLE NOT IN SOURCE"))</f>
        <v>Smart Monitoring System of Bridge Erecting Machine Operation Status Integrating DT and VR</v>
      </c>
      <c r="F136" s="26" t="s">
        <v>309</v>
      </c>
      <c r="G136" s="27" t="s">
        <v>311</v>
      </c>
      <c r="H136" s="27" t="s">
        <v>311</v>
      </c>
      <c r="I136" s="27" t="s">
        <v>311</v>
      </c>
      <c r="J136" s="27" t="s">
        <v>311</v>
      </c>
      <c r="K136" s="27" t="s">
        <v>312</v>
      </c>
      <c r="L136" s="28" t="str">
        <f t="shared" si="11"/>
        <v>EXCLUDE</v>
      </c>
      <c r="M136" s="28" t="str">
        <f t="shared" si="12"/>
        <v>Non-English</v>
      </c>
      <c r="N136" s="29"/>
      <c r="O136" s="29"/>
      <c r="P136" s="30"/>
      <c r="Q136" s="30"/>
      <c r="R136" s="30"/>
      <c r="S136" s="28" t="str">
        <f t="shared" si="13"/>
        <v/>
      </c>
      <c r="T136" s="28" t="str">
        <f t="shared" si="14"/>
        <v/>
      </c>
      <c r="U136" s="31"/>
      <c r="V136" s="31"/>
      <c r="W136" s="31"/>
      <c r="X136" s="31"/>
      <c r="Y136" s="28" t="str">
        <f t="shared" si="15"/>
        <v/>
      </c>
      <c r="Z136" s="31"/>
      <c r="AA136" s="31"/>
      <c r="AB136" s="31"/>
      <c r="AC136" s="31"/>
      <c r="AD136" s="31"/>
      <c r="AE136" s="31"/>
      <c r="AF136" s="31"/>
      <c r="AG136" s="15" t="s">
        <v>403</v>
      </c>
      <c r="AH136" s="35"/>
      <c r="AI136" s="35"/>
      <c r="AK136"/>
      <c r="AM136" s="56"/>
      <c r="AN136" s="57"/>
      <c r="AO136" s="63" t="str">
        <f>IF($A136="","",IFERROR(_xlfn.XLOOKUP($A136,'2_DOI_Lookup'!$A$2:$A$430,'2_DOI_Lookup'!$B$2:$B$430),"NOT IN SOURCE"))</f>
        <v>10.19721/j.cnki.1001-7372.2025.06.010</v>
      </c>
    </row>
    <row r="137" spans="1:41" ht="79.8" hidden="1" x14ac:dyDescent="0.3">
      <c r="A137" s="26">
        <v>3987</v>
      </c>
      <c r="B137" s="9"/>
      <c r="C137" s="32"/>
      <c r="D137" s="9"/>
      <c r="E137" s="9" t="str">
        <f>IF($A137="","",IFERROR(_xlfn.XLOOKUP($A137,'2_DOI_Lookup'!$D$2:$D$430,'2_DOI_Lookup'!$E$2:$E$430),"TITLE NOT IN SOURCE"))</f>
        <v>A REVIEW OF DRIVERS AND BARRIERS OF DIGITAL TWIN ADOPTION IN BUILDING PROJECT DEVELOPMENT PROCESSES</v>
      </c>
      <c r="F137" s="26" t="s">
        <v>310</v>
      </c>
      <c r="G137" s="27" t="s">
        <v>311</v>
      </c>
      <c r="H137" s="27" t="s">
        <v>311</v>
      </c>
      <c r="I137" s="27" t="s">
        <v>312</v>
      </c>
      <c r="J137" s="27" t="s">
        <v>311</v>
      </c>
      <c r="K137" s="27" t="s">
        <v>311</v>
      </c>
      <c r="L137" s="28" t="str">
        <f t="shared" si="11"/>
        <v>EXCLUDE</v>
      </c>
      <c r="M137" s="28" t="str">
        <f t="shared" si="12"/>
        <v>No Design for Safety/Quality/PtD</v>
      </c>
      <c r="N137" s="29"/>
      <c r="O137" s="29"/>
      <c r="P137" s="30"/>
      <c r="Q137" s="30"/>
      <c r="R137" s="30"/>
      <c r="S137" s="28" t="str">
        <f t="shared" si="13"/>
        <v/>
      </c>
      <c r="T137" s="28" t="str">
        <f t="shared" si="14"/>
        <v/>
      </c>
      <c r="U137" s="31"/>
      <c r="V137" s="31"/>
      <c r="W137" s="31"/>
      <c r="X137" s="31"/>
      <c r="Y137" s="28" t="str">
        <f t="shared" si="15"/>
        <v/>
      </c>
      <c r="Z137" s="31"/>
      <c r="AA137" s="31"/>
      <c r="AB137" s="31"/>
      <c r="AC137" s="31"/>
      <c r="AD137" s="31"/>
      <c r="AE137" s="31"/>
      <c r="AF137" s="31"/>
      <c r="AG137" s="15" t="s">
        <v>404</v>
      </c>
      <c r="AH137" s="35"/>
      <c r="AI137" s="35"/>
      <c r="AK137"/>
      <c r="AM137" s="56"/>
      <c r="AN137" s="57"/>
      <c r="AO137" s="63" t="str">
        <f>IF($A137="","",IFERROR(_xlfn.XLOOKUP($A137,'2_DOI_Lookup'!$A$2:$A$430,'2_DOI_Lookup'!$B$2:$B$430),"NOT IN SOURCE"))</f>
        <v>10.36680/j.itcon.2024.008</v>
      </c>
    </row>
    <row r="138" spans="1:41" ht="91.2" hidden="1" x14ac:dyDescent="0.3">
      <c r="A138" s="26">
        <v>4050</v>
      </c>
      <c r="B138" s="9"/>
      <c r="C138" s="32"/>
      <c r="D138" s="9"/>
      <c r="E138" s="9" t="str">
        <f>IF($A138="","",IFERROR(_xlfn.XLOOKUP($A138,'2_DOI_Lookup'!$D$2:$D$430,'2_DOI_Lookup'!$E$2:$E$430),"TITLE NOT IN SOURCE"))</f>
        <v>Investigating the Applicability of Industry 4.0 Technologies in Road Construction Projects: A Quantitative Research Design From Construction 4.0 Perspectives</v>
      </c>
      <c r="F138" s="26" t="s">
        <v>310</v>
      </c>
      <c r="G138" s="27" t="s">
        <v>311</v>
      </c>
      <c r="H138" s="27" t="s">
        <v>312</v>
      </c>
      <c r="I138" s="27" t="s">
        <v>312</v>
      </c>
      <c r="J138" s="27" t="s">
        <v>311</v>
      </c>
      <c r="K138" s="27" t="s">
        <v>311</v>
      </c>
      <c r="L138" s="28" t="str">
        <f t="shared" si="11"/>
        <v>EXCLUDE</v>
      </c>
      <c r="M138" s="28" t="str">
        <f t="shared" si="12"/>
        <v>Digital Twin not core / buzzword</v>
      </c>
      <c r="N138" s="29"/>
      <c r="O138" s="29"/>
      <c r="P138" s="30"/>
      <c r="Q138" s="30"/>
      <c r="R138" s="30"/>
      <c r="S138" s="28" t="str">
        <f t="shared" si="13"/>
        <v/>
      </c>
      <c r="T138" s="28" t="str">
        <f t="shared" si="14"/>
        <v/>
      </c>
      <c r="U138" s="31"/>
      <c r="V138" s="31"/>
      <c r="W138" s="31"/>
      <c r="X138" s="31"/>
      <c r="Y138" s="28" t="str">
        <f t="shared" si="15"/>
        <v/>
      </c>
      <c r="Z138" s="31"/>
      <c r="AA138" s="31"/>
      <c r="AB138" s="31"/>
      <c r="AC138" s="31"/>
      <c r="AD138" s="31"/>
      <c r="AE138" s="31"/>
      <c r="AF138" s="31"/>
      <c r="AG138" s="15" t="s">
        <v>405</v>
      </c>
      <c r="AH138" s="35"/>
      <c r="AI138" s="35"/>
      <c r="AK138"/>
      <c r="AM138" s="56"/>
      <c r="AN138" s="57"/>
      <c r="AO138" s="63" t="str">
        <f>IF($A138="","",IFERROR(_xlfn.XLOOKUP($A138,'2_DOI_Lookup'!$A$2:$A$430,'2_DOI_Lookup'!$B$2:$B$430),"NOT IN SOURCE"))</f>
        <v>10.1002/eng2.70406</v>
      </c>
    </row>
    <row r="139" spans="1:41" ht="79.8" hidden="1" x14ac:dyDescent="0.3">
      <c r="A139" s="26">
        <v>3563</v>
      </c>
      <c r="B139" s="9"/>
      <c r="C139" s="32"/>
      <c r="D139" s="9"/>
      <c r="E139" s="9" t="str">
        <f>IF($A139="","",IFERROR(_xlfn.XLOOKUP($A139,'2_DOI_Lookup'!$D$2:$D$430,'2_DOI_Lookup'!$E$2:$E$430),"TITLE NOT IN SOURCE"))</f>
        <v>Building digital-twin virtual machining for milling chatter detection based on VMD, synchro-squeeze wavelet, and pre-trained network CNNs with vibration signals</v>
      </c>
      <c r="F139" s="26" t="s">
        <v>309</v>
      </c>
      <c r="G139" s="27" t="s">
        <v>312</v>
      </c>
      <c r="H139" s="27" t="s">
        <v>311</v>
      </c>
      <c r="I139" s="27" t="s">
        <v>311</v>
      </c>
      <c r="J139" s="27" t="s">
        <v>311</v>
      </c>
      <c r="K139" s="27" t="s">
        <v>311</v>
      </c>
      <c r="L139" s="28" t="str">
        <f t="shared" si="11"/>
        <v>EXCLUDE</v>
      </c>
      <c r="M139" s="28" t="str">
        <f t="shared" si="12"/>
        <v>Wrong domain (non-AECO)</v>
      </c>
      <c r="N139" s="29"/>
      <c r="O139" s="29"/>
      <c r="P139" s="30"/>
      <c r="Q139" s="30"/>
      <c r="R139" s="30"/>
      <c r="S139" s="28" t="str">
        <f t="shared" si="13"/>
        <v/>
      </c>
      <c r="T139" s="28" t="str">
        <f t="shared" si="14"/>
        <v/>
      </c>
      <c r="U139" s="31"/>
      <c r="V139" s="31"/>
      <c r="W139" s="31"/>
      <c r="X139" s="31"/>
      <c r="Y139" s="28" t="str">
        <f t="shared" si="15"/>
        <v/>
      </c>
      <c r="Z139" s="31"/>
      <c r="AA139" s="31"/>
      <c r="AB139" s="31"/>
      <c r="AC139" s="31"/>
      <c r="AD139" s="31"/>
      <c r="AE139" s="31"/>
      <c r="AF139" s="31"/>
      <c r="AG139" s="15" t="s">
        <v>406</v>
      </c>
      <c r="AH139" s="35"/>
      <c r="AI139" s="35"/>
      <c r="AK139"/>
      <c r="AM139" s="56"/>
      <c r="AN139" s="57"/>
      <c r="AO139" s="63" t="str">
        <f>IF($A139="","",IFERROR(_xlfn.XLOOKUP($A139,'2_DOI_Lookup'!$A$2:$A$430,'2_DOI_Lookup'!$B$2:$B$430),"NOT IN SOURCE"))</f>
        <v>10.1007/s10845-023-02195-0</v>
      </c>
    </row>
    <row r="140" spans="1:41" ht="45.6" hidden="1" x14ac:dyDescent="0.3">
      <c r="A140" s="64">
        <v>3592</v>
      </c>
      <c r="B140" s="65"/>
      <c r="C140" s="66"/>
      <c r="D140" s="65"/>
      <c r="E140" s="65" t="str">
        <f>IF($A140="","",IFERROR(_xlfn.XLOOKUP($A140,'2_DOI_Lookup'!$D$2:$D$430,'2_DOI_Lookup'!$E$2:$E$430),"TITLE NOT IN SOURCE"))</f>
        <v>Dynamic Cost Control of Construction Engineering Projects Using Multi-Source Data Fusion</v>
      </c>
      <c r="F140" s="64" t="s">
        <v>309</v>
      </c>
      <c r="G140" s="67" t="s">
        <v>311</v>
      </c>
      <c r="H140" s="67" t="s">
        <v>311</v>
      </c>
      <c r="I140" s="67" t="s">
        <v>312</v>
      </c>
      <c r="J140" s="67" t="s">
        <v>311</v>
      </c>
      <c r="K140" s="67" t="s">
        <v>311</v>
      </c>
      <c r="L140" s="68" t="str">
        <f t="shared" si="11"/>
        <v>EXCLUDE</v>
      </c>
      <c r="M140" s="68" t="str">
        <f t="shared" si="12"/>
        <v>No Design for Safety/Quality/PtD</v>
      </c>
      <c r="N140" s="69"/>
      <c r="O140" s="69"/>
      <c r="P140" s="70"/>
      <c r="Q140" s="70"/>
      <c r="R140" s="70"/>
      <c r="S140" s="68" t="str">
        <f t="shared" si="13"/>
        <v/>
      </c>
      <c r="T140" s="68" t="str">
        <f t="shared" si="14"/>
        <v/>
      </c>
      <c r="U140" s="71"/>
      <c r="V140" s="71"/>
      <c r="W140" s="71"/>
      <c r="X140" s="71"/>
      <c r="Y140" s="68" t="str">
        <f t="shared" si="15"/>
        <v/>
      </c>
      <c r="Z140" s="71"/>
      <c r="AA140" s="71"/>
      <c r="AB140" s="71"/>
      <c r="AC140" s="71"/>
      <c r="AD140" s="71"/>
      <c r="AE140" s="71"/>
      <c r="AF140" s="71"/>
      <c r="AG140" s="72" t="s">
        <v>407</v>
      </c>
      <c r="AH140" s="35"/>
      <c r="AI140" s="35"/>
      <c r="AK140"/>
      <c r="AM140" s="56"/>
      <c r="AN140" s="57"/>
      <c r="AO140" s="63" t="str">
        <f>IF($A140="","",IFERROR(_xlfn.XLOOKUP($A140,'2_DOI_Lookup'!$A$2:$A$430,'2_DOI_Lookup'!$B$2:$B$430),"NOT IN SOURCE"))</f>
        <v>10.32738/JEPPM-2026-111</v>
      </c>
    </row>
    <row r="141" spans="1:41" ht="86.4" x14ac:dyDescent="0.3">
      <c r="A141" s="26">
        <v>3930</v>
      </c>
      <c r="B141" s="9" t="s">
        <v>212</v>
      </c>
      <c r="C141" s="32">
        <v>2022</v>
      </c>
      <c r="D141" s="9"/>
      <c r="E141" s="9" t="str">
        <f>IF($A141="","",IFERROR(_xlfn.XLOOKUP($A141,'2_DOI_Lookup'!$D$2:$D$430,'2_DOI_Lookup'!$E$2:$E$430),"TITLE NOT IN SOURCE"))</f>
        <v>Underpass clearance checking in highway widening projects using digital twins</v>
      </c>
      <c r="F141" s="26" t="s">
        <v>310</v>
      </c>
      <c r="G141" s="27" t="s">
        <v>311</v>
      </c>
      <c r="H141" s="27" t="s">
        <v>311</v>
      </c>
      <c r="I141" s="27" t="s">
        <v>311</v>
      </c>
      <c r="J141" s="27" t="s">
        <v>311</v>
      </c>
      <c r="K141" s="27" t="s">
        <v>311</v>
      </c>
      <c r="L141" s="28" t="str">
        <f t="shared" si="11"/>
        <v>INCLUDE</v>
      </c>
      <c r="M141" s="28" t="str">
        <f t="shared" si="12"/>
        <v/>
      </c>
      <c r="N141" s="29" t="s">
        <v>311</v>
      </c>
      <c r="O141" s="29" t="s">
        <v>311</v>
      </c>
      <c r="P141" s="30" t="s">
        <v>311</v>
      </c>
      <c r="Q141" s="30" t="s">
        <v>311</v>
      </c>
      <c r="R141" s="30" t="s">
        <v>311</v>
      </c>
      <c r="S141" s="28" t="str">
        <f t="shared" si="13"/>
        <v>INCLUDE</v>
      </c>
      <c r="T141" s="28" t="str">
        <f t="shared" si="14"/>
        <v/>
      </c>
      <c r="U141" s="31" t="s">
        <v>52</v>
      </c>
      <c r="V141" s="31">
        <v>1</v>
      </c>
      <c r="W141" s="31">
        <v>0</v>
      </c>
      <c r="X141" s="31">
        <v>0</v>
      </c>
      <c r="Y141" s="28" t="str">
        <f t="shared" si="15"/>
        <v>Single</v>
      </c>
      <c r="Z141" s="31" t="s">
        <v>9</v>
      </c>
      <c r="AA141" s="31" t="s">
        <v>53</v>
      </c>
      <c r="AB141" s="31" t="s">
        <v>91</v>
      </c>
      <c r="AC141" s="31" t="s">
        <v>64</v>
      </c>
      <c r="AD141" s="31" t="s">
        <v>72</v>
      </c>
      <c r="AE141" s="31">
        <v>3</v>
      </c>
      <c r="AF141" s="31" t="s">
        <v>80</v>
      </c>
      <c r="AG141" s="15" t="s">
        <v>624</v>
      </c>
      <c r="AH141" s="97" t="s">
        <v>842</v>
      </c>
      <c r="AI141" s="97" t="s">
        <v>843</v>
      </c>
      <c r="AJ141" s="98" t="s">
        <v>1081</v>
      </c>
      <c r="AK141" s="98" t="s">
        <v>1135</v>
      </c>
      <c r="AL141" s="98" t="s">
        <v>1084</v>
      </c>
      <c r="AM141" s="99"/>
      <c r="AN141" s="100" t="s">
        <v>1374</v>
      </c>
      <c r="AO141" s="101" t="str">
        <f>IF($A141="","",IFERROR(_xlfn.XLOOKUP($A141,'2_DOI_Lookup'!$A$2:$A$430,'2_DOI_Lookup'!$B$2:$B$430),"NOT IN SOURCE"))</f>
        <v>10.1016/j.autcon.2022.104406</v>
      </c>
    </row>
    <row r="142" spans="1:41" ht="91.2" x14ac:dyDescent="0.3">
      <c r="A142" s="26">
        <v>3784</v>
      </c>
      <c r="B142" s="9" t="s">
        <v>212</v>
      </c>
      <c r="C142" s="32">
        <v>2022</v>
      </c>
      <c r="D142" s="9"/>
      <c r="E142" s="9" t="str">
        <f>IF($A142="","",IFERROR(_xlfn.XLOOKUP($A142,'2_DOI_Lookup'!$D$2:$D$430,'2_DOI_Lookup'!$E$2:$E$430),"TITLE NOT IN SOURCE"))</f>
        <v>Monitoring System for the Construction of Arch Cover Method Subway Station Based on DT and IoT</v>
      </c>
      <c r="F142" s="26" t="s">
        <v>309</v>
      </c>
      <c r="G142" s="27" t="s">
        <v>311</v>
      </c>
      <c r="H142" s="27" t="s">
        <v>311</v>
      </c>
      <c r="I142" s="27" t="s">
        <v>311</v>
      </c>
      <c r="J142" s="27" t="s">
        <v>311</v>
      </c>
      <c r="K142" s="27" t="s">
        <v>311</v>
      </c>
      <c r="L142" s="28" t="str">
        <f t="shared" si="11"/>
        <v>INCLUDE</v>
      </c>
      <c r="M142" s="28" t="str">
        <f t="shared" si="12"/>
        <v/>
      </c>
      <c r="N142" s="29" t="s">
        <v>49</v>
      </c>
      <c r="O142" s="29" t="s">
        <v>49</v>
      </c>
      <c r="P142" s="30" t="s">
        <v>49</v>
      </c>
      <c r="Q142" s="30" t="s">
        <v>49</v>
      </c>
      <c r="R142" s="30" t="s">
        <v>49</v>
      </c>
      <c r="S142" s="28" t="str">
        <f t="shared" si="13"/>
        <v>INCLUDE</v>
      </c>
      <c r="T142" s="28" t="str">
        <f t="shared" si="14"/>
        <v/>
      </c>
      <c r="U142" s="31" t="s">
        <v>61</v>
      </c>
      <c r="V142" s="31">
        <v>0</v>
      </c>
      <c r="W142" s="31">
        <v>1</v>
      </c>
      <c r="X142" s="31">
        <v>0</v>
      </c>
      <c r="Y142" s="28" t="str">
        <f t="shared" si="15"/>
        <v>Single</v>
      </c>
      <c r="Z142" s="31" t="s">
        <v>9</v>
      </c>
      <c r="AA142" s="31" t="s">
        <v>53</v>
      </c>
      <c r="AB142" s="31" t="s">
        <v>91</v>
      </c>
      <c r="AC142" s="31" t="s">
        <v>64</v>
      </c>
      <c r="AD142" s="31" t="s">
        <v>72</v>
      </c>
      <c r="AE142" s="31">
        <v>3</v>
      </c>
      <c r="AF142" s="31" t="s">
        <v>80</v>
      </c>
      <c r="AG142" s="15" t="s">
        <v>705</v>
      </c>
      <c r="AH142" s="97" t="s">
        <v>844</v>
      </c>
      <c r="AI142" s="97" t="s">
        <v>845</v>
      </c>
      <c r="AJ142" s="98" t="s">
        <v>1080</v>
      </c>
      <c r="AK142" s="98" t="s">
        <v>1136</v>
      </c>
      <c r="AL142" s="98" t="s">
        <v>1083</v>
      </c>
      <c r="AM142" s="99"/>
      <c r="AN142" s="100" t="s">
        <v>1300</v>
      </c>
      <c r="AO142" s="101" t="str">
        <f>IF($A142="","",IFERROR(_xlfn.XLOOKUP($A142,'2_DOI_Lookup'!$A$2:$A$430,'2_DOI_Lookup'!$B$2:$B$430),"NOT IN SOURCE"))</f>
        <v>10.1155/2022/1875196</v>
      </c>
    </row>
    <row r="143" spans="1:41" ht="57" hidden="1" x14ac:dyDescent="0.3">
      <c r="A143" s="73">
        <v>3630</v>
      </c>
      <c r="B143" s="74"/>
      <c r="C143" s="75"/>
      <c r="D143" s="74"/>
      <c r="E143" s="74" t="str">
        <f>IF($A143="","",IFERROR(_xlfn.XLOOKUP($A143,'2_DOI_Lookup'!$D$2:$D$430,'2_DOI_Lookup'!$E$2:$E$430),"TITLE NOT IN SOURCE"))</f>
        <v>Building facility virtual inspection system design and implementation based on software robotics technology</v>
      </c>
      <c r="F143" s="73" t="s">
        <v>309</v>
      </c>
      <c r="G143" s="76" t="s">
        <v>311</v>
      </c>
      <c r="H143" s="76" t="s">
        <v>311</v>
      </c>
      <c r="I143" s="76" t="s">
        <v>311</v>
      </c>
      <c r="J143" s="76" t="s">
        <v>311</v>
      </c>
      <c r="K143" s="76" t="s">
        <v>312</v>
      </c>
      <c r="L143" s="77" t="str">
        <f t="shared" si="11"/>
        <v>EXCLUDE</v>
      </c>
      <c r="M143" s="77" t="str">
        <f t="shared" si="12"/>
        <v>Non-English</v>
      </c>
      <c r="N143" s="78"/>
      <c r="O143" s="78"/>
      <c r="P143" s="79"/>
      <c r="Q143" s="79"/>
      <c r="R143" s="79"/>
      <c r="S143" s="77" t="str">
        <f t="shared" si="13"/>
        <v/>
      </c>
      <c r="T143" s="77" t="str">
        <f t="shared" si="14"/>
        <v/>
      </c>
      <c r="U143" s="80"/>
      <c r="V143" s="80"/>
      <c r="W143" s="80"/>
      <c r="X143" s="80"/>
      <c r="Y143" s="77" t="str">
        <f t="shared" si="15"/>
        <v/>
      </c>
      <c r="Z143" s="80"/>
      <c r="AA143" s="80"/>
      <c r="AB143" s="80"/>
      <c r="AC143" s="80"/>
      <c r="AD143" s="80"/>
      <c r="AE143" s="80"/>
      <c r="AF143" s="80"/>
      <c r="AG143" s="81" t="s">
        <v>408</v>
      </c>
      <c r="AH143" s="35"/>
      <c r="AI143" s="35"/>
      <c r="AK143"/>
      <c r="AM143" s="56"/>
      <c r="AN143" s="57"/>
      <c r="AO143" s="63" t="str">
        <f>IF($A143="","",IFERROR(_xlfn.XLOOKUP($A143,'2_DOI_Lookup'!$A$2:$A$430,'2_DOI_Lookup'!$B$2:$B$430),"NOT IN SOURCE"))</f>
        <v>10.11835/j.issn.2096-6717.2024.095</v>
      </c>
    </row>
    <row r="144" spans="1:41" ht="68.400000000000006" hidden="1" x14ac:dyDescent="0.3">
      <c r="A144" s="64">
        <v>4054</v>
      </c>
      <c r="B144" s="65"/>
      <c r="C144" s="66"/>
      <c r="D144" s="65"/>
      <c r="E144" s="65" t="str">
        <f>IF($A144="","",IFERROR(_xlfn.XLOOKUP($A144,'2_DOI_Lookup'!$D$2:$D$430,'2_DOI_Lookup'!$E$2:$E$430),"TITLE NOT IN SOURCE"))</f>
        <v>Application of the multimodal model for predicting rock mechanical parameters via MWD feature splicing and fusion</v>
      </c>
      <c r="F144" s="64" t="s">
        <v>310</v>
      </c>
      <c r="G144" s="67" t="s">
        <v>311</v>
      </c>
      <c r="H144" s="67" t="s">
        <v>312</v>
      </c>
      <c r="I144" s="67" t="s">
        <v>311</v>
      </c>
      <c r="J144" s="67" t="s">
        <v>311</v>
      </c>
      <c r="K144" s="67" t="s">
        <v>311</v>
      </c>
      <c r="L144" s="68" t="str">
        <f t="shared" si="11"/>
        <v>EXCLUDE</v>
      </c>
      <c r="M144" s="68" t="str">
        <f t="shared" si="12"/>
        <v>Digital Twin not core / buzzword</v>
      </c>
      <c r="N144" s="69"/>
      <c r="O144" s="69"/>
      <c r="P144" s="70"/>
      <c r="Q144" s="70"/>
      <c r="R144" s="70"/>
      <c r="S144" s="68" t="str">
        <f t="shared" si="13"/>
        <v/>
      </c>
      <c r="T144" s="68" t="str">
        <f t="shared" si="14"/>
        <v/>
      </c>
      <c r="U144" s="71"/>
      <c r="V144" s="71"/>
      <c r="W144" s="71"/>
      <c r="X144" s="71"/>
      <c r="Y144" s="68" t="str">
        <f t="shared" si="15"/>
        <v/>
      </c>
      <c r="Z144" s="71"/>
      <c r="AA144" s="71"/>
      <c r="AB144" s="71"/>
      <c r="AC144" s="71"/>
      <c r="AD144" s="71"/>
      <c r="AE144" s="71"/>
      <c r="AF144" s="71"/>
      <c r="AG144" s="72" t="s">
        <v>409</v>
      </c>
      <c r="AH144" s="35"/>
      <c r="AI144" s="35"/>
      <c r="AK144"/>
      <c r="AM144" s="56"/>
      <c r="AN144" s="57"/>
      <c r="AO144" s="63" t="str">
        <f>IF($A144="","",IFERROR(_xlfn.XLOOKUP($A144,'2_DOI_Lookup'!$A$2:$A$430,'2_DOI_Lookup'!$B$2:$B$430),"NOT IN SOURCE"))</f>
        <v>10.1016/j.trgeo.2026.102063</v>
      </c>
    </row>
    <row r="145" spans="1:41" ht="102.6" x14ac:dyDescent="0.3">
      <c r="A145" s="26">
        <v>3605</v>
      </c>
      <c r="B145" s="9" t="s">
        <v>213</v>
      </c>
      <c r="C145" s="32">
        <v>2023</v>
      </c>
      <c r="D145" s="9"/>
      <c r="E145" s="9" t="str">
        <f>IF($A145="","",IFERROR(_xlfn.XLOOKUP($A145,'2_DOI_Lookup'!$D$2:$D$430,'2_DOI_Lookup'!$E$2:$E$430),"TITLE NOT IN SOURCE"))</f>
        <v>Intelligent control of building fire protection system using digital twins and semantic web technologies</v>
      </c>
      <c r="F145" s="26" t="s">
        <v>309</v>
      </c>
      <c r="G145" s="27" t="s">
        <v>311</v>
      </c>
      <c r="H145" s="27" t="s">
        <v>311</v>
      </c>
      <c r="I145" s="27" t="s">
        <v>311</v>
      </c>
      <c r="J145" s="27" t="s">
        <v>311</v>
      </c>
      <c r="K145" s="27" t="s">
        <v>311</v>
      </c>
      <c r="L145" s="28" t="str">
        <f t="shared" si="11"/>
        <v>INCLUDE</v>
      </c>
      <c r="M145" s="28" t="str">
        <f t="shared" si="12"/>
        <v/>
      </c>
      <c r="N145" s="29" t="s">
        <v>311</v>
      </c>
      <c r="O145" s="29" t="s">
        <v>311</v>
      </c>
      <c r="P145" s="30" t="s">
        <v>311</v>
      </c>
      <c r="Q145" s="30" t="s">
        <v>311</v>
      </c>
      <c r="R145" s="30" t="s">
        <v>311</v>
      </c>
      <c r="S145" s="28" t="str">
        <f t="shared" si="13"/>
        <v>INCLUDE</v>
      </c>
      <c r="T145" s="28" t="str">
        <f t="shared" si="14"/>
        <v/>
      </c>
      <c r="U145" s="31" t="s">
        <v>68</v>
      </c>
      <c r="V145" s="31">
        <v>0</v>
      </c>
      <c r="W145" s="31">
        <v>0</v>
      </c>
      <c r="X145" s="31">
        <v>1</v>
      </c>
      <c r="Y145" s="28" t="str">
        <f t="shared" si="15"/>
        <v>Single</v>
      </c>
      <c r="Z145" s="31" t="s">
        <v>9</v>
      </c>
      <c r="AA145" s="31" t="s">
        <v>53</v>
      </c>
      <c r="AB145" s="31" t="s">
        <v>89</v>
      </c>
      <c r="AC145" s="31" t="s">
        <v>64</v>
      </c>
      <c r="AD145" s="31" t="s">
        <v>65</v>
      </c>
      <c r="AE145" s="31">
        <v>4</v>
      </c>
      <c r="AF145" s="31" t="s">
        <v>80</v>
      </c>
      <c r="AG145" s="15" t="s">
        <v>625</v>
      </c>
      <c r="AH145" s="97" t="s">
        <v>846</v>
      </c>
      <c r="AI145" s="97" t="s">
        <v>847</v>
      </c>
      <c r="AJ145" s="98" t="s">
        <v>1081</v>
      </c>
      <c r="AK145" s="98" t="s">
        <v>1137</v>
      </c>
      <c r="AL145" s="98" t="s">
        <v>1084</v>
      </c>
      <c r="AM145" s="99"/>
      <c r="AN145" s="100" t="s">
        <v>1273</v>
      </c>
      <c r="AO145" s="101" t="str">
        <f>IF($A145="","",IFERROR(_xlfn.XLOOKUP($A145,'2_DOI_Lookup'!$A$2:$A$430,'2_DOI_Lookup'!$B$2:$B$430),"NOT IN SOURCE"))</f>
        <v>10.1016/j.autcon.2022.104728</v>
      </c>
    </row>
    <row r="146" spans="1:41" ht="45.6" hidden="1" x14ac:dyDescent="0.3">
      <c r="A146" s="82">
        <v>3794</v>
      </c>
      <c r="B146" s="83"/>
      <c r="C146" s="84"/>
      <c r="D146" s="83"/>
      <c r="E146" s="83" t="str">
        <f>IF($A146="","",IFERROR(_xlfn.XLOOKUP($A146,'2_DOI_Lookup'!$D$2:$D$430,'2_DOI_Lookup'!$E$2:$E$430),"TITLE NOT IN SOURCE"))</f>
        <v>Digital twin driven intelligent assessment method for structural safety</v>
      </c>
      <c r="F146" s="82" t="s">
        <v>309</v>
      </c>
      <c r="G146" s="85" t="s">
        <v>311</v>
      </c>
      <c r="H146" s="85" t="s">
        <v>311</v>
      </c>
      <c r="I146" s="85" t="s">
        <v>311</v>
      </c>
      <c r="J146" s="85" t="s">
        <v>311</v>
      </c>
      <c r="K146" s="85" t="s">
        <v>312</v>
      </c>
      <c r="L146" s="86" t="str">
        <f t="shared" si="11"/>
        <v>EXCLUDE</v>
      </c>
      <c r="M146" s="86" t="str">
        <f t="shared" si="12"/>
        <v>Non-English</v>
      </c>
      <c r="N146" s="87"/>
      <c r="O146" s="87"/>
      <c r="P146" s="88"/>
      <c r="Q146" s="88"/>
      <c r="R146" s="88"/>
      <c r="S146" s="86" t="str">
        <f t="shared" si="13"/>
        <v/>
      </c>
      <c r="T146" s="86" t="str">
        <f t="shared" si="14"/>
        <v/>
      </c>
      <c r="U146" s="89"/>
      <c r="V146" s="89"/>
      <c r="W146" s="89"/>
      <c r="X146" s="89"/>
      <c r="Y146" s="86" t="str">
        <f t="shared" si="15"/>
        <v/>
      </c>
      <c r="Z146" s="89"/>
      <c r="AA146" s="89"/>
      <c r="AB146" s="89"/>
      <c r="AC146" s="89"/>
      <c r="AD146" s="89"/>
      <c r="AE146" s="89"/>
      <c r="AF146" s="89"/>
      <c r="AG146" s="90" t="s">
        <v>410</v>
      </c>
      <c r="AH146" s="35"/>
      <c r="AI146" s="35"/>
      <c r="AK146"/>
      <c r="AM146" s="56"/>
      <c r="AN146" s="57"/>
      <c r="AO146" s="63" t="str">
        <f>IF($A146="","",IFERROR(_xlfn.XLOOKUP($A146,'2_DOI_Lookup'!$A$2:$A$430,'2_DOI_Lookup'!$B$2:$B$430),"NOT IN SOURCE"))</f>
        <v>10.15951/j.tmgcxb.24040296</v>
      </c>
    </row>
    <row r="147" spans="1:41" ht="102.6" x14ac:dyDescent="0.3">
      <c r="A147" s="26">
        <v>3572</v>
      </c>
      <c r="B147" s="9" t="s">
        <v>212</v>
      </c>
      <c r="C147" s="32">
        <v>2022</v>
      </c>
      <c r="D147" s="9"/>
      <c r="E147" s="9" t="str">
        <f>IF($A147="","",IFERROR(_xlfn.XLOOKUP($A147,'2_DOI_Lookup'!$D$2:$D$430,'2_DOI_Lookup'!$E$2:$E$430),"TITLE NOT IN SOURCE"))</f>
        <v>Digital twin: Stability analysis for tower crane hoisting safety with a scale model</v>
      </c>
      <c r="F147" s="26" t="s">
        <v>309</v>
      </c>
      <c r="G147" s="27" t="s">
        <v>311</v>
      </c>
      <c r="H147" s="27" t="s">
        <v>311</v>
      </c>
      <c r="I147" s="27" t="s">
        <v>311</v>
      </c>
      <c r="J147" s="27" t="s">
        <v>311</v>
      </c>
      <c r="K147" s="27" t="s">
        <v>311</v>
      </c>
      <c r="L147" s="28" t="str">
        <f t="shared" si="11"/>
        <v>INCLUDE</v>
      </c>
      <c r="M147" s="28" t="str">
        <f t="shared" si="12"/>
        <v/>
      </c>
      <c r="N147" s="29" t="s">
        <v>49</v>
      </c>
      <c r="O147" s="29" t="s">
        <v>49</v>
      </c>
      <c r="P147" s="30" t="s">
        <v>49</v>
      </c>
      <c r="Q147" s="30" t="s">
        <v>49</v>
      </c>
      <c r="R147" s="30" t="s">
        <v>49</v>
      </c>
      <c r="S147" s="28" t="str">
        <f t="shared" si="13"/>
        <v>INCLUDE</v>
      </c>
      <c r="T147" s="28" t="str">
        <f t="shared" si="14"/>
        <v/>
      </c>
      <c r="U147" s="31" t="s">
        <v>61</v>
      </c>
      <c r="V147" s="31">
        <v>0</v>
      </c>
      <c r="W147" s="31">
        <v>1</v>
      </c>
      <c r="X147" s="31">
        <v>0</v>
      </c>
      <c r="Y147" s="28" t="str">
        <f t="shared" si="15"/>
        <v>Single</v>
      </c>
      <c r="Z147" s="31" t="s">
        <v>9</v>
      </c>
      <c r="AA147" s="31" t="s">
        <v>53</v>
      </c>
      <c r="AB147" s="31" t="s">
        <v>88</v>
      </c>
      <c r="AC147" s="31" t="s">
        <v>64</v>
      </c>
      <c r="AD147" s="31" t="s">
        <v>1348</v>
      </c>
      <c r="AE147" s="31">
        <v>4</v>
      </c>
      <c r="AF147" s="31" t="s">
        <v>80</v>
      </c>
      <c r="AG147" s="15" t="s">
        <v>706</v>
      </c>
      <c r="AH147" s="97" t="s">
        <v>848</v>
      </c>
      <c r="AI147" s="97" t="s">
        <v>849</v>
      </c>
      <c r="AJ147" s="98" t="s">
        <v>1081</v>
      </c>
      <c r="AK147" s="98" t="s">
        <v>1138</v>
      </c>
      <c r="AL147" s="98" t="s">
        <v>1084</v>
      </c>
      <c r="AM147" s="99" t="s">
        <v>1360</v>
      </c>
      <c r="AN147" s="100" t="s">
        <v>1361</v>
      </c>
      <c r="AO147" s="101" t="str">
        <f>IF($A147="","",IFERROR(_xlfn.XLOOKUP($A147,'2_DOI_Lookup'!$A$2:$A$430,'2_DOI_Lookup'!$B$2:$B$430),"NOT IN SOURCE"))</f>
        <v>10.1016/j.autcon.2022.104257</v>
      </c>
    </row>
    <row r="148" spans="1:41" ht="115.2" x14ac:dyDescent="0.3">
      <c r="A148" s="26">
        <v>3872</v>
      </c>
      <c r="B148" s="9" t="s">
        <v>214</v>
      </c>
      <c r="C148" s="32">
        <v>2024</v>
      </c>
      <c r="D148" s="9"/>
      <c r="E148" s="9" t="str">
        <f>IF($A148="","",IFERROR(_xlfn.XLOOKUP($A148,'2_DOI_Lookup'!$D$2:$D$430,'2_DOI_Lookup'!$E$2:$E$430),"TITLE NOT IN SOURCE"))</f>
        <v>Early-warning of unsafe hoisting operations: An integration of digital twin and knowledge graph</v>
      </c>
      <c r="F148" s="26" t="s">
        <v>309</v>
      </c>
      <c r="G148" s="27" t="s">
        <v>311</v>
      </c>
      <c r="H148" s="27" t="s">
        <v>311</v>
      </c>
      <c r="I148" s="27" t="s">
        <v>311</v>
      </c>
      <c r="J148" s="27" t="s">
        <v>311</v>
      </c>
      <c r="K148" s="27" t="s">
        <v>311</v>
      </c>
      <c r="L148" s="28" t="str">
        <f t="shared" si="11"/>
        <v>INCLUDE</v>
      </c>
      <c r="M148" s="28" t="str">
        <f t="shared" si="12"/>
        <v/>
      </c>
      <c r="N148" s="29" t="s">
        <v>311</v>
      </c>
      <c r="O148" s="29" t="s">
        <v>311</v>
      </c>
      <c r="P148" s="30" t="s">
        <v>311</v>
      </c>
      <c r="Q148" s="30" t="s">
        <v>311</v>
      </c>
      <c r="R148" s="30" t="s">
        <v>311</v>
      </c>
      <c r="S148" s="28" t="str">
        <f t="shared" si="13"/>
        <v>INCLUDE</v>
      </c>
      <c r="T148" s="28" t="str">
        <f t="shared" si="14"/>
        <v/>
      </c>
      <c r="U148" s="31" t="s">
        <v>61</v>
      </c>
      <c r="V148" s="31">
        <v>0</v>
      </c>
      <c r="W148" s="31">
        <v>1</v>
      </c>
      <c r="X148" s="31">
        <v>0</v>
      </c>
      <c r="Y148" s="28" t="str">
        <f t="shared" si="15"/>
        <v>Single</v>
      </c>
      <c r="Z148" s="31" t="s">
        <v>9</v>
      </c>
      <c r="AA148" s="31" t="s">
        <v>53</v>
      </c>
      <c r="AB148" s="31" t="s">
        <v>89</v>
      </c>
      <c r="AC148" s="31" t="s">
        <v>64</v>
      </c>
      <c r="AD148" s="31" t="s">
        <v>1348</v>
      </c>
      <c r="AE148" s="31">
        <v>4</v>
      </c>
      <c r="AF148" s="31" t="s">
        <v>80</v>
      </c>
      <c r="AG148" s="15" t="s">
        <v>626</v>
      </c>
      <c r="AH148" s="97" t="s">
        <v>850</v>
      </c>
      <c r="AI148" s="97" t="s">
        <v>851</v>
      </c>
      <c r="AJ148" s="98" t="s">
        <v>1081</v>
      </c>
      <c r="AK148" s="98" t="s">
        <v>1139</v>
      </c>
      <c r="AL148" s="98" t="s">
        <v>1084</v>
      </c>
      <c r="AM148" s="99" t="s">
        <v>1364</v>
      </c>
      <c r="AN148" s="100" t="s">
        <v>1365</v>
      </c>
      <c r="AO148" s="101" t="str">
        <f>IF($A148="","",IFERROR(_xlfn.XLOOKUP($A148,'2_DOI_Lookup'!$A$2:$A$430,'2_DOI_Lookup'!$B$2:$B$430),"NOT IN SOURCE"))</f>
        <v>10.1016/j.dibe.2024.100490</v>
      </c>
    </row>
    <row r="149" spans="1:41" ht="57" hidden="1" x14ac:dyDescent="0.3">
      <c r="A149" s="73">
        <v>3599</v>
      </c>
      <c r="B149" s="74"/>
      <c r="C149" s="75"/>
      <c r="D149" s="74"/>
      <c r="E149" s="74" t="str">
        <f>IF($A149="","",IFERROR(_xlfn.XLOOKUP($A149,'2_DOI_Lookup'!$D$2:$D$430,'2_DOI_Lookup'!$E$2:$E$430),"TITLE NOT IN SOURCE"))</f>
        <v>Enhancing Autonomous Vehicle Localization Through Cooperative LiDAR and Smart Infrastructure Integration</v>
      </c>
      <c r="F149" s="73" t="s">
        <v>309</v>
      </c>
      <c r="G149" s="76" t="s">
        <v>312</v>
      </c>
      <c r="H149" s="76" t="s">
        <v>312</v>
      </c>
      <c r="I149" s="76" t="s">
        <v>312</v>
      </c>
      <c r="J149" s="76" t="s">
        <v>311</v>
      </c>
      <c r="K149" s="76" t="s">
        <v>311</v>
      </c>
      <c r="L149" s="77" t="str">
        <f t="shared" si="11"/>
        <v>EXCLUDE</v>
      </c>
      <c r="M149" s="77" t="str">
        <f t="shared" si="12"/>
        <v>Wrong domain (non-AECO)</v>
      </c>
      <c r="N149" s="78"/>
      <c r="O149" s="78"/>
      <c r="P149" s="79"/>
      <c r="Q149" s="79"/>
      <c r="R149" s="79"/>
      <c r="S149" s="77" t="str">
        <f t="shared" si="13"/>
        <v/>
      </c>
      <c r="T149" s="77" t="str">
        <f t="shared" si="14"/>
        <v/>
      </c>
      <c r="U149" s="80"/>
      <c r="V149" s="80"/>
      <c r="W149" s="80"/>
      <c r="X149" s="80"/>
      <c r="Y149" s="77" t="str">
        <f t="shared" si="15"/>
        <v/>
      </c>
      <c r="Z149" s="80"/>
      <c r="AA149" s="80"/>
      <c r="AB149" s="80"/>
      <c r="AC149" s="80"/>
      <c r="AD149" s="80"/>
      <c r="AE149" s="80"/>
      <c r="AF149" s="80"/>
      <c r="AG149" s="81" t="s">
        <v>411</v>
      </c>
      <c r="AH149" s="35"/>
      <c r="AI149" s="35"/>
      <c r="AK149"/>
      <c r="AM149" s="56"/>
      <c r="AN149" s="57"/>
      <c r="AO149" s="63" t="str">
        <f>IF($A149="","",IFERROR(_xlfn.XLOOKUP($A149,'2_DOI_Lookup'!$A$2:$A$430,'2_DOI_Lookup'!$B$2:$B$430),"NOT IN SOURCE"))</f>
        <v>10.1109/OJITS.2026.3664106</v>
      </c>
    </row>
    <row r="150" spans="1:41" ht="57" hidden="1" x14ac:dyDescent="0.3">
      <c r="A150" s="26">
        <v>3832</v>
      </c>
      <c r="B150" s="9"/>
      <c r="C150" s="32"/>
      <c r="D150" s="9"/>
      <c r="E150" s="9" t="str">
        <f>IF($A150="","",IFERROR(_xlfn.XLOOKUP($A150,'2_DOI_Lookup'!$D$2:$D$430,'2_DOI_Lookup'!$E$2:$E$430),"TITLE NOT IN SOURCE"))</f>
        <v>Intelligent Transition of Automotive Industry Driven by Autonomous Driving Simulation Testing Technology</v>
      </c>
      <c r="F150" s="26" t="s">
        <v>309</v>
      </c>
      <c r="G150" s="27" t="s">
        <v>312</v>
      </c>
      <c r="H150" s="27" t="s">
        <v>311</v>
      </c>
      <c r="I150" s="27" t="s">
        <v>312</v>
      </c>
      <c r="J150" s="27" t="s">
        <v>311</v>
      </c>
      <c r="K150" s="27" t="s">
        <v>312</v>
      </c>
      <c r="L150" s="28" t="str">
        <f t="shared" si="11"/>
        <v>EXCLUDE</v>
      </c>
      <c r="M150" s="28" t="str">
        <f t="shared" si="12"/>
        <v>Wrong domain (non-AECO)</v>
      </c>
      <c r="N150" s="29"/>
      <c r="O150" s="29"/>
      <c r="P150" s="30"/>
      <c r="Q150" s="30"/>
      <c r="R150" s="30"/>
      <c r="S150" s="28" t="str">
        <f t="shared" si="13"/>
        <v/>
      </c>
      <c r="T150" s="28" t="str">
        <f t="shared" si="14"/>
        <v/>
      </c>
      <c r="U150" s="31"/>
      <c r="V150" s="31"/>
      <c r="W150" s="31"/>
      <c r="X150" s="31"/>
      <c r="Y150" s="28" t="str">
        <f t="shared" si="15"/>
        <v/>
      </c>
      <c r="Z150" s="31"/>
      <c r="AA150" s="31"/>
      <c r="AB150" s="31"/>
      <c r="AC150" s="31"/>
      <c r="AD150" s="31"/>
      <c r="AE150" s="31"/>
      <c r="AF150" s="31"/>
      <c r="AG150" s="15" t="s">
        <v>412</v>
      </c>
      <c r="AH150" s="35"/>
      <c r="AI150" s="35"/>
      <c r="AK150"/>
      <c r="AM150" s="56"/>
      <c r="AN150" s="57"/>
      <c r="AO150" s="63" t="str">
        <f>IF($A150="","",IFERROR(_xlfn.XLOOKUP($A150,'2_DOI_Lookup'!$A$2:$A$430,'2_DOI_Lookup'!$B$2:$B$430),"NOT IN SOURCE"))</f>
        <v>10.16182/j.issn1004731x.joss.25-0511</v>
      </c>
    </row>
    <row r="151" spans="1:41" ht="45.6" hidden="1" x14ac:dyDescent="0.3">
      <c r="A151" s="64">
        <v>3789</v>
      </c>
      <c r="B151" s="65"/>
      <c r="C151" s="66"/>
      <c r="D151" s="65"/>
      <c r="E151" s="65" t="str">
        <f>IF($A151="","",IFERROR(_xlfn.XLOOKUP($A151,'2_DOI_Lookup'!$D$2:$D$430,'2_DOI_Lookup'!$E$2:$E$430),"TITLE NOT IN SOURCE"))</f>
        <v>Automated quantification of construction workers’ exposure to falling object hazards</v>
      </c>
      <c r="F151" s="64" t="s">
        <v>309</v>
      </c>
      <c r="G151" s="67" t="s">
        <v>311</v>
      </c>
      <c r="H151" s="67" t="s">
        <v>312</v>
      </c>
      <c r="I151" s="67" t="s">
        <v>311</v>
      </c>
      <c r="J151" s="67" t="s">
        <v>311</v>
      </c>
      <c r="K151" s="67" t="s">
        <v>311</v>
      </c>
      <c r="L151" s="68" t="str">
        <f t="shared" si="11"/>
        <v>EXCLUDE</v>
      </c>
      <c r="M151" s="68" t="str">
        <f t="shared" si="12"/>
        <v>Digital Twin not core / buzzword</v>
      </c>
      <c r="N151" s="69"/>
      <c r="O151" s="69"/>
      <c r="P151" s="70"/>
      <c r="Q151" s="70"/>
      <c r="R151" s="70"/>
      <c r="S151" s="68" t="str">
        <f t="shared" si="13"/>
        <v/>
      </c>
      <c r="T151" s="68" t="str">
        <f t="shared" si="14"/>
        <v/>
      </c>
      <c r="U151" s="71"/>
      <c r="V151" s="71"/>
      <c r="W151" s="71"/>
      <c r="X151" s="71"/>
      <c r="Y151" s="68" t="str">
        <f t="shared" si="15"/>
        <v/>
      </c>
      <c r="Z151" s="71"/>
      <c r="AA151" s="71"/>
      <c r="AB151" s="71"/>
      <c r="AC151" s="71"/>
      <c r="AD151" s="71"/>
      <c r="AE151" s="71"/>
      <c r="AF151" s="71"/>
      <c r="AG151" s="72" t="s">
        <v>413</v>
      </c>
      <c r="AH151" s="35"/>
      <c r="AI151" s="35"/>
      <c r="AK151"/>
      <c r="AM151" s="56"/>
      <c r="AN151" s="57"/>
      <c r="AO151" s="63" t="str">
        <f>IF($A151="","",IFERROR(_xlfn.XLOOKUP($A151,'2_DOI_Lookup'!$A$2:$A$430,'2_DOI_Lookup'!$B$2:$B$430),"NOT IN SOURCE"))</f>
        <v>10.1680/jmapl.23.00103</v>
      </c>
    </row>
    <row r="152" spans="1:41" ht="100.8" x14ac:dyDescent="0.3">
      <c r="A152" s="26">
        <v>4027</v>
      </c>
      <c r="B152" s="9" t="s">
        <v>215</v>
      </c>
      <c r="C152" s="32">
        <v>2025</v>
      </c>
      <c r="D152" s="9"/>
      <c r="E152" s="61" t="str">
        <f>IF($A152="","",IFERROR(_xlfn.XLOOKUP($A152,'2_DOI_Lookup'!$D$2:$D$430,'2_DOI_Lookup'!$E$2:$E$430),"TITLE NOT IN SOURCE"))</f>
        <v>Knowledge graph exploitation to enhance the usability of risk assessment in construction safety planning</v>
      </c>
      <c r="F152" s="26" t="s">
        <v>310</v>
      </c>
      <c r="G152" s="27" t="s">
        <v>311</v>
      </c>
      <c r="H152" s="27" t="s">
        <v>311</v>
      </c>
      <c r="I152" s="27" t="s">
        <v>311</v>
      </c>
      <c r="J152" s="27" t="s">
        <v>311</v>
      </c>
      <c r="K152" s="27" t="s">
        <v>311</v>
      </c>
      <c r="L152" s="28" t="str">
        <f t="shared" si="11"/>
        <v>INCLUDE</v>
      </c>
      <c r="M152" s="28" t="str">
        <f t="shared" si="12"/>
        <v/>
      </c>
      <c r="N152" s="29" t="s">
        <v>311</v>
      </c>
      <c r="O152" s="29" t="s">
        <v>311</v>
      </c>
      <c r="P152" s="30" t="s">
        <v>311</v>
      </c>
      <c r="Q152" s="30" t="s">
        <v>311</v>
      </c>
      <c r="R152" s="30" t="s">
        <v>311</v>
      </c>
      <c r="S152" s="28" t="str">
        <f t="shared" si="13"/>
        <v>INCLUDE</v>
      </c>
      <c r="T152" s="28" t="str">
        <f t="shared" si="14"/>
        <v/>
      </c>
      <c r="U152" s="31" t="s">
        <v>52</v>
      </c>
      <c r="V152" s="31">
        <v>1</v>
      </c>
      <c r="W152" s="31">
        <v>0</v>
      </c>
      <c r="X152" s="31">
        <v>0</v>
      </c>
      <c r="Y152" s="28" t="str">
        <f t="shared" si="15"/>
        <v>Single</v>
      </c>
      <c r="Z152" s="31" t="s">
        <v>9</v>
      </c>
      <c r="AA152" s="31" t="s">
        <v>53</v>
      </c>
      <c r="AB152" s="31" t="s">
        <v>89</v>
      </c>
      <c r="AC152" s="31" t="s">
        <v>64</v>
      </c>
      <c r="AD152" s="31" t="s">
        <v>56</v>
      </c>
      <c r="AE152" s="31">
        <v>3</v>
      </c>
      <c r="AF152" s="31" t="s">
        <v>66</v>
      </c>
      <c r="AG152" s="15" t="s">
        <v>627</v>
      </c>
      <c r="AH152" s="97" t="s">
        <v>852</v>
      </c>
      <c r="AI152" s="97" t="s">
        <v>853</v>
      </c>
      <c r="AJ152" s="98" t="s">
        <v>1081</v>
      </c>
      <c r="AK152" s="98" t="s">
        <v>1140</v>
      </c>
      <c r="AL152" s="98" t="s">
        <v>1084</v>
      </c>
      <c r="AM152" s="99"/>
      <c r="AN152" s="100" t="s">
        <v>1438</v>
      </c>
      <c r="AO152" s="101" t="str">
        <f>IF($A152="","",IFERROR(_xlfn.XLOOKUP($A152,'2_DOI_Lookup'!$A$2:$A$430,'2_DOI_Lookup'!$B$2:$B$430),"NOT IN SOURCE"))</f>
        <v>10.1016/j.aei.2025.103305</v>
      </c>
    </row>
    <row r="153" spans="1:41" ht="45.6" hidden="1" x14ac:dyDescent="0.3">
      <c r="A153" s="73">
        <v>4023</v>
      </c>
      <c r="B153" s="74"/>
      <c r="C153" s="75"/>
      <c r="D153" s="74"/>
      <c r="E153" s="74" t="str">
        <f>IF($A153="","",IFERROR(_xlfn.XLOOKUP($A153,'2_DOI_Lookup'!$D$2:$D$430,'2_DOI_Lookup'!$E$2:$E$430),"TITLE NOT IN SOURCE"))</f>
        <v>The influence of information from digital buildings on fire service operations</v>
      </c>
      <c r="F153" s="73" t="s">
        <v>310</v>
      </c>
      <c r="G153" s="76" t="s">
        <v>311</v>
      </c>
      <c r="H153" s="76" t="s">
        <v>312</v>
      </c>
      <c r="I153" s="76" t="s">
        <v>311</v>
      </c>
      <c r="J153" s="76" t="s">
        <v>311</v>
      </c>
      <c r="K153" s="76" t="s">
        <v>311</v>
      </c>
      <c r="L153" s="77" t="str">
        <f t="shared" si="11"/>
        <v>EXCLUDE</v>
      </c>
      <c r="M153" s="77" t="str">
        <f t="shared" si="12"/>
        <v>Digital Twin not core / buzzword</v>
      </c>
      <c r="N153" s="78"/>
      <c r="O153" s="78"/>
      <c r="P153" s="79"/>
      <c r="Q153" s="79"/>
      <c r="R153" s="79"/>
      <c r="S153" s="77" t="str">
        <f t="shared" si="13"/>
        <v/>
      </c>
      <c r="T153" s="77" t="str">
        <f t="shared" si="14"/>
        <v/>
      </c>
      <c r="U153" s="80"/>
      <c r="V153" s="80"/>
      <c r="W153" s="80"/>
      <c r="X153" s="80"/>
      <c r="Y153" s="77" t="str">
        <f t="shared" si="15"/>
        <v/>
      </c>
      <c r="Z153" s="80"/>
      <c r="AA153" s="80"/>
      <c r="AB153" s="80"/>
      <c r="AC153" s="80"/>
      <c r="AD153" s="80"/>
      <c r="AE153" s="80"/>
      <c r="AF153" s="80"/>
      <c r="AG153" s="81" t="s">
        <v>414</v>
      </c>
      <c r="AH153" s="35"/>
      <c r="AI153" s="35"/>
      <c r="AK153"/>
      <c r="AM153" s="56"/>
      <c r="AN153" s="57"/>
      <c r="AO153" s="63" t="str">
        <f>IF($A153="","",IFERROR(_xlfn.XLOOKUP($A153,'2_DOI_Lookup'!$A$2:$A$430,'2_DOI_Lookup'!$B$2:$B$430),"NOT IN SOURCE"))</f>
        <v>10.1016/j.firesaf.2026.104746</v>
      </c>
    </row>
    <row r="154" spans="1:41" ht="45.6" hidden="1" x14ac:dyDescent="0.3">
      <c r="A154" s="26">
        <v>3854</v>
      </c>
      <c r="B154" s="9"/>
      <c r="C154" s="32"/>
      <c r="D154" s="9"/>
      <c r="E154" s="9" t="str">
        <f>IF($A154="","",IFERROR(_xlfn.XLOOKUP($A154,'2_DOI_Lookup'!$D$2:$D$430,'2_DOI_Lookup'!$E$2:$E$430),"TITLE NOT IN SOURCE"))</f>
        <v>Mathematical Framework for Airport as Cognitive Digital Twin of Aviation Ecosystem</v>
      </c>
      <c r="F154" s="26" t="s">
        <v>309</v>
      </c>
      <c r="G154" s="27" t="s">
        <v>312</v>
      </c>
      <c r="H154" s="27" t="s">
        <v>311</v>
      </c>
      <c r="I154" s="27" t="s">
        <v>312</v>
      </c>
      <c r="J154" s="27" t="s">
        <v>311</v>
      </c>
      <c r="K154" s="27" t="s">
        <v>311</v>
      </c>
      <c r="L154" s="28" t="str">
        <f t="shared" si="11"/>
        <v>EXCLUDE</v>
      </c>
      <c r="M154" s="28" t="str">
        <f t="shared" si="12"/>
        <v>Wrong domain (non-AECO)</v>
      </c>
      <c r="N154" s="29"/>
      <c r="O154" s="29"/>
      <c r="P154" s="30"/>
      <c r="Q154" s="30"/>
      <c r="R154" s="30"/>
      <c r="S154" s="28" t="str">
        <f t="shared" si="13"/>
        <v/>
      </c>
      <c r="T154" s="28" t="str">
        <f t="shared" si="14"/>
        <v/>
      </c>
      <c r="U154" s="31"/>
      <c r="V154" s="31"/>
      <c r="W154" s="31"/>
      <c r="X154" s="31"/>
      <c r="Y154" s="28" t="str">
        <f t="shared" si="15"/>
        <v/>
      </c>
      <c r="Z154" s="31"/>
      <c r="AA154" s="31"/>
      <c r="AB154" s="31"/>
      <c r="AC154" s="31"/>
      <c r="AD154" s="31"/>
      <c r="AE154" s="31"/>
      <c r="AF154" s="31"/>
      <c r="AG154" s="15" t="s">
        <v>415</v>
      </c>
      <c r="AH154" s="35"/>
      <c r="AI154" s="35"/>
      <c r="AK154"/>
      <c r="AM154" s="56"/>
      <c r="AN154" s="57"/>
      <c r="AO154" s="63" t="str">
        <f>IF($A154="","",IFERROR(_xlfn.XLOOKUP($A154,'2_DOI_Lookup'!$A$2:$A$430,'2_DOI_Lookup'!$B$2:$B$430),"NOT IN SOURCE"))</f>
        <v>10.3390/math14030558</v>
      </c>
    </row>
    <row r="155" spans="1:41" ht="79.8" hidden="1" x14ac:dyDescent="0.3">
      <c r="A155" s="26">
        <v>4012</v>
      </c>
      <c r="B155" s="9"/>
      <c r="C155" s="32"/>
      <c r="D155" s="9"/>
      <c r="E155" s="9" t="str">
        <f>IF($A155="","",IFERROR(_xlfn.XLOOKUP($A155,'2_DOI_Lookup'!$D$2:$D$430,'2_DOI_Lookup'!$E$2:$E$430),"TITLE NOT IN SOURCE"))</f>
        <v>Constructing a Reliable Health Indicator for Bearings Using Convolutional Autoencoder and Continuous Wavelet Transform</v>
      </c>
      <c r="F155" s="26" t="s">
        <v>310</v>
      </c>
      <c r="G155" s="27" t="s">
        <v>312</v>
      </c>
      <c r="H155" s="27" t="s">
        <v>312</v>
      </c>
      <c r="I155" s="27" t="s">
        <v>312</v>
      </c>
      <c r="J155" s="27" t="s">
        <v>311</v>
      </c>
      <c r="K155" s="27" t="s">
        <v>311</v>
      </c>
      <c r="L155" s="28" t="str">
        <f t="shared" si="11"/>
        <v>EXCLUDE</v>
      </c>
      <c r="M155" s="28" t="str">
        <f t="shared" si="12"/>
        <v>Wrong domain (non-AECO)</v>
      </c>
      <c r="N155" s="29"/>
      <c r="O155" s="29"/>
      <c r="P155" s="30"/>
      <c r="Q155" s="30"/>
      <c r="R155" s="30"/>
      <c r="S155" s="28" t="str">
        <f t="shared" si="13"/>
        <v/>
      </c>
      <c r="T155" s="28" t="str">
        <f t="shared" si="14"/>
        <v/>
      </c>
      <c r="U155" s="31"/>
      <c r="V155" s="31"/>
      <c r="W155" s="31"/>
      <c r="X155" s="31"/>
      <c r="Y155" s="28" t="str">
        <f t="shared" si="15"/>
        <v/>
      </c>
      <c r="Z155" s="31"/>
      <c r="AA155" s="31"/>
      <c r="AB155" s="31"/>
      <c r="AC155" s="31"/>
      <c r="AD155" s="31"/>
      <c r="AE155" s="31"/>
      <c r="AF155" s="31"/>
      <c r="AG155" s="15" t="s">
        <v>416</v>
      </c>
      <c r="AH155" s="35"/>
      <c r="AI155" s="35"/>
      <c r="AK155"/>
      <c r="AM155" s="56"/>
      <c r="AN155" s="57"/>
      <c r="AO155" s="63" t="str">
        <f>IF($A155="","",IFERROR(_xlfn.XLOOKUP($A155,'2_DOI_Lookup'!$A$2:$A$430,'2_DOI_Lookup'!$B$2:$B$430),"NOT IN SOURCE"))</f>
        <v>10.3390/app10248948</v>
      </c>
    </row>
    <row r="156" spans="1:41" ht="68.400000000000006" hidden="1" x14ac:dyDescent="0.3">
      <c r="A156" s="26">
        <v>3731</v>
      </c>
      <c r="B156" s="9"/>
      <c r="C156" s="32"/>
      <c r="D156" s="9"/>
      <c r="E156" s="9" t="str">
        <f>IF($A156="","",IFERROR(_xlfn.XLOOKUP($A156,'2_DOI_Lookup'!$D$2:$D$430,'2_DOI_Lookup'!$E$2:$E$430),"TITLE NOT IN SOURCE"))</f>
        <v>The overlooked frontier of AI in construction: conversational, document-native automation for administrative workflows</v>
      </c>
      <c r="F156" s="26" t="s">
        <v>309</v>
      </c>
      <c r="G156" s="27" t="s">
        <v>311</v>
      </c>
      <c r="H156" s="27" t="s">
        <v>312</v>
      </c>
      <c r="I156" s="27" t="s">
        <v>312</v>
      </c>
      <c r="J156" s="27" t="s">
        <v>311</v>
      </c>
      <c r="K156" s="27" t="s">
        <v>311</v>
      </c>
      <c r="L156" s="28" t="str">
        <f t="shared" si="11"/>
        <v>EXCLUDE</v>
      </c>
      <c r="M156" s="28" t="str">
        <f t="shared" si="12"/>
        <v>Digital Twin not core / buzzword</v>
      </c>
      <c r="N156" s="29"/>
      <c r="O156" s="29"/>
      <c r="P156" s="30"/>
      <c r="Q156" s="30"/>
      <c r="R156" s="30"/>
      <c r="S156" s="28" t="str">
        <f t="shared" si="13"/>
        <v/>
      </c>
      <c r="T156" s="28" t="str">
        <f t="shared" si="14"/>
        <v/>
      </c>
      <c r="U156" s="31"/>
      <c r="V156" s="31"/>
      <c r="W156" s="31"/>
      <c r="X156" s="31"/>
      <c r="Y156" s="28" t="str">
        <f t="shared" si="15"/>
        <v/>
      </c>
      <c r="Z156" s="31"/>
      <c r="AA156" s="31"/>
      <c r="AB156" s="31"/>
      <c r="AC156" s="31"/>
      <c r="AD156" s="31"/>
      <c r="AE156" s="31"/>
      <c r="AF156" s="31"/>
      <c r="AG156" s="15" t="s">
        <v>417</v>
      </c>
      <c r="AH156" s="35"/>
      <c r="AI156" s="35"/>
      <c r="AK156"/>
      <c r="AM156" s="56"/>
      <c r="AN156" s="57"/>
      <c r="AO156" s="63" t="str">
        <f>IF($A156="","",IFERROR(_xlfn.XLOOKUP($A156,'2_DOI_Lookup'!$A$2:$A$430,'2_DOI_Lookup'!$B$2:$B$430),"NOT IN SOURCE"))</f>
        <v>10.3389/fbuil.2025.1713342</v>
      </c>
    </row>
    <row r="157" spans="1:41" ht="57" hidden="1" x14ac:dyDescent="0.3">
      <c r="A157" s="64">
        <v>3584</v>
      </c>
      <c r="B157" s="65"/>
      <c r="C157" s="66"/>
      <c r="D157" s="65"/>
      <c r="E157" s="65" t="str">
        <f>IF($A157="","",IFERROR(_xlfn.XLOOKUP($A157,'2_DOI_Lookup'!$D$2:$D$430,'2_DOI_Lookup'!$E$2:$E$430),"TITLE NOT IN SOURCE"))</f>
        <v>Station biophilia–assessing the perception of greenery on railway platforms using a digital twin</v>
      </c>
      <c r="F157" s="64" t="s">
        <v>309</v>
      </c>
      <c r="G157" s="67" t="s">
        <v>311</v>
      </c>
      <c r="H157" s="67" t="s">
        <v>311</v>
      </c>
      <c r="I157" s="67" t="s">
        <v>312</v>
      </c>
      <c r="J157" s="67" t="s">
        <v>311</v>
      </c>
      <c r="K157" s="67" t="s">
        <v>311</v>
      </c>
      <c r="L157" s="68" t="str">
        <f t="shared" si="11"/>
        <v>EXCLUDE</v>
      </c>
      <c r="M157" s="68" t="str">
        <f t="shared" si="12"/>
        <v>No Design for Safety/Quality/PtD</v>
      </c>
      <c r="N157" s="69"/>
      <c r="O157" s="69"/>
      <c r="P157" s="70"/>
      <c r="Q157" s="70"/>
      <c r="R157" s="70"/>
      <c r="S157" s="68" t="str">
        <f t="shared" si="13"/>
        <v/>
      </c>
      <c r="T157" s="68" t="str">
        <f t="shared" si="14"/>
        <v/>
      </c>
      <c r="U157" s="71"/>
      <c r="V157" s="71"/>
      <c r="W157" s="71"/>
      <c r="X157" s="71"/>
      <c r="Y157" s="68" t="str">
        <f t="shared" si="15"/>
        <v/>
      </c>
      <c r="Z157" s="71"/>
      <c r="AA157" s="71"/>
      <c r="AB157" s="71"/>
      <c r="AC157" s="71"/>
      <c r="AD157" s="71"/>
      <c r="AE157" s="71"/>
      <c r="AF157" s="71"/>
      <c r="AG157" s="72" t="s">
        <v>418</v>
      </c>
      <c r="AH157" s="35"/>
      <c r="AI157" s="35"/>
      <c r="AK157"/>
      <c r="AM157" s="56"/>
      <c r="AN157" s="57"/>
      <c r="AO157" s="63" t="str">
        <f>IF($A157="","",IFERROR(_xlfn.XLOOKUP($A157,'2_DOI_Lookup'!$A$2:$A$430,'2_DOI_Lookup'!$B$2:$B$430),"NOT IN SOURCE"))</f>
        <v>10.1080/09613218.2023.2219792</v>
      </c>
    </row>
    <row r="158" spans="1:41" ht="86.4" x14ac:dyDescent="0.3">
      <c r="A158" s="26">
        <v>4024</v>
      </c>
      <c r="B158" s="9" t="s">
        <v>216</v>
      </c>
      <c r="C158" s="32">
        <v>2022</v>
      </c>
      <c r="D158" s="9"/>
      <c r="E158" s="9" t="str">
        <f>IF($A158="","",IFERROR(_xlfn.XLOOKUP($A158,'2_DOI_Lookup'!$D$2:$D$430,'2_DOI_Lookup'!$E$2:$E$430),"TITLE NOT IN SOURCE"))</f>
        <v>AI-based risk assessment for construction site disaster preparedness through deep learning-based digital twinning</v>
      </c>
      <c r="F158" s="26" t="s">
        <v>310</v>
      </c>
      <c r="G158" s="27" t="s">
        <v>311</v>
      </c>
      <c r="H158" s="27" t="s">
        <v>311</v>
      </c>
      <c r="I158" s="27" t="s">
        <v>311</v>
      </c>
      <c r="J158" s="27" t="s">
        <v>311</v>
      </c>
      <c r="K158" s="27" t="s">
        <v>311</v>
      </c>
      <c r="L158" s="28" t="str">
        <f t="shared" si="11"/>
        <v>INCLUDE</v>
      </c>
      <c r="M158" s="28" t="str">
        <f t="shared" si="12"/>
        <v/>
      </c>
      <c r="N158" s="29" t="s">
        <v>311</v>
      </c>
      <c r="O158" s="29" t="s">
        <v>311</v>
      </c>
      <c r="P158" s="30" t="s">
        <v>311</v>
      </c>
      <c r="Q158" s="30" t="s">
        <v>311</v>
      </c>
      <c r="R158" s="30" t="s">
        <v>311</v>
      </c>
      <c r="S158" s="28" t="str">
        <f t="shared" si="13"/>
        <v>INCLUDE</v>
      </c>
      <c r="T158" s="28" t="str">
        <f t="shared" si="14"/>
        <v/>
      </c>
      <c r="U158" s="31" t="s">
        <v>52</v>
      </c>
      <c r="V158" s="31">
        <v>0</v>
      </c>
      <c r="W158" s="31">
        <v>1</v>
      </c>
      <c r="X158" s="31">
        <v>0</v>
      </c>
      <c r="Y158" s="28" t="str">
        <f t="shared" si="15"/>
        <v>Single</v>
      </c>
      <c r="Z158" s="31" t="s">
        <v>9</v>
      </c>
      <c r="AA158" s="31" t="s">
        <v>53</v>
      </c>
      <c r="AB158" s="31" t="s">
        <v>54</v>
      </c>
      <c r="AC158" s="31" t="s">
        <v>64</v>
      </c>
      <c r="AD158" s="31" t="s">
        <v>72</v>
      </c>
      <c r="AE158" s="31">
        <v>4</v>
      </c>
      <c r="AF158" s="31" t="s">
        <v>80</v>
      </c>
      <c r="AG158" s="15" t="s">
        <v>628</v>
      </c>
      <c r="AH158" s="97" t="s">
        <v>854</v>
      </c>
      <c r="AI158" s="97" t="s">
        <v>855</v>
      </c>
      <c r="AJ158" s="98" t="s">
        <v>1081</v>
      </c>
      <c r="AK158" s="98" t="s">
        <v>1141</v>
      </c>
      <c r="AL158" s="98" t="s">
        <v>1083</v>
      </c>
      <c r="AM158" s="99"/>
      <c r="AN158" s="100" t="s">
        <v>1436</v>
      </c>
      <c r="AO158" s="101" t="str">
        <f>IF($A158="","",IFERROR(_xlfn.XLOOKUP($A158,'2_DOI_Lookup'!$A$2:$A$430,'2_DOI_Lookup'!$B$2:$B$430),"NOT IN SOURCE"))</f>
        <v>10.1016/j.autcon.2021.104091</v>
      </c>
    </row>
    <row r="159" spans="1:41" ht="91.2" x14ac:dyDescent="0.3">
      <c r="A159" s="26">
        <v>3644</v>
      </c>
      <c r="B159" s="9" t="s">
        <v>216</v>
      </c>
      <c r="C159" s="32">
        <v>2022</v>
      </c>
      <c r="D159" s="9"/>
      <c r="E159" s="9" t="str">
        <f>IF($A159="","",IFERROR(_xlfn.XLOOKUP($A159,'2_DOI_Lookup'!$D$2:$D$430,'2_DOI_Lookup'!$E$2:$E$430),"TITLE NOT IN SOURCE"))</f>
        <v>Analyzing Safety Risk Imposed by Jobsite Debris to Nearby Built Environments Using Geometric Digital Twins and Vision-Based Deep Learning</v>
      </c>
      <c r="F159" s="26" t="s">
        <v>309</v>
      </c>
      <c r="G159" s="27" t="s">
        <v>311</v>
      </c>
      <c r="H159" s="27" t="s">
        <v>311</v>
      </c>
      <c r="I159" s="27" t="s">
        <v>311</v>
      </c>
      <c r="J159" s="27" t="s">
        <v>311</v>
      </c>
      <c r="K159" s="27" t="s">
        <v>311</v>
      </c>
      <c r="L159" s="28" t="str">
        <f t="shared" si="11"/>
        <v>INCLUDE</v>
      </c>
      <c r="M159" s="28" t="str">
        <f t="shared" si="12"/>
        <v/>
      </c>
      <c r="N159" s="29" t="s">
        <v>49</v>
      </c>
      <c r="O159" s="29" t="s">
        <v>49</v>
      </c>
      <c r="P159" s="30" t="s">
        <v>49</v>
      </c>
      <c r="Q159" s="30" t="s">
        <v>49</v>
      </c>
      <c r="R159" s="30" t="s">
        <v>49</v>
      </c>
      <c r="S159" s="28" t="str">
        <f t="shared" si="13"/>
        <v>INCLUDE</v>
      </c>
      <c r="T159" s="28" t="str">
        <f t="shared" si="14"/>
        <v/>
      </c>
      <c r="U159" s="31" t="s">
        <v>52</v>
      </c>
      <c r="V159" s="31">
        <v>0</v>
      </c>
      <c r="W159" s="31">
        <v>1</v>
      </c>
      <c r="X159" s="31">
        <v>0</v>
      </c>
      <c r="Y159" s="28" t="str">
        <f t="shared" si="15"/>
        <v>Single</v>
      </c>
      <c r="Z159" s="31" t="s">
        <v>9</v>
      </c>
      <c r="AA159" s="31" t="s">
        <v>53</v>
      </c>
      <c r="AB159" s="31" t="s">
        <v>54</v>
      </c>
      <c r="AC159" s="31" t="s">
        <v>64</v>
      </c>
      <c r="AD159" s="31" t="s">
        <v>72</v>
      </c>
      <c r="AE159" s="31">
        <v>4</v>
      </c>
      <c r="AF159" s="31" t="s">
        <v>80</v>
      </c>
      <c r="AG159" s="15" t="s">
        <v>707</v>
      </c>
      <c r="AH159" s="97" t="s">
        <v>856</v>
      </c>
      <c r="AI159" s="97" t="s">
        <v>857</v>
      </c>
      <c r="AJ159" s="98" t="s">
        <v>1081</v>
      </c>
      <c r="AK159" s="98" t="s">
        <v>1142</v>
      </c>
      <c r="AL159" s="98" t="s">
        <v>1083</v>
      </c>
      <c r="AM159" s="99"/>
      <c r="AN159" s="100" t="s">
        <v>1278</v>
      </c>
      <c r="AO159" s="101" t="str">
        <f>IF($A159="","",IFERROR(_xlfn.XLOOKUP($A159,'2_DOI_Lookup'!$A$2:$A$430,'2_DOI_Lookup'!$B$2:$B$430),"NOT IN SOURCE"))</f>
        <v>10.1061/(ASCE)CP.1943-5487.0001044</v>
      </c>
    </row>
    <row r="160" spans="1:41" ht="68.400000000000006" hidden="1" x14ac:dyDescent="0.3">
      <c r="A160" s="73">
        <v>3643</v>
      </c>
      <c r="B160" s="74"/>
      <c r="C160" s="75"/>
      <c r="D160" s="74"/>
      <c r="E160" s="74" t="str">
        <f>IF($A160="","",IFERROR(_xlfn.XLOOKUP($A160,'2_DOI_Lookup'!$D$2:$D$430,'2_DOI_Lookup'!$E$2:$E$430),"TITLE NOT IN SOURCE"))</f>
        <v>Digital Twin-Enabled Incident Detection and Response: A Systematic Review of Critical Infrastructures Applications</v>
      </c>
      <c r="F160" s="73" t="s">
        <v>309</v>
      </c>
      <c r="G160" s="76" t="s">
        <v>312</v>
      </c>
      <c r="H160" s="76" t="s">
        <v>311</v>
      </c>
      <c r="I160" s="76" t="s">
        <v>312</v>
      </c>
      <c r="J160" s="76" t="s">
        <v>311</v>
      </c>
      <c r="K160" s="76" t="s">
        <v>311</v>
      </c>
      <c r="L160" s="77" t="str">
        <f t="shared" si="11"/>
        <v>EXCLUDE</v>
      </c>
      <c r="M160" s="77" t="str">
        <f t="shared" si="12"/>
        <v>Wrong domain (non-AECO)</v>
      </c>
      <c r="N160" s="78"/>
      <c r="O160" s="78"/>
      <c r="P160" s="79"/>
      <c r="Q160" s="79"/>
      <c r="R160" s="79"/>
      <c r="S160" s="77" t="str">
        <f t="shared" si="13"/>
        <v/>
      </c>
      <c r="T160" s="77" t="str">
        <f t="shared" si="14"/>
        <v/>
      </c>
      <c r="U160" s="80"/>
      <c r="V160" s="80"/>
      <c r="W160" s="80"/>
      <c r="X160" s="80"/>
      <c r="Y160" s="77" t="str">
        <f t="shared" si="15"/>
        <v/>
      </c>
      <c r="Z160" s="80"/>
      <c r="AA160" s="80"/>
      <c r="AB160" s="80"/>
      <c r="AC160" s="80"/>
      <c r="AD160" s="80"/>
      <c r="AE160" s="80"/>
      <c r="AF160" s="80"/>
      <c r="AG160" s="81" t="s">
        <v>419</v>
      </c>
      <c r="AH160" s="35"/>
      <c r="AI160" s="35"/>
      <c r="AK160"/>
      <c r="AM160" s="56"/>
      <c r="AN160" s="57"/>
      <c r="AO160" s="63" t="str">
        <f>IF($A160="","",IFERROR(_xlfn.XLOOKUP($A160,'2_DOI_Lookup'!$A$2:$A$430,'2_DOI_Lookup'!$B$2:$B$430),"NOT IN SOURCE"))</f>
        <v>10.1007/s10207-025-01113-0</v>
      </c>
    </row>
    <row r="161" spans="1:41" ht="45.6" hidden="1" x14ac:dyDescent="0.3">
      <c r="A161" s="64">
        <v>3523</v>
      </c>
      <c r="B161" s="65"/>
      <c r="C161" s="66"/>
      <c r="D161" s="65"/>
      <c r="E161" s="65" t="str">
        <f>IF($A161="","",IFERROR(_xlfn.XLOOKUP($A161,'2_DOI_Lookup'!$D$2:$D$430,'2_DOI_Lookup'!$E$2:$E$430),"TITLE NOT IN SOURCE"))</f>
        <v>Intelligent digital methods for extending the service life of the Nibelungen Bridge</v>
      </c>
      <c r="F161" s="64" t="s">
        <v>309</v>
      </c>
      <c r="G161" s="67" t="s">
        <v>311</v>
      </c>
      <c r="H161" s="67" t="s">
        <v>312</v>
      </c>
      <c r="I161" s="67" t="s">
        <v>311</v>
      </c>
      <c r="J161" s="67" t="s">
        <v>311</v>
      </c>
      <c r="K161" s="67" t="s">
        <v>312</v>
      </c>
      <c r="L161" s="68" t="str">
        <f t="shared" si="11"/>
        <v>EXCLUDE</v>
      </c>
      <c r="M161" s="68" t="str">
        <f t="shared" si="12"/>
        <v>Digital Twin not core / buzzword</v>
      </c>
      <c r="N161" s="69"/>
      <c r="O161" s="69"/>
      <c r="P161" s="70"/>
      <c r="Q161" s="70"/>
      <c r="R161" s="70"/>
      <c r="S161" s="68" t="str">
        <f t="shared" si="13"/>
        <v/>
      </c>
      <c r="T161" s="68" t="str">
        <f t="shared" si="14"/>
        <v/>
      </c>
      <c r="U161" s="71"/>
      <c r="V161" s="71"/>
      <c r="W161" s="71"/>
      <c r="X161" s="71"/>
      <c r="Y161" s="68" t="str">
        <f t="shared" si="15"/>
        <v/>
      </c>
      <c r="Z161" s="71"/>
      <c r="AA161" s="71"/>
      <c r="AB161" s="71"/>
      <c r="AC161" s="71"/>
      <c r="AD161" s="71"/>
      <c r="AE161" s="71"/>
      <c r="AF161" s="71"/>
      <c r="AG161" s="72" t="s">
        <v>420</v>
      </c>
      <c r="AH161" s="35"/>
      <c r="AI161" s="35"/>
      <c r="AK161"/>
      <c r="AM161" s="56"/>
      <c r="AN161" s="57"/>
      <c r="AO161" s="63" t="str">
        <f>IF($A161="","",IFERROR(_xlfn.XLOOKUP($A161,'2_DOI_Lookup'!$A$2:$A$430,'2_DOI_Lookup'!$B$2:$B$430),"NOT IN SOURCE"))</f>
        <v>10.1002/best.70070</v>
      </c>
    </row>
    <row r="162" spans="1:41" ht="91.2" x14ac:dyDescent="0.3">
      <c r="A162" s="26">
        <v>3792</v>
      </c>
      <c r="B162" s="9" t="s">
        <v>217</v>
      </c>
      <c r="C162" s="32">
        <v>2025</v>
      </c>
      <c r="D162" s="9"/>
      <c r="E162" s="9" t="str">
        <f>IF($A162="","",IFERROR(_xlfn.XLOOKUP($A162,'2_DOI_Lookup'!$D$2:$D$430,'2_DOI_Lookup'!$E$2:$E$430),"TITLE NOT IN SOURCE"))</f>
        <v>Effective Underground Facilities Management in Virtual Reality by Applying a Cybersickness Reduction Technique Based on a Four-Degree-of-Freedom Motion Simulator</v>
      </c>
      <c r="F162" s="26" t="s">
        <v>309</v>
      </c>
      <c r="G162" s="27" t="s">
        <v>311</v>
      </c>
      <c r="H162" s="27" t="s">
        <v>311</v>
      </c>
      <c r="I162" s="27" t="s">
        <v>311</v>
      </c>
      <c r="J162" s="27" t="s">
        <v>311</v>
      </c>
      <c r="K162" s="27" t="s">
        <v>311</v>
      </c>
      <c r="L162" s="28" t="str">
        <f t="shared" si="11"/>
        <v>INCLUDE</v>
      </c>
      <c r="M162" s="28" t="str">
        <f t="shared" si="12"/>
        <v/>
      </c>
      <c r="N162" s="29" t="s">
        <v>49</v>
      </c>
      <c r="O162" s="29" t="s">
        <v>49</v>
      </c>
      <c r="P162" s="30" t="s">
        <v>49</v>
      </c>
      <c r="Q162" s="30" t="s">
        <v>49</v>
      </c>
      <c r="R162" s="30" t="s">
        <v>49</v>
      </c>
      <c r="S162" s="28" t="str">
        <f t="shared" si="13"/>
        <v>INCLUDE</v>
      </c>
      <c r="T162" s="28" t="str">
        <f t="shared" si="14"/>
        <v/>
      </c>
      <c r="U162" s="31" t="s">
        <v>52</v>
      </c>
      <c r="V162" s="31">
        <v>0</v>
      </c>
      <c r="W162" s="31">
        <v>0</v>
      </c>
      <c r="X162" s="31">
        <v>1</v>
      </c>
      <c r="Y162" s="28" t="str">
        <f t="shared" si="15"/>
        <v>Single</v>
      </c>
      <c r="Z162" s="31" t="s">
        <v>9</v>
      </c>
      <c r="AA162" s="31" t="s">
        <v>53</v>
      </c>
      <c r="AB162" s="31" t="s">
        <v>91</v>
      </c>
      <c r="AC162" s="31" t="s">
        <v>55</v>
      </c>
      <c r="AD162" s="31" t="s">
        <v>72</v>
      </c>
      <c r="AE162" s="31">
        <v>3</v>
      </c>
      <c r="AF162" s="31" t="s">
        <v>80</v>
      </c>
      <c r="AG162" s="15" t="s">
        <v>708</v>
      </c>
      <c r="AH162" s="97" t="s">
        <v>858</v>
      </c>
      <c r="AI162" s="97" t="s">
        <v>859</v>
      </c>
      <c r="AJ162" s="98" t="s">
        <v>1078</v>
      </c>
      <c r="AK162" s="115" t="s">
        <v>1143</v>
      </c>
      <c r="AL162" s="98" t="s">
        <v>1083</v>
      </c>
      <c r="AM162" s="99"/>
      <c r="AN162" s="100" t="s">
        <v>1301</v>
      </c>
      <c r="AO162" s="101" t="str">
        <f>IF($A162="","",IFERROR(_xlfn.XLOOKUP($A162,'2_DOI_Lookup'!$A$2:$A$430,'2_DOI_Lookup'!$B$2:$B$430),"NOT IN SOURCE"))</f>
        <v>10.1109/ACCESS.2025.3532597</v>
      </c>
    </row>
    <row r="163" spans="1:41" ht="79.8" hidden="1" x14ac:dyDescent="0.3">
      <c r="A163" s="73">
        <v>3608</v>
      </c>
      <c r="B163" s="74"/>
      <c r="C163" s="75"/>
      <c r="D163" s="74"/>
      <c r="E163" s="74" t="str">
        <f>IF($A163="","",IFERROR(_xlfn.XLOOKUP($A163,'2_DOI_Lookup'!$D$2:$D$430,'2_DOI_Lookup'!$E$2:$E$430),"TITLE NOT IN SOURCE"))</f>
        <v>Generation and Verification of CFD-based ROM for Real-Time Thermal Flow Analysis in the Reactor Containment Building of Nuclear Power Plants</v>
      </c>
      <c r="F163" s="73" t="s">
        <v>309</v>
      </c>
      <c r="G163" s="76" t="s">
        <v>312</v>
      </c>
      <c r="H163" s="76" t="s">
        <v>311</v>
      </c>
      <c r="I163" s="76" t="s">
        <v>311</v>
      </c>
      <c r="J163" s="76" t="s">
        <v>311</v>
      </c>
      <c r="K163" s="76" t="s">
        <v>312</v>
      </c>
      <c r="L163" s="77" t="str">
        <f t="shared" si="11"/>
        <v>EXCLUDE</v>
      </c>
      <c r="M163" s="77" t="str">
        <f t="shared" si="12"/>
        <v>Wrong domain (non-AECO)</v>
      </c>
      <c r="N163" s="78"/>
      <c r="O163" s="78"/>
      <c r="P163" s="79"/>
      <c r="Q163" s="79"/>
      <c r="R163" s="79"/>
      <c r="S163" s="77" t="str">
        <f t="shared" si="13"/>
        <v/>
      </c>
      <c r="T163" s="77" t="str">
        <f t="shared" si="14"/>
        <v/>
      </c>
      <c r="U163" s="80"/>
      <c r="V163" s="80"/>
      <c r="W163" s="80"/>
      <c r="X163" s="80"/>
      <c r="Y163" s="77" t="str">
        <f t="shared" si="15"/>
        <v/>
      </c>
      <c r="Z163" s="80"/>
      <c r="AA163" s="80"/>
      <c r="AB163" s="80"/>
      <c r="AC163" s="80"/>
      <c r="AD163" s="80"/>
      <c r="AE163" s="80"/>
      <c r="AF163" s="80"/>
      <c r="AG163" s="81" t="s">
        <v>421</v>
      </c>
      <c r="AH163" s="35"/>
      <c r="AI163" s="35"/>
      <c r="AK163"/>
      <c r="AM163" s="56"/>
      <c r="AN163" s="57"/>
      <c r="AO163" s="63" t="str">
        <f>IF($A163="","",IFERROR(_xlfn.XLOOKUP($A163,'2_DOI_Lookup'!$A$2:$A$430,'2_DOI_Lookup'!$B$2:$B$430),"NOT IN SOURCE"))</f>
        <v>10.3795/KSME-B.2025.49.3.147</v>
      </c>
    </row>
    <row r="164" spans="1:41" ht="68.400000000000006" hidden="1" x14ac:dyDescent="0.3">
      <c r="A164" s="26">
        <v>4008</v>
      </c>
      <c r="B164" s="9"/>
      <c r="C164" s="32"/>
      <c r="D164" s="9"/>
      <c r="E164" s="9" t="str">
        <f>IF($A164="","",IFERROR(_xlfn.XLOOKUP($A164,'2_DOI_Lookup'!$D$2:$D$430,'2_DOI_Lookup'!$E$2:$E$430),"TITLE NOT IN SOURCE"))</f>
        <v>Reinforcement learning for control and optimization of real buildings: Identifying and addressing implementation hurdles</v>
      </c>
      <c r="F164" s="26" t="s">
        <v>310</v>
      </c>
      <c r="G164" s="27" t="s">
        <v>311</v>
      </c>
      <c r="H164" s="27" t="s">
        <v>312</v>
      </c>
      <c r="I164" s="27" t="s">
        <v>312</v>
      </c>
      <c r="J164" s="27" t="s">
        <v>311</v>
      </c>
      <c r="K164" s="27" t="s">
        <v>311</v>
      </c>
      <c r="L164" s="28" t="str">
        <f t="shared" si="11"/>
        <v>EXCLUDE</v>
      </c>
      <c r="M164" s="28" t="str">
        <f t="shared" si="12"/>
        <v>Digital Twin not core / buzzword</v>
      </c>
      <c r="N164" s="29"/>
      <c r="O164" s="29"/>
      <c r="P164" s="30"/>
      <c r="Q164" s="30"/>
      <c r="R164" s="30"/>
      <c r="S164" s="28" t="str">
        <f t="shared" si="13"/>
        <v/>
      </c>
      <c r="T164" s="28" t="str">
        <f t="shared" si="14"/>
        <v/>
      </c>
      <c r="U164" s="31"/>
      <c r="V164" s="31"/>
      <c r="W164" s="31"/>
      <c r="X164" s="31"/>
      <c r="Y164" s="28" t="str">
        <f t="shared" si="15"/>
        <v/>
      </c>
      <c r="Z164" s="31"/>
      <c r="AA164" s="31"/>
      <c r="AB164" s="31"/>
      <c r="AC164" s="31"/>
      <c r="AD164" s="31"/>
      <c r="AE164" s="31"/>
      <c r="AF164" s="31"/>
      <c r="AG164" s="15" t="s">
        <v>422</v>
      </c>
      <c r="AH164" s="35"/>
      <c r="AI164" s="35"/>
      <c r="AK164"/>
      <c r="AM164" s="56"/>
      <c r="AN164" s="57"/>
      <c r="AO164" s="63" t="str">
        <f>IF($A164="","",IFERROR(_xlfn.XLOOKUP($A164,'2_DOI_Lookup'!$A$2:$A$430,'2_DOI_Lookup'!$B$2:$B$430),"NOT IN SOURCE"))</f>
        <v>10.1016/j.jobe.2025.112283</v>
      </c>
    </row>
    <row r="165" spans="1:41" ht="57" hidden="1" x14ac:dyDescent="0.3">
      <c r="A165" s="64">
        <v>3750</v>
      </c>
      <c r="B165" s="65"/>
      <c r="C165" s="66"/>
      <c r="D165" s="65"/>
      <c r="E165" s="65" t="str">
        <f>IF($A165="","",IFERROR(_xlfn.XLOOKUP($A165,'2_DOI_Lookup'!$D$2:$D$430,'2_DOI_Lookup'!$E$2:$E$430),"TITLE NOT IN SOURCE"))</f>
        <v>A Digital Twin Framework Utilizing Machine Learning for Robust Predictive Maintenance: Enhancing Tire Health Monitoring</v>
      </c>
      <c r="F165" s="64" t="s">
        <v>309</v>
      </c>
      <c r="G165" s="67" t="s">
        <v>312</v>
      </c>
      <c r="H165" s="67" t="s">
        <v>311</v>
      </c>
      <c r="I165" s="67" t="s">
        <v>311</v>
      </c>
      <c r="J165" s="67" t="s">
        <v>311</v>
      </c>
      <c r="K165" s="67" t="s">
        <v>311</v>
      </c>
      <c r="L165" s="68" t="str">
        <f t="shared" si="11"/>
        <v>EXCLUDE</v>
      </c>
      <c r="M165" s="68" t="str">
        <f t="shared" si="12"/>
        <v>Wrong domain (non-AECO)</v>
      </c>
      <c r="N165" s="69"/>
      <c r="O165" s="69"/>
      <c r="P165" s="70"/>
      <c r="Q165" s="70"/>
      <c r="R165" s="70"/>
      <c r="S165" s="68" t="str">
        <f t="shared" si="13"/>
        <v/>
      </c>
      <c r="T165" s="68" t="str">
        <f t="shared" si="14"/>
        <v/>
      </c>
      <c r="U165" s="71"/>
      <c r="V165" s="71"/>
      <c r="W165" s="71"/>
      <c r="X165" s="71"/>
      <c r="Y165" s="68" t="str">
        <f t="shared" si="15"/>
        <v/>
      </c>
      <c r="Z165" s="71"/>
      <c r="AA165" s="71"/>
      <c r="AB165" s="71"/>
      <c r="AC165" s="71"/>
      <c r="AD165" s="71"/>
      <c r="AE165" s="71"/>
      <c r="AF165" s="71"/>
      <c r="AG165" s="72" t="s">
        <v>423</v>
      </c>
      <c r="AH165" s="35"/>
      <c r="AI165" s="35"/>
      <c r="AK165"/>
      <c r="AM165" s="56"/>
      <c r="AN165" s="57"/>
      <c r="AO165" s="63" t="str">
        <f>IF($A165="","",IFERROR(_xlfn.XLOOKUP($A165,'2_DOI_Lookup'!$A$2:$A$430,'2_DOI_Lookup'!$B$2:$B$430),"NOT IN SOURCE"))</f>
        <v>10.1115/1.4067270</v>
      </c>
    </row>
    <row r="166" spans="1:41" ht="72" hidden="1" x14ac:dyDescent="0.3">
      <c r="A166" s="26">
        <v>3604</v>
      </c>
      <c r="B166" s="9" t="s">
        <v>218</v>
      </c>
      <c r="C166" s="32">
        <v>2025</v>
      </c>
      <c r="D166" s="9"/>
      <c r="E166" s="9" t="str">
        <f>IF($A166="","",IFERROR(_xlfn.XLOOKUP($A166,'2_DOI_Lookup'!$D$2:$D$430,'2_DOI_Lookup'!$E$2:$E$430),"TITLE NOT IN SOURCE"))</f>
        <v>ADVANCING CIVIL INFRASTRUCTURE WITH DIGITAL TWINS: A REVIEW OF APPLICATIONS AND CHALLENGES</v>
      </c>
      <c r="F166" s="26" t="s">
        <v>309</v>
      </c>
      <c r="G166" s="27" t="s">
        <v>311</v>
      </c>
      <c r="H166" s="27" t="s">
        <v>311</v>
      </c>
      <c r="I166" s="27" t="s">
        <v>311</v>
      </c>
      <c r="J166" s="27" t="s">
        <v>311</v>
      </c>
      <c r="K166" s="27" t="s">
        <v>311</v>
      </c>
      <c r="L166" s="28" t="str">
        <f t="shared" si="11"/>
        <v>INCLUDE</v>
      </c>
      <c r="M166" s="28" t="str">
        <f t="shared" si="12"/>
        <v/>
      </c>
      <c r="N166" s="29" t="s">
        <v>49</v>
      </c>
      <c r="O166" s="29" t="s">
        <v>49</v>
      </c>
      <c r="P166" s="30" t="s">
        <v>58</v>
      </c>
      <c r="Q166" s="30" t="s">
        <v>49</v>
      </c>
      <c r="R166" s="30" t="s">
        <v>58</v>
      </c>
      <c r="S166" s="28" t="str">
        <f t="shared" si="13"/>
        <v>EXCLUDE</v>
      </c>
      <c r="T166" s="28" t="str">
        <f t="shared" si="14"/>
        <v>Digital Twin mentioned only, not the subject</v>
      </c>
      <c r="U166" s="31" t="s">
        <v>82</v>
      </c>
      <c r="V166" s="31"/>
      <c r="W166" s="31"/>
      <c r="X166" s="31"/>
      <c r="Y166" s="28" t="str">
        <f t="shared" si="15"/>
        <v/>
      </c>
      <c r="Z166" s="31"/>
      <c r="AA166" s="31"/>
      <c r="AB166" s="31"/>
      <c r="AC166" s="31"/>
      <c r="AD166" s="31"/>
      <c r="AE166" s="31"/>
      <c r="AF166" s="31"/>
      <c r="AG166" s="15" t="s">
        <v>709</v>
      </c>
      <c r="AH166" s="97"/>
      <c r="AI166" s="97"/>
      <c r="AJ166" s="98"/>
      <c r="AK166" s="98"/>
      <c r="AL166" s="98"/>
      <c r="AM166" s="99"/>
      <c r="AN166" s="100" t="s">
        <v>1272</v>
      </c>
      <c r="AO166" s="101" t="str">
        <f>IF($A166="","",IFERROR(_xlfn.XLOOKUP($A166,'2_DOI_Lookup'!$A$2:$A$430,'2_DOI_Lookup'!$B$2:$B$430),"NOT IN SOURCE"))</f>
        <v>10.3846/jcem.2025.24921</v>
      </c>
    </row>
    <row r="167" spans="1:41" ht="91.2" x14ac:dyDescent="0.3">
      <c r="A167" s="26">
        <v>3517</v>
      </c>
      <c r="B167" s="9" t="s">
        <v>219</v>
      </c>
      <c r="C167" s="32">
        <v>2023</v>
      </c>
      <c r="D167" s="9"/>
      <c r="E167" s="9" t="str">
        <f>IF($A167="","",IFERROR(_xlfn.XLOOKUP($A167,'2_DOI_Lookup'!$D$2:$D$430,'2_DOI_Lookup'!$E$2:$E$430),"TITLE NOT IN SOURCE"))</f>
        <v>Digital Twin for Safety and Security: Perspectives on Building Lifecycle</v>
      </c>
      <c r="F167" s="26" t="s">
        <v>309</v>
      </c>
      <c r="G167" s="27" t="s">
        <v>311</v>
      </c>
      <c r="H167" s="27" t="s">
        <v>311</v>
      </c>
      <c r="I167" s="27" t="s">
        <v>311</v>
      </c>
      <c r="J167" s="27" t="s">
        <v>311</v>
      </c>
      <c r="K167" s="27" t="s">
        <v>311</v>
      </c>
      <c r="L167" s="28" t="str">
        <f t="shared" si="11"/>
        <v>INCLUDE</v>
      </c>
      <c r="M167" s="28" t="str">
        <f t="shared" si="12"/>
        <v/>
      </c>
      <c r="N167" s="29" t="s">
        <v>49</v>
      </c>
      <c r="O167" s="29" t="s">
        <v>49</v>
      </c>
      <c r="P167" s="30" t="s">
        <v>49</v>
      </c>
      <c r="Q167" s="30" t="s">
        <v>49</v>
      </c>
      <c r="R167" s="30" t="s">
        <v>49</v>
      </c>
      <c r="S167" s="28" t="str">
        <f t="shared" si="13"/>
        <v>INCLUDE</v>
      </c>
      <c r="T167" s="28" t="str">
        <f t="shared" si="14"/>
        <v/>
      </c>
      <c r="U167" s="31" t="s">
        <v>61</v>
      </c>
      <c r="V167" s="31">
        <v>0</v>
      </c>
      <c r="W167" s="31">
        <v>0</v>
      </c>
      <c r="X167" s="31">
        <v>1</v>
      </c>
      <c r="Y167" s="28" t="str">
        <f t="shared" si="15"/>
        <v>Single</v>
      </c>
      <c r="Z167" s="31" t="s">
        <v>9</v>
      </c>
      <c r="AA167" s="31" t="s">
        <v>53</v>
      </c>
      <c r="AB167" s="31" t="s">
        <v>91</v>
      </c>
      <c r="AC167" s="31" t="s">
        <v>64</v>
      </c>
      <c r="AD167" s="31" t="s">
        <v>72</v>
      </c>
      <c r="AE167" s="31">
        <v>4</v>
      </c>
      <c r="AF167" s="31" t="s">
        <v>80</v>
      </c>
      <c r="AG167" s="15" t="s">
        <v>710</v>
      </c>
      <c r="AH167" s="97" t="s">
        <v>860</v>
      </c>
      <c r="AI167" s="97" t="s">
        <v>861</v>
      </c>
      <c r="AJ167" s="98" t="s">
        <v>1081</v>
      </c>
      <c r="AK167" s="98" t="s">
        <v>1144</v>
      </c>
      <c r="AL167" s="98" t="s">
        <v>1083</v>
      </c>
      <c r="AM167" s="99"/>
      <c r="AN167" s="100" t="s">
        <v>1254</v>
      </c>
      <c r="AO167" s="101" t="str">
        <f>IF($A167="","",IFERROR(_xlfn.XLOOKUP($A167,'2_DOI_Lookup'!$A$2:$A$430,'2_DOI_Lookup'!$B$2:$B$430),"NOT IN SOURCE"))</f>
        <v>10.1109/ACCESS.2023.3278267</v>
      </c>
    </row>
    <row r="168" spans="1:41" ht="68.400000000000006" hidden="1" x14ac:dyDescent="0.3">
      <c r="A168" s="82">
        <v>3883</v>
      </c>
      <c r="B168" s="83"/>
      <c r="C168" s="84"/>
      <c r="D168" s="83"/>
      <c r="E168" s="83" t="str">
        <f>IF($A168="","",IFERROR(_xlfn.XLOOKUP($A168,'2_DOI_Lookup'!$D$2:$D$430,'2_DOI_Lookup'!$E$2:$E$430),"TITLE NOT IN SOURCE"))</f>
        <v>Automation of shape quality control for precast concrete members using 3D scanning and BIM: Afield-driven smart construction framework</v>
      </c>
      <c r="F168" s="82" t="s">
        <v>310</v>
      </c>
      <c r="G168" s="85" t="s">
        <v>311</v>
      </c>
      <c r="H168" s="85" t="s">
        <v>312</v>
      </c>
      <c r="I168" s="85" t="s">
        <v>311</v>
      </c>
      <c r="J168" s="85" t="s">
        <v>311</v>
      </c>
      <c r="K168" s="85" t="s">
        <v>311</v>
      </c>
      <c r="L168" s="86" t="str">
        <f t="shared" si="11"/>
        <v>EXCLUDE</v>
      </c>
      <c r="M168" s="86" t="str">
        <f t="shared" si="12"/>
        <v>Digital Twin not core / buzzword</v>
      </c>
      <c r="N168" s="87"/>
      <c r="O168" s="87"/>
      <c r="P168" s="88"/>
      <c r="Q168" s="88"/>
      <c r="R168" s="88"/>
      <c r="S168" s="86" t="str">
        <f t="shared" si="13"/>
        <v/>
      </c>
      <c r="T168" s="86" t="str">
        <f t="shared" si="14"/>
        <v/>
      </c>
      <c r="U168" s="89"/>
      <c r="V168" s="89"/>
      <c r="W168" s="89"/>
      <c r="X168" s="89"/>
      <c r="Y168" s="86" t="str">
        <f t="shared" si="15"/>
        <v/>
      </c>
      <c r="Z168" s="89"/>
      <c r="AA168" s="89"/>
      <c r="AB168" s="89"/>
      <c r="AC168" s="89"/>
      <c r="AD168" s="89"/>
      <c r="AE168" s="89"/>
      <c r="AF168" s="89"/>
      <c r="AG168" s="90" t="s">
        <v>424</v>
      </c>
      <c r="AH168" s="35"/>
      <c r="AI168" s="35"/>
      <c r="AK168"/>
      <c r="AM168" s="56"/>
      <c r="AN168" s="57"/>
      <c r="AO168" s="63" t="str">
        <f>IF($A168="","",IFERROR(_xlfn.XLOOKUP($A168,'2_DOI_Lookup'!$A$2:$A$430,'2_DOI_Lookup'!$B$2:$B$430),"NOT IN SOURCE"))</f>
        <v>10.12989/sss.2026.37.5.407</v>
      </c>
    </row>
    <row r="169" spans="1:41" ht="91.2" x14ac:dyDescent="0.3">
      <c r="A169" s="26">
        <v>3916</v>
      </c>
      <c r="B169" s="9" t="s">
        <v>220</v>
      </c>
      <c r="C169" s="32">
        <v>2023</v>
      </c>
      <c r="D169" s="9"/>
      <c r="E169" s="9" t="str">
        <f>IF($A169="","",IFERROR(_xlfn.XLOOKUP($A169,'2_DOI_Lookup'!$D$2:$D$430,'2_DOI_Lookup'!$E$2:$E$430),"TITLE NOT IN SOURCE"))</f>
        <v>Constructing a digital twin for estimating the response and load of a piping system subjected to seismic and arbitrary loads</v>
      </c>
      <c r="F169" s="26" t="s">
        <v>310</v>
      </c>
      <c r="G169" s="27" t="s">
        <v>311</v>
      </c>
      <c r="H169" s="27" t="s">
        <v>311</v>
      </c>
      <c r="I169" s="27" t="s">
        <v>311</v>
      </c>
      <c r="J169" s="27" t="s">
        <v>311</v>
      </c>
      <c r="K169" s="27" t="s">
        <v>311</v>
      </c>
      <c r="L169" s="28" t="str">
        <f t="shared" si="11"/>
        <v>INCLUDE</v>
      </c>
      <c r="M169" s="28" t="str">
        <f t="shared" si="12"/>
        <v/>
      </c>
      <c r="N169" s="29" t="s">
        <v>49</v>
      </c>
      <c r="O169" s="29" t="s">
        <v>49</v>
      </c>
      <c r="P169" s="30" t="s">
        <v>49</v>
      </c>
      <c r="Q169" s="30" t="s">
        <v>49</v>
      </c>
      <c r="R169" s="30" t="s">
        <v>49</v>
      </c>
      <c r="S169" s="28" t="str">
        <f t="shared" si="13"/>
        <v>INCLUDE</v>
      </c>
      <c r="T169" s="28" t="str">
        <f t="shared" si="14"/>
        <v/>
      </c>
      <c r="U169" s="31" t="s">
        <v>61</v>
      </c>
      <c r="V169" s="31">
        <v>0</v>
      </c>
      <c r="W169" s="31">
        <v>0</v>
      </c>
      <c r="X169" s="31">
        <v>1</v>
      </c>
      <c r="Y169" s="28" t="str">
        <f t="shared" si="15"/>
        <v>Single</v>
      </c>
      <c r="Z169" s="31" t="s">
        <v>9</v>
      </c>
      <c r="AA169" s="31" t="s">
        <v>62</v>
      </c>
      <c r="AB169" s="31" t="s">
        <v>88</v>
      </c>
      <c r="AC169" s="31" t="s">
        <v>55</v>
      </c>
      <c r="AD169" s="31" t="s">
        <v>65</v>
      </c>
      <c r="AE169" s="31">
        <v>4</v>
      </c>
      <c r="AF169" s="31" t="s">
        <v>84</v>
      </c>
      <c r="AG169" s="15" t="s">
        <v>711</v>
      </c>
      <c r="AH169" s="97" t="s">
        <v>862</v>
      </c>
      <c r="AI169" s="97" t="s">
        <v>863</v>
      </c>
      <c r="AJ169" s="98" t="s">
        <v>1078</v>
      </c>
      <c r="AK169" s="115" t="s">
        <v>1145</v>
      </c>
      <c r="AL169" s="98" t="s">
        <v>1083</v>
      </c>
      <c r="AM169" s="99"/>
      <c r="AN169" s="100" t="s">
        <v>1331</v>
      </c>
      <c r="AO169" s="101" t="str">
        <f>IF($A169="","",IFERROR(_xlfn.XLOOKUP($A169,'2_DOI_Lookup'!$A$2:$A$430,'2_DOI_Lookup'!$B$2:$B$430),"NOT IN SOURCE"))</f>
        <v>10.12989/sss.2023.31.3.275</v>
      </c>
    </row>
    <row r="170" spans="1:41" ht="57" hidden="1" x14ac:dyDescent="0.3">
      <c r="A170" s="82">
        <v>3548</v>
      </c>
      <c r="B170" s="83"/>
      <c r="C170" s="84"/>
      <c r="D170" s="83"/>
      <c r="E170" s="83" t="str">
        <f>IF($A170="","",IFERROR(_xlfn.XLOOKUP($A170,'2_DOI_Lookup'!$D$2:$D$430,'2_DOI_Lookup'!$E$2:$E$430),"TITLE NOT IN SOURCE"))</f>
        <v>Active gravity-aligned reference Axis for high-precision verticality assessment in construction</v>
      </c>
      <c r="F170" s="82" t="s">
        <v>309</v>
      </c>
      <c r="G170" s="85" t="s">
        <v>311</v>
      </c>
      <c r="H170" s="85" t="s">
        <v>312</v>
      </c>
      <c r="I170" s="85" t="s">
        <v>311</v>
      </c>
      <c r="J170" s="85" t="s">
        <v>311</v>
      </c>
      <c r="K170" s="85" t="s">
        <v>311</v>
      </c>
      <c r="L170" s="86" t="str">
        <f t="shared" si="11"/>
        <v>EXCLUDE</v>
      </c>
      <c r="M170" s="86" t="str">
        <f t="shared" si="12"/>
        <v>Digital Twin not core / buzzword</v>
      </c>
      <c r="N170" s="87"/>
      <c r="O170" s="87"/>
      <c r="P170" s="88"/>
      <c r="Q170" s="88"/>
      <c r="R170" s="88"/>
      <c r="S170" s="86" t="str">
        <f t="shared" si="13"/>
        <v/>
      </c>
      <c r="T170" s="86" t="str">
        <f t="shared" si="14"/>
        <v/>
      </c>
      <c r="U170" s="89"/>
      <c r="V170" s="89"/>
      <c r="W170" s="89"/>
      <c r="X170" s="89"/>
      <c r="Y170" s="86" t="str">
        <f t="shared" si="15"/>
        <v/>
      </c>
      <c r="Z170" s="89"/>
      <c r="AA170" s="89"/>
      <c r="AB170" s="89"/>
      <c r="AC170" s="89"/>
      <c r="AD170" s="89"/>
      <c r="AE170" s="89"/>
      <c r="AF170" s="89"/>
      <c r="AG170" s="90" t="s">
        <v>425</v>
      </c>
      <c r="AH170" s="35"/>
      <c r="AI170" s="35"/>
      <c r="AK170"/>
      <c r="AM170" s="56"/>
      <c r="AN170" s="57"/>
      <c r="AO170" s="63" t="str">
        <f>IF($A170="","",IFERROR(_xlfn.XLOOKUP($A170,'2_DOI_Lookup'!$A$2:$A$430,'2_DOI_Lookup'!$B$2:$B$430),"NOT IN SOURCE"))</f>
        <v>10.1016/j.autcon.2026.107025</v>
      </c>
    </row>
    <row r="171" spans="1:41" ht="86.4" x14ac:dyDescent="0.3">
      <c r="A171" s="26">
        <v>3938</v>
      </c>
      <c r="B171" s="9" t="s">
        <v>221</v>
      </c>
      <c r="C171" s="32">
        <v>2024</v>
      </c>
      <c r="D171" s="9"/>
      <c r="E171" s="9" t="str">
        <f>IF($A171="","",IFERROR(_xlfn.XLOOKUP($A171,'2_DOI_Lookup'!$D$2:$D$430,'2_DOI_Lookup'!$E$2:$E$430),"TITLE NOT IN SOURCE"))</f>
        <v>Spatio-temporal heat risk analysis in construction: Digital twin-enabled monitoring</v>
      </c>
      <c r="F171" s="26" t="s">
        <v>310</v>
      </c>
      <c r="G171" s="27" t="s">
        <v>311</v>
      </c>
      <c r="H171" s="27" t="s">
        <v>311</v>
      </c>
      <c r="I171" s="27" t="s">
        <v>311</v>
      </c>
      <c r="J171" s="27" t="s">
        <v>311</v>
      </c>
      <c r="K171" s="27" t="s">
        <v>311</v>
      </c>
      <c r="L171" s="28" t="str">
        <f t="shared" si="11"/>
        <v>INCLUDE</v>
      </c>
      <c r="M171" s="28" t="str">
        <f t="shared" si="12"/>
        <v/>
      </c>
      <c r="N171" s="29" t="s">
        <v>311</v>
      </c>
      <c r="O171" s="29" t="s">
        <v>311</v>
      </c>
      <c r="P171" s="30" t="s">
        <v>311</v>
      </c>
      <c r="Q171" s="30" t="s">
        <v>311</v>
      </c>
      <c r="R171" s="30" t="s">
        <v>311</v>
      </c>
      <c r="S171" s="28" t="str">
        <f t="shared" si="13"/>
        <v>INCLUDE</v>
      </c>
      <c r="T171" s="28" t="str">
        <f t="shared" si="14"/>
        <v/>
      </c>
      <c r="U171" s="31" t="s">
        <v>61</v>
      </c>
      <c r="V171" s="31">
        <v>0</v>
      </c>
      <c r="W171" s="31">
        <v>1</v>
      </c>
      <c r="X171" s="31">
        <v>0</v>
      </c>
      <c r="Y171" s="28" t="str">
        <f t="shared" si="15"/>
        <v>Single</v>
      </c>
      <c r="Z171" s="31" t="s">
        <v>9</v>
      </c>
      <c r="AA171" s="31" t="s">
        <v>53</v>
      </c>
      <c r="AB171" s="31" t="s">
        <v>92</v>
      </c>
      <c r="AC171" s="31" t="s">
        <v>64</v>
      </c>
      <c r="AD171" s="31" t="s">
        <v>72</v>
      </c>
      <c r="AE171" s="31">
        <v>4</v>
      </c>
      <c r="AF171" s="31" t="s">
        <v>80</v>
      </c>
      <c r="AG171" s="15" t="s">
        <v>629</v>
      </c>
      <c r="AH171" s="97" t="s">
        <v>864</v>
      </c>
      <c r="AI171" s="97" t="s">
        <v>865</v>
      </c>
      <c r="AJ171" s="98" t="s">
        <v>1081</v>
      </c>
      <c r="AK171" s="98" t="s">
        <v>1146</v>
      </c>
      <c r="AL171" s="98" t="s">
        <v>1083</v>
      </c>
      <c r="AM171" s="99"/>
      <c r="AN171" s="100" t="s">
        <v>1383</v>
      </c>
      <c r="AO171" s="101" t="str">
        <f>IF($A171="","",IFERROR(_xlfn.XLOOKUP($A171,'2_DOI_Lookup'!$A$2:$A$430,'2_DOI_Lookup'!$B$2:$B$430),"NOT IN SOURCE"))</f>
        <v>10.1016/j.autcon.2024.105805</v>
      </c>
    </row>
    <row r="172" spans="1:41" ht="91.2" x14ac:dyDescent="0.3">
      <c r="A172" s="26">
        <v>3999</v>
      </c>
      <c r="B172" s="9" t="s">
        <v>221</v>
      </c>
      <c r="C172" s="32">
        <v>2024</v>
      </c>
      <c r="D172" s="9"/>
      <c r="E172" s="9" t="str">
        <f>IF($A172="","",IFERROR(_xlfn.XLOOKUP($A172,'2_DOI_Lookup'!$D$2:$D$430,'2_DOI_Lookup'!$E$2:$E$430),"TITLE NOT IN SOURCE"))</f>
        <v>Advanced fire emergency management based on potential fire risk assessment with informative digital twins</v>
      </c>
      <c r="F172" s="26" t="s">
        <v>310</v>
      </c>
      <c r="G172" s="27" t="s">
        <v>311</v>
      </c>
      <c r="H172" s="27" t="s">
        <v>311</v>
      </c>
      <c r="I172" s="27" t="s">
        <v>311</v>
      </c>
      <c r="J172" s="27" t="s">
        <v>311</v>
      </c>
      <c r="K172" s="27" t="s">
        <v>311</v>
      </c>
      <c r="L172" s="28" t="str">
        <f t="shared" si="11"/>
        <v>INCLUDE</v>
      </c>
      <c r="M172" s="28" t="str">
        <f t="shared" si="12"/>
        <v/>
      </c>
      <c r="N172" s="29" t="s">
        <v>311</v>
      </c>
      <c r="O172" s="29" t="s">
        <v>311</v>
      </c>
      <c r="P172" s="30" t="s">
        <v>311</v>
      </c>
      <c r="Q172" s="30" t="s">
        <v>311</v>
      </c>
      <c r="R172" s="30" t="s">
        <v>311</v>
      </c>
      <c r="S172" s="28" t="str">
        <f t="shared" si="13"/>
        <v>INCLUDE</v>
      </c>
      <c r="T172" s="28" t="str">
        <f t="shared" si="14"/>
        <v/>
      </c>
      <c r="U172" s="31" t="s">
        <v>61</v>
      </c>
      <c r="V172" s="31">
        <v>0</v>
      </c>
      <c r="W172" s="31">
        <v>0</v>
      </c>
      <c r="X172" s="31">
        <v>1</v>
      </c>
      <c r="Y172" s="28" t="str">
        <f t="shared" si="15"/>
        <v>Single</v>
      </c>
      <c r="Z172" s="31" t="s">
        <v>9</v>
      </c>
      <c r="AA172" s="31" t="s">
        <v>53</v>
      </c>
      <c r="AB172" s="31" t="s">
        <v>90</v>
      </c>
      <c r="AC172" s="31" t="s">
        <v>64</v>
      </c>
      <c r="AD172" s="31" t="s">
        <v>72</v>
      </c>
      <c r="AE172" s="31">
        <v>4</v>
      </c>
      <c r="AF172" s="31" t="s">
        <v>80</v>
      </c>
      <c r="AG172" s="15" t="s">
        <v>630</v>
      </c>
      <c r="AH172" s="97" t="s">
        <v>866</v>
      </c>
      <c r="AI172" s="97" t="s">
        <v>867</v>
      </c>
      <c r="AJ172" s="98" t="s">
        <v>1081</v>
      </c>
      <c r="AK172" s="98" t="s">
        <v>1147</v>
      </c>
      <c r="AL172" s="98" t="s">
        <v>1084</v>
      </c>
      <c r="AM172" s="99"/>
      <c r="AN172" s="100" t="s">
        <v>1427</v>
      </c>
      <c r="AO172" s="101" t="str">
        <f>IF($A172="","",IFERROR(_xlfn.XLOOKUP($A172,'2_DOI_Lookup'!$A$2:$A$430,'2_DOI_Lookup'!$B$2:$B$430),"NOT IN SOURCE"))</f>
        <v>10.1016/j.autcon.2024.105722</v>
      </c>
    </row>
    <row r="173" spans="1:41" ht="68.400000000000006" hidden="1" x14ac:dyDescent="0.3">
      <c r="A173" s="73">
        <v>3808</v>
      </c>
      <c r="B173" s="74"/>
      <c r="C173" s="75"/>
      <c r="D173" s="74"/>
      <c r="E173" s="74" t="str">
        <f>IF($A173="","",IFERROR(_xlfn.XLOOKUP($A173,'2_DOI_Lookup'!$D$2:$D$430,'2_DOI_Lookup'!$E$2:$E$430),"TITLE NOT IN SOURCE"))</f>
        <v>Digital twin for natural gas infrastructure operation and management via streaming dynamic mode decomposition with control</v>
      </c>
      <c r="F173" s="73" t="s">
        <v>309</v>
      </c>
      <c r="G173" s="76" t="s">
        <v>312</v>
      </c>
      <c r="H173" s="76" t="s">
        <v>311</v>
      </c>
      <c r="I173" s="76" t="s">
        <v>311</v>
      </c>
      <c r="J173" s="76" t="s">
        <v>311</v>
      </c>
      <c r="K173" s="76" t="s">
        <v>311</v>
      </c>
      <c r="L173" s="77" t="str">
        <f t="shared" si="11"/>
        <v>EXCLUDE</v>
      </c>
      <c r="M173" s="77" t="str">
        <f t="shared" si="12"/>
        <v>Wrong domain (non-AECO)</v>
      </c>
      <c r="N173" s="78"/>
      <c r="O173" s="78"/>
      <c r="P173" s="79"/>
      <c r="Q173" s="79"/>
      <c r="R173" s="79"/>
      <c r="S173" s="77" t="str">
        <f t="shared" si="13"/>
        <v/>
      </c>
      <c r="T173" s="77" t="str">
        <f t="shared" si="14"/>
        <v/>
      </c>
      <c r="U173" s="80"/>
      <c r="V173" s="80"/>
      <c r="W173" s="80"/>
      <c r="X173" s="80"/>
      <c r="Y173" s="77" t="str">
        <f t="shared" si="15"/>
        <v/>
      </c>
      <c r="Z173" s="80"/>
      <c r="AA173" s="80"/>
      <c r="AB173" s="80"/>
      <c r="AC173" s="80"/>
      <c r="AD173" s="80"/>
      <c r="AE173" s="80"/>
      <c r="AF173" s="80"/>
      <c r="AG173" s="81" t="s">
        <v>426</v>
      </c>
      <c r="AH173" s="35"/>
      <c r="AI173" s="35"/>
      <c r="AK173"/>
      <c r="AM173" s="56"/>
      <c r="AN173" s="57"/>
      <c r="AO173" s="63" t="str">
        <f>IF($A173="","",IFERROR(_xlfn.XLOOKUP($A173,'2_DOI_Lookup'!$A$2:$A$430,'2_DOI_Lookup'!$B$2:$B$430),"NOT IN SOURCE"))</f>
        <v>10.1016/j.energy.2023.127317</v>
      </c>
    </row>
    <row r="174" spans="1:41" ht="57" hidden="1" x14ac:dyDescent="0.3">
      <c r="A174" s="26">
        <v>3827</v>
      </c>
      <c r="B174" s="9"/>
      <c r="C174" s="32"/>
      <c r="D174" s="9"/>
      <c r="E174" s="9" t="str">
        <f>IF($A174="","",IFERROR(_xlfn.XLOOKUP($A174,'2_DOI_Lookup'!$D$2:$D$430,'2_DOI_Lookup'!$E$2:$E$430),"TITLE NOT IN SOURCE"))</f>
        <v>Digital twin of a building as the basis for the application of nanotechnologies in construction</v>
      </c>
      <c r="F174" s="26" t="s">
        <v>309</v>
      </c>
      <c r="G174" s="27" t="s">
        <v>311</v>
      </c>
      <c r="H174" s="27" t="s">
        <v>311</v>
      </c>
      <c r="I174" s="27" t="s">
        <v>312</v>
      </c>
      <c r="J174" s="27" t="s">
        <v>311</v>
      </c>
      <c r="K174" s="27" t="s">
        <v>312</v>
      </c>
      <c r="L174" s="28" t="str">
        <f t="shared" si="11"/>
        <v>EXCLUDE</v>
      </c>
      <c r="M174" s="28" t="str">
        <f t="shared" si="12"/>
        <v>No Design for Safety/Quality/PtD</v>
      </c>
      <c r="N174" s="29"/>
      <c r="O174" s="29"/>
      <c r="P174" s="30"/>
      <c r="Q174" s="30"/>
      <c r="R174" s="30"/>
      <c r="S174" s="28" t="str">
        <f t="shared" si="13"/>
        <v/>
      </c>
      <c r="T174" s="28" t="str">
        <f t="shared" si="14"/>
        <v/>
      </c>
      <c r="U174" s="31"/>
      <c r="V174" s="31"/>
      <c r="W174" s="31"/>
      <c r="X174" s="31"/>
      <c r="Y174" s="28" t="str">
        <f t="shared" si="15"/>
        <v/>
      </c>
      <c r="Z174" s="31"/>
      <c r="AA174" s="31"/>
      <c r="AB174" s="31"/>
      <c r="AC174" s="31"/>
      <c r="AD174" s="31"/>
      <c r="AE174" s="31"/>
      <c r="AF174" s="31"/>
      <c r="AG174" s="15" t="s">
        <v>427</v>
      </c>
      <c r="AH174" s="35"/>
      <c r="AI174" s="35"/>
      <c r="AK174"/>
      <c r="AM174" s="56"/>
      <c r="AN174" s="57"/>
      <c r="AO174" s="63" t="str">
        <f>IF($A174="","",IFERROR(_xlfn.XLOOKUP($A174,'2_DOI_Lookup'!$A$2:$A$430,'2_DOI_Lookup'!$B$2:$B$430),"NOT IN SOURCE"))</f>
        <v>10.15828/2075-8545-2024-16-2-189-197</v>
      </c>
    </row>
    <row r="175" spans="1:41" ht="79.8" hidden="1" x14ac:dyDescent="0.3">
      <c r="A175" s="26">
        <v>3738</v>
      </c>
      <c r="B175" s="9"/>
      <c r="C175" s="32"/>
      <c r="D175" s="9"/>
      <c r="E175" s="9" t="str">
        <f>IF($A175="","",IFERROR(_xlfn.XLOOKUP($A175,'2_DOI_Lookup'!$D$2:$D$430,'2_DOI_Lookup'!$E$2:$E$430),"TITLE NOT IN SOURCE"))</f>
        <v>Detection of Defects in Polyethylene and Polyamide Flat Panels Using Airborne Ultrasound-Traditional and Machine Learning Approach</v>
      </c>
      <c r="F175" s="26" t="s">
        <v>309</v>
      </c>
      <c r="G175" s="27" t="s">
        <v>312</v>
      </c>
      <c r="H175" s="27" t="s">
        <v>312</v>
      </c>
      <c r="I175" s="27" t="s">
        <v>311</v>
      </c>
      <c r="J175" s="27" t="s">
        <v>311</v>
      </c>
      <c r="K175" s="27" t="s">
        <v>311</v>
      </c>
      <c r="L175" s="28" t="str">
        <f t="shared" si="11"/>
        <v>EXCLUDE</v>
      </c>
      <c r="M175" s="28" t="str">
        <f t="shared" si="12"/>
        <v>Wrong domain (non-AECO)</v>
      </c>
      <c r="N175" s="29"/>
      <c r="O175" s="29"/>
      <c r="P175" s="30"/>
      <c r="Q175" s="30"/>
      <c r="R175" s="30"/>
      <c r="S175" s="28" t="str">
        <f t="shared" si="13"/>
        <v/>
      </c>
      <c r="T175" s="28" t="str">
        <f t="shared" si="14"/>
        <v/>
      </c>
      <c r="U175" s="31"/>
      <c r="V175" s="31"/>
      <c r="W175" s="31"/>
      <c r="X175" s="31"/>
      <c r="Y175" s="28" t="str">
        <f t="shared" si="15"/>
        <v/>
      </c>
      <c r="Z175" s="31"/>
      <c r="AA175" s="31"/>
      <c r="AB175" s="31"/>
      <c r="AC175" s="31"/>
      <c r="AD175" s="31"/>
      <c r="AE175" s="31"/>
      <c r="AF175" s="31"/>
      <c r="AG175" s="15" t="s">
        <v>428</v>
      </c>
      <c r="AH175" s="35"/>
      <c r="AI175" s="35"/>
      <c r="AK175"/>
      <c r="AM175" s="56"/>
      <c r="AN175" s="57"/>
      <c r="AO175" s="63" t="str">
        <f>IF($A175="","",IFERROR(_xlfn.XLOOKUP($A175,'2_DOI_Lookup'!$A$2:$A$430,'2_DOI_Lookup'!$B$2:$B$430),"NOT IN SOURCE"))</f>
        <v>10.3390/app142210638</v>
      </c>
    </row>
    <row r="176" spans="1:41" ht="68.400000000000006" hidden="1" x14ac:dyDescent="0.3">
      <c r="A176" s="26">
        <v>3897</v>
      </c>
      <c r="B176" s="9"/>
      <c r="C176" s="32"/>
      <c r="D176" s="9"/>
      <c r="E176" s="9" t="str">
        <f>IF($A176="","",IFERROR(_xlfn.XLOOKUP($A176,'2_DOI_Lookup'!$D$2:$D$430,'2_DOI_Lookup'!$E$2:$E$430),"TITLE NOT IN SOURCE"))</f>
        <v>A PLS-SEM based framework for enabling digital twin systems for real-time monitoring and control in construction projects</v>
      </c>
      <c r="F176" s="26" t="s">
        <v>310</v>
      </c>
      <c r="G176" s="27" t="s">
        <v>311</v>
      </c>
      <c r="H176" s="27" t="s">
        <v>311</v>
      </c>
      <c r="I176" s="27" t="s">
        <v>312</v>
      </c>
      <c r="J176" s="27" t="s">
        <v>311</v>
      </c>
      <c r="K176" s="27" t="s">
        <v>311</v>
      </c>
      <c r="L176" s="28" t="str">
        <f t="shared" si="11"/>
        <v>EXCLUDE</v>
      </c>
      <c r="M176" s="28" t="str">
        <f t="shared" si="12"/>
        <v>No Design for Safety/Quality/PtD</v>
      </c>
      <c r="N176" s="29"/>
      <c r="O176" s="29"/>
      <c r="P176" s="30"/>
      <c r="Q176" s="30"/>
      <c r="R176" s="30"/>
      <c r="S176" s="28" t="str">
        <f t="shared" si="13"/>
        <v/>
      </c>
      <c r="T176" s="28" t="str">
        <f t="shared" si="14"/>
        <v/>
      </c>
      <c r="U176" s="31"/>
      <c r="V176" s="31"/>
      <c r="W176" s="31"/>
      <c r="X176" s="31"/>
      <c r="Y176" s="28" t="str">
        <f t="shared" si="15"/>
        <v/>
      </c>
      <c r="Z176" s="31"/>
      <c r="AA176" s="31"/>
      <c r="AB176" s="31"/>
      <c r="AC176" s="31"/>
      <c r="AD176" s="31"/>
      <c r="AE176" s="31"/>
      <c r="AF176" s="31"/>
      <c r="AG176" s="15" t="s">
        <v>429</v>
      </c>
      <c r="AH176" s="35"/>
      <c r="AI176" s="35"/>
      <c r="AK176"/>
      <c r="AM176" s="56"/>
      <c r="AN176" s="57"/>
      <c r="AO176" s="63" t="str">
        <f>IF($A176="","",IFERROR(_xlfn.XLOOKUP($A176,'2_DOI_Lookup'!$A$2:$A$430,'2_DOI_Lookup'!$B$2:$B$430),"NOT IN SOURCE"))</f>
        <v>10.1108/CI-06-2025-0266</v>
      </c>
    </row>
    <row r="177" spans="1:41" ht="91.2" hidden="1" x14ac:dyDescent="0.3">
      <c r="A177" s="26">
        <v>3859</v>
      </c>
      <c r="B177" s="9"/>
      <c r="C177" s="32"/>
      <c r="D177" s="9"/>
      <c r="E177" s="9" t="str">
        <f>IF($A177="","",IFERROR(_xlfn.XLOOKUP($A177,'2_DOI_Lookup'!$D$2:$D$430,'2_DOI_Lookup'!$E$2:$E$430),"TITLE NOT IN SOURCE"))</f>
        <v>A Study on the Prioritization and Combination Strategies of Smart Safety Technologies by Construction Phase in Modular Apartment Off-Site Construction</v>
      </c>
      <c r="F177" s="26" t="s">
        <v>309</v>
      </c>
      <c r="G177" s="27" t="s">
        <v>311</v>
      </c>
      <c r="H177" s="27" t="s">
        <v>312</v>
      </c>
      <c r="I177" s="27" t="s">
        <v>311</v>
      </c>
      <c r="J177" s="27" t="s">
        <v>311</v>
      </c>
      <c r="K177" s="27" t="s">
        <v>312</v>
      </c>
      <c r="L177" s="28" t="str">
        <f t="shared" si="11"/>
        <v>EXCLUDE</v>
      </c>
      <c r="M177" s="28" t="str">
        <f t="shared" si="12"/>
        <v>Digital Twin not core / buzzword</v>
      </c>
      <c r="N177" s="29"/>
      <c r="O177" s="29"/>
      <c r="P177" s="30"/>
      <c r="Q177" s="30"/>
      <c r="R177" s="30"/>
      <c r="S177" s="28" t="str">
        <f t="shared" si="13"/>
        <v/>
      </c>
      <c r="T177" s="28" t="str">
        <f t="shared" si="14"/>
        <v/>
      </c>
      <c r="U177" s="31"/>
      <c r="V177" s="31"/>
      <c r="W177" s="31"/>
      <c r="X177" s="31"/>
      <c r="Y177" s="28" t="str">
        <f t="shared" si="15"/>
        <v/>
      </c>
      <c r="Z177" s="31"/>
      <c r="AA177" s="31"/>
      <c r="AB177" s="31"/>
      <c r="AC177" s="31"/>
      <c r="AD177" s="31"/>
      <c r="AE177" s="31"/>
      <c r="AF177" s="31"/>
      <c r="AG177" s="15" t="s">
        <v>430</v>
      </c>
      <c r="AH177" s="35"/>
      <c r="AI177" s="35"/>
      <c r="AK177"/>
      <c r="AM177" s="56"/>
      <c r="AN177" s="57"/>
      <c r="AO177" s="63" t="str">
        <f>IF($A177="","",IFERROR(_xlfn.XLOOKUP($A177,'2_DOI_Lookup'!$A$2:$A$430,'2_DOI_Lookup'!$B$2:$B$430),"NOT IN SOURCE"))</f>
        <v>10.5659/JAIK.2026.42.6.389</v>
      </c>
    </row>
    <row r="178" spans="1:41" ht="34.200000000000003" hidden="1" x14ac:dyDescent="0.3">
      <c r="A178" s="26">
        <v>3507</v>
      </c>
      <c r="B178" s="9"/>
      <c r="C178" s="32"/>
      <c r="D178" s="9"/>
      <c r="E178" s="9" t="str">
        <f>IF($A178="","",IFERROR(_xlfn.XLOOKUP($A178,'2_DOI_Lookup'!$D$2:$D$430,'2_DOI_Lookup'!$E$2:$E$430),"TITLE NOT IN SOURCE"))</f>
        <v>State-of-Art review of resilience of bridges and bridge networks</v>
      </c>
      <c r="F178" s="26" t="s">
        <v>309</v>
      </c>
      <c r="G178" s="27" t="s">
        <v>311</v>
      </c>
      <c r="H178" s="27" t="s">
        <v>312</v>
      </c>
      <c r="I178" s="27" t="s">
        <v>311</v>
      </c>
      <c r="J178" s="27" t="s">
        <v>311</v>
      </c>
      <c r="K178" s="27" t="s">
        <v>311</v>
      </c>
      <c r="L178" s="28" t="str">
        <f t="shared" si="11"/>
        <v>EXCLUDE</v>
      </c>
      <c r="M178" s="28" t="str">
        <f t="shared" si="12"/>
        <v>Digital Twin not core / buzzword</v>
      </c>
      <c r="N178" s="29"/>
      <c r="O178" s="29"/>
      <c r="P178" s="30"/>
      <c r="Q178" s="30"/>
      <c r="R178" s="30"/>
      <c r="S178" s="28" t="str">
        <f t="shared" si="13"/>
        <v/>
      </c>
      <c r="T178" s="28" t="str">
        <f t="shared" si="14"/>
        <v/>
      </c>
      <c r="U178" s="31"/>
      <c r="V178" s="31"/>
      <c r="W178" s="31"/>
      <c r="X178" s="31"/>
      <c r="Y178" s="28" t="str">
        <f t="shared" si="15"/>
        <v/>
      </c>
      <c r="Z178" s="31"/>
      <c r="AA178" s="31"/>
      <c r="AB178" s="31"/>
      <c r="AC178" s="31"/>
      <c r="AD178" s="31"/>
      <c r="AE178" s="31"/>
      <c r="AF178" s="31"/>
      <c r="AG178" s="15" t="s">
        <v>431</v>
      </c>
      <c r="AH178" s="35"/>
      <c r="AI178" s="35"/>
      <c r="AK178"/>
      <c r="AM178" s="56"/>
      <c r="AN178" s="57"/>
      <c r="AO178" s="63" t="str">
        <f>IF($A178="","",IFERROR(_xlfn.XLOOKUP($A178,'2_DOI_Lookup'!$A$2:$A$430,'2_DOI_Lookup'!$B$2:$B$430),"NOT IN SOURCE"))</f>
        <v>10.1680/jbren.24.00014</v>
      </c>
    </row>
    <row r="179" spans="1:41" ht="79.8" hidden="1" x14ac:dyDescent="0.3">
      <c r="A179" s="64">
        <v>4051</v>
      </c>
      <c r="B179" s="65"/>
      <c r="C179" s="66"/>
      <c r="D179" s="65"/>
      <c r="E179" s="65" t="str">
        <f>IF($A179="","",IFERROR(_xlfn.XLOOKUP($A179,'2_DOI_Lookup'!$D$2:$D$430,'2_DOI_Lookup'!$E$2:$E$430),"TITLE NOT IN SOURCE"))</f>
        <v>Automatic Object Detection in Radargrams of Multi-Antenna GPR Systems Based on Simulation Data for Railway Infrastructure Analysis</v>
      </c>
      <c r="F179" s="64" t="s">
        <v>310</v>
      </c>
      <c r="G179" s="67" t="s">
        <v>311</v>
      </c>
      <c r="H179" s="67" t="s">
        <v>312</v>
      </c>
      <c r="I179" s="67" t="s">
        <v>311</v>
      </c>
      <c r="J179" s="67" t="s">
        <v>311</v>
      </c>
      <c r="K179" s="67" t="s">
        <v>311</v>
      </c>
      <c r="L179" s="68" t="str">
        <f t="shared" si="11"/>
        <v>EXCLUDE</v>
      </c>
      <c r="M179" s="68" t="str">
        <f t="shared" si="12"/>
        <v>Digital Twin not core / buzzword</v>
      </c>
      <c r="N179" s="69"/>
      <c r="O179" s="69"/>
      <c r="P179" s="70"/>
      <c r="Q179" s="70"/>
      <c r="R179" s="70"/>
      <c r="S179" s="68" t="str">
        <f t="shared" si="13"/>
        <v/>
      </c>
      <c r="T179" s="68" t="str">
        <f t="shared" si="14"/>
        <v/>
      </c>
      <c r="U179" s="71"/>
      <c r="V179" s="71"/>
      <c r="W179" s="71"/>
      <c r="X179" s="71"/>
      <c r="Y179" s="68" t="str">
        <f t="shared" si="15"/>
        <v/>
      </c>
      <c r="Z179" s="71"/>
      <c r="AA179" s="71"/>
      <c r="AB179" s="71"/>
      <c r="AC179" s="71"/>
      <c r="AD179" s="71"/>
      <c r="AE179" s="71"/>
      <c r="AF179" s="71"/>
      <c r="AG179" s="72" t="s">
        <v>432</v>
      </c>
      <c r="AH179" s="35"/>
      <c r="AI179" s="35"/>
      <c r="AK179"/>
      <c r="AM179" s="56"/>
      <c r="AN179" s="57"/>
      <c r="AO179" s="63" t="str">
        <f>IF($A179="","",IFERROR(_xlfn.XLOOKUP($A179,'2_DOI_Lookup'!$A$2:$A$430,'2_DOI_Lookup'!$B$2:$B$430),"NOT IN SOURCE"))</f>
        <v>10.3390/app14083521</v>
      </c>
    </row>
    <row r="180" spans="1:41" ht="102.6" x14ac:dyDescent="0.3">
      <c r="A180" s="26">
        <v>3591</v>
      </c>
      <c r="B180" s="9" t="s">
        <v>222</v>
      </c>
      <c r="C180" s="32">
        <v>2022</v>
      </c>
      <c r="D180" s="9"/>
      <c r="E180" s="9" t="str">
        <f>IF($A180="","",IFERROR(_xlfn.XLOOKUP($A180,'2_DOI_Lookup'!$D$2:$D$430,'2_DOI_Lookup'!$E$2:$E$430),"TITLE NOT IN SOURCE"))</f>
        <v>Building a Lightweight Digital Twin of a Crane Boom for Structural Safety Monitoring Based on a Multifidelity Surrogate Model</v>
      </c>
      <c r="F180" s="26" t="s">
        <v>309</v>
      </c>
      <c r="G180" s="27" t="s">
        <v>311</v>
      </c>
      <c r="H180" s="27" t="s">
        <v>311</v>
      </c>
      <c r="I180" s="27" t="s">
        <v>311</v>
      </c>
      <c r="J180" s="27" t="s">
        <v>311</v>
      </c>
      <c r="K180" s="27" t="s">
        <v>311</v>
      </c>
      <c r="L180" s="28" t="str">
        <f t="shared" si="11"/>
        <v>INCLUDE</v>
      </c>
      <c r="M180" s="28" t="str">
        <f t="shared" si="12"/>
        <v/>
      </c>
      <c r="N180" s="29" t="s">
        <v>49</v>
      </c>
      <c r="O180" s="29" t="s">
        <v>49</v>
      </c>
      <c r="P180" s="30" t="s">
        <v>49</v>
      </c>
      <c r="Q180" s="30" t="s">
        <v>49</v>
      </c>
      <c r="R180" s="30" t="s">
        <v>49</v>
      </c>
      <c r="S180" s="28" t="str">
        <f t="shared" si="13"/>
        <v>INCLUDE</v>
      </c>
      <c r="T180" s="28" t="str">
        <f t="shared" si="14"/>
        <v/>
      </c>
      <c r="U180" s="31" t="s">
        <v>61</v>
      </c>
      <c r="V180" s="31">
        <v>1</v>
      </c>
      <c r="W180" s="31">
        <v>0</v>
      </c>
      <c r="X180" s="31">
        <v>1</v>
      </c>
      <c r="Y180" s="28" t="str">
        <f t="shared" si="15"/>
        <v>Multi</v>
      </c>
      <c r="Z180" s="31" t="s">
        <v>9</v>
      </c>
      <c r="AA180" s="31" t="s">
        <v>53</v>
      </c>
      <c r="AB180" s="31" t="s">
        <v>92</v>
      </c>
      <c r="AC180" s="31" t="s">
        <v>64</v>
      </c>
      <c r="AD180" s="31" t="s">
        <v>65</v>
      </c>
      <c r="AE180" s="31">
        <v>4</v>
      </c>
      <c r="AF180" s="31" t="s">
        <v>80</v>
      </c>
      <c r="AG180" s="15" t="s">
        <v>712</v>
      </c>
      <c r="AH180" s="97" t="s">
        <v>868</v>
      </c>
      <c r="AI180" s="97" t="s">
        <v>869</v>
      </c>
      <c r="AJ180" s="98" t="s">
        <v>1081</v>
      </c>
      <c r="AK180" s="98" t="s">
        <v>1148</v>
      </c>
      <c r="AL180" s="98" t="s">
        <v>1083</v>
      </c>
      <c r="AM180" s="99"/>
      <c r="AN180" s="100" t="s">
        <v>1267</v>
      </c>
      <c r="AO180" s="101" t="str">
        <f>IF($A180="","",IFERROR(_xlfn.XLOOKUP($A180,'2_DOI_Lookup'!$A$2:$A$430,'2_DOI_Lookup'!$B$2:$B$430),"NOT IN SOURCE"))</f>
        <v>10.1115/1.4053606</v>
      </c>
    </row>
    <row r="181" spans="1:41" ht="45.6" hidden="1" x14ac:dyDescent="0.3">
      <c r="A181" s="82">
        <v>3748</v>
      </c>
      <c r="B181" s="83"/>
      <c r="C181" s="84"/>
      <c r="D181" s="83"/>
      <c r="E181" s="83" t="str">
        <f>IF($A181="","",IFERROR(_xlfn.XLOOKUP($A181,'2_DOI_Lookup'!$D$2:$D$430,'2_DOI_Lookup'!$E$2:$E$430),"TITLE NOT IN SOURCE"))</f>
        <v>Reconstruction of the road bridge on Monte Cassino Avenue in Koszalin</v>
      </c>
      <c r="F181" s="82" t="s">
        <v>309</v>
      </c>
      <c r="G181" s="85" t="s">
        <v>311</v>
      </c>
      <c r="H181" s="85" t="s">
        <v>312</v>
      </c>
      <c r="I181" s="85" t="s">
        <v>311</v>
      </c>
      <c r="J181" s="85" t="s">
        <v>311</v>
      </c>
      <c r="K181" s="85" t="s">
        <v>311</v>
      </c>
      <c r="L181" s="86" t="str">
        <f t="shared" si="11"/>
        <v>EXCLUDE</v>
      </c>
      <c r="M181" s="86" t="str">
        <f t="shared" si="12"/>
        <v>Digital Twin not core / buzzword</v>
      </c>
      <c r="N181" s="87"/>
      <c r="O181" s="87"/>
      <c r="P181" s="88"/>
      <c r="Q181" s="88"/>
      <c r="R181" s="88"/>
      <c r="S181" s="86" t="str">
        <f t="shared" si="13"/>
        <v/>
      </c>
      <c r="T181" s="86" t="str">
        <f t="shared" si="14"/>
        <v/>
      </c>
      <c r="U181" s="89"/>
      <c r="V181" s="89"/>
      <c r="W181" s="89"/>
      <c r="X181" s="89"/>
      <c r="Y181" s="86" t="str">
        <f t="shared" si="15"/>
        <v/>
      </c>
      <c r="Z181" s="89"/>
      <c r="AA181" s="89"/>
      <c r="AB181" s="89"/>
      <c r="AC181" s="89"/>
      <c r="AD181" s="89"/>
      <c r="AE181" s="89"/>
      <c r="AF181" s="89"/>
      <c r="AG181" s="90" t="s">
        <v>433</v>
      </c>
      <c r="AH181" s="35"/>
      <c r="AI181" s="35"/>
      <c r="AK181"/>
      <c r="AM181" s="56"/>
      <c r="AN181" s="57"/>
      <c r="AO181" s="63" t="str">
        <f>IF($A181="","",IFERROR(_xlfn.XLOOKUP($A181,'2_DOI_Lookup'!$A$2:$A$430,'2_DOI_Lookup'!$B$2:$B$430),"NOT IN SOURCE"))</f>
        <v>10.24425/ace.2025.156162</v>
      </c>
    </row>
    <row r="182" spans="1:41" ht="114" x14ac:dyDescent="0.3">
      <c r="A182" s="26">
        <v>3712</v>
      </c>
      <c r="B182" s="61" t="s">
        <v>2319</v>
      </c>
      <c r="C182" s="32">
        <v>2022</v>
      </c>
      <c r="D182" s="9"/>
      <c r="E182" s="9" t="str">
        <f>IF($A182="","",IFERROR(_xlfn.XLOOKUP($A182,'2_DOI_Lookup'!$D$2:$D$430,'2_DOI_Lookup'!$E$2:$E$430),"TITLE NOT IN SOURCE"))</f>
        <v>Post-Earthquake Building Evaluation Using UAVs: A BIM-Based Digital Twin Framework</v>
      </c>
      <c r="F182" s="26" t="s">
        <v>309</v>
      </c>
      <c r="G182" s="27" t="s">
        <v>311</v>
      </c>
      <c r="H182" s="27" t="s">
        <v>311</v>
      </c>
      <c r="I182" s="27" t="s">
        <v>311</v>
      </c>
      <c r="J182" s="27" t="s">
        <v>311</v>
      </c>
      <c r="K182" s="27" t="s">
        <v>311</v>
      </c>
      <c r="L182" s="28" t="str">
        <f t="shared" si="11"/>
        <v>INCLUDE</v>
      </c>
      <c r="M182" s="28" t="str">
        <f t="shared" si="12"/>
        <v/>
      </c>
      <c r="N182" s="29" t="s">
        <v>49</v>
      </c>
      <c r="O182" s="29" t="s">
        <v>49</v>
      </c>
      <c r="P182" s="30" t="s">
        <v>49</v>
      </c>
      <c r="Q182" s="30" t="s">
        <v>49</v>
      </c>
      <c r="R182" s="30" t="s">
        <v>49</v>
      </c>
      <c r="S182" s="28" t="str">
        <f t="shared" si="13"/>
        <v>INCLUDE</v>
      </c>
      <c r="T182" s="28" t="str">
        <f t="shared" si="14"/>
        <v/>
      </c>
      <c r="U182" s="31" t="s">
        <v>61</v>
      </c>
      <c r="V182" s="31">
        <v>0</v>
      </c>
      <c r="W182" s="31">
        <v>0</v>
      </c>
      <c r="X182" s="31">
        <v>1</v>
      </c>
      <c r="Y182" s="28" t="str">
        <f t="shared" si="15"/>
        <v>Single</v>
      </c>
      <c r="Z182" s="31" t="s">
        <v>9</v>
      </c>
      <c r="AA182" s="31" t="s">
        <v>53</v>
      </c>
      <c r="AB182" s="31" t="s">
        <v>54</v>
      </c>
      <c r="AC182" s="31" t="s">
        <v>64</v>
      </c>
      <c r="AD182" s="31" t="s">
        <v>72</v>
      </c>
      <c r="AE182" s="31">
        <v>4</v>
      </c>
      <c r="AF182" s="31" t="s">
        <v>73</v>
      </c>
      <c r="AG182" s="15" t="s">
        <v>713</v>
      </c>
      <c r="AH182" s="97" t="s">
        <v>870</v>
      </c>
      <c r="AI182" s="97" t="s">
        <v>871</v>
      </c>
      <c r="AJ182" s="98" t="s">
        <v>1080</v>
      </c>
      <c r="AK182" s="98" t="s">
        <v>1149</v>
      </c>
      <c r="AL182" s="98" t="s">
        <v>1083</v>
      </c>
      <c r="AM182" s="99"/>
      <c r="AN182" s="100" t="s">
        <v>1288</v>
      </c>
      <c r="AO182" s="101" t="str">
        <f>IF($A182="","",IFERROR(_xlfn.XLOOKUP($A182,'2_DOI_Lookup'!$A$2:$A$430,'2_DOI_Lookup'!$B$2:$B$430),"NOT IN SOURCE"))</f>
        <v>10.3390/s22030873</v>
      </c>
    </row>
    <row r="183" spans="1:41" ht="57" hidden="1" x14ac:dyDescent="0.3">
      <c r="A183" s="73">
        <v>3612</v>
      </c>
      <c r="B183" s="74"/>
      <c r="C183" s="75"/>
      <c r="D183" s="74"/>
      <c r="E183" s="74" t="str">
        <f>IF($A183="","",IFERROR(_xlfn.XLOOKUP($A183,'2_DOI_Lookup'!$D$2:$D$430,'2_DOI_Lookup'!$E$2:$E$430),"TITLE NOT IN SOURCE"))</f>
        <v>Intelligent Monitoring Platform and Application for Building Energy Using Information Based on Digital Twin</v>
      </c>
      <c r="F183" s="73" t="s">
        <v>309</v>
      </c>
      <c r="G183" s="76" t="s">
        <v>311</v>
      </c>
      <c r="H183" s="76" t="s">
        <v>311</v>
      </c>
      <c r="I183" s="76" t="s">
        <v>312</v>
      </c>
      <c r="J183" s="76" t="s">
        <v>311</v>
      </c>
      <c r="K183" s="76" t="s">
        <v>311</v>
      </c>
      <c r="L183" s="77" t="str">
        <f t="shared" si="11"/>
        <v>EXCLUDE</v>
      </c>
      <c r="M183" s="77" t="str">
        <f t="shared" si="12"/>
        <v>No Design for Safety/Quality/PtD</v>
      </c>
      <c r="N183" s="78"/>
      <c r="O183" s="78"/>
      <c r="P183" s="79"/>
      <c r="Q183" s="79"/>
      <c r="R183" s="79"/>
      <c r="S183" s="77" t="str">
        <f t="shared" si="13"/>
        <v/>
      </c>
      <c r="T183" s="77" t="str">
        <f t="shared" si="14"/>
        <v/>
      </c>
      <c r="U183" s="80"/>
      <c r="V183" s="80"/>
      <c r="W183" s="80"/>
      <c r="X183" s="80"/>
      <c r="Y183" s="77" t="str">
        <f t="shared" si="15"/>
        <v/>
      </c>
      <c r="Z183" s="80"/>
      <c r="AA183" s="80"/>
      <c r="AB183" s="80"/>
      <c r="AC183" s="80"/>
      <c r="AD183" s="80"/>
      <c r="AE183" s="80"/>
      <c r="AF183" s="80"/>
      <c r="AG183" s="81" t="s">
        <v>434</v>
      </c>
      <c r="AH183" s="35"/>
      <c r="AI183" s="35"/>
      <c r="AK183"/>
      <c r="AM183" s="56"/>
      <c r="AN183" s="57"/>
      <c r="AO183" s="63" t="str">
        <f>IF($A183="","",IFERROR(_xlfn.XLOOKUP($A183,'2_DOI_Lookup'!$A$2:$A$430,'2_DOI_Lookup'!$B$2:$B$430),"NOT IN SOURCE"))</f>
        <v>10.3390/en16196839</v>
      </c>
    </row>
    <row r="184" spans="1:41" ht="45.6" hidden="1" x14ac:dyDescent="0.3">
      <c r="A184" s="64">
        <v>3728</v>
      </c>
      <c r="B184" s="65"/>
      <c r="C184" s="66"/>
      <c r="D184" s="65"/>
      <c r="E184" s="65" t="str">
        <f>IF($A184="","",IFERROR(_xlfn.XLOOKUP($A184,'2_DOI_Lookup'!$D$2:$D$430,'2_DOI_Lookup'!$E$2:$E$430),"TITLE NOT IN SOURCE"))</f>
        <v>Applications of artificial intelligence in the AEC industry: a review and future outlook</v>
      </c>
      <c r="F184" s="64" t="s">
        <v>309</v>
      </c>
      <c r="G184" s="67" t="s">
        <v>311</v>
      </c>
      <c r="H184" s="67" t="s">
        <v>312</v>
      </c>
      <c r="I184" s="67" t="s">
        <v>312</v>
      </c>
      <c r="J184" s="67" t="s">
        <v>311</v>
      </c>
      <c r="K184" s="67" t="s">
        <v>311</v>
      </c>
      <c r="L184" s="68" t="str">
        <f t="shared" si="11"/>
        <v>EXCLUDE</v>
      </c>
      <c r="M184" s="68" t="str">
        <f t="shared" si="12"/>
        <v>Digital Twin not core / buzzword</v>
      </c>
      <c r="N184" s="69"/>
      <c r="O184" s="69"/>
      <c r="P184" s="70"/>
      <c r="Q184" s="70"/>
      <c r="R184" s="70"/>
      <c r="S184" s="68" t="str">
        <f t="shared" si="13"/>
        <v/>
      </c>
      <c r="T184" s="68" t="str">
        <f t="shared" si="14"/>
        <v/>
      </c>
      <c r="U184" s="71"/>
      <c r="V184" s="71"/>
      <c r="W184" s="71"/>
      <c r="X184" s="71"/>
      <c r="Y184" s="68" t="str">
        <f t="shared" si="15"/>
        <v/>
      </c>
      <c r="Z184" s="71"/>
      <c r="AA184" s="71"/>
      <c r="AB184" s="71"/>
      <c r="AC184" s="71"/>
      <c r="AD184" s="71"/>
      <c r="AE184" s="71"/>
      <c r="AF184" s="71"/>
      <c r="AG184" s="72" t="s">
        <v>435</v>
      </c>
      <c r="AH184" s="35"/>
      <c r="AI184" s="35"/>
      <c r="AK184"/>
      <c r="AM184" s="56"/>
      <c r="AN184" s="57"/>
      <c r="AO184" s="63" t="str">
        <f>IF($A184="","",IFERROR(_xlfn.XLOOKUP($A184,'2_DOI_Lookup'!$A$2:$A$430,'2_DOI_Lookup'!$B$2:$B$430),"NOT IN SOURCE"))</f>
        <v>10.1080/13467581.2024.2343800</v>
      </c>
    </row>
    <row r="185" spans="1:41" ht="102.6" x14ac:dyDescent="0.3">
      <c r="A185" s="26">
        <v>3661</v>
      </c>
      <c r="B185" s="9" t="s">
        <v>223</v>
      </c>
      <c r="C185" s="32">
        <v>2024</v>
      </c>
      <c r="D185" s="9"/>
      <c r="E185" s="9" t="str">
        <f>IF($A185="","",IFERROR(_xlfn.XLOOKUP($A185,'2_DOI_Lookup'!$D$2:$D$430,'2_DOI_Lookup'!$E$2:$E$430),"TITLE NOT IN SOURCE"))</f>
        <v>Automated generation and semantic segmentation of roof orthophoto for digital twin -based monitoring of slated roofs</v>
      </c>
      <c r="F185" s="26" t="s">
        <v>309</v>
      </c>
      <c r="G185" s="27" t="s">
        <v>311</v>
      </c>
      <c r="H185" s="27" t="s">
        <v>311</v>
      </c>
      <c r="I185" s="27" t="s">
        <v>311</v>
      </c>
      <c r="J185" s="27" t="s">
        <v>311</v>
      </c>
      <c r="K185" s="27" t="s">
        <v>311</v>
      </c>
      <c r="L185" s="28" t="str">
        <f t="shared" si="11"/>
        <v>INCLUDE</v>
      </c>
      <c r="M185" s="28" t="str">
        <f t="shared" si="12"/>
        <v/>
      </c>
      <c r="N185" s="29" t="s">
        <v>49</v>
      </c>
      <c r="O185" s="29" t="s">
        <v>49</v>
      </c>
      <c r="P185" s="30" t="s">
        <v>49</v>
      </c>
      <c r="Q185" s="30" t="s">
        <v>49</v>
      </c>
      <c r="R185" s="30" t="s">
        <v>49</v>
      </c>
      <c r="S185" s="28" t="str">
        <f t="shared" si="13"/>
        <v>INCLUDE</v>
      </c>
      <c r="T185" s="28" t="str">
        <f t="shared" si="14"/>
        <v/>
      </c>
      <c r="U185" s="31" t="s">
        <v>52</v>
      </c>
      <c r="V185" s="31">
        <v>0</v>
      </c>
      <c r="W185" s="31">
        <v>0</v>
      </c>
      <c r="X185" s="31">
        <v>1</v>
      </c>
      <c r="Y185" s="28" t="str">
        <f t="shared" si="15"/>
        <v>Single</v>
      </c>
      <c r="Z185" s="31" t="s">
        <v>11</v>
      </c>
      <c r="AA185" s="31" t="s">
        <v>53</v>
      </c>
      <c r="AB185" s="31" t="s">
        <v>54</v>
      </c>
      <c r="AC185" s="31" t="s">
        <v>64</v>
      </c>
      <c r="AD185" s="31" t="s">
        <v>79</v>
      </c>
      <c r="AE185" s="31">
        <v>4</v>
      </c>
      <c r="AF185" s="31" t="s">
        <v>73</v>
      </c>
      <c r="AG185" s="15" t="s">
        <v>1342</v>
      </c>
      <c r="AH185" s="97" t="s">
        <v>872</v>
      </c>
      <c r="AI185" s="97" t="s">
        <v>873</v>
      </c>
      <c r="AJ185" s="98" t="s">
        <v>1081</v>
      </c>
      <c r="AK185" s="98" t="s">
        <v>1150</v>
      </c>
      <c r="AL185" s="98" t="s">
        <v>1084</v>
      </c>
      <c r="AM185" s="99" t="s">
        <v>1343</v>
      </c>
      <c r="AN185" s="100" t="s">
        <v>1281</v>
      </c>
      <c r="AO185" s="101" t="str">
        <f>IF($A185="","",IFERROR(_xlfn.XLOOKUP($A185,'2_DOI_Lookup'!$A$2:$A$430,'2_DOI_Lookup'!$B$2:$B$430),"NOT IN SOURCE"))</f>
        <v>10.1016/j.autcon.2024.105725</v>
      </c>
    </row>
    <row r="186" spans="1:41" ht="57" hidden="1" x14ac:dyDescent="0.3">
      <c r="A186" s="82">
        <v>3937</v>
      </c>
      <c r="B186" s="83"/>
      <c r="C186" s="84"/>
      <c r="D186" s="83"/>
      <c r="E186" s="83" t="str">
        <f>IF($A186="","",IFERROR(_xlfn.XLOOKUP($A186,'2_DOI_Lookup'!$D$2:$D$430,'2_DOI_Lookup'!$E$2:$E$430),"TITLE NOT IN SOURCE"))</f>
        <v>Rapid integration strategy for oblique photogrammetry terrain and highway BIM models in large-scale scenarios</v>
      </c>
      <c r="F186" s="82" t="s">
        <v>310</v>
      </c>
      <c r="G186" s="85" t="s">
        <v>311</v>
      </c>
      <c r="H186" s="85" t="s">
        <v>312</v>
      </c>
      <c r="I186" s="85" t="s">
        <v>312</v>
      </c>
      <c r="J186" s="85" t="s">
        <v>311</v>
      </c>
      <c r="K186" s="85" t="s">
        <v>311</v>
      </c>
      <c r="L186" s="86" t="str">
        <f t="shared" si="11"/>
        <v>EXCLUDE</v>
      </c>
      <c r="M186" s="86" t="str">
        <f t="shared" si="12"/>
        <v>Digital Twin not core / buzzword</v>
      </c>
      <c r="N186" s="87"/>
      <c r="O186" s="87"/>
      <c r="P186" s="88"/>
      <c r="Q186" s="88"/>
      <c r="R186" s="88"/>
      <c r="S186" s="86" t="str">
        <f t="shared" si="13"/>
        <v/>
      </c>
      <c r="T186" s="86" t="str">
        <f t="shared" si="14"/>
        <v/>
      </c>
      <c r="U186" s="89"/>
      <c r="V186" s="89"/>
      <c r="W186" s="89"/>
      <c r="X186" s="89"/>
      <c r="Y186" s="86" t="str">
        <f t="shared" si="15"/>
        <v/>
      </c>
      <c r="Z186" s="89"/>
      <c r="AA186" s="89"/>
      <c r="AB186" s="89"/>
      <c r="AC186" s="89"/>
      <c r="AD186" s="89"/>
      <c r="AE186" s="89"/>
      <c r="AF186" s="89"/>
      <c r="AG186" s="90" t="s">
        <v>436</v>
      </c>
      <c r="AH186" s="35"/>
      <c r="AI186" s="35"/>
      <c r="AK186"/>
      <c r="AM186" s="56"/>
      <c r="AN186" s="57"/>
      <c r="AO186" s="63" t="str">
        <f>IF($A186="","",IFERROR(_xlfn.XLOOKUP($A186,'2_DOI_Lookup'!$A$2:$A$430,'2_DOI_Lookup'!$B$2:$B$430),"NOT IN SOURCE"))</f>
        <v>10.1016/j.autcon.2025.106354</v>
      </c>
    </row>
    <row r="187" spans="1:41" ht="86.4" x14ac:dyDescent="0.3">
      <c r="A187" s="26">
        <v>3839</v>
      </c>
      <c r="B187" s="9" t="s">
        <v>224</v>
      </c>
      <c r="C187" s="32">
        <v>2023</v>
      </c>
      <c r="D187" s="9"/>
      <c r="E187" s="9" t="str">
        <f>IF($A187="","",IFERROR(_xlfn.XLOOKUP($A187,'2_DOI_Lookup'!$D$2:$D$430,'2_DOI_Lookup'!$E$2:$E$430),"TITLE NOT IN SOURCE"))</f>
        <v>3D laser point cloud-based geometric digital twin for condition assessment of large diameter pipelines</v>
      </c>
      <c r="F187" s="26" t="s">
        <v>309</v>
      </c>
      <c r="G187" s="27" t="s">
        <v>311</v>
      </c>
      <c r="H187" s="27" t="s">
        <v>311</v>
      </c>
      <c r="I187" s="27" t="s">
        <v>311</v>
      </c>
      <c r="J187" s="27" t="s">
        <v>311</v>
      </c>
      <c r="K187" s="27" t="s">
        <v>311</v>
      </c>
      <c r="L187" s="28" t="str">
        <f t="shared" si="11"/>
        <v>INCLUDE</v>
      </c>
      <c r="M187" s="28" t="str">
        <f t="shared" si="12"/>
        <v/>
      </c>
      <c r="N187" s="29" t="s">
        <v>311</v>
      </c>
      <c r="O187" s="29" t="s">
        <v>311</v>
      </c>
      <c r="P187" s="30" t="s">
        <v>311</v>
      </c>
      <c r="Q187" s="30" t="s">
        <v>311</v>
      </c>
      <c r="R187" s="30" t="s">
        <v>311</v>
      </c>
      <c r="S187" s="28" t="str">
        <f t="shared" si="13"/>
        <v>INCLUDE</v>
      </c>
      <c r="T187" s="28" t="str">
        <f t="shared" si="14"/>
        <v/>
      </c>
      <c r="U187" s="31" t="s">
        <v>52</v>
      </c>
      <c r="V187" s="31">
        <v>0</v>
      </c>
      <c r="W187" s="31">
        <v>0</v>
      </c>
      <c r="X187" s="31">
        <v>1</v>
      </c>
      <c r="Y187" s="28" t="str">
        <f t="shared" si="15"/>
        <v>Single</v>
      </c>
      <c r="Z187" s="31" t="s">
        <v>9</v>
      </c>
      <c r="AA187" s="31" t="s">
        <v>53</v>
      </c>
      <c r="AB187" s="31" t="s">
        <v>92</v>
      </c>
      <c r="AC187" s="31" t="s">
        <v>64</v>
      </c>
      <c r="AD187" s="31" t="s">
        <v>72</v>
      </c>
      <c r="AE187" s="31">
        <v>4</v>
      </c>
      <c r="AF187" s="31" t="s">
        <v>73</v>
      </c>
      <c r="AG187" s="15" t="s">
        <v>631</v>
      </c>
      <c r="AH187" s="97" t="s">
        <v>874</v>
      </c>
      <c r="AI187" s="97" t="s">
        <v>875</v>
      </c>
      <c r="AJ187" s="98" t="s">
        <v>1078</v>
      </c>
      <c r="AK187" s="98" t="s">
        <v>1151</v>
      </c>
      <c r="AL187" s="98" t="s">
        <v>1083</v>
      </c>
      <c r="AM187" s="99" t="s">
        <v>1152</v>
      </c>
      <c r="AN187" s="100" t="s">
        <v>1308</v>
      </c>
      <c r="AO187" s="101" t="str">
        <f>IF($A187="","",IFERROR(_xlfn.XLOOKUP($A187,'2_DOI_Lookup'!$A$2:$A$430,'2_DOI_Lookup'!$B$2:$B$430),"NOT IN SOURCE"))</f>
        <v>10.1016/j.tust.2023.105430</v>
      </c>
    </row>
    <row r="188" spans="1:41" ht="57" hidden="1" x14ac:dyDescent="0.3">
      <c r="A188" s="82">
        <v>3581</v>
      </c>
      <c r="B188" s="83"/>
      <c r="C188" s="84"/>
      <c r="D188" s="83"/>
      <c r="E188" s="83" t="str">
        <f>IF($A188="","",IFERROR(_xlfn.XLOOKUP($A188,'2_DOI_Lookup'!$D$2:$D$430,'2_DOI_Lookup'!$E$2:$E$430),"TITLE NOT IN SOURCE"))</f>
        <v>Research on the Construction of a Digital Twin Model for a 3D Measurement System of Gears</v>
      </c>
      <c r="F188" s="82" t="s">
        <v>309</v>
      </c>
      <c r="G188" s="85" t="s">
        <v>312</v>
      </c>
      <c r="H188" s="85" t="s">
        <v>311</v>
      </c>
      <c r="I188" s="85" t="s">
        <v>312</v>
      </c>
      <c r="J188" s="85" t="s">
        <v>311</v>
      </c>
      <c r="K188" s="85" t="s">
        <v>311</v>
      </c>
      <c r="L188" s="86" t="str">
        <f t="shared" si="11"/>
        <v>EXCLUDE</v>
      </c>
      <c r="M188" s="86" t="str">
        <f t="shared" si="12"/>
        <v>Wrong domain (non-AECO)</v>
      </c>
      <c r="N188" s="87"/>
      <c r="O188" s="87"/>
      <c r="P188" s="88"/>
      <c r="Q188" s="88"/>
      <c r="R188" s="88"/>
      <c r="S188" s="86" t="str">
        <f t="shared" si="13"/>
        <v/>
      </c>
      <c r="T188" s="86" t="str">
        <f t="shared" si="14"/>
        <v/>
      </c>
      <c r="U188" s="89"/>
      <c r="V188" s="89"/>
      <c r="W188" s="89"/>
      <c r="X188" s="89"/>
      <c r="Y188" s="86" t="str">
        <f t="shared" si="15"/>
        <v/>
      </c>
      <c r="Z188" s="89"/>
      <c r="AA188" s="89"/>
      <c r="AB188" s="89"/>
      <c r="AC188" s="89"/>
      <c r="AD188" s="89"/>
      <c r="AE188" s="89"/>
      <c r="AF188" s="89"/>
      <c r="AG188" s="90" t="s">
        <v>437</v>
      </c>
      <c r="AH188" s="35"/>
      <c r="AI188" s="35"/>
      <c r="AK188"/>
      <c r="AM188" s="56"/>
      <c r="AN188" s="57"/>
      <c r="AO188" s="63" t="str">
        <f>IF($A188="","",IFERROR(_xlfn.XLOOKUP($A188,'2_DOI_Lookup'!$A$2:$A$430,'2_DOI_Lookup'!$B$2:$B$430),"NOT IN SOURCE"))</f>
        <v>10.1109/ACCESS.2023.3330153</v>
      </c>
    </row>
    <row r="189" spans="1:41" ht="114" x14ac:dyDescent="0.3">
      <c r="A189" s="26">
        <v>3947</v>
      </c>
      <c r="B189" s="9" t="s">
        <v>225</v>
      </c>
      <c r="C189" s="32">
        <v>2021</v>
      </c>
      <c r="D189" s="9"/>
      <c r="E189" s="9" t="str">
        <f>IF($A189="","",IFERROR(_xlfn.XLOOKUP($A189,'2_DOI_Lookup'!$D$2:$D$430,'2_DOI_Lookup'!$E$2:$E$430),"TITLE NOT IN SOURCE"))</f>
        <v>Digital twin-driven virtual sensor approach for safe construction operations of trailing suction hopper dredger</v>
      </c>
      <c r="F189" s="26" t="s">
        <v>310</v>
      </c>
      <c r="G189" s="27" t="s">
        <v>311</v>
      </c>
      <c r="H189" s="27" t="s">
        <v>311</v>
      </c>
      <c r="I189" s="27" t="s">
        <v>311</v>
      </c>
      <c r="J189" s="27" t="s">
        <v>311</v>
      </c>
      <c r="K189" s="27" t="s">
        <v>311</v>
      </c>
      <c r="L189" s="28" t="str">
        <f t="shared" si="11"/>
        <v>INCLUDE</v>
      </c>
      <c r="M189" s="28" t="str">
        <f t="shared" si="12"/>
        <v/>
      </c>
      <c r="N189" s="29" t="s">
        <v>49</v>
      </c>
      <c r="O189" s="29" t="s">
        <v>49</v>
      </c>
      <c r="P189" s="30" t="s">
        <v>49</v>
      </c>
      <c r="Q189" s="30" t="s">
        <v>49</v>
      </c>
      <c r="R189" s="30" t="s">
        <v>49</v>
      </c>
      <c r="S189" s="28" t="str">
        <f t="shared" si="13"/>
        <v>INCLUDE</v>
      </c>
      <c r="T189" s="28" t="str">
        <f t="shared" si="14"/>
        <v/>
      </c>
      <c r="U189" s="31" t="s">
        <v>61</v>
      </c>
      <c r="V189" s="31">
        <v>0</v>
      </c>
      <c r="W189" s="31">
        <v>1</v>
      </c>
      <c r="X189" s="31">
        <v>1</v>
      </c>
      <c r="Y189" s="28" t="str">
        <f t="shared" si="15"/>
        <v>Multi</v>
      </c>
      <c r="Z189" s="31" t="s">
        <v>9</v>
      </c>
      <c r="AA189" s="31" t="s">
        <v>53</v>
      </c>
      <c r="AB189" s="31" t="s">
        <v>92</v>
      </c>
      <c r="AC189" s="31" t="s">
        <v>64</v>
      </c>
      <c r="AD189" s="31" t="s">
        <v>72</v>
      </c>
      <c r="AE189" s="31">
        <v>4</v>
      </c>
      <c r="AF189" s="31" t="s">
        <v>84</v>
      </c>
      <c r="AG189" s="15" t="s">
        <v>714</v>
      </c>
      <c r="AH189" s="97" t="s">
        <v>876</v>
      </c>
      <c r="AI189" s="97" t="s">
        <v>877</v>
      </c>
      <c r="AJ189" s="98" t="s">
        <v>1081</v>
      </c>
      <c r="AK189" s="98" t="s">
        <v>1153</v>
      </c>
      <c r="AL189" s="98" t="s">
        <v>1084</v>
      </c>
      <c r="AM189" s="99"/>
      <c r="AN189" s="100" t="s">
        <v>1389</v>
      </c>
      <c r="AO189" s="101" t="str">
        <f>IF($A189="","",IFERROR(_xlfn.XLOOKUP($A189,'2_DOI_Lookup'!$A$2:$A$430,'2_DOI_Lookup'!$B$2:$B$430),"NOT IN SOURCE"))</f>
        <v>10.1016/j.autcon.2021.103961</v>
      </c>
    </row>
    <row r="190" spans="1:41" ht="68.400000000000006" hidden="1" x14ac:dyDescent="0.3">
      <c r="A190" s="73">
        <v>3610</v>
      </c>
      <c r="B190" s="74"/>
      <c r="C190" s="75"/>
      <c r="D190" s="74"/>
      <c r="E190" s="74" t="str">
        <f>IF($A190="","",IFERROR(_xlfn.XLOOKUP($A190,'2_DOI_Lookup'!$D$2:$D$430,'2_DOI_Lookup'!$E$2:$E$430),"TITLE NOT IN SOURCE"))</f>
        <v>A Multi-Sensor Fusion Approach Combined with RandLA-Net for Large-Scale Point Cloud Segmentation in Power Grid Scenario</v>
      </c>
      <c r="F190" s="73" t="s">
        <v>309</v>
      </c>
      <c r="G190" s="76" t="s">
        <v>312</v>
      </c>
      <c r="H190" s="76" t="s">
        <v>312</v>
      </c>
      <c r="I190" s="76" t="s">
        <v>311</v>
      </c>
      <c r="J190" s="76" t="s">
        <v>311</v>
      </c>
      <c r="K190" s="76" t="s">
        <v>311</v>
      </c>
      <c r="L190" s="77" t="str">
        <f t="shared" si="11"/>
        <v>EXCLUDE</v>
      </c>
      <c r="M190" s="77" t="str">
        <f t="shared" si="12"/>
        <v>Wrong domain (non-AECO)</v>
      </c>
      <c r="N190" s="78"/>
      <c r="O190" s="78"/>
      <c r="P190" s="79"/>
      <c r="Q190" s="79"/>
      <c r="R190" s="79"/>
      <c r="S190" s="77" t="str">
        <f t="shared" si="13"/>
        <v/>
      </c>
      <c r="T190" s="77" t="str">
        <f t="shared" si="14"/>
        <v/>
      </c>
      <c r="U190" s="80"/>
      <c r="V190" s="80"/>
      <c r="W190" s="80"/>
      <c r="X190" s="80"/>
      <c r="Y190" s="77" t="str">
        <f t="shared" si="15"/>
        <v/>
      </c>
      <c r="Z190" s="80"/>
      <c r="AA190" s="80"/>
      <c r="AB190" s="80"/>
      <c r="AC190" s="80"/>
      <c r="AD190" s="80"/>
      <c r="AE190" s="80"/>
      <c r="AF190" s="80"/>
      <c r="AG190" s="81" t="s">
        <v>438</v>
      </c>
      <c r="AH190" s="35"/>
      <c r="AI190" s="35"/>
      <c r="AK190"/>
      <c r="AM190" s="56"/>
      <c r="AN190" s="57"/>
      <c r="AO190" s="63" t="str">
        <f>IF($A190="","",IFERROR(_xlfn.XLOOKUP($A190,'2_DOI_Lookup'!$A$2:$A$430,'2_DOI_Lookup'!$B$2:$B$430),"NOT IN SOURCE"))</f>
        <v>10.3390/s25113350</v>
      </c>
    </row>
    <row r="191" spans="1:41" ht="57" hidden="1" x14ac:dyDescent="0.3">
      <c r="A191" s="26">
        <v>3587</v>
      </c>
      <c r="B191" s="9"/>
      <c r="C191" s="32"/>
      <c r="D191" s="9"/>
      <c r="E191" s="9" t="str">
        <f>IF($A191="","",IFERROR(_xlfn.XLOOKUP($A191,'2_DOI_Lookup'!$D$2:$D$430,'2_DOI_Lookup'!$E$2:$E$430),"TITLE NOT IN SOURCE"))</f>
        <v>Construction and application of CMF design service model for industrial products driven by digital twins</v>
      </c>
      <c r="F191" s="26" t="s">
        <v>309</v>
      </c>
      <c r="G191" s="27" t="s">
        <v>312</v>
      </c>
      <c r="H191" s="27" t="s">
        <v>311</v>
      </c>
      <c r="I191" s="27" t="s">
        <v>312</v>
      </c>
      <c r="J191" s="27" t="s">
        <v>311</v>
      </c>
      <c r="K191" s="27" t="s">
        <v>312</v>
      </c>
      <c r="L191" s="28" t="str">
        <f t="shared" si="11"/>
        <v>EXCLUDE</v>
      </c>
      <c r="M191" s="28" t="str">
        <f t="shared" si="12"/>
        <v>Wrong domain (non-AECO)</v>
      </c>
      <c r="N191" s="29"/>
      <c r="O191" s="29"/>
      <c r="P191" s="30"/>
      <c r="Q191" s="30"/>
      <c r="R191" s="30"/>
      <c r="S191" s="28" t="str">
        <f t="shared" si="13"/>
        <v/>
      </c>
      <c r="T191" s="28" t="str">
        <f t="shared" si="14"/>
        <v/>
      </c>
      <c r="U191" s="31"/>
      <c r="V191" s="31"/>
      <c r="W191" s="31"/>
      <c r="X191" s="31"/>
      <c r="Y191" s="28" t="str">
        <f t="shared" si="15"/>
        <v/>
      </c>
      <c r="Z191" s="31"/>
      <c r="AA191" s="31"/>
      <c r="AB191" s="31"/>
      <c r="AC191" s="31"/>
      <c r="AD191" s="31"/>
      <c r="AE191" s="31"/>
      <c r="AF191" s="31"/>
      <c r="AG191" s="15" t="s">
        <v>439</v>
      </c>
      <c r="AH191" s="35"/>
      <c r="AI191" s="35"/>
      <c r="AK191"/>
      <c r="AM191" s="56"/>
      <c r="AN191" s="57"/>
      <c r="AO191" s="63" t="str">
        <f>IF($A191="","",IFERROR(_xlfn.XLOOKUP($A191,'2_DOI_Lookup'!$A$2:$A$430,'2_DOI_Lookup'!$B$2:$B$430),"NOT IN SOURCE"))</f>
        <v>10.13196/j.cims.2021.02.001</v>
      </c>
    </row>
    <row r="192" spans="1:41" ht="68.400000000000006" hidden="1" x14ac:dyDescent="0.3">
      <c r="A192" s="26">
        <v>3554</v>
      </c>
      <c r="B192" s="9"/>
      <c r="C192" s="32"/>
      <c r="D192" s="9"/>
      <c r="E192" s="9" t="str">
        <f>IF($A192="","",IFERROR(_xlfn.XLOOKUP($A192,'2_DOI_Lookup'!$D$2:$D$430,'2_DOI_Lookup'!$E$2:$E$430),"TITLE NOT IN SOURCE"))</f>
        <v>Key Technologies for Health Management and Intelligent Operation and Maintenance of Power Equipment in New Power Systems</v>
      </c>
      <c r="F192" s="26" t="s">
        <v>309</v>
      </c>
      <c r="G192" s="27" t="s">
        <v>312</v>
      </c>
      <c r="H192" s="27" t="s">
        <v>311</v>
      </c>
      <c r="I192" s="27" t="s">
        <v>311</v>
      </c>
      <c r="J192" s="27" t="s">
        <v>311</v>
      </c>
      <c r="K192" s="27" t="s">
        <v>312</v>
      </c>
      <c r="L192" s="28" t="str">
        <f t="shared" si="11"/>
        <v>EXCLUDE</v>
      </c>
      <c r="M192" s="28" t="str">
        <f t="shared" si="12"/>
        <v>Wrong domain (non-AECO)</v>
      </c>
      <c r="N192" s="29"/>
      <c r="O192" s="29"/>
      <c r="P192" s="30"/>
      <c r="Q192" s="30"/>
      <c r="R192" s="30"/>
      <c r="S192" s="28" t="str">
        <f t="shared" si="13"/>
        <v/>
      </c>
      <c r="T192" s="28" t="str">
        <f t="shared" si="14"/>
        <v/>
      </c>
      <c r="U192" s="31"/>
      <c r="V192" s="31"/>
      <c r="W192" s="31"/>
      <c r="X192" s="31"/>
      <c r="Y192" s="28" t="str">
        <f t="shared" si="15"/>
        <v/>
      </c>
      <c r="Z192" s="31"/>
      <c r="AA192" s="31"/>
      <c r="AB192" s="31"/>
      <c r="AC192" s="31"/>
      <c r="AD192" s="31"/>
      <c r="AE192" s="31"/>
      <c r="AF192" s="31"/>
      <c r="AG192" s="15" t="s">
        <v>440</v>
      </c>
      <c r="AH192" s="35"/>
      <c r="AI192" s="35"/>
      <c r="AK192"/>
      <c r="AM192" s="56"/>
      <c r="AN192" s="57"/>
      <c r="AO192" s="63" t="str">
        <f>IF($A192="","",IFERROR(_xlfn.XLOOKUP($A192,'2_DOI_Lookup'!$A$2:$A$430,'2_DOI_Lookup'!$B$2:$B$430),"NOT IN SOURCE"))</f>
        <v>10.13335/j.1000-3673.pst.2022.2451</v>
      </c>
    </row>
    <row r="193" spans="1:41" ht="57" hidden="1" x14ac:dyDescent="0.3">
      <c r="A193" s="26">
        <v>3767</v>
      </c>
      <c r="B193" s="9"/>
      <c r="C193" s="32"/>
      <c r="D193" s="9"/>
      <c r="E193" s="9" t="str">
        <f>IF($A193="","",IFERROR(_xlfn.XLOOKUP($A193,'2_DOI_Lookup'!$D$2:$D$430,'2_DOI_Lookup'!$E$2:$E$430),"TITLE NOT IN SOURCE"))</f>
        <v>A lightweight and attention-enhanced framework for robust pavement defect detection</v>
      </c>
      <c r="F193" s="26" t="s">
        <v>309</v>
      </c>
      <c r="G193" s="27" t="s">
        <v>311</v>
      </c>
      <c r="H193" s="27" t="s">
        <v>312</v>
      </c>
      <c r="I193" s="27" t="s">
        <v>311</v>
      </c>
      <c r="J193" s="27" t="s">
        <v>311</v>
      </c>
      <c r="K193" s="27" t="s">
        <v>311</v>
      </c>
      <c r="L193" s="28" t="str">
        <f t="shared" si="11"/>
        <v>EXCLUDE</v>
      </c>
      <c r="M193" s="28" t="str">
        <f t="shared" si="12"/>
        <v>Digital Twin not core / buzzword</v>
      </c>
      <c r="N193" s="29"/>
      <c r="O193" s="29"/>
      <c r="P193" s="30"/>
      <c r="Q193" s="30"/>
      <c r="R193" s="30"/>
      <c r="S193" s="28" t="str">
        <f t="shared" si="13"/>
        <v/>
      </c>
      <c r="T193" s="28" t="str">
        <f t="shared" si="14"/>
        <v/>
      </c>
      <c r="U193" s="31"/>
      <c r="V193" s="31"/>
      <c r="W193" s="31"/>
      <c r="X193" s="31"/>
      <c r="Y193" s="28" t="str">
        <f t="shared" si="15"/>
        <v/>
      </c>
      <c r="Z193" s="31"/>
      <c r="AA193" s="31"/>
      <c r="AB193" s="31"/>
      <c r="AC193" s="31"/>
      <c r="AD193" s="31"/>
      <c r="AE193" s="31"/>
      <c r="AF193" s="31"/>
      <c r="AG193" s="15" t="s">
        <v>441</v>
      </c>
      <c r="AH193" s="35"/>
      <c r="AI193" s="35"/>
      <c r="AK193"/>
      <c r="AM193" s="56"/>
      <c r="AN193" s="57"/>
      <c r="AO193" s="63" t="str">
        <f>IF($A193="","",IFERROR(_xlfn.XLOOKUP($A193,'2_DOI_Lookup'!$A$2:$A$430,'2_DOI_Lookup'!$B$2:$B$430),"NOT IN SOURCE"))</f>
        <v>10.1016/j.engappai.2025.113545</v>
      </c>
    </row>
    <row r="194" spans="1:41" ht="57" hidden="1" x14ac:dyDescent="0.3">
      <c r="A194" s="26">
        <v>4016</v>
      </c>
      <c r="B194" s="9"/>
      <c r="C194" s="32"/>
      <c r="D194" s="9"/>
      <c r="E194" s="9" t="str">
        <f>IF($A194="","",IFERROR(_xlfn.XLOOKUP($A194,'2_DOI_Lookup'!$D$2:$D$430,'2_DOI_Lookup'!$E$2:$E$430),"TITLE NOT IN SOURCE"))</f>
        <v>Teaching robots to perform quasi-repetitive construction tasks through human demonstration</v>
      </c>
      <c r="F194" s="26" t="s">
        <v>310</v>
      </c>
      <c r="G194" s="27" t="s">
        <v>311</v>
      </c>
      <c r="H194" s="27" t="s">
        <v>312</v>
      </c>
      <c r="I194" s="27" t="s">
        <v>312</v>
      </c>
      <c r="J194" s="27" t="s">
        <v>311</v>
      </c>
      <c r="K194" s="27" t="s">
        <v>311</v>
      </c>
      <c r="L194" s="28" t="str">
        <f t="shared" si="11"/>
        <v>EXCLUDE</v>
      </c>
      <c r="M194" s="28" t="str">
        <f t="shared" si="12"/>
        <v>Digital Twin not core / buzzword</v>
      </c>
      <c r="N194" s="29"/>
      <c r="O194" s="29"/>
      <c r="P194" s="30"/>
      <c r="Q194" s="30"/>
      <c r="R194" s="30"/>
      <c r="S194" s="28" t="str">
        <f t="shared" si="13"/>
        <v/>
      </c>
      <c r="T194" s="28" t="str">
        <f t="shared" si="14"/>
        <v/>
      </c>
      <c r="U194" s="31"/>
      <c r="V194" s="31"/>
      <c r="W194" s="31"/>
      <c r="X194" s="31"/>
      <c r="Y194" s="28" t="str">
        <f t="shared" si="15"/>
        <v/>
      </c>
      <c r="Z194" s="31"/>
      <c r="AA194" s="31"/>
      <c r="AB194" s="31"/>
      <c r="AC194" s="31"/>
      <c r="AD194" s="31"/>
      <c r="AE194" s="31"/>
      <c r="AF194" s="31"/>
      <c r="AG194" s="15" t="s">
        <v>442</v>
      </c>
      <c r="AH194" s="35"/>
      <c r="AI194" s="35"/>
      <c r="AK194"/>
      <c r="AM194" s="56"/>
      <c r="AN194" s="57"/>
      <c r="AO194" s="63" t="str">
        <f>IF($A194="","",IFERROR(_xlfn.XLOOKUP($A194,'2_DOI_Lookup'!$A$2:$A$430,'2_DOI_Lookup'!$B$2:$B$430),"NOT IN SOURCE"))</f>
        <v>10.1016/j.autcon.2020.103370</v>
      </c>
    </row>
    <row r="195" spans="1:41" ht="57" hidden="1" x14ac:dyDescent="0.3">
      <c r="A195" s="26">
        <v>4011</v>
      </c>
      <c r="B195" s="9"/>
      <c r="C195" s="32"/>
      <c r="D195" s="9"/>
      <c r="E195" s="9" t="str">
        <f>IF($A195="","",IFERROR(_xlfn.XLOOKUP($A195,'2_DOI_Lookup'!$D$2:$D$430,'2_DOI_Lookup'!$E$2:$E$430),"TITLE NOT IN SOURCE"))</f>
        <v>Framework for Operational Resilience Management of Critical Infrastructures and Organizations</v>
      </c>
      <c r="F195" s="26" t="s">
        <v>310</v>
      </c>
      <c r="G195" s="27" t="s">
        <v>312</v>
      </c>
      <c r="H195" s="27" t="s">
        <v>311</v>
      </c>
      <c r="I195" s="27" t="s">
        <v>311</v>
      </c>
      <c r="J195" s="27" t="s">
        <v>311</v>
      </c>
      <c r="K195" s="27" t="s">
        <v>311</v>
      </c>
      <c r="L195" s="28" t="str">
        <f t="shared" si="11"/>
        <v>EXCLUDE</v>
      </c>
      <c r="M195" s="28" t="str">
        <f t="shared" si="12"/>
        <v>Wrong domain (non-AECO)</v>
      </c>
      <c r="N195" s="29"/>
      <c r="O195" s="29"/>
      <c r="P195" s="30"/>
      <c r="Q195" s="30"/>
      <c r="R195" s="30"/>
      <c r="S195" s="28" t="str">
        <f t="shared" si="13"/>
        <v/>
      </c>
      <c r="T195" s="28" t="str">
        <f t="shared" si="14"/>
        <v/>
      </c>
      <c r="U195" s="31"/>
      <c r="V195" s="31"/>
      <c r="W195" s="31"/>
      <c r="X195" s="31"/>
      <c r="Y195" s="28" t="str">
        <f t="shared" si="15"/>
        <v/>
      </c>
      <c r="Z195" s="31"/>
      <c r="AA195" s="31"/>
      <c r="AB195" s="31"/>
      <c r="AC195" s="31"/>
      <c r="AD195" s="31"/>
      <c r="AE195" s="31"/>
      <c r="AF195" s="31"/>
      <c r="AG195" s="15" t="s">
        <v>443</v>
      </c>
      <c r="AH195" s="35"/>
      <c r="AI195" s="35"/>
      <c r="AK195"/>
      <c r="AM195" s="56"/>
      <c r="AN195" s="57"/>
      <c r="AO195" s="63" t="str">
        <f>IF($A195="","",IFERROR(_xlfn.XLOOKUP($A195,'2_DOI_Lookup'!$A$2:$A$430,'2_DOI_Lookup'!$B$2:$B$430),"NOT IN SOURCE"))</f>
        <v>10.3390/infrastructures7050070</v>
      </c>
    </row>
    <row r="196" spans="1:41" ht="45.6" hidden="1" x14ac:dyDescent="0.3">
      <c r="A196" s="26">
        <v>3617</v>
      </c>
      <c r="B196" s="9"/>
      <c r="C196" s="32"/>
      <c r="D196" s="9"/>
      <c r="E196" s="9" t="str">
        <f>IF($A196="","",IFERROR(_xlfn.XLOOKUP($A196,'2_DOI_Lookup'!$D$2:$D$430,'2_DOI_Lookup'!$E$2:$E$430),"TITLE NOT IN SOURCE"))</f>
        <v>Review on the Non-Destructive Test (NDT) Approaches on Concrete Crack Mapping Prediction</v>
      </c>
      <c r="F196" s="26" t="s">
        <v>309</v>
      </c>
      <c r="G196" s="27" t="s">
        <v>311</v>
      </c>
      <c r="H196" s="27" t="s">
        <v>312</v>
      </c>
      <c r="I196" s="27" t="s">
        <v>311</v>
      </c>
      <c r="J196" s="27" t="s">
        <v>311</v>
      </c>
      <c r="K196" s="27" t="s">
        <v>311</v>
      </c>
      <c r="L196" s="28" t="str">
        <f t="shared" si="11"/>
        <v>EXCLUDE</v>
      </c>
      <c r="M196" s="28" t="str">
        <f t="shared" si="12"/>
        <v>Digital Twin not core / buzzword</v>
      </c>
      <c r="N196" s="29"/>
      <c r="O196" s="29"/>
      <c r="P196" s="30"/>
      <c r="Q196" s="30"/>
      <c r="R196" s="30"/>
      <c r="S196" s="28" t="str">
        <f t="shared" si="13"/>
        <v/>
      </c>
      <c r="T196" s="28" t="str">
        <f t="shared" si="14"/>
        <v/>
      </c>
      <c r="U196" s="31"/>
      <c r="V196" s="31"/>
      <c r="W196" s="31"/>
      <c r="X196" s="31"/>
      <c r="Y196" s="28" t="str">
        <f t="shared" si="15"/>
        <v/>
      </c>
      <c r="Z196" s="31"/>
      <c r="AA196" s="31"/>
      <c r="AB196" s="31"/>
      <c r="AC196" s="31"/>
      <c r="AD196" s="31"/>
      <c r="AE196" s="31"/>
      <c r="AF196" s="31"/>
      <c r="AG196" s="15" t="s">
        <v>444</v>
      </c>
      <c r="AH196" s="35"/>
      <c r="AI196" s="35"/>
      <c r="AK196"/>
      <c r="AM196" s="56"/>
      <c r="AN196" s="57"/>
      <c r="AO196" s="63" t="str">
        <f>IF($A196="","",IFERROR(_xlfn.XLOOKUP($A196,'2_DOI_Lookup'!$A$2:$A$430,'2_DOI_Lookup'!$B$2:$B$430),"NOT IN SOURCE"))</f>
        <v>10.37934/aram.131.1.172184</v>
      </c>
    </row>
    <row r="197" spans="1:41" ht="57" hidden="1" x14ac:dyDescent="0.3">
      <c r="A197" s="64">
        <v>3510</v>
      </c>
      <c r="B197" s="65"/>
      <c r="C197" s="66"/>
      <c r="D197" s="65"/>
      <c r="E197" s="65" t="str">
        <f>IF($A197="","",IFERROR(_xlfn.XLOOKUP($A197,'2_DOI_Lookup'!$D$2:$D$430,'2_DOI_Lookup'!$E$2:$E$430),"TITLE NOT IN SOURCE"))</f>
        <v>A deep feature fusion network based on multi-scale kernel construction for filling wing stress field data</v>
      </c>
      <c r="F197" s="64" t="s">
        <v>309</v>
      </c>
      <c r="G197" s="67" t="s">
        <v>312</v>
      </c>
      <c r="H197" s="67" t="s">
        <v>312</v>
      </c>
      <c r="I197" s="67" t="s">
        <v>311</v>
      </c>
      <c r="J197" s="67" t="s">
        <v>311</v>
      </c>
      <c r="K197" s="67" t="s">
        <v>312</v>
      </c>
      <c r="L197" s="68" t="str">
        <f t="shared" ref="L197:L260" si="16">IF(COUNTBLANK(G197:K197)=5,"",IF(COUNTIF(G197:K197,"No")&gt;0,"EXCLUDE","INCLUDE"))</f>
        <v>EXCLUDE</v>
      </c>
      <c r="M197" s="68" t="str">
        <f t="shared" ref="M197:M260" si="17">IF(L197&lt;&gt;"EXCLUDE","",IF(G197="No","Wrong domain (non-AECO)",IF(H197="No","Digital Twin not core / buzzword",IF(I197="No","No Design for Safety/Quality/PtD",IF(J197="No","Wrong publication type",IF(K197="No","Non-English",""))))))</f>
        <v>Wrong domain (non-AECO)</v>
      </c>
      <c r="N197" s="69"/>
      <c r="O197" s="69"/>
      <c r="P197" s="70"/>
      <c r="Q197" s="70"/>
      <c r="R197" s="70"/>
      <c r="S197" s="68" t="str">
        <f t="shared" ref="S197:S260" si="18">IF(N197&lt;&gt;"Yes","",IF(COUNTBLANK(P197:R197)=3,"",IF(COUNTIF(P197:R197,"No")&gt;0,"EXCLUDE","INCLUDE")))</f>
        <v/>
      </c>
      <c r="T197" s="68" t="str">
        <f t="shared" ref="T197:T260" si="19">IF(S197&lt;&gt;"EXCLUDE","",IF(P197="No","Digital Twin mentioned only, not the subject",IF(Q197="No","No Design for Safety/Quality in full text",IF(R197="No","Methodology not codable",""))))</f>
        <v/>
      </c>
      <c r="U197" s="71"/>
      <c r="V197" s="71"/>
      <c r="W197" s="71"/>
      <c r="X197" s="71"/>
      <c r="Y197" s="68" t="str">
        <f t="shared" ref="Y197:Y260" si="20">IF(SUM(V197:X197)=0,"",IF(SUM(V197:X197)&gt;=2,"Multi","Single"))</f>
        <v/>
      </c>
      <c r="Z197" s="71"/>
      <c r="AA197" s="71"/>
      <c r="AB197" s="71"/>
      <c r="AC197" s="71"/>
      <c r="AD197" s="71"/>
      <c r="AE197" s="71"/>
      <c r="AF197" s="71"/>
      <c r="AG197" s="72" t="s">
        <v>445</v>
      </c>
      <c r="AH197" s="35"/>
      <c r="AI197" s="35"/>
      <c r="AK197"/>
      <c r="AM197" s="56"/>
      <c r="AN197" s="57"/>
      <c r="AO197" s="63" t="str">
        <f>IF($A197="","",IFERROR(_xlfn.XLOOKUP($A197,'2_DOI_Lookup'!$A$2:$A$430,'2_DOI_Lookup'!$B$2:$B$430),"NOT IN SOURCE"))</f>
        <v>10.7527/S1000-6893.2025.32343</v>
      </c>
    </row>
    <row r="198" spans="1:41" ht="102.6" x14ac:dyDescent="0.3">
      <c r="A198" s="26">
        <v>3899</v>
      </c>
      <c r="B198" s="9" t="s">
        <v>226</v>
      </c>
      <c r="C198" s="32">
        <v>2026</v>
      </c>
      <c r="D198" s="9"/>
      <c r="E198" s="9" t="str">
        <f>IF($A198="","",IFERROR(_xlfn.XLOOKUP($A198,'2_DOI_Lookup'!$D$2:$D$430,'2_DOI_Lookup'!$E$2:$E$430),"TITLE NOT IN SOURCE"))</f>
        <v>Creation and application of a geometric digital twin model for construction of spatial cable structures: A case study</v>
      </c>
      <c r="F198" s="26" t="s">
        <v>310</v>
      </c>
      <c r="G198" s="27" t="s">
        <v>311</v>
      </c>
      <c r="H198" s="27" t="s">
        <v>311</v>
      </c>
      <c r="I198" s="27" t="s">
        <v>311</v>
      </c>
      <c r="J198" s="27" t="s">
        <v>311</v>
      </c>
      <c r="K198" s="27" t="s">
        <v>311</v>
      </c>
      <c r="L198" s="28" t="str">
        <f t="shared" si="16"/>
        <v>INCLUDE</v>
      </c>
      <c r="M198" s="28" t="str">
        <f t="shared" si="17"/>
        <v/>
      </c>
      <c r="N198" s="29" t="s">
        <v>49</v>
      </c>
      <c r="O198" s="29" t="s">
        <v>49</v>
      </c>
      <c r="P198" s="30" t="s">
        <v>49</v>
      </c>
      <c r="Q198" s="30" t="s">
        <v>49</v>
      </c>
      <c r="R198" s="30" t="s">
        <v>49</v>
      </c>
      <c r="S198" s="28" t="str">
        <f t="shared" si="18"/>
        <v>INCLUDE</v>
      </c>
      <c r="T198" s="28" t="str">
        <f t="shared" si="19"/>
        <v/>
      </c>
      <c r="U198" s="31" t="s">
        <v>61</v>
      </c>
      <c r="V198" s="31">
        <v>0</v>
      </c>
      <c r="W198" s="31">
        <v>1</v>
      </c>
      <c r="X198" s="31">
        <v>0</v>
      </c>
      <c r="Y198" s="28" t="str">
        <f t="shared" si="20"/>
        <v>Single</v>
      </c>
      <c r="Z198" s="31" t="s">
        <v>9</v>
      </c>
      <c r="AA198" s="31" t="s">
        <v>53</v>
      </c>
      <c r="AB198" s="31" t="s">
        <v>88</v>
      </c>
      <c r="AC198" s="31" t="s">
        <v>64</v>
      </c>
      <c r="AD198" s="31" t="s">
        <v>72</v>
      </c>
      <c r="AE198" s="31">
        <v>4</v>
      </c>
      <c r="AF198" s="31" t="s">
        <v>57</v>
      </c>
      <c r="AG198" s="15" t="s">
        <v>1338</v>
      </c>
      <c r="AH198" s="97" t="s">
        <v>878</v>
      </c>
      <c r="AI198" s="97" t="s">
        <v>879</v>
      </c>
      <c r="AJ198" s="98" t="s">
        <v>1081</v>
      </c>
      <c r="AK198" s="98" t="s">
        <v>1154</v>
      </c>
      <c r="AL198" s="98" t="s">
        <v>1084</v>
      </c>
      <c r="AM198" s="99" t="s">
        <v>1339</v>
      </c>
      <c r="AN198" s="100" t="s">
        <v>1325</v>
      </c>
      <c r="AO198" s="101" t="str">
        <f>IF($A198="","",IFERROR(_xlfn.XLOOKUP($A198,'2_DOI_Lookup'!$A$2:$A$430,'2_DOI_Lookup'!$B$2:$B$430),"NOT IN SOURCE"))</f>
        <v>10.1007/s11709-026-1301-0</v>
      </c>
    </row>
    <row r="199" spans="1:41" ht="115.2" x14ac:dyDescent="0.3">
      <c r="A199" s="26">
        <v>3974</v>
      </c>
      <c r="B199" s="9" t="s">
        <v>227</v>
      </c>
      <c r="C199" s="32">
        <v>2025</v>
      </c>
      <c r="D199" s="9"/>
      <c r="E199" s="9" t="str">
        <f>IF($A199="","",IFERROR(_xlfn.XLOOKUP($A199,'2_DOI_Lookup'!$D$2:$D$430,'2_DOI_Lookup'!$E$2:$E$430),"TITLE NOT IN SOURCE"))</f>
        <v>Digital twin-enabled safety monitoring system for seamless worker-robot collaboration in construction</v>
      </c>
      <c r="F199" s="26" t="s">
        <v>310</v>
      </c>
      <c r="G199" s="27" t="s">
        <v>311</v>
      </c>
      <c r="H199" s="27" t="s">
        <v>311</v>
      </c>
      <c r="I199" s="27" t="s">
        <v>311</v>
      </c>
      <c r="J199" s="27" t="s">
        <v>311</v>
      </c>
      <c r="K199" s="27" t="s">
        <v>311</v>
      </c>
      <c r="L199" s="28" t="str">
        <f t="shared" si="16"/>
        <v>INCLUDE</v>
      </c>
      <c r="M199" s="28" t="str">
        <f t="shared" si="17"/>
        <v/>
      </c>
      <c r="N199" s="29" t="s">
        <v>49</v>
      </c>
      <c r="O199" s="29" t="s">
        <v>49</v>
      </c>
      <c r="P199" s="30" t="s">
        <v>49</v>
      </c>
      <c r="Q199" s="30" t="s">
        <v>49</v>
      </c>
      <c r="R199" s="30" t="s">
        <v>49</v>
      </c>
      <c r="S199" s="28" t="str">
        <f t="shared" si="18"/>
        <v>INCLUDE</v>
      </c>
      <c r="T199" s="28" t="str">
        <f t="shared" si="19"/>
        <v/>
      </c>
      <c r="U199" s="31" t="s">
        <v>68</v>
      </c>
      <c r="V199" s="31">
        <v>0</v>
      </c>
      <c r="W199" s="31">
        <v>1</v>
      </c>
      <c r="X199" s="31">
        <v>0</v>
      </c>
      <c r="Y199" s="28" t="str">
        <f t="shared" si="20"/>
        <v>Single</v>
      </c>
      <c r="Z199" s="31" t="s">
        <v>9</v>
      </c>
      <c r="AA199" s="31" t="s">
        <v>53</v>
      </c>
      <c r="AB199" s="31" t="s">
        <v>54</v>
      </c>
      <c r="AC199" s="31" t="s">
        <v>64</v>
      </c>
      <c r="AD199" s="31" t="s">
        <v>72</v>
      </c>
      <c r="AE199" s="31">
        <v>4</v>
      </c>
      <c r="AF199" s="31" t="s">
        <v>80</v>
      </c>
      <c r="AG199" s="15" t="s">
        <v>715</v>
      </c>
      <c r="AH199" s="97" t="s">
        <v>880</v>
      </c>
      <c r="AI199" s="97" t="s">
        <v>881</v>
      </c>
      <c r="AJ199" s="98" t="s">
        <v>1081</v>
      </c>
      <c r="AK199" s="98" t="s">
        <v>1155</v>
      </c>
      <c r="AL199" s="98" t="s">
        <v>1083</v>
      </c>
      <c r="AM199" s="99"/>
      <c r="AN199" s="100" t="s">
        <v>1409</v>
      </c>
      <c r="AO199" s="101" t="str">
        <f>IF($A199="","",IFERROR(_xlfn.XLOOKUP($A199,'2_DOI_Lookup'!$A$2:$A$430,'2_DOI_Lookup'!$B$2:$B$430),"NOT IN SOURCE"))</f>
        <v>10.1016/j.autcon.2025.106147</v>
      </c>
    </row>
    <row r="200" spans="1:41" ht="115.2" x14ac:dyDescent="0.3">
      <c r="A200" s="26">
        <v>3945</v>
      </c>
      <c r="B200" s="9" t="s">
        <v>228</v>
      </c>
      <c r="C200" s="32">
        <v>2020</v>
      </c>
      <c r="D200" s="9"/>
      <c r="E200" s="9" t="str">
        <f>IF($A200="","",IFERROR(_xlfn.XLOOKUP($A200,'2_DOI_Lookup'!$D$2:$D$430,'2_DOI_Lookup'!$E$2:$E$430),"TITLE NOT IN SOURCE"))</f>
        <v>Developing WSN/BIM-Based Environmental Monitoring Management System for Parking Garages in Smart Cities</v>
      </c>
      <c r="F200" s="26" t="s">
        <v>310</v>
      </c>
      <c r="G200" s="27" t="s">
        <v>311</v>
      </c>
      <c r="H200" s="27" t="s">
        <v>311</v>
      </c>
      <c r="I200" s="27" t="s">
        <v>311</v>
      </c>
      <c r="J200" s="27" t="s">
        <v>311</v>
      </c>
      <c r="K200" s="27" t="s">
        <v>311</v>
      </c>
      <c r="L200" s="28" t="str">
        <f t="shared" si="16"/>
        <v>INCLUDE</v>
      </c>
      <c r="M200" s="28" t="str">
        <f t="shared" si="17"/>
        <v/>
      </c>
      <c r="N200" s="29" t="s">
        <v>49</v>
      </c>
      <c r="O200" s="29" t="s">
        <v>49</v>
      </c>
      <c r="P200" s="30" t="s">
        <v>49</v>
      </c>
      <c r="Q200" s="30" t="s">
        <v>49</v>
      </c>
      <c r="R200" s="30" t="s">
        <v>49</v>
      </c>
      <c r="S200" s="28" t="str">
        <f t="shared" si="18"/>
        <v>INCLUDE</v>
      </c>
      <c r="T200" s="28" t="str">
        <f t="shared" si="19"/>
        <v/>
      </c>
      <c r="U200" s="31" t="s">
        <v>61</v>
      </c>
      <c r="V200" s="31">
        <v>0</v>
      </c>
      <c r="W200" s="31">
        <v>0</v>
      </c>
      <c r="X200" s="31">
        <v>1</v>
      </c>
      <c r="Y200" s="28" t="str">
        <f t="shared" si="20"/>
        <v>Single</v>
      </c>
      <c r="Z200" s="31" t="s">
        <v>9</v>
      </c>
      <c r="AA200" s="31" t="s">
        <v>53</v>
      </c>
      <c r="AB200" s="31" t="s">
        <v>91</v>
      </c>
      <c r="AC200" s="31" t="s">
        <v>64</v>
      </c>
      <c r="AD200" s="31" t="s">
        <v>72</v>
      </c>
      <c r="AE200" s="31">
        <v>3</v>
      </c>
      <c r="AF200" s="31" t="s">
        <v>66</v>
      </c>
      <c r="AG200" s="15" t="s">
        <v>716</v>
      </c>
      <c r="AH200" s="97" t="s">
        <v>882</v>
      </c>
      <c r="AI200" s="97" t="s">
        <v>883</v>
      </c>
      <c r="AJ200" s="98" t="s">
        <v>1080</v>
      </c>
      <c r="AK200" s="98" t="s">
        <v>1156</v>
      </c>
      <c r="AL200" s="98" t="s">
        <v>1083</v>
      </c>
      <c r="AM200" s="99"/>
      <c r="AN200" s="100" t="s">
        <v>1387</v>
      </c>
      <c r="AO200" s="101" t="str">
        <f>IF($A200="","",IFERROR(_xlfn.XLOOKUP($A200,'2_DOI_Lookup'!$A$2:$A$430,'2_DOI_Lookup'!$B$2:$B$430),"NOT IN SOURCE"))</f>
        <v>10.1061/(ASCE)ME.1943-5479.0000760</v>
      </c>
    </row>
    <row r="201" spans="1:41" ht="68.400000000000006" hidden="1" x14ac:dyDescent="0.3">
      <c r="A201" s="73">
        <v>3990</v>
      </c>
      <c r="B201" s="74"/>
      <c r="C201" s="75"/>
      <c r="D201" s="74"/>
      <c r="E201" s="74" t="str">
        <f>IF($A201="","",IFERROR(_xlfn.XLOOKUP($A201,'2_DOI_Lookup'!$D$2:$D$430,'2_DOI_Lookup'!$E$2:$E$430),"TITLE NOT IN SOURCE"))</f>
        <v>Human-Robot collaboration in construction: Robot design, perception and Interaction, and task allocation and execution</v>
      </c>
      <c r="F201" s="73" t="s">
        <v>310</v>
      </c>
      <c r="G201" s="76" t="s">
        <v>311</v>
      </c>
      <c r="H201" s="76" t="s">
        <v>312</v>
      </c>
      <c r="I201" s="76" t="s">
        <v>311</v>
      </c>
      <c r="J201" s="76" t="s">
        <v>311</v>
      </c>
      <c r="K201" s="76" t="s">
        <v>311</v>
      </c>
      <c r="L201" s="77" t="str">
        <f t="shared" si="16"/>
        <v>EXCLUDE</v>
      </c>
      <c r="M201" s="77" t="str">
        <f t="shared" si="17"/>
        <v>Digital Twin not core / buzzword</v>
      </c>
      <c r="N201" s="78"/>
      <c r="O201" s="78"/>
      <c r="P201" s="79"/>
      <c r="Q201" s="79"/>
      <c r="R201" s="79"/>
      <c r="S201" s="77" t="str">
        <f t="shared" si="18"/>
        <v/>
      </c>
      <c r="T201" s="77" t="str">
        <f t="shared" si="19"/>
        <v/>
      </c>
      <c r="U201" s="80"/>
      <c r="V201" s="80"/>
      <c r="W201" s="80"/>
      <c r="X201" s="80"/>
      <c r="Y201" s="77" t="str">
        <f t="shared" si="20"/>
        <v/>
      </c>
      <c r="Z201" s="80"/>
      <c r="AA201" s="80"/>
      <c r="AB201" s="80"/>
      <c r="AC201" s="80"/>
      <c r="AD201" s="80"/>
      <c r="AE201" s="80"/>
      <c r="AF201" s="80"/>
      <c r="AG201" s="81" t="s">
        <v>446</v>
      </c>
      <c r="AH201" s="35"/>
      <c r="AI201" s="35"/>
      <c r="AK201"/>
      <c r="AM201" s="56"/>
      <c r="AN201" s="57"/>
      <c r="AO201" s="63" t="str">
        <f>IF($A201="","",IFERROR(_xlfn.XLOOKUP($A201,'2_DOI_Lookup'!$A$2:$A$430,'2_DOI_Lookup'!$B$2:$B$430),"NOT IN SOURCE"))</f>
        <v>10.1016/j.aei.2025.103109</v>
      </c>
    </row>
    <row r="202" spans="1:41" ht="45.6" hidden="1" x14ac:dyDescent="0.3">
      <c r="A202" s="26">
        <v>3729</v>
      </c>
      <c r="B202" s="9"/>
      <c r="C202" s="32"/>
      <c r="D202" s="9"/>
      <c r="E202" s="9" t="str">
        <f>IF($A202="","",IFERROR(_xlfn.XLOOKUP($A202,'2_DOI_Lookup'!$D$2:$D$430,'2_DOI_Lookup'!$E$2:$E$430),"TITLE NOT IN SOURCE"))</f>
        <v>Multi-scale evolution mechanism and knowledge construction of a digital twin mimic model</v>
      </c>
      <c r="F202" s="26" t="s">
        <v>309</v>
      </c>
      <c r="G202" s="27" t="s">
        <v>312</v>
      </c>
      <c r="H202" s="27" t="s">
        <v>311</v>
      </c>
      <c r="I202" s="27" t="s">
        <v>311</v>
      </c>
      <c r="J202" s="27" t="s">
        <v>311</v>
      </c>
      <c r="K202" s="27" t="s">
        <v>311</v>
      </c>
      <c r="L202" s="28" t="str">
        <f t="shared" si="16"/>
        <v>EXCLUDE</v>
      </c>
      <c r="M202" s="28" t="str">
        <f t="shared" si="17"/>
        <v>Wrong domain (non-AECO)</v>
      </c>
      <c r="N202" s="29"/>
      <c r="O202" s="29"/>
      <c r="P202" s="30"/>
      <c r="Q202" s="30"/>
      <c r="R202" s="30"/>
      <c r="S202" s="28" t="str">
        <f t="shared" si="18"/>
        <v/>
      </c>
      <c r="T202" s="28" t="str">
        <f t="shared" si="19"/>
        <v/>
      </c>
      <c r="U202" s="31"/>
      <c r="V202" s="31"/>
      <c r="W202" s="31"/>
      <c r="X202" s="31"/>
      <c r="Y202" s="28" t="str">
        <f t="shared" si="20"/>
        <v/>
      </c>
      <c r="Z202" s="31"/>
      <c r="AA202" s="31"/>
      <c r="AB202" s="31"/>
      <c r="AC202" s="31"/>
      <c r="AD202" s="31"/>
      <c r="AE202" s="31"/>
      <c r="AF202" s="31"/>
      <c r="AG202" s="15" t="s">
        <v>447</v>
      </c>
      <c r="AH202" s="35"/>
      <c r="AI202" s="35"/>
      <c r="AK202"/>
      <c r="AM202" s="56"/>
      <c r="AN202" s="57"/>
      <c r="AO202" s="63" t="str">
        <f>IF($A202="","",IFERROR(_xlfn.XLOOKUP($A202,'2_DOI_Lookup'!$A$2:$A$430,'2_DOI_Lookup'!$B$2:$B$430),"NOT IN SOURCE"))</f>
        <v>10.1016/j.rcim.2021.102123</v>
      </c>
    </row>
    <row r="203" spans="1:41" ht="57" hidden="1" x14ac:dyDescent="0.3">
      <c r="A203" s="26">
        <v>3898</v>
      </c>
      <c r="B203" s="9"/>
      <c r="C203" s="32"/>
      <c r="D203" s="9"/>
      <c r="E203" s="9" t="str">
        <f>IF($A203="","",IFERROR(_xlfn.XLOOKUP($A203,'2_DOI_Lookup'!$D$2:$D$430,'2_DOI_Lookup'!$E$2:$E$430),"TITLE NOT IN SOURCE"))</f>
        <v>Supply chain management for modular construction using building information modeling</v>
      </c>
      <c r="F203" s="26" t="s">
        <v>310</v>
      </c>
      <c r="G203" s="27" t="s">
        <v>311</v>
      </c>
      <c r="H203" s="27" t="s">
        <v>311</v>
      </c>
      <c r="I203" s="27" t="s">
        <v>312</v>
      </c>
      <c r="J203" s="27" t="s">
        <v>311</v>
      </c>
      <c r="K203" s="27" t="s">
        <v>311</v>
      </c>
      <c r="L203" s="28" t="str">
        <f t="shared" si="16"/>
        <v>EXCLUDE</v>
      </c>
      <c r="M203" s="28" t="str">
        <f t="shared" si="17"/>
        <v>No Design for Safety/Quality/PtD</v>
      </c>
      <c r="N203" s="29"/>
      <c r="O203" s="29"/>
      <c r="P203" s="30"/>
      <c r="Q203" s="30"/>
      <c r="R203" s="30"/>
      <c r="S203" s="28" t="str">
        <f t="shared" si="18"/>
        <v/>
      </c>
      <c r="T203" s="28" t="str">
        <f t="shared" si="19"/>
        <v/>
      </c>
      <c r="U203" s="31"/>
      <c r="V203" s="31"/>
      <c r="W203" s="31"/>
      <c r="X203" s="31"/>
      <c r="Y203" s="28" t="str">
        <f t="shared" si="20"/>
        <v/>
      </c>
      <c r="Z203" s="31"/>
      <c r="AA203" s="31"/>
      <c r="AB203" s="31"/>
      <c r="AC203" s="31"/>
      <c r="AD203" s="31"/>
      <c r="AE203" s="31"/>
      <c r="AF203" s="31"/>
      <c r="AG203" s="15" t="s">
        <v>448</v>
      </c>
      <c r="AH203" s="35"/>
      <c r="AI203" s="35"/>
      <c r="AK203"/>
      <c r="AM203" s="56"/>
      <c r="AN203" s="57"/>
      <c r="AO203" s="63" t="str">
        <f>IF($A203="","",IFERROR(_xlfn.XLOOKUP($A203,'2_DOI_Lookup'!$A$2:$A$430,'2_DOI_Lookup'!$B$2:$B$430),"NOT IN SOURCE"))</f>
        <v>10.15554/pcij68.5-02</v>
      </c>
    </row>
    <row r="204" spans="1:41" ht="79.8" hidden="1" x14ac:dyDescent="0.3">
      <c r="A204" s="26">
        <v>3514</v>
      </c>
      <c r="B204" s="9"/>
      <c r="C204" s="32"/>
      <c r="D204" s="9"/>
      <c r="E204" s="9" t="str">
        <f>IF($A204="","",IFERROR(_xlfn.XLOOKUP($A204,'2_DOI_Lookup'!$D$2:$D$430,'2_DOI_Lookup'!$E$2:$E$430),"TITLE NOT IN SOURCE"))</f>
        <v>Portal-Frame Piers to Spare Space for Two Piers of Jingkou Double-Track Railway Bridge of Chengdu-Chongqing Middle Line High-Speed Railway</v>
      </c>
      <c r="F204" s="26" t="s">
        <v>309</v>
      </c>
      <c r="G204" s="27" t="s">
        <v>311</v>
      </c>
      <c r="H204" s="27" t="s">
        <v>311</v>
      </c>
      <c r="I204" s="27" t="s">
        <v>311</v>
      </c>
      <c r="J204" s="27" t="s">
        <v>311</v>
      </c>
      <c r="K204" s="27" t="s">
        <v>312</v>
      </c>
      <c r="L204" s="28" t="str">
        <f t="shared" si="16"/>
        <v>EXCLUDE</v>
      </c>
      <c r="M204" s="28" t="str">
        <f t="shared" si="17"/>
        <v>Non-English</v>
      </c>
      <c r="N204" s="29"/>
      <c r="O204" s="29"/>
      <c r="P204" s="30"/>
      <c r="Q204" s="30"/>
      <c r="R204" s="30"/>
      <c r="S204" s="28" t="str">
        <f t="shared" si="18"/>
        <v/>
      </c>
      <c r="T204" s="28" t="str">
        <f t="shared" si="19"/>
        <v/>
      </c>
      <c r="U204" s="31"/>
      <c r="V204" s="31"/>
      <c r="W204" s="31"/>
      <c r="X204" s="31"/>
      <c r="Y204" s="28" t="str">
        <f t="shared" si="20"/>
        <v/>
      </c>
      <c r="Z204" s="31"/>
      <c r="AA204" s="31"/>
      <c r="AB204" s="31"/>
      <c r="AC204" s="31"/>
      <c r="AD204" s="31"/>
      <c r="AE204" s="31"/>
      <c r="AF204" s="31"/>
      <c r="AG204" s="15" t="s">
        <v>449</v>
      </c>
      <c r="AH204" s="35"/>
      <c r="AI204" s="35"/>
      <c r="AK204"/>
      <c r="AM204" s="56"/>
      <c r="AN204" s="57"/>
      <c r="AO204" s="63" t="str">
        <f>IF($A204="","",IFERROR(_xlfn.XLOOKUP($A204,'2_DOI_Lookup'!$A$2:$A$430,'2_DOI_Lookup'!$B$2:$B$430),"NOT IN SOURCE"))</f>
        <v>10.20051/j.issn.1003-4722.2025.06.021</v>
      </c>
    </row>
    <row r="205" spans="1:41" ht="57" hidden="1" x14ac:dyDescent="0.3">
      <c r="A205" s="26">
        <v>3672</v>
      </c>
      <c r="B205" s="9"/>
      <c r="C205" s="32"/>
      <c r="D205" s="9"/>
      <c r="E205" s="9" t="str">
        <f>IF($A205="","",IFERROR(_xlfn.XLOOKUP($A205,'2_DOI_Lookup'!$D$2:$D$430,'2_DOI_Lookup'!$E$2:$E$430),"TITLE NOT IN SOURCE"))</f>
        <v>A digital twin-based framework for simulation and monitoring analysis of floating wind turbine structures</v>
      </c>
      <c r="F205" s="26" t="s">
        <v>309</v>
      </c>
      <c r="G205" s="27" t="s">
        <v>312</v>
      </c>
      <c r="H205" s="27" t="s">
        <v>311</v>
      </c>
      <c r="I205" s="27" t="s">
        <v>311</v>
      </c>
      <c r="J205" s="27" t="s">
        <v>311</v>
      </c>
      <c r="K205" s="27" t="s">
        <v>311</v>
      </c>
      <c r="L205" s="28" t="str">
        <f t="shared" si="16"/>
        <v>EXCLUDE</v>
      </c>
      <c r="M205" s="28" t="str">
        <f t="shared" si="17"/>
        <v>Wrong domain (non-AECO)</v>
      </c>
      <c r="N205" s="29"/>
      <c r="O205" s="29"/>
      <c r="P205" s="30"/>
      <c r="Q205" s="30"/>
      <c r="R205" s="30"/>
      <c r="S205" s="28" t="str">
        <f t="shared" si="18"/>
        <v/>
      </c>
      <c r="T205" s="28" t="str">
        <f t="shared" si="19"/>
        <v/>
      </c>
      <c r="U205" s="31"/>
      <c r="V205" s="31"/>
      <c r="W205" s="31"/>
      <c r="X205" s="31"/>
      <c r="Y205" s="28" t="str">
        <f t="shared" si="20"/>
        <v/>
      </c>
      <c r="Z205" s="31"/>
      <c r="AA205" s="31"/>
      <c r="AB205" s="31"/>
      <c r="AC205" s="31"/>
      <c r="AD205" s="31"/>
      <c r="AE205" s="31"/>
      <c r="AF205" s="31"/>
      <c r="AG205" s="15" t="s">
        <v>450</v>
      </c>
      <c r="AH205" s="35"/>
      <c r="AI205" s="35"/>
      <c r="AK205"/>
      <c r="AM205" s="56"/>
      <c r="AN205" s="57"/>
      <c r="AO205" s="63" t="str">
        <f>IF($A205="","",IFERROR(_xlfn.XLOOKUP($A205,'2_DOI_Lookup'!$A$2:$A$430,'2_DOI_Lookup'!$B$2:$B$430),"NOT IN SOURCE"))</f>
        <v>10.1016/j.oceaneng.2023.115009</v>
      </c>
    </row>
    <row r="206" spans="1:41" ht="57" hidden="1" x14ac:dyDescent="0.3">
      <c r="A206" s="64">
        <v>3879</v>
      </c>
      <c r="B206" s="65"/>
      <c r="C206" s="66"/>
      <c r="D206" s="65"/>
      <c r="E206" s="65" t="str">
        <f>IF($A206="","",IFERROR(_xlfn.XLOOKUP($A206,'2_DOI_Lookup'!$D$2:$D$430,'2_DOI_Lookup'!$E$2:$E$430),"TITLE NOT IN SOURCE"))</f>
        <v>Immersive Technologies-Driven Building Information Modeling (BIM) in the Context of Metaverse</v>
      </c>
      <c r="F206" s="64" t="s">
        <v>310</v>
      </c>
      <c r="G206" s="67" t="s">
        <v>311</v>
      </c>
      <c r="H206" s="67" t="s">
        <v>312</v>
      </c>
      <c r="I206" s="67" t="s">
        <v>312</v>
      </c>
      <c r="J206" s="67" t="s">
        <v>311</v>
      </c>
      <c r="K206" s="67" t="s">
        <v>311</v>
      </c>
      <c r="L206" s="68" t="str">
        <f t="shared" si="16"/>
        <v>EXCLUDE</v>
      </c>
      <c r="M206" s="68" t="str">
        <f t="shared" si="17"/>
        <v>Digital Twin not core / buzzword</v>
      </c>
      <c r="N206" s="69"/>
      <c r="O206" s="69"/>
      <c r="P206" s="70"/>
      <c r="Q206" s="70"/>
      <c r="R206" s="70"/>
      <c r="S206" s="68" t="str">
        <f t="shared" si="18"/>
        <v/>
      </c>
      <c r="T206" s="68" t="str">
        <f t="shared" si="19"/>
        <v/>
      </c>
      <c r="U206" s="71"/>
      <c r="V206" s="71"/>
      <c r="W206" s="71"/>
      <c r="X206" s="71"/>
      <c r="Y206" s="68" t="str">
        <f t="shared" si="20"/>
        <v/>
      </c>
      <c r="Z206" s="71"/>
      <c r="AA206" s="71"/>
      <c r="AB206" s="71"/>
      <c r="AC206" s="71"/>
      <c r="AD206" s="71"/>
      <c r="AE206" s="71"/>
      <c r="AF206" s="71"/>
      <c r="AG206" s="72" t="s">
        <v>451</v>
      </c>
      <c r="AH206" s="35"/>
      <c r="AI206" s="35"/>
      <c r="AK206"/>
      <c r="AM206" s="56"/>
      <c r="AN206" s="57"/>
      <c r="AO206" s="63" t="str">
        <f>IF($A206="","",IFERROR(_xlfn.XLOOKUP($A206,'2_DOI_Lookup'!$A$2:$A$430,'2_DOI_Lookup'!$B$2:$B$430),"NOT IN SOURCE"))</f>
        <v>10.3390/buildings13061559</v>
      </c>
    </row>
    <row r="207" spans="1:41" ht="91.2" x14ac:dyDescent="0.3">
      <c r="A207" s="26">
        <v>3560</v>
      </c>
      <c r="B207" s="9" t="s">
        <v>229</v>
      </c>
      <c r="C207" s="32">
        <v>2022</v>
      </c>
      <c r="D207" s="9"/>
      <c r="E207" s="9" t="str">
        <f>IF($A207="","",IFERROR(_xlfn.XLOOKUP($A207,'2_DOI_Lookup'!$D$2:$D$430,'2_DOI_Lookup'!$E$2:$E$430),"TITLE NOT IN SOURCE"))</f>
        <v>Digital Twin‐Based Risk Control during Prefabricated Building Hoisting Operations</v>
      </c>
      <c r="F207" s="26" t="s">
        <v>309</v>
      </c>
      <c r="G207" s="27" t="s">
        <v>311</v>
      </c>
      <c r="H207" s="27" t="s">
        <v>311</v>
      </c>
      <c r="I207" s="27" t="s">
        <v>311</v>
      </c>
      <c r="J207" s="27" t="s">
        <v>311</v>
      </c>
      <c r="K207" s="27" t="s">
        <v>311</v>
      </c>
      <c r="L207" s="28" t="str">
        <f t="shared" si="16"/>
        <v>INCLUDE</v>
      </c>
      <c r="M207" s="28" t="str">
        <f t="shared" si="17"/>
        <v/>
      </c>
      <c r="N207" s="29" t="s">
        <v>311</v>
      </c>
      <c r="O207" s="29" t="s">
        <v>311</v>
      </c>
      <c r="P207" s="30" t="s">
        <v>311</v>
      </c>
      <c r="Q207" s="30" t="s">
        <v>311</v>
      </c>
      <c r="R207" s="30" t="s">
        <v>311</v>
      </c>
      <c r="S207" s="28" t="str">
        <f t="shared" si="18"/>
        <v>INCLUDE</v>
      </c>
      <c r="T207" s="28" t="str">
        <f t="shared" si="19"/>
        <v/>
      </c>
      <c r="U207" s="31" t="s">
        <v>61</v>
      </c>
      <c r="V207" s="31">
        <v>0</v>
      </c>
      <c r="W207" s="31">
        <v>1</v>
      </c>
      <c r="X207" s="31">
        <v>0</v>
      </c>
      <c r="Y207" s="28" t="str">
        <f t="shared" si="20"/>
        <v>Single</v>
      </c>
      <c r="Z207" s="31" t="s">
        <v>9</v>
      </c>
      <c r="AA207" s="31" t="s">
        <v>53</v>
      </c>
      <c r="AB207" s="31" t="s">
        <v>85</v>
      </c>
      <c r="AC207" s="31" t="s">
        <v>64</v>
      </c>
      <c r="AD207" s="31" t="s">
        <v>72</v>
      </c>
      <c r="AE207" s="31">
        <v>4</v>
      </c>
      <c r="AF207" s="31" t="s">
        <v>84</v>
      </c>
      <c r="AG207" s="15" t="s">
        <v>632</v>
      </c>
      <c r="AH207" s="97" t="s">
        <v>884</v>
      </c>
      <c r="AI207" s="97" t="s">
        <v>885</v>
      </c>
      <c r="AJ207" s="98" t="s">
        <v>1081</v>
      </c>
      <c r="AK207" s="98" t="s">
        <v>1157</v>
      </c>
      <c r="AL207" s="98" t="s">
        <v>1084</v>
      </c>
      <c r="AM207" s="99"/>
      <c r="AN207" s="100" t="s">
        <v>1262</v>
      </c>
      <c r="AO207" s="101" t="str">
        <f>IF($A207="","",IFERROR(_xlfn.XLOOKUP($A207,'2_DOI_Lookup'!$A$2:$A$430,'2_DOI_Lookup'!$B$2:$B$430),"NOT IN SOURCE"))</f>
        <v>10.3390/s22072522</v>
      </c>
    </row>
    <row r="208" spans="1:41" ht="102.6" x14ac:dyDescent="0.3">
      <c r="A208" s="26">
        <v>3602</v>
      </c>
      <c r="B208" s="9" t="s">
        <v>230</v>
      </c>
      <c r="C208" s="32">
        <v>2021</v>
      </c>
      <c r="D208" s="9"/>
      <c r="E208" s="9" t="str">
        <f>IF($A208="","",IFERROR(_xlfn.XLOOKUP($A208,'2_DOI_Lookup'!$D$2:$D$430,'2_DOI_Lookup'!$E$2:$E$430),"TITLE NOT IN SOURCE"))</f>
        <v>Digital twin-based safety risk coupling of prefabricated building hoisting</v>
      </c>
      <c r="F208" s="26" t="s">
        <v>309</v>
      </c>
      <c r="G208" s="27" t="s">
        <v>311</v>
      </c>
      <c r="H208" s="27" t="s">
        <v>311</v>
      </c>
      <c r="I208" s="27" t="s">
        <v>311</v>
      </c>
      <c r="J208" s="27" t="s">
        <v>311</v>
      </c>
      <c r="K208" s="27" t="s">
        <v>311</v>
      </c>
      <c r="L208" s="28" t="str">
        <f t="shared" si="16"/>
        <v>INCLUDE</v>
      </c>
      <c r="M208" s="28" t="str">
        <f t="shared" si="17"/>
        <v/>
      </c>
      <c r="N208" s="29" t="s">
        <v>49</v>
      </c>
      <c r="O208" s="29" t="s">
        <v>49</v>
      </c>
      <c r="P208" s="30" t="s">
        <v>49</v>
      </c>
      <c r="Q208" s="30" t="s">
        <v>49</v>
      </c>
      <c r="R208" s="30" t="s">
        <v>49</v>
      </c>
      <c r="S208" s="28" t="str">
        <f t="shared" si="18"/>
        <v>INCLUDE</v>
      </c>
      <c r="T208" s="28" t="str">
        <f t="shared" si="19"/>
        <v/>
      </c>
      <c r="U208" s="31" t="s">
        <v>61</v>
      </c>
      <c r="V208" s="31">
        <v>0</v>
      </c>
      <c r="W208" s="31">
        <v>1</v>
      </c>
      <c r="X208" s="31">
        <v>0</v>
      </c>
      <c r="Y208" s="28" t="str">
        <f t="shared" si="20"/>
        <v>Single</v>
      </c>
      <c r="Z208" s="31" t="s">
        <v>9</v>
      </c>
      <c r="AA208" s="31" t="s">
        <v>53</v>
      </c>
      <c r="AB208" s="31" t="s">
        <v>90</v>
      </c>
      <c r="AC208" s="31" t="s">
        <v>64</v>
      </c>
      <c r="AD208" s="31" t="s">
        <v>72</v>
      </c>
      <c r="AE208" s="31">
        <v>4</v>
      </c>
      <c r="AF208" s="31" t="s">
        <v>84</v>
      </c>
      <c r="AG208" s="15" t="s">
        <v>717</v>
      </c>
      <c r="AH208" s="97" t="s">
        <v>886</v>
      </c>
      <c r="AI208" s="97" t="s">
        <v>887</v>
      </c>
      <c r="AJ208" s="98" t="s">
        <v>1081</v>
      </c>
      <c r="AK208" s="98" t="s">
        <v>1158</v>
      </c>
      <c r="AL208" s="98" t="s">
        <v>1084</v>
      </c>
      <c r="AM208" s="99"/>
      <c r="AN208" s="100" t="s">
        <v>1271</v>
      </c>
      <c r="AO208" s="101" t="str">
        <f>IF($A208="","",IFERROR(_xlfn.XLOOKUP($A208,'2_DOI_Lookup'!$A$2:$A$430,'2_DOI_Lookup'!$B$2:$B$430),"NOT IN SOURCE"))</f>
        <v>10.3390/s21113583</v>
      </c>
    </row>
    <row r="209" spans="1:41" ht="115.2" x14ac:dyDescent="0.3">
      <c r="A209" s="26">
        <v>3573</v>
      </c>
      <c r="B209" s="61" t="s">
        <v>2320</v>
      </c>
      <c r="C209" s="32">
        <v>2020</v>
      </c>
      <c r="D209" s="9"/>
      <c r="E209" s="9" t="str">
        <f>IF($A209="","",IFERROR(_xlfn.XLOOKUP($A209,'2_DOI_Lookup'!$D$2:$D$430,'2_DOI_Lookup'!$E$2:$E$430),"TITLE NOT IN SOURCE"))</f>
        <v>Intelligent tensioning method for prestressed cables based on digital twins and artificial intelligence</v>
      </c>
      <c r="F209" s="26" t="s">
        <v>309</v>
      </c>
      <c r="G209" s="27" t="s">
        <v>311</v>
      </c>
      <c r="H209" s="27" t="s">
        <v>311</v>
      </c>
      <c r="I209" s="27" t="s">
        <v>311</v>
      </c>
      <c r="J209" s="27" t="s">
        <v>311</v>
      </c>
      <c r="K209" s="27" t="s">
        <v>311</v>
      </c>
      <c r="L209" s="28" t="str">
        <f t="shared" si="16"/>
        <v>INCLUDE</v>
      </c>
      <c r="M209" s="28" t="str">
        <f t="shared" si="17"/>
        <v/>
      </c>
      <c r="N209" s="29" t="s">
        <v>311</v>
      </c>
      <c r="O209" s="29" t="s">
        <v>311</v>
      </c>
      <c r="P209" s="30" t="s">
        <v>311</v>
      </c>
      <c r="Q209" s="30" t="s">
        <v>311</v>
      </c>
      <c r="R209" s="30" t="s">
        <v>311</v>
      </c>
      <c r="S209" s="28" t="str">
        <f t="shared" si="18"/>
        <v>INCLUDE</v>
      </c>
      <c r="T209" s="28" t="str">
        <f t="shared" si="19"/>
        <v/>
      </c>
      <c r="U209" s="31" t="s">
        <v>68</v>
      </c>
      <c r="V209" s="31">
        <v>0</v>
      </c>
      <c r="W209" s="31">
        <v>1</v>
      </c>
      <c r="X209" s="31">
        <v>0</v>
      </c>
      <c r="Y209" s="28" t="str">
        <f t="shared" si="20"/>
        <v>Single</v>
      </c>
      <c r="Z209" s="31" t="s">
        <v>9</v>
      </c>
      <c r="AA209" s="31" t="s">
        <v>53</v>
      </c>
      <c r="AB209" s="31" t="s">
        <v>92</v>
      </c>
      <c r="AC209" s="31" t="s">
        <v>64</v>
      </c>
      <c r="AD209" s="31" t="s">
        <v>1348</v>
      </c>
      <c r="AE209" s="31">
        <v>4</v>
      </c>
      <c r="AF209" s="31" t="s">
        <v>80</v>
      </c>
      <c r="AG209" s="15" t="s">
        <v>633</v>
      </c>
      <c r="AH209" s="97" t="s">
        <v>888</v>
      </c>
      <c r="AI209" s="97" t="s">
        <v>889</v>
      </c>
      <c r="AJ209" s="98" t="s">
        <v>1081</v>
      </c>
      <c r="AK209" s="98" t="s">
        <v>1159</v>
      </c>
      <c r="AL209" s="98" t="s">
        <v>1084</v>
      </c>
      <c r="AM209" s="99" t="s">
        <v>1362</v>
      </c>
      <c r="AN209" s="100" t="s">
        <v>1363</v>
      </c>
      <c r="AO209" s="101" t="str">
        <f>IF($A209="","",IFERROR(_xlfn.XLOOKUP($A209,'2_DOI_Lookup'!$A$2:$A$430,'2_DOI_Lookup'!$B$2:$B$430),"NOT IN SOURCE"))</f>
        <v>10.3390/s20247006</v>
      </c>
    </row>
    <row r="210" spans="1:41" ht="45.6" hidden="1" x14ac:dyDescent="0.3">
      <c r="A210" s="82">
        <v>3749</v>
      </c>
      <c r="B210" s="83"/>
      <c r="C210" s="84"/>
      <c r="D210" s="83"/>
      <c r="E210" s="83" t="str">
        <f>IF($A210="","",IFERROR(_xlfn.XLOOKUP($A210,'2_DOI_Lookup'!$D$2:$D$430,'2_DOI_Lookup'!$E$2:$E$430),"TITLE NOT IN SOURCE"))</f>
        <v>Digital twin modeling method for construction process of assembled building</v>
      </c>
      <c r="F210" s="82" t="s">
        <v>309</v>
      </c>
      <c r="G210" s="85" t="s">
        <v>311</v>
      </c>
      <c r="H210" s="85" t="s">
        <v>311</v>
      </c>
      <c r="I210" s="85" t="s">
        <v>311</v>
      </c>
      <c r="J210" s="85" t="s">
        <v>311</v>
      </c>
      <c r="K210" s="85" t="s">
        <v>312</v>
      </c>
      <c r="L210" s="86" t="str">
        <f t="shared" si="16"/>
        <v>EXCLUDE</v>
      </c>
      <c r="M210" s="86" t="str">
        <f t="shared" si="17"/>
        <v>Non-English</v>
      </c>
      <c r="N210" s="87"/>
      <c r="O210" s="87"/>
      <c r="P210" s="88"/>
      <c r="Q210" s="88"/>
      <c r="R210" s="88"/>
      <c r="S210" s="86" t="str">
        <f t="shared" si="18"/>
        <v/>
      </c>
      <c r="T210" s="86" t="str">
        <f t="shared" si="19"/>
        <v/>
      </c>
      <c r="U210" s="89"/>
      <c r="V210" s="89"/>
      <c r="W210" s="89"/>
      <c r="X210" s="89"/>
      <c r="Y210" s="86" t="str">
        <f t="shared" si="20"/>
        <v/>
      </c>
      <c r="Z210" s="89"/>
      <c r="AA210" s="89"/>
      <c r="AB210" s="89"/>
      <c r="AC210" s="89"/>
      <c r="AD210" s="89"/>
      <c r="AE210" s="89"/>
      <c r="AF210" s="89"/>
      <c r="AG210" s="90" t="s">
        <v>452</v>
      </c>
      <c r="AH210" s="35"/>
      <c r="AI210" s="35"/>
      <c r="AK210"/>
      <c r="AM210" s="56"/>
      <c r="AN210" s="57"/>
      <c r="AO210" s="63" t="str">
        <f>IF($A210="","",IFERROR(_xlfn.XLOOKUP($A210,'2_DOI_Lookup'!$A$2:$A$430,'2_DOI_Lookup'!$B$2:$B$430),"NOT IN SOURCE"))</f>
        <v>10.14006/j.jzjgxb.2020.0475</v>
      </c>
    </row>
    <row r="211" spans="1:41" ht="68.400000000000006" x14ac:dyDescent="0.3">
      <c r="A211" s="26">
        <v>3669</v>
      </c>
      <c r="B211" s="9" t="s">
        <v>229</v>
      </c>
      <c r="C211" s="32">
        <v>2022</v>
      </c>
      <c r="D211" s="9"/>
      <c r="E211" s="9" t="str">
        <f>IF($A211="","",IFERROR(_xlfn.XLOOKUP($A211,'2_DOI_Lookup'!$D$2:$D$430,'2_DOI_Lookup'!$E$2:$E$430),"TITLE NOT IN SOURCE"))</f>
        <v>Digital Twins-Based Impact Response Prediction of Prestressed Steel Structure</v>
      </c>
      <c r="F211" s="26" t="s">
        <v>309</v>
      </c>
      <c r="G211" s="27" t="s">
        <v>311</v>
      </c>
      <c r="H211" s="27" t="s">
        <v>311</v>
      </c>
      <c r="I211" s="27" t="s">
        <v>311</v>
      </c>
      <c r="J211" s="27" t="s">
        <v>311</v>
      </c>
      <c r="K211" s="27" t="s">
        <v>311</v>
      </c>
      <c r="L211" s="28" t="str">
        <f t="shared" si="16"/>
        <v>INCLUDE</v>
      </c>
      <c r="M211" s="28" t="str">
        <f t="shared" si="17"/>
        <v/>
      </c>
      <c r="N211" s="29" t="s">
        <v>311</v>
      </c>
      <c r="O211" s="29" t="s">
        <v>311</v>
      </c>
      <c r="P211" s="30" t="s">
        <v>311</v>
      </c>
      <c r="Q211" s="30" t="s">
        <v>311</v>
      </c>
      <c r="R211" s="30" t="s">
        <v>311</v>
      </c>
      <c r="S211" s="28" t="str">
        <f t="shared" si="18"/>
        <v>INCLUDE</v>
      </c>
      <c r="T211" s="28" t="str">
        <f t="shared" si="19"/>
        <v/>
      </c>
      <c r="U211" s="31" t="s">
        <v>61</v>
      </c>
      <c r="V211" s="31">
        <v>0</v>
      </c>
      <c r="W211" s="31">
        <v>0</v>
      </c>
      <c r="X211" s="31">
        <v>1</v>
      </c>
      <c r="Y211" s="28" t="str">
        <f t="shared" si="20"/>
        <v>Single</v>
      </c>
      <c r="Z211" s="31" t="s">
        <v>9</v>
      </c>
      <c r="AA211" s="31" t="s">
        <v>53</v>
      </c>
      <c r="AB211" s="31" t="s">
        <v>92</v>
      </c>
      <c r="AC211" s="31" t="s">
        <v>64</v>
      </c>
      <c r="AD211" s="31" t="s">
        <v>72</v>
      </c>
      <c r="AE211" s="31">
        <v>4</v>
      </c>
      <c r="AF211" s="31" t="s">
        <v>84</v>
      </c>
      <c r="AG211" s="15" t="s">
        <v>634</v>
      </c>
      <c r="AH211" s="97" t="s">
        <v>890</v>
      </c>
      <c r="AI211" s="97" t="s">
        <v>891</v>
      </c>
      <c r="AJ211" s="98" t="s">
        <v>1080</v>
      </c>
      <c r="AK211" s="98" t="s">
        <v>1160</v>
      </c>
      <c r="AL211" s="98" t="s">
        <v>1084</v>
      </c>
      <c r="AM211" s="99"/>
      <c r="AN211" s="100" t="s">
        <v>1284</v>
      </c>
      <c r="AO211" s="101" t="str">
        <f>IF($A211="","",IFERROR(_xlfn.XLOOKUP($A211,'2_DOI_Lookup'!$A$2:$A$430,'2_DOI_Lookup'!$B$2:$B$430),"NOT IN SOURCE"))</f>
        <v>10.3390/s22041647</v>
      </c>
    </row>
    <row r="212" spans="1:41" ht="102.6" x14ac:dyDescent="0.3">
      <c r="A212" s="26">
        <v>3641</v>
      </c>
      <c r="B212" s="9" t="s">
        <v>231</v>
      </c>
      <c r="C212" s="32">
        <v>2020</v>
      </c>
      <c r="D212" s="9"/>
      <c r="E212" s="9" t="str">
        <f>IF($A212="","",IFERROR(_xlfn.XLOOKUP($A212,'2_DOI_Lookup'!$D$2:$D$430,'2_DOI_Lookup'!$E$2:$E$430),"TITLE NOT IN SOURCE"))</f>
        <v>A framework for an indoor safety management system based on digital twin</v>
      </c>
      <c r="F212" s="26" t="s">
        <v>309</v>
      </c>
      <c r="G212" s="27" t="s">
        <v>311</v>
      </c>
      <c r="H212" s="27" t="s">
        <v>311</v>
      </c>
      <c r="I212" s="27" t="s">
        <v>311</v>
      </c>
      <c r="J212" s="27" t="s">
        <v>311</v>
      </c>
      <c r="K212" s="27" t="s">
        <v>311</v>
      </c>
      <c r="L212" s="28" t="str">
        <f t="shared" si="16"/>
        <v>INCLUDE</v>
      </c>
      <c r="M212" s="28" t="str">
        <f t="shared" si="17"/>
        <v/>
      </c>
      <c r="N212" s="29" t="s">
        <v>49</v>
      </c>
      <c r="O212" s="29" t="s">
        <v>49</v>
      </c>
      <c r="P212" s="30" t="s">
        <v>49</v>
      </c>
      <c r="Q212" s="30" t="s">
        <v>49</v>
      </c>
      <c r="R212" s="30" t="s">
        <v>49</v>
      </c>
      <c r="S212" s="28" t="str">
        <f t="shared" si="18"/>
        <v>INCLUDE</v>
      </c>
      <c r="T212" s="28" t="str">
        <f t="shared" si="19"/>
        <v/>
      </c>
      <c r="U212" s="31" t="s">
        <v>61</v>
      </c>
      <c r="V212" s="31">
        <v>0</v>
      </c>
      <c r="W212" s="31">
        <v>0</v>
      </c>
      <c r="X212" s="31">
        <v>1</v>
      </c>
      <c r="Y212" s="28" t="str">
        <f t="shared" si="20"/>
        <v>Single</v>
      </c>
      <c r="Z212" s="31" t="s">
        <v>9</v>
      </c>
      <c r="AA212" s="31" t="s">
        <v>53</v>
      </c>
      <c r="AB212" s="31" t="s">
        <v>92</v>
      </c>
      <c r="AC212" s="31" t="s">
        <v>64</v>
      </c>
      <c r="AD212" s="31" t="s">
        <v>72</v>
      </c>
      <c r="AE212" s="31">
        <v>4</v>
      </c>
      <c r="AF212" s="31" t="s">
        <v>84</v>
      </c>
      <c r="AG212" s="15" t="s">
        <v>718</v>
      </c>
      <c r="AH212" s="97" t="s">
        <v>892</v>
      </c>
      <c r="AI212" s="97" t="s">
        <v>893</v>
      </c>
      <c r="AJ212" s="98" t="s">
        <v>1081</v>
      </c>
      <c r="AK212" s="98" t="s">
        <v>1161</v>
      </c>
      <c r="AL212" s="98" t="s">
        <v>1083</v>
      </c>
      <c r="AM212" s="99"/>
      <c r="AN212" s="100" t="s">
        <v>1277</v>
      </c>
      <c r="AO212" s="101" t="str">
        <f>IF($A212="","",IFERROR(_xlfn.XLOOKUP($A212,'2_DOI_Lookup'!$A$2:$A$430,'2_DOI_Lookup'!$B$2:$B$430),"NOT IN SOURCE"))</f>
        <v>10.3390/s20205771</v>
      </c>
    </row>
    <row r="213" spans="1:41" ht="57" hidden="1" x14ac:dyDescent="0.3">
      <c r="A213" s="82">
        <v>3676</v>
      </c>
      <c r="B213" s="83"/>
      <c r="C213" s="84"/>
      <c r="D213" s="83"/>
      <c r="E213" s="83" t="str">
        <f>IF($A213="","",IFERROR(_xlfn.XLOOKUP($A213,'2_DOI_Lookup'!$D$2:$D$430,'2_DOI_Lookup'!$E$2:$E$430),"TITLE NOT IN SOURCE"))</f>
        <v>Guidance Method for Earthquake-damaged Building Reinforcement Integrating Digital Twin and Mixed Reality</v>
      </c>
      <c r="F213" s="82" t="s">
        <v>309</v>
      </c>
      <c r="G213" s="85" t="s">
        <v>311</v>
      </c>
      <c r="H213" s="85" t="s">
        <v>311</v>
      </c>
      <c r="I213" s="85" t="s">
        <v>311</v>
      </c>
      <c r="J213" s="85" t="s">
        <v>311</v>
      </c>
      <c r="K213" s="85" t="s">
        <v>312</v>
      </c>
      <c r="L213" s="86" t="str">
        <f t="shared" si="16"/>
        <v>EXCLUDE</v>
      </c>
      <c r="M213" s="86" t="str">
        <f t="shared" si="17"/>
        <v>Non-English</v>
      </c>
      <c r="N213" s="87"/>
      <c r="O213" s="87"/>
      <c r="P213" s="88"/>
      <c r="Q213" s="88"/>
      <c r="R213" s="88"/>
      <c r="S213" s="86" t="str">
        <f t="shared" si="18"/>
        <v/>
      </c>
      <c r="T213" s="86" t="str">
        <f t="shared" si="19"/>
        <v/>
      </c>
      <c r="U213" s="89"/>
      <c r="V213" s="89"/>
      <c r="W213" s="89"/>
      <c r="X213" s="89"/>
      <c r="Y213" s="86" t="str">
        <f t="shared" si="20"/>
        <v/>
      </c>
      <c r="Z213" s="89"/>
      <c r="AA213" s="89"/>
      <c r="AB213" s="89"/>
      <c r="AC213" s="89"/>
      <c r="AD213" s="89"/>
      <c r="AE213" s="89"/>
      <c r="AF213" s="89"/>
      <c r="AG213" s="90" t="s">
        <v>453</v>
      </c>
      <c r="AH213" s="35"/>
      <c r="AI213" s="35"/>
      <c r="AK213"/>
      <c r="AM213" s="56"/>
      <c r="AN213" s="57"/>
      <c r="AO213" s="63" t="str">
        <f>IF($A213="","",IFERROR(_xlfn.XLOOKUP($A213,'2_DOI_Lookup'!$A$2:$A$430,'2_DOI_Lookup'!$B$2:$B$430),"NOT IN SOURCE"))</f>
        <v>10.19815/j.jace.2022.04015</v>
      </c>
    </row>
    <row r="214" spans="1:41" ht="79.8" x14ac:dyDescent="0.3">
      <c r="A214" s="26">
        <v>3969</v>
      </c>
      <c r="B214" s="9" t="s">
        <v>232</v>
      </c>
      <c r="C214" s="32">
        <v>2025</v>
      </c>
      <c r="D214" s="9"/>
      <c r="E214" s="9" t="str">
        <f>IF($A214="","",IFERROR(_xlfn.XLOOKUP($A214,'2_DOI_Lookup'!$D$2:$D$430,'2_DOI_Lookup'!$E$2:$E$430),"TITLE NOT IN SOURCE"))</f>
        <v>Structural safety risk prediction method for terminal building steel roof construction considering spatial and temporal variations</v>
      </c>
      <c r="F214" s="26" t="s">
        <v>310</v>
      </c>
      <c r="G214" s="27" t="s">
        <v>311</v>
      </c>
      <c r="H214" s="27" t="s">
        <v>311</v>
      </c>
      <c r="I214" s="27" t="s">
        <v>311</v>
      </c>
      <c r="J214" s="27" t="s">
        <v>311</v>
      </c>
      <c r="K214" s="27" t="s">
        <v>311</v>
      </c>
      <c r="L214" s="28" t="str">
        <f t="shared" si="16"/>
        <v>INCLUDE</v>
      </c>
      <c r="M214" s="28" t="str">
        <f t="shared" si="17"/>
        <v/>
      </c>
      <c r="N214" s="29" t="s">
        <v>311</v>
      </c>
      <c r="O214" s="29" t="s">
        <v>311</v>
      </c>
      <c r="P214" s="30" t="s">
        <v>311</v>
      </c>
      <c r="Q214" s="30" t="s">
        <v>311</v>
      </c>
      <c r="R214" s="30" t="s">
        <v>311</v>
      </c>
      <c r="S214" s="28" t="str">
        <f t="shared" si="18"/>
        <v>INCLUDE</v>
      </c>
      <c r="T214" s="28" t="str">
        <f t="shared" si="19"/>
        <v/>
      </c>
      <c r="U214" s="31" t="s">
        <v>61</v>
      </c>
      <c r="V214" s="31">
        <v>0</v>
      </c>
      <c r="W214" s="31">
        <v>1</v>
      </c>
      <c r="X214" s="31">
        <v>0</v>
      </c>
      <c r="Y214" s="28" t="str">
        <f t="shared" si="20"/>
        <v>Single</v>
      </c>
      <c r="Z214" s="31" t="s">
        <v>9</v>
      </c>
      <c r="AA214" s="31" t="s">
        <v>53</v>
      </c>
      <c r="AB214" s="31" t="s">
        <v>92</v>
      </c>
      <c r="AC214" s="31" t="s">
        <v>64</v>
      </c>
      <c r="AD214" s="31" t="s">
        <v>72</v>
      </c>
      <c r="AE214" s="31">
        <v>4</v>
      </c>
      <c r="AF214" s="31" t="s">
        <v>84</v>
      </c>
      <c r="AG214" s="15" t="s">
        <v>635</v>
      </c>
      <c r="AH214" s="97" t="s">
        <v>894</v>
      </c>
      <c r="AI214" s="97" t="s">
        <v>895</v>
      </c>
      <c r="AJ214" s="98" t="s">
        <v>1081</v>
      </c>
      <c r="AK214" s="98" t="s">
        <v>1162</v>
      </c>
      <c r="AL214" s="98" t="s">
        <v>1083</v>
      </c>
      <c r="AM214" s="99"/>
      <c r="AN214" s="100" t="s">
        <v>1405</v>
      </c>
      <c r="AO214" s="101" t="str">
        <f>IF($A214="","",IFERROR(_xlfn.XLOOKUP($A214,'2_DOI_Lookup'!$A$2:$A$430,'2_DOI_Lookup'!$B$2:$B$430),"NOT IN SOURCE"))</f>
        <v>10.1016/j.jcsr.2024.109126</v>
      </c>
    </row>
    <row r="215" spans="1:41" ht="91.2" x14ac:dyDescent="0.3">
      <c r="A215" s="26">
        <v>3952</v>
      </c>
      <c r="B215" s="9" t="s">
        <v>232</v>
      </c>
      <c r="C215" s="32">
        <v>2025</v>
      </c>
      <c r="D215" s="9"/>
      <c r="E215" s="9" t="str">
        <f>IF($A215="","",IFERROR(_xlfn.XLOOKUP($A215,'2_DOI_Lookup'!$D$2:$D$430,'2_DOI_Lookup'!$E$2:$E$430),"TITLE NOT IN SOURCE"))</f>
        <v>Intelligent safety control modeling and construction process control of steel mesh frame structures</v>
      </c>
      <c r="F215" s="26" t="s">
        <v>310</v>
      </c>
      <c r="G215" s="27" t="s">
        <v>311</v>
      </c>
      <c r="H215" s="27" t="s">
        <v>311</v>
      </c>
      <c r="I215" s="27" t="s">
        <v>311</v>
      </c>
      <c r="J215" s="27" t="s">
        <v>311</v>
      </c>
      <c r="K215" s="27" t="s">
        <v>311</v>
      </c>
      <c r="L215" s="28" t="str">
        <f t="shared" si="16"/>
        <v>INCLUDE</v>
      </c>
      <c r="M215" s="28" t="str">
        <f t="shared" si="17"/>
        <v/>
      </c>
      <c r="N215" s="29" t="s">
        <v>311</v>
      </c>
      <c r="O215" s="29" t="s">
        <v>311</v>
      </c>
      <c r="P215" s="30" t="s">
        <v>311</v>
      </c>
      <c r="Q215" s="30" t="s">
        <v>311</v>
      </c>
      <c r="R215" s="30" t="s">
        <v>311</v>
      </c>
      <c r="S215" s="28" t="str">
        <f t="shared" si="18"/>
        <v>INCLUDE</v>
      </c>
      <c r="T215" s="28" t="str">
        <f t="shared" si="19"/>
        <v/>
      </c>
      <c r="U215" s="31" t="s">
        <v>61</v>
      </c>
      <c r="V215" s="31">
        <v>0</v>
      </c>
      <c r="W215" s="31">
        <v>1</v>
      </c>
      <c r="X215" s="31">
        <v>0</v>
      </c>
      <c r="Y215" s="28" t="str">
        <f t="shared" si="20"/>
        <v>Single</v>
      </c>
      <c r="Z215" s="31" t="s">
        <v>9</v>
      </c>
      <c r="AA215" s="31" t="s">
        <v>53</v>
      </c>
      <c r="AB215" s="31" t="s">
        <v>92</v>
      </c>
      <c r="AC215" s="31" t="s">
        <v>64</v>
      </c>
      <c r="AD215" s="31" t="s">
        <v>72</v>
      </c>
      <c r="AE215" s="31">
        <v>4</v>
      </c>
      <c r="AF215" s="31" t="s">
        <v>84</v>
      </c>
      <c r="AG215" s="15" t="s">
        <v>636</v>
      </c>
      <c r="AH215" s="97" t="s">
        <v>896</v>
      </c>
      <c r="AI215" s="97" t="s">
        <v>897</v>
      </c>
      <c r="AJ215" s="98" t="s">
        <v>1081</v>
      </c>
      <c r="AK215" s="98" t="s">
        <v>1163</v>
      </c>
      <c r="AL215" s="98" t="s">
        <v>1083</v>
      </c>
      <c r="AM215" s="99"/>
      <c r="AN215" s="100" t="s">
        <v>1396</v>
      </c>
      <c r="AO215" s="101" t="str">
        <f>IF($A215="","",IFERROR(_xlfn.XLOOKUP($A215,'2_DOI_Lookup'!$A$2:$A$430,'2_DOI_Lookup'!$B$2:$B$430),"NOT IN SOURCE"))</f>
        <v>10.1016/j.istruc.2025.109158</v>
      </c>
    </row>
    <row r="216" spans="1:41" ht="68.400000000000006" hidden="1" x14ac:dyDescent="0.3">
      <c r="A216" s="73">
        <v>4013</v>
      </c>
      <c r="B216" s="74"/>
      <c r="C216" s="75"/>
      <c r="D216" s="74"/>
      <c r="E216" s="74" t="str">
        <f>IF($A216="","",IFERROR(_xlfn.XLOOKUP($A216,'2_DOI_Lookup'!$D$2:$D$430,'2_DOI_Lookup'!$E$2:$E$430),"TITLE NOT IN SOURCE"))</f>
        <v>Research progress and trends of intelligent technology construction in large infrastructures: a CiteSpace-based visualization and analysis</v>
      </c>
      <c r="F216" s="73" t="s">
        <v>310</v>
      </c>
      <c r="G216" s="76" t="s">
        <v>311</v>
      </c>
      <c r="H216" s="76" t="s">
        <v>312</v>
      </c>
      <c r="I216" s="76" t="s">
        <v>312</v>
      </c>
      <c r="J216" s="76" t="s">
        <v>311</v>
      </c>
      <c r="K216" s="76" t="s">
        <v>311</v>
      </c>
      <c r="L216" s="77" t="str">
        <f t="shared" si="16"/>
        <v>EXCLUDE</v>
      </c>
      <c r="M216" s="77" t="str">
        <f t="shared" si="17"/>
        <v>Digital Twin not core / buzzword</v>
      </c>
      <c r="N216" s="78"/>
      <c r="O216" s="78"/>
      <c r="P216" s="79"/>
      <c r="Q216" s="79"/>
      <c r="R216" s="79"/>
      <c r="S216" s="77" t="str">
        <f t="shared" si="18"/>
        <v/>
      </c>
      <c r="T216" s="77" t="str">
        <f t="shared" si="19"/>
        <v/>
      </c>
      <c r="U216" s="80"/>
      <c r="V216" s="80"/>
      <c r="W216" s="80"/>
      <c r="X216" s="80"/>
      <c r="Y216" s="77" t="str">
        <f t="shared" si="20"/>
        <v/>
      </c>
      <c r="Z216" s="80"/>
      <c r="AA216" s="80"/>
      <c r="AB216" s="80"/>
      <c r="AC216" s="80"/>
      <c r="AD216" s="80"/>
      <c r="AE216" s="80"/>
      <c r="AF216" s="80"/>
      <c r="AG216" s="81" t="s">
        <v>454</v>
      </c>
      <c r="AH216" s="35"/>
      <c r="AI216" s="35"/>
      <c r="AK216"/>
      <c r="AM216" s="56"/>
      <c r="AN216" s="57"/>
      <c r="AO216" s="63" t="str">
        <f>IF($A216="","",IFERROR(_xlfn.XLOOKUP($A216,'2_DOI_Lookup'!$A$2:$A$430,'2_DOI_Lookup'!$B$2:$B$430),"NOT IN SOURCE"))</f>
        <v>10.1108/ECAM-04-2025-0553</v>
      </c>
    </row>
    <row r="217" spans="1:41" ht="57" hidden="1" x14ac:dyDescent="0.3">
      <c r="A217" s="26">
        <v>3597</v>
      </c>
      <c r="B217" s="9"/>
      <c r="C217" s="32"/>
      <c r="D217" s="9"/>
      <c r="E217" s="9" t="str">
        <f>IF($A217="","",IFERROR(_xlfn.XLOOKUP($A217,'2_DOI_Lookup'!$D$2:$D$430,'2_DOI_Lookup'!$E$2:$E$430),"TITLE NOT IN SOURCE"))</f>
        <v>Intelligent Analysis Method for Prestressed Steel Structure Construction Safety Based on Digital Twin</v>
      </c>
      <c r="F217" s="26" t="s">
        <v>309</v>
      </c>
      <c r="G217" s="27" t="s">
        <v>311</v>
      </c>
      <c r="H217" s="27" t="s">
        <v>311</v>
      </c>
      <c r="I217" s="27" t="s">
        <v>311</v>
      </c>
      <c r="J217" s="27" t="s">
        <v>311</v>
      </c>
      <c r="K217" s="27" t="s">
        <v>312</v>
      </c>
      <c r="L217" s="28" t="str">
        <f t="shared" si="16"/>
        <v>EXCLUDE</v>
      </c>
      <c r="M217" s="28" t="str">
        <f t="shared" si="17"/>
        <v>Non-English</v>
      </c>
      <c r="N217" s="29"/>
      <c r="O217" s="29"/>
      <c r="P217" s="30"/>
      <c r="Q217" s="30"/>
      <c r="R217" s="30"/>
      <c r="S217" s="28" t="str">
        <f t="shared" si="18"/>
        <v/>
      </c>
      <c r="T217" s="28" t="str">
        <f t="shared" si="19"/>
        <v/>
      </c>
      <c r="U217" s="31"/>
      <c r="V217" s="31"/>
      <c r="W217" s="31"/>
      <c r="X217" s="31"/>
      <c r="Y217" s="28" t="str">
        <f t="shared" si="20"/>
        <v/>
      </c>
      <c r="Z217" s="31"/>
      <c r="AA217" s="31"/>
      <c r="AB217" s="31"/>
      <c r="AC217" s="31"/>
      <c r="AD217" s="31"/>
      <c r="AE217" s="31"/>
      <c r="AF217" s="31"/>
      <c r="AG217" s="15" t="s">
        <v>453</v>
      </c>
      <c r="AH217" s="35"/>
      <c r="AI217" s="35"/>
      <c r="AK217"/>
      <c r="AM217" s="56"/>
      <c r="AN217" s="57"/>
      <c r="AO217" s="63" t="str">
        <f>IF($A217="","",IFERROR(_xlfn.XLOOKUP($A217,'2_DOI_Lookup'!$A$2:$A$430,'2_DOI_Lookup'!$B$2:$B$430),"NOT IN SOURCE"))</f>
        <v>10.19815/j.jace.2021.07126</v>
      </c>
    </row>
    <row r="218" spans="1:41" ht="57" hidden="1" x14ac:dyDescent="0.3">
      <c r="A218" s="26">
        <v>3887</v>
      </c>
      <c r="B218" s="9"/>
      <c r="C218" s="32"/>
      <c r="D218" s="9"/>
      <c r="E218" s="9" t="str">
        <f>IF($A218="","",IFERROR(_xlfn.XLOOKUP($A218,'2_DOI_Lookup'!$D$2:$D$430,'2_DOI_Lookup'!$E$2:$E$430),"TITLE NOT IN SOURCE"))</f>
        <v>Electrical Safety Enhanced With BIM, SCADA and Digital Twin Integration: A Case Study of a MV-LV Substation</v>
      </c>
      <c r="F218" s="26" t="s">
        <v>310</v>
      </c>
      <c r="G218" s="27" t="s">
        <v>312</v>
      </c>
      <c r="H218" s="27" t="s">
        <v>311</v>
      </c>
      <c r="I218" s="27" t="s">
        <v>311</v>
      </c>
      <c r="J218" s="27" t="s">
        <v>311</v>
      </c>
      <c r="K218" s="27" t="s">
        <v>311</v>
      </c>
      <c r="L218" s="28" t="str">
        <f t="shared" si="16"/>
        <v>EXCLUDE</v>
      </c>
      <c r="M218" s="28" t="str">
        <f t="shared" si="17"/>
        <v>Wrong domain (non-AECO)</v>
      </c>
      <c r="N218" s="29"/>
      <c r="O218" s="29"/>
      <c r="P218" s="30"/>
      <c r="Q218" s="30"/>
      <c r="R218" s="30"/>
      <c r="S218" s="28" t="str">
        <f t="shared" si="18"/>
        <v/>
      </c>
      <c r="T218" s="28" t="str">
        <f t="shared" si="19"/>
        <v/>
      </c>
      <c r="U218" s="31"/>
      <c r="V218" s="31"/>
      <c r="W218" s="31"/>
      <c r="X218" s="31"/>
      <c r="Y218" s="28" t="str">
        <f t="shared" si="20"/>
        <v/>
      </c>
      <c r="Z218" s="31"/>
      <c r="AA218" s="31"/>
      <c r="AB218" s="31"/>
      <c r="AC218" s="31"/>
      <c r="AD218" s="31"/>
      <c r="AE218" s="31"/>
      <c r="AF218" s="31"/>
      <c r="AG218" s="15" t="s">
        <v>455</v>
      </c>
      <c r="AH218" s="35"/>
      <c r="AI218" s="35"/>
      <c r="AK218"/>
      <c r="AM218" s="56"/>
      <c r="AN218" s="57"/>
      <c r="AO218" s="63" t="str">
        <f>IF($A218="","",IFERROR(_xlfn.XLOOKUP($A218,'2_DOI_Lookup'!$A$2:$A$430,'2_DOI_Lookup'!$B$2:$B$430),"NOT IN SOURCE"))</f>
        <v>10.1109/TIA.2023.3332311</v>
      </c>
    </row>
    <row r="219" spans="1:41" ht="68.400000000000006" hidden="1" x14ac:dyDescent="0.3">
      <c r="A219" s="26">
        <v>3992</v>
      </c>
      <c r="B219" s="9"/>
      <c r="C219" s="32"/>
      <c r="D219" s="9"/>
      <c r="E219" s="9" t="str">
        <f>IF($A219="","",IFERROR(_xlfn.XLOOKUP($A219,'2_DOI_Lookup'!$D$2:$D$430,'2_DOI_Lookup'!$E$2:$E$430),"TITLE NOT IN SOURCE"))</f>
        <v>Developing an integrative framework for digital twin applications in the building construction industry: A systematic literature review</v>
      </c>
      <c r="F219" s="26" t="s">
        <v>310</v>
      </c>
      <c r="G219" s="27" t="s">
        <v>311</v>
      </c>
      <c r="H219" s="27" t="s">
        <v>311</v>
      </c>
      <c r="I219" s="27" t="s">
        <v>312</v>
      </c>
      <c r="J219" s="27" t="s">
        <v>311</v>
      </c>
      <c r="K219" s="27" t="s">
        <v>311</v>
      </c>
      <c r="L219" s="28" t="str">
        <f t="shared" si="16"/>
        <v>EXCLUDE</v>
      </c>
      <c r="M219" s="28" t="str">
        <f t="shared" si="17"/>
        <v>No Design for Safety/Quality/PtD</v>
      </c>
      <c r="N219" s="29"/>
      <c r="O219" s="29"/>
      <c r="P219" s="30"/>
      <c r="Q219" s="30"/>
      <c r="R219" s="30"/>
      <c r="S219" s="28" t="str">
        <f t="shared" si="18"/>
        <v/>
      </c>
      <c r="T219" s="28" t="str">
        <f t="shared" si="19"/>
        <v/>
      </c>
      <c r="U219" s="31"/>
      <c r="V219" s="31"/>
      <c r="W219" s="31"/>
      <c r="X219" s="31"/>
      <c r="Y219" s="28" t="str">
        <f t="shared" si="20"/>
        <v/>
      </c>
      <c r="Z219" s="31"/>
      <c r="AA219" s="31"/>
      <c r="AB219" s="31"/>
      <c r="AC219" s="31"/>
      <c r="AD219" s="31"/>
      <c r="AE219" s="31"/>
      <c r="AF219" s="31"/>
      <c r="AG219" s="15" t="s">
        <v>456</v>
      </c>
      <c r="AH219" s="35"/>
      <c r="AI219" s="35"/>
      <c r="AK219"/>
      <c r="AM219" s="56"/>
      <c r="AN219" s="57"/>
      <c r="AO219" s="63" t="str">
        <f>IF($A219="","",IFERROR(_xlfn.XLOOKUP($A219,'2_DOI_Lookup'!$A$2:$A$430,'2_DOI_Lookup'!$B$2:$B$430),"NOT IN SOURCE"))</f>
        <v>10.1016/j.aei.2023.102346</v>
      </c>
    </row>
    <row r="220" spans="1:41" ht="68.400000000000006" hidden="1" x14ac:dyDescent="0.3">
      <c r="A220" s="26">
        <v>3766</v>
      </c>
      <c r="B220" s="9"/>
      <c r="C220" s="32"/>
      <c r="D220" s="9"/>
      <c r="E220" s="9" t="str">
        <f>IF($A220="","",IFERROR(_xlfn.XLOOKUP($A220,'2_DOI_Lookup'!$D$2:$D$430,'2_DOI_Lookup'!$E$2:$E$430),"TITLE NOT IN SOURCE"))</f>
        <v>Automatic Calibration of Structural Damage in Building Information Modeling Models with Robotic Process Automation</v>
      </c>
      <c r="F220" s="26" t="s">
        <v>309</v>
      </c>
      <c r="G220" s="27" t="s">
        <v>311</v>
      </c>
      <c r="H220" s="27" t="s">
        <v>312</v>
      </c>
      <c r="I220" s="27" t="s">
        <v>311</v>
      </c>
      <c r="J220" s="27" t="s">
        <v>311</v>
      </c>
      <c r="K220" s="27" t="s">
        <v>311</v>
      </c>
      <c r="L220" s="28" t="str">
        <f t="shared" si="16"/>
        <v>EXCLUDE</v>
      </c>
      <c r="M220" s="28" t="str">
        <f t="shared" si="17"/>
        <v>Digital Twin not core / buzzword</v>
      </c>
      <c r="N220" s="29"/>
      <c r="O220" s="29"/>
      <c r="P220" s="30"/>
      <c r="Q220" s="30"/>
      <c r="R220" s="30"/>
      <c r="S220" s="28" t="str">
        <f t="shared" si="18"/>
        <v/>
      </c>
      <c r="T220" s="28" t="str">
        <f t="shared" si="19"/>
        <v/>
      </c>
      <c r="U220" s="31"/>
      <c r="V220" s="31"/>
      <c r="W220" s="31"/>
      <c r="X220" s="31"/>
      <c r="Y220" s="28" t="str">
        <f t="shared" si="20"/>
        <v/>
      </c>
      <c r="Z220" s="31"/>
      <c r="AA220" s="31"/>
      <c r="AB220" s="31"/>
      <c r="AC220" s="31"/>
      <c r="AD220" s="31"/>
      <c r="AE220" s="31"/>
      <c r="AF220" s="31"/>
      <c r="AG220" s="15" t="s">
        <v>457</v>
      </c>
      <c r="AH220" s="35"/>
      <c r="AI220" s="35"/>
      <c r="AK220"/>
      <c r="AM220" s="56"/>
      <c r="AN220" s="57"/>
      <c r="AO220" s="63" t="str">
        <f>IF($A220="","",IFERROR(_xlfn.XLOOKUP($A220,'2_DOI_Lookup'!$A$2:$A$430,'2_DOI_Lookup'!$B$2:$B$430),"NOT IN SOURCE"))</f>
        <v>10.1016/j.eng.2026.04.001</v>
      </c>
    </row>
    <row r="221" spans="1:41" ht="91.2" hidden="1" x14ac:dyDescent="0.3">
      <c r="A221" s="26">
        <v>4006</v>
      </c>
      <c r="B221" s="9"/>
      <c r="C221" s="32"/>
      <c r="D221" s="9"/>
      <c r="E221" s="9" t="str">
        <f>IF($A221="","",IFERROR(_xlfn.XLOOKUP($A221,'2_DOI_Lookup'!$D$2:$D$430,'2_DOI_Lookup'!$E$2:$E$430),"TITLE NOT IN SOURCE"))</f>
        <v>Structural Health Assessment of a Reinforced Concrete Building in Valparaiso Under Seismic and Environmental Shaking: A Foundation for IoT-Driven Digital Twin Systems</v>
      </c>
      <c r="F221" s="26" t="s">
        <v>310</v>
      </c>
      <c r="G221" s="27" t="s">
        <v>311</v>
      </c>
      <c r="H221" s="27" t="s">
        <v>312</v>
      </c>
      <c r="I221" s="27" t="s">
        <v>311</v>
      </c>
      <c r="J221" s="27" t="s">
        <v>311</v>
      </c>
      <c r="K221" s="27" t="s">
        <v>311</v>
      </c>
      <c r="L221" s="28" t="str">
        <f t="shared" si="16"/>
        <v>EXCLUDE</v>
      </c>
      <c r="M221" s="28" t="str">
        <f t="shared" si="17"/>
        <v>Digital Twin not core / buzzword</v>
      </c>
      <c r="N221" s="29"/>
      <c r="O221" s="29"/>
      <c r="P221" s="30"/>
      <c r="Q221" s="30"/>
      <c r="R221" s="30"/>
      <c r="S221" s="28" t="str">
        <f t="shared" si="18"/>
        <v/>
      </c>
      <c r="T221" s="28" t="str">
        <f t="shared" si="19"/>
        <v/>
      </c>
      <c r="U221" s="31"/>
      <c r="V221" s="31"/>
      <c r="W221" s="31"/>
      <c r="X221" s="31"/>
      <c r="Y221" s="28" t="str">
        <f t="shared" si="20"/>
        <v/>
      </c>
      <c r="Z221" s="31"/>
      <c r="AA221" s="31"/>
      <c r="AB221" s="31"/>
      <c r="AC221" s="31"/>
      <c r="AD221" s="31"/>
      <c r="AE221" s="31"/>
      <c r="AF221" s="31"/>
      <c r="AG221" s="15" t="s">
        <v>458</v>
      </c>
      <c r="AH221" s="35"/>
      <c r="AI221" s="35"/>
      <c r="AK221"/>
      <c r="AM221" s="56"/>
      <c r="AN221" s="57"/>
      <c r="AO221" s="63" t="str">
        <f>IF($A221="","",IFERROR(_xlfn.XLOOKUP($A221,'2_DOI_Lookup'!$A$2:$A$430,'2_DOI_Lookup'!$B$2:$B$430),"NOT IN SOURCE"))</f>
        <v>10.3390/app15031202</v>
      </c>
    </row>
    <row r="222" spans="1:41" ht="57" hidden="1" x14ac:dyDescent="0.3">
      <c r="A222" s="64">
        <v>3925</v>
      </c>
      <c r="B222" s="65"/>
      <c r="C222" s="66"/>
      <c r="D222" s="65"/>
      <c r="E222" s="65" t="str">
        <f>IF($A222="","",IFERROR(_xlfn.XLOOKUP($A222,'2_DOI_Lookup'!$D$2:$D$430,'2_DOI_Lookup'!$E$2:$E$430),"TITLE NOT IN SOURCE"))</f>
        <v>An open-source GIS app for digitalising bridge inspections and automating BIM model integration</v>
      </c>
      <c r="F222" s="64" t="s">
        <v>310</v>
      </c>
      <c r="G222" s="67" t="s">
        <v>311</v>
      </c>
      <c r="H222" s="67" t="s">
        <v>312</v>
      </c>
      <c r="I222" s="67" t="s">
        <v>311</v>
      </c>
      <c r="J222" s="67" t="s">
        <v>311</v>
      </c>
      <c r="K222" s="67" t="s">
        <v>311</v>
      </c>
      <c r="L222" s="68" t="str">
        <f t="shared" si="16"/>
        <v>EXCLUDE</v>
      </c>
      <c r="M222" s="68" t="str">
        <f t="shared" si="17"/>
        <v>Digital Twin not core / buzzword</v>
      </c>
      <c r="N222" s="69"/>
      <c r="O222" s="69"/>
      <c r="P222" s="70"/>
      <c r="Q222" s="70"/>
      <c r="R222" s="70"/>
      <c r="S222" s="68" t="str">
        <f t="shared" si="18"/>
        <v/>
      </c>
      <c r="T222" s="68" t="str">
        <f t="shared" si="19"/>
        <v/>
      </c>
      <c r="U222" s="71"/>
      <c r="V222" s="71"/>
      <c r="W222" s="71"/>
      <c r="X222" s="71"/>
      <c r="Y222" s="68" t="str">
        <f t="shared" si="20"/>
        <v/>
      </c>
      <c r="Z222" s="71"/>
      <c r="AA222" s="71"/>
      <c r="AB222" s="71"/>
      <c r="AC222" s="71"/>
      <c r="AD222" s="71"/>
      <c r="AE222" s="71"/>
      <c r="AF222" s="71"/>
      <c r="AG222" s="72" t="s">
        <v>459</v>
      </c>
      <c r="AH222" s="35"/>
      <c r="AI222" s="35"/>
      <c r="AK222"/>
      <c r="AM222" s="56"/>
      <c r="AN222" s="57"/>
      <c r="AO222" s="63" t="str">
        <f>IF($A222="","",IFERROR(_xlfn.XLOOKUP($A222,'2_DOI_Lookup'!$A$2:$A$430,'2_DOI_Lookup'!$B$2:$B$430),"NOT IN SOURCE"))</f>
        <v>10.1080/15732479.2025.2456979</v>
      </c>
    </row>
    <row r="223" spans="1:41" ht="102.6" x14ac:dyDescent="0.3">
      <c r="A223" s="26">
        <v>3606</v>
      </c>
      <c r="B223" s="9" t="s">
        <v>233</v>
      </c>
      <c r="C223" s="32">
        <v>2024</v>
      </c>
      <c r="D223" s="9"/>
      <c r="E223" s="9" t="str">
        <f>IF($A223="","",IFERROR(_xlfn.XLOOKUP($A223,'2_DOI_Lookup'!$D$2:$D$430,'2_DOI_Lookup'!$E$2:$E$430),"TITLE NOT IN SOURCE"))</f>
        <v>Community Twin Ecosystem for Disaster Resilient Communities</v>
      </c>
      <c r="F223" s="26" t="s">
        <v>309</v>
      </c>
      <c r="G223" s="27" t="s">
        <v>311</v>
      </c>
      <c r="H223" s="27" t="s">
        <v>311</v>
      </c>
      <c r="I223" s="27" t="s">
        <v>311</v>
      </c>
      <c r="J223" s="27" t="s">
        <v>311</v>
      </c>
      <c r="K223" s="27" t="s">
        <v>311</v>
      </c>
      <c r="L223" s="28" t="str">
        <f t="shared" si="16"/>
        <v>INCLUDE</v>
      </c>
      <c r="M223" s="28" t="str">
        <f t="shared" si="17"/>
        <v/>
      </c>
      <c r="N223" s="29" t="s">
        <v>49</v>
      </c>
      <c r="O223" s="29" t="s">
        <v>49</v>
      </c>
      <c r="P223" s="30" t="s">
        <v>49</v>
      </c>
      <c r="Q223" s="30" t="s">
        <v>49</v>
      </c>
      <c r="R223" s="30" t="s">
        <v>49</v>
      </c>
      <c r="S223" s="28" t="str">
        <f t="shared" si="18"/>
        <v>INCLUDE</v>
      </c>
      <c r="T223" s="28" t="str">
        <f t="shared" si="19"/>
        <v/>
      </c>
      <c r="U223" s="31" t="s">
        <v>52</v>
      </c>
      <c r="V223" s="31">
        <v>0</v>
      </c>
      <c r="W223" s="31">
        <v>0</v>
      </c>
      <c r="X223" s="31">
        <v>1</v>
      </c>
      <c r="Y223" s="28" t="str">
        <f t="shared" si="20"/>
        <v>Single</v>
      </c>
      <c r="Z223" s="31" t="s">
        <v>9</v>
      </c>
      <c r="AA223" s="31" t="s">
        <v>53</v>
      </c>
      <c r="AB223" s="31" t="s">
        <v>91</v>
      </c>
      <c r="AC223" s="31" t="s">
        <v>64</v>
      </c>
      <c r="AD223" s="31" t="s">
        <v>72</v>
      </c>
      <c r="AE223" s="31">
        <v>3</v>
      </c>
      <c r="AF223" s="31" t="s">
        <v>76</v>
      </c>
      <c r="AG223" s="15" t="s">
        <v>719</v>
      </c>
      <c r="AH223" s="97" t="s">
        <v>898</v>
      </c>
      <c r="AI223" s="97" t="s">
        <v>899</v>
      </c>
      <c r="AJ223" s="98" t="s">
        <v>1080</v>
      </c>
      <c r="AK223" s="98" t="s">
        <v>1164</v>
      </c>
      <c r="AL223" s="98" t="s">
        <v>1084</v>
      </c>
      <c r="AM223" s="99"/>
      <c r="AN223" s="100" t="s">
        <v>1274</v>
      </c>
      <c r="AO223" s="101" t="str">
        <f>IF($A223="","",IFERROR(_xlfn.XLOOKUP($A223,'2_DOI_Lookup'!$A$2:$A$430,'2_DOI_Lookup'!$B$2:$B$430),"NOT IN SOURCE"))</f>
        <v>10.3390/smartcities7060137</v>
      </c>
    </row>
    <row r="224" spans="1:41" ht="57" hidden="1" x14ac:dyDescent="0.3">
      <c r="A224" s="82">
        <v>3698</v>
      </c>
      <c r="B224" s="83"/>
      <c r="C224" s="84"/>
      <c r="D224" s="83"/>
      <c r="E224" s="83" t="str">
        <f>IF($A224="","",IFERROR(_xlfn.XLOOKUP($A224,'2_DOI_Lookup'!$D$2:$D$430,'2_DOI_Lookup'!$E$2:$E$430),"TITLE NOT IN SOURCE"))</f>
        <v>Applications and challenges of digital twin in intelligent construction of transportation infrastructure</v>
      </c>
      <c r="F224" s="82" t="s">
        <v>309</v>
      </c>
      <c r="G224" s="85" t="s">
        <v>311</v>
      </c>
      <c r="H224" s="85" t="s">
        <v>311</v>
      </c>
      <c r="I224" s="85" t="s">
        <v>311</v>
      </c>
      <c r="J224" s="85" t="s">
        <v>311</v>
      </c>
      <c r="K224" s="85" t="s">
        <v>312</v>
      </c>
      <c r="L224" s="86" t="str">
        <f t="shared" si="16"/>
        <v>EXCLUDE</v>
      </c>
      <c r="M224" s="86" t="str">
        <f t="shared" si="17"/>
        <v>Non-English</v>
      </c>
      <c r="N224" s="87"/>
      <c r="O224" s="87"/>
      <c r="P224" s="88"/>
      <c r="Q224" s="88"/>
      <c r="R224" s="88"/>
      <c r="S224" s="86" t="str">
        <f t="shared" si="18"/>
        <v/>
      </c>
      <c r="T224" s="86" t="str">
        <f t="shared" si="19"/>
        <v/>
      </c>
      <c r="U224" s="89"/>
      <c r="V224" s="89"/>
      <c r="W224" s="89"/>
      <c r="X224" s="89"/>
      <c r="Y224" s="86" t="str">
        <f t="shared" si="20"/>
        <v/>
      </c>
      <c r="Z224" s="89"/>
      <c r="AA224" s="89"/>
      <c r="AB224" s="89"/>
      <c r="AC224" s="89"/>
      <c r="AD224" s="89"/>
      <c r="AE224" s="89"/>
      <c r="AF224" s="89"/>
      <c r="AG224" s="90" t="s">
        <v>460</v>
      </c>
      <c r="AH224" s="35"/>
      <c r="AI224" s="35"/>
      <c r="AK224"/>
      <c r="AM224" s="56"/>
      <c r="AN224" s="57"/>
      <c r="AO224" s="63" t="str">
        <f>IF($A224="","",IFERROR(_xlfn.XLOOKUP($A224,'2_DOI_Lookup'!$A$2:$A$430,'2_DOI_Lookup'!$B$2:$B$430),"NOT IN SOURCE"))</f>
        <v>10.19818/j.cnki.1671-1637.2025.03.003</v>
      </c>
    </row>
    <row r="225" spans="1:41" ht="115.2" x14ac:dyDescent="0.3">
      <c r="A225" s="26">
        <v>3894</v>
      </c>
      <c r="B225" s="9" t="s">
        <v>234</v>
      </c>
      <c r="C225" s="32">
        <v>2026</v>
      </c>
      <c r="D225" s="9"/>
      <c r="E225" s="9" t="str">
        <f>IF($A225="","",IFERROR(_xlfn.XLOOKUP($A225,'2_DOI_Lookup'!$D$2:$D$430,'2_DOI_Lookup'!$E$2:$E$430),"TITLE NOT IN SOURCE"))</f>
        <v>Automating digitalization of engineered slopes to support interactive digital twin visualization</v>
      </c>
      <c r="F225" s="26" t="s">
        <v>310</v>
      </c>
      <c r="G225" s="27" t="s">
        <v>311</v>
      </c>
      <c r="H225" s="27" t="s">
        <v>311</v>
      </c>
      <c r="I225" s="27" t="s">
        <v>311</v>
      </c>
      <c r="J225" s="27" t="s">
        <v>311</v>
      </c>
      <c r="K225" s="27" t="s">
        <v>311</v>
      </c>
      <c r="L225" s="28" t="str">
        <f t="shared" si="16"/>
        <v>INCLUDE</v>
      </c>
      <c r="M225" s="28" t="str">
        <f t="shared" si="17"/>
        <v/>
      </c>
      <c r="N225" s="29" t="s">
        <v>311</v>
      </c>
      <c r="O225" s="29" t="s">
        <v>311</v>
      </c>
      <c r="P225" s="30" t="s">
        <v>311</v>
      </c>
      <c r="Q225" s="30" t="s">
        <v>311</v>
      </c>
      <c r="R225" s="30" t="s">
        <v>311</v>
      </c>
      <c r="S225" s="28" t="str">
        <f t="shared" si="18"/>
        <v>INCLUDE</v>
      </c>
      <c r="T225" s="28" t="str">
        <f t="shared" si="19"/>
        <v/>
      </c>
      <c r="U225" s="31" t="s">
        <v>52</v>
      </c>
      <c r="V225" s="31">
        <v>0</v>
      </c>
      <c r="W225" s="31">
        <v>0</v>
      </c>
      <c r="X225" s="31">
        <v>1</v>
      </c>
      <c r="Y225" s="28" t="str">
        <f t="shared" si="20"/>
        <v>Single</v>
      </c>
      <c r="Z225" s="31" t="s">
        <v>9</v>
      </c>
      <c r="AA225" s="31" t="s">
        <v>53</v>
      </c>
      <c r="AB225" s="31" t="s">
        <v>54</v>
      </c>
      <c r="AC225" s="31" t="s">
        <v>55</v>
      </c>
      <c r="AD225" s="31" t="s">
        <v>72</v>
      </c>
      <c r="AE225" s="31">
        <v>4</v>
      </c>
      <c r="AF225" s="31" t="s">
        <v>57</v>
      </c>
      <c r="AG225" s="15" t="s">
        <v>637</v>
      </c>
      <c r="AH225" s="97" t="s">
        <v>900</v>
      </c>
      <c r="AI225" s="97" t="s">
        <v>901</v>
      </c>
      <c r="AJ225" s="98" t="s">
        <v>1078</v>
      </c>
      <c r="AK225" s="115" t="s">
        <v>1165</v>
      </c>
      <c r="AL225" s="98" t="s">
        <v>1083</v>
      </c>
      <c r="AM225" s="99" t="s">
        <v>1323</v>
      </c>
      <c r="AN225" s="100" t="s">
        <v>1322</v>
      </c>
      <c r="AO225" s="101" t="str">
        <f>IF($A225="","",IFERROR(_xlfn.XLOOKUP($A225,'2_DOI_Lookup'!$A$2:$A$430,'2_DOI_Lookup'!$B$2:$B$430),"NOT IN SOURCE"))</f>
        <v>10.1016/j.autcon.2025.106564</v>
      </c>
    </row>
    <row r="226" spans="1:41" ht="34.200000000000003" hidden="1" x14ac:dyDescent="0.3">
      <c r="A226" s="73">
        <v>3638</v>
      </c>
      <c r="B226" s="74"/>
      <c r="C226" s="75"/>
      <c r="D226" s="74"/>
      <c r="E226" s="74" t="str">
        <f>IF($A226="","",IFERROR(_xlfn.XLOOKUP($A226,'2_DOI_Lookup'!$D$2:$D$430,'2_DOI_Lookup'!$E$2:$E$430),"TITLE NOT IN SOURCE"))</f>
        <v>Digital twins for secure thermal energy storage in building</v>
      </c>
      <c r="F226" s="73" t="s">
        <v>309</v>
      </c>
      <c r="G226" s="76" t="s">
        <v>311</v>
      </c>
      <c r="H226" s="76" t="s">
        <v>311</v>
      </c>
      <c r="I226" s="76" t="s">
        <v>312</v>
      </c>
      <c r="J226" s="76" t="s">
        <v>311</v>
      </c>
      <c r="K226" s="76" t="s">
        <v>311</v>
      </c>
      <c r="L226" s="77" t="str">
        <f t="shared" si="16"/>
        <v>EXCLUDE</v>
      </c>
      <c r="M226" s="77" t="str">
        <f t="shared" si="17"/>
        <v>No Design for Safety/Quality/PtD</v>
      </c>
      <c r="N226" s="78"/>
      <c r="O226" s="78"/>
      <c r="P226" s="79"/>
      <c r="Q226" s="79"/>
      <c r="R226" s="79"/>
      <c r="S226" s="77" t="str">
        <f t="shared" si="18"/>
        <v/>
      </c>
      <c r="T226" s="77" t="str">
        <f t="shared" si="19"/>
        <v/>
      </c>
      <c r="U226" s="80"/>
      <c r="V226" s="80"/>
      <c r="W226" s="80"/>
      <c r="X226" s="80"/>
      <c r="Y226" s="77" t="str">
        <f t="shared" si="20"/>
        <v/>
      </c>
      <c r="Z226" s="80"/>
      <c r="AA226" s="80"/>
      <c r="AB226" s="80"/>
      <c r="AC226" s="80"/>
      <c r="AD226" s="80"/>
      <c r="AE226" s="80"/>
      <c r="AF226" s="80"/>
      <c r="AG226" s="81" t="s">
        <v>461</v>
      </c>
      <c r="AH226" s="35"/>
      <c r="AI226" s="35"/>
      <c r="AK226"/>
      <c r="AM226" s="56"/>
      <c r="AN226" s="57"/>
      <c r="AO226" s="63" t="str">
        <f>IF($A226="","",IFERROR(_xlfn.XLOOKUP($A226,'2_DOI_Lookup'!$A$2:$A$430,'2_DOI_Lookup'!$B$2:$B$430),"NOT IN SOURCE"))</f>
        <v>10.1016/j.apenergy.2023.120907</v>
      </c>
    </row>
    <row r="227" spans="1:41" ht="79.8" hidden="1" x14ac:dyDescent="0.3">
      <c r="A227" s="26">
        <v>3688</v>
      </c>
      <c r="B227" s="9"/>
      <c r="C227" s="32"/>
      <c r="D227" s="9"/>
      <c r="E227" s="9" t="str">
        <f>IF($A227="","",IFERROR(_xlfn.XLOOKUP($A227,'2_DOI_Lookup'!$D$2:$D$430,'2_DOI_Lookup'!$E$2:$E$430),"TITLE NOT IN SOURCE"))</f>
        <v>Digital Transformation in Early-Stage MEP Coordination: A Serious Gaming Framework for Sustainable Design and Maintainability at LOD 100–150</v>
      </c>
      <c r="F227" s="26" t="s">
        <v>309</v>
      </c>
      <c r="G227" s="27" t="s">
        <v>311</v>
      </c>
      <c r="H227" s="27" t="s">
        <v>312</v>
      </c>
      <c r="I227" s="27" t="s">
        <v>311</v>
      </c>
      <c r="J227" s="27" t="s">
        <v>311</v>
      </c>
      <c r="K227" s="27" t="s">
        <v>311</v>
      </c>
      <c r="L227" s="28" t="str">
        <f t="shared" si="16"/>
        <v>EXCLUDE</v>
      </c>
      <c r="M227" s="28" t="str">
        <f t="shared" si="17"/>
        <v>Digital Twin not core / buzzword</v>
      </c>
      <c r="N227" s="29"/>
      <c r="O227" s="29"/>
      <c r="P227" s="30"/>
      <c r="Q227" s="30"/>
      <c r="R227" s="30"/>
      <c r="S227" s="28" t="str">
        <f t="shared" si="18"/>
        <v/>
      </c>
      <c r="T227" s="28" t="str">
        <f t="shared" si="19"/>
        <v/>
      </c>
      <c r="U227" s="31"/>
      <c r="V227" s="31"/>
      <c r="W227" s="31"/>
      <c r="X227" s="31"/>
      <c r="Y227" s="28" t="str">
        <f t="shared" si="20"/>
        <v/>
      </c>
      <c r="Z227" s="31"/>
      <c r="AA227" s="31"/>
      <c r="AB227" s="31"/>
      <c r="AC227" s="31"/>
      <c r="AD227" s="31"/>
      <c r="AE227" s="31"/>
      <c r="AF227" s="31"/>
      <c r="AG227" s="15" t="s">
        <v>462</v>
      </c>
      <c r="AH227" s="35"/>
      <c r="AI227" s="35"/>
      <c r="AK227"/>
      <c r="AM227" s="56"/>
      <c r="AN227" s="57"/>
      <c r="AO227" s="63" t="str">
        <f>IF($A227="","",IFERROR(_xlfn.XLOOKUP($A227,'2_DOI_Lookup'!$A$2:$A$430,'2_DOI_Lookup'!$B$2:$B$430),"NOT IN SOURCE"))</f>
        <v>10.3390/buildings16091760</v>
      </c>
    </row>
    <row r="228" spans="1:41" ht="79.8" hidden="1" x14ac:dyDescent="0.3">
      <c r="A228" s="64">
        <v>3995</v>
      </c>
      <c r="B228" s="65"/>
      <c r="C228" s="66"/>
      <c r="D228" s="65"/>
      <c r="E228" s="65" t="str">
        <f>IF($A228="","",IFERROR(_xlfn.XLOOKUP($A228,'2_DOI_Lookup'!$D$2:$D$430,'2_DOI_Lookup'!$E$2:$E$430),"TITLE NOT IN SOURCE"))</f>
        <v>Digital Transformation in Early-Stage MEP Coordination: A Serious Gaming Framework for Sustainable Design and Maintainability at LOD 100-150</v>
      </c>
      <c r="F228" s="64" t="s">
        <v>310</v>
      </c>
      <c r="G228" s="67" t="s">
        <v>311</v>
      </c>
      <c r="H228" s="67" t="s">
        <v>312</v>
      </c>
      <c r="I228" s="67" t="s">
        <v>311</v>
      </c>
      <c r="J228" s="67" t="s">
        <v>311</v>
      </c>
      <c r="K228" s="67" t="s">
        <v>311</v>
      </c>
      <c r="L228" s="68" t="str">
        <f t="shared" si="16"/>
        <v>EXCLUDE</v>
      </c>
      <c r="M228" s="68" t="str">
        <f t="shared" si="17"/>
        <v>Digital Twin not core / buzzword</v>
      </c>
      <c r="N228" s="69"/>
      <c r="O228" s="69"/>
      <c r="P228" s="70"/>
      <c r="Q228" s="70"/>
      <c r="R228" s="70"/>
      <c r="S228" s="68" t="str">
        <f t="shared" si="18"/>
        <v/>
      </c>
      <c r="T228" s="68" t="str">
        <f t="shared" si="19"/>
        <v/>
      </c>
      <c r="U228" s="71"/>
      <c r="V228" s="71"/>
      <c r="W228" s="71"/>
      <c r="X228" s="71"/>
      <c r="Y228" s="68" t="str">
        <f t="shared" si="20"/>
        <v/>
      </c>
      <c r="Z228" s="71"/>
      <c r="AA228" s="71"/>
      <c r="AB228" s="71"/>
      <c r="AC228" s="71"/>
      <c r="AD228" s="71"/>
      <c r="AE228" s="71"/>
      <c r="AF228" s="71"/>
      <c r="AG228" s="72" t="s">
        <v>463</v>
      </c>
      <c r="AH228" s="35"/>
      <c r="AI228" s="35"/>
      <c r="AK228"/>
      <c r="AM228" s="56"/>
      <c r="AN228" s="57"/>
      <c r="AO228" s="63" t="str">
        <f>IF($A228="","",IFERROR(_xlfn.XLOOKUP($A228,'2_DOI_Lookup'!$A$2:$A$430,'2_DOI_Lookup'!$B$2:$B$430),"NOT IN SOURCE"))</f>
        <v>10.3390/buildings16091760</v>
      </c>
    </row>
    <row r="229" spans="1:41" ht="102.6" x14ac:dyDescent="0.3">
      <c r="A229" s="26">
        <v>3986</v>
      </c>
      <c r="B229" s="9" t="s">
        <v>235</v>
      </c>
      <c r="C229" s="32">
        <v>2024</v>
      </c>
      <c r="D229" s="9"/>
      <c r="E229" s="9" t="str">
        <f>IF($A229="","",IFERROR(_xlfn.XLOOKUP($A229,'2_DOI_Lookup'!$D$2:$D$430,'2_DOI_Lookup'!$E$2:$E$430),"TITLE NOT IN SOURCE"))</f>
        <v>Tunnel performance prediction through degradation inspection and digital twin construction</v>
      </c>
      <c r="F229" s="26" t="s">
        <v>310</v>
      </c>
      <c r="G229" s="27" t="s">
        <v>311</v>
      </c>
      <c r="H229" s="27" t="s">
        <v>311</v>
      </c>
      <c r="I229" s="27" t="s">
        <v>311</v>
      </c>
      <c r="J229" s="27" t="s">
        <v>311</v>
      </c>
      <c r="K229" s="27" t="s">
        <v>311</v>
      </c>
      <c r="L229" s="28" t="str">
        <f t="shared" si="16"/>
        <v>INCLUDE</v>
      </c>
      <c r="M229" s="28" t="str">
        <f t="shared" si="17"/>
        <v/>
      </c>
      <c r="N229" s="29" t="s">
        <v>311</v>
      </c>
      <c r="O229" s="29" t="s">
        <v>311</v>
      </c>
      <c r="P229" s="30" t="s">
        <v>311</v>
      </c>
      <c r="Q229" s="30" t="s">
        <v>311</v>
      </c>
      <c r="R229" s="30" t="s">
        <v>311</v>
      </c>
      <c r="S229" s="28" t="str">
        <f t="shared" si="18"/>
        <v>INCLUDE</v>
      </c>
      <c r="T229" s="28" t="str">
        <f t="shared" si="19"/>
        <v/>
      </c>
      <c r="U229" s="31" t="s">
        <v>61</v>
      </c>
      <c r="V229" s="31">
        <v>0</v>
      </c>
      <c r="W229" s="31">
        <v>0</v>
      </c>
      <c r="X229" s="31">
        <v>1</v>
      </c>
      <c r="Y229" s="28" t="str">
        <f t="shared" si="20"/>
        <v>Single</v>
      </c>
      <c r="Z229" s="31" t="s">
        <v>9</v>
      </c>
      <c r="AA229" s="31" t="s">
        <v>53</v>
      </c>
      <c r="AB229" s="31" t="s">
        <v>90</v>
      </c>
      <c r="AC229" s="31" t="s">
        <v>64</v>
      </c>
      <c r="AD229" s="31" t="s">
        <v>72</v>
      </c>
      <c r="AE229" s="31">
        <v>4</v>
      </c>
      <c r="AF229" s="31" t="s">
        <v>86</v>
      </c>
      <c r="AG229" s="15" t="s">
        <v>638</v>
      </c>
      <c r="AH229" s="97" t="s">
        <v>902</v>
      </c>
      <c r="AI229" s="97" t="s">
        <v>903</v>
      </c>
      <c r="AJ229" s="98" t="s">
        <v>1078</v>
      </c>
      <c r="AK229" s="98" t="s">
        <v>1166</v>
      </c>
      <c r="AL229" s="98" t="s">
        <v>1083</v>
      </c>
      <c r="AM229" s="99" t="s">
        <v>1152</v>
      </c>
      <c r="AN229" s="100" t="s">
        <v>1422</v>
      </c>
      <c r="AO229" s="101" t="str">
        <f>IF($A229="","",IFERROR(_xlfn.XLOOKUP($A229,'2_DOI_Lookup'!$A$2:$A$430,'2_DOI_Lookup'!$B$2:$B$430),"NOT IN SOURCE"))</f>
        <v>10.1016/j.tust.2023.105544</v>
      </c>
    </row>
    <row r="230" spans="1:41" ht="79.8" x14ac:dyDescent="0.3">
      <c r="A230" s="26">
        <v>3965</v>
      </c>
      <c r="B230" s="9" t="s">
        <v>236</v>
      </c>
      <c r="C230" s="32">
        <v>2025</v>
      </c>
      <c r="D230" s="9"/>
      <c r="E230" s="9" t="str">
        <f>IF($A230="","",IFERROR(_xlfn.XLOOKUP($A230,'2_DOI_Lookup'!$D$2:$D$430,'2_DOI_Lookup'!$E$2:$E$430),"TITLE NOT IN SOURCE"))</f>
        <v>Automated procedural modeling for tunnel inspection and digital twin development</v>
      </c>
      <c r="F230" s="26" t="s">
        <v>310</v>
      </c>
      <c r="G230" s="27" t="s">
        <v>311</v>
      </c>
      <c r="H230" s="27" t="s">
        <v>311</v>
      </c>
      <c r="I230" s="27" t="s">
        <v>311</v>
      </c>
      <c r="J230" s="27" t="s">
        <v>311</v>
      </c>
      <c r="K230" s="27" t="s">
        <v>311</v>
      </c>
      <c r="L230" s="28" t="str">
        <f t="shared" si="16"/>
        <v>INCLUDE</v>
      </c>
      <c r="M230" s="28" t="str">
        <f t="shared" si="17"/>
        <v/>
      </c>
      <c r="N230" s="29" t="s">
        <v>311</v>
      </c>
      <c r="O230" s="29" t="s">
        <v>311</v>
      </c>
      <c r="P230" s="30" t="s">
        <v>311</v>
      </c>
      <c r="Q230" s="30" t="s">
        <v>311</v>
      </c>
      <c r="R230" s="30" t="s">
        <v>311</v>
      </c>
      <c r="S230" s="28" t="str">
        <f t="shared" si="18"/>
        <v>INCLUDE</v>
      </c>
      <c r="T230" s="28" t="str">
        <f t="shared" si="19"/>
        <v/>
      </c>
      <c r="U230" s="31" t="s">
        <v>52</v>
      </c>
      <c r="V230" s="31">
        <v>0</v>
      </c>
      <c r="W230" s="31">
        <v>0</v>
      </c>
      <c r="X230" s="31">
        <v>1</v>
      </c>
      <c r="Y230" s="28" t="str">
        <f t="shared" si="20"/>
        <v>Single</v>
      </c>
      <c r="Z230" s="31" t="s">
        <v>9</v>
      </c>
      <c r="AA230" s="31" t="s">
        <v>53</v>
      </c>
      <c r="AB230" s="31" t="s">
        <v>92</v>
      </c>
      <c r="AC230" s="31" t="s">
        <v>64</v>
      </c>
      <c r="AD230" s="31" t="s">
        <v>72</v>
      </c>
      <c r="AE230" s="31">
        <v>4</v>
      </c>
      <c r="AF230" s="31" t="s">
        <v>73</v>
      </c>
      <c r="AG230" s="15" t="s">
        <v>639</v>
      </c>
      <c r="AH230" s="97" t="s">
        <v>904</v>
      </c>
      <c r="AI230" s="97" t="s">
        <v>905</v>
      </c>
      <c r="AJ230" s="98" t="s">
        <v>1078</v>
      </c>
      <c r="AK230" s="98" t="s">
        <v>1167</v>
      </c>
      <c r="AL230" s="98" t="s">
        <v>1083</v>
      </c>
      <c r="AM230" s="99" t="s">
        <v>1152</v>
      </c>
      <c r="AN230" s="100" t="s">
        <v>1402</v>
      </c>
      <c r="AO230" s="101" t="str">
        <f>IF($A230="","",IFERROR(_xlfn.XLOOKUP($A230,'2_DOI_Lookup'!$A$2:$A$430,'2_DOI_Lookup'!$B$2:$B$430),"NOT IN SOURCE"))</f>
        <v>10.1016/j.tust.2025.106929</v>
      </c>
    </row>
    <row r="231" spans="1:41" ht="57" hidden="1" x14ac:dyDescent="0.3">
      <c r="A231" s="73">
        <v>3805</v>
      </c>
      <c r="B231" s="74"/>
      <c r="C231" s="75"/>
      <c r="D231" s="74"/>
      <c r="E231" s="74" t="str">
        <f>IF($A231="","",IFERROR(_xlfn.XLOOKUP($A231,'2_DOI_Lookup'!$D$2:$D$430,'2_DOI_Lookup'!$E$2:$E$430),"TITLE NOT IN SOURCE"))</f>
        <v>Assessing the impact of Modbus/TCP protocol attacks on critical infrastructure: WWTP case study</v>
      </c>
      <c r="F231" s="73" t="s">
        <v>309</v>
      </c>
      <c r="G231" s="76" t="s">
        <v>312</v>
      </c>
      <c r="H231" s="76" t="s">
        <v>311</v>
      </c>
      <c r="I231" s="76" t="s">
        <v>312</v>
      </c>
      <c r="J231" s="76" t="s">
        <v>311</v>
      </c>
      <c r="K231" s="76" t="s">
        <v>311</v>
      </c>
      <c r="L231" s="77" t="str">
        <f t="shared" si="16"/>
        <v>EXCLUDE</v>
      </c>
      <c r="M231" s="77" t="str">
        <f t="shared" si="17"/>
        <v>Wrong domain (non-AECO)</v>
      </c>
      <c r="N231" s="78"/>
      <c r="O231" s="78"/>
      <c r="P231" s="79"/>
      <c r="Q231" s="79"/>
      <c r="R231" s="79"/>
      <c r="S231" s="77" t="str">
        <f t="shared" si="18"/>
        <v/>
      </c>
      <c r="T231" s="77" t="str">
        <f t="shared" si="19"/>
        <v/>
      </c>
      <c r="U231" s="80"/>
      <c r="V231" s="80"/>
      <c r="W231" s="80"/>
      <c r="X231" s="80"/>
      <c r="Y231" s="77" t="str">
        <f t="shared" si="20"/>
        <v/>
      </c>
      <c r="Z231" s="80"/>
      <c r="AA231" s="80"/>
      <c r="AB231" s="80"/>
      <c r="AC231" s="80"/>
      <c r="AD231" s="80"/>
      <c r="AE231" s="80"/>
      <c r="AF231" s="80"/>
      <c r="AG231" s="81" t="s">
        <v>464</v>
      </c>
      <c r="AH231" s="35"/>
      <c r="AI231" s="35"/>
      <c r="AK231"/>
      <c r="AM231" s="56"/>
      <c r="AN231" s="57"/>
      <c r="AO231" s="63" t="str">
        <f>IF($A231="","",IFERROR(_xlfn.XLOOKUP($A231,'2_DOI_Lookup'!$A$2:$A$430,'2_DOI_Lookup'!$B$2:$B$430),"NOT IN SOURCE"))</f>
        <v>10.1016/j.compeleceng.2025.110485</v>
      </c>
    </row>
    <row r="232" spans="1:41" ht="57" hidden="1" x14ac:dyDescent="0.3">
      <c r="A232" s="26">
        <v>3715</v>
      </c>
      <c r="B232" s="9"/>
      <c r="C232" s="32"/>
      <c r="D232" s="9"/>
      <c r="E232" s="9" t="str">
        <f>IF($A232="","",IFERROR(_xlfn.XLOOKUP($A232,'2_DOI_Lookup'!$D$2:$D$430,'2_DOI_Lookup'!$E$2:$E$430),"TITLE NOT IN SOURCE"))</f>
        <v>The Internet of Things for Smart Roads: A Road Map From Present to Future Road Infrastructure</v>
      </c>
      <c r="F232" s="26" t="s">
        <v>309</v>
      </c>
      <c r="G232" s="27" t="s">
        <v>312</v>
      </c>
      <c r="H232" s="27" t="s">
        <v>311</v>
      </c>
      <c r="I232" s="27" t="s">
        <v>311</v>
      </c>
      <c r="J232" s="27" t="s">
        <v>311</v>
      </c>
      <c r="K232" s="27" t="s">
        <v>311</v>
      </c>
      <c r="L232" s="28" t="str">
        <f t="shared" si="16"/>
        <v>EXCLUDE</v>
      </c>
      <c r="M232" s="28" t="str">
        <f t="shared" si="17"/>
        <v>Wrong domain (non-AECO)</v>
      </c>
      <c r="N232" s="29"/>
      <c r="O232" s="29"/>
      <c r="P232" s="30"/>
      <c r="Q232" s="30"/>
      <c r="R232" s="30"/>
      <c r="S232" s="28" t="str">
        <f t="shared" si="18"/>
        <v/>
      </c>
      <c r="T232" s="28" t="str">
        <f t="shared" si="19"/>
        <v/>
      </c>
      <c r="U232" s="31"/>
      <c r="V232" s="31"/>
      <c r="W232" s="31"/>
      <c r="X232" s="31"/>
      <c r="Y232" s="28" t="str">
        <f t="shared" si="20"/>
        <v/>
      </c>
      <c r="Z232" s="31"/>
      <c r="AA232" s="31"/>
      <c r="AB232" s="31"/>
      <c r="AC232" s="31"/>
      <c r="AD232" s="31"/>
      <c r="AE232" s="31"/>
      <c r="AF232" s="31"/>
      <c r="AG232" s="15" t="s">
        <v>465</v>
      </c>
      <c r="AH232" s="35"/>
      <c r="AI232" s="35"/>
      <c r="AK232"/>
      <c r="AM232" s="56"/>
      <c r="AN232" s="57"/>
      <c r="AO232" s="63" t="str">
        <f>IF($A232="","",IFERROR(_xlfn.XLOOKUP($A232,'2_DOI_Lookup'!$A$2:$A$430,'2_DOI_Lookup'!$B$2:$B$430),"NOT IN SOURCE"))</f>
        <v>10.1109/MITS.2021.3115126</v>
      </c>
    </row>
    <row r="233" spans="1:41" ht="68.400000000000006" hidden="1" x14ac:dyDescent="0.3">
      <c r="A233" s="26">
        <v>3785</v>
      </c>
      <c r="B233" s="9"/>
      <c r="C233" s="32"/>
      <c r="D233" s="9"/>
      <c r="E233" s="9" t="str">
        <f>IF($A233="","",IFERROR(_xlfn.XLOOKUP($A233,'2_DOI_Lookup'!$D$2:$D$430,'2_DOI_Lookup'!$E$2:$E$430),"TITLE NOT IN SOURCE"))</f>
        <v>A Systematic Survey of Digital Twin Applications: Transferring Knowledge From Automotive and Aviation to Maritime Industry</v>
      </c>
      <c r="F233" s="26" t="s">
        <v>309</v>
      </c>
      <c r="G233" s="27" t="s">
        <v>312</v>
      </c>
      <c r="H233" s="27" t="s">
        <v>311</v>
      </c>
      <c r="I233" s="27" t="s">
        <v>311</v>
      </c>
      <c r="J233" s="27" t="s">
        <v>311</v>
      </c>
      <c r="K233" s="27" t="s">
        <v>311</v>
      </c>
      <c r="L233" s="28" t="str">
        <f t="shared" si="16"/>
        <v>EXCLUDE</v>
      </c>
      <c r="M233" s="28" t="str">
        <f t="shared" si="17"/>
        <v>Wrong domain (non-AECO)</v>
      </c>
      <c r="N233" s="29"/>
      <c r="O233" s="29"/>
      <c r="P233" s="30"/>
      <c r="Q233" s="30"/>
      <c r="R233" s="30"/>
      <c r="S233" s="28" t="str">
        <f t="shared" si="18"/>
        <v/>
      </c>
      <c r="T233" s="28" t="str">
        <f t="shared" si="19"/>
        <v/>
      </c>
      <c r="U233" s="31"/>
      <c r="V233" s="31"/>
      <c r="W233" s="31"/>
      <c r="X233" s="31"/>
      <c r="Y233" s="28" t="str">
        <f t="shared" si="20"/>
        <v/>
      </c>
      <c r="Z233" s="31"/>
      <c r="AA233" s="31"/>
      <c r="AB233" s="31"/>
      <c r="AC233" s="31"/>
      <c r="AD233" s="31"/>
      <c r="AE233" s="31"/>
      <c r="AF233" s="31"/>
      <c r="AG233" s="15" t="s">
        <v>466</v>
      </c>
      <c r="AH233" s="35"/>
      <c r="AI233" s="35"/>
      <c r="AK233"/>
      <c r="AM233" s="56"/>
      <c r="AN233" s="57"/>
      <c r="AO233" s="63" t="str">
        <f>IF($A233="","",IFERROR(_xlfn.XLOOKUP($A233,'2_DOI_Lookup'!$A$2:$A$430,'2_DOI_Lookup'!$B$2:$B$430),"NOT IN SOURCE"))</f>
        <v>10.1109/TITS.2025.3535593</v>
      </c>
    </row>
    <row r="234" spans="1:41" ht="57" hidden="1" x14ac:dyDescent="0.3">
      <c r="A234" s="26">
        <v>3574</v>
      </c>
      <c r="B234" s="9"/>
      <c r="C234" s="32"/>
      <c r="D234" s="9"/>
      <c r="E234" s="9" t="str">
        <f>IF($A234="","",IFERROR(_xlfn.XLOOKUP($A234,'2_DOI_Lookup'!$D$2:$D$430,'2_DOI_Lookup'!$E$2:$E$430),"TITLE NOT IN SOURCE"))</f>
        <v>BIM-Driven Safety: Automated Rule-Based Multihazard Detection and Legal Compliance in High-Rise Construction</v>
      </c>
      <c r="F234" s="26" t="s">
        <v>309</v>
      </c>
      <c r="G234" s="27" t="s">
        <v>311</v>
      </c>
      <c r="H234" s="27" t="s">
        <v>312</v>
      </c>
      <c r="I234" s="27" t="s">
        <v>311</v>
      </c>
      <c r="J234" s="27" t="s">
        <v>311</v>
      </c>
      <c r="K234" s="27" t="s">
        <v>311</v>
      </c>
      <c r="L234" s="28" t="str">
        <f t="shared" si="16"/>
        <v>EXCLUDE</v>
      </c>
      <c r="M234" s="28" t="str">
        <f t="shared" si="17"/>
        <v>Digital Twin not core / buzzword</v>
      </c>
      <c r="N234" s="29"/>
      <c r="O234" s="29"/>
      <c r="P234" s="30"/>
      <c r="Q234" s="30"/>
      <c r="R234" s="30"/>
      <c r="S234" s="28" t="str">
        <f t="shared" si="18"/>
        <v/>
      </c>
      <c r="T234" s="28" t="str">
        <f t="shared" si="19"/>
        <v/>
      </c>
      <c r="U234" s="31"/>
      <c r="V234" s="31"/>
      <c r="W234" s="31"/>
      <c r="X234" s="31"/>
      <c r="Y234" s="28" t="str">
        <f t="shared" si="20"/>
        <v/>
      </c>
      <c r="Z234" s="31"/>
      <c r="AA234" s="31"/>
      <c r="AB234" s="31"/>
      <c r="AC234" s="31"/>
      <c r="AD234" s="31"/>
      <c r="AE234" s="31"/>
      <c r="AF234" s="31"/>
      <c r="AG234" s="15" t="s">
        <v>467</v>
      </c>
      <c r="AH234" s="35"/>
      <c r="AI234" s="35"/>
      <c r="AK234"/>
      <c r="AM234" s="56"/>
      <c r="AN234" s="57"/>
      <c r="AO234" s="63" t="str">
        <f>IF($A234="","",IFERROR(_xlfn.XLOOKUP($A234,'2_DOI_Lookup'!$A$2:$A$430,'2_DOI_Lookup'!$B$2:$B$430),"NOT IN SOURCE"))</f>
        <v>10.1061/JLADAH.LADR-1409</v>
      </c>
    </row>
    <row r="235" spans="1:41" ht="79.8" hidden="1" x14ac:dyDescent="0.3">
      <c r="A235" s="26">
        <v>3496</v>
      </c>
      <c r="B235" s="9"/>
      <c r="C235" s="32"/>
      <c r="D235" s="9"/>
      <c r="E235" s="9" t="str">
        <f>IF($A235="","",IFERROR(_xlfn.XLOOKUP($A235,'2_DOI_Lookup'!$D$2:$D$430,'2_DOI_Lookup'!$E$2:$E$430),"TITLE NOT IN SOURCE"))</f>
        <v>Roads Infrastructure Digital Twin: Advancing Situational Awareness Through Bandwidth-Aware 360° Video Streaming and Multi-View Clustering</v>
      </c>
      <c r="F235" s="26" t="s">
        <v>309</v>
      </c>
      <c r="G235" s="27" t="s">
        <v>312</v>
      </c>
      <c r="H235" s="27" t="s">
        <v>311</v>
      </c>
      <c r="I235" s="27" t="s">
        <v>312</v>
      </c>
      <c r="J235" s="27" t="s">
        <v>311</v>
      </c>
      <c r="K235" s="27" t="s">
        <v>311</v>
      </c>
      <c r="L235" s="28" t="str">
        <f t="shared" si="16"/>
        <v>EXCLUDE</v>
      </c>
      <c r="M235" s="28" t="str">
        <f t="shared" si="17"/>
        <v>Wrong domain (non-AECO)</v>
      </c>
      <c r="N235" s="29"/>
      <c r="O235" s="29"/>
      <c r="P235" s="30"/>
      <c r="Q235" s="30"/>
      <c r="R235" s="30"/>
      <c r="S235" s="28" t="str">
        <f t="shared" si="18"/>
        <v/>
      </c>
      <c r="T235" s="28" t="str">
        <f t="shared" si="19"/>
        <v/>
      </c>
      <c r="U235" s="31"/>
      <c r="V235" s="31"/>
      <c r="W235" s="31"/>
      <c r="X235" s="31"/>
      <c r="Y235" s="28" t="str">
        <f t="shared" si="20"/>
        <v/>
      </c>
      <c r="Z235" s="31"/>
      <c r="AA235" s="31"/>
      <c r="AB235" s="31"/>
      <c r="AC235" s="31"/>
      <c r="AD235" s="31"/>
      <c r="AE235" s="31"/>
      <c r="AF235" s="31"/>
      <c r="AG235" s="15" t="s">
        <v>468</v>
      </c>
      <c r="AH235" s="35"/>
      <c r="AI235" s="35"/>
      <c r="AK235"/>
      <c r="AM235" s="56"/>
      <c r="AN235" s="57"/>
      <c r="AO235" s="63" t="str">
        <f>IF($A235="","",IFERROR(_xlfn.XLOOKUP($A235,'2_DOI_Lookup'!$A$2:$A$430,'2_DOI_Lookup'!$B$2:$B$430),"NOT IN SOURCE"))</f>
        <v>10.1109/OJVT.2025.3572405</v>
      </c>
    </row>
    <row r="236" spans="1:41" ht="79.8" hidden="1" x14ac:dyDescent="0.3">
      <c r="A236" s="26">
        <v>3799</v>
      </c>
      <c r="B236" s="9"/>
      <c r="C236" s="32"/>
      <c r="D236" s="9"/>
      <c r="E236" s="9" t="str">
        <f>IF($A236="","",IFERROR(_xlfn.XLOOKUP($A236,'2_DOI_Lookup'!$D$2:$D$430,'2_DOI_Lookup'!$E$2:$E$430),"TITLE NOT IN SOURCE"))</f>
        <v>Integrating Advanced Technologies for Environmental Valuation in Legacy Mining Sites: The Role of Digital Twins at Lavrion Technological and Cultural Park</v>
      </c>
      <c r="F236" s="26" t="s">
        <v>309</v>
      </c>
      <c r="G236" s="27" t="s">
        <v>312</v>
      </c>
      <c r="H236" s="27" t="s">
        <v>311</v>
      </c>
      <c r="I236" s="27" t="s">
        <v>311</v>
      </c>
      <c r="J236" s="27" t="s">
        <v>311</v>
      </c>
      <c r="K236" s="27" t="s">
        <v>311</v>
      </c>
      <c r="L236" s="28" t="str">
        <f t="shared" si="16"/>
        <v>EXCLUDE</v>
      </c>
      <c r="M236" s="28" t="str">
        <f t="shared" si="17"/>
        <v>Wrong domain (non-AECO)</v>
      </c>
      <c r="N236" s="29"/>
      <c r="O236" s="29"/>
      <c r="P236" s="30"/>
      <c r="Q236" s="30"/>
      <c r="R236" s="30"/>
      <c r="S236" s="28" t="str">
        <f t="shared" si="18"/>
        <v/>
      </c>
      <c r="T236" s="28" t="str">
        <f t="shared" si="19"/>
        <v/>
      </c>
      <c r="U236" s="31"/>
      <c r="V236" s="31"/>
      <c r="W236" s="31"/>
      <c r="X236" s="31"/>
      <c r="Y236" s="28" t="str">
        <f t="shared" si="20"/>
        <v/>
      </c>
      <c r="Z236" s="31"/>
      <c r="AA236" s="31"/>
      <c r="AB236" s="31"/>
      <c r="AC236" s="31"/>
      <c r="AD236" s="31"/>
      <c r="AE236" s="31"/>
      <c r="AF236" s="31"/>
      <c r="AG236" s="15" t="s">
        <v>469</v>
      </c>
      <c r="AH236" s="35"/>
      <c r="AI236" s="35"/>
      <c r="AK236"/>
      <c r="AM236" s="56"/>
      <c r="AN236" s="57"/>
      <c r="AO236" s="63" t="str">
        <f>IF($A236="","",IFERROR(_xlfn.XLOOKUP($A236,'2_DOI_Lookup'!$A$2:$A$430,'2_DOI_Lookup'!$B$2:$B$430),"NOT IN SOURCE"))</f>
        <v>10.3390/s25195941</v>
      </c>
    </row>
    <row r="237" spans="1:41" ht="57" hidden="1" x14ac:dyDescent="0.3">
      <c r="A237" s="26">
        <v>3847</v>
      </c>
      <c r="B237" s="9"/>
      <c r="C237" s="32"/>
      <c r="D237" s="9"/>
      <c r="E237" s="9" t="str">
        <f>IF($A237="","",IFERROR(_xlfn.XLOOKUP($A237,'2_DOI_Lookup'!$D$2:$D$430,'2_DOI_Lookup'!$E$2:$E$430),"TITLE NOT IN SOURCE"))</f>
        <v>A Hybrid Methodology to Assess Cyber Resilience of IoT in Energy Management and Connected Sites</v>
      </c>
      <c r="F237" s="26" t="s">
        <v>309</v>
      </c>
      <c r="G237" s="27" t="s">
        <v>312</v>
      </c>
      <c r="H237" s="27" t="s">
        <v>311</v>
      </c>
      <c r="I237" s="27" t="s">
        <v>312</v>
      </c>
      <c r="J237" s="27" t="s">
        <v>311</v>
      </c>
      <c r="K237" s="27" t="s">
        <v>311</v>
      </c>
      <c r="L237" s="28" t="str">
        <f t="shared" si="16"/>
        <v>EXCLUDE</v>
      </c>
      <c r="M237" s="28" t="str">
        <f t="shared" si="17"/>
        <v>Wrong domain (non-AECO)</v>
      </c>
      <c r="N237" s="29"/>
      <c r="O237" s="29"/>
      <c r="P237" s="30"/>
      <c r="Q237" s="30"/>
      <c r="R237" s="30"/>
      <c r="S237" s="28" t="str">
        <f t="shared" si="18"/>
        <v/>
      </c>
      <c r="T237" s="28" t="str">
        <f t="shared" si="19"/>
        <v/>
      </c>
      <c r="U237" s="31"/>
      <c r="V237" s="31"/>
      <c r="W237" s="31"/>
      <c r="X237" s="31"/>
      <c r="Y237" s="28" t="str">
        <f t="shared" si="20"/>
        <v/>
      </c>
      <c r="Z237" s="31"/>
      <c r="AA237" s="31"/>
      <c r="AB237" s="31"/>
      <c r="AC237" s="31"/>
      <c r="AD237" s="31"/>
      <c r="AE237" s="31"/>
      <c r="AF237" s="31"/>
      <c r="AG237" s="15" t="s">
        <v>470</v>
      </c>
      <c r="AH237" s="35"/>
      <c r="AI237" s="35"/>
      <c r="AK237"/>
      <c r="AM237" s="56"/>
      <c r="AN237" s="57"/>
      <c r="AO237" s="63" t="str">
        <f>IF($A237="","",IFERROR(_xlfn.XLOOKUP($A237,'2_DOI_Lookup'!$A$2:$A$430,'2_DOI_Lookup'!$B$2:$B$430),"NOT IN SOURCE"))</f>
        <v>10.3390/s23218720</v>
      </c>
    </row>
    <row r="238" spans="1:41" ht="57" hidden="1" x14ac:dyDescent="0.3">
      <c r="A238" s="64">
        <v>3862</v>
      </c>
      <c r="B238" s="65"/>
      <c r="C238" s="66"/>
      <c r="D238" s="65"/>
      <c r="E238" s="65" t="str">
        <f>IF($A238="","",IFERROR(_xlfn.XLOOKUP($A238,'2_DOI_Lookup'!$D$2:$D$430,'2_DOI_Lookup'!$E$2:$E$430),"TITLE NOT IN SOURCE"))</f>
        <v>Reliability Analysis of Micropile-Supported Deep Excavations Using Multivariate Adaptive Regression Splines</v>
      </c>
      <c r="F238" s="64" t="s">
        <v>309</v>
      </c>
      <c r="G238" s="67" t="s">
        <v>311</v>
      </c>
      <c r="H238" s="67" t="s">
        <v>312</v>
      </c>
      <c r="I238" s="67" t="s">
        <v>311</v>
      </c>
      <c r="J238" s="67" t="s">
        <v>311</v>
      </c>
      <c r="K238" s="67" t="s">
        <v>311</v>
      </c>
      <c r="L238" s="68" t="str">
        <f t="shared" si="16"/>
        <v>EXCLUDE</v>
      </c>
      <c r="M238" s="68" t="str">
        <f t="shared" si="17"/>
        <v>Digital Twin not core / buzzword</v>
      </c>
      <c r="N238" s="69"/>
      <c r="O238" s="69"/>
      <c r="P238" s="70"/>
      <c r="Q238" s="70"/>
      <c r="R238" s="70"/>
      <c r="S238" s="68" t="str">
        <f t="shared" si="18"/>
        <v/>
      </c>
      <c r="T238" s="68" t="str">
        <f t="shared" si="19"/>
        <v/>
      </c>
      <c r="U238" s="71"/>
      <c r="V238" s="71"/>
      <c r="W238" s="71"/>
      <c r="X238" s="71"/>
      <c r="Y238" s="68" t="str">
        <f t="shared" si="20"/>
        <v/>
      </c>
      <c r="Z238" s="71"/>
      <c r="AA238" s="71"/>
      <c r="AB238" s="71"/>
      <c r="AC238" s="71"/>
      <c r="AD238" s="71"/>
      <c r="AE238" s="71"/>
      <c r="AF238" s="71"/>
      <c r="AG238" s="72" t="s">
        <v>471</v>
      </c>
      <c r="AH238" s="35"/>
      <c r="AI238" s="35"/>
      <c r="AK238"/>
      <c r="AM238" s="56"/>
      <c r="AN238" s="57"/>
      <c r="AO238" s="63" t="str">
        <f>IF($A238="","",IFERROR(_xlfn.XLOOKUP($A238,'2_DOI_Lookup'!$A$2:$A$430,'2_DOI_Lookup'!$B$2:$B$430),"NOT IN SOURCE"))</f>
        <v>10.1007/s10706-025-03612-2</v>
      </c>
    </row>
    <row r="239" spans="1:41" ht="102.6" x14ac:dyDescent="0.3">
      <c r="A239" s="26">
        <v>3720</v>
      </c>
      <c r="B239" s="9" t="s">
        <v>237</v>
      </c>
      <c r="C239" s="32">
        <v>2022</v>
      </c>
      <c r="D239" s="9"/>
      <c r="E239" s="9" t="str">
        <f>IF($A239="","",IFERROR(_xlfn.XLOOKUP($A239,'2_DOI_Lookup'!$D$2:$D$430,'2_DOI_Lookup'!$E$2:$E$430),"TITLE NOT IN SOURCE"))</f>
        <v>Toward cognitive digital twins using a BIM-GIS asset management system for a diffused university</v>
      </c>
      <c r="F239" s="26" t="s">
        <v>309</v>
      </c>
      <c r="G239" s="27" t="s">
        <v>311</v>
      </c>
      <c r="H239" s="27" t="s">
        <v>311</v>
      </c>
      <c r="I239" s="27" t="s">
        <v>311</v>
      </c>
      <c r="J239" s="27" t="s">
        <v>311</v>
      </c>
      <c r="K239" s="27" t="s">
        <v>311</v>
      </c>
      <c r="L239" s="28" t="str">
        <f t="shared" si="16"/>
        <v>INCLUDE</v>
      </c>
      <c r="M239" s="28" t="str">
        <f t="shared" si="17"/>
        <v/>
      </c>
      <c r="N239" s="29" t="s">
        <v>49</v>
      </c>
      <c r="O239" s="29" t="s">
        <v>49</v>
      </c>
      <c r="P239" s="30" t="s">
        <v>49</v>
      </c>
      <c r="Q239" s="30" t="s">
        <v>49</v>
      </c>
      <c r="R239" s="30" t="s">
        <v>49</v>
      </c>
      <c r="S239" s="28" t="str">
        <f t="shared" si="18"/>
        <v>INCLUDE</v>
      </c>
      <c r="T239" s="28" t="str">
        <f t="shared" si="19"/>
        <v/>
      </c>
      <c r="U239" s="31" t="s">
        <v>52</v>
      </c>
      <c r="V239" s="31">
        <v>0</v>
      </c>
      <c r="W239" s="31">
        <v>0</v>
      </c>
      <c r="X239" s="31">
        <v>1</v>
      </c>
      <c r="Y239" s="28" t="str">
        <f t="shared" si="20"/>
        <v>Single</v>
      </c>
      <c r="Z239" s="31" t="s">
        <v>9</v>
      </c>
      <c r="AA239" s="31" t="s">
        <v>62</v>
      </c>
      <c r="AB239" s="31" t="s">
        <v>91</v>
      </c>
      <c r="AC239" s="31" t="s">
        <v>64</v>
      </c>
      <c r="AD239" s="31" t="s">
        <v>79</v>
      </c>
      <c r="AE239" s="31">
        <v>3</v>
      </c>
      <c r="AF239" s="31" t="s">
        <v>57</v>
      </c>
      <c r="AG239" s="15" t="s">
        <v>720</v>
      </c>
      <c r="AH239" s="97" t="s">
        <v>906</v>
      </c>
      <c r="AI239" s="97" t="s">
        <v>907</v>
      </c>
      <c r="AJ239" s="98" t="s">
        <v>1080</v>
      </c>
      <c r="AK239" s="98" t="s">
        <v>1168</v>
      </c>
      <c r="AL239" s="98" t="s">
        <v>1083</v>
      </c>
      <c r="AM239" s="99"/>
      <c r="AN239" s="100" t="s">
        <v>1289</v>
      </c>
      <c r="AO239" s="101" t="str">
        <f>IF($A239="","",IFERROR(_xlfn.XLOOKUP($A239,'2_DOI_Lookup'!$A$2:$A$430,'2_DOI_Lookup'!$B$2:$B$430),"NOT IN SOURCE"))</f>
        <v>10.3389/fbuil.2022.959475</v>
      </c>
    </row>
    <row r="240" spans="1:41" ht="114" hidden="1" x14ac:dyDescent="0.3">
      <c r="A240" s="73">
        <v>3812</v>
      </c>
      <c r="B240" s="74"/>
      <c r="C240" s="75"/>
      <c r="D240" s="74"/>
      <c r="E240" s="74" t="str">
        <f>IF($A240="","",IFERROR(_xlfn.XLOOKUP($A240,'2_DOI_Lookup'!$D$2:$D$430,'2_DOI_Lookup'!$E$2:$E$430),"TITLE NOT IN SOURCE"))</f>
        <v>Organising digital twin in the built environment: a systematic review and research directions on the missing links of use and user perspectives of digital twin in Architecture, Engineering and Construction (AEC) sector</v>
      </c>
      <c r="F240" s="73" t="s">
        <v>309</v>
      </c>
      <c r="G240" s="76" t="s">
        <v>311</v>
      </c>
      <c r="H240" s="76" t="s">
        <v>311</v>
      </c>
      <c r="I240" s="76" t="s">
        <v>312</v>
      </c>
      <c r="J240" s="76" t="s">
        <v>311</v>
      </c>
      <c r="K240" s="76" t="s">
        <v>311</v>
      </c>
      <c r="L240" s="77" t="str">
        <f t="shared" si="16"/>
        <v>EXCLUDE</v>
      </c>
      <c r="M240" s="77" t="str">
        <f t="shared" si="17"/>
        <v>No Design for Safety/Quality/PtD</v>
      </c>
      <c r="N240" s="78"/>
      <c r="O240" s="78"/>
      <c r="P240" s="79"/>
      <c r="Q240" s="79"/>
      <c r="R240" s="79"/>
      <c r="S240" s="77" t="str">
        <f t="shared" si="18"/>
        <v/>
      </c>
      <c r="T240" s="77" t="str">
        <f t="shared" si="19"/>
        <v/>
      </c>
      <c r="U240" s="80"/>
      <c r="V240" s="80"/>
      <c r="W240" s="80"/>
      <c r="X240" s="80"/>
      <c r="Y240" s="77" t="str">
        <f t="shared" si="20"/>
        <v/>
      </c>
      <c r="Z240" s="80"/>
      <c r="AA240" s="80"/>
      <c r="AB240" s="80"/>
      <c r="AC240" s="80"/>
      <c r="AD240" s="80"/>
      <c r="AE240" s="80"/>
      <c r="AF240" s="80"/>
      <c r="AG240" s="81" t="s">
        <v>472</v>
      </c>
      <c r="AH240" s="35"/>
      <c r="AI240" s="35"/>
      <c r="AK240"/>
      <c r="AM240" s="56"/>
      <c r="AN240" s="57"/>
      <c r="AO240" s="63" t="str">
        <f>IF($A240="","",IFERROR(_xlfn.XLOOKUP($A240,'2_DOI_Lookup'!$A$2:$A$430,'2_DOI_Lookup'!$B$2:$B$430),"NOT IN SOURCE"))</f>
        <v>10.1080/01446193.2025.2451631</v>
      </c>
    </row>
    <row r="241" spans="1:41" ht="57" hidden="1" x14ac:dyDescent="0.3">
      <c r="A241" s="64">
        <v>3622</v>
      </c>
      <c r="B241" s="65"/>
      <c r="C241" s="66"/>
      <c r="D241" s="65"/>
      <c r="E241" s="65" t="str">
        <f>IF($A241="","",IFERROR(_xlfn.XLOOKUP($A241,'2_DOI_Lookup'!$D$2:$D$430,'2_DOI_Lookup'!$E$2:$E$430),"TITLE NOT IN SOURCE"))</f>
        <v>Digital Twin Modelling Approach and Optimization Analysis for Safety in Large Tunnel Construction Processes</v>
      </c>
      <c r="F241" s="64" t="s">
        <v>309</v>
      </c>
      <c r="G241" s="67" t="s">
        <v>311</v>
      </c>
      <c r="H241" s="67" t="s">
        <v>311</v>
      </c>
      <c r="I241" s="67" t="s">
        <v>311</v>
      </c>
      <c r="J241" s="67" t="s">
        <v>311</v>
      </c>
      <c r="K241" s="67" t="s">
        <v>312</v>
      </c>
      <c r="L241" s="68" t="str">
        <f t="shared" si="16"/>
        <v>EXCLUDE</v>
      </c>
      <c r="M241" s="68" t="str">
        <f t="shared" si="17"/>
        <v>Non-English</v>
      </c>
      <c r="N241" s="69"/>
      <c r="O241" s="69"/>
      <c r="P241" s="70"/>
      <c r="Q241" s="70"/>
      <c r="R241" s="70"/>
      <c r="S241" s="68" t="str">
        <f t="shared" si="18"/>
        <v/>
      </c>
      <c r="T241" s="68" t="str">
        <f t="shared" si="19"/>
        <v/>
      </c>
      <c r="U241" s="71"/>
      <c r="V241" s="71"/>
      <c r="W241" s="71"/>
      <c r="X241" s="71"/>
      <c r="Y241" s="68" t="str">
        <f t="shared" si="20"/>
        <v/>
      </c>
      <c r="Z241" s="71"/>
      <c r="AA241" s="71"/>
      <c r="AB241" s="71"/>
      <c r="AC241" s="71"/>
      <c r="AD241" s="71"/>
      <c r="AE241" s="71"/>
      <c r="AF241" s="71"/>
      <c r="AG241" s="72" t="s">
        <v>473</v>
      </c>
      <c r="AH241" s="35"/>
      <c r="AI241" s="35"/>
      <c r="AK241"/>
      <c r="AM241" s="56"/>
      <c r="AN241" s="57"/>
      <c r="AO241" s="63" t="str">
        <f>IF($A241="","",IFERROR(_xlfn.XLOOKUP($A241,'2_DOI_Lookup'!$A$2:$A$430,'2_DOI_Lookup'!$B$2:$B$430),"NOT IN SOURCE"))</f>
        <v>10.16058/j.issn.1005-0930.2025.03.019</v>
      </c>
    </row>
    <row r="242" spans="1:41" ht="230.4" x14ac:dyDescent="0.3">
      <c r="A242" s="26">
        <v>4004</v>
      </c>
      <c r="B242" s="9" t="s">
        <v>238</v>
      </c>
      <c r="C242" s="32">
        <v>2026</v>
      </c>
      <c r="D242" s="9"/>
      <c r="E242" s="9" t="str">
        <f>IF($A242="","",IFERROR(_xlfn.XLOOKUP($A242,'2_DOI_Lookup'!$D$2:$D$430,'2_DOI_Lookup'!$E$2:$E$430),"TITLE NOT IN SOURCE"))</f>
        <v>SMAC-based cooperative hyperparameter optimization for occupational risk assessment in decentralized federated on-device AI networks</v>
      </c>
      <c r="F242" s="26" t="s">
        <v>310</v>
      </c>
      <c r="G242" s="27" t="s">
        <v>311</v>
      </c>
      <c r="H242" s="27" t="s">
        <v>311</v>
      </c>
      <c r="I242" s="27" t="s">
        <v>311</v>
      </c>
      <c r="J242" s="27" t="s">
        <v>311</v>
      </c>
      <c r="K242" s="27" t="s">
        <v>311</v>
      </c>
      <c r="L242" s="28" t="str">
        <f t="shared" si="16"/>
        <v>INCLUDE</v>
      </c>
      <c r="M242" s="28" t="str">
        <f t="shared" si="17"/>
        <v/>
      </c>
      <c r="N242" s="29" t="s">
        <v>311</v>
      </c>
      <c r="O242" s="29" t="s">
        <v>311</v>
      </c>
      <c r="P242" s="30" t="s">
        <v>311</v>
      </c>
      <c r="Q242" s="30" t="s">
        <v>311</v>
      </c>
      <c r="R242" s="30" t="s">
        <v>311</v>
      </c>
      <c r="S242" s="28" t="str">
        <f t="shared" si="18"/>
        <v>INCLUDE</v>
      </c>
      <c r="T242" s="28" t="str">
        <f t="shared" si="19"/>
        <v/>
      </c>
      <c r="U242" s="31" t="s">
        <v>61</v>
      </c>
      <c r="V242" s="31">
        <v>0</v>
      </c>
      <c r="W242" s="31">
        <v>1</v>
      </c>
      <c r="X242" s="31">
        <v>0</v>
      </c>
      <c r="Y242" s="28" t="str">
        <f t="shared" si="20"/>
        <v>Single</v>
      </c>
      <c r="Z242" s="31" t="s">
        <v>9</v>
      </c>
      <c r="AA242" s="31" t="s">
        <v>53</v>
      </c>
      <c r="AB242" s="31" t="s">
        <v>92</v>
      </c>
      <c r="AC242" s="31" t="s">
        <v>64</v>
      </c>
      <c r="AD242" s="31" t="s">
        <v>72</v>
      </c>
      <c r="AE242" s="31">
        <v>4</v>
      </c>
      <c r="AF242" s="31" t="s">
        <v>84</v>
      </c>
      <c r="AG242" s="15" t="s">
        <v>640</v>
      </c>
      <c r="AH242" s="97" t="s">
        <v>908</v>
      </c>
      <c r="AI242" s="97" t="s">
        <v>909</v>
      </c>
      <c r="AJ242" s="98" t="s">
        <v>1081</v>
      </c>
      <c r="AK242" s="98" t="s">
        <v>1169</v>
      </c>
      <c r="AL242" s="98" t="s">
        <v>1083</v>
      </c>
      <c r="AM242" s="99" t="s">
        <v>1434</v>
      </c>
      <c r="AN242" s="100" t="s">
        <v>1430</v>
      </c>
      <c r="AO242" s="101" t="str">
        <f>IF($A242="","",IFERROR(_xlfn.XLOOKUP($A242,'2_DOI_Lookup'!$A$2:$A$430,'2_DOI_Lookup'!$B$2:$B$430),"NOT IN SOURCE"))</f>
        <v>10.1016/j.aej.2026.05.006</v>
      </c>
    </row>
    <row r="243" spans="1:41" ht="316.8" x14ac:dyDescent="0.3">
      <c r="A243" s="26">
        <v>3944</v>
      </c>
      <c r="B243" s="9" t="s">
        <v>239</v>
      </c>
      <c r="C243" s="32">
        <v>2025</v>
      </c>
      <c r="D243" s="9"/>
      <c r="E243" s="9" t="str">
        <f>IF($A243="","",IFERROR(_xlfn.XLOOKUP($A243,'2_DOI_Lookup'!$D$2:$D$430,'2_DOI_Lookup'!$E$2:$E$430),"TITLE NOT IN SOURCE"))</f>
        <v>Safety monitoring digital twin-based centralized model consolidation mechanism using dynamic node selection for multi-worker safety prediction</v>
      </c>
      <c r="F243" s="26" t="s">
        <v>310</v>
      </c>
      <c r="G243" s="27" t="s">
        <v>311</v>
      </c>
      <c r="H243" s="27" t="s">
        <v>311</v>
      </c>
      <c r="I243" s="27" t="s">
        <v>311</v>
      </c>
      <c r="J243" s="27" t="s">
        <v>311</v>
      </c>
      <c r="K243" s="27" t="s">
        <v>311</v>
      </c>
      <c r="L243" s="28" t="str">
        <f t="shared" si="16"/>
        <v>INCLUDE</v>
      </c>
      <c r="M243" s="28" t="str">
        <f t="shared" si="17"/>
        <v/>
      </c>
      <c r="N243" s="29" t="s">
        <v>311</v>
      </c>
      <c r="O243" s="29" t="s">
        <v>311</v>
      </c>
      <c r="P243" s="30" t="s">
        <v>311</v>
      </c>
      <c r="Q243" s="30" t="s">
        <v>311</v>
      </c>
      <c r="R243" s="30" t="s">
        <v>311</v>
      </c>
      <c r="S243" s="28" t="str">
        <f t="shared" si="18"/>
        <v>INCLUDE</v>
      </c>
      <c r="T243" s="28" t="str">
        <f t="shared" si="19"/>
        <v/>
      </c>
      <c r="U243" s="31" t="s">
        <v>61</v>
      </c>
      <c r="V243" s="31">
        <v>0</v>
      </c>
      <c r="W243" s="31">
        <v>1</v>
      </c>
      <c r="X243" s="31">
        <v>0</v>
      </c>
      <c r="Y243" s="28" t="str">
        <f t="shared" si="20"/>
        <v>Single</v>
      </c>
      <c r="Z243" s="31" t="s">
        <v>9</v>
      </c>
      <c r="AA243" s="31" t="s">
        <v>70</v>
      </c>
      <c r="AB243" s="31" t="s">
        <v>92</v>
      </c>
      <c r="AC243" s="31" t="s">
        <v>64</v>
      </c>
      <c r="AD243" s="31" t="s">
        <v>72</v>
      </c>
      <c r="AE243" s="31">
        <v>4</v>
      </c>
      <c r="AF243" s="31" t="s">
        <v>84</v>
      </c>
      <c r="AG243" s="15" t="s">
        <v>641</v>
      </c>
      <c r="AH243" s="97" t="s">
        <v>910</v>
      </c>
      <c r="AI243" s="97" t="s">
        <v>911</v>
      </c>
      <c r="AJ243" s="98" t="s">
        <v>1081</v>
      </c>
      <c r="AK243" s="98" t="s">
        <v>1170</v>
      </c>
      <c r="AL243" s="98" t="s">
        <v>1083</v>
      </c>
      <c r="AM243" s="99" t="s">
        <v>1390</v>
      </c>
      <c r="AN243" s="100" t="s">
        <v>1462</v>
      </c>
      <c r="AO243" s="101" t="str">
        <f>IF($A243="","",IFERROR(_xlfn.XLOOKUP($A243,'2_DOI_Lookup'!$A$2:$A$430,'2_DOI_Lookup'!$B$2:$B$430),"NOT IN SOURCE"))</f>
        <v>10.1016/j.engappai.2025.112186</v>
      </c>
    </row>
    <row r="244" spans="1:41" ht="57" hidden="1" x14ac:dyDescent="0.3">
      <c r="A244" s="73">
        <v>4049</v>
      </c>
      <c r="B244" s="74"/>
      <c r="C244" s="75"/>
      <c r="D244" s="74"/>
      <c r="E244" s="74" t="str">
        <f>IF($A244="","",IFERROR(_xlfn.XLOOKUP($A244,'2_DOI_Lookup'!$D$2:$D$430,'2_DOI_Lookup'!$E$2:$E$430),"TITLE NOT IN SOURCE"))</f>
        <v>Environmental impacts of standard building renovations: City-level extrapolation from a real case study in Spain</v>
      </c>
      <c r="F244" s="73" t="s">
        <v>310</v>
      </c>
      <c r="G244" s="76" t="s">
        <v>311</v>
      </c>
      <c r="H244" s="76" t="s">
        <v>311</v>
      </c>
      <c r="I244" s="76" t="s">
        <v>312</v>
      </c>
      <c r="J244" s="76" t="s">
        <v>311</v>
      </c>
      <c r="K244" s="76" t="s">
        <v>311</v>
      </c>
      <c r="L244" s="77" t="str">
        <f t="shared" si="16"/>
        <v>EXCLUDE</v>
      </c>
      <c r="M244" s="77" t="str">
        <f t="shared" si="17"/>
        <v>No Design for Safety/Quality/PtD</v>
      </c>
      <c r="N244" s="78"/>
      <c r="O244" s="78"/>
      <c r="P244" s="79"/>
      <c r="Q244" s="79"/>
      <c r="R244" s="79"/>
      <c r="S244" s="77" t="str">
        <f t="shared" si="18"/>
        <v/>
      </c>
      <c r="T244" s="77" t="str">
        <f t="shared" si="19"/>
        <v/>
      </c>
      <c r="U244" s="80"/>
      <c r="V244" s="80"/>
      <c r="W244" s="80"/>
      <c r="X244" s="80"/>
      <c r="Y244" s="77" t="str">
        <f t="shared" si="20"/>
        <v/>
      </c>
      <c r="Z244" s="80"/>
      <c r="AA244" s="80"/>
      <c r="AB244" s="80"/>
      <c r="AC244" s="80"/>
      <c r="AD244" s="80"/>
      <c r="AE244" s="80"/>
      <c r="AF244" s="80"/>
      <c r="AG244" s="81" t="s">
        <v>474</v>
      </c>
      <c r="AH244" s="35"/>
      <c r="AI244" s="35"/>
      <c r="AK244"/>
      <c r="AM244" s="56"/>
      <c r="AN244" s="57"/>
      <c r="AO244" s="63" t="str">
        <f>IF($A244="","",IFERROR(_xlfn.XLOOKUP($A244,'2_DOI_Lookup'!$A$2:$A$430,'2_DOI_Lookup'!$B$2:$B$430),"NOT IN SOURCE"))</f>
        <v>10.1016/j.enbuild.2025.116938</v>
      </c>
    </row>
    <row r="245" spans="1:41" ht="45.6" hidden="1" x14ac:dyDescent="0.3">
      <c r="A245" s="26">
        <v>4009</v>
      </c>
      <c r="B245" s="9"/>
      <c r="C245" s="32"/>
      <c r="D245" s="9"/>
      <c r="E245" s="9" t="str">
        <f>IF($A245="","",IFERROR(_xlfn.XLOOKUP($A245,'2_DOI_Lookup'!$D$2:$D$430,'2_DOI_Lookup'!$E$2:$E$430),"TITLE NOT IN SOURCE"))</f>
        <v>Image-based acquisition and digital documentation of geometry and condition of railway bridges</v>
      </c>
      <c r="F245" s="26" t="s">
        <v>310</v>
      </c>
      <c r="G245" s="27" t="s">
        <v>311</v>
      </c>
      <c r="H245" s="27" t="s">
        <v>311</v>
      </c>
      <c r="I245" s="27" t="s">
        <v>311</v>
      </c>
      <c r="J245" s="27" t="s">
        <v>311</v>
      </c>
      <c r="K245" s="27" t="s">
        <v>312</v>
      </c>
      <c r="L245" s="28" t="str">
        <f t="shared" si="16"/>
        <v>EXCLUDE</v>
      </c>
      <c r="M245" s="28" t="str">
        <f t="shared" si="17"/>
        <v>Non-English</v>
      </c>
      <c r="N245" s="29"/>
      <c r="O245" s="29"/>
      <c r="P245" s="30"/>
      <c r="Q245" s="30"/>
      <c r="R245" s="30"/>
      <c r="S245" s="28" t="str">
        <f t="shared" si="18"/>
        <v/>
      </c>
      <c r="T245" s="28" t="str">
        <f t="shared" si="19"/>
        <v/>
      </c>
      <c r="U245" s="31"/>
      <c r="V245" s="31"/>
      <c r="W245" s="31"/>
      <c r="X245" s="31"/>
      <c r="Y245" s="28" t="str">
        <f t="shared" si="20"/>
        <v/>
      </c>
      <c r="Z245" s="31"/>
      <c r="AA245" s="31"/>
      <c r="AB245" s="31"/>
      <c r="AC245" s="31"/>
      <c r="AD245" s="31"/>
      <c r="AE245" s="31"/>
      <c r="AF245" s="31"/>
      <c r="AG245" s="15" t="s">
        <v>475</v>
      </c>
      <c r="AH245" s="35"/>
      <c r="AI245" s="35"/>
      <c r="AK245"/>
      <c r="AM245" s="56"/>
      <c r="AN245" s="57"/>
      <c r="AO245" s="63" t="str">
        <f>IF($A245="","",IFERROR(_xlfn.XLOOKUP($A245,'2_DOI_Lookup'!$A$2:$A$430,'2_DOI_Lookup'!$B$2:$B$430),"NOT IN SOURCE"))</f>
        <v>10.1002/bate.202300049</v>
      </c>
    </row>
    <row r="246" spans="1:41" ht="68.400000000000006" hidden="1" x14ac:dyDescent="0.3">
      <c r="A246" s="26">
        <v>3890</v>
      </c>
      <c r="B246" s="9"/>
      <c r="C246" s="32"/>
      <c r="D246" s="9"/>
      <c r="E246" s="9" t="str">
        <f>IF($A246="","",IFERROR(_xlfn.XLOOKUP($A246,'2_DOI_Lookup'!$D$2:$D$430,'2_DOI_Lookup'!$E$2:$E$430),"TITLE NOT IN SOURCE"))</f>
        <v>A Comprehensive Framework for Integrating Extended Reality into Lifecycle-Based Construction Safety Management</v>
      </c>
      <c r="F246" s="26" t="s">
        <v>310</v>
      </c>
      <c r="G246" s="27" t="s">
        <v>311</v>
      </c>
      <c r="H246" s="27" t="s">
        <v>312</v>
      </c>
      <c r="I246" s="27" t="s">
        <v>311</v>
      </c>
      <c r="J246" s="27" t="s">
        <v>311</v>
      </c>
      <c r="K246" s="27" t="s">
        <v>311</v>
      </c>
      <c r="L246" s="28" t="str">
        <f t="shared" si="16"/>
        <v>EXCLUDE</v>
      </c>
      <c r="M246" s="28" t="str">
        <f t="shared" si="17"/>
        <v>Digital Twin not core / buzzword</v>
      </c>
      <c r="N246" s="29"/>
      <c r="O246" s="29"/>
      <c r="P246" s="30"/>
      <c r="Q246" s="30"/>
      <c r="R246" s="30"/>
      <c r="S246" s="28" t="str">
        <f t="shared" si="18"/>
        <v/>
      </c>
      <c r="T246" s="28" t="str">
        <f t="shared" si="19"/>
        <v/>
      </c>
      <c r="U246" s="31"/>
      <c r="V246" s="31"/>
      <c r="W246" s="31"/>
      <c r="X246" s="31"/>
      <c r="Y246" s="28" t="str">
        <f t="shared" si="20"/>
        <v/>
      </c>
      <c r="Z246" s="31"/>
      <c r="AA246" s="31"/>
      <c r="AB246" s="31"/>
      <c r="AC246" s="31"/>
      <c r="AD246" s="31"/>
      <c r="AE246" s="31"/>
      <c r="AF246" s="31"/>
      <c r="AG246" s="15" t="s">
        <v>476</v>
      </c>
      <c r="AH246" s="35"/>
      <c r="AI246" s="35"/>
      <c r="AK246"/>
      <c r="AM246" s="56"/>
      <c r="AN246" s="57"/>
      <c r="AO246" s="63" t="str">
        <f>IF($A246="","",IFERROR(_xlfn.XLOOKUP($A246,'2_DOI_Lookup'!$A$2:$A$430,'2_DOI_Lookup'!$B$2:$B$430),"NOT IN SOURCE"))</f>
        <v>10.3390/app15105690</v>
      </c>
    </row>
    <row r="247" spans="1:41" ht="45.6" hidden="1" x14ac:dyDescent="0.3">
      <c r="A247" s="26">
        <v>3600</v>
      </c>
      <c r="B247" s="9"/>
      <c r="C247" s="32"/>
      <c r="D247" s="9"/>
      <c r="E247" s="9" t="str">
        <f>IF($A247="","",IFERROR(_xlfn.XLOOKUP($A247,'2_DOI_Lookup'!$D$2:$D$430,'2_DOI_Lookup'!$E$2:$E$430),"TITLE NOT IN SOURCE"))</f>
        <v>When BIM Meets MBSE: Building a Semantic Bridge for Infrastructure Data Integration</v>
      </c>
      <c r="F247" s="26" t="s">
        <v>309</v>
      </c>
      <c r="G247" s="27" t="s">
        <v>311</v>
      </c>
      <c r="H247" s="27" t="s">
        <v>312</v>
      </c>
      <c r="I247" s="27" t="s">
        <v>311</v>
      </c>
      <c r="J247" s="27" t="s">
        <v>311</v>
      </c>
      <c r="K247" s="27" t="s">
        <v>311</v>
      </c>
      <c r="L247" s="28" t="str">
        <f t="shared" si="16"/>
        <v>EXCLUDE</v>
      </c>
      <c r="M247" s="28" t="str">
        <f t="shared" si="17"/>
        <v>Digital Twin not core / buzzword</v>
      </c>
      <c r="N247" s="29"/>
      <c r="O247" s="29"/>
      <c r="P247" s="30"/>
      <c r="Q247" s="30"/>
      <c r="R247" s="30"/>
      <c r="S247" s="28" t="str">
        <f t="shared" si="18"/>
        <v/>
      </c>
      <c r="T247" s="28" t="str">
        <f t="shared" si="19"/>
        <v/>
      </c>
      <c r="U247" s="31"/>
      <c r="V247" s="31"/>
      <c r="W247" s="31"/>
      <c r="X247" s="31"/>
      <c r="Y247" s="28" t="str">
        <f t="shared" si="20"/>
        <v/>
      </c>
      <c r="Z247" s="31"/>
      <c r="AA247" s="31"/>
      <c r="AB247" s="31"/>
      <c r="AC247" s="31"/>
      <c r="AD247" s="31"/>
      <c r="AE247" s="31"/>
      <c r="AF247" s="31"/>
      <c r="AG247" s="15" t="s">
        <v>477</v>
      </c>
      <c r="AH247" s="35"/>
      <c r="AI247" s="35"/>
      <c r="AK247"/>
      <c r="AM247" s="56"/>
      <c r="AN247" s="57"/>
      <c r="AO247" s="63" t="str">
        <f>IF($A247="","",IFERROR(_xlfn.XLOOKUP($A247,'2_DOI_Lookup'!$A$2:$A$430,'2_DOI_Lookup'!$B$2:$B$430),"NOT IN SOURCE"))</f>
        <v>10.3390/systems13090770</v>
      </c>
    </row>
    <row r="248" spans="1:41" ht="45.6" hidden="1" x14ac:dyDescent="0.3">
      <c r="A248" s="26">
        <v>4022</v>
      </c>
      <c r="B248" s="9"/>
      <c r="C248" s="32"/>
      <c r="D248" s="9"/>
      <c r="E248" s="9" t="str">
        <f>IF($A248="","",IFERROR(_xlfn.XLOOKUP($A248,'2_DOI_Lookup'!$D$2:$D$430,'2_DOI_Lookup'!$E$2:$E$430),"TITLE NOT IN SOURCE"))</f>
        <v>Data-Driven Piecewise Bivariate Regression for Best-Estimate Natural Periods of Buildings</v>
      </c>
      <c r="F248" s="26" t="s">
        <v>310</v>
      </c>
      <c r="G248" s="27" t="s">
        <v>311</v>
      </c>
      <c r="H248" s="27" t="s">
        <v>312</v>
      </c>
      <c r="I248" s="27" t="s">
        <v>311</v>
      </c>
      <c r="J248" s="27" t="s">
        <v>311</v>
      </c>
      <c r="K248" s="27" t="s">
        <v>311</v>
      </c>
      <c r="L248" s="28" t="str">
        <f t="shared" si="16"/>
        <v>EXCLUDE</v>
      </c>
      <c r="M248" s="28" t="str">
        <f t="shared" si="17"/>
        <v>Digital Twin not core / buzzword</v>
      </c>
      <c r="N248" s="29"/>
      <c r="O248" s="29"/>
      <c r="P248" s="30"/>
      <c r="Q248" s="30"/>
      <c r="R248" s="30"/>
      <c r="S248" s="28" t="str">
        <f t="shared" si="18"/>
        <v/>
      </c>
      <c r="T248" s="28" t="str">
        <f t="shared" si="19"/>
        <v/>
      </c>
      <c r="U248" s="31"/>
      <c r="V248" s="31"/>
      <c r="W248" s="31"/>
      <c r="X248" s="31"/>
      <c r="Y248" s="28" t="str">
        <f t="shared" si="20"/>
        <v/>
      </c>
      <c r="Z248" s="31"/>
      <c r="AA248" s="31"/>
      <c r="AB248" s="31"/>
      <c r="AC248" s="31"/>
      <c r="AD248" s="31"/>
      <c r="AE248" s="31"/>
      <c r="AF248" s="31"/>
      <c r="AG248" s="15" t="s">
        <v>478</v>
      </c>
      <c r="AH248" s="35"/>
      <c r="AI248" s="35"/>
      <c r="AK248"/>
      <c r="AM248" s="56"/>
      <c r="AN248" s="57"/>
      <c r="AO248" s="63" t="str">
        <f>IF($A248="","",IFERROR(_xlfn.XLOOKUP($A248,'2_DOI_Lookup'!$A$2:$A$430,'2_DOI_Lookup'!$B$2:$B$430),"NOT IN SOURCE"))</f>
        <v>10.3390/buildings16071430</v>
      </c>
    </row>
    <row r="249" spans="1:41" ht="45.6" hidden="1" x14ac:dyDescent="0.3">
      <c r="A249" s="26">
        <v>3922</v>
      </c>
      <c r="B249" s="9"/>
      <c r="C249" s="32"/>
      <c r="D249" s="9"/>
      <c r="E249" s="9" t="str">
        <f>IF($A249="","",IFERROR(_xlfn.XLOOKUP($A249,'2_DOI_Lookup'!$D$2:$D$430,'2_DOI_Lookup'!$E$2:$E$430),"TITLE NOT IN SOURCE"))</f>
        <v>Digital twin non-fungible token (DT-NFT): Enabling data ownership in the AEC industry</v>
      </c>
      <c r="F249" s="26" t="s">
        <v>310</v>
      </c>
      <c r="G249" s="27" t="s">
        <v>311</v>
      </c>
      <c r="H249" s="27" t="s">
        <v>311</v>
      </c>
      <c r="I249" s="27" t="s">
        <v>312</v>
      </c>
      <c r="J249" s="27" t="s">
        <v>311</v>
      </c>
      <c r="K249" s="27" t="s">
        <v>311</v>
      </c>
      <c r="L249" s="28" t="str">
        <f t="shared" si="16"/>
        <v>EXCLUDE</v>
      </c>
      <c r="M249" s="28" t="str">
        <f t="shared" si="17"/>
        <v>No Design for Safety/Quality/PtD</v>
      </c>
      <c r="N249" s="29"/>
      <c r="O249" s="29"/>
      <c r="P249" s="30"/>
      <c r="Q249" s="30"/>
      <c r="R249" s="30"/>
      <c r="S249" s="28" t="str">
        <f t="shared" si="18"/>
        <v/>
      </c>
      <c r="T249" s="28" t="str">
        <f t="shared" si="19"/>
        <v/>
      </c>
      <c r="U249" s="31"/>
      <c r="V249" s="31"/>
      <c r="W249" s="31"/>
      <c r="X249" s="31"/>
      <c r="Y249" s="28" t="str">
        <f t="shared" si="20"/>
        <v/>
      </c>
      <c r="Z249" s="31"/>
      <c r="AA249" s="31"/>
      <c r="AB249" s="31"/>
      <c r="AC249" s="31"/>
      <c r="AD249" s="31"/>
      <c r="AE249" s="31"/>
      <c r="AF249" s="31"/>
      <c r="AG249" s="15" t="s">
        <v>479</v>
      </c>
      <c r="AH249" s="35"/>
      <c r="AI249" s="35"/>
      <c r="AK249"/>
      <c r="AM249" s="56"/>
      <c r="AN249" s="57"/>
      <c r="AO249" s="63" t="str">
        <f>IF($A249="","",IFERROR(_xlfn.XLOOKUP($A249,'2_DOI_Lookup'!$A$2:$A$430,'2_DOI_Lookup'!$B$2:$B$430),"NOT IN SOURCE"))</f>
        <v>10.1016/j.autcon.2024.105777</v>
      </c>
    </row>
    <row r="250" spans="1:41" ht="57" hidden="1" x14ac:dyDescent="0.3">
      <c r="A250" s="64">
        <v>3512</v>
      </c>
      <c r="B250" s="65"/>
      <c r="C250" s="66"/>
      <c r="D250" s="65"/>
      <c r="E250" s="65" t="str">
        <f>IF($A250="","",IFERROR(_xlfn.XLOOKUP($A250,'2_DOI_Lookup'!$D$2:$D$430,'2_DOI_Lookup'!$E$2:$E$430),"TITLE NOT IN SOURCE"))</f>
        <v>Machine learning enhancement of manoeuvring prediction for ship Digital Twin using full-scale recordings</v>
      </c>
      <c r="F250" s="64" t="s">
        <v>309</v>
      </c>
      <c r="G250" s="67" t="s">
        <v>312</v>
      </c>
      <c r="H250" s="67" t="s">
        <v>311</v>
      </c>
      <c r="I250" s="67" t="s">
        <v>311</v>
      </c>
      <c r="J250" s="67" t="s">
        <v>311</v>
      </c>
      <c r="K250" s="67" t="s">
        <v>311</v>
      </c>
      <c r="L250" s="68" t="str">
        <f t="shared" si="16"/>
        <v>EXCLUDE</v>
      </c>
      <c r="M250" s="68" t="str">
        <f t="shared" si="17"/>
        <v>Wrong domain (non-AECO)</v>
      </c>
      <c r="N250" s="69"/>
      <c r="O250" s="69"/>
      <c r="P250" s="70"/>
      <c r="Q250" s="70"/>
      <c r="R250" s="70"/>
      <c r="S250" s="68" t="str">
        <f t="shared" si="18"/>
        <v/>
      </c>
      <c r="T250" s="68" t="str">
        <f t="shared" si="19"/>
        <v/>
      </c>
      <c r="U250" s="71"/>
      <c r="V250" s="71"/>
      <c r="W250" s="71"/>
      <c r="X250" s="71"/>
      <c r="Y250" s="68" t="str">
        <f t="shared" si="20"/>
        <v/>
      </c>
      <c r="Z250" s="71"/>
      <c r="AA250" s="71"/>
      <c r="AB250" s="71"/>
      <c r="AC250" s="71"/>
      <c r="AD250" s="71"/>
      <c r="AE250" s="71"/>
      <c r="AF250" s="71"/>
      <c r="AG250" s="72" t="s">
        <v>480</v>
      </c>
      <c r="AH250" s="35"/>
      <c r="AI250" s="35"/>
      <c r="AK250"/>
      <c r="AM250" s="56"/>
      <c r="AN250" s="57"/>
      <c r="AO250" s="63" t="str">
        <f>IF($A250="","",IFERROR(_xlfn.XLOOKUP($A250,'2_DOI_Lookup'!$A$2:$A$430,'2_DOI_Lookup'!$B$2:$B$430),"NOT IN SOURCE"))</f>
        <v>10.1016/j.oceaneng.2022.111579</v>
      </c>
    </row>
    <row r="251" spans="1:41" ht="129.6" x14ac:dyDescent="0.3">
      <c r="A251" s="26">
        <v>3939</v>
      </c>
      <c r="B251" s="9" t="s">
        <v>240</v>
      </c>
      <c r="C251" s="32">
        <v>2026</v>
      </c>
      <c r="D251" s="9"/>
      <c r="E251" s="9" t="str">
        <f>IF($A251="","",IFERROR(_xlfn.XLOOKUP($A251,'2_DOI_Lookup'!$D$2:$D$430,'2_DOI_Lookup'!$E$2:$E$430),"TITLE NOT IN SOURCE"))</f>
        <v>Construction defects, envelope degradation and lifecycle carbon implications for building energy performance: evidence from Lagos, Nigeria</v>
      </c>
      <c r="F251" s="26" t="s">
        <v>310</v>
      </c>
      <c r="G251" s="27" t="s">
        <v>311</v>
      </c>
      <c r="H251" s="27" t="s">
        <v>311</v>
      </c>
      <c r="I251" s="27" t="s">
        <v>311</v>
      </c>
      <c r="J251" s="27" t="s">
        <v>311</v>
      </c>
      <c r="K251" s="27" t="s">
        <v>311</v>
      </c>
      <c r="L251" s="28" t="str">
        <f t="shared" si="16"/>
        <v>INCLUDE</v>
      </c>
      <c r="M251" s="28" t="str">
        <f t="shared" si="17"/>
        <v/>
      </c>
      <c r="N251" s="29" t="s">
        <v>49</v>
      </c>
      <c r="O251" s="29" t="s">
        <v>49</v>
      </c>
      <c r="P251" s="30" t="s">
        <v>49</v>
      </c>
      <c r="Q251" s="30" t="s">
        <v>49</v>
      </c>
      <c r="R251" s="30" t="s">
        <v>49</v>
      </c>
      <c r="S251" s="28" t="str">
        <f t="shared" si="18"/>
        <v>INCLUDE</v>
      </c>
      <c r="T251" s="28" t="str">
        <f t="shared" si="19"/>
        <v/>
      </c>
      <c r="U251" s="31" t="s">
        <v>52</v>
      </c>
      <c r="V251" s="31">
        <v>0</v>
      </c>
      <c r="W251" s="31">
        <v>0</v>
      </c>
      <c r="X251" s="31">
        <v>1</v>
      </c>
      <c r="Y251" s="28" t="str">
        <f t="shared" si="20"/>
        <v>Single</v>
      </c>
      <c r="Z251" s="31" t="s">
        <v>11</v>
      </c>
      <c r="AA251" s="31" t="s">
        <v>53</v>
      </c>
      <c r="AB251" s="31" t="s">
        <v>92</v>
      </c>
      <c r="AC251" s="31" t="s">
        <v>55</v>
      </c>
      <c r="AD251" s="31" t="s">
        <v>56</v>
      </c>
      <c r="AE251" s="31">
        <v>3</v>
      </c>
      <c r="AF251" s="31" t="s">
        <v>86</v>
      </c>
      <c r="AG251" s="15" t="s">
        <v>721</v>
      </c>
      <c r="AH251" s="97" t="s">
        <v>912</v>
      </c>
      <c r="AI251" s="97" t="s">
        <v>913</v>
      </c>
      <c r="AJ251" s="98" t="s">
        <v>1078</v>
      </c>
      <c r="AK251" s="115" t="s">
        <v>1171</v>
      </c>
      <c r="AL251" s="98" t="s">
        <v>1083</v>
      </c>
      <c r="AM251" s="99" t="s">
        <v>1392</v>
      </c>
      <c r="AN251" s="100" t="s">
        <v>1384</v>
      </c>
      <c r="AO251" s="101" t="str">
        <f>IF($A251="","",IFERROR(_xlfn.XLOOKUP($A251,'2_DOI_Lookup'!$A$2:$A$430,'2_DOI_Lookup'!$B$2:$B$430),"NOT IN SOURCE"))</f>
        <v>10.1016/j.enbuild.2026.117751</v>
      </c>
    </row>
    <row r="252" spans="1:41" ht="68.400000000000006" hidden="1" x14ac:dyDescent="0.3">
      <c r="A252" s="73">
        <v>3508</v>
      </c>
      <c r="B252" s="74"/>
      <c r="C252" s="75"/>
      <c r="D252" s="74"/>
      <c r="E252" s="74" t="str">
        <f>IF($A252="","",IFERROR(_xlfn.XLOOKUP($A252,'2_DOI_Lookup'!$D$2:$D$430,'2_DOI_Lookup'!$E$2:$E$430),"TITLE NOT IN SOURCE"))</f>
        <v>Optimising the construction process through digitalisation: Case studies of projects under unstable resource supply</v>
      </c>
      <c r="F252" s="73" t="s">
        <v>309</v>
      </c>
      <c r="G252" s="76" t="s">
        <v>311</v>
      </c>
      <c r="H252" s="76" t="s">
        <v>312</v>
      </c>
      <c r="I252" s="76" t="s">
        <v>312</v>
      </c>
      <c r="J252" s="76" t="s">
        <v>311</v>
      </c>
      <c r="K252" s="76" t="s">
        <v>311</v>
      </c>
      <c r="L252" s="77" t="str">
        <f t="shared" si="16"/>
        <v>EXCLUDE</v>
      </c>
      <c r="M252" s="77" t="str">
        <f t="shared" si="17"/>
        <v>Digital Twin not core / buzzword</v>
      </c>
      <c r="N252" s="78"/>
      <c r="O252" s="78"/>
      <c r="P252" s="79"/>
      <c r="Q252" s="79"/>
      <c r="R252" s="79"/>
      <c r="S252" s="77" t="str">
        <f t="shared" si="18"/>
        <v/>
      </c>
      <c r="T252" s="77" t="str">
        <f t="shared" si="19"/>
        <v/>
      </c>
      <c r="U252" s="80"/>
      <c r="V252" s="80"/>
      <c r="W252" s="80"/>
      <c r="X252" s="80"/>
      <c r="Y252" s="77" t="str">
        <f t="shared" si="20"/>
        <v/>
      </c>
      <c r="Z252" s="80"/>
      <c r="AA252" s="80"/>
      <c r="AB252" s="80"/>
      <c r="AC252" s="80"/>
      <c r="AD252" s="80"/>
      <c r="AE252" s="80"/>
      <c r="AF252" s="80"/>
      <c r="AG252" s="81" t="s">
        <v>481</v>
      </c>
      <c r="AH252" s="35"/>
      <c r="AI252" s="35"/>
      <c r="AK252"/>
      <c r="AM252" s="56"/>
      <c r="AN252" s="57"/>
      <c r="AO252" s="63" t="str">
        <f>IF($A252="","",IFERROR(_xlfn.XLOOKUP($A252,'2_DOI_Lookup'!$A$2:$A$430,'2_DOI_Lookup'!$B$2:$B$430),"NOT IN SOURCE"))</f>
        <v>10.56318/as/1.2025.92</v>
      </c>
    </row>
    <row r="253" spans="1:41" ht="34.200000000000003" hidden="1" x14ac:dyDescent="0.3">
      <c r="A253" s="26">
        <v>3837</v>
      </c>
      <c r="B253" s="9"/>
      <c r="C253" s="32"/>
      <c r="D253" s="9"/>
      <c r="E253" s="9" t="str">
        <f>IF($A253="","",IFERROR(_xlfn.XLOOKUP($A253,'2_DOI_Lookup'!$D$2:$D$430,'2_DOI_Lookup'!$E$2:$E$430),"TITLE NOT IN SOURCE"))</f>
        <v>Use of gaming technology to bring bridge inspection to the office</v>
      </c>
      <c r="F253" s="26" t="s">
        <v>309</v>
      </c>
      <c r="G253" s="27" t="s">
        <v>311</v>
      </c>
      <c r="H253" s="27" t="s">
        <v>312</v>
      </c>
      <c r="I253" s="27" t="s">
        <v>311</v>
      </c>
      <c r="J253" s="27" t="s">
        <v>311</v>
      </c>
      <c r="K253" s="27" t="s">
        <v>311</v>
      </c>
      <c r="L253" s="28" t="str">
        <f t="shared" si="16"/>
        <v>EXCLUDE</v>
      </c>
      <c r="M253" s="28" t="str">
        <f t="shared" si="17"/>
        <v>Digital Twin not core / buzzword</v>
      </c>
      <c r="N253" s="29"/>
      <c r="O253" s="29"/>
      <c r="P253" s="30"/>
      <c r="Q253" s="30"/>
      <c r="R253" s="30"/>
      <c r="S253" s="28" t="str">
        <f t="shared" si="18"/>
        <v/>
      </c>
      <c r="T253" s="28" t="str">
        <f t="shared" si="19"/>
        <v/>
      </c>
      <c r="U253" s="31"/>
      <c r="V253" s="31"/>
      <c r="W253" s="31"/>
      <c r="X253" s="31"/>
      <c r="Y253" s="28" t="str">
        <f t="shared" si="20"/>
        <v/>
      </c>
      <c r="Z253" s="31"/>
      <c r="AA253" s="31"/>
      <c r="AB253" s="31"/>
      <c r="AC253" s="31"/>
      <c r="AD253" s="31"/>
      <c r="AE253" s="31"/>
      <c r="AF253" s="31"/>
      <c r="AG253" s="15" t="s">
        <v>482</v>
      </c>
      <c r="AH253" s="35"/>
      <c r="AI253" s="35"/>
      <c r="AK253"/>
      <c r="AM253" s="56"/>
      <c r="AN253" s="57"/>
      <c r="AO253" s="63" t="str">
        <f>IF($A253="","",IFERROR(_xlfn.XLOOKUP($A253,'2_DOI_Lookup'!$A$2:$A$430,'2_DOI_Lookup'!$B$2:$B$430),"NOT IN SOURCE"))</f>
        <v>10.1080/15732479.2019.1615962</v>
      </c>
    </row>
    <row r="254" spans="1:41" ht="57" hidden="1" x14ac:dyDescent="0.3">
      <c r="A254" s="26">
        <v>3743</v>
      </c>
      <c r="B254" s="9"/>
      <c r="C254" s="32"/>
      <c r="D254" s="9"/>
      <c r="E254" s="9" t="str">
        <f>IF($A254="","",IFERROR(_xlfn.XLOOKUP($A254,'2_DOI_Lookup'!$D$2:$D$430,'2_DOI_Lookup'!$E$2:$E$430),"TITLE NOT IN SOURCE"))</f>
        <v>Risk Assessment of Underground Utility Tunnel Projects in Q City Using the Analytic Hierarchy Process</v>
      </c>
      <c r="F254" s="26" t="s">
        <v>309</v>
      </c>
      <c r="G254" s="27" t="s">
        <v>311</v>
      </c>
      <c r="H254" s="27" t="s">
        <v>312</v>
      </c>
      <c r="I254" s="27" t="s">
        <v>311</v>
      </c>
      <c r="J254" s="27" t="s">
        <v>311</v>
      </c>
      <c r="K254" s="27" t="s">
        <v>311</v>
      </c>
      <c r="L254" s="28" t="str">
        <f t="shared" si="16"/>
        <v>EXCLUDE</v>
      </c>
      <c r="M254" s="28" t="str">
        <f t="shared" si="17"/>
        <v>Digital Twin not core / buzzword</v>
      </c>
      <c r="N254" s="29"/>
      <c r="O254" s="29"/>
      <c r="P254" s="30"/>
      <c r="Q254" s="30"/>
      <c r="R254" s="30"/>
      <c r="S254" s="28" t="str">
        <f t="shared" si="18"/>
        <v/>
      </c>
      <c r="T254" s="28" t="str">
        <f t="shared" si="19"/>
        <v/>
      </c>
      <c r="U254" s="31"/>
      <c r="V254" s="31"/>
      <c r="W254" s="31"/>
      <c r="X254" s="31"/>
      <c r="Y254" s="28" t="str">
        <f t="shared" si="20"/>
        <v/>
      </c>
      <c r="Z254" s="31"/>
      <c r="AA254" s="31"/>
      <c r="AB254" s="31"/>
      <c r="AC254" s="31"/>
      <c r="AD254" s="31"/>
      <c r="AE254" s="31"/>
      <c r="AF254" s="31"/>
      <c r="AG254" s="15" t="s">
        <v>483</v>
      </c>
      <c r="AH254" s="35"/>
      <c r="AI254" s="35"/>
      <c r="AK254"/>
      <c r="AM254" s="56"/>
      <c r="AN254" s="57"/>
      <c r="AO254" s="63" t="str">
        <f>IF($A254="","",IFERROR(_xlfn.XLOOKUP($A254,'2_DOI_Lookup'!$A$2:$A$430,'2_DOI_Lookup'!$B$2:$B$430),"NOT IN SOURCE"))</f>
        <v>10.56578/jemse040405</v>
      </c>
    </row>
    <row r="255" spans="1:41" ht="22.8" hidden="1" x14ac:dyDescent="0.3">
      <c r="A255" s="26">
        <v>3820</v>
      </c>
      <c r="B255" s="9"/>
      <c r="C255" s="32"/>
      <c r="D255" s="9"/>
      <c r="E255" s="9" t="str">
        <f>IF($A255="","",IFERROR(_xlfn.XLOOKUP($A255,'2_DOI_Lookup'!$D$2:$D$430,'2_DOI_Lookup'!$E$2:$E$430),"TITLE NOT IN SOURCE"))</f>
        <v>Diagnostic Systems and Complexes for Railways</v>
      </c>
      <c r="F255" s="26" t="s">
        <v>309</v>
      </c>
      <c r="G255" s="27" t="s">
        <v>311</v>
      </c>
      <c r="H255" s="27" t="s">
        <v>312</v>
      </c>
      <c r="I255" s="27" t="s">
        <v>311</v>
      </c>
      <c r="J255" s="27" t="s">
        <v>311</v>
      </c>
      <c r="K255" s="27" t="s">
        <v>312</v>
      </c>
      <c r="L255" s="28" t="str">
        <f t="shared" si="16"/>
        <v>EXCLUDE</v>
      </c>
      <c r="M255" s="28" t="str">
        <f t="shared" si="17"/>
        <v>Digital Twin not core / buzzword</v>
      </c>
      <c r="N255" s="29"/>
      <c r="O255" s="29"/>
      <c r="P255" s="30"/>
      <c r="Q255" s="30"/>
      <c r="R255" s="30"/>
      <c r="S255" s="28" t="str">
        <f t="shared" si="18"/>
        <v/>
      </c>
      <c r="T255" s="28" t="str">
        <f t="shared" si="19"/>
        <v/>
      </c>
      <c r="U255" s="31"/>
      <c r="V255" s="31"/>
      <c r="W255" s="31"/>
      <c r="X255" s="31"/>
      <c r="Y255" s="28" t="str">
        <f t="shared" si="20"/>
        <v/>
      </c>
      <c r="Z255" s="31"/>
      <c r="AA255" s="31"/>
      <c r="AB255" s="31"/>
      <c r="AC255" s="31"/>
      <c r="AD255" s="31"/>
      <c r="AE255" s="31"/>
      <c r="AF255" s="31"/>
      <c r="AG255" s="15" t="s">
        <v>484</v>
      </c>
      <c r="AH255" s="35"/>
      <c r="AI255" s="35"/>
      <c r="AK255"/>
      <c r="AM255" s="56"/>
      <c r="AN255" s="57"/>
      <c r="AO255" s="63" t="str">
        <f>IF($A255="","",IFERROR(_xlfn.XLOOKUP($A255,'2_DOI_Lookup'!$A$2:$A$430,'2_DOI_Lookup'!$B$2:$B$430),"NOT IN SOURCE"))</f>
        <v>10.3103/S1068371225700208</v>
      </c>
    </row>
    <row r="256" spans="1:41" ht="79.8" hidden="1" x14ac:dyDescent="0.3">
      <c r="A256" s="64">
        <v>3871</v>
      </c>
      <c r="B256" s="65"/>
      <c r="C256" s="66"/>
      <c r="D256" s="65"/>
      <c r="E256" s="65" t="str">
        <f>IF($A256="","",IFERROR(_xlfn.XLOOKUP($A256,'2_DOI_Lookup'!$D$2:$D$430,'2_DOI_Lookup'!$E$2:$E$430),"TITLE NOT IN SOURCE"))</f>
        <v>Digital twin platform for evaluating thermal bridging effects on aggregate thermal performance of prefabricated wall panel systems</v>
      </c>
      <c r="F256" s="64" t="s">
        <v>309</v>
      </c>
      <c r="G256" s="67" t="s">
        <v>311</v>
      </c>
      <c r="H256" s="67" t="s">
        <v>311</v>
      </c>
      <c r="I256" s="67" t="s">
        <v>312</v>
      </c>
      <c r="J256" s="67" t="s">
        <v>311</v>
      </c>
      <c r="K256" s="67" t="s">
        <v>311</v>
      </c>
      <c r="L256" s="68" t="str">
        <f t="shared" si="16"/>
        <v>EXCLUDE</v>
      </c>
      <c r="M256" s="68" t="str">
        <f t="shared" si="17"/>
        <v>No Design for Safety/Quality/PtD</v>
      </c>
      <c r="N256" s="69"/>
      <c r="O256" s="69"/>
      <c r="P256" s="70"/>
      <c r="Q256" s="70"/>
      <c r="R256" s="70"/>
      <c r="S256" s="68" t="str">
        <f t="shared" si="18"/>
        <v/>
      </c>
      <c r="T256" s="68" t="str">
        <f t="shared" si="19"/>
        <v/>
      </c>
      <c r="U256" s="71"/>
      <c r="V256" s="71"/>
      <c r="W256" s="71"/>
      <c r="X256" s="71"/>
      <c r="Y256" s="68" t="str">
        <f t="shared" si="20"/>
        <v/>
      </c>
      <c r="Z256" s="71"/>
      <c r="AA256" s="71"/>
      <c r="AB256" s="71"/>
      <c r="AC256" s="71"/>
      <c r="AD256" s="71"/>
      <c r="AE256" s="71"/>
      <c r="AF256" s="71"/>
      <c r="AG256" s="72" t="s">
        <v>485</v>
      </c>
      <c r="AH256" s="35"/>
      <c r="AI256" s="35"/>
      <c r="AK256"/>
      <c r="AM256" s="56"/>
      <c r="AN256" s="57"/>
      <c r="AO256" s="63" t="str">
        <f>IF($A256="","",IFERROR(_xlfn.XLOOKUP($A256,'2_DOI_Lookup'!$A$2:$A$430,'2_DOI_Lookup'!$B$2:$B$430),"NOT IN SOURCE"))</f>
        <v>10.1016/j.applthermaleng.2025.126216</v>
      </c>
    </row>
    <row r="257" spans="1:41" ht="102.6" x14ac:dyDescent="0.3">
      <c r="A257" s="26">
        <v>3585</v>
      </c>
      <c r="B257" s="9" t="s">
        <v>241</v>
      </c>
      <c r="C257" s="32">
        <v>2025</v>
      </c>
      <c r="D257" s="9"/>
      <c r="E257" s="9" t="str">
        <f>IF($A257="","",IFERROR(_xlfn.XLOOKUP($A257,'2_DOI_Lookup'!$D$2:$D$430,'2_DOI_Lookup'!$E$2:$E$430),"TITLE NOT IN SOURCE"))</f>
        <v>A REVIEW OF THE APPLICATION OF ONTOLOGIES AND SEMANTIC WEB FOR BUILDING INFORMATION MODELLING AND DIGITAL TWINS BASED CONSTRUCTION MANAGEMENT</v>
      </c>
      <c r="F257" s="26" t="s">
        <v>309</v>
      </c>
      <c r="G257" s="27" t="s">
        <v>311</v>
      </c>
      <c r="H257" s="27" t="s">
        <v>311</v>
      </c>
      <c r="I257" s="27" t="s">
        <v>311</v>
      </c>
      <c r="J257" s="27" t="s">
        <v>311</v>
      </c>
      <c r="K257" s="27" t="s">
        <v>311</v>
      </c>
      <c r="L257" s="28" t="str">
        <f t="shared" si="16"/>
        <v>INCLUDE</v>
      </c>
      <c r="M257" s="28" t="str">
        <f t="shared" si="17"/>
        <v/>
      </c>
      <c r="N257" s="29" t="s">
        <v>49</v>
      </c>
      <c r="O257" s="29" t="s">
        <v>49</v>
      </c>
      <c r="P257" s="30" t="s">
        <v>49</v>
      </c>
      <c r="Q257" s="30" t="s">
        <v>49</v>
      </c>
      <c r="R257" s="30" t="s">
        <v>49</v>
      </c>
      <c r="S257" s="28" t="str">
        <f t="shared" si="18"/>
        <v>INCLUDE</v>
      </c>
      <c r="T257" s="28" t="str">
        <f t="shared" si="19"/>
        <v/>
      </c>
      <c r="U257" s="31" t="s">
        <v>82</v>
      </c>
      <c r="V257" s="31">
        <v>0</v>
      </c>
      <c r="W257" s="31">
        <v>1</v>
      </c>
      <c r="X257" s="31">
        <v>0</v>
      </c>
      <c r="Y257" s="28" t="str">
        <f t="shared" si="20"/>
        <v>Single</v>
      </c>
      <c r="Z257" s="31" t="s">
        <v>69</v>
      </c>
      <c r="AA257" s="31" t="s">
        <v>53</v>
      </c>
      <c r="AB257" s="31" t="s">
        <v>89</v>
      </c>
      <c r="AC257" s="31" t="s">
        <v>64</v>
      </c>
      <c r="AD257" s="31" t="s">
        <v>56</v>
      </c>
      <c r="AE257" s="31">
        <v>3</v>
      </c>
      <c r="AF257" s="31" t="s">
        <v>66</v>
      </c>
      <c r="AG257" s="15" t="s">
        <v>722</v>
      </c>
      <c r="AH257" s="97" t="s">
        <v>914</v>
      </c>
      <c r="AI257" s="97" t="s">
        <v>915</v>
      </c>
      <c r="AJ257" s="98" t="s">
        <v>82</v>
      </c>
      <c r="AK257" s="98" t="s">
        <v>1172</v>
      </c>
      <c r="AL257" s="98" t="s">
        <v>1083</v>
      </c>
      <c r="AM257" s="99"/>
      <c r="AN257" s="100" t="s">
        <v>1266</v>
      </c>
      <c r="AO257" s="101" t="str">
        <f>IF($A257="","",IFERROR(_xlfn.XLOOKUP($A257,'2_DOI_Lookup'!$A$2:$A$430,'2_DOI_Lookup'!$B$2:$B$430),"NOT IN SOURCE"))</f>
        <v>10.36680/j.itcon.2025.049</v>
      </c>
    </row>
    <row r="258" spans="1:41" ht="114" x14ac:dyDescent="0.3">
      <c r="A258" s="26">
        <v>3970</v>
      </c>
      <c r="B258" s="9" t="s">
        <v>242</v>
      </c>
      <c r="C258" s="32">
        <v>2026</v>
      </c>
      <c r="D258" s="9"/>
      <c r="E258" s="9" t="str">
        <f>IF($A258="","",IFERROR(_xlfn.XLOOKUP($A258,'2_DOI_Lookup'!$D$2:$D$430,'2_DOI_Lookup'!$E$2:$E$430),"TITLE NOT IN SOURCE"))</f>
        <v>An Anomaly-Enhanced Digital Twin (AEDT) Model for Intelligent Inspection and Management of Civil Infrastructure</v>
      </c>
      <c r="F258" s="26" t="s">
        <v>310</v>
      </c>
      <c r="G258" s="27" t="s">
        <v>311</v>
      </c>
      <c r="H258" s="27" t="s">
        <v>311</v>
      </c>
      <c r="I258" s="27" t="s">
        <v>311</v>
      </c>
      <c r="J258" s="27" t="s">
        <v>311</v>
      </c>
      <c r="K258" s="27" t="s">
        <v>311</v>
      </c>
      <c r="L258" s="28" t="str">
        <f t="shared" si="16"/>
        <v>INCLUDE</v>
      </c>
      <c r="M258" s="28" t="str">
        <f t="shared" si="17"/>
        <v/>
      </c>
      <c r="N258" s="29" t="s">
        <v>49</v>
      </c>
      <c r="O258" s="29" t="s">
        <v>49</v>
      </c>
      <c r="P258" s="30" t="s">
        <v>49</v>
      </c>
      <c r="Q258" s="30" t="s">
        <v>49</v>
      </c>
      <c r="R258" s="30" t="s">
        <v>49</v>
      </c>
      <c r="S258" s="28" t="str">
        <f t="shared" si="18"/>
        <v>INCLUDE</v>
      </c>
      <c r="T258" s="28" t="str">
        <f t="shared" si="19"/>
        <v/>
      </c>
      <c r="U258" s="31" t="s">
        <v>61</v>
      </c>
      <c r="V258" s="31">
        <v>0</v>
      </c>
      <c r="W258" s="31">
        <v>0</v>
      </c>
      <c r="X258" s="31">
        <v>1</v>
      </c>
      <c r="Y258" s="28" t="str">
        <f t="shared" si="20"/>
        <v>Single</v>
      </c>
      <c r="Z258" s="31" t="s">
        <v>9</v>
      </c>
      <c r="AA258" s="31" t="s">
        <v>53</v>
      </c>
      <c r="AB258" s="31" t="s">
        <v>54</v>
      </c>
      <c r="AC258" s="31" t="s">
        <v>64</v>
      </c>
      <c r="AD258" s="31" t="s">
        <v>72</v>
      </c>
      <c r="AE258" s="31">
        <v>4</v>
      </c>
      <c r="AF258" s="31" t="s">
        <v>73</v>
      </c>
      <c r="AG258" s="15" t="s">
        <v>723</v>
      </c>
      <c r="AH258" s="97" t="s">
        <v>916</v>
      </c>
      <c r="AI258" s="97" t="s">
        <v>917</v>
      </c>
      <c r="AJ258" s="98" t="s">
        <v>1081</v>
      </c>
      <c r="AK258" s="98" t="s">
        <v>1173</v>
      </c>
      <c r="AL258" s="98" t="s">
        <v>1083</v>
      </c>
      <c r="AM258" s="99"/>
      <c r="AN258" s="100" t="s">
        <v>1406</v>
      </c>
      <c r="AO258" s="101" t="str">
        <f>IF($A258="","",IFERROR(_xlfn.XLOOKUP($A258,'2_DOI_Lookup'!$A$2:$A$430,'2_DOI_Lookup'!$B$2:$B$430),"NOT IN SOURCE"))</f>
        <v>10.1155/adce/2063316</v>
      </c>
    </row>
    <row r="259" spans="1:41" ht="86.4" x14ac:dyDescent="0.3">
      <c r="A259" s="26">
        <v>3989</v>
      </c>
      <c r="B259" s="9" t="s">
        <v>243</v>
      </c>
      <c r="C259" s="32">
        <v>2022</v>
      </c>
      <c r="D259" s="9"/>
      <c r="E259" s="9" t="str">
        <f>IF($A259="","",IFERROR(_xlfn.XLOOKUP($A259,'2_DOI_Lookup'!$D$2:$D$430,'2_DOI_Lookup'!$E$2:$E$430),"TITLE NOT IN SOURCE"))</f>
        <v>Enriching geometric digital twins of buildings with small objects by fusing laser scanning and AI-based image recognition</v>
      </c>
      <c r="F259" s="26" t="s">
        <v>310</v>
      </c>
      <c r="G259" s="27" t="s">
        <v>311</v>
      </c>
      <c r="H259" s="27" t="s">
        <v>311</v>
      </c>
      <c r="I259" s="27" t="s">
        <v>311</v>
      </c>
      <c r="J259" s="27" t="s">
        <v>311</v>
      </c>
      <c r="K259" s="27" t="s">
        <v>311</v>
      </c>
      <c r="L259" s="28" t="str">
        <f t="shared" si="16"/>
        <v>INCLUDE</v>
      </c>
      <c r="M259" s="28" t="str">
        <f t="shared" si="17"/>
        <v/>
      </c>
      <c r="N259" s="29" t="s">
        <v>311</v>
      </c>
      <c r="O259" s="29" t="s">
        <v>311</v>
      </c>
      <c r="P259" s="30" t="s">
        <v>311</v>
      </c>
      <c r="Q259" s="30" t="s">
        <v>311</v>
      </c>
      <c r="R259" s="30" t="s">
        <v>311</v>
      </c>
      <c r="S259" s="28" t="str">
        <f t="shared" si="18"/>
        <v>INCLUDE</v>
      </c>
      <c r="T259" s="28" t="str">
        <f t="shared" si="19"/>
        <v/>
      </c>
      <c r="U259" s="31" t="s">
        <v>52</v>
      </c>
      <c r="V259" s="31">
        <v>0</v>
      </c>
      <c r="W259" s="31">
        <v>0</v>
      </c>
      <c r="X259" s="31">
        <v>1</v>
      </c>
      <c r="Y259" s="28" t="str">
        <f t="shared" si="20"/>
        <v>Single</v>
      </c>
      <c r="Z259" s="31" t="s">
        <v>9</v>
      </c>
      <c r="AA259" s="31" t="s">
        <v>53</v>
      </c>
      <c r="AB259" s="31" t="s">
        <v>54</v>
      </c>
      <c r="AC259" s="31" t="s">
        <v>64</v>
      </c>
      <c r="AD259" s="31" t="s">
        <v>72</v>
      </c>
      <c r="AE259" s="31">
        <v>4</v>
      </c>
      <c r="AF259" s="31" t="s">
        <v>73</v>
      </c>
      <c r="AG259" s="15" t="s">
        <v>642</v>
      </c>
      <c r="AH259" s="97" t="s">
        <v>918</v>
      </c>
      <c r="AI259" s="97" t="s">
        <v>919</v>
      </c>
      <c r="AJ259" s="98" t="s">
        <v>1081</v>
      </c>
      <c r="AK259" s="98" t="s">
        <v>1174</v>
      </c>
      <c r="AL259" s="98" t="s">
        <v>1083</v>
      </c>
      <c r="AM259" s="99"/>
      <c r="AN259" s="100" t="s">
        <v>1423</v>
      </c>
      <c r="AO259" s="101" t="str">
        <f>IF($A259="","",IFERROR(_xlfn.XLOOKUP($A259,'2_DOI_Lookup'!$A$2:$A$430,'2_DOI_Lookup'!$B$2:$B$430),"NOT IN SOURCE"))</f>
        <v>10.1016/j.autcon.2022.104375</v>
      </c>
    </row>
    <row r="260" spans="1:41" ht="68.400000000000006" hidden="1" x14ac:dyDescent="0.3">
      <c r="A260" s="26">
        <v>4003</v>
      </c>
      <c r="B260" s="9" t="s">
        <v>244</v>
      </c>
      <c r="C260" s="32">
        <v>2024</v>
      </c>
      <c r="D260" s="9"/>
      <c r="E260" s="9" t="str">
        <f>IF($A260="","",IFERROR(_xlfn.XLOOKUP($A260,'2_DOI_Lookup'!$D$2:$D$430,'2_DOI_Lookup'!$E$2:$E$430),"TITLE NOT IN SOURCE"))</f>
        <v>Unlocking the Potential of Digital Twins in Construction: A Systematic and Quantitative Review Using Text Mining</v>
      </c>
      <c r="F260" s="26" t="s">
        <v>310</v>
      </c>
      <c r="G260" s="27" t="s">
        <v>311</v>
      </c>
      <c r="H260" s="27" t="s">
        <v>311</v>
      </c>
      <c r="I260" s="27" t="s">
        <v>311</v>
      </c>
      <c r="J260" s="27" t="s">
        <v>311</v>
      </c>
      <c r="K260" s="27" t="s">
        <v>311</v>
      </c>
      <c r="L260" s="28" t="str">
        <f t="shared" si="16"/>
        <v>INCLUDE</v>
      </c>
      <c r="M260" s="28" t="str">
        <f t="shared" si="17"/>
        <v/>
      </c>
      <c r="N260" s="29" t="s">
        <v>311</v>
      </c>
      <c r="O260" s="29" t="s">
        <v>311</v>
      </c>
      <c r="P260" s="30" t="s">
        <v>312</v>
      </c>
      <c r="Q260" s="30" t="s">
        <v>311</v>
      </c>
      <c r="R260" s="30" t="s">
        <v>312</v>
      </c>
      <c r="S260" s="28" t="str">
        <f t="shared" si="18"/>
        <v>EXCLUDE</v>
      </c>
      <c r="T260" s="28" t="str">
        <f t="shared" si="19"/>
        <v>Digital Twin mentioned only, not the subject</v>
      </c>
      <c r="U260" s="31" t="s">
        <v>82</v>
      </c>
      <c r="V260" s="31"/>
      <c r="W260" s="31"/>
      <c r="X260" s="31"/>
      <c r="Y260" s="28" t="str">
        <f t="shared" si="20"/>
        <v/>
      </c>
      <c r="Z260" s="31"/>
      <c r="AA260" s="31"/>
      <c r="AB260" s="31"/>
      <c r="AC260" s="31"/>
      <c r="AD260" s="31"/>
      <c r="AE260" s="31"/>
      <c r="AF260" s="31"/>
      <c r="AG260" s="15" t="s">
        <v>643</v>
      </c>
      <c r="AH260" s="97"/>
      <c r="AI260" s="97"/>
      <c r="AJ260" s="98"/>
      <c r="AK260" s="98"/>
      <c r="AL260" s="98"/>
      <c r="AM260" s="99"/>
      <c r="AN260" s="100" t="s">
        <v>1429</v>
      </c>
      <c r="AO260" s="101" t="str">
        <f>IF($A260="","",IFERROR(_xlfn.XLOOKUP($A260,'2_DOI_Lookup'!$A$2:$A$430,'2_DOI_Lookup'!$B$2:$B$430),"NOT IN SOURCE"))</f>
        <v>10.3390/buildings14030702</v>
      </c>
    </row>
    <row r="261" spans="1:41" ht="68.400000000000006" hidden="1" x14ac:dyDescent="0.3">
      <c r="A261" s="73">
        <v>4021</v>
      </c>
      <c r="B261" s="74"/>
      <c r="C261" s="75"/>
      <c r="D261" s="74"/>
      <c r="E261" s="74" t="str">
        <f>IF($A261="","",IFERROR(_xlfn.XLOOKUP($A261,'2_DOI_Lookup'!$D$2:$D$430,'2_DOI_Lookup'!$E$2:$E$430),"TITLE NOT IN SOURCE"))</f>
        <v>Design and Implementation of a Smart IoT Based Building and Town Disaster Management System in Smart City Infrastructure</v>
      </c>
      <c r="F261" s="73" t="s">
        <v>310</v>
      </c>
      <c r="G261" s="76" t="s">
        <v>311</v>
      </c>
      <c r="H261" s="76" t="s">
        <v>312</v>
      </c>
      <c r="I261" s="76" t="s">
        <v>311</v>
      </c>
      <c r="J261" s="76" t="s">
        <v>311</v>
      </c>
      <c r="K261" s="76" t="s">
        <v>311</v>
      </c>
      <c r="L261" s="77" t="str">
        <f t="shared" ref="L261:L324" si="21">IF(COUNTBLANK(G261:K261)=5,"",IF(COUNTIF(G261:K261,"No")&gt;0,"EXCLUDE","INCLUDE"))</f>
        <v>EXCLUDE</v>
      </c>
      <c r="M261" s="77" t="str">
        <f t="shared" ref="M261:M324" si="22">IF(L261&lt;&gt;"EXCLUDE","",IF(G261="No","Wrong domain (non-AECO)",IF(H261="No","Digital Twin not core / buzzword",IF(I261="No","No Design for Safety/Quality/PtD",IF(J261="No","Wrong publication type",IF(K261="No","Non-English",""))))))</f>
        <v>Digital Twin not core / buzzword</v>
      </c>
      <c r="N261" s="78"/>
      <c r="O261" s="78"/>
      <c r="P261" s="79"/>
      <c r="Q261" s="79"/>
      <c r="R261" s="79"/>
      <c r="S261" s="77" t="str">
        <f t="shared" ref="S261:S324" si="23">IF(N261&lt;&gt;"Yes","",IF(COUNTBLANK(P261:R261)=3,"",IF(COUNTIF(P261:R261,"No")&gt;0,"EXCLUDE","INCLUDE")))</f>
        <v/>
      </c>
      <c r="T261" s="77" t="str">
        <f t="shared" ref="T261:T324" si="24">IF(S261&lt;&gt;"EXCLUDE","",IF(P261="No","Digital Twin mentioned only, not the subject",IF(Q261="No","No Design for Safety/Quality in full text",IF(R261="No","Methodology not codable",""))))</f>
        <v/>
      </c>
      <c r="U261" s="80"/>
      <c r="V261" s="80"/>
      <c r="W261" s="80"/>
      <c r="X261" s="80"/>
      <c r="Y261" s="77" t="str">
        <f t="shared" ref="Y261:Y324" si="25">IF(SUM(V261:X261)=0,"",IF(SUM(V261:X261)&gt;=2,"Multi","Single"))</f>
        <v/>
      </c>
      <c r="Z261" s="80"/>
      <c r="AA261" s="80"/>
      <c r="AB261" s="80"/>
      <c r="AC261" s="80"/>
      <c r="AD261" s="80"/>
      <c r="AE261" s="80"/>
      <c r="AF261" s="80"/>
      <c r="AG261" s="81" t="s">
        <v>486</v>
      </c>
      <c r="AH261" s="35"/>
      <c r="AI261" s="35"/>
      <c r="AK261"/>
      <c r="AM261" s="56"/>
      <c r="AN261" s="57"/>
      <c r="AO261" s="63" t="str">
        <f>IF($A261="","",IFERROR(_xlfn.XLOOKUP($A261,'2_DOI_Lookup'!$A$2:$A$430,'2_DOI_Lookup'!$B$2:$B$430),"NOT IN SOURCE"))</f>
        <v>10.3390/app8112239</v>
      </c>
    </row>
    <row r="262" spans="1:41" ht="68.400000000000006" hidden="1" x14ac:dyDescent="0.3">
      <c r="A262" s="26">
        <v>3764</v>
      </c>
      <c r="B262" s="9"/>
      <c r="C262" s="32"/>
      <c r="D262" s="9"/>
      <c r="E262" s="9" t="str">
        <f>IF($A262="","",IFERROR(_xlfn.XLOOKUP($A262,'2_DOI_Lookup'!$D$2:$D$430,'2_DOI_Lookup'!$E$2:$E$430),"TITLE NOT IN SOURCE"))</f>
        <v>Current Benefits of ASCE 75 and its Potential to Affect Digital As-Built Initiatives at State Departments of Transportation</v>
      </c>
      <c r="F262" s="26" t="s">
        <v>309</v>
      </c>
      <c r="G262" s="27" t="s">
        <v>311</v>
      </c>
      <c r="H262" s="27" t="s">
        <v>312</v>
      </c>
      <c r="I262" s="27" t="s">
        <v>312</v>
      </c>
      <c r="J262" s="27" t="s">
        <v>311</v>
      </c>
      <c r="K262" s="27" t="s">
        <v>311</v>
      </c>
      <c r="L262" s="28" t="str">
        <f t="shared" si="21"/>
        <v>EXCLUDE</v>
      </c>
      <c r="M262" s="28" t="str">
        <f t="shared" si="22"/>
        <v>Digital Twin not core / buzzword</v>
      </c>
      <c r="N262" s="29"/>
      <c r="O262" s="29"/>
      <c r="P262" s="30"/>
      <c r="Q262" s="30"/>
      <c r="R262" s="30"/>
      <c r="S262" s="28" t="str">
        <f t="shared" si="23"/>
        <v/>
      </c>
      <c r="T262" s="28" t="str">
        <f t="shared" si="24"/>
        <v/>
      </c>
      <c r="U262" s="31"/>
      <c r="V262" s="31"/>
      <c r="W262" s="31"/>
      <c r="X262" s="31"/>
      <c r="Y262" s="28" t="str">
        <f t="shared" si="25"/>
        <v/>
      </c>
      <c r="Z262" s="31"/>
      <c r="AA262" s="31"/>
      <c r="AB262" s="31"/>
      <c r="AC262" s="31"/>
      <c r="AD262" s="31"/>
      <c r="AE262" s="31"/>
      <c r="AF262" s="31"/>
      <c r="AG262" s="15" t="s">
        <v>487</v>
      </c>
      <c r="AH262" s="35"/>
      <c r="AI262" s="35"/>
      <c r="AK262"/>
      <c r="AM262" s="56"/>
      <c r="AN262" s="57"/>
      <c r="AO262" s="63" t="str">
        <f>IF($A262="","",IFERROR(_xlfn.XLOOKUP($A262,'2_DOI_Lookup'!$A$2:$A$430,'2_DOI_Lookup'!$B$2:$B$430),"NOT IN SOURCE"))</f>
        <v>10.1177/03611981231182961</v>
      </c>
    </row>
    <row r="263" spans="1:41" ht="45.6" hidden="1" x14ac:dyDescent="0.3">
      <c r="A263" s="64">
        <v>3497</v>
      </c>
      <c r="B263" s="65"/>
      <c r="C263" s="66"/>
      <c r="D263" s="65"/>
      <c r="E263" s="65" t="str">
        <f>IF($A263="","",IFERROR(_xlfn.XLOOKUP($A263,'2_DOI_Lookup'!$D$2:$D$430,'2_DOI_Lookup'!$E$2:$E$430),"TITLE NOT IN SOURCE"))</f>
        <v>Digital Twin development and implementation for the management of irrigation networks</v>
      </c>
      <c r="F263" s="64" t="s">
        <v>309</v>
      </c>
      <c r="G263" s="67" t="s">
        <v>312</v>
      </c>
      <c r="H263" s="67" t="s">
        <v>311</v>
      </c>
      <c r="I263" s="67" t="s">
        <v>312</v>
      </c>
      <c r="J263" s="67" t="s">
        <v>311</v>
      </c>
      <c r="K263" s="67" t="s">
        <v>311</v>
      </c>
      <c r="L263" s="68" t="str">
        <f t="shared" si="21"/>
        <v>EXCLUDE</v>
      </c>
      <c r="M263" s="68" t="str">
        <f t="shared" si="22"/>
        <v>Wrong domain (non-AECO)</v>
      </c>
      <c r="N263" s="69"/>
      <c r="O263" s="69"/>
      <c r="P263" s="70"/>
      <c r="Q263" s="70"/>
      <c r="R263" s="70"/>
      <c r="S263" s="68" t="str">
        <f t="shared" si="23"/>
        <v/>
      </c>
      <c r="T263" s="68" t="str">
        <f t="shared" si="24"/>
        <v/>
      </c>
      <c r="U263" s="71"/>
      <c r="V263" s="71"/>
      <c r="W263" s="71"/>
      <c r="X263" s="71"/>
      <c r="Y263" s="68" t="str">
        <f t="shared" si="25"/>
        <v/>
      </c>
      <c r="Z263" s="71"/>
      <c r="AA263" s="71"/>
      <c r="AB263" s="71"/>
      <c r="AC263" s="71"/>
      <c r="AD263" s="71"/>
      <c r="AE263" s="71"/>
      <c r="AF263" s="71"/>
      <c r="AG263" s="72" t="s">
        <v>488</v>
      </c>
      <c r="AH263" s="35"/>
      <c r="AI263" s="35"/>
      <c r="AK263"/>
      <c r="AM263" s="56"/>
      <c r="AN263" s="57"/>
      <c r="AO263" s="63" t="str">
        <f>IF($A263="","",IFERROR(_xlfn.XLOOKUP($A263,'2_DOI_Lookup'!$A$2:$A$430,'2_DOI_Lookup'!$B$2:$B$430),"NOT IN SOURCE"))</f>
        <v>10.1016/j.eswa.2025.129330</v>
      </c>
    </row>
    <row r="264" spans="1:41" ht="91.2" hidden="1" x14ac:dyDescent="0.3">
      <c r="A264" s="26">
        <v>3755</v>
      </c>
      <c r="B264" s="9" t="s">
        <v>245</v>
      </c>
      <c r="C264" s="32">
        <v>2026</v>
      </c>
      <c r="D264" s="9"/>
      <c r="E264" s="9" t="str">
        <f>IF($A264="","",IFERROR(_xlfn.XLOOKUP($A264,'2_DOI_Lookup'!$D$2:$D$430,'2_DOI_Lookup'!$E$2:$E$430),"TITLE NOT IN SOURCE"))</f>
        <v>ESTIMATING THE SERVICE LIFE OF CONCRETE REINFORCED WITH ADVANCED MATERIALS: INTEGRATION OF IOT SENSORS AND DIGITAL TWINS</v>
      </c>
      <c r="F264" s="26" t="s">
        <v>309</v>
      </c>
      <c r="G264" s="27" t="s">
        <v>311</v>
      </c>
      <c r="H264" s="27" t="s">
        <v>311</v>
      </c>
      <c r="I264" s="27" t="s">
        <v>311</v>
      </c>
      <c r="J264" s="27" t="s">
        <v>311</v>
      </c>
      <c r="K264" s="27" t="s">
        <v>311</v>
      </c>
      <c r="L264" s="28" t="str">
        <f t="shared" si="21"/>
        <v>INCLUDE</v>
      </c>
      <c r="M264" s="28" t="str">
        <f t="shared" si="22"/>
        <v/>
      </c>
      <c r="N264" s="29" t="s">
        <v>49</v>
      </c>
      <c r="O264" s="29" t="s">
        <v>49</v>
      </c>
      <c r="P264" s="30" t="s">
        <v>58</v>
      </c>
      <c r="Q264" s="30" t="s">
        <v>58</v>
      </c>
      <c r="R264" s="30" t="s">
        <v>58</v>
      </c>
      <c r="S264" s="28" t="str">
        <f t="shared" si="23"/>
        <v>EXCLUDE</v>
      </c>
      <c r="T264" s="28" t="str">
        <f t="shared" si="24"/>
        <v>Digital Twin mentioned only, not the subject</v>
      </c>
      <c r="U264" s="31" t="s">
        <v>82</v>
      </c>
      <c r="V264" s="31"/>
      <c r="W264" s="31"/>
      <c r="X264" s="31"/>
      <c r="Y264" s="28" t="str">
        <f t="shared" si="25"/>
        <v/>
      </c>
      <c r="Z264" s="31"/>
      <c r="AA264" s="31"/>
      <c r="AB264" s="31"/>
      <c r="AC264" s="31"/>
      <c r="AD264" s="31"/>
      <c r="AE264" s="31"/>
      <c r="AF264" s="31"/>
      <c r="AG264" s="15" t="s">
        <v>724</v>
      </c>
      <c r="AH264" s="97"/>
      <c r="AI264" s="97"/>
      <c r="AJ264" s="98"/>
      <c r="AK264" s="98"/>
      <c r="AL264" s="98"/>
      <c r="AM264" s="99"/>
      <c r="AN264" s="100" t="s">
        <v>1292</v>
      </c>
      <c r="AO264" s="101" t="str">
        <f>IF($A264="","",IFERROR(_xlfn.XLOOKUP($A264,'2_DOI_Lookup'!$A$2:$A$430,'2_DOI_Lookup'!$B$2:$B$430),"NOT IN SOURCE"))</f>
        <v>10.5935/jetia.v12i57.3125</v>
      </c>
    </row>
    <row r="265" spans="1:41" ht="79.8" hidden="1" x14ac:dyDescent="0.3">
      <c r="A265" s="82">
        <v>3902</v>
      </c>
      <c r="B265" s="83"/>
      <c r="C265" s="84"/>
      <c r="D265" s="83"/>
      <c r="E265" s="83" t="str">
        <f>IF($A265="","",IFERROR(_xlfn.XLOOKUP($A265,'2_DOI_Lookup'!$D$2:$D$430,'2_DOI_Lookup'!$E$2:$E$430),"TITLE NOT IN SOURCE"))</f>
        <v>BIM and TLS Point Cloud Integration for Information Management of Underground Coal Mines: A Case Study in Nui Beo Underground Coal Mining in Vietnam</v>
      </c>
      <c r="F265" s="82" t="s">
        <v>310</v>
      </c>
      <c r="G265" s="85" t="s">
        <v>312</v>
      </c>
      <c r="H265" s="85" t="s">
        <v>312</v>
      </c>
      <c r="I265" s="85" t="s">
        <v>311</v>
      </c>
      <c r="J265" s="85" t="s">
        <v>311</v>
      </c>
      <c r="K265" s="85" t="s">
        <v>311</v>
      </c>
      <c r="L265" s="86" t="str">
        <f t="shared" si="21"/>
        <v>EXCLUDE</v>
      </c>
      <c r="M265" s="86" t="str">
        <f t="shared" si="22"/>
        <v>Wrong domain (non-AECO)</v>
      </c>
      <c r="N265" s="87"/>
      <c r="O265" s="87"/>
      <c r="P265" s="88"/>
      <c r="Q265" s="88"/>
      <c r="R265" s="88"/>
      <c r="S265" s="86" t="str">
        <f t="shared" si="23"/>
        <v/>
      </c>
      <c r="T265" s="86" t="str">
        <f t="shared" si="24"/>
        <v/>
      </c>
      <c r="U265" s="89"/>
      <c r="V265" s="89"/>
      <c r="W265" s="89"/>
      <c r="X265" s="89"/>
      <c r="Y265" s="86" t="str">
        <f t="shared" si="25"/>
        <v/>
      </c>
      <c r="Z265" s="89"/>
      <c r="AA265" s="89"/>
      <c r="AB265" s="89"/>
      <c r="AC265" s="89"/>
      <c r="AD265" s="89"/>
      <c r="AE265" s="89"/>
      <c r="AF265" s="89"/>
      <c r="AG265" s="90" t="s">
        <v>489</v>
      </c>
      <c r="AH265" s="35"/>
      <c r="AI265" s="35"/>
      <c r="AK265"/>
      <c r="AM265" s="56"/>
      <c r="AN265" s="57"/>
      <c r="AO265" s="63" t="str">
        <f>IF($A265="","",IFERROR(_xlfn.XLOOKUP($A265,'2_DOI_Lookup'!$A$2:$A$430,'2_DOI_Lookup'!$B$2:$B$430),"NOT IN SOURCE"))</f>
        <v>10.1007/s12205-024-0247-9</v>
      </c>
    </row>
    <row r="266" spans="1:41" ht="102.6" x14ac:dyDescent="0.3">
      <c r="A266" s="26">
        <v>3881</v>
      </c>
      <c r="B266" s="9" t="s">
        <v>246</v>
      </c>
      <c r="C266" s="32">
        <v>2026</v>
      </c>
      <c r="D266" s="9"/>
      <c r="E266" s="9" t="str">
        <f>IF($A266="","",IFERROR(_xlfn.XLOOKUP($A266,'2_DOI_Lookup'!$D$2:$D$430,'2_DOI_Lookup'!$E$2:$E$430),"TITLE NOT IN SOURCE"))</f>
        <v>Designing a BIM-enhanced digital twin architecture for construction pollution management in building renovation projects</v>
      </c>
      <c r="F266" s="26" t="s">
        <v>310</v>
      </c>
      <c r="G266" s="27" t="s">
        <v>311</v>
      </c>
      <c r="H266" s="27" t="s">
        <v>311</v>
      </c>
      <c r="I266" s="27" t="s">
        <v>311</v>
      </c>
      <c r="J266" s="27" t="s">
        <v>311</v>
      </c>
      <c r="K266" s="27" t="s">
        <v>311</v>
      </c>
      <c r="L266" s="28" t="str">
        <f t="shared" si="21"/>
        <v>INCLUDE</v>
      </c>
      <c r="M266" s="28" t="str">
        <f t="shared" si="22"/>
        <v/>
      </c>
      <c r="N266" s="29" t="s">
        <v>49</v>
      </c>
      <c r="O266" s="29" t="s">
        <v>49</v>
      </c>
      <c r="P266" s="30" t="s">
        <v>49</v>
      </c>
      <c r="Q266" s="30" t="s">
        <v>49</v>
      </c>
      <c r="R266" s="30" t="s">
        <v>49</v>
      </c>
      <c r="S266" s="28" t="str">
        <f t="shared" si="23"/>
        <v>INCLUDE</v>
      </c>
      <c r="T266" s="28" t="str">
        <f t="shared" si="24"/>
        <v/>
      </c>
      <c r="U266" s="31" t="s">
        <v>61</v>
      </c>
      <c r="V266" s="31">
        <v>0</v>
      </c>
      <c r="W266" s="31">
        <v>1</v>
      </c>
      <c r="X266" s="31">
        <v>0</v>
      </c>
      <c r="Y266" s="28" t="str">
        <f t="shared" si="25"/>
        <v>Single</v>
      </c>
      <c r="Z266" s="31" t="s">
        <v>9</v>
      </c>
      <c r="AA266" s="31" t="s">
        <v>53</v>
      </c>
      <c r="AB266" s="31" t="s">
        <v>91</v>
      </c>
      <c r="AC266" s="31" t="s">
        <v>64</v>
      </c>
      <c r="AD266" s="31" t="s">
        <v>72</v>
      </c>
      <c r="AE266" s="31">
        <v>4</v>
      </c>
      <c r="AF266" s="31" t="s">
        <v>57</v>
      </c>
      <c r="AG266" s="15" t="s">
        <v>725</v>
      </c>
      <c r="AH266" s="97" t="s">
        <v>920</v>
      </c>
      <c r="AI266" s="97" t="s">
        <v>921</v>
      </c>
      <c r="AJ266" s="98" t="s">
        <v>1080</v>
      </c>
      <c r="AK266" s="98" t="s">
        <v>1175</v>
      </c>
      <c r="AL266" s="98" t="s">
        <v>1083</v>
      </c>
      <c r="AM266" s="99"/>
      <c r="AN266" s="100" t="s">
        <v>1317</v>
      </c>
      <c r="AO266" s="101" t="str">
        <f>IF($A266="","",IFERROR(_xlfn.XLOOKUP($A266,'2_DOI_Lookup'!$A$2:$A$430,'2_DOI_Lookup'!$B$2:$B$430),"NOT IN SOURCE"))</f>
        <v>10.1080/15623599.2026.2651946</v>
      </c>
    </row>
    <row r="267" spans="1:41" ht="57" hidden="1" x14ac:dyDescent="0.3">
      <c r="A267" s="73">
        <v>3798</v>
      </c>
      <c r="B267" s="74"/>
      <c r="C267" s="75"/>
      <c r="D267" s="74"/>
      <c r="E267" s="74" t="str">
        <f>IF($A267="","",IFERROR(_xlfn.XLOOKUP($A267,'2_DOI_Lookup'!$D$2:$D$430,'2_DOI_Lookup'!$E$2:$E$430),"TITLE NOT IN SOURCE"))</f>
        <v>Optimizing construction site layouts with dynamic multi-objective methods and time-based facility placement</v>
      </c>
      <c r="F267" s="73" t="s">
        <v>309</v>
      </c>
      <c r="G267" s="76" t="s">
        <v>311</v>
      </c>
      <c r="H267" s="76" t="s">
        <v>312</v>
      </c>
      <c r="I267" s="76" t="s">
        <v>311</v>
      </c>
      <c r="J267" s="76" t="s">
        <v>311</v>
      </c>
      <c r="K267" s="76" t="s">
        <v>311</v>
      </c>
      <c r="L267" s="77" t="str">
        <f t="shared" si="21"/>
        <v>EXCLUDE</v>
      </c>
      <c r="M267" s="77" t="str">
        <f t="shared" si="22"/>
        <v>Digital Twin not core / buzzword</v>
      </c>
      <c r="N267" s="78"/>
      <c r="O267" s="78"/>
      <c r="P267" s="79"/>
      <c r="Q267" s="79"/>
      <c r="R267" s="79"/>
      <c r="S267" s="77" t="str">
        <f t="shared" si="23"/>
        <v/>
      </c>
      <c r="T267" s="77" t="str">
        <f t="shared" si="24"/>
        <v/>
      </c>
      <c r="U267" s="80"/>
      <c r="V267" s="80"/>
      <c r="W267" s="80"/>
      <c r="X267" s="80"/>
      <c r="Y267" s="77" t="str">
        <f t="shared" si="25"/>
        <v/>
      </c>
      <c r="Z267" s="80"/>
      <c r="AA267" s="80"/>
      <c r="AB267" s="80"/>
      <c r="AC267" s="80"/>
      <c r="AD267" s="80"/>
      <c r="AE267" s="80"/>
      <c r="AF267" s="80"/>
      <c r="AG267" s="81" t="s">
        <v>490</v>
      </c>
      <c r="AH267" s="35"/>
      <c r="AI267" s="35"/>
      <c r="AK267"/>
      <c r="AM267" s="56"/>
      <c r="AN267" s="57"/>
      <c r="AO267" s="63" t="str">
        <f>IF($A267="","",IFERROR(_xlfn.XLOOKUP($A267,'2_DOI_Lookup'!$A$2:$A$430,'2_DOI_Lookup'!$B$2:$B$430),"NOT IN SOURCE"))</f>
        <v>10.1108/ECAM-01-2025-0131</v>
      </c>
    </row>
    <row r="268" spans="1:41" ht="22.8" hidden="1" x14ac:dyDescent="0.3">
      <c r="A268" s="64">
        <v>3557</v>
      </c>
      <c r="B268" s="65"/>
      <c r="C268" s="66"/>
      <c r="D268" s="65"/>
      <c r="E268" s="65" t="str">
        <f>IF($A268="","",IFERROR(_xlfn.XLOOKUP($A268,'2_DOI_Lookup'!$D$2:$D$430,'2_DOI_Lookup'!$E$2:$E$430),"TITLE NOT IN SOURCE"))</f>
        <v>Risk assessment for modern industry</v>
      </c>
      <c r="F268" s="64" t="s">
        <v>309</v>
      </c>
      <c r="G268" s="67" t="s">
        <v>312</v>
      </c>
      <c r="H268" s="67" t="s">
        <v>311</v>
      </c>
      <c r="I268" s="67" t="s">
        <v>311</v>
      </c>
      <c r="J268" s="67" t="s">
        <v>311</v>
      </c>
      <c r="K268" s="67" t="s">
        <v>311</v>
      </c>
      <c r="L268" s="68" t="str">
        <f t="shared" si="21"/>
        <v>EXCLUDE</v>
      </c>
      <c r="M268" s="68" t="str">
        <f t="shared" si="22"/>
        <v>Wrong domain (non-AECO)</v>
      </c>
      <c r="N268" s="69"/>
      <c r="O268" s="69"/>
      <c r="P268" s="70"/>
      <c r="Q268" s="70"/>
      <c r="R268" s="70"/>
      <c r="S268" s="68" t="str">
        <f t="shared" si="23"/>
        <v/>
      </c>
      <c r="T268" s="68" t="str">
        <f t="shared" si="24"/>
        <v/>
      </c>
      <c r="U268" s="71"/>
      <c r="V268" s="71"/>
      <c r="W268" s="71"/>
      <c r="X268" s="71"/>
      <c r="Y268" s="68" t="str">
        <f t="shared" si="25"/>
        <v/>
      </c>
      <c r="Z268" s="71"/>
      <c r="AA268" s="71"/>
      <c r="AB268" s="71"/>
      <c r="AC268" s="71"/>
      <c r="AD268" s="71"/>
      <c r="AE268" s="71"/>
      <c r="AF268" s="71"/>
      <c r="AG268" s="72" t="s">
        <v>491</v>
      </c>
      <c r="AH268" s="35"/>
      <c r="AI268" s="35"/>
      <c r="AK268"/>
      <c r="AM268" s="56"/>
      <c r="AN268" s="57"/>
      <c r="AO268" s="63" t="str">
        <f>IF($A268="","",IFERROR(_xlfn.XLOOKUP($A268,'2_DOI_Lookup'!$A$2:$A$430,'2_DOI_Lookup'!$B$2:$B$430),"NOT IN SOURCE"))</f>
        <v>10.1016/j.ress.2025.112126</v>
      </c>
    </row>
    <row r="269" spans="1:41" ht="91.2" x14ac:dyDescent="0.3">
      <c r="A269" s="26">
        <v>3536</v>
      </c>
      <c r="B269" s="9" t="s">
        <v>247</v>
      </c>
      <c r="C269" s="32">
        <v>2024</v>
      </c>
      <c r="D269" s="9"/>
      <c r="E269" s="9" t="str">
        <f>IF($A269="","",IFERROR(_xlfn.XLOOKUP($A269,'2_DOI_Lookup'!$D$2:$D$430,'2_DOI_Lookup'!$E$2:$E$430),"TITLE NOT IN SOURCE"))</f>
        <v>DInSAR–SBAS satellite monitoring of infrastructures: how temperature affects the “Ponte della Musica” case study</v>
      </c>
      <c r="F269" s="26" t="s">
        <v>309</v>
      </c>
      <c r="G269" s="27" t="s">
        <v>311</v>
      </c>
      <c r="H269" s="27" t="s">
        <v>311</v>
      </c>
      <c r="I269" s="27" t="s">
        <v>311</v>
      </c>
      <c r="J269" s="27" t="s">
        <v>311</v>
      </c>
      <c r="K269" s="27" t="s">
        <v>311</v>
      </c>
      <c r="L269" s="28" t="str">
        <f t="shared" si="21"/>
        <v>INCLUDE</v>
      </c>
      <c r="M269" s="28" t="str">
        <f t="shared" si="22"/>
        <v/>
      </c>
      <c r="N269" s="29" t="s">
        <v>49</v>
      </c>
      <c r="O269" s="29" t="s">
        <v>49</v>
      </c>
      <c r="P269" s="30" t="s">
        <v>49</v>
      </c>
      <c r="Q269" s="30" t="s">
        <v>49</v>
      </c>
      <c r="R269" s="30" t="s">
        <v>49</v>
      </c>
      <c r="S269" s="28" t="str">
        <f t="shared" si="23"/>
        <v>INCLUDE</v>
      </c>
      <c r="T269" s="28" t="str">
        <f t="shared" si="24"/>
        <v/>
      </c>
      <c r="U269" s="31" t="s">
        <v>52</v>
      </c>
      <c r="V269" s="31">
        <v>0</v>
      </c>
      <c r="W269" s="31">
        <v>0</v>
      </c>
      <c r="X269" s="31">
        <v>1</v>
      </c>
      <c r="Y269" s="28" t="str">
        <f t="shared" si="25"/>
        <v>Single</v>
      </c>
      <c r="Z269" s="31" t="s">
        <v>9</v>
      </c>
      <c r="AA269" s="31" t="s">
        <v>53</v>
      </c>
      <c r="AB269" s="31" t="s">
        <v>88</v>
      </c>
      <c r="AC269" s="31" t="s">
        <v>64</v>
      </c>
      <c r="AD269" s="31" t="s">
        <v>72</v>
      </c>
      <c r="AE269" s="31">
        <v>4</v>
      </c>
      <c r="AF269" s="31" t="s">
        <v>84</v>
      </c>
      <c r="AG269" s="15" t="s">
        <v>726</v>
      </c>
      <c r="AH269" s="97" t="s">
        <v>922</v>
      </c>
      <c r="AI269" s="97" t="s">
        <v>923</v>
      </c>
      <c r="AJ269" s="98" t="s">
        <v>1080</v>
      </c>
      <c r="AK269" s="98" t="s">
        <v>1176</v>
      </c>
      <c r="AL269" s="98" t="s">
        <v>1084</v>
      </c>
      <c r="AM269" s="99"/>
      <c r="AN269" s="100" t="s">
        <v>1258</v>
      </c>
      <c r="AO269" s="101" t="str">
        <f>IF($A269="","",IFERROR(_xlfn.XLOOKUP($A269,'2_DOI_Lookup'!$A$2:$A$430,'2_DOI_Lookup'!$B$2:$B$430),"NOT IN SOURCE"))</f>
        <v>10.1007/s13349-023-00751-z</v>
      </c>
    </row>
    <row r="270" spans="1:41" s="138" customFormat="1" ht="115.2" x14ac:dyDescent="0.3">
      <c r="A270" s="125">
        <v>4044</v>
      </c>
      <c r="B270" s="126"/>
      <c r="C270" s="127"/>
      <c r="D270" s="126"/>
      <c r="E270" s="126" t="str">
        <f>IF($A270="","",IFERROR(_xlfn.XLOOKUP($A270,'2_DOI_Lookup'!$D$2:$D$430,'2_DOI_Lookup'!$E$2:$E$430),"TITLE NOT IN SOURCE"))</f>
        <v>DInSAR-SBAS satellite monitoring of infrastructures: how temperature affects the "Ponte della Musica" case study</v>
      </c>
      <c r="F270" s="125" t="s">
        <v>310</v>
      </c>
      <c r="G270" s="128" t="s">
        <v>311</v>
      </c>
      <c r="H270" s="128" t="s">
        <v>311</v>
      </c>
      <c r="I270" s="128" t="s">
        <v>311</v>
      </c>
      <c r="J270" s="128" t="s">
        <v>311</v>
      </c>
      <c r="K270" s="128" t="s">
        <v>311</v>
      </c>
      <c r="L270" s="129" t="str">
        <f t="shared" si="21"/>
        <v>INCLUDE</v>
      </c>
      <c r="M270" s="129" t="str">
        <f t="shared" si="22"/>
        <v/>
      </c>
      <c r="N270" s="130" t="s">
        <v>49</v>
      </c>
      <c r="O270" s="130" t="s">
        <v>49</v>
      </c>
      <c r="P270" s="131"/>
      <c r="Q270" s="131"/>
      <c r="R270" s="131"/>
      <c r="S270" s="139" t="s">
        <v>2327</v>
      </c>
      <c r="T270" s="139" t="s">
        <v>2325</v>
      </c>
      <c r="U270" s="130"/>
      <c r="V270" s="130"/>
      <c r="W270" s="130"/>
      <c r="X270" s="130"/>
      <c r="Y270" s="129" t="str">
        <f t="shared" si="25"/>
        <v/>
      </c>
      <c r="Z270" s="130"/>
      <c r="AA270" s="130"/>
      <c r="AB270" s="130"/>
      <c r="AC270" s="130"/>
      <c r="AD270" s="130"/>
      <c r="AE270" s="130"/>
      <c r="AF270" s="130"/>
      <c r="AG270" s="132" t="s">
        <v>1895</v>
      </c>
      <c r="AH270" s="133"/>
      <c r="AI270" s="133"/>
      <c r="AJ270" s="134"/>
      <c r="AK270" s="134"/>
      <c r="AL270" s="134"/>
      <c r="AM270" s="135" t="s">
        <v>1896</v>
      </c>
      <c r="AN270" s="136"/>
      <c r="AO270" s="137" t="str">
        <f>IF($A270="","",IFERROR(_xlfn.XLOOKUP($A270,'2_DOI_Lookup'!$A$2:$A$430,'2_DOI_Lookup'!$B$2:$B$430),"NOT IN SOURCE"))</f>
        <v>10.1007/s13349-023-00751-z</v>
      </c>
    </row>
    <row r="271" spans="1:41" ht="91.2" hidden="1" x14ac:dyDescent="0.3">
      <c r="A271" s="73">
        <v>3882</v>
      </c>
      <c r="B271" s="74"/>
      <c r="C271" s="75"/>
      <c r="D271" s="74"/>
      <c r="E271" s="74" t="str">
        <f>IF($A271="","",IFERROR(_xlfn.XLOOKUP($A271,'2_DOI_Lookup'!$D$2:$D$430,'2_DOI_Lookup'!$E$2:$E$430),"TITLE NOT IN SOURCE"))</f>
        <v>Designing Digital Twin with IoT and AI in Warehouse to Support Optimization and Safety in Engineer-to-Order Manufacturing Process for Prefabricated Building Products</v>
      </c>
      <c r="F271" s="73" t="s">
        <v>310</v>
      </c>
      <c r="G271" s="76" t="s">
        <v>312</v>
      </c>
      <c r="H271" s="76" t="s">
        <v>311</v>
      </c>
      <c r="I271" s="76" t="s">
        <v>311</v>
      </c>
      <c r="J271" s="76" t="s">
        <v>311</v>
      </c>
      <c r="K271" s="76" t="s">
        <v>311</v>
      </c>
      <c r="L271" s="77" t="str">
        <f t="shared" si="21"/>
        <v>EXCLUDE</v>
      </c>
      <c r="M271" s="77" t="str">
        <f t="shared" si="22"/>
        <v>Wrong domain (non-AECO)</v>
      </c>
      <c r="N271" s="78"/>
      <c r="O271" s="78"/>
      <c r="P271" s="79"/>
      <c r="Q271" s="79"/>
      <c r="R271" s="79"/>
      <c r="S271" s="77" t="str">
        <f t="shared" si="23"/>
        <v/>
      </c>
      <c r="T271" s="77" t="str">
        <f t="shared" si="24"/>
        <v/>
      </c>
      <c r="U271" s="80"/>
      <c r="V271" s="80"/>
      <c r="W271" s="80"/>
      <c r="X271" s="80"/>
      <c r="Y271" s="77" t="str">
        <f t="shared" si="25"/>
        <v/>
      </c>
      <c r="Z271" s="80"/>
      <c r="AA271" s="80"/>
      <c r="AB271" s="80"/>
      <c r="AC271" s="80"/>
      <c r="AD271" s="80"/>
      <c r="AE271" s="80"/>
      <c r="AF271" s="80"/>
      <c r="AG271" s="81" t="s">
        <v>492</v>
      </c>
      <c r="AH271" s="35"/>
      <c r="AI271" s="35"/>
      <c r="AK271"/>
      <c r="AM271" s="56"/>
      <c r="AN271" s="57"/>
      <c r="AO271" s="63" t="str">
        <f>IF($A271="","",IFERROR(_xlfn.XLOOKUP($A271,'2_DOI_Lookup'!$A$2:$A$430,'2_DOI_Lookup'!$B$2:$B$430),"NOT IN SOURCE"))</f>
        <v>10.3390/app14156835</v>
      </c>
    </row>
    <row r="272" spans="1:41" ht="79.8" hidden="1" x14ac:dyDescent="0.3">
      <c r="A272" s="26">
        <v>3614</v>
      </c>
      <c r="B272" s="9"/>
      <c r="C272" s="32"/>
      <c r="D272" s="9"/>
      <c r="E272" s="9" t="str">
        <f>IF($A272="","",IFERROR(_xlfn.XLOOKUP($A272,'2_DOI_Lookup'!$D$2:$D$430,'2_DOI_Lookup'!$E$2:$E$430),"TITLE NOT IN SOURCE"))</f>
        <v>CONSTRUCTION OF A DIGITAL TWIN MODEL FOR A SYSTEM THAT MONITORS THE TECHNICAL CONDITION OF A NUCLEAR POWER PLANT POWER UNIT</v>
      </c>
      <c r="F272" s="26" t="s">
        <v>309</v>
      </c>
      <c r="G272" s="27" t="s">
        <v>312</v>
      </c>
      <c r="H272" s="27" t="s">
        <v>311</v>
      </c>
      <c r="I272" s="27" t="s">
        <v>311</v>
      </c>
      <c r="J272" s="27" t="s">
        <v>311</v>
      </c>
      <c r="K272" s="27" t="s">
        <v>311</v>
      </c>
      <c r="L272" s="28" t="str">
        <f t="shared" si="21"/>
        <v>EXCLUDE</v>
      </c>
      <c r="M272" s="28" t="str">
        <f t="shared" si="22"/>
        <v>Wrong domain (non-AECO)</v>
      </c>
      <c r="N272" s="29"/>
      <c r="O272" s="29"/>
      <c r="P272" s="30"/>
      <c r="Q272" s="30"/>
      <c r="R272" s="30"/>
      <c r="S272" s="28" t="str">
        <f t="shared" si="23"/>
        <v/>
      </c>
      <c r="T272" s="28" t="str">
        <f t="shared" si="24"/>
        <v/>
      </c>
      <c r="U272" s="31"/>
      <c r="V272" s="31"/>
      <c r="W272" s="31"/>
      <c r="X272" s="31"/>
      <c r="Y272" s="28" t="str">
        <f t="shared" si="25"/>
        <v/>
      </c>
      <c r="Z272" s="31"/>
      <c r="AA272" s="31"/>
      <c r="AB272" s="31"/>
      <c r="AC272" s="31"/>
      <c r="AD272" s="31"/>
      <c r="AE272" s="31"/>
      <c r="AF272" s="31"/>
      <c r="AG272" s="15" t="s">
        <v>493</v>
      </c>
      <c r="AH272" s="35"/>
      <c r="AI272" s="35"/>
      <c r="AK272"/>
      <c r="AM272" s="56"/>
      <c r="AN272" s="57"/>
      <c r="AO272" s="63" t="str">
        <f>IF($A272="","",IFERROR(_xlfn.XLOOKUP($A272,'2_DOI_Lookup'!$A$2:$A$430,'2_DOI_Lookup'!$B$2:$B$430),"NOT IN SOURCE"))</f>
        <v>10.15587/1729-4061.2026.356915</v>
      </c>
    </row>
    <row r="273" spans="1:41" ht="79.8" hidden="1" x14ac:dyDescent="0.3">
      <c r="A273" s="26">
        <v>3710</v>
      </c>
      <c r="B273" s="9"/>
      <c r="C273" s="32"/>
      <c r="D273" s="9"/>
      <c r="E273" s="9" t="str">
        <f>IF($A273="","",IFERROR(_xlfn.XLOOKUP($A273,'2_DOI_Lookup'!$D$2:$D$430,'2_DOI_Lookup'!$E$2:$E$430),"TITLE NOT IN SOURCE"))</f>
        <v>Digital Twin Framework for Structural Health Monitoring of Transmission Towers: Integrating BIM, IoT and FEM for Wind–Flood Multi-Hazard Simulation</v>
      </c>
      <c r="F273" s="26" t="s">
        <v>309</v>
      </c>
      <c r="G273" s="27" t="s">
        <v>312</v>
      </c>
      <c r="H273" s="27" t="s">
        <v>311</v>
      </c>
      <c r="I273" s="27" t="s">
        <v>311</v>
      </c>
      <c r="J273" s="27" t="s">
        <v>311</v>
      </c>
      <c r="K273" s="27" t="s">
        <v>311</v>
      </c>
      <c r="L273" s="28" t="str">
        <f t="shared" si="21"/>
        <v>EXCLUDE</v>
      </c>
      <c r="M273" s="28" t="str">
        <f t="shared" si="22"/>
        <v>Wrong domain (non-AECO)</v>
      </c>
      <c r="N273" s="29"/>
      <c r="O273" s="29"/>
      <c r="P273" s="30"/>
      <c r="Q273" s="30"/>
      <c r="R273" s="30"/>
      <c r="S273" s="28" t="str">
        <f t="shared" si="23"/>
        <v/>
      </c>
      <c r="T273" s="28" t="str">
        <f t="shared" si="24"/>
        <v/>
      </c>
      <c r="U273" s="31"/>
      <c r="V273" s="31"/>
      <c r="W273" s="31"/>
      <c r="X273" s="31"/>
      <c r="Y273" s="28" t="str">
        <f t="shared" si="25"/>
        <v/>
      </c>
      <c r="Z273" s="31"/>
      <c r="AA273" s="31"/>
      <c r="AB273" s="31"/>
      <c r="AC273" s="31"/>
      <c r="AD273" s="31"/>
      <c r="AE273" s="31"/>
      <c r="AF273" s="31"/>
      <c r="AG273" s="15" t="s">
        <v>494</v>
      </c>
      <c r="AH273" s="35"/>
      <c r="AI273" s="35"/>
      <c r="AK273"/>
      <c r="AM273" s="56"/>
      <c r="AN273" s="57"/>
      <c r="AO273" s="63" t="str">
        <f>IF($A273="","",IFERROR(_xlfn.XLOOKUP($A273,'2_DOI_Lookup'!$A$2:$A$430,'2_DOI_Lookup'!$B$2:$B$430),"NOT IN SOURCE"))</f>
        <v>10.3390/app16083620</v>
      </c>
    </row>
    <row r="274" spans="1:41" ht="79.8" hidden="1" x14ac:dyDescent="0.3">
      <c r="A274" s="64">
        <v>3893</v>
      </c>
      <c r="B274" s="65"/>
      <c r="C274" s="66"/>
      <c r="D274" s="65"/>
      <c r="E274" s="65" t="str">
        <f>IF($A274="","",IFERROR(_xlfn.XLOOKUP($A274,'2_DOI_Lookup'!$D$2:$D$430,'2_DOI_Lookup'!$E$2:$E$430),"TITLE NOT IN SOURCE"))</f>
        <v>Digital Twin Framework for Structural Health Monitoring of Transmission Towers: Integrating BIM, IoT and FEM for Wind-Flood Multi-Hazard Simulation</v>
      </c>
      <c r="F274" s="64" t="s">
        <v>310</v>
      </c>
      <c r="G274" s="67" t="s">
        <v>312</v>
      </c>
      <c r="H274" s="67" t="s">
        <v>311</v>
      </c>
      <c r="I274" s="67" t="s">
        <v>311</v>
      </c>
      <c r="J274" s="67" t="s">
        <v>311</v>
      </c>
      <c r="K274" s="67" t="s">
        <v>311</v>
      </c>
      <c r="L274" s="68" t="str">
        <f t="shared" si="21"/>
        <v>EXCLUDE</v>
      </c>
      <c r="M274" s="68" t="str">
        <f t="shared" si="22"/>
        <v>Wrong domain (non-AECO)</v>
      </c>
      <c r="N274" s="69"/>
      <c r="O274" s="69"/>
      <c r="P274" s="70"/>
      <c r="Q274" s="70"/>
      <c r="R274" s="70"/>
      <c r="S274" s="68" t="str">
        <f t="shared" si="23"/>
        <v/>
      </c>
      <c r="T274" s="68" t="str">
        <f t="shared" si="24"/>
        <v/>
      </c>
      <c r="U274" s="71"/>
      <c r="V274" s="71"/>
      <c r="W274" s="71"/>
      <c r="X274" s="71"/>
      <c r="Y274" s="68" t="str">
        <f t="shared" si="25"/>
        <v/>
      </c>
      <c r="Z274" s="71"/>
      <c r="AA274" s="71"/>
      <c r="AB274" s="71"/>
      <c r="AC274" s="71"/>
      <c r="AD274" s="71"/>
      <c r="AE274" s="71"/>
      <c r="AF274" s="71"/>
      <c r="AG274" s="72" t="s">
        <v>495</v>
      </c>
      <c r="AH274" s="35"/>
      <c r="AI274" s="35"/>
      <c r="AK274"/>
      <c r="AM274" s="56"/>
      <c r="AN274" s="57"/>
      <c r="AO274" s="63" t="str">
        <f>IF($A274="","",IFERROR(_xlfn.XLOOKUP($A274,'2_DOI_Lookup'!$A$2:$A$430,'2_DOI_Lookup'!$B$2:$B$430),"NOT IN SOURCE"))</f>
        <v>10.3390/app16083620</v>
      </c>
    </row>
    <row r="275" spans="1:41" ht="102.6" x14ac:dyDescent="0.3">
      <c r="A275" s="26">
        <v>4000</v>
      </c>
      <c r="B275" s="9" t="s">
        <v>248</v>
      </c>
      <c r="C275" s="32">
        <v>2025</v>
      </c>
      <c r="D275" s="9"/>
      <c r="E275" s="9" t="str">
        <f>IF($A275="","",IFERROR(_xlfn.XLOOKUP($A275,'2_DOI_Lookup'!$D$2:$D$430,'2_DOI_Lookup'!$E$2:$E$430),"TITLE NOT IN SOURCE"))</f>
        <v>LiDAR-Simulated Multimodal and Self-Supervised Contrastive Digital Twin Approach for Probabilistic Point Cloud Generation of Rail Fasteners</v>
      </c>
      <c r="F275" s="26" t="s">
        <v>310</v>
      </c>
      <c r="G275" s="27" t="s">
        <v>311</v>
      </c>
      <c r="H275" s="27" t="s">
        <v>311</v>
      </c>
      <c r="I275" s="27" t="s">
        <v>311</v>
      </c>
      <c r="J275" s="27" t="s">
        <v>311</v>
      </c>
      <c r="K275" s="27" t="s">
        <v>311</v>
      </c>
      <c r="L275" s="28" t="str">
        <f t="shared" si="21"/>
        <v>INCLUDE</v>
      </c>
      <c r="M275" s="28" t="str">
        <f t="shared" si="22"/>
        <v/>
      </c>
      <c r="N275" s="29" t="s">
        <v>49</v>
      </c>
      <c r="O275" s="29" t="s">
        <v>49</v>
      </c>
      <c r="P275" s="30" t="s">
        <v>49</v>
      </c>
      <c r="Q275" s="30" t="s">
        <v>49</v>
      </c>
      <c r="R275" s="30" t="s">
        <v>49</v>
      </c>
      <c r="S275" s="28" t="str">
        <f t="shared" si="23"/>
        <v>INCLUDE</v>
      </c>
      <c r="T275" s="28" t="str">
        <f t="shared" si="24"/>
        <v/>
      </c>
      <c r="U275" s="31" t="s">
        <v>82</v>
      </c>
      <c r="V275" s="31">
        <v>0</v>
      </c>
      <c r="W275" s="31">
        <v>0</v>
      </c>
      <c r="X275" s="31">
        <v>1</v>
      </c>
      <c r="Y275" s="28" t="str">
        <f t="shared" si="25"/>
        <v>Single</v>
      </c>
      <c r="Z275" s="31" t="s">
        <v>9</v>
      </c>
      <c r="AA275" s="31" t="s">
        <v>53</v>
      </c>
      <c r="AB275" s="31" t="s">
        <v>78</v>
      </c>
      <c r="AC275" s="31" t="s">
        <v>64</v>
      </c>
      <c r="AD275" s="31" t="s">
        <v>65</v>
      </c>
      <c r="AE275" s="31">
        <v>3</v>
      </c>
      <c r="AF275" s="31" t="s">
        <v>73</v>
      </c>
      <c r="AG275" s="15" t="s">
        <v>727</v>
      </c>
      <c r="AH275" s="97" t="s">
        <v>924</v>
      </c>
      <c r="AI275" s="97" t="s">
        <v>925</v>
      </c>
      <c r="AJ275" s="98" t="s">
        <v>1081</v>
      </c>
      <c r="AK275" s="98" t="s">
        <v>1177</v>
      </c>
      <c r="AL275" s="98" t="s">
        <v>1083</v>
      </c>
      <c r="AM275" s="99"/>
      <c r="AN275" s="100" t="s">
        <v>1428</v>
      </c>
      <c r="AO275" s="101" t="str">
        <f>IF($A275="","",IFERROR(_xlfn.XLOOKUP($A275,'2_DOI_Lookup'!$A$2:$A$430,'2_DOI_Lookup'!$B$2:$B$430),"NOT IN SOURCE"))</f>
        <v>10.1061/JCCEE5.CPENG-6137</v>
      </c>
    </row>
    <row r="276" spans="1:41" ht="57" hidden="1" x14ac:dyDescent="0.3">
      <c r="A276" s="82">
        <v>3627</v>
      </c>
      <c r="B276" s="83"/>
      <c r="C276" s="84"/>
      <c r="D276" s="83"/>
      <c r="E276" s="83" t="str">
        <f>IF($A276="","",IFERROR(_xlfn.XLOOKUP($A276,'2_DOI_Lookup'!$D$2:$D$430,'2_DOI_Lookup'!$E$2:$E$430),"TITLE NOT IN SOURCE"))</f>
        <v>Study and Design of Dike Engineering Safety Management System Based on GIS+BIM+IoT Digital Twin</v>
      </c>
      <c r="F276" s="82" t="s">
        <v>309</v>
      </c>
      <c r="G276" s="85" t="s">
        <v>311</v>
      </c>
      <c r="H276" s="85" t="s">
        <v>311</v>
      </c>
      <c r="I276" s="85" t="s">
        <v>311</v>
      </c>
      <c r="J276" s="85" t="s">
        <v>311</v>
      </c>
      <c r="K276" s="85" t="s">
        <v>312</v>
      </c>
      <c r="L276" s="86" t="str">
        <f t="shared" si="21"/>
        <v>EXCLUDE</v>
      </c>
      <c r="M276" s="86" t="str">
        <f t="shared" si="22"/>
        <v>Non-English</v>
      </c>
      <c r="N276" s="87"/>
      <c r="O276" s="87"/>
      <c r="P276" s="88"/>
      <c r="Q276" s="88"/>
      <c r="R276" s="88"/>
      <c r="S276" s="86" t="str">
        <f t="shared" si="23"/>
        <v/>
      </c>
      <c r="T276" s="86" t="str">
        <f t="shared" si="24"/>
        <v/>
      </c>
      <c r="U276" s="89"/>
      <c r="V276" s="89"/>
      <c r="W276" s="89"/>
      <c r="X276" s="89"/>
      <c r="Y276" s="86" t="str">
        <f t="shared" si="25"/>
        <v/>
      </c>
      <c r="Z276" s="89"/>
      <c r="AA276" s="89"/>
      <c r="AB276" s="89"/>
      <c r="AC276" s="89"/>
      <c r="AD276" s="89"/>
      <c r="AE276" s="89"/>
      <c r="AF276" s="89"/>
      <c r="AG276" s="90" t="s">
        <v>496</v>
      </c>
      <c r="AH276" s="35"/>
      <c r="AI276" s="35"/>
      <c r="AK276"/>
      <c r="AM276" s="56"/>
      <c r="AN276" s="57"/>
      <c r="AO276" s="63">
        <f>IF($A276="","",IFERROR(_xlfn.XLOOKUP($A276,'2_DOI_Lookup'!$A$2:$A$430,'2_DOI_Lookup'!$B$2:$B$430),"NOT IN SOURCE"))</f>
        <v>0</v>
      </c>
    </row>
    <row r="277" spans="1:41" ht="102.6" x14ac:dyDescent="0.3">
      <c r="A277" s="26">
        <v>3892</v>
      </c>
      <c r="B277" s="9" t="s">
        <v>249</v>
      </c>
      <c r="C277" s="32">
        <v>2026</v>
      </c>
      <c r="D277" s="9"/>
      <c r="E277" s="9" t="str">
        <f>IF($A277="","",IFERROR(_xlfn.XLOOKUP($A277,'2_DOI_Lookup'!$D$2:$D$430,'2_DOI_Lookup'!$E$2:$E$430),"TITLE NOT IN SOURCE"))</f>
        <v>An IFC-based framework for semantic integration of BIM and mobile crowd sensing in real-time evacuation routing</v>
      </c>
      <c r="F277" s="26" t="s">
        <v>310</v>
      </c>
      <c r="G277" s="27" t="s">
        <v>311</v>
      </c>
      <c r="H277" s="27" t="s">
        <v>311</v>
      </c>
      <c r="I277" s="27" t="s">
        <v>311</v>
      </c>
      <c r="J277" s="27" t="s">
        <v>311</v>
      </c>
      <c r="K277" s="27" t="s">
        <v>311</v>
      </c>
      <c r="L277" s="28" t="str">
        <f t="shared" si="21"/>
        <v>INCLUDE</v>
      </c>
      <c r="M277" s="28" t="str">
        <f t="shared" si="22"/>
        <v/>
      </c>
      <c r="N277" s="29" t="s">
        <v>311</v>
      </c>
      <c r="O277" s="29" t="s">
        <v>311</v>
      </c>
      <c r="P277" s="30" t="s">
        <v>311</v>
      </c>
      <c r="Q277" s="30" t="s">
        <v>311</v>
      </c>
      <c r="R277" s="30" t="s">
        <v>311</v>
      </c>
      <c r="S277" s="28" t="str">
        <f t="shared" si="23"/>
        <v>INCLUDE</v>
      </c>
      <c r="T277" s="28" t="str">
        <f t="shared" si="24"/>
        <v/>
      </c>
      <c r="U277" s="31" t="s">
        <v>61</v>
      </c>
      <c r="V277" s="31">
        <v>0</v>
      </c>
      <c r="W277" s="31">
        <v>0</v>
      </c>
      <c r="X277" s="31">
        <v>1</v>
      </c>
      <c r="Y277" s="28" t="str">
        <f t="shared" si="25"/>
        <v>Single</v>
      </c>
      <c r="Z277" s="31" t="s">
        <v>9</v>
      </c>
      <c r="AA277" s="31" t="s">
        <v>53</v>
      </c>
      <c r="AB277" s="31" t="s">
        <v>89</v>
      </c>
      <c r="AC277" s="31" t="s">
        <v>64</v>
      </c>
      <c r="AD277" s="31" t="s">
        <v>72</v>
      </c>
      <c r="AE277" s="31">
        <v>4</v>
      </c>
      <c r="AF277" s="31" t="s">
        <v>84</v>
      </c>
      <c r="AG277" s="15" t="s">
        <v>644</v>
      </c>
      <c r="AH277" s="97" t="s">
        <v>926</v>
      </c>
      <c r="AI277" s="97" t="s">
        <v>927</v>
      </c>
      <c r="AJ277" s="98" t="s">
        <v>1081</v>
      </c>
      <c r="AK277" s="98" t="s">
        <v>1178</v>
      </c>
      <c r="AL277" s="98" t="s">
        <v>1083</v>
      </c>
      <c r="AM277" s="99"/>
      <c r="AN277" s="100" t="s">
        <v>1321</v>
      </c>
      <c r="AO277" s="101" t="str">
        <f>IF($A277="","",IFERROR(_xlfn.XLOOKUP($A277,'2_DOI_Lookup'!$A$2:$A$430,'2_DOI_Lookup'!$B$2:$B$430),"NOT IN SOURCE"))</f>
        <v>10.1016/j.aei.2026.104500</v>
      </c>
    </row>
    <row r="278" spans="1:41" ht="22.8" hidden="1" x14ac:dyDescent="0.3">
      <c r="A278" s="73">
        <v>3673</v>
      </c>
      <c r="B278" s="74"/>
      <c r="C278" s="75"/>
      <c r="D278" s="74"/>
      <c r="E278" s="74" t="str">
        <f>IF($A278="","",IFERROR(_xlfn.XLOOKUP($A278,'2_DOI_Lookup'!$D$2:$D$430,'2_DOI_Lookup'!$E$2:$E$430),"TITLE NOT IN SOURCE"))</f>
        <v>Digitisation of as-built structures with AI</v>
      </c>
      <c r="F278" s="73" t="s">
        <v>309</v>
      </c>
      <c r="G278" s="76" t="s">
        <v>311</v>
      </c>
      <c r="H278" s="76" t="s">
        <v>311</v>
      </c>
      <c r="I278" s="76" t="s">
        <v>311</v>
      </c>
      <c r="J278" s="76" t="s">
        <v>311</v>
      </c>
      <c r="K278" s="76" t="s">
        <v>312</v>
      </c>
      <c r="L278" s="77" t="str">
        <f t="shared" si="21"/>
        <v>EXCLUDE</v>
      </c>
      <c r="M278" s="77" t="str">
        <f t="shared" si="22"/>
        <v>Non-English</v>
      </c>
      <c r="N278" s="78"/>
      <c r="O278" s="78"/>
      <c r="P278" s="79"/>
      <c r="Q278" s="79"/>
      <c r="R278" s="79"/>
      <c r="S278" s="77" t="str">
        <f t="shared" si="23"/>
        <v/>
      </c>
      <c r="T278" s="77" t="str">
        <f t="shared" si="24"/>
        <v/>
      </c>
      <c r="U278" s="80"/>
      <c r="V278" s="80"/>
      <c r="W278" s="80"/>
      <c r="X278" s="80"/>
      <c r="Y278" s="77" t="str">
        <f t="shared" si="25"/>
        <v/>
      </c>
      <c r="Z278" s="80"/>
      <c r="AA278" s="80"/>
      <c r="AB278" s="80"/>
      <c r="AC278" s="80"/>
      <c r="AD278" s="80"/>
      <c r="AE278" s="80"/>
      <c r="AF278" s="80"/>
      <c r="AG278" s="81" t="s">
        <v>475</v>
      </c>
      <c r="AH278" s="35"/>
      <c r="AI278" s="35"/>
      <c r="AK278"/>
      <c r="AM278" s="56"/>
      <c r="AN278" s="57"/>
      <c r="AO278" s="63" t="str">
        <f>IF($A278="","",IFERROR(_xlfn.XLOOKUP($A278,'2_DOI_Lookup'!$A$2:$A$430,'2_DOI_Lookup'!$B$2:$B$430),"NOT IN SOURCE"))</f>
        <v>10.1002/bate.202200013</v>
      </c>
    </row>
    <row r="279" spans="1:41" ht="79.8" hidden="1" x14ac:dyDescent="0.3">
      <c r="A279" s="26">
        <v>3663</v>
      </c>
      <c r="B279" s="9"/>
      <c r="C279" s="32"/>
      <c r="D279" s="9"/>
      <c r="E279" s="9" t="str">
        <f>IF($A279="","",IFERROR(_xlfn.XLOOKUP($A279,'2_DOI_Lookup'!$D$2:$D$430,'2_DOI_Lookup'!$E$2:$E$430),"TITLE NOT IN SOURCE"))</f>
        <v>Digital Twin Enabled Automated Pin Defect Detection System for Aviation Electrical Connectors Using Structure-Aware Point Cloud</v>
      </c>
      <c r="F279" s="26" t="s">
        <v>309</v>
      </c>
      <c r="G279" s="27" t="s">
        <v>312</v>
      </c>
      <c r="H279" s="27" t="s">
        <v>311</v>
      </c>
      <c r="I279" s="27" t="s">
        <v>311</v>
      </c>
      <c r="J279" s="27" t="s">
        <v>311</v>
      </c>
      <c r="K279" s="27" t="s">
        <v>311</v>
      </c>
      <c r="L279" s="28" t="str">
        <f t="shared" si="21"/>
        <v>EXCLUDE</v>
      </c>
      <c r="M279" s="28" t="str">
        <f t="shared" si="22"/>
        <v>Wrong domain (non-AECO)</v>
      </c>
      <c r="N279" s="29"/>
      <c r="O279" s="29"/>
      <c r="P279" s="30"/>
      <c r="Q279" s="30"/>
      <c r="R279" s="30"/>
      <c r="S279" s="28" t="str">
        <f t="shared" si="23"/>
        <v/>
      </c>
      <c r="T279" s="28" t="str">
        <f t="shared" si="24"/>
        <v/>
      </c>
      <c r="U279" s="31"/>
      <c r="V279" s="31"/>
      <c r="W279" s="31"/>
      <c r="X279" s="31"/>
      <c r="Y279" s="28" t="str">
        <f t="shared" si="25"/>
        <v/>
      </c>
      <c r="Z279" s="31"/>
      <c r="AA279" s="31"/>
      <c r="AB279" s="31"/>
      <c r="AC279" s="31"/>
      <c r="AD279" s="31"/>
      <c r="AE279" s="31"/>
      <c r="AF279" s="31"/>
      <c r="AG279" s="15" t="s">
        <v>497</v>
      </c>
      <c r="AH279" s="35"/>
      <c r="AI279" s="35"/>
      <c r="AK279"/>
      <c r="AM279" s="56"/>
      <c r="AN279" s="57"/>
      <c r="AO279" s="63" t="str">
        <f>IF($A279="","",IFERROR(_xlfn.XLOOKUP($A279,'2_DOI_Lookup'!$A$2:$A$430,'2_DOI_Lookup'!$B$2:$B$430),"NOT IN SOURCE"))</f>
        <v>10.1109/TII.2025.3631743</v>
      </c>
    </row>
    <row r="280" spans="1:41" ht="57" hidden="1" x14ac:dyDescent="0.3">
      <c r="A280" s="64">
        <v>3791</v>
      </c>
      <c r="B280" s="65"/>
      <c r="C280" s="66"/>
      <c r="D280" s="65"/>
      <c r="E280" s="65" t="str">
        <f>IF($A280="","",IFERROR(_xlfn.XLOOKUP($A280,'2_DOI_Lookup'!$D$2:$D$430,'2_DOI_Lookup'!$E$2:$E$430),"TITLE NOT IN SOURCE"))</f>
        <v>AI for empowering the construction and development of university laboratories in the new era</v>
      </c>
      <c r="F280" s="64" t="s">
        <v>309</v>
      </c>
      <c r="G280" s="67" t="s">
        <v>311</v>
      </c>
      <c r="H280" s="67" t="s">
        <v>312</v>
      </c>
      <c r="I280" s="67" t="s">
        <v>312</v>
      </c>
      <c r="J280" s="67" t="s">
        <v>311</v>
      </c>
      <c r="K280" s="67" t="s">
        <v>312</v>
      </c>
      <c r="L280" s="68" t="str">
        <f t="shared" si="21"/>
        <v>EXCLUDE</v>
      </c>
      <c r="M280" s="68" t="str">
        <f t="shared" si="22"/>
        <v>Digital Twin not core / buzzword</v>
      </c>
      <c r="N280" s="69"/>
      <c r="O280" s="69"/>
      <c r="P280" s="70"/>
      <c r="Q280" s="70"/>
      <c r="R280" s="70"/>
      <c r="S280" s="68" t="str">
        <f t="shared" si="23"/>
        <v/>
      </c>
      <c r="T280" s="68" t="str">
        <f t="shared" si="24"/>
        <v/>
      </c>
      <c r="U280" s="71"/>
      <c r="V280" s="71"/>
      <c r="W280" s="71"/>
      <c r="X280" s="71"/>
      <c r="Y280" s="68" t="str">
        <f t="shared" si="25"/>
        <v/>
      </c>
      <c r="Z280" s="71"/>
      <c r="AA280" s="71"/>
      <c r="AB280" s="71"/>
      <c r="AC280" s="71"/>
      <c r="AD280" s="71"/>
      <c r="AE280" s="71"/>
      <c r="AF280" s="71"/>
      <c r="AG280" s="72" t="s">
        <v>498</v>
      </c>
      <c r="AH280" s="35"/>
      <c r="AI280" s="35"/>
      <c r="AK280"/>
      <c r="AM280" s="56"/>
      <c r="AN280" s="57"/>
      <c r="AO280" s="63" t="str">
        <f>IF($A280="","",IFERROR(_xlfn.XLOOKUP($A280,'2_DOI_Lookup'!$A$2:$A$430,'2_DOI_Lookup'!$B$2:$B$430),"NOT IN SOURCE"))</f>
        <v>10.16791/j.cnki.sjg.2026.04.037</v>
      </c>
    </row>
    <row r="281" spans="1:41" ht="100.8" hidden="1" x14ac:dyDescent="0.3">
      <c r="A281" s="26">
        <v>4042</v>
      </c>
      <c r="B281" s="9" t="s">
        <v>250</v>
      </c>
      <c r="C281" s="32">
        <v>2025</v>
      </c>
      <c r="D281" s="9"/>
      <c r="E281" s="9" t="str">
        <f>IF($A281="","",IFERROR(_xlfn.XLOOKUP($A281,'2_DOI_Lookup'!$D$2:$D$430,'2_DOI_Lookup'!$E$2:$E$430),"TITLE NOT IN SOURCE"))</f>
        <v>Designing automated digital safety systems for building health monitoring on construction sites</v>
      </c>
      <c r="F281" s="26" t="s">
        <v>310</v>
      </c>
      <c r="G281" s="27" t="s">
        <v>311</v>
      </c>
      <c r="H281" s="27" t="s">
        <v>311</v>
      </c>
      <c r="I281" s="27" t="s">
        <v>311</v>
      </c>
      <c r="J281" s="27" t="s">
        <v>311</v>
      </c>
      <c r="K281" s="27" t="s">
        <v>311</v>
      </c>
      <c r="L281" s="28" t="str">
        <f t="shared" si="21"/>
        <v>INCLUDE</v>
      </c>
      <c r="M281" s="28" t="str">
        <f t="shared" si="22"/>
        <v/>
      </c>
      <c r="N281" s="29" t="s">
        <v>49</v>
      </c>
      <c r="O281" s="29" t="s">
        <v>49</v>
      </c>
      <c r="P281" s="30" t="s">
        <v>58</v>
      </c>
      <c r="Q281" s="30" t="s">
        <v>49</v>
      </c>
      <c r="R281" s="30" t="s">
        <v>49</v>
      </c>
      <c r="S281" s="28" t="str">
        <f t="shared" si="23"/>
        <v>EXCLUDE</v>
      </c>
      <c r="T281" s="28" t="str">
        <f t="shared" si="24"/>
        <v>Digital Twin mentioned only, not the subject</v>
      </c>
      <c r="U281" s="31" t="s">
        <v>82</v>
      </c>
      <c r="V281" s="31"/>
      <c r="W281" s="31"/>
      <c r="X281" s="31"/>
      <c r="Y281" s="28" t="str">
        <f t="shared" si="25"/>
        <v/>
      </c>
      <c r="Z281" s="31"/>
      <c r="AA281" s="31"/>
      <c r="AB281" s="31"/>
      <c r="AC281" s="31"/>
      <c r="AD281" s="31"/>
      <c r="AE281" s="31"/>
      <c r="AF281" s="31"/>
      <c r="AG281" s="15" t="s">
        <v>728</v>
      </c>
      <c r="AH281" s="97"/>
      <c r="AI281" s="97"/>
      <c r="AJ281" s="98"/>
      <c r="AK281" s="98"/>
      <c r="AL281" s="98"/>
      <c r="AM281" s="99"/>
      <c r="AN281" s="100" t="s">
        <v>1445</v>
      </c>
      <c r="AO281" s="101" t="str">
        <f>IF($A281="","",IFERROR(_xlfn.XLOOKUP($A281,'2_DOI_Lookup'!$A$2:$A$430,'2_DOI_Lookup'!$B$2:$B$430),"NOT IN SOURCE"))</f>
        <v>10.1007/s11709-025-1213-4</v>
      </c>
    </row>
    <row r="282" spans="1:41" ht="100.8" x14ac:dyDescent="0.3">
      <c r="A282" s="26">
        <v>3983</v>
      </c>
      <c r="B282" s="9" t="s">
        <v>251</v>
      </c>
      <c r="C282" s="32">
        <v>2025</v>
      </c>
      <c r="D282" s="9"/>
      <c r="E282" s="9" t="str">
        <f>IF($A282="","",IFERROR(_xlfn.XLOOKUP($A282,'2_DOI_Lookup'!$D$2:$D$430,'2_DOI_Lookup'!$E$2:$E$430),"TITLE NOT IN SOURCE"))</f>
        <v>Physics-informed computational framework for assessing the seismic behavior of the Prince Moulay Abdellah Dam</v>
      </c>
      <c r="F282" s="26" t="s">
        <v>310</v>
      </c>
      <c r="G282" s="27" t="s">
        <v>311</v>
      </c>
      <c r="H282" s="27" t="s">
        <v>311</v>
      </c>
      <c r="I282" s="27" t="s">
        <v>311</v>
      </c>
      <c r="J282" s="27" t="s">
        <v>311</v>
      </c>
      <c r="K282" s="27" t="s">
        <v>311</v>
      </c>
      <c r="L282" s="28" t="str">
        <f t="shared" si="21"/>
        <v>INCLUDE</v>
      </c>
      <c r="M282" s="28" t="str">
        <f t="shared" si="22"/>
        <v/>
      </c>
      <c r="N282" s="29" t="s">
        <v>311</v>
      </c>
      <c r="O282" s="29" t="s">
        <v>311</v>
      </c>
      <c r="P282" s="30" t="s">
        <v>311</v>
      </c>
      <c r="Q282" s="30" t="s">
        <v>311</v>
      </c>
      <c r="R282" s="30" t="s">
        <v>311</v>
      </c>
      <c r="S282" s="28" t="str">
        <f t="shared" si="23"/>
        <v>INCLUDE</v>
      </c>
      <c r="T282" s="28" t="str">
        <f t="shared" si="24"/>
        <v/>
      </c>
      <c r="U282" s="31" t="s">
        <v>61</v>
      </c>
      <c r="V282" s="31">
        <v>0</v>
      </c>
      <c r="W282" s="31">
        <v>0</v>
      </c>
      <c r="X282" s="31">
        <v>1</v>
      </c>
      <c r="Y282" s="28" t="str">
        <f t="shared" si="25"/>
        <v>Single</v>
      </c>
      <c r="Z282" s="31" t="s">
        <v>9</v>
      </c>
      <c r="AA282" s="31" t="s">
        <v>53</v>
      </c>
      <c r="AB282" s="31" t="s">
        <v>88</v>
      </c>
      <c r="AC282" s="31" t="s">
        <v>64</v>
      </c>
      <c r="AD282" s="31" t="s">
        <v>72</v>
      </c>
      <c r="AE282" s="31">
        <v>4</v>
      </c>
      <c r="AF282" s="31" t="s">
        <v>80</v>
      </c>
      <c r="AG282" s="15" t="s">
        <v>645</v>
      </c>
      <c r="AH282" s="97" t="s">
        <v>928</v>
      </c>
      <c r="AI282" s="97" t="s">
        <v>929</v>
      </c>
      <c r="AJ282" s="98" t="s">
        <v>1080</v>
      </c>
      <c r="AK282" s="98" t="s">
        <v>1179</v>
      </c>
      <c r="AL282" s="98" t="s">
        <v>1083</v>
      </c>
      <c r="AM282" s="99"/>
      <c r="AN282" s="100" t="s">
        <v>1420</v>
      </c>
      <c r="AO282" s="101" t="str">
        <f>IF($A282="","",IFERROR(_xlfn.XLOOKUP($A282,'2_DOI_Lookup'!$A$2:$A$430,'2_DOI_Lookup'!$B$2:$B$430),"NOT IN SOURCE"))</f>
        <v>10.1016/j.rineng.2025.106914</v>
      </c>
    </row>
    <row r="283" spans="1:41" ht="45.6" hidden="1" x14ac:dyDescent="0.3">
      <c r="A283" s="73">
        <v>3957</v>
      </c>
      <c r="B283" s="74"/>
      <c r="C283" s="75"/>
      <c r="D283" s="74"/>
      <c r="E283" s="74" t="str">
        <f>IF($A283="","",IFERROR(_xlfn.XLOOKUP($A283,'2_DOI_Lookup'!$D$2:$D$430,'2_DOI_Lookup'!$E$2:$E$430),"TITLE NOT IN SOURCE"))</f>
        <v>Internet of Things in construction: trends and adoption insights from a scientometric perspective</v>
      </c>
      <c r="F283" s="73" t="s">
        <v>310</v>
      </c>
      <c r="G283" s="76" t="s">
        <v>311</v>
      </c>
      <c r="H283" s="76" t="s">
        <v>312</v>
      </c>
      <c r="I283" s="76" t="s">
        <v>312</v>
      </c>
      <c r="J283" s="76" t="s">
        <v>311</v>
      </c>
      <c r="K283" s="76" t="s">
        <v>311</v>
      </c>
      <c r="L283" s="77" t="str">
        <f t="shared" si="21"/>
        <v>EXCLUDE</v>
      </c>
      <c r="M283" s="77" t="str">
        <f t="shared" si="22"/>
        <v>Digital Twin not core / buzzword</v>
      </c>
      <c r="N283" s="78"/>
      <c r="O283" s="78"/>
      <c r="P283" s="79"/>
      <c r="Q283" s="79"/>
      <c r="R283" s="79"/>
      <c r="S283" s="77" t="str">
        <f t="shared" si="23"/>
        <v/>
      </c>
      <c r="T283" s="77" t="str">
        <f t="shared" si="24"/>
        <v/>
      </c>
      <c r="U283" s="80"/>
      <c r="V283" s="80"/>
      <c r="W283" s="80"/>
      <c r="X283" s="80"/>
      <c r="Y283" s="77" t="str">
        <f t="shared" si="25"/>
        <v/>
      </c>
      <c r="Z283" s="80"/>
      <c r="AA283" s="80"/>
      <c r="AB283" s="80"/>
      <c r="AC283" s="80"/>
      <c r="AD283" s="80"/>
      <c r="AE283" s="80"/>
      <c r="AF283" s="80"/>
      <c r="AG283" s="81" t="s">
        <v>499</v>
      </c>
      <c r="AH283" s="35"/>
      <c r="AI283" s="35"/>
      <c r="AK283"/>
      <c r="AM283" s="56"/>
      <c r="AN283" s="57"/>
      <c r="AO283" s="63" t="str">
        <f>IF($A283="","",IFERROR(_xlfn.XLOOKUP($A283,'2_DOI_Lookup'!$A$2:$A$430,'2_DOI_Lookup'!$B$2:$B$430),"NOT IN SOURCE"))</f>
        <v>10.1080/15623599.2025.2508905</v>
      </c>
    </row>
    <row r="284" spans="1:41" ht="57" hidden="1" x14ac:dyDescent="0.3">
      <c r="A284" s="26">
        <v>3714</v>
      </c>
      <c r="B284" s="9"/>
      <c r="C284" s="32"/>
      <c r="D284" s="9"/>
      <c r="E284" s="9" t="str">
        <f>IF($A284="","",IFERROR(_xlfn.XLOOKUP($A284,'2_DOI_Lookup'!$D$2:$D$430,'2_DOI_Lookup'!$E$2:$E$430),"TITLE NOT IN SOURCE"))</f>
        <v>Well Construction Action Planning and Automation through Finite-Horizon Sequential Decision-Making</v>
      </c>
      <c r="F284" s="26" t="s">
        <v>309</v>
      </c>
      <c r="G284" s="27" t="s">
        <v>312</v>
      </c>
      <c r="H284" s="27" t="s">
        <v>311</v>
      </c>
      <c r="I284" s="27" t="s">
        <v>311</v>
      </c>
      <c r="J284" s="27" t="s">
        <v>311</v>
      </c>
      <c r="K284" s="27" t="s">
        <v>311</v>
      </c>
      <c r="L284" s="28" t="str">
        <f t="shared" si="21"/>
        <v>EXCLUDE</v>
      </c>
      <c r="M284" s="28" t="str">
        <f t="shared" si="22"/>
        <v>Wrong domain (non-AECO)</v>
      </c>
      <c r="N284" s="29"/>
      <c r="O284" s="29"/>
      <c r="P284" s="30"/>
      <c r="Q284" s="30"/>
      <c r="R284" s="30"/>
      <c r="S284" s="28" t="str">
        <f t="shared" si="23"/>
        <v/>
      </c>
      <c r="T284" s="28" t="str">
        <f t="shared" si="24"/>
        <v/>
      </c>
      <c r="U284" s="31"/>
      <c r="V284" s="31"/>
      <c r="W284" s="31"/>
      <c r="X284" s="31"/>
      <c r="Y284" s="28" t="str">
        <f t="shared" si="25"/>
        <v/>
      </c>
      <c r="Z284" s="31"/>
      <c r="AA284" s="31"/>
      <c r="AB284" s="31"/>
      <c r="AC284" s="31"/>
      <c r="AD284" s="31"/>
      <c r="AE284" s="31"/>
      <c r="AF284" s="31"/>
      <c r="AG284" s="15" t="s">
        <v>500</v>
      </c>
      <c r="AH284" s="35"/>
      <c r="AI284" s="35"/>
      <c r="AK284"/>
      <c r="AM284" s="56"/>
      <c r="AN284" s="57"/>
      <c r="AO284" s="63" t="str">
        <f>IF($A284="","",IFERROR(_xlfn.XLOOKUP($A284,'2_DOI_Lookup'!$A$2:$A$430,'2_DOI_Lookup'!$B$2:$B$430),"NOT IN SOURCE"))</f>
        <v>10.3390/en15165776</v>
      </c>
    </row>
    <row r="285" spans="1:41" ht="45.6" hidden="1" x14ac:dyDescent="0.3">
      <c r="A285" s="26">
        <v>3634</v>
      </c>
      <c r="B285" s="9"/>
      <c r="C285" s="32"/>
      <c r="D285" s="9"/>
      <c r="E285" s="9" t="str">
        <f>IF($A285="","",IFERROR(_xlfn.XLOOKUP($A285,'2_DOI_Lookup'!$D$2:$D$430,'2_DOI_Lookup'!$E$2:$E$430),"TITLE NOT IN SOURCE"))</f>
        <v>Digital Twins for Real-Time Scenario Analysis during Well Construction Operations</v>
      </c>
      <c r="F285" s="26" t="s">
        <v>309</v>
      </c>
      <c r="G285" s="27" t="s">
        <v>312</v>
      </c>
      <c r="H285" s="27" t="s">
        <v>311</v>
      </c>
      <c r="I285" s="27" t="s">
        <v>311</v>
      </c>
      <c r="J285" s="27" t="s">
        <v>311</v>
      </c>
      <c r="K285" s="27" t="s">
        <v>311</v>
      </c>
      <c r="L285" s="28" t="str">
        <f t="shared" si="21"/>
        <v>EXCLUDE</v>
      </c>
      <c r="M285" s="28" t="str">
        <f t="shared" si="22"/>
        <v>Wrong domain (non-AECO)</v>
      </c>
      <c r="N285" s="29"/>
      <c r="O285" s="29"/>
      <c r="P285" s="30"/>
      <c r="Q285" s="30"/>
      <c r="R285" s="30"/>
      <c r="S285" s="28" t="str">
        <f t="shared" si="23"/>
        <v/>
      </c>
      <c r="T285" s="28" t="str">
        <f t="shared" si="24"/>
        <v/>
      </c>
      <c r="U285" s="31"/>
      <c r="V285" s="31"/>
      <c r="W285" s="31"/>
      <c r="X285" s="31"/>
      <c r="Y285" s="28" t="str">
        <f t="shared" si="25"/>
        <v/>
      </c>
      <c r="Z285" s="31"/>
      <c r="AA285" s="31"/>
      <c r="AB285" s="31"/>
      <c r="AC285" s="31"/>
      <c r="AD285" s="31"/>
      <c r="AE285" s="31"/>
      <c r="AF285" s="31"/>
      <c r="AG285" s="15" t="s">
        <v>501</v>
      </c>
      <c r="AH285" s="35"/>
      <c r="AI285" s="35"/>
      <c r="AK285"/>
      <c r="AM285" s="56"/>
      <c r="AN285" s="57"/>
      <c r="AO285" s="63" t="str">
        <f>IF($A285="","",IFERROR(_xlfn.XLOOKUP($A285,'2_DOI_Lookup'!$A$2:$A$430,'2_DOI_Lookup'!$B$2:$B$430),"NOT IN SOURCE"))</f>
        <v>10.3390/en15186584</v>
      </c>
    </row>
    <row r="286" spans="1:41" ht="68.400000000000006" hidden="1" x14ac:dyDescent="0.3">
      <c r="A286" s="64">
        <v>3772</v>
      </c>
      <c r="B286" s="65"/>
      <c r="C286" s="66"/>
      <c r="D286" s="65"/>
      <c r="E286" s="65" t="str">
        <f>IF($A286="","",IFERROR(_xlfn.XLOOKUP($A286,'2_DOI_Lookup'!$D$2:$D$430,'2_DOI_Lookup'!$E$2:$E$430),"TITLE NOT IN SOURCE"))</f>
        <v>Intelligent Action Planning for Well Construction Operations Demonstrated for Hole Cleaning Optimization and Automation</v>
      </c>
      <c r="F286" s="64" t="s">
        <v>309</v>
      </c>
      <c r="G286" s="67" t="s">
        <v>312</v>
      </c>
      <c r="H286" s="67" t="s">
        <v>311</v>
      </c>
      <c r="I286" s="67" t="s">
        <v>311</v>
      </c>
      <c r="J286" s="67" t="s">
        <v>311</v>
      </c>
      <c r="K286" s="67" t="s">
        <v>311</v>
      </c>
      <c r="L286" s="68" t="str">
        <f t="shared" si="21"/>
        <v>EXCLUDE</v>
      </c>
      <c r="M286" s="68" t="str">
        <f t="shared" si="22"/>
        <v>Wrong domain (non-AECO)</v>
      </c>
      <c r="N286" s="69"/>
      <c r="O286" s="69"/>
      <c r="P286" s="70"/>
      <c r="Q286" s="70"/>
      <c r="R286" s="70"/>
      <c r="S286" s="68" t="str">
        <f t="shared" si="23"/>
        <v/>
      </c>
      <c r="T286" s="68" t="str">
        <f t="shared" si="24"/>
        <v/>
      </c>
      <c r="U286" s="71"/>
      <c r="V286" s="71"/>
      <c r="W286" s="71"/>
      <c r="X286" s="71"/>
      <c r="Y286" s="68" t="str">
        <f t="shared" si="25"/>
        <v/>
      </c>
      <c r="Z286" s="71"/>
      <c r="AA286" s="71"/>
      <c r="AB286" s="71"/>
      <c r="AC286" s="71"/>
      <c r="AD286" s="71"/>
      <c r="AE286" s="71"/>
      <c r="AF286" s="71"/>
      <c r="AG286" s="72" t="s">
        <v>502</v>
      </c>
      <c r="AH286" s="35"/>
      <c r="AI286" s="35"/>
      <c r="AK286"/>
      <c r="AM286" s="56"/>
      <c r="AN286" s="57"/>
      <c r="AO286" s="63" t="str">
        <f>IF($A286="","",IFERROR(_xlfn.XLOOKUP($A286,'2_DOI_Lookup'!$A$2:$A$430,'2_DOI_Lookup'!$B$2:$B$430),"NOT IN SOURCE"))</f>
        <v>10.3390/en15155749</v>
      </c>
    </row>
    <row r="287" spans="1:41" ht="79.8" x14ac:dyDescent="0.3">
      <c r="A287" s="26">
        <v>3810</v>
      </c>
      <c r="B287" s="9" t="s">
        <v>252</v>
      </c>
      <c r="C287" s="32">
        <v>2023</v>
      </c>
      <c r="D287" s="9"/>
      <c r="E287" s="9" t="str">
        <f>IF($A287="","",IFERROR(_xlfn.XLOOKUP($A287,'2_DOI_Lookup'!$D$2:$D$430,'2_DOI_Lookup'!$E$2:$E$430),"TITLE NOT IN SOURCE"))</f>
        <v>Digital Twins for Construction Projects—Developing a Risk Systematization Approach to Facilitate Anomaly Detection in Smart Buildings</v>
      </c>
      <c r="F287" s="26" t="s">
        <v>309</v>
      </c>
      <c r="G287" s="27" t="s">
        <v>311</v>
      </c>
      <c r="H287" s="27" t="s">
        <v>311</v>
      </c>
      <c r="I287" s="27" t="s">
        <v>311</v>
      </c>
      <c r="J287" s="27" t="s">
        <v>311</v>
      </c>
      <c r="K287" s="27" t="s">
        <v>311</v>
      </c>
      <c r="L287" s="28" t="str">
        <f t="shared" si="21"/>
        <v>INCLUDE</v>
      </c>
      <c r="M287" s="28" t="str">
        <f t="shared" si="22"/>
        <v/>
      </c>
      <c r="N287" s="29" t="s">
        <v>311</v>
      </c>
      <c r="O287" s="29" t="s">
        <v>311</v>
      </c>
      <c r="P287" s="30" t="s">
        <v>311</v>
      </c>
      <c r="Q287" s="30" t="s">
        <v>311</v>
      </c>
      <c r="R287" s="30" t="s">
        <v>311</v>
      </c>
      <c r="S287" s="28" t="str">
        <f t="shared" si="23"/>
        <v>INCLUDE</v>
      </c>
      <c r="T287" s="28" t="str">
        <f t="shared" si="24"/>
        <v/>
      </c>
      <c r="U287" s="31" t="s">
        <v>52</v>
      </c>
      <c r="V287" s="31">
        <v>0</v>
      </c>
      <c r="W287" s="31">
        <v>1</v>
      </c>
      <c r="X287" s="31">
        <v>0</v>
      </c>
      <c r="Y287" s="28" t="str">
        <f t="shared" si="25"/>
        <v>Single</v>
      </c>
      <c r="Z287" s="31" t="s">
        <v>9</v>
      </c>
      <c r="AA287" s="31" t="s">
        <v>53</v>
      </c>
      <c r="AB287" s="31" t="s">
        <v>91</v>
      </c>
      <c r="AC287" s="31" t="s">
        <v>64</v>
      </c>
      <c r="AD287" s="31" t="s">
        <v>56</v>
      </c>
      <c r="AE287" s="31">
        <v>3</v>
      </c>
      <c r="AF287" s="31" t="s">
        <v>86</v>
      </c>
      <c r="AG287" s="15" t="s">
        <v>646</v>
      </c>
      <c r="AH287" s="97" t="s">
        <v>930</v>
      </c>
      <c r="AI287" s="97" t="s">
        <v>931</v>
      </c>
      <c r="AJ287" s="98" t="s">
        <v>82</v>
      </c>
      <c r="AK287" s="98" t="s">
        <v>1180</v>
      </c>
      <c r="AL287" s="98" t="s">
        <v>1083</v>
      </c>
      <c r="AM287" s="99"/>
      <c r="AN287" s="100" t="s">
        <v>1304</v>
      </c>
      <c r="AO287" s="101" t="str">
        <f>IF($A287="","",IFERROR(_xlfn.XLOOKUP($A287,'2_DOI_Lookup'!$A$2:$A$430,'2_DOI_Lookup'!$B$2:$B$430),"NOT IN SOURCE"))</f>
        <v>10.3390/telecom4010009</v>
      </c>
    </row>
    <row r="288" spans="1:41" ht="79.8" hidden="1" x14ac:dyDescent="0.3">
      <c r="A288" s="73">
        <v>4047</v>
      </c>
      <c r="B288" s="74"/>
      <c r="C288" s="75"/>
      <c r="D288" s="74"/>
      <c r="E288" s="74" t="str">
        <f>IF($A288="","",IFERROR(_xlfn.XLOOKUP($A288,'2_DOI_Lookup'!$D$2:$D$430,'2_DOI_Lookup'!$E$2:$E$430),"TITLE NOT IN SOURCE"))</f>
        <v>Exploring the Adoption of Construction Technologies in Infrastructure Projects: Bridging Perceptions of Experts with Real Project Data</v>
      </c>
      <c r="F288" s="73" t="s">
        <v>310</v>
      </c>
      <c r="G288" s="76" t="s">
        <v>311</v>
      </c>
      <c r="H288" s="76" t="s">
        <v>312</v>
      </c>
      <c r="I288" s="76" t="s">
        <v>312</v>
      </c>
      <c r="J288" s="76" t="s">
        <v>311</v>
      </c>
      <c r="K288" s="76" t="s">
        <v>311</v>
      </c>
      <c r="L288" s="77" t="str">
        <f t="shared" si="21"/>
        <v>EXCLUDE</v>
      </c>
      <c r="M288" s="77" t="str">
        <f t="shared" si="22"/>
        <v>Digital Twin not core / buzzword</v>
      </c>
      <c r="N288" s="78"/>
      <c r="O288" s="78"/>
      <c r="P288" s="79"/>
      <c r="Q288" s="79"/>
      <c r="R288" s="79"/>
      <c r="S288" s="77" t="str">
        <f t="shared" si="23"/>
        <v/>
      </c>
      <c r="T288" s="77" t="str">
        <f t="shared" si="24"/>
        <v/>
      </c>
      <c r="U288" s="80"/>
      <c r="V288" s="80"/>
      <c r="W288" s="80"/>
      <c r="X288" s="80"/>
      <c r="Y288" s="77" t="str">
        <f t="shared" si="25"/>
        <v/>
      </c>
      <c r="Z288" s="80"/>
      <c r="AA288" s="80"/>
      <c r="AB288" s="80"/>
      <c r="AC288" s="80"/>
      <c r="AD288" s="80"/>
      <c r="AE288" s="80"/>
      <c r="AF288" s="80"/>
      <c r="AG288" s="81" t="s">
        <v>503</v>
      </c>
      <c r="AH288" s="35"/>
      <c r="AI288" s="35"/>
      <c r="AK288"/>
      <c r="AM288" s="56"/>
      <c r="AN288" s="57"/>
      <c r="AO288" s="63" t="str">
        <f>IF($A288="","",IFERROR(_xlfn.XLOOKUP($A288,'2_DOI_Lookup'!$A$2:$A$430,'2_DOI_Lookup'!$B$2:$B$430),"NOT IN SOURCE"))</f>
        <v>10.1061/JITSE4.ISENG-2605</v>
      </c>
    </row>
    <row r="289" spans="1:41" ht="68.400000000000006" hidden="1" x14ac:dyDescent="0.3">
      <c r="A289" s="26">
        <v>4052</v>
      </c>
      <c r="B289" s="9"/>
      <c r="C289" s="32"/>
      <c r="D289" s="9"/>
      <c r="E289" s="9" t="str">
        <f>IF($A289="","",IFERROR(_xlfn.XLOOKUP($A289,'2_DOI_Lookup'!$D$2:$D$430,'2_DOI_Lookup'!$E$2:$E$430),"TITLE NOT IN SOURCE"))</f>
        <v>Investigating the Correlation and Synergy of Artificial Intelligence Techniques, Construction Technologies, and Their Key Benefits</v>
      </c>
      <c r="F289" s="26" t="s">
        <v>310</v>
      </c>
      <c r="G289" s="27" t="s">
        <v>311</v>
      </c>
      <c r="H289" s="27" t="s">
        <v>312</v>
      </c>
      <c r="I289" s="27" t="s">
        <v>312</v>
      </c>
      <c r="J289" s="27" t="s">
        <v>311</v>
      </c>
      <c r="K289" s="27" t="s">
        <v>311</v>
      </c>
      <c r="L289" s="28" t="str">
        <f t="shared" si="21"/>
        <v>EXCLUDE</v>
      </c>
      <c r="M289" s="28" t="str">
        <f t="shared" si="22"/>
        <v>Digital Twin not core / buzzword</v>
      </c>
      <c r="N289" s="29"/>
      <c r="O289" s="29"/>
      <c r="P289" s="30"/>
      <c r="Q289" s="30"/>
      <c r="R289" s="30"/>
      <c r="S289" s="28" t="str">
        <f t="shared" si="23"/>
        <v/>
      </c>
      <c r="T289" s="28" t="str">
        <f t="shared" si="24"/>
        <v/>
      </c>
      <c r="U289" s="31"/>
      <c r="V289" s="31"/>
      <c r="W289" s="31"/>
      <c r="X289" s="31"/>
      <c r="Y289" s="28" t="str">
        <f t="shared" si="25"/>
        <v/>
      </c>
      <c r="Z289" s="31"/>
      <c r="AA289" s="31"/>
      <c r="AB289" s="31"/>
      <c r="AC289" s="31"/>
      <c r="AD289" s="31"/>
      <c r="AE289" s="31"/>
      <c r="AF289" s="31"/>
      <c r="AG289" s="15" t="s">
        <v>504</v>
      </c>
      <c r="AH289" s="35"/>
      <c r="AI289" s="35"/>
      <c r="AK289"/>
      <c r="AM289" s="56"/>
      <c r="AN289" s="57"/>
      <c r="AO289" s="63" t="str">
        <f>IF($A289="","",IFERROR(_xlfn.XLOOKUP($A289,'2_DOI_Lookup'!$A$2:$A$430,'2_DOI_Lookup'!$B$2:$B$430),"NOT IN SOURCE"))</f>
        <v>10.1061/JAEIED.AEENG-1979</v>
      </c>
    </row>
    <row r="290" spans="1:41" ht="79.8" hidden="1" x14ac:dyDescent="0.3">
      <c r="A290" s="26">
        <v>3722</v>
      </c>
      <c r="B290" s="9"/>
      <c r="C290" s="32"/>
      <c r="D290" s="9"/>
      <c r="E290" s="9" t="str">
        <f>IF($A290="","",IFERROR(_xlfn.XLOOKUP($A290,'2_DOI_Lookup'!$D$2:$D$430,'2_DOI_Lookup'!$E$2:$E$430),"TITLE NOT IN SOURCE"))</f>
        <v>Stack-AttenLSTM: A surrogate deep learning model for sequential earthquake-flood structural response assessment of steel buildings</v>
      </c>
      <c r="F290" s="26" t="s">
        <v>309</v>
      </c>
      <c r="G290" s="27" t="s">
        <v>311</v>
      </c>
      <c r="H290" s="27" t="s">
        <v>312</v>
      </c>
      <c r="I290" s="27" t="s">
        <v>311</v>
      </c>
      <c r="J290" s="27" t="s">
        <v>311</v>
      </c>
      <c r="K290" s="27" t="s">
        <v>311</v>
      </c>
      <c r="L290" s="28" t="str">
        <f t="shared" si="21"/>
        <v>EXCLUDE</v>
      </c>
      <c r="M290" s="28" t="str">
        <f t="shared" si="22"/>
        <v>Digital Twin not core / buzzword</v>
      </c>
      <c r="N290" s="29"/>
      <c r="O290" s="29"/>
      <c r="P290" s="30"/>
      <c r="Q290" s="30"/>
      <c r="R290" s="30"/>
      <c r="S290" s="28" t="str">
        <f t="shared" si="23"/>
        <v/>
      </c>
      <c r="T290" s="28" t="str">
        <f t="shared" si="24"/>
        <v/>
      </c>
      <c r="U290" s="31"/>
      <c r="V290" s="31"/>
      <c r="W290" s="31"/>
      <c r="X290" s="31"/>
      <c r="Y290" s="28" t="str">
        <f t="shared" si="25"/>
        <v/>
      </c>
      <c r="Z290" s="31"/>
      <c r="AA290" s="31"/>
      <c r="AB290" s="31"/>
      <c r="AC290" s="31"/>
      <c r="AD290" s="31"/>
      <c r="AE290" s="31"/>
      <c r="AF290" s="31"/>
      <c r="AG290" s="15" t="s">
        <v>505</v>
      </c>
      <c r="AH290" s="35"/>
      <c r="AI290" s="35"/>
      <c r="AK290"/>
      <c r="AM290" s="56"/>
      <c r="AN290" s="57"/>
      <c r="AO290" s="63" t="str">
        <f>IF($A290="","",IFERROR(_xlfn.XLOOKUP($A290,'2_DOI_Lookup'!$A$2:$A$430,'2_DOI_Lookup'!$B$2:$B$430),"NOT IN SOURCE"))</f>
        <v>10.1016/j.engstruct.2026.122345</v>
      </c>
    </row>
    <row r="291" spans="1:41" ht="68.400000000000006" hidden="1" x14ac:dyDescent="0.3">
      <c r="A291" s="26">
        <v>4043</v>
      </c>
      <c r="B291" s="9"/>
      <c r="C291" s="32"/>
      <c r="D291" s="9"/>
      <c r="E291" s="9" t="str">
        <f>IF($A291="","",IFERROR(_xlfn.XLOOKUP($A291,'2_DOI_Lookup'!$D$2:$D$430,'2_DOI_Lookup'!$E$2:$E$430),"TITLE NOT IN SOURCE"))</f>
        <v>Defect-oriented supportive bridge inspection system featuring building information modeling and augmented reality</v>
      </c>
      <c r="F291" s="26" t="s">
        <v>310</v>
      </c>
      <c r="G291" s="27" t="s">
        <v>311</v>
      </c>
      <c r="H291" s="27" t="s">
        <v>312</v>
      </c>
      <c r="I291" s="27" t="s">
        <v>311</v>
      </c>
      <c r="J291" s="27" t="s">
        <v>311</v>
      </c>
      <c r="K291" s="27" t="s">
        <v>311</v>
      </c>
      <c r="L291" s="28" t="str">
        <f t="shared" si="21"/>
        <v>EXCLUDE</v>
      </c>
      <c r="M291" s="28" t="str">
        <f t="shared" si="22"/>
        <v>Digital Twin not core / buzzword</v>
      </c>
      <c r="N291" s="29"/>
      <c r="O291" s="29"/>
      <c r="P291" s="30"/>
      <c r="Q291" s="30"/>
      <c r="R291" s="30"/>
      <c r="S291" s="28" t="str">
        <f t="shared" si="23"/>
        <v/>
      </c>
      <c r="T291" s="28" t="str">
        <f t="shared" si="24"/>
        <v/>
      </c>
      <c r="U291" s="31"/>
      <c r="V291" s="31"/>
      <c r="W291" s="31"/>
      <c r="X291" s="31"/>
      <c r="Y291" s="28" t="str">
        <f t="shared" si="25"/>
        <v/>
      </c>
      <c r="Z291" s="31"/>
      <c r="AA291" s="31"/>
      <c r="AB291" s="31"/>
      <c r="AC291" s="31"/>
      <c r="AD291" s="31"/>
      <c r="AE291" s="31"/>
      <c r="AF291" s="31"/>
      <c r="AG291" s="15" t="s">
        <v>506</v>
      </c>
      <c r="AH291" s="35"/>
      <c r="AI291" s="35"/>
      <c r="AK291"/>
      <c r="AM291" s="56"/>
      <c r="AN291" s="57"/>
      <c r="AO291" s="63" t="str">
        <f>IF($A291="","",IFERROR(_xlfn.XLOOKUP($A291,'2_DOI_Lookup'!$A$2:$A$430,'2_DOI_Lookup'!$B$2:$B$430),"NOT IN SOURCE"))</f>
        <v>10.1007/s41062-022-00847-3</v>
      </c>
    </row>
    <row r="292" spans="1:41" ht="57" hidden="1" x14ac:dyDescent="0.3">
      <c r="A292" s="26">
        <v>3818</v>
      </c>
      <c r="B292" s="9"/>
      <c r="C292" s="32"/>
      <c r="D292" s="9"/>
      <c r="E292" s="9" t="str">
        <f>IF($A292="","",IFERROR(_xlfn.XLOOKUP($A292,'2_DOI_Lookup'!$D$2:$D$430,'2_DOI_Lookup'!$E$2:$E$430),"TITLE NOT IN SOURCE"))</f>
        <v>ITA − AITES tunnelling information modelling − A BIM approach for a sustainable life cycle management</v>
      </c>
      <c r="F292" s="26" t="s">
        <v>309</v>
      </c>
      <c r="G292" s="27" t="s">
        <v>311</v>
      </c>
      <c r="H292" s="27" t="s">
        <v>312</v>
      </c>
      <c r="I292" s="27" t="s">
        <v>312</v>
      </c>
      <c r="J292" s="27" t="s">
        <v>311</v>
      </c>
      <c r="K292" s="27" t="s">
        <v>311</v>
      </c>
      <c r="L292" s="28" t="str">
        <f t="shared" si="21"/>
        <v>EXCLUDE</v>
      </c>
      <c r="M292" s="28" t="str">
        <f t="shared" si="22"/>
        <v>Digital Twin not core / buzzword</v>
      </c>
      <c r="N292" s="29"/>
      <c r="O292" s="29"/>
      <c r="P292" s="30"/>
      <c r="Q292" s="30"/>
      <c r="R292" s="30"/>
      <c r="S292" s="28" t="str">
        <f t="shared" si="23"/>
        <v/>
      </c>
      <c r="T292" s="28" t="str">
        <f t="shared" si="24"/>
        <v/>
      </c>
      <c r="U292" s="31"/>
      <c r="V292" s="31"/>
      <c r="W292" s="31"/>
      <c r="X292" s="31"/>
      <c r="Y292" s="28" t="str">
        <f t="shared" si="25"/>
        <v/>
      </c>
      <c r="Z292" s="31"/>
      <c r="AA292" s="31"/>
      <c r="AB292" s="31"/>
      <c r="AC292" s="31"/>
      <c r="AD292" s="31"/>
      <c r="AE292" s="31"/>
      <c r="AF292" s="31"/>
      <c r="AG292" s="15" t="s">
        <v>507</v>
      </c>
      <c r="AH292" s="35"/>
      <c r="AI292" s="35"/>
      <c r="AK292"/>
      <c r="AM292" s="56"/>
      <c r="AN292" s="57"/>
      <c r="AO292" s="63" t="str">
        <f>IF($A292="","",IFERROR(_xlfn.XLOOKUP($A292,'2_DOI_Lookup'!$A$2:$A$430,'2_DOI_Lookup'!$B$2:$B$430),"NOT IN SOURCE"))</f>
        <v>10.1016/j.tust.2025.106711</v>
      </c>
    </row>
    <row r="293" spans="1:41" ht="57" hidden="1" x14ac:dyDescent="0.3">
      <c r="A293" s="26">
        <v>3900</v>
      </c>
      <c r="B293" s="9"/>
      <c r="C293" s="32"/>
      <c r="D293" s="9"/>
      <c r="E293" s="9" t="str">
        <f>IF($A293="","",IFERROR(_xlfn.XLOOKUP($A293,'2_DOI_Lookup'!$D$2:$D$430,'2_DOI_Lookup'!$E$2:$E$430),"TITLE NOT IN SOURCE"))</f>
        <v>ITA - AITES tunnelling information modelling - A BIM approach for a sustainable life cycle management</v>
      </c>
      <c r="F293" s="26" t="s">
        <v>310</v>
      </c>
      <c r="G293" s="27" t="s">
        <v>311</v>
      </c>
      <c r="H293" s="27" t="s">
        <v>312</v>
      </c>
      <c r="I293" s="27" t="s">
        <v>312</v>
      </c>
      <c r="J293" s="27" t="s">
        <v>311</v>
      </c>
      <c r="K293" s="27" t="s">
        <v>311</v>
      </c>
      <c r="L293" s="28" t="str">
        <f t="shared" si="21"/>
        <v>EXCLUDE</v>
      </c>
      <c r="M293" s="28" t="str">
        <f t="shared" si="22"/>
        <v>Digital Twin not core / buzzword</v>
      </c>
      <c r="N293" s="29"/>
      <c r="O293" s="29"/>
      <c r="P293" s="30"/>
      <c r="Q293" s="30"/>
      <c r="R293" s="30"/>
      <c r="S293" s="28" t="str">
        <f t="shared" si="23"/>
        <v/>
      </c>
      <c r="T293" s="28" t="str">
        <f t="shared" si="24"/>
        <v/>
      </c>
      <c r="U293" s="31"/>
      <c r="V293" s="31"/>
      <c r="W293" s="31"/>
      <c r="X293" s="31"/>
      <c r="Y293" s="28" t="str">
        <f t="shared" si="25"/>
        <v/>
      </c>
      <c r="Z293" s="31"/>
      <c r="AA293" s="31"/>
      <c r="AB293" s="31"/>
      <c r="AC293" s="31"/>
      <c r="AD293" s="31"/>
      <c r="AE293" s="31"/>
      <c r="AF293" s="31"/>
      <c r="AG293" s="15" t="s">
        <v>508</v>
      </c>
      <c r="AH293" s="35"/>
      <c r="AI293" s="35"/>
      <c r="AK293"/>
      <c r="AM293" s="56"/>
      <c r="AN293" s="57"/>
      <c r="AO293" s="63" t="str">
        <f>IF($A293="","",IFERROR(_xlfn.XLOOKUP($A293,'2_DOI_Lookup'!$A$2:$A$430,'2_DOI_Lookup'!$B$2:$B$430),"NOT IN SOURCE"))</f>
        <v>10.1016/j.tust.2025.106711</v>
      </c>
    </row>
    <row r="294" spans="1:41" ht="22.8" hidden="1" x14ac:dyDescent="0.3">
      <c r="A294" s="26">
        <v>3914</v>
      </c>
      <c r="B294" s="9"/>
      <c r="C294" s="32"/>
      <c r="D294" s="9"/>
      <c r="E294" s="9" t="str">
        <f>IF($A294="","",IFERROR(_xlfn.XLOOKUP($A294,'2_DOI_Lookup'!$D$2:$D$430,'2_DOI_Lookup'!$E$2:$E$430),"TITLE NOT IN SOURCE"))</f>
        <v>Structural Information Modeling</v>
      </c>
      <c r="F294" s="26" t="s">
        <v>310</v>
      </c>
      <c r="G294" s="27" t="s">
        <v>311</v>
      </c>
      <c r="H294" s="27" t="s">
        <v>311</v>
      </c>
      <c r="I294" s="27" t="s">
        <v>311</v>
      </c>
      <c r="J294" s="27" t="s">
        <v>311</v>
      </c>
      <c r="K294" s="27" t="s">
        <v>312</v>
      </c>
      <c r="L294" s="28" t="str">
        <f t="shared" si="21"/>
        <v>EXCLUDE</v>
      </c>
      <c r="M294" s="28" t="str">
        <f t="shared" si="22"/>
        <v>Non-English</v>
      </c>
      <c r="N294" s="29"/>
      <c r="O294" s="29"/>
      <c r="P294" s="30"/>
      <c r="Q294" s="30"/>
      <c r="R294" s="30"/>
      <c r="S294" s="28" t="str">
        <f t="shared" si="23"/>
        <v/>
      </c>
      <c r="T294" s="28" t="str">
        <f t="shared" si="24"/>
        <v/>
      </c>
      <c r="U294" s="31"/>
      <c r="V294" s="31"/>
      <c r="W294" s="31"/>
      <c r="X294" s="31"/>
      <c r="Y294" s="28" t="str">
        <f t="shared" si="25"/>
        <v/>
      </c>
      <c r="Z294" s="31"/>
      <c r="AA294" s="31"/>
      <c r="AB294" s="31"/>
      <c r="AC294" s="31"/>
      <c r="AD294" s="31"/>
      <c r="AE294" s="31"/>
      <c r="AF294" s="31"/>
      <c r="AG294" s="15" t="s">
        <v>509</v>
      </c>
      <c r="AH294" s="35"/>
      <c r="AI294" s="35"/>
      <c r="AK294"/>
      <c r="AM294" s="56"/>
      <c r="AN294" s="57"/>
      <c r="AO294" s="63" t="str">
        <f>IF($A294="","",IFERROR(_xlfn.XLOOKUP($A294,'2_DOI_Lookup'!$A$2:$A$430,'2_DOI_Lookup'!$B$2:$B$430),"NOT IN SOURCE"))</f>
        <v>10.1002/dama.202210024</v>
      </c>
    </row>
    <row r="295" spans="1:41" ht="45.6" hidden="1" x14ac:dyDescent="0.3">
      <c r="A295" s="64">
        <v>3929</v>
      </c>
      <c r="B295" s="65"/>
      <c r="C295" s="66"/>
      <c r="D295" s="65"/>
      <c r="E295" s="65" t="str">
        <f>IF($A295="","",IFERROR(_xlfn.XLOOKUP($A295,'2_DOI_Lookup'!$D$2:$D$430,'2_DOI_Lookup'!$E$2:$E$430),"TITLE NOT IN SOURCE"))</f>
        <v>Structural Information Modeling - the digital transformation of building diagnostics</v>
      </c>
      <c r="F295" s="64" t="s">
        <v>310</v>
      </c>
      <c r="G295" s="67" t="s">
        <v>311</v>
      </c>
      <c r="H295" s="67" t="s">
        <v>311</v>
      </c>
      <c r="I295" s="67" t="s">
        <v>311</v>
      </c>
      <c r="J295" s="67" t="s">
        <v>311</v>
      </c>
      <c r="K295" s="67" t="s">
        <v>312</v>
      </c>
      <c r="L295" s="68" t="str">
        <f t="shared" si="21"/>
        <v>EXCLUDE</v>
      </c>
      <c r="M295" s="68" t="str">
        <f t="shared" si="22"/>
        <v>Non-English</v>
      </c>
      <c r="N295" s="69"/>
      <c r="O295" s="69"/>
      <c r="P295" s="70"/>
      <c r="Q295" s="70"/>
      <c r="R295" s="70"/>
      <c r="S295" s="68" t="str">
        <f t="shared" si="23"/>
        <v/>
      </c>
      <c r="T295" s="68" t="str">
        <f t="shared" si="24"/>
        <v/>
      </c>
      <c r="U295" s="71"/>
      <c r="V295" s="71"/>
      <c r="W295" s="71"/>
      <c r="X295" s="71"/>
      <c r="Y295" s="68" t="str">
        <f t="shared" si="25"/>
        <v/>
      </c>
      <c r="Z295" s="71"/>
      <c r="AA295" s="71"/>
      <c r="AB295" s="71"/>
      <c r="AC295" s="71"/>
      <c r="AD295" s="71"/>
      <c r="AE295" s="71"/>
      <c r="AF295" s="71"/>
      <c r="AG295" s="72" t="s">
        <v>475</v>
      </c>
      <c r="AH295" s="35"/>
      <c r="AI295" s="35"/>
      <c r="AK295"/>
      <c r="AM295" s="56"/>
      <c r="AN295" s="57"/>
      <c r="AO295" s="63" t="str">
        <f>IF($A295="","",IFERROR(_xlfn.XLOOKUP($A295,'2_DOI_Lookup'!$A$2:$A$430,'2_DOI_Lookup'!$B$2:$B$430),"NOT IN SOURCE"))</f>
        <v>10.1002/bate.202100121</v>
      </c>
    </row>
    <row r="296" spans="1:41" ht="91.2" x14ac:dyDescent="0.3">
      <c r="A296" s="26">
        <v>3713</v>
      </c>
      <c r="B296" s="9" t="s">
        <v>253</v>
      </c>
      <c r="C296" s="32">
        <v>2026</v>
      </c>
      <c r="D296" s="9"/>
      <c r="E296" s="9" t="str">
        <f>IF($A296="","",IFERROR(_xlfn.XLOOKUP($A296,'2_DOI_Lookup'!$D$2:$D$430,'2_DOI_Lookup'!$E$2:$E$430),"TITLE NOT IN SOURCE"))</f>
        <v>A BIM-Based Digital Twin Framework for Urban Roads: Integrating MMS and Municipal Geospatial Data for AI-Ready Urban Infrastructure Management</v>
      </c>
      <c r="F296" s="26" t="s">
        <v>309</v>
      </c>
      <c r="G296" s="27" t="s">
        <v>311</v>
      </c>
      <c r="H296" s="27" t="s">
        <v>311</v>
      </c>
      <c r="I296" s="27" t="s">
        <v>311</v>
      </c>
      <c r="J296" s="27" t="s">
        <v>311</v>
      </c>
      <c r="K296" s="27" t="s">
        <v>311</v>
      </c>
      <c r="L296" s="28" t="str">
        <f t="shared" si="21"/>
        <v>INCLUDE</v>
      </c>
      <c r="M296" s="28" t="str">
        <f t="shared" si="22"/>
        <v/>
      </c>
      <c r="N296" s="29" t="s">
        <v>311</v>
      </c>
      <c r="O296" s="29" t="s">
        <v>311</v>
      </c>
      <c r="P296" s="30" t="s">
        <v>311</v>
      </c>
      <c r="Q296" s="30" t="s">
        <v>311</v>
      </c>
      <c r="R296" s="30" t="s">
        <v>311</v>
      </c>
      <c r="S296" s="28" t="str">
        <f t="shared" si="23"/>
        <v>INCLUDE</v>
      </c>
      <c r="T296" s="28" t="str">
        <f t="shared" si="24"/>
        <v/>
      </c>
      <c r="U296" s="31" t="s">
        <v>52</v>
      </c>
      <c r="V296" s="31">
        <v>0</v>
      </c>
      <c r="W296" s="31">
        <v>0</v>
      </c>
      <c r="X296" s="31">
        <v>1</v>
      </c>
      <c r="Y296" s="28" t="str">
        <f t="shared" si="25"/>
        <v>Single</v>
      </c>
      <c r="Z296" s="31" t="s">
        <v>9</v>
      </c>
      <c r="AA296" s="31" t="s">
        <v>53</v>
      </c>
      <c r="AB296" s="31" t="s">
        <v>91</v>
      </c>
      <c r="AC296" s="31" t="s">
        <v>64</v>
      </c>
      <c r="AD296" s="31" t="s">
        <v>79</v>
      </c>
      <c r="AE296" s="31">
        <v>4</v>
      </c>
      <c r="AF296" s="31" t="s">
        <v>57</v>
      </c>
      <c r="AG296" s="15" t="s">
        <v>647</v>
      </c>
      <c r="AH296" s="97" t="s">
        <v>932</v>
      </c>
      <c r="AI296" s="97" t="s">
        <v>933</v>
      </c>
      <c r="AJ296" s="98" t="s">
        <v>1081</v>
      </c>
      <c r="AK296" s="98" t="s">
        <v>1181</v>
      </c>
      <c r="AL296" s="98" t="s">
        <v>1084</v>
      </c>
      <c r="AM296" s="99"/>
      <c r="AN296" s="100" t="s">
        <v>1287</v>
      </c>
      <c r="AO296" s="101" t="str">
        <f>IF($A296="","",IFERROR(_xlfn.XLOOKUP($A296,'2_DOI_Lookup'!$A$2:$A$430,'2_DOI_Lookup'!$B$2:$B$430),"NOT IN SOURCE"))</f>
        <v>10.3390/s26030947</v>
      </c>
    </row>
    <row r="297" spans="1:41" ht="57" hidden="1" x14ac:dyDescent="0.3">
      <c r="A297" s="82">
        <v>3884</v>
      </c>
      <c r="B297" s="83"/>
      <c r="C297" s="84"/>
      <c r="D297" s="83"/>
      <c r="E297" s="83" t="str">
        <f>IF($A297="","",IFERROR(_xlfn.XLOOKUP($A297,'2_DOI_Lookup'!$D$2:$D$430,'2_DOI_Lookup'!$E$2:$E$430),"TITLE NOT IN SOURCE"))</f>
        <v>Mapping the Evolution of 4D BIM in Construction Digitalisation: A Scientometric Analysis and Review</v>
      </c>
      <c r="F297" s="82" t="s">
        <v>310</v>
      </c>
      <c r="G297" s="85" t="s">
        <v>311</v>
      </c>
      <c r="H297" s="85" t="s">
        <v>312</v>
      </c>
      <c r="I297" s="85" t="s">
        <v>312</v>
      </c>
      <c r="J297" s="85" t="s">
        <v>311</v>
      </c>
      <c r="K297" s="85" t="s">
        <v>311</v>
      </c>
      <c r="L297" s="86" t="str">
        <f t="shared" si="21"/>
        <v>EXCLUDE</v>
      </c>
      <c r="M297" s="86" t="str">
        <f t="shared" si="22"/>
        <v>Digital Twin not core / buzzword</v>
      </c>
      <c r="N297" s="87"/>
      <c r="O297" s="87"/>
      <c r="P297" s="88"/>
      <c r="Q297" s="88"/>
      <c r="R297" s="88"/>
      <c r="S297" s="86" t="str">
        <f t="shared" si="23"/>
        <v/>
      </c>
      <c r="T297" s="86" t="str">
        <f t="shared" si="24"/>
        <v/>
      </c>
      <c r="U297" s="89"/>
      <c r="V297" s="89"/>
      <c r="W297" s="89"/>
      <c r="X297" s="89"/>
      <c r="Y297" s="86" t="str">
        <f t="shared" si="25"/>
        <v/>
      </c>
      <c r="Z297" s="89"/>
      <c r="AA297" s="89"/>
      <c r="AB297" s="89"/>
      <c r="AC297" s="89"/>
      <c r="AD297" s="89"/>
      <c r="AE297" s="89"/>
      <c r="AF297" s="89"/>
      <c r="AG297" s="90" t="s">
        <v>510</v>
      </c>
      <c r="AH297" s="35"/>
      <c r="AI297" s="35"/>
      <c r="AK297"/>
      <c r="AM297" s="56"/>
      <c r="AN297" s="57"/>
      <c r="AO297" s="63" t="str">
        <f>IF($A297="","",IFERROR(_xlfn.XLOOKUP($A297,'2_DOI_Lookup'!$A$2:$A$430,'2_DOI_Lookup'!$B$2:$B$430),"NOT IN SOURCE"))</f>
        <v>10.17576/jkukm-2025-37(6)-11</v>
      </c>
    </row>
    <row r="298" spans="1:41" ht="68.400000000000006" hidden="1" x14ac:dyDescent="0.3">
      <c r="A298" s="26">
        <v>3532</v>
      </c>
      <c r="B298" s="9" t="s">
        <v>254</v>
      </c>
      <c r="C298" s="32">
        <v>2025</v>
      </c>
      <c r="D298" s="9"/>
      <c r="E298" s="9" t="str">
        <f>IF($A298="","",IFERROR(_xlfn.XLOOKUP($A298,'2_DOI_Lookup'!$D$2:$D$430,'2_DOI_Lookup'!$E$2:$E$430),"TITLE NOT IN SOURCE"))</f>
        <v>Analyzing Research Trends in Smart Construction Safety: A Topic Modeling Approach</v>
      </c>
      <c r="F298" s="26" t="s">
        <v>309</v>
      </c>
      <c r="G298" s="27" t="s">
        <v>311</v>
      </c>
      <c r="H298" s="27" t="s">
        <v>311</v>
      </c>
      <c r="I298" s="27" t="s">
        <v>311</v>
      </c>
      <c r="J298" s="27" t="s">
        <v>311</v>
      </c>
      <c r="K298" s="27" t="s">
        <v>311</v>
      </c>
      <c r="L298" s="28" t="str">
        <f t="shared" si="21"/>
        <v>INCLUDE</v>
      </c>
      <c r="M298" s="28" t="str">
        <f t="shared" si="22"/>
        <v/>
      </c>
      <c r="N298" s="29" t="s">
        <v>311</v>
      </c>
      <c r="O298" s="29" t="s">
        <v>311</v>
      </c>
      <c r="P298" s="30" t="s">
        <v>312</v>
      </c>
      <c r="Q298" s="30" t="s">
        <v>311</v>
      </c>
      <c r="R298" s="30" t="s">
        <v>312</v>
      </c>
      <c r="S298" s="28" t="str">
        <f t="shared" si="23"/>
        <v>EXCLUDE</v>
      </c>
      <c r="T298" s="28" t="str">
        <f t="shared" si="24"/>
        <v>Digital Twin mentioned only, not the subject</v>
      </c>
      <c r="U298" s="31" t="s">
        <v>82</v>
      </c>
      <c r="V298" s="31"/>
      <c r="W298" s="31"/>
      <c r="X298" s="31"/>
      <c r="Y298" s="28" t="str">
        <f t="shared" si="25"/>
        <v/>
      </c>
      <c r="Z298" s="31"/>
      <c r="AA298" s="31"/>
      <c r="AB298" s="31"/>
      <c r="AC298" s="31"/>
      <c r="AD298" s="31"/>
      <c r="AE298" s="31"/>
      <c r="AF298" s="31"/>
      <c r="AG298" s="15" t="s">
        <v>648</v>
      </c>
      <c r="AH298" s="97"/>
      <c r="AI298" s="97"/>
      <c r="AJ298" s="98"/>
      <c r="AK298" s="98"/>
      <c r="AL298" s="98"/>
      <c r="AM298" s="99"/>
      <c r="AN298" s="100" t="s">
        <v>1257</v>
      </c>
      <c r="AO298" s="101" t="str">
        <f>IF($A298="","",IFERROR(_xlfn.XLOOKUP($A298,'2_DOI_Lookup'!$A$2:$A$430,'2_DOI_Lookup'!$B$2:$B$430),"NOT IN SOURCE"))</f>
        <v>10.3390/buildings15040520</v>
      </c>
    </row>
    <row r="299" spans="1:41" ht="57" hidden="1" x14ac:dyDescent="0.3">
      <c r="A299" s="73">
        <v>4040</v>
      </c>
      <c r="B299" s="74"/>
      <c r="C299" s="75"/>
      <c r="D299" s="74"/>
      <c r="E299" s="74" t="str">
        <f>IF($A299="","",IFERROR(_xlfn.XLOOKUP($A299,'2_DOI_Lookup'!$D$2:$D$430,'2_DOI_Lookup'!$E$2:$E$430),"TITLE NOT IN SOURCE"))</f>
        <v>Metrics development and modelling the mixed reality and digital twin adoption in the context of Industry 4.0</v>
      </c>
      <c r="F299" s="73" t="s">
        <v>310</v>
      </c>
      <c r="G299" s="76" t="s">
        <v>311</v>
      </c>
      <c r="H299" s="76" t="s">
        <v>311</v>
      </c>
      <c r="I299" s="76" t="s">
        <v>312</v>
      </c>
      <c r="J299" s="76" t="s">
        <v>311</v>
      </c>
      <c r="K299" s="76" t="s">
        <v>311</v>
      </c>
      <c r="L299" s="77" t="str">
        <f t="shared" si="21"/>
        <v>EXCLUDE</v>
      </c>
      <c r="M299" s="77" t="str">
        <f t="shared" si="22"/>
        <v>No Design for Safety/Quality/PtD</v>
      </c>
      <c r="N299" s="78"/>
      <c r="O299" s="78"/>
      <c r="P299" s="79"/>
      <c r="Q299" s="79"/>
      <c r="R299" s="79"/>
      <c r="S299" s="77" t="str">
        <f t="shared" si="23"/>
        <v/>
      </c>
      <c r="T299" s="77" t="str">
        <f t="shared" si="24"/>
        <v/>
      </c>
      <c r="U299" s="80"/>
      <c r="V299" s="80"/>
      <c r="W299" s="80"/>
      <c r="X299" s="80"/>
      <c r="Y299" s="77" t="str">
        <f t="shared" si="25"/>
        <v/>
      </c>
      <c r="Z299" s="80"/>
      <c r="AA299" s="80"/>
      <c r="AB299" s="80"/>
      <c r="AC299" s="80"/>
      <c r="AD299" s="80"/>
      <c r="AE299" s="80"/>
      <c r="AF299" s="80"/>
      <c r="AG299" s="81" t="s">
        <v>511</v>
      </c>
      <c r="AH299" s="35"/>
      <c r="AI299" s="35"/>
      <c r="AK299"/>
      <c r="AM299" s="56"/>
      <c r="AN299" s="57"/>
      <c r="AO299" s="63" t="str">
        <f>IF($A299="","",IFERROR(_xlfn.XLOOKUP($A299,'2_DOI_Lookup'!$A$2:$A$430,'2_DOI_Lookup'!$B$2:$B$430),"NOT IN SOURCE"))</f>
        <v>10.1108/ECAM-10-2020-0880</v>
      </c>
    </row>
    <row r="300" spans="1:41" ht="45.6" hidden="1" x14ac:dyDescent="0.3">
      <c r="A300" s="64">
        <v>3880</v>
      </c>
      <c r="B300" s="65"/>
      <c r="C300" s="66"/>
      <c r="D300" s="65"/>
      <c r="E300" s="65" t="str">
        <f>IF($A300="","",IFERROR(_xlfn.XLOOKUP($A300,'2_DOI_Lookup'!$D$2:$D$430,'2_DOI_Lookup'!$E$2:$E$430),"TITLE NOT IN SOURCE"))</f>
        <v>BIM and Digital Twin for Developing Convergence Technologies as Future of Digital Construction</v>
      </c>
      <c r="F300" s="64" t="s">
        <v>310</v>
      </c>
      <c r="G300" s="67" t="s">
        <v>311</v>
      </c>
      <c r="H300" s="67" t="s">
        <v>312</v>
      </c>
      <c r="I300" s="67" t="s">
        <v>312</v>
      </c>
      <c r="J300" s="67" t="s">
        <v>311</v>
      </c>
      <c r="K300" s="67" t="s">
        <v>311</v>
      </c>
      <c r="L300" s="68" t="str">
        <f t="shared" si="21"/>
        <v>EXCLUDE</v>
      </c>
      <c r="M300" s="68" t="str">
        <f t="shared" si="22"/>
        <v>Digital Twin not core / buzzword</v>
      </c>
      <c r="N300" s="69"/>
      <c r="O300" s="69"/>
      <c r="P300" s="70"/>
      <c r="Q300" s="70"/>
      <c r="R300" s="70"/>
      <c r="S300" s="68" t="str">
        <f t="shared" si="23"/>
        <v/>
      </c>
      <c r="T300" s="68" t="str">
        <f t="shared" si="24"/>
        <v/>
      </c>
      <c r="U300" s="71"/>
      <c r="V300" s="71"/>
      <c r="W300" s="71"/>
      <c r="X300" s="71"/>
      <c r="Y300" s="68" t="str">
        <f t="shared" si="25"/>
        <v/>
      </c>
      <c r="Z300" s="71"/>
      <c r="AA300" s="71"/>
      <c r="AB300" s="71"/>
      <c r="AC300" s="71"/>
      <c r="AD300" s="71"/>
      <c r="AE300" s="71"/>
      <c r="AF300" s="71"/>
      <c r="AG300" s="72" t="s">
        <v>512</v>
      </c>
      <c r="AH300" s="35"/>
      <c r="AI300" s="35"/>
      <c r="AK300"/>
      <c r="AM300" s="56"/>
      <c r="AN300" s="57"/>
      <c r="AO300" s="63" t="str">
        <f>IF($A300="","",IFERROR(_xlfn.XLOOKUP($A300,'2_DOI_Lookup'!$A$2:$A$430,'2_DOI_Lookup'!$B$2:$B$430),"NOT IN SOURCE"))</f>
        <v>10.3390/buildings13020441</v>
      </c>
    </row>
    <row r="301" spans="1:41" ht="79.8" x14ac:dyDescent="0.3">
      <c r="A301" s="26">
        <v>3633</v>
      </c>
      <c r="B301" s="9" t="s">
        <v>255</v>
      </c>
      <c r="C301" s="32">
        <v>2022</v>
      </c>
      <c r="D301" s="9"/>
      <c r="E301" s="9" t="str">
        <f>IF($A301="","",IFERROR(_xlfn.XLOOKUP($A301,'2_DOI_Lookup'!$D$2:$D$430,'2_DOI_Lookup'!$E$2:$E$430),"TITLE NOT IN SOURCE"))</f>
        <v>Intelligent overall planning model of underground space based on digital twin</v>
      </c>
      <c r="F301" s="26" t="s">
        <v>309</v>
      </c>
      <c r="G301" s="27" t="s">
        <v>311</v>
      </c>
      <c r="H301" s="27" t="s">
        <v>311</v>
      </c>
      <c r="I301" s="27" t="s">
        <v>311</v>
      </c>
      <c r="J301" s="27" t="s">
        <v>311</v>
      </c>
      <c r="K301" s="27" t="s">
        <v>311</v>
      </c>
      <c r="L301" s="28" t="str">
        <f t="shared" si="21"/>
        <v>INCLUDE</v>
      </c>
      <c r="M301" s="28" t="str">
        <f t="shared" si="22"/>
        <v/>
      </c>
      <c r="N301" s="29" t="s">
        <v>311</v>
      </c>
      <c r="O301" s="29" t="s">
        <v>311</v>
      </c>
      <c r="P301" s="30" t="s">
        <v>311</v>
      </c>
      <c r="Q301" s="30" t="s">
        <v>311</v>
      </c>
      <c r="R301" s="30" t="s">
        <v>311</v>
      </c>
      <c r="S301" s="28" t="str">
        <f t="shared" si="23"/>
        <v>INCLUDE</v>
      </c>
      <c r="T301" s="28" t="str">
        <f t="shared" si="24"/>
        <v/>
      </c>
      <c r="U301" s="31" t="s">
        <v>61</v>
      </c>
      <c r="V301" s="31">
        <v>0</v>
      </c>
      <c r="W301" s="31">
        <v>1</v>
      </c>
      <c r="X301" s="31">
        <v>0</v>
      </c>
      <c r="Y301" s="28" t="str">
        <f t="shared" si="25"/>
        <v>Single</v>
      </c>
      <c r="Z301" s="31" t="s">
        <v>9</v>
      </c>
      <c r="AA301" s="31" t="s">
        <v>53</v>
      </c>
      <c r="AB301" s="31" t="s">
        <v>85</v>
      </c>
      <c r="AC301" s="31" t="s">
        <v>64</v>
      </c>
      <c r="AD301" s="31" t="s">
        <v>56</v>
      </c>
      <c r="AE301" s="31">
        <v>3</v>
      </c>
      <c r="AF301" s="31" t="s">
        <v>80</v>
      </c>
      <c r="AG301" s="15" t="s">
        <v>649</v>
      </c>
      <c r="AH301" s="97" t="s">
        <v>934</v>
      </c>
      <c r="AI301" s="97" t="s">
        <v>935</v>
      </c>
      <c r="AJ301" s="98" t="s">
        <v>82</v>
      </c>
      <c r="AK301" s="98" t="s">
        <v>1182</v>
      </c>
      <c r="AL301" s="98" t="s">
        <v>1083</v>
      </c>
      <c r="AM301" s="99"/>
      <c r="AN301" s="100" t="s">
        <v>1276</v>
      </c>
      <c r="AO301" s="101" t="str">
        <f>IF($A301="","",IFERROR(_xlfn.XLOOKUP($A301,'2_DOI_Lookup'!$A$2:$A$430,'2_DOI_Lookup'!$B$2:$B$430),"NOT IN SOURCE"))</f>
        <v>10.1016/j.compeleceng.2022.108393</v>
      </c>
    </row>
    <row r="302" spans="1:41" ht="102.6" x14ac:dyDescent="0.3">
      <c r="A302" s="26">
        <v>3907</v>
      </c>
      <c r="B302" s="9" t="s">
        <v>256</v>
      </c>
      <c r="C302" s="32">
        <v>2025</v>
      </c>
      <c r="D302" s="9"/>
      <c r="E302" s="9" t="str">
        <f>IF($A302="","",IFERROR(_xlfn.XLOOKUP($A302,'2_DOI_Lookup'!$D$2:$D$430,'2_DOI_Lookup'!$E$2:$E$430),"TITLE NOT IN SOURCE"))</f>
        <v>Digital Twin-Driven Stability Optimization Framework for Large Underground Caverns</v>
      </c>
      <c r="F302" s="26" t="s">
        <v>310</v>
      </c>
      <c r="G302" s="27" t="s">
        <v>311</v>
      </c>
      <c r="H302" s="27" t="s">
        <v>311</v>
      </c>
      <c r="I302" s="27" t="s">
        <v>311</v>
      </c>
      <c r="J302" s="27" t="s">
        <v>311</v>
      </c>
      <c r="K302" s="27" t="s">
        <v>311</v>
      </c>
      <c r="L302" s="28" t="str">
        <f t="shared" si="21"/>
        <v>INCLUDE</v>
      </c>
      <c r="M302" s="28" t="str">
        <f t="shared" si="22"/>
        <v/>
      </c>
      <c r="N302" s="29" t="s">
        <v>311</v>
      </c>
      <c r="O302" s="29" t="s">
        <v>311</v>
      </c>
      <c r="P302" s="30" t="s">
        <v>311</v>
      </c>
      <c r="Q302" s="30" t="s">
        <v>311</v>
      </c>
      <c r="R302" s="30" t="s">
        <v>311</v>
      </c>
      <c r="S302" s="28" t="str">
        <f t="shared" si="23"/>
        <v>INCLUDE</v>
      </c>
      <c r="T302" s="28" t="str">
        <f t="shared" si="24"/>
        <v/>
      </c>
      <c r="U302" s="31" t="s">
        <v>61</v>
      </c>
      <c r="V302" s="31">
        <v>0</v>
      </c>
      <c r="W302" s="31">
        <v>1</v>
      </c>
      <c r="X302" s="31">
        <v>0</v>
      </c>
      <c r="Y302" s="28" t="str">
        <f t="shared" si="25"/>
        <v>Single</v>
      </c>
      <c r="Z302" s="31" t="s">
        <v>9</v>
      </c>
      <c r="AA302" s="31" t="s">
        <v>53</v>
      </c>
      <c r="AB302" s="31" t="s">
        <v>88</v>
      </c>
      <c r="AC302" s="31" t="s">
        <v>64</v>
      </c>
      <c r="AD302" s="31" t="s">
        <v>72</v>
      </c>
      <c r="AE302" s="31">
        <v>4</v>
      </c>
      <c r="AF302" s="31" t="s">
        <v>80</v>
      </c>
      <c r="AG302" s="15" t="s">
        <v>650</v>
      </c>
      <c r="AH302" s="97" t="s">
        <v>936</v>
      </c>
      <c r="AI302" s="97" t="s">
        <v>937</v>
      </c>
      <c r="AJ302" s="98" t="s">
        <v>1081</v>
      </c>
      <c r="AK302" s="98" t="s">
        <v>1183</v>
      </c>
      <c r="AL302" s="98" t="s">
        <v>1084</v>
      </c>
      <c r="AM302" s="99"/>
      <c r="AN302" s="100" t="s">
        <v>1327</v>
      </c>
      <c r="AO302" s="101" t="str">
        <f>IF($A302="","",IFERROR(_xlfn.XLOOKUP($A302,'2_DOI_Lookup'!$A$2:$A$430,'2_DOI_Lookup'!$B$2:$B$430),"NOT IN SOURCE"))</f>
        <v>10.3390/app15084481</v>
      </c>
    </row>
    <row r="303" spans="1:41" ht="102.6" x14ac:dyDescent="0.3">
      <c r="A303" s="26">
        <v>3823</v>
      </c>
      <c r="B303" s="9" t="s">
        <v>257</v>
      </c>
      <c r="C303" s="32">
        <v>2026</v>
      </c>
      <c r="D303" s="9"/>
      <c r="E303" s="9" t="str">
        <f>IF($A303="","",IFERROR(_xlfn.XLOOKUP($A303,'2_DOI_Lookup'!$D$2:$D$430,'2_DOI_Lookup'!$E$2:$E$430),"TITLE NOT IN SOURCE"))</f>
        <v>When Roads Go Underwater: AI-Enhanced Digital Twin-Driven Flood Resilience for Roadway Serviceability Assessment</v>
      </c>
      <c r="F303" s="26" t="s">
        <v>309</v>
      </c>
      <c r="G303" s="27" t="s">
        <v>311</v>
      </c>
      <c r="H303" s="27" t="s">
        <v>311</v>
      </c>
      <c r="I303" s="27" t="s">
        <v>311</v>
      </c>
      <c r="J303" s="27" t="s">
        <v>311</v>
      </c>
      <c r="K303" s="27" t="s">
        <v>311</v>
      </c>
      <c r="L303" s="28" t="str">
        <f t="shared" si="21"/>
        <v>INCLUDE</v>
      </c>
      <c r="M303" s="28" t="str">
        <f t="shared" si="22"/>
        <v/>
      </c>
      <c r="N303" s="29" t="s">
        <v>49</v>
      </c>
      <c r="O303" s="29" t="s">
        <v>49</v>
      </c>
      <c r="P303" s="30" t="s">
        <v>49</v>
      </c>
      <c r="Q303" s="30" t="s">
        <v>49</v>
      </c>
      <c r="R303" s="30" t="s">
        <v>49</v>
      </c>
      <c r="S303" s="28" t="str">
        <f t="shared" si="23"/>
        <v>INCLUDE</v>
      </c>
      <c r="T303" s="28" t="str">
        <f t="shared" si="24"/>
        <v/>
      </c>
      <c r="U303" s="31" t="s">
        <v>61</v>
      </c>
      <c r="V303" s="31">
        <v>0</v>
      </c>
      <c r="W303" s="31">
        <v>0</v>
      </c>
      <c r="X303" s="31">
        <v>1</v>
      </c>
      <c r="Y303" s="28" t="str">
        <f t="shared" si="25"/>
        <v>Single</v>
      </c>
      <c r="Z303" s="31" t="s">
        <v>9</v>
      </c>
      <c r="AA303" s="31" t="s">
        <v>53</v>
      </c>
      <c r="AB303" s="31" t="s">
        <v>63</v>
      </c>
      <c r="AC303" s="31" t="s">
        <v>64</v>
      </c>
      <c r="AD303" s="31" t="s">
        <v>72</v>
      </c>
      <c r="AE303" s="31">
        <v>4</v>
      </c>
      <c r="AF303" s="31" t="s">
        <v>84</v>
      </c>
      <c r="AG303" s="15" t="s">
        <v>729</v>
      </c>
      <c r="AH303" s="97" t="s">
        <v>938</v>
      </c>
      <c r="AI303" s="97" t="s">
        <v>939</v>
      </c>
      <c r="AJ303" s="98" t="s">
        <v>1081</v>
      </c>
      <c r="AK303" s="98" t="s">
        <v>1184</v>
      </c>
      <c r="AL303" s="98" t="s">
        <v>1083</v>
      </c>
      <c r="AM303" s="99"/>
      <c r="AN303" s="100" t="s">
        <v>1305</v>
      </c>
      <c r="AO303" s="101" t="str">
        <f>IF($A303="","",IFERROR(_xlfn.XLOOKUP($A303,'2_DOI_Lookup'!$A$2:$A$430,'2_DOI_Lookup'!$B$2:$B$430),"NOT IN SOURCE"))</f>
        <v>10.1061/JMENEA.MEENG-7046</v>
      </c>
    </row>
    <row r="304" spans="1:41" ht="100.8" x14ac:dyDescent="0.3">
      <c r="A304" s="26">
        <v>3964</v>
      </c>
      <c r="B304" s="9" t="s">
        <v>258</v>
      </c>
      <c r="C304" s="32">
        <v>2026</v>
      </c>
      <c r="D304" s="9"/>
      <c r="E304" s="9" t="str">
        <f>IF($A304="","",IFERROR(_xlfn.XLOOKUP($A304,'2_DOI_Lookup'!$D$2:$D$430,'2_DOI_Lookup'!$E$2:$E$430),"TITLE NOT IN SOURCE"))</f>
        <v>Reverse digital twin mapping of building envelope anomalies based on UAV infrared point clouds</v>
      </c>
      <c r="F304" s="26" t="s">
        <v>310</v>
      </c>
      <c r="G304" s="27" t="s">
        <v>311</v>
      </c>
      <c r="H304" s="27" t="s">
        <v>311</v>
      </c>
      <c r="I304" s="27" t="s">
        <v>311</v>
      </c>
      <c r="J304" s="27" t="s">
        <v>311</v>
      </c>
      <c r="K304" s="27" t="s">
        <v>311</v>
      </c>
      <c r="L304" s="28" t="str">
        <f t="shared" si="21"/>
        <v>INCLUDE</v>
      </c>
      <c r="M304" s="28" t="str">
        <f t="shared" si="22"/>
        <v/>
      </c>
      <c r="N304" s="29" t="s">
        <v>311</v>
      </c>
      <c r="O304" s="29" t="s">
        <v>311</v>
      </c>
      <c r="P304" s="30" t="s">
        <v>311</v>
      </c>
      <c r="Q304" s="30" t="s">
        <v>311</v>
      </c>
      <c r="R304" s="30" t="s">
        <v>311</v>
      </c>
      <c r="S304" s="28" t="str">
        <f t="shared" si="23"/>
        <v>INCLUDE</v>
      </c>
      <c r="T304" s="28" t="str">
        <f t="shared" si="24"/>
        <v/>
      </c>
      <c r="U304" s="31" t="s">
        <v>52</v>
      </c>
      <c r="V304" s="31">
        <v>0</v>
      </c>
      <c r="W304" s="31">
        <v>0</v>
      </c>
      <c r="X304" s="31">
        <v>1</v>
      </c>
      <c r="Y304" s="28" t="str">
        <f t="shared" si="25"/>
        <v>Single</v>
      </c>
      <c r="Z304" s="31" t="s">
        <v>9</v>
      </c>
      <c r="AA304" s="31" t="s">
        <v>53</v>
      </c>
      <c r="AB304" s="31" t="s">
        <v>54</v>
      </c>
      <c r="AC304" s="31" t="s">
        <v>64</v>
      </c>
      <c r="AD304" s="31" t="s">
        <v>72</v>
      </c>
      <c r="AE304" s="31">
        <v>4</v>
      </c>
      <c r="AF304" s="31" t="s">
        <v>73</v>
      </c>
      <c r="AG304" s="15" t="s">
        <v>651</v>
      </c>
      <c r="AH304" s="97" t="s">
        <v>940</v>
      </c>
      <c r="AI304" s="97" t="s">
        <v>941</v>
      </c>
      <c r="AJ304" s="98" t="s">
        <v>1081</v>
      </c>
      <c r="AK304" s="98" t="s">
        <v>1185</v>
      </c>
      <c r="AL304" s="98" t="s">
        <v>1083</v>
      </c>
      <c r="AM304" s="99"/>
      <c r="AN304" s="100" t="s">
        <v>1401</v>
      </c>
      <c r="AO304" s="101" t="str">
        <f>IF($A304="","",IFERROR(_xlfn.XLOOKUP($A304,'2_DOI_Lookup'!$A$2:$A$430,'2_DOI_Lookup'!$B$2:$B$430),"NOT IN SOURCE"))</f>
        <v>10.1016/j.measurement.2025.119256</v>
      </c>
    </row>
    <row r="305" spans="1:41" ht="102.6" hidden="1" x14ac:dyDescent="0.3">
      <c r="A305" s="82">
        <v>3569</v>
      </c>
      <c r="B305" s="83"/>
      <c r="C305" s="84"/>
      <c r="D305" s="83"/>
      <c r="E305" s="83" t="str">
        <f>IF($A305="","",IFERROR(_xlfn.XLOOKUP($A305,'2_DOI_Lookup'!$D$2:$D$430,'2_DOI_Lookup'!$E$2:$E$430),"TITLE NOT IN SOURCE"))</f>
        <v>Developing a Comprehensive Diagnostics Technology for the Technical Condition of Industrial Buildings Using a Software and Hardware Package with Unmanned Aerial Vehicles</v>
      </c>
      <c r="F305" s="82" t="s">
        <v>309</v>
      </c>
      <c r="G305" s="85" t="s">
        <v>311</v>
      </c>
      <c r="H305" s="85" t="s">
        <v>312</v>
      </c>
      <c r="I305" s="85" t="s">
        <v>311</v>
      </c>
      <c r="J305" s="85" t="s">
        <v>311</v>
      </c>
      <c r="K305" s="85" t="s">
        <v>312</v>
      </c>
      <c r="L305" s="86" t="str">
        <f t="shared" si="21"/>
        <v>EXCLUDE</v>
      </c>
      <c r="M305" s="86" t="str">
        <f t="shared" si="22"/>
        <v>Digital Twin not core / buzzword</v>
      </c>
      <c r="N305" s="87"/>
      <c r="O305" s="87"/>
      <c r="P305" s="88"/>
      <c r="Q305" s="88"/>
      <c r="R305" s="88"/>
      <c r="S305" s="86" t="str">
        <f t="shared" si="23"/>
        <v/>
      </c>
      <c r="T305" s="86" t="str">
        <f t="shared" si="24"/>
        <v/>
      </c>
      <c r="U305" s="89"/>
      <c r="V305" s="89"/>
      <c r="W305" s="89"/>
      <c r="X305" s="89"/>
      <c r="Y305" s="86" t="str">
        <f t="shared" si="25"/>
        <v/>
      </c>
      <c r="Z305" s="89"/>
      <c r="AA305" s="89"/>
      <c r="AB305" s="89"/>
      <c r="AC305" s="89"/>
      <c r="AD305" s="89"/>
      <c r="AE305" s="89"/>
      <c r="AF305" s="89"/>
      <c r="AG305" s="90" t="s">
        <v>513</v>
      </c>
      <c r="AH305" s="35"/>
      <c r="AI305" s="35"/>
      <c r="AK305"/>
      <c r="AM305" s="56"/>
      <c r="AN305" s="57"/>
      <c r="AO305" s="63" t="str">
        <f>IF($A305="","",IFERROR(_xlfn.XLOOKUP($A305,'2_DOI_Lookup'!$A$2:$A$430,'2_DOI_Lookup'!$B$2:$B$430),"NOT IN SOURCE"))</f>
        <v>10.24000/0409-2961-2026-3-7-16</v>
      </c>
    </row>
    <row r="306" spans="1:41" ht="345.6" x14ac:dyDescent="0.3">
      <c r="A306" s="26">
        <v>3966</v>
      </c>
      <c r="B306" s="9" t="s">
        <v>259</v>
      </c>
      <c r="C306" s="32">
        <v>2026</v>
      </c>
      <c r="D306" s="9"/>
      <c r="E306" s="9" t="str">
        <f>IF($A306="","",IFERROR(_xlfn.XLOOKUP($A306,'2_DOI_Lookup'!$D$2:$D$430,'2_DOI_Lookup'!$E$2:$E$430),"TITLE NOT IN SOURCE"))</f>
        <v>The Research on the Construction Method of a Slope Digital Twin Model Driven by Surrogate Models</v>
      </c>
      <c r="F306" s="26" t="s">
        <v>310</v>
      </c>
      <c r="G306" s="27" t="s">
        <v>311</v>
      </c>
      <c r="H306" s="27" t="s">
        <v>311</v>
      </c>
      <c r="I306" s="27" t="s">
        <v>311</v>
      </c>
      <c r="J306" s="27" t="s">
        <v>311</v>
      </c>
      <c r="K306" s="27" t="s">
        <v>311</v>
      </c>
      <c r="L306" s="28" t="str">
        <f t="shared" si="21"/>
        <v>INCLUDE</v>
      </c>
      <c r="M306" s="28" t="str">
        <f t="shared" si="22"/>
        <v/>
      </c>
      <c r="N306" s="29" t="s">
        <v>49</v>
      </c>
      <c r="O306" s="29" t="s">
        <v>49</v>
      </c>
      <c r="P306" s="30" t="s">
        <v>49</v>
      </c>
      <c r="Q306" s="30" t="s">
        <v>49</v>
      </c>
      <c r="R306" s="30" t="s">
        <v>49</v>
      </c>
      <c r="S306" s="28" t="str">
        <f t="shared" si="23"/>
        <v>INCLUDE</v>
      </c>
      <c r="T306" s="28" t="str">
        <f t="shared" si="24"/>
        <v/>
      </c>
      <c r="U306" s="31" t="s">
        <v>61</v>
      </c>
      <c r="V306" s="31">
        <v>0</v>
      </c>
      <c r="W306" s="31">
        <v>0</v>
      </c>
      <c r="X306" s="31">
        <v>1</v>
      </c>
      <c r="Y306" s="28" t="str">
        <f t="shared" si="25"/>
        <v>Single</v>
      </c>
      <c r="Z306" s="31" t="s">
        <v>9</v>
      </c>
      <c r="AA306" s="31" t="s">
        <v>70</v>
      </c>
      <c r="AB306" s="31" t="s">
        <v>90</v>
      </c>
      <c r="AC306" s="31" t="s">
        <v>64</v>
      </c>
      <c r="AD306" s="31" t="s">
        <v>72</v>
      </c>
      <c r="AE306" s="31">
        <v>4</v>
      </c>
      <c r="AF306" s="31" t="s">
        <v>84</v>
      </c>
      <c r="AG306" s="15" t="s">
        <v>730</v>
      </c>
      <c r="AH306" s="97" t="s">
        <v>942</v>
      </c>
      <c r="AI306" s="97" t="s">
        <v>943</v>
      </c>
      <c r="AJ306" s="98" t="s">
        <v>1080</v>
      </c>
      <c r="AK306" s="98" t="s">
        <v>1186</v>
      </c>
      <c r="AL306" s="98" t="s">
        <v>1084</v>
      </c>
      <c r="AM306" s="99" t="s">
        <v>1411</v>
      </c>
      <c r="AN306" s="100" t="s">
        <v>1463</v>
      </c>
      <c r="AO306" s="101" t="str">
        <f>IF($A306="","",IFERROR(_xlfn.XLOOKUP($A306,'2_DOI_Lookup'!$A$2:$A$430,'2_DOI_Lookup'!$B$2:$B$430),"NOT IN SOURCE"))</f>
        <v>10.1155/stc/8782403</v>
      </c>
    </row>
    <row r="307" spans="1:41" ht="57" hidden="1" x14ac:dyDescent="0.3">
      <c r="A307" s="73">
        <v>3531</v>
      </c>
      <c r="B307" s="74"/>
      <c r="C307" s="75"/>
      <c r="D307" s="74"/>
      <c r="E307" s="74" t="str">
        <f>IF($A307="","",IFERROR(_xlfn.XLOOKUP($A307,'2_DOI_Lookup'!$D$2:$D$430,'2_DOI_Lookup'!$E$2:$E$430),"TITLE NOT IN SOURCE"))</f>
        <v>Twinning simulation and model test for construction error assessment of cable truss structures</v>
      </c>
      <c r="F307" s="73" t="s">
        <v>309</v>
      </c>
      <c r="G307" s="76" t="s">
        <v>311</v>
      </c>
      <c r="H307" s="76" t="s">
        <v>311</v>
      </c>
      <c r="I307" s="76" t="s">
        <v>311</v>
      </c>
      <c r="J307" s="76" t="s">
        <v>311</v>
      </c>
      <c r="K307" s="76" t="s">
        <v>312</v>
      </c>
      <c r="L307" s="77" t="str">
        <f t="shared" si="21"/>
        <v>EXCLUDE</v>
      </c>
      <c r="M307" s="77" t="str">
        <f t="shared" si="22"/>
        <v>Non-English</v>
      </c>
      <c r="N307" s="78"/>
      <c r="O307" s="78"/>
      <c r="P307" s="79"/>
      <c r="Q307" s="79"/>
      <c r="R307" s="79"/>
      <c r="S307" s="77" t="str">
        <f t="shared" si="23"/>
        <v/>
      </c>
      <c r="T307" s="77" t="str">
        <f t="shared" si="24"/>
        <v/>
      </c>
      <c r="U307" s="80"/>
      <c r="V307" s="80"/>
      <c r="W307" s="80"/>
      <c r="X307" s="80"/>
      <c r="Y307" s="77" t="str">
        <f t="shared" si="25"/>
        <v/>
      </c>
      <c r="Z307" s="80"/>
      <c r="AA307" s="80"/>
      <c r="AB307" s="80"/>
      <c r="AC307" s="80"/>
      <c r="AD307" s="80"/>
      <c r="AE307" s="80"/>
      <c r="AF307" s="80"/>
      <c r="AG307" s="81" t="s">
        <v>452</v>
      </c>
      <c r="AH307" s="35"/>
      <c r="AI307" s="35"/>
      <c r="AK307"/>
      <c r="AM307" s="56"/>
      <c r="AN307" s="57"/>
      <c r="AO307" s="63" t="str">
        <f>IF($A307="","",IFERROR(_xlfn.XLOOKUP($A307,'2_DOI_Lookup'!$A$2:$A$430,'2_DOI_Lookup'!$B$2:$B$430),"NOT IN SOURCE"))</f>
        <v>10.14006/j.jzjgxb.2023.0136</v>
      </c>
    </row>
    <row r="308" spans="1:41" ht="45.6" hidden="1" x14ac:dyDescent="0.3">
      <c r="A308" s="26">
        <v>3997</v>
      </c>
      <c r="B308" s="9"/>
      <c r="C308" s="32"/>
      <c r="D308" s="9"/>
      <c r="E308" s="9" t="str">
        <f>IF($A308="","",IFERROR(_xlfn.XLOOKUP($A308,'2_DOI_Lookup'!$D$2:$D$430,'2_DOI_Lookup'!$E$2:$E$430),"TITLE NOT IN SOURCE"))</f>
        <v>Leveraging emerging technologies to address the crisis of aging concrete infrastructure</v>
      </c>
      <c r="F308" s="26" t="s">
        <v>310</v>
      </c>
      <c r="G308" s="27" t="s">
        <v>311</v>
      </c>
      <c r="H308" s="27" t="s">
        <v>312</v>
      </c>
      <c r="I308" s="27" t="s">
        <v>311</v>
      </c>
      <c r="J308" s="27" t="s">
        <v>311</v>
      </c>
      <c r="K308" s="27" t="s">
        <v>311</v>
      </c>
      <c r="L308" s="28" t="str">
        <f t="shared" si="21"/>
        <v>EXCLUDE</v>
      </c>
      <c r="M308" s="28" t="str">
        <f t="shared" si="22"/>
        <v>Digital Twin not core / buzzword</v>
      </c>
      <c r="N308" s="29"/>
      <c r="O308" s="29"/>
      <c r="P308" s="30"/>
      <c r="Q308" s="30"/>
      <c r="R308" s="30"/>
      <c r="S308" s="28" t="str">
        <f t="shared" si="23"/>
        <v/>
      </c>
      <c r="T308" s="28" t="str">
        <f t="shared" si="24"/>
        <v/>
      </c>
      <c r="U308" s="31"/>
      <c r="V308" s="31"/>
      <c r="W308" s="31"/>
      <c r="X308" s="31"/>
      <c r="Y308" s="28" t="str">
        <f t="shared" si="25"/>
        <v/>
      </c>
      <c r="Z308" s="31"/>
      <c r="AA308" s="31"/>
      <c r="AB308" s="31"/>
      <c r="AC308" s="31"/>
      <c r="AD308" s="31"/>
      <c r="AE308" s="31"/>
      <c r="AF308" s="31"/>
      <c r="AG308" s="15" t="s">
        <v>514</v>
      </c>
      <c r="AH308" s="35"/>
      <c r="AI308" s="35"/>
      <c r="AK308"/>
      <c r="AM308" s="56"/>
      <c r="AN308" s="57"/>
      <c r="AO308" s="63" t="str">
        <f>IF($A308="","",IFERROR(_xlfn.XLOOKUP($A308,'2_DOI_Lookup'!$A$2:$A$430,'2_DOI_Lookup'!$B$2:$B$430),"NOT IN SOURCE"))</f>
        <v>10.1186/s43065-025-00147-x</v>
      </c>
    </row>
    <row r="309" spans="1:41" ht="68.400000000000006" hidden="1" x14ac:dyDescent="0.3">
      <c r="A309" s="26">
        <v>4033</v>
      </c>
      <c r="B309" s="9"/>
      <c r="C309" s="32"/>
      <c r="D309" s="9"/>
      <c r="E309" s="9" t="str">
        <f>IF($A309="","",IFERROR(_xlfn.XLOOKUP($A309,'2_DOI_Lookup'!$D$2:$D$430,'2_DOI_Lookup'!$E$2:$E$430),"TITLE NOT IN SOURCE"))</f>
        <v>A New Benchmark Model for the Automated Detection and Classification of a Wide Range of Heavy Construction Equipment</v>
      </c>
      <c r="F309" s="26" t="s">
        <v>310</v>
      </c>
      <c r="G309" s="27" t="s">
        <v>311</v>
      </c>
      <c r="H309" s="27" t="s">
        <v>312</v>
      </c>
      <c r="I309" s="27" t="s">
        <v>311</v>
      </c>
      <c r="J309" s="27" t="s">
        <v>311</v>
      </c>
      <c r="K309" s="27" t="s">
        <v>311</v>
      </c>
      <c r="L309" s="28" t="str">
        <f t="shared" si="21"/>
        <v>EXCLUDE</v>
      </c>
      <c r="M309" s="28" t="str">
        <f t="shared" si="22"/>
        <v>Digital Twin not core / buzzword</v>
      </c>
      <c r="N309" s="29"/>
      <c r="O309" s="29"/>
      <c r="P309" s="30"/>
      <c r="Q309" s="30"/>
      <c r="R309" s="30"/>
      <c r="S309" s="28" t="str">
        <f t="shared" si="23"/>
        <v/>
      </c>
      <c r="T309" s="28" t="str">
        <f t="shared" si="24"/>
        <v/>
      </c>
      <c r="U309" s="31"/>
      <c r="V309" s="31"/>
      <c r="W309" s="31"/>
      <c r="X309" s="31"/>
      <c r="Y309" s="28" t="str">
        <f t="shared" si="25"/>
        <v/>
      </c>
      <c r="Z309" s="31"/>
      <c r="AA309" s="31"/>
      <c r="AB309" s="31"/>
      <c r="AC309" s="31"/>
      <c r="AD309" s="31"/>
      <c r="AE309" s="31"/>
      <c r="AF309" s="31"/>
      <c r="AG309" s="15" t="s">
        <v>515</v>
      </c>
      <c r="AH309" s="35"/>
      <c r="AI309" s="35"/>
      <c r="AK309"/>
      <c r="AM309" s="56"/>
      <c r="AN309" s="57"/>
      <c r="AO309" s="63" t="str">
        <f>IF($A309="","",IFERROR(_xlfn.XLOOKUP($A309,'2_DOI_Lookup'!$A$2:$A$430,'2_DOI_Lookup'!$B$2:$B$430),"NOT IN SOURCE"))</f>
        <v>10.1061/JMENEA.MEENG-5630</v>
      </c>
    </row>
    <row r="310" spans="1:41" ht="45.6" hidden="1" x14ac:dyDescent="0.3">
      <c r="A310" s="26">
        <v>4034</v>
      </c>
      <c r="B310" s="9"/>
      <c r="C310" s="32"/>
      <c r="D310" s="9"/>
      <c r="E310" s="9" t="str">
        <f>IF($A310="","",IFERROR(_xlfn.XLOOKUP($A310,'2_DOI_Lookup'!$D$2:$D$430,'2_DOI_Lookup'!$E$2:$E$430),"TITLE NOT IN SOURCE"))</f>
        <v>AI-assisted fibre optic sensing frameworks for automated monitoring of railway infrastructure</v>
      </c>
      <c r="F310" s="26" t="s">
        <v>310</v>
      </c>
      <c r="G310" s="27" t="s">
        <v>311</v>
      </c>
      <c r="H310" s="27" t="s">
        <v>312</v>
      </c>
      <c r="I310" s="27" t="s">
        <v>311</v>
      </c>
      <c r="J310" s="27" t="s">
        <v>311</v>
      </c>
      <c r="K310" s="27" t="s">
        <v>311</v>
      </c>
      <c r="L310" s="28" t="str">
        <f t="shared" si="21"/>
        <v>EXCLUDE</v>
      </c>
      <c r="M310" s="28" t="str">
        <f t="shared" si="22"/>
        <v>Digital Twin not core / buzzword</v>
      </c>
      <c r="N310" s="29"/>
      <c r="O310" s="29"/>
      <c r="P310" s="30"/>
      <c r="Q310" s="30"/>
      <c r="R310" s="30"/>
      <c r="S310" s="28" t="str">
        <f t="shared" si="23"/>
        <v/>
      </c>
      <c r="T310" s="28" t="str">
        <f t="shared" si="24"/>
        <v/>
      </c>
      <c r="U310" s="31"/>
      <c r="V310" s="31"/>
      <c r="W310" s="31"/>
      <c r="X310" s="31"/>
      <c r="Y310" s="28" t="str">
        <f t="shared" si="25"/>
        <v/>
      </c>
      <c r="Z310" s="31"/>
      <c r="AA310" s="31"/>
      <c r="AB310" s="31"/>
      <c r="AC310" s="31"/>
      <c r="AD310" s="31"/>
      <c r="AE310" s="31"/>
      <c r="AF310" s="31"/>
      <c r="AG310" s="15" t="s">
        <v>516</v>
      </c>
      <c r="AH310" s="35"/>
      <c r="AI310" s="35"/>
      <c r="AK310"/>
      <c r="AM310" s="56"/>
      <c r="AN310" s="57"/>
      <c r="AO310" s="63" t="str">
        <f>IF($A310="","",IFERROR(_xlfn.XLOOKUP($A310,'2_DOI_Lookup'!$A$2:$A$430,'2_DOI_Lookup'!$B$2:$B$430),"NOT IN SOURCE"))</f>
        <v>10.1016/j.iintel.2026.100214</v>
      </c>
    </row>
    <row r="311" spans="1:41" ht="45.6" hidden="1" x14ac:dyDescent="0.3">
      <c r="A311" s="64">
        <v>3594</v>
      </c>
      <c r="B311" s="65"/>
      <c r="C311" s="66"/>
      <c r="D311" s="65"/>
      <c r="E311" s="65" t="str">
        <f>IF($A311="","",IFERROR(_xlfn.XLOOKUP($A311,'2_DOI_Lookup'!$D$2:$D$430,'2_DOI_Lookup'!$E$2:$E$430),"TITLE NOT IN SOURCE"))</f>
        <v>Building a Cad-Native Digital Twin for Ndt and Plm: Workflow, Tools, and Case Study</v>
      </c>
      <c r="F311" s="64" t="s">
        <v>309</v>
      </c>
      <c r="G311" s="67" t="s">
        <v>312</v>
      </c>
      <c r="H311" s="67" t="s">
        <v>311</v>
      </c>
      <c r="I311" s="67" t="s">
        <v>311</v>
      </c>
      <c r="J311" s="67" t="s">
        <v>311</v>
      </c>
      <c r="K311" s="67" t="s">
        <v>311</v>
      </c>
      <c r="L311" s="68" t="str">
        <f t="shared" si="21"/>
        <v>EXCLUDE</v>
      </c>
      <c r="M311" s="68" t="str">
        <f t="shared" si="22"/>
        <v>Wrong domain (non-AECO)</v>
      </c>
      <c r="N311" s="69"/>
      <c r="O311" s="69"/>
      <c r="P311" s="70"/>
      <c r="Q311" s="70"/>
      <c r="R311" s="70"/>
      <c r="S311" s="68" t="str">
        <f t="shared" si="23"/>
        <v/>
      </c>
      <c r="T311" s="68" t="str">
        <f t="shared" si="24"/>
        <v/>
      </c>
      <c r="U311" s="71"/>
      <c r="V311" s="71"/>
      <c r="W311" s="71"/>
      <c r="X311" s="71"/>
      <c r="Y311" s="68" t="str">
        <f t="shared" si="25"/>
        <v/>
      </c>
      <c r="Z311" s="71"/>
      <c r="AA311" s="71"/>
      <c r="AB311" s="71"/>
      <c r="AC311" s="71"/>
      <c r="AD311" s="71"/>
      <c r="AE311" s="71"/>
      <c r="AF311" s="71"/>
      <c r="AG311" s="72" t="s">
        <v>517</v>
      </c>
      <c r="AH311" s="35"/>
      <c r="AI311" s="35"/>
      <c r="AK311"/>
      <c r="AM311" s="56"/>
      <c r="AN311" s="57"/>
      <c r="AO311" s="63" t="str">
        <f>IF($A311="","",IFERROR(_xlfn.XLOOKUP($A311,'2_DOI_Lookup'!$A$2:$A$430,'2_DOI_Lookup'!$B$2:$B$430),"NOT IN SOURCE"))</f>
        <v>10.2478/fas-2024-0012</v>
      </c>
    </row>
    <row r="312" spans="1:41" ht="91.2" x14ac:dyDescent="0.3">
      <c r="A312" s="26">
        <v>3932</v>
      </c>
      <c r="B312" s="9" t="s">
        <v>260</v>
      </c>
      <c r="C312" s="32">
        <v>2026</v>
      </c>
      <c r="D312" s="9"/>
      <c r="E312" s="9" t="str">
        <f>IF($A312="","",IFERROR(_xlfn.XLOOKUP($A312,'2_DOI_Lookup'!$D$2:$D$430,'2_DOI_Lookup'!$E$2:$E$430),"TITLE NOT IN SOURCE"))</f>
        <v>Simultaneous Digital Twin: Chaining Climbing-Robot, Defect Segmentation, and Model Updating for Building Facade Inspection</v>
      </c>
      <c r="F312" s="26" t="s">
        <v>310</v>
      </c>
      <c r="G312" s="27" t="s">
        <v>311</v>
      </c>
      <c r="H312" s="27" t="s">
        <v>311</v>
      </c>
      <c r="I312" s="27" t="s">
        <v>311</v>
      </c>
      <c r="J312" s="27" t="s">
        <v>311</v>
      </c>
      <c r="K312" s="27" t="s">
        <v>311</v>
      </c>
      <c r="L312" s="28" t="str">
        <f t="shared" si="21"/>
        <v>INCLUDE</v>
      </c>
      <c r="M312" s="28" t="str">
        <f t="shared" si="22"/>
        <v/>
      </c>
      <c r="N312" s="29" t="s">
        <v>311</v>
      </c>
      <c r="O312" s="29" t="s">
        <v>311</v>
      </c>
      <c r="P312" s="30" t="s">
        <v>311</v>
      </c>
      <c r="Q312" s="30" t="s">
        <v>311</v>
      </c>
      <c r="R312" s="30" t="s">
        <v>311</v>
      </c>
      <c r="S312" s="28" t="str">
        <f t="shared" si="23"/>
        <v>INCLUDE</v>
      </c>
      <c r="T312" s="28" t="str">
        <f t="shared" si="24"/>
        <v/>
      </c>
      <c r="U312" s="31" t="s">
        <v>61</v>
      </c>
      <c r="V312" s="31">
        <v>0</v>
      </c>
      <c r="W312" s="31">
        <v>1</v>
      </c>
      <c r="X312" s="31">
        <v>0</v>
      </c>
      <c r="Y312" s="28" t="str">
        <f t="shared" si="25"/>
        <v>Single</v>
      </c>
      <c r="Z312" s="31" t="s">
        <v>9</v>
      </c>
      <c r="AA312" s="31" t="s">
        <v>53</v>
      </c>
      <c r="AB312" s="31" t="s">
        <v>54</v>
      </c>
      <c r="AC312" s="31" t="s">
        <v>64</v>
      </c>
      <c r="AD312" s="31" t="s">
        <v>72</v>
      </c>
      <c r="AE312" s="31">
        <v>4</v>
      </c>
      <c r="AF312" s="31" t="s">
        <v>73</v>
      </c>
      <c r="AG312" s="15" t="s">
        <v>652</v>
      </c>
      <c r="AH312" s="97" t="s">
        <v>944</v>
      </c>
      <c r="AI312" s="97" t="s">
        <v>945</v>
      </c>
      <c r="AJ312" s="98" t="s">
        <v>1081</v>
      </c>
      <c r="AK312" s="98" t="s">
        <v>1187</v>
      </c>
      <c r="AL312" s="98" t="s">
        <v>1084</v>
      </c>
      <c r="AM312" s="99"/>
      <c r="AN312" s="100" t="s">
        <v>1375</v>
      </c>
      <c r="AO312" s="101" t="str">
        <f>IF($A312="","",IFERROR(_xlfn.XLOOKUP($A312,'2_DOI_Lookup'!$A$2:$A$430,'2_DOI_Lookup'!$B$2:$B$430),"NOT IN SOURCE"))</f>
        <v>10.3390/buildings16030646</v>
      </c>
    </row>
    <row r="313" spans="1:41" ht="102.6" x14ac:dyDescent="0.3">
      <c r="A313" s="26">
        <v>3833</v>
      </c>
      <c r="B313" s="9" t="s">
        <v>261</v>
      </c>
      <c r="C313" s="32">
        <v>2023</v>
      </c>
      <c r="D313" s="9"/>
      <c r="E313" s="9" t="str">
        <f>IF($A313="","",IFERROR(_xlfn.XLOOKUP($A313,'2_DOI_Lookup'!$D$2:$D$430,'2_DOI_Lookup'!$E$2:$E$430),"TITLE NOT IN SOURCE"))</f>
        <v>Digital twin-assisted fault diagnosis system for robot joints with insufficient data</v>
      </c>
      <c r="F313" s="26" t="s">
        <v>309</v>
      </c>
      <c r="G313" s="27" t="s">
        <v>311</v>
      </c>
      <c r="H313" s="27" t="s">
        <v>311</v>
      </c>
      <c r="I313" s="27" t="s">
        <v>311</v>
      </c>
      <c r="J313" s="27" t="s">
        <v>311</v>
      </c>
      <c r="K313" s="27" t="s">
        <v>311</v>
      </c>
      <c r="L313" s="28" t="str">
        <f t="shared" si="21"/>
        <v>INCLUDE</v>
      </c>
      <c r="M313" s="28" t="str">
        <f t="shared" si="22"/>
        <v/>
      </c>
      <c r="N313" s="29" t="s">
        <v>49</v>
      </c>
      <c r="O313" s="29" t="s">
        <v>49</v>
      </c>
      <c r="P313" s="30" t="s">
        <v>49</v>
      </c>
      <c r="Q313" s="30" t="s">
        <v>49</v>
      </c>
      <c r="R313" s="30" t="s">
        <v>49</v>
      </c>
      <c r="S313" s="28" t="str">
        <f t="shared" si="23"/>
        <v>INCLUDE</v>
      </c>
      <c r="T313" s="28" t="str">
        <f t="shared" si="24"/>
        <v/>
      </c>
      <c r="U313" s="31" t="s">
        <v>52</v>
      </c>
      <c r="V313" s="31">
        <v>0</v>
      </c>
      <c r="W313" s="31">
        <v>1</v>
      </c>
      <c r="X313" s="31">
        <v>0</v>
      </c>
      <c r="Y313" s="28" t="str">
        <f t="shared" si="25"/>
        <v>Single</v>
      </c>
      <c r="Z313" s="31" t="s">
        <v>9</v>
      </c>
      <c r="AA313" s="31" t="s">
        <v>53</v>
      </c>
      <c r="AB313" s="31" t="s">
        <v>92</v>
      </c>
      <c r="AC313" s="31" t="s">
        <v>55</v>
      </c>
      <c r="AD313" s="31" t="s">
        <v>65</v>
      </c>
      <c r="AE313" s="31">
        <v>4</v>
      </c>
      <c r="AF313" s="31" t="s">
        <v>84</v>
      </c>
      <c r="AG313" s="15" t="s">
        <v>731</v>
      </c>
      <c r="AH313" s="97" t="s">
        <v>946</v>
      </c>
      <c r="AI313" s="97" t="s">
        <v>947</v>
      </c>
      <c r="AJ313" s="98" t="s">
        <v>1078</v>
      </c>
      <c r="AK313" s="115" t="s">
        <v>1188</v>
      </c>
      <c r="AL313" s="98" t="s">
        <v>1083</v>
      </c>
      <c r="AM313" s="99"/>
      <c r="AN313" s="100" t="s">
        <v>1306</v>
      </c>
      <c r="AO313" s="101" t="str">
        <f>IF($A313="","",IFERROR(_xlfn.XLOOKUP($A313,'2_DOI_Lookup'!$A$2:$A$430,'2_DOI_Lookup'!$B$2:$B$430),"NOT IN SOURCE"))</f>
        <v>10.1002/rob.22127</v>
      </c>
    </row>
    <row r="314" spans="1:41" ht="57" hidden="1" x14ac:dyDescent="0.3">
      <c r="A314" s="82">
        <v>4001</v>
      </c>
      <c r="B314" s="83"/>
      <c r="C314" s="84"/>
      <c r="D314" s="83"/>
      <c r="E314" s="83" t="str">
        <f>IF($A314="","",IFERROR(_xlfn.XLOOKUP($A314,'2_DOI_Lookup'!$D$2:$D$430,'2_DOI_Lookup'!$E$2:$E$430),"TITLE NOT IN SOURCE"))</f>
        <v>Agentic system for construction safety risk assessments using large language models and knowledge graphs</v>
      </c>
      <c r="F314" s="82" t="s">
        <v>310</v>
      </c>
      <c r="G314" s="85" t="s">
        <v>311</v>
      </c>
      <c r="H314" s="85" t="s">
        <v>312</v>
      </c>
      <c r="I314" s="85" t="s">
        <v>311</v>
      </c>
      <c r="J314" s="85" t="s">
        <v>311</v>
      </c>
      <c r="K314" s="85" t="s">
        <v>311</v>
      </c>
      <c r="L314" s="86" t="str">
        <f t="shared" si="21"/>
        <v>EXCLUDE</v>
      </c>
      <c r="M314" s="86" t="str">
        <f t="shared" si="22"/>
        <v>Digital Twin not core / buzzword</v>
      </c>
      <c r="N314" s="87"/>
      <c r="O314" s="87"/>
      <c r="P314" s="88"/>
      <c r="Q314" s="88"/>
      <c r="R314" s="88"/>
      <c r="S314" s="86" t="str">
        <f t="shared" si="23"/>
        <v/>
      </c>
      <c r="T314" s="86" t="str">
        <f t="shared" si="24"/>
        <v/>
      </c>
      <c r="U314" s="89"/>
      <c r="V314" s="89"/>
      <c r="W314" s="89"/>
      <c r="X314" s="89"/>
      <c r="Y314" s="86" t="str">
        <f t="shared" si="25"/>
        <v/>
      </c>
      <c r="Z314" s="89"/>
      <c r="AA314" s="89"/>
      <c r="AB314" s="89"/>
      <c r="AC314" s="89"/>
      <c r="AD314" s="89"/>
      <c r="AE314" s="89"/>
      <c r="AF314" s="89"/>
      <c r="AG314" s="90" t="s">
        <v>518</v>
      </c>
      <c r="AH314" s="35"/>
      <c r="AI314" s="35"/>
      <c r="AK314"/>
      <c r="AM314" s="56"/>
      <c r="AN314" s="57"/>
      <c r="AO314" s="63" t="str">
        <f>IF($A314="","",IFERROR(_xlfn.XLOOKUP($A314,'2_DOI_Lookup'!$A$2:$A$430,'2_DOI_Lookup'!$B$2:$B$430),"NOT IN SOURCE"))</f>
        <v>10.1016/j.aei.2026.104681</v>
      </c>
    </row>
    <row r="315" spans="1:41" ht="45.6" hidden="1" x14ac:dyDescent="0.3">
      <c r="A315" s="26">
        <v>3568</v>
      </c>
      <c r="B315" s="9" t="s">
        <v>262</v>
      </c>
      <c r="C315" s="32">
        <v>2024</v>
      </c>
      <c r="D315" s="9"/>
      <c r="E315" s="9" t="str">
        <f>IF($A315="","",IFERROR(_xlfn.XLOOKUP($A315,'2_DOI_Lookup'!$D$2:$D$430,'2_DOI_Lookup'!$E$2:$E$430),"TITLE NOT IN SOURCE"))</f>
        <v>Automatic creation of personalised virtual construction safety training in digital twins</v>
      </c>
      <c r="F315" s="26" t="s">
        <v>309</v>
      </c>
      <c r="G315" s="27" t="s">
        <v>311</v>
      </c>
      <c r="H315" s="27" t="s">
        <v>311</v>
      </c>
      <c r="I315" s="27" t="s">
        <v>311</v>
      </c>
      <c r="J315" s="27" t="s">
        <v>311</v>
      </c>
      <c r="K315" s="27" t="s">
        <v>311</v>
      </c>
      <c r="L315" s="28" t="str">
        <f t="shared" si="21"/>
        <v>INCLUDE</v>
      </c>
      <c r="M315" s="28" t="str">
        <f t="shared" si="22"/>
        <v/>
      </c>
      <c r="N315" s="29" t="s">
        <v>58</v>
      </c>
      <c r="O315" s="29" t="s">
        <v>58</v>
      </c>
      <c r="P315" s="30"/>
      <c r="Q315" s="30"/>
      <c r="R315" s="30"/>
      <c r="S315" s="28" t="str">
        <f t="shared" si="23"/>
        <v/>
      </c>
      <c r="T315" s="28" t="str">
        <f t="shared" si="24"/>
        <v/>
      </c>
      <c r="U315" s="31"/>
      <c r="V315" s="31"/>
      <c r="W315" s="31"/>
      <c r="X315" s="31"/>
      <c r="Y315" s="28" t="str">
        <f t="shared" si="25"/>
        <v/>
      </c>
      <c r="Z315" s="31"/>
      <c r="AA315" s="31"/>
      <c r="AB315" s="31"/>
      <c r="AC315" s="31"/>
      <c r="AD315" s="31"/>
      <c r="AE315" s="31"/>
      <c r="AF315" s="31"/>
      <c r="AG315" s="15" t="s">
        <v>519</v>
      </c>
      <c r="AH315" s="97"/>
      <c r="AI315" s="97"/>
      <c r="AJ315" s="98"/>
      <c r="AK315" s="98"/>
      <c r="AL315" s="98"/>
      <c r="AM315" s="99"/>
      <c r="AN315" s="100"/>
      <c r="AO315" s="101" t="str">
        <f>IF($A315="","",IFERROR(_xlfn.XLOOKUP($A315,'2_DOI_Lookup'!$A$2:$A$430,'2_DOI_Lookup'!$B$2:$B$430),"NOT IN SOURCE"))</f>
        <v>10.1680/jmapl.23.00104</v>
      </c>
    </row>
    <row r="316" spans="1:41" ht="79.8" hidden="1" x14ac:dyDescent="0.3">
      <c r="A316" s="82">
        <v>3540</v>
      </c>
      <c r="B316" s="83"/>
      <c r="C316" s="84"/>
      <c r="D316" s="83"/>
      <c r="E316" s="83" t="str">
        <f>IF($A316="","",IFERROR(_xlfn.XLOOKUP($A316,'2_DOI_Lookup'!$D$2:$D$430,'2_DOI_Lookup'!$E$2:$E$430),"TITLE NOT IN SOURCE"))</f>
        <v>Track Geometry Prediction Using Three-Dimensional Recurrent Neural Network-Based Models Cross-Functionally Co-Simulated with BIM</v>
      </c>
      <c r="F316" s="82" t="s">
        <v>309</v>
      </c>
      <c r="G316" s="85" t="s">
        <v>311</v>
      </c>
      <c r="H316" s="85" t="s">
        <v>312</v>
      </c>
      <c r="I316" s="85" t="s">
        <v>311</v>
      </c>
      <c r="J316" s="85" t="s">
        <v>311</v>
      </c>
      <c r="K316" s="85" t="s">
        <v>311</v>
      </c>
      <c r="L316" s="86" t="str">
        <f t="shared" si="21"/>
        <v>EXCLUDE</v>
      </c>
      <c r="M316" s="86" t="str">
        <f t="shared" si="22"/>
        <v>Digital Twin not core / buzzword</v>
      </c>
      <c r="N316" s="87"/>
      <c r="O316" s="87"/>
      <c r="P316" s="88"/>
      <c r="Q316" s="88"/>
      <c r="R316" s="88"/>
      <c r="S316" s="86" t="str">
        <f t="shared" si="23"/>
        <v/>
      </c>
      <c r="T316" s="86" t="str">
        <f t="shared" si="24"/>
        <v/>
      </c>
      <c r="U316" s="89"/>
      <c r="V316" s="89"/>
      <c r="W316" s="89"/>
      <c r="X316" s="89"/>
      <c r="Y316" s="86" t="str">
        <f t="shared" si="25"/>
        <v/>
      </c>
      <c r="Z316" s="89"/>
      <c r="AA316" s="89"/>
      <c r="AB316" s="89"/>
      <c r="AC316" s="89"/>
      <c r="AD316" s="89"/>
      <c r="AE316" s="89"/>
      <c r="AF316" s="89"/>
      <c r="AG316" s="90" t="s">
        <v>520</v>
      </c>
      <c r="AH316" s="35"/>
      <c r="AI316" s="35"/>
      <c r="AK316"/>
      <c r="AM316" s="56"/>
      <c r="AN316" s="57"/>
      <c r="AO316" s="63" t="str">
        <f>IF($A316="","",IFERROR(_xlfn.XLOOKUP($A316,'2_DOI_Lookup'!$A$2:$A$430,'2_DOI_Lookup'!$B$2:$B$430),"NOT IN SOURCE"))</f>
        <v>10.3390/s23010391</v>
      </c>
    </row>
    <row r="317" spans="1:41" ht="114" x14ac:dyDescent="0.3">
      <c r="A317" s="26">
        <v>3768</v>
      </c>
      <c r="B317" s="9" t="s">
        <v>263</v>
      </c>
      <c r="C317" s="32">
        <v>2025</v>
      </c>
      <c r="D317" s="9"/>
      <c r="E317" s="9" t="str">
        <f>IF($A317="","",IFERROR(_xlfn.XLOOKUP($A317,'2_DOI_Lookup'!$D$2:$D$430,'2_DOI_Lookup'!$E$2:$E$430),"TITLE NOT IN SOURCE"))</f>
        <v>Enhancing Urban Heatwave Response Planning via a Graph-Based Digital Twin Approach: Spatial Dependency Risk Analysis in Vienna City</v>
      </c>
      <c r="F317" s="26" t="s">
        <v>309</v>
      </c>
      <c r="G317" s="27" t="s">
        <v>311</v>
      </c>
      <c r="H317" s="27" t="s">
        <v>311</v>
      </c>
      <c r="I317" s="27" t="s">
        <v>311</v>
      </c>
      <c r="J317" s="27" t="s">
        <v>311</v>
      </c>
      <c r="K317" s="27" t="s">
        <v>311</v>
      </c>
      <c r="L317" s="28" t="str">
        <f t="shared" si="21"/>
        <v>INCLUDE</v>
      </c>
      <c r="M317" s="28" t="str">
        <f t="shared" si="22"/>
        <v/>
      </c>
      <c r="N317" s="29" t="s">
        <v>49</v>
      </c>
      <c r="O317" s="29" t="s">
        <v>49</v>
      </c>
      <c r="P317" s="30" t="s">
        <v>49</v>
      </c>
      <c r="Q317" s="30" t="s">
        <v>49</v>
      </c>
      <c r="R317" s="30" t="s">
        <v>49</v>
      </c>
      <c r="S317" s="28" t="str">
        <f t="shared" si="23"/>
        <v>INCLUDE</v>
      </c>
      <c r="T317" s="28" t="str">
        <f t="shared" si="24"/>
        <v/>
      </c>
      <c r="U317" s="31" t="s">
        <v>61</v>
      </c>
      <c r="V317" s="31">
        <v>0</v>
      </c>
      <c r="W317" s="31">
        <v>0</v>
      </c>
      <c r="X317" s="31">
        <v>1</v>
      </c>
      <c r="Y317" s="28" t="str">
        <f t="shared" si="25"/>
        <v>Single</v>
      </c>
      <c r="Z317" s="31" t="s">
        <v>9</v>
      </c>
      <c r="AA317" s="31" t="s">
        <v>53</v>
      </c>
      <c r="AB317" s="31" t="s">
        <v>63</v>
      </c>
      <c r="AC317" s="31" t="s">
        <v>64</v>
      </c>
      <c r="AD317" s="31" t="s">
        <v>72</v>
      </c>
      <c r="AE317" s="31">
        <v>4</v>
      </c>
      <c r="AF317" s="31" t="s">
        <v>84</v>
      </c>
      <c r="AG317" s="15" t="s">
        <v>732</v>
      </c>
      <c r="AH317" s="97" t="s">
        <v>948</v>
      </c>
      <c r="AI317" s="97" t="s">
        <v>949</v>
      </c>
      <c r="AJ317" s="98" t="s">
        <v>1081</v>
      </c>
      <c r="AK317" s="98" t="s">
        <v>1189</v>
      </c>
      <c r="AL317" s="98" t="s">
        <v>1083</v>
      </c>
      <c r="AM317" s="99"/>
      <c r="AN317" s="100" t="s">
        <v>1295</v>
      </c>
      <c r="AO317" s="101" t="str">
        <f>IF($A317="","",IFERROR(_xlfn.XLOOKUP($A317,'2_DOI_Lookup'!$A$2:$A$430,'2_DOI_Lookup'!$B$2:$B$430),"NOT IN SOURCE"))</f>
        <v>10.1109/ACCESS.2025.3580334</v>
      </c>
    </row>
    <row r="318" spans="1:41" ht="34.200000000000003" hidden="1" x14ac:dyDescent="0.3">
      <c r="A318" s="82">
        <v>3787</v>
      </c>
      <c r="B318" s="83"/>
      <c r="C318" s="84"/>
      <c r="D318" s="83"/>
      <c r="E318" s="83" t="str">
        <f>IF($A318="","",IFERROR(_xlfn.XLOOKUP($A318,'2_DOI_Lookup'!$D$2:$D$430,'2_DOI_Lookup'!$E$2:$E$430),"TITLE NOT IN SOURCE"))</f>
        <v>Selected implications of a hyper-connected world on pavement engineering</v>
      </c>
      <c r="F318" s="82" t="s">
        <v>309</v>
      </c>
      <c r="G318" s="85" t="s">
        <v>311</v>
      </c>
      <c r="H318" s="85" t="s">
        <v>312</v>
      </c>
      <c r="I318" s="85" t="s">
        <v>311</v>
      </c>
      <c r="J318" s="85" t="s">
        <v>311</v>
      </c>
      <c r="K318" s="85" t="s">
        <v>311</v>
      </c>
      <c r="L318" s="86" t="str">
        <f t="shared" si="21"/>
        <v>EXCLUDE</v>
      </c>
      <c r="M318" s="86" t="str">
        <f t="shared" si="22"/>
        <v>Digital Twin not core / buzzword</v>
      </c>
      <c r="N318" s="87"/>
      <c r="O318" s="87"/>
      <c r="P318" s="88"/>
      <c r="Q318" s="88"/>
      <c r="R318" s="88"/>
      <c r="S318" s="86" t="str">
        <f t="shared" si="23"/>
        <v/>
      </c>
      <c r="T318" s="86" t="str">
        <f t="shared" si="24"/>
        <v/>
      </c>
      <c r="U318" s="89"/>
      <c r="V318" s="89"/>
      <c r="W318" s="89"/>
      <c r="X318" s="89"/>
      <c r="Y318" s="86" t="str">
        <f t="shared" si="25"/>
        <v/>
      </c>
      <c r="Z318" s="89"/>
      <c r="AA318" s="89"/>
      <c r="AB318" s="89"/>
      <c r="AC318" s="89"/>
      <c r="AD318" s="89"/>
      <c r="AE318" s="89"/>
      <c r="AF318" s="89"/>
      <c r="AG318" s="90" t="s">
        <v>521</v>
      </c>
      <c r="AH318" s="35"/>
      <c r="AI318" s="35"/>
      <c r="AK318"/>
      <c r="AM318" s="56"/>
      <c r="AN318" s="57"/>
      <c r="AO318" s="63" t="str">
        <f>IF($A318="","",IFERROR(_xlfn.XLOOKUP($A318,'2_DOI_Lookup'!$A$2:$A$430,'2_DOI_Lookup'!$B$2:$B$430),"NOT IN SOURCE"))</f>
        <v>10.1007/s42947-020-6012-7</v>
      </c>
    </row>
    <row r="319" spans="1:41" ht="129.6" x14ac:dyDescent="0.3">
      <c r="A319" s="26">
        <v>3919</v>
      </c>
      <c r="B319" s="9" t="s">
        <v>264</v>
      </c>
      <c r="C319" s="32">
        <v>2025</v>
      </c>
      <c r="D319" s="9"/>
      <c r="E319" s="9" t="str">
        <f>IF($A319="","",IFERROR(_xlfn.XLOOKUP($A319,'2_DOI_Lookup'!$D$2:$D$430,'2_DOI_Lookup'!$E$2:$E$430),"TITLE NOT IN SOURCE"))</f>
        <v>Development of a digital twin-driven bridge construction safety monitoring system</v>
      </c>
      <c r="F319" s="26" t="s">
        <v>310</v>
      </c>
      <c r="G319" s="27" t="s">
        <v>311</v>
      </c>
      <c r="H319" s="27" t="s">
        <v>311</v>
      </c>
      <c r="I319" s="27" t="s">
        <v>311</v>
      </c>
      <c r="J319" s="27" t="s">
        <v>311</v>
      </c>
      <c r="K319" s="27" t="s">
        <v>311</v>
      </c>
      <c r="L319" s="28" t="str">
        <f t="shared" si="21"/>
        <v>INCLUDE</v>
      </c>
      <c r="M319" s="28" t="str">
        <f t="shared" si="22"/>
        <v/>
      </c>
      <c r="N319" s="29" t="s">
        <v>49</v>
      </c>
      <c r="O319" s="29" t="s">
        <v>49</v>
      </c>
      <c r="P319" s="30" t="s">
        <v>49</v>
      </c>
      <c r="Q319" s="30" t="s">
        <v>49</v>
      </c>
      <c r="R319" s="30" t="s">
        <v>49</v>
      </c>
      <c r="S319" s="28" t="str">
        <f t="shared" si="23"/>
        <v>INCLUDE</v>
      </c>
      <c r="T319" s="28" t="str">
        <f t="shared" si="24"/>
        <v/>
      </c>
      <c r="U319" s="31" t="s">
        <v>61</v>
      </c>
      <c r="V319" s="31">
        <v>0</v>
      </c>
      <c r="W319" s="31">
        <v>1</v>
      </c>
      <c r="X319" s="31">
        <v>0</v>
      </c>
      <c r="Y319" s="28" t="str">
        <f t="shared" si="25"/>
        <v>Single</v>
      </c>
      <c r="Z319" s="31" t="s">
        <v>9</v>
      </c>
      <c r="AA319" s="31" t="s">
        <v>53</v>
      </c>
      <c r="AB319" s="31" t="s">
        <v>88</v>
      </c>
      <c r="AC319" s="31" t="s">
        <v>64</v>
      </c>
      <c r="AD319" s="31" t="s">
        <v>72</v>
      </c>
      <c r="AE319" s="31">
        <v>4</v>
      </c>
      <c r="AF319" s="31" t="s">
        <v>80</v>
      </c>
      <c r="AG319" s="15" t="s">
        <v>1378</v>
      </c>
      <c r="AH319" s="97" t="s">
        <v>950</v>
      </c>
      <c r="AI319" s="97" t="s">
        <v>951</v>
      </c>
      <c r="AJ319" s="98" t="s">
        <v>1080</v>
      </c>
      <c r="AK319" s="98" t="s">
        <v>1190</v>
      </c>
      <c r="AL319" s="98" t="s">
        <v>1083</v>
      </c>
      <c r="AM319" s="99" t="s">
        <v>1379</v>
      </c>
      <c r="AN319" s="100" t="s">
        <v>1367</v>
      </c>
      <c r="AO319" s="101" t="str">
        <f>IF($A319="","",IFERROR(_xlfn.XLOOKUP($A319,'2_DOI_Lookup'!$A$2:$A$430,'2_DOI_Lookup'!$B$2:$B$430),"NOT IN SOURCE"))</f>
        <v>10.1680/jensu.24.00136</v>
      </c>
    </row>
    <row r="320" spans="1:41" ht="45.6" hidden="1" x14ac:dyDescent="0.3">
      <c r="A320" s="73">
        <v>4041</v>
      </c>
      <c r="B320" s="74"/>
      <c r="C320" s="75"/>
      <c r="D320" s="74"/>
      <c r="E320" s="74" t="str">
        <f>IF($A320="","",IFERROR(_xlfn.XLOOKUP($A320,'2_DOI_Lookup'!$D$2:$D$430,'2_DOI_Lookup'!$E$2:$E$430),"TITLE NOT IN SOURCE"))</f>
        <v>Near Real-Time 3D Reconstruction of Construction Sites Based on Surveillance Cameras</v>
      </c>
      <c r="F320" s="73" t="s">
        <v>310</v>
      </c>
      <c r="G320" s="76" t="s">
        <v>311</v>
      </c>
      <c r="H320" s="76" t="s">
        <v>312</v>
      </c>
      <c r="I320" s="76" t="s">
        <v>311</v>
      </c>
      <c r="J320" s="76" t="s">
        <v>311</v>
      </c>
      <c r="K320" s="76" t="s">
        <v>311</v>
      </c>
      <c r="L320" s="77" t="str">
        <f t="shared" si="21"/>
        <v>EXCLUDE</v>
      </c>
      <c r="M320" s="77" t="str">
        <f t="shared" si="22"/>
        <v>Digital Twin not core / buzzword</v>
      </c>
      <c r="N320" s="78"/>
      <c r="O320" s="78"/>
      <c r="P320" s="79"/>
      <c r="Q320" s="79"/>
      <c r="R320" s="79"/>
      <c r="S320" s="77" t="str">
        <f t="shared" si="23"/>
        <v/>
      </c>
      <c r="T320" s="77" t="str">
        <f t="shared" si="24"/>
        <v/>
      </c>
      <c r="U320" s="80"/>
      <c r="V320" s="80"/>
      <c r="W320" s="80"/>
      <c r="X320" s="80"/>
      <c r="Y320" s="77" t="str">
        <f t="shared" si="25"/>
        <v/>
      </c>
      <c r="Z320" s="80"/>
      <c r="AA320" s="80"/>
      <c r="AB320" s="80"/>
      <c r="AC320" s="80"/>
      <c r="AD320" s="80"/>
      <c r="AE320" s="80"/>
      <c r="AF320" s="80"/>
      <c r="AG320" s="81" t="s">
        <v>522</v>
      </c>
      <c r="AH320" s="35"/>
      <c r="AI320" s="35"/>
      <c r="AK320"/>
      <c r="AM320" s="56"/>
      <c r="AN320" s="57"/>
      <c r="AO320" s="63" t="str">
        <f>IF($A320="","",IFERROR(_xlfn.XLOOKUP($A320,'2_DOI_Lookup'!$A$2:$A$430,'2_DOI_Lookup'!$B$2:$B$430),"NOT IN SOURCE"))</f>
        <v>10.3390/buildings15040567</v>
      </c>
    </row>
    <row r="321" spans="1:41" ht="57" hidden="1" x14ac:dyDescent="0.3">
      <c r="A321" s="64">
        <v>3694</v>
      </c>
      <c r="B321" s="65"/>
      <c r="C321" s="66"/>
      <c r="D321" s="65"/>
      <c r="E321" s="65" t="str">
        <f>IF($A321="","",IFERROR(_xlfn.XLOOKUP($A321,'2_DOI_Lookup'!$D$2:$D$430,'2_DOI_Lookup'!$E$2:$E$430),"TITLE NOT IN SOURCE"))</f>
        <v>Research on the construction of civil airport safety management system based on digital twin technology</v>
      </c>
      <c r="F321" s="64" t="s">
        <v>309</v>
      </c>
      <c r="G321" s="67" t="s">
        <v>311</v>
      </c>
      <c r="H321" s="67" t="s">
        <v>311</v>
      </c>
      <c r="I321" s="67" t="s">
        <v>311</v>
      </c>
      <c r="J321" s="67" t="s">
        <v>311</v>
      </c>
      <c r="K321" s="67" t="s">
        <v>312</v>
      </c>
      <c r="L321" s="68" t="str">
        <f t="shared" si="21"/>
        <v>EXCLUDE</v>
      </c>
      <c r="M321" s="68" t="str">
        <f t="shared" si="22"/>
        <v>Non-English</v>
      </c>
      <c r="N321" s="69"/>
      <c r="O321" s="69"/>
      <c r="P321" s="70"/>
      <c r="Q321" s="70"/>
      <c r="R321" s="70"/>
      <c r="S321" s="68" t="str">
        <f t="shared" si="23"/>
        <v/>
      </c>
      <c r="T321" s="68" t="str">
        <f t="shared" si="24"/>
        <v/>
      </c>
      <c r="U321" s="71"/>
      <c r="V321" s="71"/>
      <c r="W321" s="71"/>
      <c r="X321" s="71"/>
      <c r="Y321" s="68" t="str">
        <f t="shared" si="25"/>
        <v/>
      </c>
      <c r="Z321" s="71"/>
      <c r="AA321" s="71"/>
      <c r="AB321" s="71"/>
      <c r="AC321" s="71"/>
      <c r="AD321" s="71"/>
      <c r="AE321" s="71"/>
      <c r="AF321" s="71"/>
      <c r="AG321" s="72" t="s">
        <v>523</v>
      </c>
      <c r="AH321" s="35"/>
      <c r="AI321" s="35"/>
      <c r="AK321"/>
      <c r="AM321" s="56"/>
      <c r="AN321" s="57"/>
      <c r="AO321" s="63" t="str">
        <f>IF($A321="","",IFERROR(_xlfn.XLOOKUP($A321,'2_DOI_Lookup'!$A$2:$A$430,'2_DOI_Lookup'!$B$2:$B$430),"NOT IN SOURCE"))</f>
        <v>10.16265/j.cnki.issn1003-3033.2023.S1.0257</v>
      </c>
    </row>
    <row r="322" spans="1:41" ht="144" x14ac:dyDescent="0.3">
      <c r="A322" s="26">
        <v>3941</v>
      </c>
      <c r="B322" s="9" t="s">
        <v>265</v>
      </c>
      <c r="C322" s="32">
        <v>2025</v>
      </c>
      <c r="D322" s="9"/>
      <c r="E322" s="9" t="str">
        <f>IF($A322="","",IFERROR(_xlfn.XLOOKUP($A322,'2_DOI_Lookup'!$D$2:$D$430,'2_DOI_Lookup'!$E$2:$E$430),"TITLE NOT IN SOURCE"))</f>
        <v>Digital twin of advanced geological conditions in rock tunnel construction</v>
      </c>
      <c r="F322" s="26" t="s">
        <v>310</v>
      </c>
      <c r="G322" s="27" t="s">
        <v>311</v>
      </c>
      <c r="H322" s="27" t="s">
        <v>311</v>
      </c>
      <c r="I322" s="27" t="s">
        <v>311</v>
      </c>
      <c r="J322" s="27" t="s">
        <v>311</v>
      </c>
      <c r="K322" s="27" t="s">
        <v>311</v>
      </c>
      <c r="L322" s="28" t="str">
        <f t="shared" si="21"/>
        <v>INCLUDE</v>
      </c>
      <c r="M322" s="28" t="str">
        <f t="shared" si="22"/>
        <v/>
      </c>
      <c r="N322" s="29" t="s">
        <v>311</v>
      </c>
      <c r="O322" s="29" t="s">
        <v>311</v>
      </c>
      <c r="P322" s="30" t="s">
        <v>311</v>
      </c>
      <c r="Q322" s="30" t="s">
        <v>311</v>
      </c>
      <c r="R322" s="30" t="s">
        <v>311</v>
      </c>
      <c r="S322" s="28" t="str">
        <f t="shared" si="23"/>
        <v>INCLUDE</v>
      </c>
      <c r="T322" s="28" t="str">
        <f t="shared" si="24"/>
        <v/>
      </c>
      <c r="U322" s="31" t="s">
        <v>68</v>
      </c>
      <c r="V322" s="31">
        <v>0</v>
      </c>
      <c r="W322" s="31">
        <v>1</v>
      </c>
      <c r="X322" s="31">
        <v>0</v>
      </c>
      <c r="Y322" s="28" t="str">
        <f t="shared" si="25"/>
        <v>Single</v>
      </c>
      <c r="Z322" s="31" t="s">
        <v>9</v>
      </c>
      <c r="AA322" s="31" t="s">
        <v>53</v>
      </c>
      <c r="AB322" s="31" t="s">
        <v>92</v>
      </c>
      <c r="AC322" s="31" t="s">
        <v>64</v>
      </c>
      <c r="AD322" s="31" t="s">
        <v>72</v>
      </c>
      <c r="AE322" s="31">
        <v>4</v>
      </c>
      <c r="AF322" s="31" t="s">
        <v>84</v>
      </c>
      <c r="AG322" s="15" t="s">
        <v>653</v>
      </c>
      <c r="AH322" s="97" t="s">
        <v>952</v>
      </c>
      <c r="AI322" s="97" t="s">
        <v>953</v>
      </c>
      <c r="AJ322" s="98" t="s">
        <v>1081</v>
      </c>
      <c r="AK322" s="98" t="s">
        <v>1191</v>
      </c>
      <c r="AL322" s="98" t="s">
        <v>1083</v>
      </c>
      <c r="AM322" s="99" t="s">
        <v>1391</v>
      </c>
      <c r="AN322" s="100" t="s">
        <v>1385</v>
      </c>
      <c r="AO322" s="101" t="str">
        <f>IF($A322="","",IFERROR(_xlfn.XLOOKUP($A322,'2_DOI_Lookup'!$A$2:$A$430,'2_DOI_Lookup'!$B$2:$B$430),"NOT IN SOURCE"))</f>
        <v>10.1016/j.autcon.2025.106407</v>
      </c>
    </row>
    <row r="323" spans="1:41" ht="79.8" hidden="1" x14ac:dyDescent="0.3">
      <c r="A323" s="82">
        <v>3648</v>
      </c>
      <c r="B323" s="83"/>
      <c r="C323" s="84"/>
      <c r="D323" s="83"/>
      <c r="E323" s="83" t="str">
        <f>IF($A323="","",IFERROR(_xlfn.XLOOKUP($A323,'2_DOI_Lookup'!$D$2:$D$430,'2_DOI_Lookup'!$E$2:$E$430),"TITLE NOT IN SOURCE"))</f>
        <v>An Enhanced Digital Twin-Driven Fault Diagnosis Approach Based on Deep Multimodal Information Fusion for Marine Machinery</v>
      </c>
      <c r="F323" s="82" t="s">
        <v>309</v>
      </c>
      <c r="G323" s="85" t="s">
        <v>312</v>
      </c>
      <c r="H323" s="85" t="s">
        <v>311</v>
      </c>
      <c r="I323" s="85" t="s">
        <v>311</v>
      </c>
      <c r="J323" s="85" t="s">
        <v>311</v>
      </c>
      <c r="K323" s="85" t="s">
        <v>311</v>
      </c>
      <c r="L323" s="86" t="str">
        <f t="shared" si="21"/>
        <v>EXCLUDE</v>
      </c>
      <c r="M323" s="86" t="str">
        <f t="shared" si="22"/>
        <v>Wrong domain (non-AECO)</v>
      </c>
      <c r="N323" s="87"/>
      <c r="O323" s="87"/>
      <c r="P323" s="88"/>
      <c r="Q323" s="88"/>
      <c r="R323" s="88"/>
      <c r="S323" s="86" t="str">
        <f t="shared" si="23"/>
        <v/>
      </c>
      <c r="T323" s="86" t="str">
        <f t="shared" si="24"/>
        <v/>
      </c>
      <c r="U323" s="89"/>
      <c r="V323" s="89"/>
      <c r="W323" s="89"/>
      <c r="X323" s="89"/>
      <c r="Y323" s="86" t="str">
        <f t="shared" si="25"/>
        <v/>
      </c>
      <c r="Z323" s="89"/>
      <c r="AA323" s="89"/>
      <c r="AB323" s="89"/>
      <c r="AC323" s="89"/>
      <c r="AD323" s="89"/>
      <c r="AE323" s="89"/>
      <c r="AF323" s="89"/>
      <c r="AG323" s="90" t="s">
        <v>524</v>
      </c>
      <c r="AH323" s="35"/>
      <c r="AI323" s="35"/>
      <c r="AK323"/>
      <c r="AM323" s="56"/>
      <c r="AN323" s="57"/>
      <c r="AO323" s="63" t="str">
        <f>IF($A323="","",IFERROR(_xlfn.XLOOKUP($A323,'2_DOI_Lookup'!$A$2:$A$430,'2_DOI_Lookup'!$B$2:$B$430),"NOT IN SOURCE"))</f>
        <v>10.1109/JSEN.2025.3644934</v>
      </c>
    </row>
    <row r="324" spans="1:41" ht="102.6" x14ac:dyDescent="0.3">
      <c r="A324" s="26">
        <v>3994</v>
      </c>
      <c r="B324" s="9" t="s">
        <v>266</v>
      </c>
      <c r="C324" s="32">
        <v>2023</v>
      </c>
      <c r="D324" s="9"/>
      <c r="E324" s="9" t="str">
        <f>IF($A324="","",IFERROR(_xlfn.XLOOKUP($A324,'2_DOI_Lookup'!$D$2:$D$430,'2_DOI_Lookup'!$E$2:$E$430),"TITLE NOT IN SOURCE"))</f>
        <v>Intelligent Risk Prognosis and Control of Foundation Pit Excavation Based on Digital Twin</v>
      </c>
      <c r="F324" s="26" t="s">
        <v>310</v>
      </c>
      <c r="G324" s="27" t="s">
        <v>311</v>
      </c>
      <c r="H324" s="27" t="s">
        <v>311</v>
      </c>
      <c r="I324" s="27" t="s">
        <v>311</v>
      </c>
      <c r="J324" s="27" t="s">
        <v>311</v>
      </c>
      <c r="K324" s="27" t="s">
        <v>311</v>
      </c>
      <c r="L324" s="28" t="str">
        <f t="shared" si="21"/>
        <v>INCLUDE</v>
      </c>
      <c r="M324" s="28" t="str">
        <f t="shared" si="22"/>
        <v/>
      </c>
      <c r="N324" s="29" t="s">
        <v>311</v>
      </c>
      <c r="O324" s="29" t="s">
        <v>311</v>
      </c>
      <c r="P324" s="30" t="s">
        <v>311</v>
      </c>
      <c r="Q324" s="30" t="s">
        <v>311</v>
      </c>
      <c r="R324" s="30" t="s">
        <v>311</v>
      </c>
      <c r="S324" s="28" t="str">
        <f t="shared" si="23"/>
        <v>INCLUDE</v>
      </c>
      <c r="T324" s="28" t="str">
        <f t="shared" si="24"/>
        <v/>
      </c>
      <c r="U324" s="31" t="s">
        <v>68</v>
      </c>
      <c r="V324" s="31">
        <v>0</v>
      </c>
      <c r="W324" s="31">
        <v>1</v>
      </c>
      <c r="X324" s="31">
        <v>0</v>
      </c>
      <c r="Y324" s="28" t="str">
        <f t="shared" si="25"/>
        <v>Single</v>
      </c>
      <c r="Z324" s="31" t="s">
        <v>9</v>
      </c>
      <c r="AA324" s="31" t="s">
        <v>53</v>
      </c>
      <c r="AB324" s="31" t="s">
        <v>88</v>
      </c>
      <c r="AC324" s="31" t="s">
        <v>64</v>
      </c>
      <c r="AD324" s="31" t="s">
        <v>72</v>
      </c>
      <c r="AE324" s="31">
        <v>4</v>
      </c>
      <c r="AF324" s="31" t="s">
        <v>80</v>
      </c>
      <c r="AG324" s="15" t="s">
        <v>654</v>
      </c>
      <c r="AH324" s="97" t="s">
        <v>954</v>
      </c>
      <c r="AI324" s="97" t="s">
        <v>955</v>
      </c>
      <c r="AJ324" s="98" t="s">
        <v>1081</v>
      </c>
      <c r="AK324" s="98" t="s">
        <v>1192</v>
      </c>
      <c r="AL324" s="98" t="s">
        <v>1083</v>
      </c>
      <c r="AM324" s="99"/>
      <c r="AN324" s="100" t="s">
        <v>1424</v>
      </c>
      <c r="AO324" s="101" t="str">
        <f>IF($A324="","",IFERROR(_xlfn.XLOOKUP($A324,'2_DOI_Lookup'!$A$2:$A$430,'2_DOI_Lookup'!$B$2:$B$430),"NOT IN SOURCE"))</f>
        <v>10.3390/buildings13010247</v>
      </c>
    </row>
    <row r="325" spans="1:41" ht="100.8" x14ac:dyDescent="0.3">
      <c r="A325" s="26">
        <v>3583</v>
      </c>
      <c r="B325" s="9" t="s">
        <v>265</v>
      </c>
      <c r="C325" s="32">
        <v>2025</v>
      </c>
      <c r="D325" s="9"/>
      <c r="E325" s="9" t="str">
        <f>IF($A325="","",IFERROR(_xlfn.XLOOKUP($A325,'2_DOI_Lookup'!$D$2:$D$430,'2_DOI_Lookup'!$E$2:$E$430),"TITLE NOT IN SOURCE"))</f>
        <v>Data and Knowledge-Driven Bridge Digital Twin Modeling for Smart Operation and Maintenance</v>
      </c>
      <c r="F325" s="26" t="s">
        <v>309</v>
      </c>
      <c r="G325" s="27" t="s">
        <v>311</v>
      </c>
      <c r="H325" s="27" t="s">
        <v>311</v>
      </c>
      <c r="I325" s="27" t="s">
        <v>311</v>
      </c>
      <c r="J325" s="27" t="s">
        <v>311</v>
      </c>
      <c r="K325" s="27" t="s">
        <v>311</v>
      </c>
      <c r="L325" s="28" t="str">
        <f t="shared" ref="L325:L388" si="26">IF(COUNTBLANK(G325:K325)=5,"",IF(COUNTIF(G325:K325,"No")&gt;0,"EXCLUDE","INCLUDE"))</f>
        <v>INCLUDE</v>
      </c>
      <c r="M325" s="28" t="str">
        <f t="shared" ref="M325:M388" si="27">IF(L325&lt;&gt;"EXCLUDE","",IF(G325="No","Wrong domain (non-AECO)",IF(H325="No","Digital Twin not core / buzzword",IF(I325="No","No Design for Safety/Quality/PtD",IF(J325="No","Wrong publication type",IF(K325="No","Non-English",""))))))</f>
        <v/>
      </c>
      <c r="N325" s="29" t="s">
        <v>311</v>
      </c>
      <c r="O325" s="29" t="s">
        <v>311</v>
      </c>
      <c r="P325" s="30" t="s">
        <v>311</v>
      </c>
      <c r="Q325" s="30" t="s">
        <v>311</v>
      </c>
      <c r="R325" s="30" t="s">
        <v>311</v>
      </c>
      <c r="S325" s="28" t="str">
        <f t="shared" ref="S325:S388" si="28">IF(N325&lt;&gt;"Yes","",IF(COUNTBLANK(P325:R325)=3,"",IF(COUNTIF(P325:R325,"No")&gt;0,"EXCLUDE","INCLUDE")))</f>
        <v>INCLUDE</v>
      </c>
      <c r="T325" s="28" t="str">
        <f t="shared" ref="T325:T388" si="29">IF(S325&lt;&gt;"EXCLUDE","",IF(P325="No","Digital Twin mentioned only, not the subject",IF(Q325="No","No Design for Safety/Quality in full text",IF(R325="No","Methodology not codable",""))))</f>
        <v/>
      </c>
      <c r="U325" s="31" t="s">
        <v>61</v>
      </c>
      <c r="V325" s="31">
        <v>0</v>
      </c>
      <c r="W325" s="31">
        <v>0</v>
      </c>
      <c r="X325" s="31">
        <v>1</v>
      </c>
      <c r="Y325" s="28" t="str">
        <f t="shared" ref="Y325:Y388" si="30">IF(SUM(V325:X325)=0,"",IF(SUM(V325:X325)&gt;=2,"Multi","Single"))</f>
        <v>Single</v>
      </c>
      <c r="Z325" s="31" t="s">
        <v>9</v>
      </c>
      <c r="AA325" s="31" t="s">
        <v>53</v>
      </c>
      <c r="AB325" s="31" t="s">
        <v>89</v>
      </c>
      <c r="AC325" s="31" t="s">
        <v>64</v>
      </c>
      <c r="AD325" s="31" t="s">
        <v>72</v>
      </c>
      <c r="AE325" s="31">
        <v>4</v>
      </c>
      <c r="AF325" s="31" t="s">
        <v>84</v>
      </c>
      <c r="AG325" s="15" t="s">
        <v>655</v>
      </c>
      <c r="AH325" s="97" t="s">
        <v>956</v>
      </c>
      <c r="AI325" s="97" t="s">
        <v>957</v>
      </c>
      <c r="AJ325" s="98" t="s">
        <v>1081</v>
      </c>
      <c r="AK325" s="98" t="s">
        <v>1193</v>
      </c>
      <c r="AL325" s="98" t="s">
        <v>1084</v>
      </c>
      <c r="AM325" s="99" t="s">
        <v>1270</v>
      </c>
      <c r="AN325" s="100" t="s">
        <v>1265</v>
      </c>
      <c r="AO325" s="101" t="str">
        <f>IF($A325="","",IFERROR(_xlfn.XLOOKUP($A325,'2_DOI_Lookup'!$A$2:$A$430,'2_DOI_Lookup'!$B$2:$B$430),"NOT IN SOURCE"))</f>
        <v>10.3390/app15010231</v>
      </c>
    </row>
    <row r="326" spans="1:41" ht="102.6" x14ac:dyDescent="0.3">
      <c r="A326" s="26">
        <v>3948</v>
      </c>
      <c r="B326" s="9" t="s">
        <v>267</v>
      </c>
      <c r="C326" s="32">
        <v>2026</v>
      </c>
      <c r="D326" s="9"/>
      <c r="E326" s="9" t="str">
        <f>IF($A326="","",IFERROR(_xlfn.XLOOKUP($A326,'2_DOI_Lookup'!$D$2:$D$430,'2_DOI_Lookup'!$E$2:$E$430),"TITLE NOT IN SOURCE"))</f>
        <v>Human-in-the-Loop Digital Twin Modeling for Smart Civil Infrastructure Operation and Maintenance</v>
      </c>
      <c r="F326" s="26" t="s">
        <v>310</v>
      </c>
      <c r="G326" s="27" t="s">
        <v>311</v>
      </c>
      <c r="H326" s="27" t="s">
        <v>311</v>
      </c>
      <c r="I326" s="27" t="s">
        <v>311</v>
      </c>
      <c r="J326" s="27" t="s">
        <v>311</v>
      </c>
      <c r="K326" s="27" t="s">
        <v>311</v>
      </c>
      <c r="L326" s="28" t="str">
        <f t="shared" si="26"/>
        <v>INCLUDE</v>
      </c>
      <c r="M326" s="28" t="str">
        <f t="shared" si="27"/>
        <v/>
      </c>
      <c r="N326" s="29" t="s">
        <v>311</v>
      </c>
      <c r="O326" s="29" t="s">
        <v>311</v>
      </c>
      <c r="P326" s="30" t="s">
        <v>311</v>
      </c>
      <c r="Q326" s="30" t="s">
        <v>311</v>
      </c>
      <c r="R326" s="30" t="s">
        <v>311</v>
      </c>
      <c r="S326" s="28" t="str">
        <f t="shared" si="28"/>
        <v>INCLUDE</v>
      </c>
      <c r="T326" s="28" t="str">
        <f t="shared" si="29"/>
        <v/>
      </c>
      <c r="U326" s="31" t="s">
        <v>68</v>
      </c>
      <c r="V326" s="31">
        <v>0</v>
      </c>
      <c r="W326" s="31">
        <v>0</v>
      </c>
      <c r="X326" s="31">
        <v>1</v>
      </c>
      <c r="Y326" s="28" t="str">
        <f t="shared" si="30"/>
        <v>Single</v>
      </c>
      <c r="Z326" s="31" t="s">
        <v>9</v>
      </c>
      <c r="AA326" s="31" t="s">
        <v>53</v>
      </c>
      <c r="AB326" s="31" t="s">
        <v>92</v>
      </c>
      <c r="AC326" s="31" t="s">
        <v>64</v>
      </c>
      <c r="AD326" s="31" t="s">
        <v>56</v>
      </c>
      <c r="AE326" s="31">
        <v>3</v>
      </c>
      <c r="AF326" s="31" t="s">
        <v>84</v>
      </c>
      <c r="AG326" s="15" t="s">
        <v>656</v>
      </c>
      <c r="AH326" s="97" t="s">
        <v>958</v>
      </c>
      <c r="AI326" s="97" t="s">
        <v>959</v>
      </c>
      <c r="AJ326" s="98" t="s">
        <v>82</v>
      </c>
      <c r="AK326" s="98" t="s">
        <v>1194</v>
      </c>
      <c r="AL326" s="98" t="s">
        <v>1083</v>
      </c>
      <c r="AM326" s="99"/>
      <c r="AN326" s="100" t="s">
        <v>1393</v>
      </c>
      <c r="AO326" s="101" t="str">
        <f>IF($A326="","",IFERROR(_xlfn.XLOOKUP($A326,'2_DOI_Lookup'!$A$2:$A$430,'2_DOI_Lookup'!$B$2:$B$430),"NOT IN SOURCE"))</f>
        <v>10.3390/app16041848</v>
      </c>
    </row>
    <row r="327" spans="1:41" ht="45.6" hidden="1" x14ac:dyDescent="0.3">
      <c r="A327" s="82">
        <v>3850</v>
      </c>
      <c r="B327" s="83"/>
      <c r="C327" s="84"/>
      <c r="D327" s="83"/>
      <c r="E327" s="83" t="str">
        <f>IF($A327="","",IFERROR(_xlfn.XLOOKUP($A327,'2_DOI_Lookup'!$D$2:$D$430,'2_DOI_Lookup'!$E$2:$E$430),"TITLE NOT IN SOURCE"))</f>
        <v>Data-driven progress prediction in construction: a multi-project portfolio management approach</v>
      </c>
      <c r="F327" s="82" t="s">
        <v>309</v>
      </c>
      <c r="G327" s="85" t="s">
        <v>311</v>
      </c>
      <c r="H327" s="85" t="s">
        <v>312</v>
      </c>
      <c r="I327" s="85" t="s">
        <v>312</v>
      </c>
      <c r="J327" s="85" t="s">
        <v>311</v>
      </c>
      <c r="K327" s="85" t="s">
        <v>311</v>
      </c>
      <c r="L327" s="86" t="str">
        <f t="shared" si="26"/>
        <v>EXCLUDE</v>
      </c>
      <c r="M327" s="86" t="str">
        <f t="shared" si="27"/>
        <v>Digital Twin not core / buzzword</v>
      </c>
      <c r="N327" s="87"/>
      <c r="O327" s="87"/>
      <c r="P327" s="88"/>
      <c r="Q327" s="88"/>
      <c r="R327" s="88"/>
      <c r="S327" s="86" t="str">
        <f t="shared" si="28"/>
        <v/>
      </c>
      <c r="T327" s="86" t="str">
        <f t="shared" si="29"/>
        <v/>
      </c>
      <c r="U327" s="89"/>
      <c r="V327" s="89"/>
      <c r="W327" s="89"/>
      <c r="X327" s="89"/>
      <c r="Y327" s="86" t="str">
        <f t="shared" si="30"/>
        <v/>
      </c>
      <c r="Z327" s="89"/>
      <c r="AA327" s="89"/>
      <c r="AB327" s="89"/>
      <c r="AC327" s="89"/>
      <c r="AD327" s="89"/>
      <c r="AE327" s="89"/>
      <c r="AF327" s="89"/>
      <c r="AG327" s="90" t="s">
        <v>525</v>
      </c>
      <c r="AH327" s="35"/>
      <c r="AI327" s="35"/>
      <c r="AK327"/>
      <c r="AM327" s="56"/>
      <c r="AN327" s="57"/>
      <c r="AO327" s="63" t="str">
        <f>IF($A327="","",IFERROR(_xlfn.XLOOKUP($A327,'2_DOI_Lookup'!$A$2:$A$430,'2_DOI_Lookup'!$B$2:$B$430),"NOT IN SOURCE"))</f>
        <v>10.3389/fbuil.2025.1681156</v>
      </c>
    </row>
    <row r="328" spans="1:41" ht="91.2" x14ac:dyDescent="0.3">
      <c r="A328" s="26">
        <v>3559</v>
      </c>
      <c r="B328" s="9" t="s">
        <v>268</v>
      </c>
      <c r="C328" s="32">
        <v>2022</v>
      </c>
      <c r="D328" s="9"/>
      <c r="E328" s="9" t="str">
        <f>IF($A328="","",IFERROR(_xlfn.XLOOKUP($A328,'2_DOI_Lookup'!$D$2:$D$430,'2_DOI_Lookup'!$E$2:$E$430),"TITLE NOT IN SOURCE"))</f>
        <v>Sensor Acquisition and Allocation for Real-Time Monitoring of Articulated Construction Equipment in Digital Twins</v>
      </c>
      <c r="F328" s="26" t="s">
        <v>309</v>
      </c>
      <c r="G328" s="27" t="s">
        <v>311</v>
      </c>
      <c r="H328" s="27" t="s">
        <v>311</v>
      </c>
      <c r="I328" s="27" t="s">
        <v>311</v>
      </c>
      <c r="J328" s="27" t="s">
        <v>311</v>
      </c>
      <c r="K328" s="27" t="s">
        <v>311</v>
      </c>
      <c r="L328" s="28" t="str">
        <f t="shared" si="26"/>
        <v>INCLUDE</v>
      </c>
      <c r="M328" s="28" t="str">
        <f t="shared" si="27"/>
        <v/>
      </c>
      <c r="N328" s="29" t="s">
        <v>311</v>
      </c>
      <c r="O328" s="29" t="s">
        <v>311</v>
      </c>
      <c r="P328" s="30" t="s">
        <v>311</v>
      </c>
      <c r="Q328" s="30" t="s">
        <v>311</v>
      </c>
      <c r="R328" s="30" t="s">
        <v>311</v>
      </c>
      <c r="S328" s="28" t="str">
        <f t="shared" si="28"/>
        <v>INCLUDE</v>
      </c>
      <c r="T328" s="28" t="str">
        <f t="shared" si="29"/>
        <v/>
      </c>
      <c r="U328" s="31" t="s">
        <v>61</v>
      </c>
      <c r="V328" s="31">
        <v>0</v>
      </c>
      <c r="W328" s="31">
        <v>1</v>
      </c>
      <c r="X328" s="31">
        <v>0</v>
      </c>
      <c r="Y328" s="28" t="str">
        <f t="shared" si="30"/>
        <v>Single</v>
      </c>
      <c r="Z328" s="31" t="s">
        <v>9</v>
      </c>
      <c r="AA328" s="31" t="s">
        <v>53</v>
      </c>
      <c r="AB328" s="31" t="s">
        <v>91</v>
      </c>
      <c r="AC328" s="31" t="s">
        <v>55</v>
      </c>
      <c r="AD328" s="31" t="s">
        <v>72</v>
      </c>
      <c r="AE328" s="31">
        <v>4</v>
      </c>
      <c r="AF328" s="31" t="s">
        <v>80</v>
      </c>
      <c r="AG328" s="15" t="s">
        <v>657</v>
      </c>
      <c r="AH328" s="97" t="s">
        <v>960</v>
      </c>
      <c r="AI328" s="97" t="s">
        <v>961</v>
      </c>
      <c r="AJ328" s="98" t="s">
        <v>1078</v>
      </c>
      <c r="AK328" s="115" t="s">
        <v>1195</v>
      </c>
      <c r="AL328" s="98" t="s">
        <v>1083</v>
      </c>
      <c r="AM328" s="99" t="s">
        <v>1252</v>
      </c>
      <c r="AN328" s="100" t="s">
        <v>1261</v>
      </c>
      <c r="AO328" s="101" t="str">
        <f>IF($A328="","",IFERROR(_xlfn.XLOOKUP($A328,'2_DOI_Lookup'!$A$2:$A$430,'2_DOI_Lookup'!$B$2:$B$430),"NOT IN SOURCE"))</f>
        <v>10.3390/s22197635</v>
      </c>
    </row>
    <row r="329" spans="1:41" ht="45.6" hidden="1" x14ac:dyDescent="0.3">
      <c r="A329" s="73">
        <v>3737</v>
      </c>
      <c r="B329" s="74"/>
      <c r="C329" s="75"/>
      <c r="D329" s="74"/>
      <c r="E329" s="74" t="str">
        <f>IF($A329="","",IFERROR(_xlfn.XLOOKUP($A329,'2_DOI_Lookup'!$D$2:$D$430,'2_DOI_Lookup'!$E$2:$E$430),"TITLE NOT IN SOURCE"))</f>
        <v>Artificial Intelligence-Powered Digital Twins for Sustainable and Resilient Engineering Structures</v>
      </c>
      <c r="F329" s="73" t="s">
        <v>309</v>
      </c>
      <c r="G329" s="76" t="s">
        <v>311</v>
      </c>
      <c r="H329" s="76" t="s">
        <v>311</v>
      </c>
      <c r="I329" s="76" t="s">
        <v>311</v>
      </c>
      <c r="J329" s="76" t="s">
        <v>311</v>
      </c>
      <c r="K329" s="76" t="s">
        <v>312</v>
      </c>
      <c r="L329" s="77" t="str">
        <f t="shared" si="26"/>
        <v>EXCLUDE</v>
      </c>
      <c r="M329" s="77" t="str">
        <f t="shared" si="27"/>
        <v>Non-English</v>
      </c>
      <c r="N329" s="78"/>
      <c r="O329" s="78"/>
      <c r="P329" s="79"/>
      <c r="Q329" s="79"/>
      <c r="R329" s="79"/>
      <c r="S329" s="77" t="str">
        <f t="shared" si="28"/>
        <v/>
      </c>
      <c r="T329" s="77" t="str">
        <f t="shared" si="29"/>
        <v/>
      </c>
      <c r="U329" s="80"/>
      <c r="V329" s="80"/>
      <c r="W329" s="80"/>
      <c r="X329" s="80"/>
      <c r="Y329" s="77" t="str">
        <f t="shared" si="30"/>
        <v/>
      </c>
      <c r="Z329" s="80"/>
      <c r="AA329" s="80"/>
      <c r="AB329" s="80"/>
      <c r="AC329" s="80"/>
      <c r="AD329" s="80"/>
      <c r="AE329" s="80"/>
      <c r="AF329" s="80"/>
      <c r="AG329" s="81" t="s">
        <v>526</v>
      </c>
      <c r="AH329" s="35"/>
      <c r="AI329" s="35"/>
      <c r="AK329"/>
      <c r="AM329" s="56"/>
      <c r="AN329" s="57"/>
      <c r="AO329" s="63" t="str">
        <f>IF($A329="","",IFERROR(_xlfn.XLOOKUP($A329,'2_DOI_Lookup'!$A$2:$A$430,'2_DOI_Lookup'!$B$2:$B$430),"NOT IN SOURCE"))</f>
        <v>10.37544/0005-6650-2024-09-36</v>
      </c>
    </row>
    <row r="330" spans="1:41" ht="102.6" hidden="1" x14ac:dyDescent="0.3">
      <c r="A330" s="26">
        <v>3552</v>
      </c>
      <c r="B330" s="9"/>
      <c r="C330" s="32"/>
      <c r="D330" s="9"/>
      <c r="E330" s="9" t="str">
        <f>IF($A330="","",IFERROR(_xlfn.XLOOKUP($A330,'2_DOI_Lookup'!$D$2:$D$430,'2_DOI_Lookup'!$E$2:$E$430),"TITLE NOT IN SOURCE"))</f>
        <v>Review of Construction Automation and Robotics Practices in Indonesian Construction State-Owned Enterprises: Position in Project Life Cycle, Gap to Best Practice and Potential Uses</v>
      </c>
      <c r="F330" s="26" t="s">
        <v>309</v>
      </c>
      <c r="G330" s="27" t="s">
        <v>311</v>
      </c>
      <c r="H330" s="27" t="s">
        <v>312</v>
      </c>
      <c r="I330" s="27" t="s">
        <v>312</v>
      </c>
      <c r="J330" s="27" t="s">
        <v>311</v>
      </c>
      <c r="K330" s="27" t="s">
        <v>311</v>
      </c>
      <c r="L330" s="28" t="str">
        <f t="shared" si="26"/>
        <v>EXCLUDE</v>
      </c>
      <c r="M330" s="28" t="str">
        <f t="shared" si="27"/>
        <v>Digital Twin not core / buzzword</v>
      </c>
      <c r="N330" s="29"/>
      <c r="O330" s="29"/>
      <c r="P330" s="30"/>
      <c r="Q330" s="30"/>
      <c r="R330" s="30"/>
      <c r="S330" s="28" t="str">
        <f t="shared" si="28"/>
        <v/>
      </c>
      <c r="T330" s="28" t="str">
        <f t="shared" si="29"/>
        <v/>
      </c>
      <c r="U330" s="31"/>
      <c r="V330" s="31"/>
      <c r="W330" s="31"/>
      <c r="X330" s="31"/>
      <c r="Y330" s="28" t="str">
        <f t="shared" si="30"/>
        <v/>
      </c>
      <c r="Z330" s="31"/>
      <c r="AA330" s="31"/>
      <c r="AB330" s="31"/>
      <c r="AC330" s="31"/>
      <c r="AD330" s="31"/>
      <c r="AE330" s="31"/>
      <c r="AF330" s="31"/>
      <c r="AG330" s="15" t="s">
        <v>527</v>
      </c>
      <c r="AH330" s="35"/>
      <c r="AI330" s="35"/>
      <c r="AK330"/>
      <c r="AM330" s="56"/>
      <c r="AN330" s="57"/>
      <c r="AO330" s="63" t="str">
        <f>IF($A330="","",IFERROR(_xlfn.XLOOKUP($A330,'2_DOI_Lookup'!$A$2:$A$430,'2_DOI_Lookup'!$B$2:$B$430),"NOT IN SOURCE"))</f>
        <v>10.1007/s44150-023-00098-5</v>
      </c>
    </row>
    <row r="331" spans="1:41" ht="34.200000000000003" hidden="1" x14ac:dyDescent="0.3">
      <c r="A331" s="26">
        <v>3904</v>
      </c>
      <c r="B331" s="9"/>
      <c r="C331" s="32"/>
      <c r="D331" s="9"/>
      <c r="E331" s="9" t="str">
        <f>IF($A331="","",IFERROR(_xlfn.XLOOKUP($A331,'2_DOI_Lookup'!$D$2:$D$430,'2_DOI_Lookup'!$E$2:$E$430),"TITLE NOT IN SOURCE"))</f>
        <v>Integration and linking of inspection data in digital bridge models</v>
      </c>
      <c r="F331" s="26" t="s">
        <v>310</v>
      </c>
      <c r="G331" s="27" t="s">
        <v>311</v>
      </c>
      <c r="H331" s="27" t="s">
        <v>311</v>
      </c>
      <c r="I331" s="27" t="s">
        <v>311</v>
      </c>
      <c r="J331" s="27" t="s">
        <v>311</v>
      </c>
      <c r="K331" s="27" t="s">
        <v>312</v>
      </c>
      <c r="L331" s="28" t="str">
        <f t="shared" si="26"/>
        <v>EXCLUDE</v>
      </c>
      <c r="M331" s="28" t="str">
        <f t="shared" si="27"/>
        <v>Non-English</v>
      </c>
      <c r="N331" s="29"/>
      <c r="O331" s="29"/>
      <c r="P331" s="30"/>
      <c r="Q331" s="30"/>
      <c r="R331" s="30"/>
      <c r="S331" s="28" t="str">
        <f t="shared" si="28"/>
        <v/>
      </c>
      <c r="T331" s="28" t="str">
        <f t="shared" si="29"/>
        <v/>
      </c>
      <c r="U331" s="31"/>
      <c r="V331" s="31"/>
      <c r="W331" s="31"/>
      <c r="X331" s="31"/>
      <c r="Y331" s="28" t="str">
        <f t="shared" si="30"/>
        <v/>
      </c>
      <c r="Z331" s="31"/>
      <c r="AA331" s="31"/>
      <c r="AB331" s="31"/>
      <c r="AC331" s="31"/>
      <c r="AD331" s="31"/>
      <c r="AE331" s="31"/>
      <c r="AF331" s="31"/>
      <c r="AG331" s="15" t="s">
        <v>475</v>
      </c>
      <c r="AH331" s="35"/>
      <c r="AI331" s="35"/>
      <c r="AK331"/>
      <c r="AM331" s="56"/>
      <c r="AN331" s="57"/>
      <c r="AO331" s="63" t="str">
        <f>IF($A331="","",IFERROR(_xlfn.XLOOKUP($A331,'2_DOI_Lookup'!$A$2:$A$430,'2_DOI_Lookup'!$B$2:$B$430),"NOT IN SOURCE"))</f>
        <v>10.1002/bate.202100091</v>
      </c>
    </row>
    <row r="332" spans="1:41" ht="57" hidden="1" x14ac:dyDescent="0.3">
      <c r="A332" s="64">
        <v>3621</v>
      </c>
      <c r="B332" s="65"/>
      <c r="C332" s="66"/>
      <c r="D332" s="65"/>
      <c r="E332" s="65" t="str">
        <f>IF($A332="","",IFERROR(_xlfn.XLOOKUP($A332,'2_DOI_Lookup'!$D$2:$D$430,'2_DOI_Lookup'!$E$2:$E$430),"TITLE NOT IN SOURCE"))</f>
        <v>Relationship between Subcontracting Models and Adoption of Innovative Methods in Construction Safety</v>
      </c>
      <c r="F332" s="64" t="s">
        <v>309</v>
      </c>
      <c r="G332" s="67" t="s">
        <v>311</v>
      </c>
      <c r="H332" s="67" t="s">
        <v>312</v>
      </c>
      <c r="I332" s="67" t="s">
        <v>311</v>
      </c>
      <c r="J332" s="67" t="s">
        <v>311</v>
      </c>
      <c r="K332" s="67" t="s">
        <v>311</v>
      </c>
      <c r="L332" s="68" t="str">
        <f t="shared" si="26"/>
        <v>EXCLUDE</v>
      </c>
      <c r="M332" s="68" t="str">
        <f t="shared" si="27"/>
        <v>Digital Twin not core / buzzword</v>
      </c>
      <c r="N332" s="69"/>
      <c r="O332" s="69"/>
      <c r="P332" s="70"/>
      <c r="Q332" s="70"/>
      <c r="R332" s="70"/>
      <c r="S332" s="68" t="str">
        <f t="shared" si="28"/>
        <v/>
      </c>
      <c r="T332" s="68" t="str">
        <f t="shared" si="29"/>
        <v/>
      </c>
      <c r="U332" s="71"/>
      <c r="V332" s="71"/>
      <c r="W332" s="71"/>
      <c r="X332" s="71"/>
      <c r="Y332" s="68" t="str">
        <f t="shared" si="30"/>
        <v/>
      </c>
      <c r="Z332" s="71"/>
      <c r="AA332" s="71"/>
      <c r="AB332" s="71"/>
      <c r="AC332" s="71"/>
      <c r="AD332" s="71"/>
      <c r="AE332" s="71"/>
      <c r="AF332" s="71"/>
      <c r="AG332" s="72" t="s">
        <v>528</v>
      </c>
      <c r="AH332" s="35"/>
      <c r="AI332" s="35"/>
      <c r="AK332"/>
      <c r="AM332" s="56"/>
      <c r="AN332" s="57"/>
      <c r="AO332" s="63" t="str">
        <f>IF($A332="","",IFERROR(_xlfn.XLOOKUP($A332,'2_DOI_Lookup'!$A$2:$A$430,'2_DOI_Lookup'!$B$2:$B$430),"NOT IN SOURCE"))</f>
        <v>10.1061/JLADAH.LADR-1050</v>
      </c>
    </row>
    <row r="333" spans="1:41" ht="114" x14ac:dyDescent="0.3">
      <c r="A333" s="26">
        <v>3946</v>
      </c>
      <c r="B333" s="9" t="s">
        <v>269</v>
      </c>
      <c r="C333" s="32">
        <v>2026</v>
      </c>
      <c r="D333" s="9"/>
      <c r="E333" s="9" t="str">
        <f>IF($A333="","",IFERROR(_xlfn.XLOOKUP($A333,'2_DOI_Lookup'!$D$2:$D$430,'2_DOI_Lookup'!$E$2:$E$430),"TITLE NOT IN SOURCE"))</f>
        <v>Defect Trigger Identification in a Construction Digital Twin Using Quality Linked Data and Iterative Deviation Computation</v>
      </c>
      <c r="F333" s="26" t="s">
        <v>310</v>
      </c>
      <c r="G333" s="27" t="s">
        <v>311</v>
      </c>
      <c r="H333" s="27" t="s">
        <v>311</v>
      </c>
      <c r="I333" s="27" t="s">
        <v>311</v>
      </c>
      <c r="J333" s="27" t="s">
        <v>311</v>
      </c>
      <c r="K333" s="27" t="s">
        <v>311</v>
      </c>
      <c r="L333" s="28" t="str">
        <f t="shared" si="26"/>
        <v>INCLUDE</v>
      </c>
      <c r="M333" s="28" t="str">
        <f t="shared" si="27"/>
        <v/>
      </c>
      <c r="N333" s="29" t="s">
        <v>49</v>
      </c>
      <c r="O333" s="29" t="s">
        <v>49</v>
      </c>
      <c r="P333" s="30" t="s">
        <v>49</v>
      </c>
      <c r="Q333" s="30" t="s">
        <v>49</v>
      </c>
      <c r="R333" s="30" t="s">
        <v>49</v>
      </c>
      <c r="S333" s="28" t="str">
        <f t="shared" si="28"/>
        <v>INCLUDE</v>
      </c>
      <c r="T333" s="28" t="str">
        <f t="shared" si="29"/>
        <v/>
      </c>
      <c r="U333" s="31" t="s">
        <v>61</v>
      </c>
      <c r="V333" s="31">
        <v>0</v>
      </c>
      <c r="W333" s="31">
        <v>1</v>
      </c>
      <c r="X333" s="31">
        <v>0</v>
      </c>
      <c r="Y333" s="28" t="str">
        <f t="shared" si="30"/>
        <v>Single</v>
      </c>
      <c r="Z333" s="31" t="s">
        <v>11</v>
      </c>
      <c r="AA333" s="31" t="s">
        <v>53</v>
      </c>
      <c r="AB333" s="31" t="s">
        <v>89</v>
      </c>
      <c r="AC333" s="31" t="s">
        <v>64</v>
      </c>
      <c r="AD333" s="31" t="s">
        <v>72</v>
      </c>
      <c r="AE333" s="31">
        <v>4</v>
      </c>
      <c r="AF333" s="31" t="s">
        <v>66</v>
      </c>
      <c r="AG333" s="15" t="s">
        <v>733</v>
      </c>
      <c r="AH333" s="97" t="s">
        <v>962</v>
      </c>
      <c r="AI333" s="97" t="s">
        <v>963</v>
      </c>
      <c r="AJ333" s="98" t="s">
        <v>1081</v>
      </c>
      <c r="AK333" s="98" t="s">
        <v>1196</v>
      </c>
      <c r="AL333" s="98" t="s">
        <v>1083</v>
      </c>
      <c r="AM333" s="99"/>
      <c r="AN333" s="100" t="s">
        <v>1388</v>
      </c>
      <c r="AO333" s="101" t="str">
        <f>IF($A333="","",IFERROR(_xlfn.XLOOKUP($A333,'2_DOI_Lookup'!$A$2:$A$430,'2_DOI_Lookup'!$B$2:$B$430),"NOT IN SOURCE"))</f>
        <v>10.1061/JCEMD4.COENG-18029</v>
      </c>
    </row>
    <row r="334" spans="1:41" ht="45.6" hidden="1" x14ac:dyDescent="0.3">
      <c r="A334" s="82">
        <v>3834</v>
      </c>
      <c r="B334" s="83"/>
      <c r="C334" s="84"/>
      <c r="D334" s="83"/>
      <c r="E334" s="83" t="str">
        <f>IF($A334="","",IFERROR(_xlfn.XLOOKUP($A334,'2_DOI_Lookup'!$D$2:$D$430,'2_DOI_Lookup'!$E$2:$E$430),"TITLE NOT IN SOURCE"))</f>
        <v>Big data in the processes of ensuring the security of critical information infrastructure facilities</v>
      </c>
      <c r="F334" s="82" t="s">
        <v>309</v>
      </c>
      <c r="G334" s="85" t="s">
        <v>312</v>
      </c>
      <c r="H334" s="85" t="s">
        <v>311</v>
      </c>
      <c r="I334" s="85" t="s">
        <v>312</v>
      </c>
      <c r="J334" s="85" t="s">
        <v>311</v>
      </c>
      <c r="K334" s="85" t="s">
        <v>311</v>
      </c>
      <c r="L334" s="86" t="str">
        <f t="shared" si="26"/>
        <v>EXCLUDE</v>
      </c>
      <c r="M334" s="86" t="str">
        <f t="shared" si="27"/>
        <v>Wrong domain (non-AECO)</v>
      </c>
      <c r="N334" s="87"/>
      <c r="O334" s="87"/>
      <c r="P334" s="88"/>
      <c r="Q334" s="88"/>
      <c r="R334" s="88"/>
      <c r="S334" s="86" t="str">
        <f t="shared" si="28"/>
        <v/>
      </c>
      <c r="T334" s="86" t="str">
        <f t="shared" si="29"/>
        <v/>
      </c>
      <c r="U334" s="89"/>
      <c r="V334" s="89"/>
      <c r="W334" s="89"/>
      <c r="X334" s="89"/>
      <c r="Y334" s="86" t="str">
        <f t="shared" si="30"/>
        <v/>
      </c>
      <c r="Z334" s="89"/>
      <c r="AA334" s="89"/>
      <c r="AB334" s="89"/>
      <c r="AC334" s="89"/>
      <c r="AD334" s="89"/>
      <c r="AE334" s="89"/>
      <c r="AF334" s="89"/>
      <c r="AG334" s="90" t="s">
        <v>529</v>
      </c>
      <c r="AH334" s="35"/>
      <c r="AI334" s="35"/>
      <c r="AK334"/>
      <c r="AM334" s="56"/>
      <c r="AN334" s="57"/>
      <c r="AO334" s="63" t="str">
        <f>IF($A334="","",IFERROR(_xlfn.XLOOKUP($A334,'2_DOI_Lookup'!$A$2:$A$430,'2_DOI_Lookup'!$B$2:$B$430),"NOT IN SOURCE"))</f>
        <v>10.17586/2226-1494-2026-26-3-486-494</v>
      </c>
    </row>
    <row r="335" spans="1:41" ht="91.2" x14ac:dyDescent="0.3">
      <c r="A335" s="26">
        <v>3593</v>
      </c>
      <c r="B335" s="9" t="s">
        <v>270</v>
      </c>
      <c r="C335" s="32">
        <v>2021</v>
      </c>
      <c r="D335" s="9"/>
      <c r="E335" s="9" t="str">
        <f>IF($A335="","",IFERROR(_xlfn.XLOOKUP($A335,'2_DOI_Lookup'!$D$2:$D$430,'2_DOI_Lookup'!$E$2:$E$430),"TITLE NOT IN SOURCE"))</f>
        <v>Overall introduction to the framework of BIM-based digital twinning in decision-making in safety management in building construction industry</v>
      </c>
      <c r="F335" s="26" t="s">
        <v>309</v>
      </c>
      <c r="G335" s="27" t="s">
        <v>311</v>
      </c>
      <c r="H335" s="27" t="s">
        <v>311</v>
      </c>
      <c r="I335" s="27" t="s">
        <v>311</v>
      </c>
      <c r="J335" s="27" t="s">
        <v>311</v>
      </c>
      <c r="K335" s="27" t="s">
        <v>311</v>
      </c>
      <c r="L335" s="28" t="str">
        <f t="shared" si="26"/>
        <v>INCLUDE</v>
      </c>
      <c r="M335" s="28" t="str">
        <f t="shared" si="27"/>
        <v/>
      </c>
      <c r="N335" s="29" t="s">
        <v>49</v>
      </c>
      <c r="O335" s="29" t="s">
        <v>49</v>
      </c>
      <c r="P335" s="30" t="s">
        <v>49</v>
      </c>
      <c r="Q335" s="30" t="s">
        <v>49</v>
      </c>
      <c r="R335" s="30" t="s">
        <v>49</v>
      </c>
      <c r="S335" s="28" t="str">
        <f t="shared" si="28"/>
        <v>INCLUDE</v>
      </c>
      <c r="T335" s="28" t="str">
        <f t="shared" si="29"/>
        <v/>
      </c>
      <c r="U335" s="31" t="s">
        <v>82</v>
      </c>
      <c r="V335" s="31">
        <v>0</v>
      </c>
      <c r="W335" s="31">
        <v>1</v>
      </c>
      <c r="X335" s="31">
        <v>0</v>
      </c>
      <c r="Y335" s="28" t="str">
        <f t="shared" si="30"/>
        <v>Single</v>
      </c>
      <c r="Z335" s="31" t="s">
        <v>9</v>
      </c>
      <c r="AA335" s="31" t="s">
        <v>53</v>
      </c>
      <c r="AB335" s="31" t="s">
        <v>91</v>
      </c>
      <c r="AC335" s="31" t="s">
        <v>64</v>
      </c>
      <c r="AD335" s="31" t="s">
        <v>56</v>
      </c>
      <c r="AE335" s="31">
        <v>2</v>
      </c>
      <c r="AF335" s="31" t="s">
        <v>80</v>
      </c>
      <c r="AG335" s="15" t="s">
        <v>734</v>
      </c>
      <c r="AH335" s="97" t="s">
        <v>964</v>
      </c>
      <c r="AI335" s="97" t="s">
        <v>965</v>
      </c>
      <c r="AJ335" s="98" t="s">
        <v>82</v>
      </c>
      <c r="AK335" s="98" t="s">
        <v>1197</v>
      </c>
      <c r="AL335" s="98" t="s">
        <v>1083</v>
      </c>
      <c r="AM335" s="99"/>
      <c r="AN335" s="100" t="s">
        <v>1268</v>
      </c>
      <c r="AO335" s="101" t="str">
        <f>IF($A335="","",IFERROR(_xlfn.XLOOKUP($A335,'2_DOI_Lookup'!$A$2:$A$430,'2_DOI_Lookup'!$B$2:$B$430),"NOT IN SOURCE"))</f>
        <v>10.37610/DYO.V0I74.600</v>
      </c>
    </row>
    <row r="336" spans="1:41" ht="114" x14ac:dyDescent="0.3">
      <c r="A336" s="26">
        <v>3935</v>
      </c>
      <c r="B336" s="9" t="s">
        <v>271</v>
      </c>
      <c r="C336" s="32">
        <v>2024</v>
      </c>
      <c r="D336" s="9"/>
      <c r="E336" s="9" t="str">
        <f>IF($A336="","",IFERROR(_xlfn.XLOOKUP($A336,'2_DOI_Lookup'!$D$2:$D$430,'2_DOI_Lookup'!$E$2:$E$430),"TITLE NOT IN SOURCE"))</f>
        <v>Building Digital Twins to Overcome Digitalization Barriers for Automating Construction Site Management</v>
      </c>
      <c r="F336" s="26" t="s">
        <v>310</v>
      </c>
      <c r="G336" s="27" t="s">
        <v>311</v>
      </c>
      <c r="H336" s="27" t="s">
        <v>311</v>
      </c>
      <c r="I336" s="27" t="s">
        <v>311</v>
      </c>
      <c r="J336" s="27" t="s">
        <v>311</v>
      </c>
      <c r="K336" s="27" t="s">
        <v>311</v>
      </c>
      <c r="L336" s="28" t="str">
        <f t="shared" si="26"/>
        <v>INCLUDE</v>
      </c>
      <c r="M336" s="28" t="str">
        <f t="shared" si="27"/>
        <v/>
      </c>
      <c r="N336" s="29" t="s">
        <v>49</v>
      </c>
      <c r="O336" s="29" t="s">
        <v>49</v>
      </c>
      <c r="P336" s="30" t="s">
        <v>49</v>
      </c>
      <c r="Q336" s="30" t="s">
        <v>49</v>
      </c>
      <c r="R336" s="30" t="s">
        <v>49</v>
      </c>
      <c r="S336" s="28" t="str">
        <f t="shared" si="28"/>
        <v>INCLUDE</v>
      </c>
      <c r="T336" s="28" t="str">
        <f t="shared" si="29"/>
        <v/>
      </c>
      <c r="U336" s="31" t="s">
        <v>52</v>
      </c>
      <c r="V336" s="31">
        <v>0</v>
      </c>
      <c r="W336" s="31">
        <v>1</v>
      </c>
      <c r="X336" s="31">
        <v>0</v>
      </c>
      <c r="Y336" s="28" t="str">
        <f t="shared" si="30"/>
        <v>Single</v>
      </c>
      <c r="Z336" s="31" t="s">
        <v>69</v>
      </c>
      <c r="AA336" s="31" t="s">
        <v>62</v>
      </c>
      <c r="AB336" s="31" t="s">
        <v>91</v>
      </c>
      <c r="AC336" s="31" t="s">
        <v>64</v>
      </c>
      <c r="AD336" s="31" t="s">
        <v>56</v>
      </c>
      <c r="AE336" s="31">
        <v>3</v>
      </c>
      <c r="AF336" s="31" t="s">
        <v>57</v>
      </c>
      <c r="AG336" s="15" t="s">
        <v>735</v>
      </c>
      <c r="AH336" s="97" t="s">
        <v>966</v>
      </c>
      <c r="AI336" s="97" t="s">
        <v>967</v>
      </c>
      <c r="AJ336" s="98" t="s">
        <v>82</v>
      </c>
      <c r="AK336" s="98" t="s">
        <v>1198</v>
      </c>
      <c r="AL336" s="98" t="s">
        <v>1083</v>
      </c>
      <c r="AM336" s="99"/>
      <c r="AN336" s="100" t="s">
        <v>1381</v>
      </c>
      <c r="AO336" s="101" t="str">
        <f>IF($A336="","",IFERROR(_xlfn.XLOOKUP($A336,'2_DOI_Lookup'!$A$2:$A$430,'2_DOI_Lookup'!$B$2:$B$430),"NOT IN SOURCE"))</f>
        <v>10.3390/buildings14072238</v>
      </c>
    </row>
    <row r="337" spans="1:41" ht="273.60000000000002" x14ac:dyDescent="0.3">
      <c r="A337" s="26">
        <v>3878</v>
      </c>
      <c r="B337" s="9" t="s">
        <v>272</v>
      </c>
      <c r="C337" s="32">
        <v>2024</v>
      </c>
      <c r="D337" s="9"/>
      <c r="E337" s="61" t="str">
        <f>IF($A337="","",IFERROR(_xlfn.XLOOKUP($A337,'2_DOI_Lookup'!$D$2:$D$430,'2_DOI_Lookup'!$E$2:$E$430),"TITLE NOT IN SOURCE"))</f>
        <v>A digital twin framework for civil engineering structures</v>
      </c>
      <c r="F337" s="26" t="s">
        <v>310</v>
      </c>
      <c r="G337" s="27" t="s">
        <v>311</v>
      </c>
      <c r="H337" s="27" t="s">
        <v>311</v>
      </c>
      <c r="I337" s="27" t="s">
        <v>311</v>
      </c>
      <c r="J337" s="27" t="s">
        <v>311</v>
      </c>
      <c r="K337" s="27" t="s">
        <v>311</v>
      </c>
      <c r="L337" s="28" t="str">
        <f t="shared" si="26"/>
        <v>INCLUDE</v>
      </c>
      <c r="M337" s="28" t="str">
        <f t="shared" si="27"/>
        <v/>
      </c>
      <c r="N337" s="29" t="s">
        <v>311</v>
      </c>
      <c r="O337" s="29" t="s">
        <v>311</v>
      </c>
      <c r="P337" s="30" t="s">
        <v>311</v>
      </c>
      <c r="Q337" s="30" t="s">
        <v>311</v>
      </c>
      <c r="R337" s="30" t="s">
        <v>311</v>
      </c>
      <c r="S337" s="28" t="str">
        <f t="shared" si="28"/>
        <v>INCLUDE</v>
      </c>
      <c r="T337" s="28" t="str">
        <f t="shared" si="29"/>
        <v/>
      </c>
      <c r="U337" s="31" t="s">
        <v>68</v>
      </c>
      <c r="V337" s="31">
        <v>0</v>
      </c>
      <c r="W337" s="31">
        <v>0</v>
      </c>
      <c r="X337" s="31">
        <v>1</v>
      </c>
      <c r="Y337" s="28" t="str">
        <f t="shared" si="30"/>
        <v>Single</v>
      </c>
      <c r="Z337" s="31" t="s">
        <v>9</v>
      </c>
      <c r="AA337" s="31" t="s">
        <v>62</v>
      </c>
      <c r="AB337" s="31" t="s">
        <v>85</v>
      </c>
      <c r="AC337" s="31" t="s">
        <v>64</v>
      </c>
      <c r="AD337" s="31" t="s">
        <v>65</v>
      </c>
      <c r="AE337" s="31">
        <v>4</v>
      </c>
      <c r="AF337" s="31" t="s">
        <v>84</v>
      </c>
      <c r="AG337" s="15" t="s">
        <v>1459</v>
      </c>
      <c r="AH337" s="97" t="s">
        <v>968</v>
      </c>
      <c r="AI337" s="97" t="s">
        <v>969</v>
      </c>
      <c r="AJ337" s="98" t="s">
        <v>1081</v>
      </c>
      <c r="AK337" s="98" t="s">
        <v>1199</v>
      </c>
      <c r="AL337" s="98" t="s">
        <v>1084</v>
      </c>
      <c r="AM337" s="99" t="s">
        <v>1460</v>
      </c>
      <c r="AN337" s="100" t="s">
        <v>1461</v>
      </c>
      <c r="AO337" s="101" t="str">
        <f>IF($A337="","",IFERROR(_xlfn.XLOOKUP($A337,'2_DOI_Lookup'!$A$2:$A$430,'2_DOI_Lookup'!$B$2:$B$430),"NOT IN SOURCE"))</f>
        <v>10.1016/j.cma.2023.116584</v>
      </c>
    </row>
    <row r="338" spans="1:41" ht="102.6" x14ac:dyDescent="0.3">
      <c r="A338" s="26">
        <v>3840</v>
      </c>
      <c r="B338" s="9" t="s">
        <v>273</v>
      </c>
      <c r="C338" s="32">
        <v>2025</v>
      </c>
      <c r="D338" s="9"/>
      <c r="E338" s="9" t="str">
        <f>IF($A338="","",IFERROR(_xlfn.XLOOKUP($A338,'2_DOI_Lookup'!$D$2:$D$430,'2_DOI_Lookup'!$E$2:$E$430),"TITLE NOT IN SOURCE"))</f>
        <v>Physical digital twins for ancient stone masonry informed of original construction techniques: the case of Sardinian nuraghi</v>
      </c>
      <c r="F338" s="26" t="s">
        <v>309</v>
      </c>
      <c r="G338" s="27" t="s">
        <v>311</v>
      </c>
      <c r="H338" s="27" t="s">
        <v>311</v>
      </c>
      <c r="I338" s="27" t="s">
        <v>311</v>
      </c>
      <c r="J338" s="27" t="s">
        <v>311</v>
      </c>
      <c r="K338" s="27" t="s">
        <v>311</v>
      </c>
      <c r="L338" s="28" t="str">
        <f t="shared" si="26"/>
        <v>INCLUDE</v>
      </c>
      <c r="M338" s="28" t="str">
        <f t="shared" si="27"/>
        <v/>
      </c>
      <c r="N338" s="29" t="s">
        <v>49</v>
      </c>
      <c r="O338" s="29" t="s">
        <v>49</v>
      </c>
      <c r="P338" s="30" t="s">
        <v>49</v>
      </c>
      <c r="Q338" s="30" t="s">
        <v>49</v>
      </c>
      <c r="R338" s="30" t="s">
        <v>49</v>
      </c>
      <c r="S338" s="28" t="str">
        <f t="shared" si="28"/>
        <v>INCLUDE</v>
      </c>
      <c r="T338" s="28" t="str">
        <f t="shared" si="29"/>
        <v/>
      </c>
      <c r="U338" s="31" t="s">
        <v>82</v>
      </c>
      <c r="V338" s="31">
        <v>0</v>
      </c>
      <c r="W338" s="31">
        <v>0</v>
      </c>
      <c r="X338" s="31">
        <v>1</v>
      </c>
      <c r="Y338" s="28" t="str">
        <f t="shared" si="30"/>
        <v>Single</v>
      </c>
      <c r="Z338" s="31" t="s">
        <v>9</v>
      </c>
      <c r="AA338" s="31" t="s">
        <v>53</v>
      </c>
      <c r="AB338" s="31" t="s">
        <v>88</v>
      </c>
      <c r="AC338" s="31" t="s">
        <v>64</v>
      </c>
      <c r="AD338" s="31" t="s">
        <v>56</v>
      </c>
      <c r="AE338" s="31">
        <v>2</v>
      </c>
      <c r="AF338" s="31" t="s">
        <v>76</v>
      </c>
      <c r="AG338" s="15" t="s">
        <v>736</v>
      </c>
      <c r="AH338" s="97" t="s">
        <v>970</v>
      </c>
      <c r="AI338" s="97" t="s">
        <v>971</v>
      </c>
      <c r="AJ338" s="98" t="s">
        <v>82</v>
      </c>
      <c r="AK338" s="98" t="s">
        <v>1200</v>
      </c>
      <c r="AL338" s="98" t="s">
        <v>1083</v>
      </c>
      <c r="AM338" s="99"/>
      <c r="AN338" s="100" t="s">
        <v>1309</v>
      </c>
      <c r="AO338" s="101" t="str">
        <f>IF($A338="","",IFERROR(_xlfn.XLOOKUP($A338,'2_DOI_Lookup'!$A$2:$A$430,'2_DOI_Lookup'!$B$2:$B$430),"NOT IN SOURCE"))</f>
        <v>10.5802/crmeca.308</v>
      </c>
    </row>
    <row r="339" spans="1:41" ht="91.2" x14ac:dyDescent="0.3">
      <c r="A339" s="26">
        <v>3836</v>
      </c>
      <c r="B339" s="9" t="s">
        <v>274</v>
      </c>
      <c r="C339" s="32">
        <v>2025</v>
      </c>
      <c r="D339" s="9"/>
      <c r="E339" s="9" t="str">
        <f>IF($A339="","",IFERROR(_xlfn.XLOOKUP($A339,'2_DOI_Lookup'!$D$2:$D$430,'2_DOI_Lookup'!$E$2:$E$430),"TITLE NOT IN SOURCE"))</f>
        <v>Spatial Insights for Building Resilience: The Territorial Risk Management &amp; Analysis Across Scale Framework for Bridging Scales in Multi-Hazard Assessment</v>
      </c>
      <c r="F339" s="26" t="s">
        <v>309</v>
      </c>
      <c r="G339" s="27" t="s">
        <v>311</v>
      </c>
      <c r="H339" s="27" t="s">
        <v>311</v>
      </c>
      <c r="I339" s="27" t="s">
        <v>311</v>
      </c>
      <c r="J339" s="27" t="s">
        <v>311</v>
      </c>
      <c r="K339" s="27" t="s">
        <v>311</v>
      </c>
      <c r="L339" s="28" t="str">
        <f t="shared" si="26"/>
        <v>INCLUDE</v>
      </c>
      <c r="M339" s="28" t="str">
        <f t="shared" si="27"/>
        <v/>
      </c>
      <c r="N339" s="29" t="s">
        <v>311</v>
      </c>
      <c r="O339" s="29" t="s">
        <v>311</v>
      </c>
      <c r="P339" s="30" t="s">
        <v>311</v>
      </c>
      <c r="Q339" s="30" t="s">
        <v>311</v>
      </c>
      <c r="R339" s="30" t="s">
        <v>311</v>
      </c>
      <c r="S339" s="28" t="str">
        <f t="shared" si="28"/>
        <v>INCLUDE</v>
      </c>
      <c r="T339" s="28" t="str">
        <f t="shared" si="29"/>
        <v/>
      </c>
      <c r="U339" s="31" t="s">
        <v>61</v>
      </c>
      <c r="V339" s="31">
        <v>0</v>
      </c>
      <c r="W339" s="31">
        <v>0</v>
      </c>
      <c r="X339" s="31">
        <v>1</v>
      </c>
      <c r="Y339" s="28" t="str">
        <f t="shared" si="30"/>
        <v>Single</v>
      </c>
      <c r="Z339" s="31" t="s">
        <v>9</v>
      </c>
      <c r="AA339" s="31" t="s">
        <v>53</v>
      </c>
      <c r="AB339" s="31" t="s">
        <v>91</v>
      </c>
      <c r="AC339" s="31" t="s">
        <v>64</v>
      </c>
      <c r="AD339" s="31" t="s">
        <v>72</v>
      </c>
      <c r="AE339" s="31">
        <v>4</v>
      </c>
      <c r="AF339" s="31" t="s">
        <v>86</v>
      </c>
      <c r="AG339" s="15" t="s">
        <v>658</v>
      </c>
      <c r="AH339" s="97" t="s">
        <v>972</v>
      </c>
      <c r="AI339" s="97" t="s">
        <v>973</v>
      </c>
      <c r="AJ339" s="98" t="s">
        <v>1081</v>
      </c>
      <c r="AK339" s="98" t="s">
        <v>1201</v>
      </c>
      <c r="AL339" s="98" t="s">
        <v>1084</v>
      </c>
      <c r="AM339" s="99"/>
      <c r="AN339" s="100" t="s">
        <v>1307</v>
      </c>
      <c r="AO339" s="101" t="str">
        <f>IF($A339="","",IFERROR(_xlfn.XLOOKUP($A339,'2_DOI_Lookup'!$A$2:$A$430,'2_DOI_Lookup'!$B$2:$B$430),"NOT IN SOURCE"))</f>
        <v>10.3390/smartcities8010027</v>
      </c>
    </row>
    <row r="340" spans="1:41" ht="79.8" hidden="1" x14ac:dyDescent="0.3">
      <c r="A340" s="73">
        <v>3494</v>
      </c>
      <c r="B340" s="74"/>
      <c r="C340" s="75"/>
      <c r="D340" s="74"/>
      <c r="E340" s="74" t="str">
        <f>IF($A340="","",IFERROR(_xlfn.XLOOKUP($A340,'2_DOI_Lookup'!$D$2:$D$430,'2_DOI_Lookup'!$E$2:$E$430),"TITLE NOT IN SOURCE"))</f>
        <v>A scoping review of green Internet of Things in construction and smart cities: current applications, adoption strategies and future directions</v>
      </c>
      <c r="F340" s="73" t="s">
        <v>309</v>
      </c>
      <c r="G340" s="76" t="s">
        <v>311</v>
      </c>
      <c r="H340" s="76" t="s">
        <v>312</v>
      </c>
      <c r="I340" s="76" t="s">
        <v>312</v>
      </c>
      <c r="J340" s="76" t="s">
        <v>311</v>
      </c>
      <c r="K340" s="76" t="s">
        <v>311</v>
      </c>
      <c r="L340" s="77" t="str">
        <f t="shared" si="26"/>
        <v>EXCLUDE</v>
      </c>
      <c r="M340" s="77" t="str">
        <f t="shared" si="27"/>
        <v>Digital Twin not core / buzzword</v>
      </c>
      <c r="N340" s="78"/>
      <c r="O340" s="78"/>
      <c r="P340" s="79"/>
      <c r="Q340" s="79"/>
      <c r="R340" s="79"/>
      <c r="S340" s="77" t="str">
        <f t="shared" si="28"/>
        <v/>
      </c>
      <c r="T340" s="77" t="str">
        <f t="shared" si="29"/>
        <v/>
      </c>
      <c r="U340" s="80"/>
      <c r="V340" s="80"/>
      <c r="W340" s="80"/>
      <c r="X340" s="80"/>
      <c r="Y340" s="77" t="str">
        <f t="shared" si="30"/>
        <v/>
      </c>
      <c r="Z340" s="80"/>
      <c r="AA340" s="80"/>
      <c r="AB340" s="80"/>
      <c r="AC340" s="80"/>
      <c r="AD340" s="80"/>
      <c r="AE340" s="80"/>
      <c r="AF340" s="80"/>
      <c r="AG340" s="81" t="s">
        <v>530</v>
      </c>
      <c r="AH340" s="35"/>
      <c r="AI340" s="35"/>
      <c r="AK340"/>
      <c r="AM340" s="56"/>
      <c r="AN340" s="57"/>
      <c r="AO340" s="63" t="str">
        <f>IF($A340="","",IFERROR(_xlfn.XLOOKUP($A340,'2_DOI_Lookup'!$A$2:$A$430,'2_DOI_Lookup'!$B$2:$B$430),"NOT IN SOURCE"))</f>
        <v>10.1108/SASBE-11-2023-0349</v>
      </c>
    </row>
    <row r="341" spans="1:41" ht="45.6" hidden="1" x14ac:dyDescent="0.3">
      <c r="A341" s="26">
        <v>3933</v>
      </c>
      <c r="B341" s="9"/>
      <c r="C341" s="32"/>
      <c r="D341" s="9"/>
      <c r="E341" s="9" t="str">
        <f>IF($A341="","",IFERROR(_xlfn.XLOOKUP($A341,'2_DOI_Lookup'!$D$2:$D$430,'2_DOI_Lookup'!$E$2:$E$430),"TITLE NOT IN SOURCE"))</f>
        <v>A framework to define, design and construct digital twins in the mining industry</v>
      </c>
      <c r="F341" s="26" t="s">
        <v>310</v>
      </c>
      <c r="G341" s="27" t="s">
        <v>312</v>
      </c>
      <c r="H341" s="27" t="s">
        <v>311</v>
      </c>
      <c r="I341" s="27" t="s">
        <v>311</v>
      </c>
      <c r="J341" s="27" t="s">
        <v>311</v>
      </c>
      <c r="K341" s="27" t="s">
        <v>311</v>
      </c>
      <c r="L341" s="28" t="str">
        <f t="shared" si="26"/>
        <v>EXCLUDE</v>
      </c>
      <c r="M341" s="28" t="str">
        <f t="shared" si="27"/>
        <v>Wrong domain (non-AECO)</v>
      </c>
      <c r="N341" s="29"/>
      <c r="O341" s="29"/>
      <c r="P341" s="30"/>
      <c r="Q341" s="30"/>
      <c r="R341" s="30"/>
      <c r="S341" s="28" t="str">
        <f t="shared" si="28"/>
        <v/>
      </c>
      <c r="T341" s="28" t="str">
        <f t="shared" si="29"/>
        <v/>
      </c>
      <c r="U341" s="31"/>
      <c r="V341" s="31"/>
      <c r="W341" s="31"/>
      <c r="X341" s="31"/>
      <c r="Y341" s="28" t="str">
        <f t="shared" si="30"/>
        <v/>
      </c>
      <c r="Z341" s="31"/>
      <c r="AA341" s="31"/>
      <c r="AB341" s="31"/>
      <c r="AC341" s="31"/>
      <c r="AD341" s="31"/>
      <c r="AE341" s="31"/>
      <c r="AF341" s="31"/>
      <c r="AG341" s="15" t="s">
        <v>531</v>
      </c>
      <c r="AH341" s="35"/>
      <c r="AI341" s="35"/>
      <c r="AK341"/>
      <c r="AM341" s="56"/>
      <c r="AN341" s="57"/>
      <c r="AO341" s="63" t="str">
        <f>IF($A341="","",IFERROR(_xlfn.XLOOKUP($A341,'2_DOI_Lookup'!$A$2:$A$430,'2_DOI_Lookup'!$B$2:$B$430),"NOT IN SOURCE"))</f>
        <v>10.1016/j.cie.2024.110805</v>
      </c>
    </row>
    <row r="342" spans="1:41" ht="45.6" hidden="1" x14ac:dyDescent="0.3">
      <c r="A342" s="26">
        <v>3598</v>
      </c>
      <c r="B342" s="9"/>
      <c r="C342" s="32"/>
      <c r="D342" s="9"/>
      <c r="E342" s="9" t="str">
        <f>IF($A342="","",IFERROR(_xlfn.XLOOKUP($A342,'2_DOI_Lookup'!$D$2:$D$430,'2_DOI_Lookup'!$E$2:$E$430),"TITLE NOT IN SOURCE"))</f>
        <v>Autonomy is not enough: why agentic AI in the built environment demands governance</v>
      </c>
      <c r="F342" s="26" t="s">
        <v>309</v>
      </c>
      <c r="G342" s="27" t="s">
        <v>311</v>
      </c>
      <c r="H342" s="27" t="s">
        <v>311</v>
      </c>
      <c r="I342" s="27" t="s">
        <v>312</v>
      </c>
      <c r="J342" s="27" t="s">
        <v>311</v>
      </c>
      <c r="K342" s="27" t="s">
        <v>311</v>
      </c>
      <c r="L342" s="28" t="str">
        <f t="shared" si="26"/>
        <v>EXCLUDE</v>
      </c>
      <c r="M342" s="28" t="str">
        <f t="shared" si="27"/>
        <v>No Design for Safety/Quality/PtD</v>
      </c>
      <c r="N342" s="29"/>
      <c r="O342" s="29"/>
      <c r="P342" s="30"/>
      <c r="Q342" s="30"/>
      <c r="R342" s="30"/>
      <c r="S342" s="28" t="str">
        <f t="shared" si="28"/>
        <v/>
      </c>
      <c r="T342" s="28" t="str">
        <f t="shared" si="29"/>
        <v/>
      </c>
      <c r="U342" s="31"/>
      <c r="V342" s="31"/>
      <c r="W342" s="31"/>
      <c r="X342" s="31"/>
      <c r="Y342" s="28" t="str">
        <f t="shared" si="30"/>
        <v/>
      </c>
      <c r="Z342" s="31"/>
      <c r="AA342" s="31"/>
      <c r="AB342" s="31"/>
      <c r="AC342" s="31"/>
      <c r="AD342" s="31"/>
      <c r="AE342" s="31"/>
      <c r="AF342" s="31"/>
      <c r="AG342" s="15" t="s">
        <v>532</v>
      </c>
      <c r="AH342" s="35"/>
      <c r="AI342" s="35"/>
      <c r="AK342"/>
      <c r="AM342" s="56"/>
      <c r="AN342" s="57"/>
      <c r="AO342" s="63" t="str">
        <f>IF($A342="","",IFERROR(_xlfn.XLOOKUP($A342,'2_DOI_Lookup'!$A$2:$A$430,'2_DOI_Lookup'!$B$2:$B$430),"NOT IN SOURCE"))</f>
        <v>10.1016/j.enbuild.2026.117865</v>
      </c>
    </row>
    <row r="343" spans="1:41" ht="91.2" hidden="1" x14ac:dyDescent="0.3">
      <c r="A343" s="64">
        <v>3825</v>
      </c>
      <c r="B343" s="65"/>
      <c r="C343" s="66"/>
      <c r="D343" s="65"/>
      <c r="E343" s="65" t="str">
        <f>IF($A343="","",IFERROR(_xlfn.XLOOKUP($A343,'2_DOI_Lookup'!$D$2:$D$430,'2_DOI_Lookup'!$E$2:$E$430),"TITLE NOT IN SOURCE"))</f>
        <v>Yara: An Ocean Virtual Environment for Research and Development of Autonomous Sailing Robots and Other Unmanned Surface Vessels</v>
      </c>
      <c r="F343" s="64" t="s">
        <v>309</v>
      </c>
      <c r="G343" s="67" t="s">
        <v>312</v>
      </c>
      <c r="H343" s="67" t="s">
        <v>311</v>
      </c>
      <c r="I343" s="67" t="s">
        <v>312</v>
      </c>
      <c r="J343" s="67" t="s">
        <v>311</v>
      </c>
      <c r="K343" s="67" t="s">
        <v>311</v>
      </c>
      <c r="L343" s="68" t="str">
        <f t="shared" si="26"/>
        <v>EXCLUDE</v>
      </c>
      <c r="M343" s="68" t="str">
        <f t="shared" si="27"/>
        <v>Wrong domain (non-AECO)</v>
      </c>
      <c r="N343" s="69"/>
      <c r="O343" s="69"/>
      <c r="P343" s="70"/>
      <c r="Q343" s="70"/>
      <c r="R343" s="70"/>
      <c r="S343" s="68" t="str">
        <f t="shared" si="28"/>
        <v/>
      </c>
      <c r="T343" s="68" t="str">
        <f t="shared" si="29"/>
        <v/>
      </c>
      <c r="U343" s="71"/>
      <c r="V343" s="71"/>
      <c r="W343" s="71"/>
      <c r="X343" s="71"/>
      <c r="Y343" s="68" t="str">
        <f t="shared" si="30"/>
        <v/>
      </c>
      <c r="Z343" s="71"/>
      <c r="AA343" s="71"/>
      <c r="AB343" s="71"/>
      <c r="AC343" s="71"/>
      <c r="AD343" s="71"/>
      <c r="AE343" s="71"/>
      <c r="AF343" s="71"/>
      <c r="AG343" s="72" t="s">
        <v>533</v>
      </c>
      <c r="AH343" s="35"/>
      <c r="AI343" s="35"/>
      <c r="AK343"/>
      <c r="AM343" s="56"/>
      <c r="AN343" s="57"/>
      <c r="AO343" s="63" t="str">
        <f>IF($A343="","",IFERROR(_xlfn.XLOOKUP($A343,'2_DOI_Lookup'!$A$2:$A$430,'2_DOI_Lookup'!$B$2:$B$430),"NOT IN SOURCE"))</f>
        <v>10.1007/s10846-024-02212-1</v>
      </c>
    </row>
    <row r="344" spans="1:41" ht="79.8" x14ac:dyDescent="0.3">
      <c r="A344" s="26">
        <v>3920</v>
      </c>
      <c r="B344" s="9" t="s">
        <v>275</v>
      </c>
      <c r="C344" s="32">
        <v>2026</v>
      </c>
      <c r="D344" s="9"/>
      <c r="E344" s="9" t="str">
        <f>IF($A344="","",IFERROR(_xlfn.XLOOKUP($A344,'2_DOI_Lookup'!$D$2:$D$430,'2_DOI_Lookup'!$E$2:$E$430),"TITLE NOT IN SOURCE"))</f>
        <v>A Digital Twin-Driven System for Road Maintenance: Integrating UAVs and AMRs for Automated Inspection and Measurement</v>
      </c>
      <c r="F344" s="26" t="s">
        <v>310</v>
      </c>
      <c r="G344" s="27" t="s">
        <v>311</v>
      </c>
      <c r="H344" s="27" t="s">
        <v>311</v>
      </c>
      <c r="I344" s="27" t="s">
        <v>311</v>
      </c>
      <c r="J344" s="27" t="s">
        <v>311</v>
      </c>
      <c r="K344" s="27" t="s">
        <v>311</v>
      </c>
      <c r="L344" s="28" t="str">
        <f t="shared" si="26"/>
        <v>INCLUDE</v>
      </c>
      <c r="M344" s="28" t="str">
        <f t="shared" si="27"/>
        <v/>
      </c>
      <c r="N344" s="29" t="s">
        <v>311</v>
      </c>
      <c r="O344" s="29" t="s">
        <v>311</v>
      </c>
      <c r="P344" s="30" t="s">
        <v>311</v>
      </c>
      <c r="Q344" s="30" t="s">
        <v>311</v>
      </c>
      <c r="R344" s="30" t="s">
        <v>311</v>
      </c>
      <c r="S344" s="28" t="str">
        <f t="shared" si="28"/>
        <v>INCLUDE</v>
      </c>
      <c r="T344" s="28" t="str">
        <f t="shared" si="29"/>
        <v/>
      </c>
      <c r="U344" s="31" t="s">
        <v>61</v>
      </c>
      <c r="V344" s="31">
        <v>0</v>
      </c>
      <c r="W344" s="31">
        <v>0</v>
      </c>
      <c r="X344" s="31">
        <v>1</v>
      </c>
      <c r="Y344" s="28" t="str">
        <f t="shared" si="30"/>
        <v>Single</v>
      </c>
      <c r="Z344" s="31" t="s">
        <v>9</v>
      </c>
      <c r="AA344" s="31" t="s">
        <v>53</v>
      </c>
      <c r="AB344" s="31" t="s">
        <v>54</v>
      </c>
      <c r="AC344" s="31" t="s">
        <v>64</v>
      </c>
      <c r="AD344" s="31" t="s">
        <v>72</v>
      </c>
      <c r="AE344" s="31">
        <v>4</v>
      </c>
      <c r="AF344" s="31" t="s">
        <v>80</v>
      </c>
      <c r="AG344" s="15" t="s">
        <v>659</v>
      </c>
      <c r="AH344" s="97" t="s">
        <v>974</v>
      </c>
      <c r="AI344" s="97" t="s">
        <v>975</v>
      </c>
      <c r="AJ344" s="98" t="s">
        <v>1080</v>
      </c>
      <c r="AK344" s="98" t="s">
        <v>1202</v>
      </c>
      <c r="AL344" s="98" t="s">
        <v>1084</v>
      </c>
      <c r="AM344" s="99"/>
      <c r="AN344" s="100" t="s">
        <v>1368</v>
      </c>
      <c r="AO344" s="101" t="str">
        <f>IF($A344="","",IFERROR(_xlfn.XLOOKUP($A344,'2_DOI_Lookup'!$A$2:$A$430,'2_DOI_Lookup'!$B$2:$B$430),"NOT IN SOURCE"))</f>
        <v>10.3390/infrastructures11040124</v>
      </c>
    </row>
    <row r="345" spans="1:41" ht="68.400000000000006" hidden="1" x14ac:dyDescent="0.3">
      <c r="A345" s="73">
        <v>3781</v>
      </c>
      <c r="B345" s="74"/>
      <c r="C345" s="75"/>
      <c r="D345" s="74"/>
      <c r="E345" s="74" t="str">
        <f>IF($A345="","",IFERROR(_xlfn.XLOOKUP($A345,'2_DOI_Lookup'!$D$2:$D$430,'2_DOI_Lookup'!$E$2:$E$430),"TITLE NOT IN SOURCE"))</f>
        <v>Disaster Risk Assessment and Analysis of Physical Infrastructure: A Comprehensive Review of Scientific Methods and Techniques</v>
      </c>
      <c r="F345" s="73" t="s">
        <v>309</v>
      </c>
      <c r="G345" s="76" t="s">
        <v>311</v>
      </c>
      <c r="H345" s="76" t="s">
        <v>312</v>
      </c>
      <c r="I345" s="76" t="s">
        <v>311</v>
      </c>
      <c r="J345" s="76" t="s">
        <v>311</v>
      </c>
      <c r="K345" s="76" t="s">
        <v>311</v>
      </c>
      <c r="L345" s="77" t="str">
        <f t="shared" si="26"/>
        <v>EXCLUDE</v>
      </c>
      <c r="M345" s="77" t="str">
        <f t="shared" si="27"/>
        <v>Digital Twin not core / buzzword</v>
      </c>
      <c r="N345" s="78"/>
      <c r="O345" s="78"/>
      <c r="P345" s="79"/>
      <c r="Q345" s="79"/>
      <c r="R345" s="79"/>
      <c r="S345" s="77" t="str">
        <f t="shared" si="28"/>
        <v/>
      </c>
      <c r="T345" s="77" t="str">
        <f t="shared" si="29"/>
        <v/>
      </c>
      <c r="U345" s="80"/>
      <c r="V345" s="80"/>
      <c r="W345" s="80"/>
      <c r="X345" s="80"/>
      <c r="Y345" s="77" t="str">
        <f t="shared" si="30"/>
        <v/>
      </c>
      <c r="Z345" s="80"/>
      <c r="AA345" s="80"/>
      <c r="AB345" s="80"/>
      <c r="AC345" s="80"/>
      <c r="AD345" s="80"/>
      <c r="AE345" s="80"/>
      <c r="AF345" s="80"/>
      <c r="AG345" s="81" t="s">
        <v>534</v>
      </c>
      <c r="AH345" s="35"/>
      <c r="AI345" s="35"/>
      <c r="AK345"/>
      <c r="AM345" s="56"/>
      <c r="AN345" s="57"/>
      <c r="AO345" s="63" t="str">
        <f>IF($A345="","",IFERROR(_xlfn.XLOOKUP($A345,'2_DOI_Lookup'!$A$2:$A$430,'2_DOI_Lookup'!$B$2:$B$430),"NOT IN SOURCE"))</f>
        <v>10.5595/001c.124123</v>
      </c>
    </row>
    <row r="346" spans="1:41" ht="45.6" hidden="1" x14ac:dyDescent="0.3">
      <c r="A346" s="64">
        <v>3697</v>
      </c>
      <c r="B346" s="65"/>
      <c r="C346" s="66"/>
      <c r="D346" s="65"/>
      <c r="E346" s="65" t="str">
        <f>IF($A346="","",IFERROR(_xlfn.XLOOKUP($A346,'2_DOI_Lookup'!$D$2:$D$430,'2_DOI_Lookup'!$E$2:$E$430),"TITLE NOT IN SOURCE"))</f>
        <v>Key technology and engineering practice of intelligent rapid heading in coal mine</v>
      </c>
      <c r="F346" s="64" t="s">
        <v>309</v>
      </c>
      <c r="G346" s="67" t="s">
        <v>312</v>
      </c>
      <c r="H346" s="67" t="s">
        <v>312</v>
      </c>
      <c r="I346" s="67" t="s">
        <v>311</v>
      </c>
      <c r="J346" s="67" t="s">
        <v>311</v>
      </c>
      <c r="K346" s="67" t="s">
        <v>312</v>
      </c>
      <c r="L346" s="68" t="str">
        <f t="shared" si="26"/>
        <v>EXCLUDE</v>
      </c>
      <c r="M346" s="68" t="str">
        <f t="shared" si="27"/>
        <v>Wrong domain (non-AECO)</v>
      </c>
      <c r="N346" s="69"/>
      <c r="O346" s="69"/>
      <c r="P346" s="70"/>
      <c r="Q346" s="70"/>
      <c r="R346" s="70"/>
      <c r="S346" s="68" t="str">
        <f t="shared" si="28"/>
        <v/>
      </c>
      <c r="T346" s="68" t="str">
        <f t="shared" si="29"/>
        <v/>
      </c>
      <c r="U346" s="71"/>
      <c r="V346" s="71"/>
      <c r="W346" s="71"/>
      <c r="X346" s="71"/>
      <c r="Y346" s="68" t="str">
        <f t="shared" si="30"/>
        <v/>
      </c>
      <c r="Z346" s="71"/>
      <c r="AA346" s="71"/>
      <c r="AB346" s="71"/>
      <c r="AC346" s="71"/>
      <c r="AD346" s="71"/>
      <c r="AE346" s="71"/>
      <c r="AF346" s="71"/>
      <c r="AG346" s="72" t="s">
        <v>535</v>
      </c>
      <c r="AH346" s="35"/>
      <c r="AI346" s="35"/>
      <c r="AK346"/>
      <c r="AM346" s="56"/>
      <c r="AN346" s="57"/>
      <c r="AO346" s="63" t="str">
        <f>IF($A346="","",IFERROR(_xlfn.XLOOKUP($A346,'2_DOI_Lookup'!$A$2:$A$430,'2_DOI_Lookup'!$B$2:$B$430),"NOT IN SOURCE"))</f>
        <v>10.13225/j.cnki.jccs.JJ21.0412</v>
      </c>
    </row>
    <row r="347" spans="1:41" ht="91.2" x14ac:dyDescent="0.3">
      <c r="A347" s="26">
        <v>4010</v>
      </c>
      <c r="B347" s="9" t="s">
        <v>276</v>
      </c>
      <c r="C347" s="32">
        <v>2024</v>
      </c>
      <c r="D347" s="9"/>
      <c r="E347" s="9" t="str">
        <f>IF($A347="","",IFERROR(_xlfn.XLOOKUP($A347,'2_DOI_Lookup'!$D$2:$D$430,'2_DOI_Lookup'!$E$2:$E$430),"TITLE NOT IN SOURCE"))</f>
        <v>Development and validation of graphics-based digital twin framework for UAV-aided post-earthquake inspection of high-rise buildings</v>
      </c>
      <c r="F347" s="26" t="s">
        <v>310</v>
      </c>
      <c r="G347" s="27" t="s">
        <v>311</v>
      </c>
      <c r="H347" s="27" t="s">
        <v>311</v>
      </c>
      <c r="I347" s="27" t="s">
        <v>311</v>
      </c>
      <c r="J347" s="27" t="s">
        <v>311</v>
      </c>
      <c r="K347" s="27" t="s">
        <v>311</v>
      </c>
      <c r="L347" s="28" t="str">
        <f t="shared" si="26"/>
        <v>INCLUDE</v>
      </c>
      <c r="M347" s="28" t="str">
        <f t="shared" si="27"/>
        <v/>
      </c>
      <c r="N347" s="29" t="s">
        <v>311</v>
      </c>
      <c r="O347" s="29" t="s">
        <v>311</v>
      </c>
      <c r="P347" s="30" t="s">
        <v>311</v>
      </c>
      <c r="Q347" s="30" t="s">
        <v>311</v>
      </c>
      <c r="R347" s="30" t="s">
        <v>311</v>
      </c>
      <c r="S347" s="28" t="str">
        <f t="shared" si="28"/>
        <v>INCLUDE</v>
      </c>
      <c r="T347" s="28" t="str">
        <f t="shared" si="29"/>
        <v/>
      </c>
      <c r="U347" s="31" t="s">
        <v>52</v>
      </c>
      <c r="V347" s="31">
        <v>0</v>
      </c>
      <c r="W347" s="31">
        <v>0</v>
      </c>
      <c r="X347" s="31">
        <v>1</v>
      </c>
      <c r="Y347" s="28" t="str">
        <f t="shared" si="30"/>
        <v>Single</v>
      </c>
      <c r="Z347" s="31" t="s">
        <v>9</v>
      </c>
      <c r="AA347" s="31" t="s">
        <v>53</v>
      </c>
      <c r="AB347" s="31" t="s">
        <v>88</v>
      </c>
      <c r="AC347" s="31" t="s">
        <v>64</v>
      </c>
      <c r="AD347" s="31" t="s">
        <v>65</v>
      </c>
      <c r="AE347" s="31">
        <v>4</v>
      </c>
      <c r="AF347" s="31" t="s">
        <v>73</v>
      </c>
      <c r="AG347" s="15" t="s">
        <v>660</v>
      </c>
      <c r="AH347" s="97" t="s">
        <v>976</v>
      </c>
      <c r="AI347" s="97" t="s">
        <v>977</v>
      </c>
      <c r="AJ347" s="98" t="s">
        <v>1080</v>
      </c>
      <c r="AK347" s="98" t="s">
        <v>1203</v>
      </c>
      <c r="AL347" s="98" t="s">
        <v>1084</v>
      </c>
      <c r="AM347" s="99"/>
      <c r="AN347" s="100" t="s">
        <v>1432</v>
      </c>
      <c r="AO347" s="101" t="str">
        <f>IF($A347="","",IFERROR(_xlfn.XLOOKUP($A347,'2_DOI_Lookup'!$A$2:$A$430,'2_DOI_Lookup'!$B$2:$B$430),"NOT IN SOURCE"))</f>
        <v>10.1002/tal.2127</v>
      </c>
    </row>
    <row r="348" spans="1:41" ht="57" hidden="1" x14ac:dyDescent="0.3">
      <c r="A348" s="73">
        <v>4019</v>
      </c>
      <c r="B348" s="74"/>
      <c r="C348" s="75"/>
      <c r="D348" s="74"/>
      <c r="E348" s="74" t="str">
        <f>IF($A348="","",IFERROR(_xlfn.XLOOKUP($A348,'2_DOI_Lookup'!$D$2:$D$430,'2_DOI_Lookup'!$E$2:$E$430),"TITLE NOT IN SOURCE"))</f>
        <v>Mixed reality and machine learning-guided cable robot framework (MMCR) for real-time prefabricated construction automation</v>
      </c>
      <c r="F348" s="73" t="s">
        <v>310</v>
      </c>
      <c r="G348" s="76" t="s">
        <v>311</v>
      </c>
      <c r="H348" s="76" t="s">
        <v>312</v>
      </c>
      <c r="I348" s="76" t="s">
        <v>311</v>
      </c>
      <c r="J348" s="76" t="s">
        <v>311</v>
      </c>
      <c r="K348" s="76" t="s">
        <v>311</v>
      </c>
      <c r="L348" s="77" t="str">
        <f t="shared" si="26"/>
        <v>EXCLUDE</v>
      </c>
      <c r="M348" s="77" t="str">
        <f t="shared" si="27"/>
        <v>Digital Twin not core / buzzword</v>
      </c>
      <c r="N348" s="78"/>
      <c r="O348" s="78"/>
      <c r="P348" s="79"/>
      <c r="Q348" s="79"/>
      <c r="R348" s="79"/>
      <c r="S348" s="77" t="str">
        <f t="shared" si="28"/>
        <v/>
      </c>
      <c r="T348" s="77" t="str">
        <f t="shared" si="29"/>
        <v/>
      </c>
      <c r="U348" s="80"/>
      <c r="V348" s="80"/>
      <c r="W348" s="80"/>
      <c r="X348" s="80"/>
      <c r="Y348" s="77" t="str">
        <f t="shared" si="30"/>
        <v/>
      </c>
      <c r="Z348" s="80"/>
      <c r="AA348" s="80"/>
      <c r="AB348" s="80"/>
      <c r="AC348" s="80"/>
      <c r="AD348" s="80"/>
      <c r="AE348" s="80"/>
      <c r="AF348" s="80"/>
      <c r="AG348" s="81" t="s">
        <v>536</v>
      </c>
      <c r="AH348" s="35"/>
      <c r="AI348" s="35"/>
      <c r="AK348"/>
      <c r="AM348" s="56"/>
      <c r="AN348" s="57"/>
      <c r="AO348" s="63" t="str">
        <f>IF($A348="","",IFERROR(_xlfn.XLOOKUP($A348,'2_DOI_Lookup'!$A$2:$A$430,'2_DOI_Lookup'!$B$2:$B$430),"NOT IN SOURCE"))</f>
        <v>10.1016/j.aei.2026.104580</v>
      </c>
    </row>
    <row r="349" spans="1:41" ht="68.400000000000006" hidden="1" x14ac:dyDescent="0.3">
      <c r="A349" s="26">
        <v>3762</v>
      </c>
      <c r="B349" s="9"/>
      <c r="C349" s="32"/>
      <c r="D349" s="9"/>
      <c r="E349" s="9" t="str">
        <f>IF($A349="","",IFERROR(_xlfn.XLOOKUP($A349,'2_DOI_Lookup'!$D$2:$D$430,'2_DOI_Lookup'!$E$2:$E$430),"TITLE NOT IN SOURCE"))</f>
        <v>Reference-free ego-motion compensation for vision-based measurement of structural deformations of miter gates</v>
      </c>
      <c r="F349" s="26" t="s">
        <v>309</v>
      </c>
      <c r="G349" s="27" t="s">
        <v>311</v>
      </c>
      <c r="H349" s="27" t="s">
        <v>312</v>
      </c>
      <c r="I349" s="27" t="s">
        <v>311</v>
      </c>
      <c r="J349" s="27" t="s">
        <v>311</v>
      </c>
      <c r="K349" s="27" t="s">
        <v>311</v>
      </c>
      <c r="L349" s="28" t="str">
        <f t="shared" si="26"/>
        <v>EXCLUDE</v>
      </c>
      <c r="M349" s="28" t="str">
        <f t="shared" si="27"/>
        <v>Digital Twin not core / buzzword</v>
      </c>
      <c r="N349" s="29"/>
      <c r="O349" s="29"/>
      <c r="P349" s="30"/>
      <c r="Q349" s="30"/>
      <c r="R349" s="30"/>
      <c r="S349" s="28" t="str">
        <f t="shared" si="28"/>
        <v/>
      </c>
      <c r="T349" s="28" t="str">
        <f t="shared" si="29"/>
        <v/>
      </c>
      <c r="U349" s="31"/>
      <c r="V349" s="31"/>
      <c r="W349" s="31"/>
      <c r="X349" s="31"/>
      <c r="Y349" s="28" t="str">
        <f t="shared" si="30"/>
        <v/>
      </c>
      <c r="Z349" s="31"/>
      <c r="AA349" s="31"/>
      <c r="AB349" s="31"/>
      <c r="AC349" s="31"/>
      <c r="AD349" s="31"/>
      <c r="AE349" s="31"/>
      <c r="AF349" s="31"/>
      <c r="AG349" s="15" t="s">
        <v>537</v>
      </c>
      <c r="AH349" s="35"/>
      <c r="AI349" s="35"/>
      <c r="AK349"/>
      <c r="AM349" s="56"/>
      <c r="AN349" s="57"/>
      <c r="AO349" s="63" t="str">
        <f>IF($A349="","",IFERROR(_xlfn.XLOOKUP($A349,'2_DOI_Lookup'!$A$2:$A$430,'2_DOI_Lookup'!$B$2:$B$430),"NOT IN SOURCE"))</f>
        <v>10.1177/14759217241297248</v>
      </c>
    </row>
    <row r="350" spans="1:41" ht="34.200000000000003" hidden="1" x14ac:dyDescent="0.3">
      <c r="A350" s="64">
        <v>3562</v>
      </c>
      <c r="B350" s="65"/>
      <c r="C350" s="66"/>
      <c r="D350" s="65"/>
      <c r="E350" s="65" t="str">
        <f>IF($A350="","",IFERROR(_xlfn.XLOOKUP($A350,'2_DOI_Lookup'!$D$2:$D$430,'2_DOI_Lookup'!$E$2:$E$430),"TITLE NOT IN SOURCE"))</f>
        <v>AI and Digital Twin for Consumer Electronics in Smart Cities</v>
      </c>
      <c r="F350" s="64" t="s">
        <v>309</v>
      </c>
      <c r="G350" s="67" t="s">
        <v>312</v>
      </c>
      <c r="H350" s="67" t="s">
        <v>311</v>
      </c>
      <c r="I350" s="67" t="s">
        <v>312</v>
      </c>
      <c r="J350" s="67" t="s">
        <v>311</v>
      </c>
      <c r="K350" s="67" t="s">
        <v>311</v>
      </c>
      <c r="L350" s="68" t="str">
        <f t="shared" si="26"/>
        <v>EXCLUDE</v>
      </c>
      <c r="M350" s="68" t="str">
        <f t="shared" si="27"/>
        <v>Wrong domain (non-AECO)</v>
      </c>
      <c r="N350" s="69"/>
      <c r="O350" s="69"/>
      <c r="P350" s="70"/>
      <c r="Q350" s="70"/>
      <c r="R350" s="70"/>
      <c r="S350" s="68" t="str">
        <f t="shared" si="28"/>
        <v/>
      </c>
      <c r="T350" s="68" t="str">
        <f t="shared" si="29"/>
        <v/>
      </c>
      <c r="U350" s="71"/>
      <c r="V350" s="71"/>
      <c r="W350" s="71"/>
      <c r="X350" s="71"/>
      <c r="Y350" s="68" t="str">
        <f t="shared" si="30"/>
        <v/>
      </c>
      <c r="Z350" s="71"/>
      <c r="AA350" s="71"/>
      <c r="AB350" s="71"/>
      <c r="AC350" s="71"/>
      <c r="AD350" s="71"/>
      <c r="AE350" s="71"/>
      <c r="AF350" s="71"/>
      <c r="AG350" s="72" t="s">
        <v>538</v>
      </c>
      <c r="AH350" s="35"/>
      <c r="AI350" s="35"/>
      <c r="AK350"/>
      <c r="AM350" s="56"/>
      <c r="AN350" s="57"/>
      <c r="AO350" s="63" t="str">
        <f>IF($A350="","",IFERROR(_xlfn.XLOOKUP($A350,'2_DOI_Lookup'!$A$2:$A$430,'2_DOI_Lookup'!$B$2:$B$430),"NOT IN SOURCE"))</f>
        <v>10.1109/MCE.2024.3444312</v>
      </c>
    </row>
    <row r="351" spans="1:41" ht="114" x14ac:dyDescent="0.3">
      <c r="A351" s="26">
        <v>3985</v>
      </c>
      <c r="B351" s="9" t="s">
        <v>277</v>
      </c>
      <c r="C351" s="32">
        <v>2021</v>
      </c>
      <c r="D351" s="9"/>
      <c r="E351" s="61" t="str">
        <f>IF($A351="","",IFERROR(_xlfn.XLOOKUP($A351,'2_DOI_Lookup'!$D$2:$D$430,'2_DOI_Lookup'!$E$2:$E$430),"TITLE NOT IN SOURCE"))</f>
        <v>Interactive and Immersive Process-Level Digital Twin for Collaborative Human-Robot Construction Work</v>
      </c>
      <c r="F351" s="26" t="s">
        <v>310</v>
      </c>
      <c r="G351" s="27" t="s">
        <v>311</v>
      </c>
      <c r="H351" s="27" t="s">
        <v>311</v>
      </c>
      <c r="I351" s="27" t="s">
        <v>311</v>
      </c>
      <c r="J351" s="27" t="s">
        <v>311</v>
      </c>
      <c r="K351" s="27" t="s">
        <v>311</v>
      </c>
      <c r="L351" s="28" t="str">
        <f t="shared" si="26"/>
        <v>INCLUDE</v>
      </c>
      <c r="M351" s="28" t="str">
        <f t="shared" si="27"/>
        <v/>
      </c>
      <c r="N351" s="29" t="s">
        <v>49</v>
      </c>
      <c r="O351" s="29" t="s">
        <v>49</v>
      </c>
      <c r="P351" s="30" t="s">
        <v>49</v>
      </c>
      <c r="Q351" s="30" t="s">
        <v>49</v>
      </c>
      <c r="R351" s="30" t="s">
        <v>49</v>
      </c>
      <c r="S351" s="28" t="str">
        <f t="shared" si="28"/>
        <v>INCLUDE</v>
      </c>
      <c r="T351" s="28" t="str">
        <f t="shared" si="29"/>
        <v/>
      </c>
      <c r="U351" s="31" t="s">
        <v>68</v>
      </c>
      <c r="V351" s="31">
        <v>0</v>
      </c>
      <c r="W351" s="31">
        <v>1</v>
      </c>
      <c r="X351" s="31">
        <v>0</v>
      </c>
      <c r="Y351" s="28" t="str">
        <f t="shared" si="30"/>
        <v>Single</v>
      </c>
      <c r="Z351" s="31" t="s">
        <v>9</v>
      </c>
      <c r="AA351" s="31" t="s">
        <v>53</v>
      </c>
      <c r="AB351" s="31" t="s">
        <v>92</v>
      </c>
      <c r="AC351" s="31" t="s">
        <v>64</v>
      </c>
      <c r="AD351" s="31" t="s">
        <v>72</v>
      </c>
      <c r="AE351" s="31">
        <v>4</v>
      </c>
      <c r="AF351" s="31" t="s">
        <v>80</v>
      </c>
      <c r="AG351" s="15" t="s">
        <v>737</v>
      </c>
      <c r="AH351" s="97" t="s">
        <v>978</v>
      </c>
      <c r="AI351" s="97" t="s">
        <v>979</v>
      </c>
      <c r="AJ351" s="98" t="s">
        <v>1080</v>
      </c>
      <c r="AK351" s="98" t="s">
        <v>1204</v>
      </c>
      <c r="AL351" s="98" t="s">
        <v>1083</v>
      </c>
      <c r="AM351" s="99"/>
      <c r="AN351" s="100" t="s">
        <v>1421</v>
      </c>
      <c r="AO351" s="101" t="str">
        <f>IF($A351="","",IFERROR(_xlfn.XLOOKUP($A351,'2_DOI_Lookup'!$A$2:$A$430,'2_DOI_Lookup'!$B$2:$B$430),"NOT IN SOURCE"))</f>
        <v>10.1061/(ASCE)CP.1943-5487.0000988</v>
      </c>
    </row>
    <row r="352" spans="1:41" ht="57" hidden="1" x14ac:dyDescent="0.3">
      <c r="A352" s="82">
        <v>3763</v>
      </c>
      <c r="B352" s="83"/>
      <c r="C352" s="84"/>
      <c r="D352" s="83"/>
      <c r="E352" s="83" t="str">
        <f>IF($A352="","",IFERROR(_xlfn.XLOOKUP($A352,'2_DOI_Lookup'!$D$2:$D$430,'2_DOI_Lookup'!$E$2:$E$430),"TITLE NOT IN SOURCE"))</f>
        <v>A digital twin integrated smart-liner for visualization monitoring of oil and gas pipeline infrastructure</v>
      </c>
      <c r="F352" s="82" t="s">
        <v>309</v>
      </c>
      <c r="G352" s="85" t="s">
        <v>312</v>
      </c>
      <c r="H352" s="85" t="s">
        <v>311</v>
      </c>
      <c r="I352" s="85" t="s">
        <v>311</v>
      </c>
      <c r="J352" s="85" t="s">
        <v>311</v>
      </c>
      <c r="K352" s="85" t="s">
        <v>311</v>
      </c>
      <c r="L352" s="86" t="str">
        <f t="shared" si="26"/>
        <v>EXCLUDE</v>
      </c>
      <c r="M352" s="86" t="str">
        <f t="shared" si="27"/>
        <v>Wrong domain (non-AECO)</v>
      </c>
      <c r="N352" s="87"/>
      <c r="O352" s="87"/>
      <c r="P352" s="88"/>
      <c r="Q352" s="88"/>
      <c r="R352" s="88"/>
      <c r="S352" s="86" t="str">
        <f t="shared" si="28"/>
        <v/>
      </c>
      <c r="T352" s="86" t="str">
        <f t="shared" si="29"/>
        <v/>
      </c>
      <c r="U352" s="89"/>
      <c r="V352" s="89"/>
      <c r="W352" s="89"/>
      <c r="X352" s="89"/>
      <c r="Y352" s="86" t="str">
        <f t="shared" si="30"/>
        <v/>
      </c>
      <c r="Z352" s="89"/>
      <c r="AA352" s="89"/>
      <c r="AB352" s="89"/>
      <c r="AC352" s="89"/>
      <c r="AD352" s="89"/>
      <c r="AE352" s="89"/>
      <c r="AF352" s="89"/>
      <c r="AG352" s="90" t="s">
        <v>539</v>
      </c>
      <c r="AH352" s="35"/>
      <c r="AI352" s="35"/>
      <c r="AK352"/>
      <c r="AM352" s="56"/>
      <c r="AN352" s="57"/>
      <c r="AO352" s="63" t="str">
        <f>IF($A352="","",IFERROR(_xlfn.XLOOKUP($A352,'2_DOI_Lookup'!$A$2:$A$430,'2_DOI_Lookup'!$B$2:$B$430),"NOT IN SOURCE"))</f>
        <v>10.1016/j.apenergy.2025.126558</v>
      </c>
    </row>
    <row r="353" spans="1:41" ht="100.8" x14ac:dyDescent="0.3">
      <c r="A353" s="26">
        <v>3779</v>
      </c>
      <c r="B353" s="9" t="s">
        <v>276</v>
      </c>
      <c r="C353" s="32">
        <v>2024</v>
      </c>
      <c r="D353" s="9"/>
      <c r="E353" s="9" t="str">
        <f>IF($A353="","",IFERROR(_xlfn.XLOOKUP($A353,'2_DOI_Lookup'!$D$2:$D$430,'2_DOI_Lookup'!$E$2:$E$430),"TITLE NOT IN SOURCE"))</f>
        <v>Enabling Building Information Model-driven human-robot collaborative construction workflows with closed-loop digital twins</v>
      </c>
      <c r="F353" s="26" t="s">
        <v>309</v>
      </c>
      <c r="G353" s="27" t="s">
        <v>311</v>
      </c>
      <c r="H353" s="27" t="s">
        <v>311</v>
      </c>
      <c r="I353" s="27" t="s">
        <v>311</v>
      </c>
      <c r="J353" s="27" t="s">
        <v>311</v>
      </c>
      <c r="K353" s="27" t="s">
        <v>311</v>
      </c>
      <c r="L353" s="28" t="str">
        <f t="shared" si="26"/>
        <v>INCLUDE</v>
      </c>
      <c r="M353" s="28" t="str">
        <f t="shared" si="27"/>
        <v/>
      </c>
      <c r="N353" s="29" t="s">
        <v>311</v>
      </c>
      <c r="O353" s="29" t="s">
        <v>311</v>
      </c>
      <c r="P353" s="30" t="s">
        <v>311</v>
      </c>
      <c r="Q353" s="30" t="s">
        <v>311</v>
      </c>
      <c r="R353" s="30" t="s">
        <v>311</v>
      </c>
      <c r="S353" s="28" t="str">
        <f t="shared" si="28"/>
        <v>INCLUDE</v>
      </c>
      <c r="T353" s="28" t="str">
        <f t="shared" si="29"/>
        <v/>
      </c>
      <c r="U353" s="31" t="s">
        <v>68</v>
      </c>
      <c r="V353" s="31">
        <v>0</v>
      </c>
      <c r="W353" s="31">
        <v>1</v>
      </c>
      <c r="X353" s="31">
        <v>0</v>
      </c>
      <c r="Y353" s="28" t="str">
        <f t="shared" si="30"/>
        <v>Single</v>
      </c>
      <c r="Z353" s="31" t="s">
        <v>9</v>
      </c>
      <c r="AA353" s="31" t="s">
        <v>53</v>
      </c>
      <c r="AB353" s="31" t="s">
        <v>91</v>
      </c>
      <c r="AC353" s="31" t="s">
        <v>64</v>
      </c>
      <c r="AD353" s="31" t="s">
        <v>72</v>
      </c>
      <c r="AE353" s="31">
        <v>4</v>
      </c>
      <c r="AF353" s="31" t="s">
        <v>80</v>
      </c>
      <c r="AG353" s="15" t="s">
        <v>661</v>
      </c>
      <c r="AH353" s="97" t="s">
        <v>980</v>
      </c>
      <c r="AI353" s="97" t="s">
        <v>981</v>
      </c>
      <c r="AJ353" s="98" t="s">
        <v>1081</v>
      </c>
      <c r="AK353" s="98" t="s">
        <v>1205</v>
      </c>
      <c r="AL353" s="98" t="s">
        <v>1083</v>
      </c>
      <c r="AM353" s="99"/>
      <c r="AN353" s="100" t="s">
        <v>1299</v>
      </c>
      <c r="AO353" s="101" t="str">
        <f>IF($A353="","",IFERROR(_xlfn.XLOOKUP($A353,'2_DOI_Lookup'!$A$2:$A$430,'2_DOI_Lookup'!$B$2:$B$430),"NOT IN SOURCE"))</f>
        <v>10.1016/j.compind.2024.104112</v>
      </c>
    </row>
    <row r="354" spans="1:41" ht="68.400000000000006" hidden="1" x14ac:dyDescent="0.3">
      <c r="A354" s="73">
        <v>3718</v>
      </c>
      <c r="B354" s="74"/>
      <c r="C354" s="75"/>
      <c r="D354" s="74"/>
      <c r="E354" s="74" t="str">
        <f>IF($A354="","",IFERROR(_xlfn.XLOOKUP($A354,'2_DOI_Lookup'!$D$2:$D$430,'2_DOI_Lookup'!$E$2:$E$430),"TITLE NOT IN SOURCE"))</f>
        <v>Detailed transient modeling and FPGA-based real-time digital-twin development for sodium-cooled fast reactor</v>
      </c>
      <c r="F354" s="73" t="s">
        <v>309</v>
      </c>
      <c r="G354" s="76" t="s">
        <v>312</v>
      </c>
      <c r="H354" s="76" t="s">
        <v>311</v>
      </c>
      <c r="I354" s="76" t="s">
        <v>312</v>
      </c>
      <c r="J354" s="76" t="s">
        <v>311</v>
      </c>
      <c r="K354" s="76" t="s">
        <v>311</v>
      </c>
      <c r="L354" s="77" t="str">
        <f t="shared" si="26"/>
        <v>EXCLUDE</v>
      </c>
      <c r="M354" s="77" t="str">
        <f t="shared" si="27"/>
        <v>Wrong domain (non-AECO)</v>
      </c>
      <c r="N354" s="78"/>
      <c r="O354" s="78"/>
      <c r="P354" s="79"/>
      <c r="Q354" s="79"/>
      <c r="R354" s="79"/>
      <c r="S354" s="77" t="str">
        <f t="shared" si="28"/>
        <v/>
      </c>
      <c r="T354" s="77" t="str">
        <f t="shared" si="29"/>
        <v/>
      </c>
      <c r="U354" s="80"/>
      <c r="V354" s="80"/>
      <c r="W354" s="80"/>
      <c r="X354" s="80"/>
      <c r="Y354" s="77" t="str">
        <f t="shared" si="30"/>
        <v/>
      </c>
      <c r="Z354" s="80"/>
      <c r="AA354" s="80"/>
      <c r="AB354" s="80"/>
      <c r="AC354" s="80"/>
      <c r="AD354" s="80"/>
      <c r="AE354" s="80"/>
      <c r="AF354" s="80"/>
      <c r="AG354" s="81" t="s">
        <v>540</v>
      </c>
      <c r="AH354" s="35"/>
      <c r="AI354" s="35"/>
      <c r="AK354"/>
      <c r="AM354" s="56"/>
      <c r="AN354" s="57"/>
      <c r="AO354" s="63" t="str">
        <f>IF($A354="","",IFERROR(_xlfn.XLOOKUP($A354,'2_DOI_Lookup'!$A$2:$A$430,'2_DOI_Lookup'!$B$2:$B$430),"NOT IN SOURCE"))</f>
        <v>10.1016/j.pnucene.2025.105890</v>
      </c>
    </row>
    <row r="355" spans="1:41" ht="45.6" hidden="1" x14ac:dyDescent="0.3">
      <c r="A355" s="26">
        <v>3783</v>
      </c>
      <c r="B355" s="9"/>
      <c r="C355" s="32"/>
      <c r="D355" s="9"/>
      <c r="E355" s="9" t="str">
        <f>IF($A355="","",IFERROR(_xlfn.XLOOKUP($A355,'2_DOI_Lookup'!$D$2:$D$430,'2_DOI_Lookup'!$E$2:$E$430),"TITLE NOT IN SOURCE"))</f>
        <v>Construction of digital twin and parallel intelligent control method for excavation face</v>
      </c>
      <c r="F355" s="26" t="s">
        <v>309</v>
      </c>
      <c r="G355" s="27" t="s">
        <v>312</v>
      </c>
      <c r="H355" s="27" t="s">
        <v>311</v>
      </c>
      <c r="I355" s="27" t="s">
        <v>311</v>
      </c>
      <c r="J355" s="27" t="s">
        <v>311</v>
      </c>
      <c r="K355" s="27" t="s">
        <v>312</v>
      </c>
      <c r="L355" s="28" t="str">
        <f t="shared" si="26"/>
        <v>EXCLUDE</v>
      </c>
      <c r="M355" s="28" t="str">
        <f t="shared" si="27"/>
        <v>Wrong domain (non-AECO)</v>
      </c>
      <c r="N355" s="29"/>
      <c r="O355" s="29"/>
      <c r="P355" s="30"/>
      <c r="Q355" s="30"/>
      <c r="R355" s="30"/>
      <c r="S355" s="28" t="str">
        <f t="shared" si="28"/>
        <v/>
      </c>
      <c r="T355" s="28" t="str">
        <f t="shared" si="29"/>
        <v/>
      </c>
      <c r="U355" s="31"/>
      <c r="V355" s="31"/>
      <c r="W355" s="31"/>
      <c r="X355" s="31"/>
      <c r="Y355" s="28" t="str">
        <f t="shared" si="30"/>
        <v/>
      </c>
      <c r="Z355" s="31"/>
      <c r="AA355" s="31"/>
      <c r="AB355" s="31"/>
      <c r="AC355" s="31"/>
      <c r="AD355" s="31"/>
      <c r="AE355" s="31"/>
      <c r="AF355" s="31"/>
      <c r="AG355" s="15" t="s">
        <v>541</v>
      </c>
      <c r="AH355" s="35"/>
      <c r="AI355" s="35"/>
      <c r="AK355"/>
      <c r="AM355" s="56"/>
      <c r="AN355" s="57"/>
      <c r="AO355" s="63" t="str">
        <f>IF($A355="","",IFERROR(_xlfn.XLOOKUP($A355,'2_DOI_Lookup'!$A$2:$A$430,'2_DOI_Lookup'!$B$2:$B$430),"NOT IN SOURCE"))</f>
        <v>10.13225/j.cnki.jccs.2022.0215</v>
      </c>
    </row>
    <row r="356" spans="1:41" ht="79.8" hidden="1" x14ac:dyDescent="0.3">
      <c r="A356" s="26">
        <v>3895</v>
      </c>
      <c r="B356" s="9"/>
      <c r="C356" s="32"/>
      <c r="D356" s="9"/>
      <c r="E356" s="9" t="str">
        <f>IF($A356="","",IFERROR(_xlfn.XLOOKUP($A356,'2_DOI_Lookup'!$D$2:$D$430,'2_DOI_Lookup'!$E$2:$E$430),"TITLE NOT IN SOURCE"))</f>
        <v>Augmenting progress monitoring in soil-foundation construction utilizing SOLOv2-based instance segmentation and visual BIM representation</v>
      </c>
      <c r="F356" s="26" t="s">
        <v>310</v>
      </c>
      <c r="G356" s="27" t="s">
        <v>311</v>
      </c>
      <c r="H356" s="27" t="s">
        <v>312</v>
      </c>
      <c r="I356" s="27" t="s">
        <v>312</v>
      </c>
      <c r="J356" s="27" t="s">
        <v>311</v>
      </c>
      <c r="K356" s="27" t="s">
        <v>311</v>
      </c>
      <c r="L356" s="28" t="str">
        <f t="shared" si="26"/>
        <v>EXCLUDE</v>
      </c>
      <c r="M356" s="28" t="str">
        <f t="shared" si="27"/>
        <v>Digital Twin not core / buzzword</v>
      </c>
      <c r="N356" s="29"/>
      <c r="O356" s="29"/>
      <c r="P356" s="30"/>
      <c r="Q356" s="30"/>
      <c r="R356" s="30"/>
      <c r="S356" s="28" t="str">
        <f t="shared" si="28"/>
        <v/>
      </c>
      <c r="T356" s="28" t="str">
        <f t="shared" si="29"/>
        <v/>
      </c>
      <c r="U356" s="31"/>
      <c r="V356" s="31"/>
      <c r="W356" s="31"/>
      <c r="X356" s="31"/>
      <c r="Y356" s="28" t="str">
        <f t="shared" si="30"/>
        <v/>
      </c>
      <c r="Z356" s="31"/>
      <c r="AA356" s="31"/>
      <c r="AB356" s="31"/>
      <c r="AC356" s="31"/>
      <c r="AD356" s="31"/>
      <c r="AE356" s="31"/>
      <c r="AF356" s="31"/>
      <c r="AG356" s="15" t="s">
        <v>542</v>
      </c>
      <c r="AH356" s="35"/>
      <c r="AI356" s="35"/>
      <c r="AK356"/>
      <c r="AM356" s="56"/>
      <c r="AN356" s="57"/>
      <c r="AO356" s="63" t="str">
        <f>IF($A356="","",IFERROR(_xlfn.XLOOKUP($A356,'2_DOI_Lookup'!$A$2:$A$430,'2_DOI_Lookup'!$B$2:$B$430),"NOT IN SOURCE"))</f>
        <v>10.1016/j.autcon.2023.105048</v>
      </c>
    </row>
    <row r="357" spans="1:41" ht="79.8" hidden="1" x14ac:dyDescent="0.3">
      <c r="A357" s="64">
        <v>3590</v>
      </c>
      <c r="B357" s="65"/>
      <c r="C357" s="66"/>
      <c r="D357" s="65"/>
      <c r="E357" s="65" t="str">
        <f>IF($A357="","",IFERROR(_xlfn.XLOOKUP($A357,'2_DOI_Lookup'!$D$2:$D$430,'2_DOI_Lookup'!$E$2:$E$430),"TITLE NOT IN SOURCE"))</f>
        <v>Design and System Development of Knowledge Graph and Process Planning Methods for Excavating Tunnels With Small Cross-Sections</v>
      </c>
      <c r="F357" s="64" t="s">
        <v>309</v>
      </c>
      <c r="G357" s="67" t="s">
        <v>311</v>
      </c>
      <c r="H357" s="67" t="s">
        <v>311</v>
      </c>
      <c r="I357" s="67" t="s">
        <v>311</v>
      </c>
      <c r="J357" s="67" t="s">
        <v>311</v>
      </c>
      <c r="K357" s="67" t="s">
        <v>312</v>
      </c>
      <c r="L357" s="68" t="str">
        <f t="shared" si="26"/>
        <v>EXCLUDE</v>
      </c>
      <c r="M357" s="68" t="str">
        <f t="shared" si="27"/>
        <v>Non-English</v>
      </c>
      <c r="N357" s="69"/>
      <c r="O357" s="69"/>
      <c r="P357" s="70"/>
      <c r="Q357" s="70"/>
      <c r="R357" s="70"/>
      <c r="S357" s="68" t="str">
        <f t="shared" si="28"/>
        <v/>
      </c>
      <c r="T357" s="68" t="str">
        <f t="shared" si="29"/>
        <v/>
      </c>
      <c r="U357" s="71"/>
      <c r="V357" s="71"/>
      <c r="W357" s="71"/>
      <c r="X357" s="71"/>
      <c r="Y357" s="68" t="str">
        <f t="shared" si="30"/>
        <v/>
      </c>
      <c r="Z357" s="71"/>
      <c r="AA357" s="71"/>
      <c r="AB357" s="71"/>
      <c r="AC357" s="71"/>
      <c r="AD357" s="71"/>
      <c r="AE357" s="71"/>
      <c r="AF357" s="71"/>
      <c r="AG357" s="72" t="s">
        <v>365</v>
      </c>
      <c r="AH357" s="35"/>
      <c r="AI357" s="35"/>
      <c r="AK357"/>
      <c r="AM357" s="56"/>
      <c r="AN357" s="57"/>
      <c r="AO357" s="63" t="str">
        <f>IF($A357="","",IFERROR(_xlfn.XLOOKUP($A357,'2_DOI_Lookup'!$A$2:$A$430,'2_DOI_Lookup'!$B$2:$B$430),"NOT IN SOURCE"))</f>
        <v>10.3973/j.issn.2096-4498.2025.12.016</v>
      </c>
    </row>
    <row r="358" spans="1:41" ht="102.6" x14ac:dyDescent="0.3">
      <c r="A358" s="26">
        <v>3891</v>
      </c>
      <c r="B358" s="9" t="s">
        <v>278</v>
      </c>
      <c r="C358" s="32">
        <v>2025</v>
      </c>
      <c r="D358" s="9"/>
      <c r="E358" s="9" t="str">
        <f>IF($A358="","",IFERROR(_xlfn.XLOOKUP($A358,'2_DOI_Lookup'!$D$2:$D$430,'2_DOI_Lookup'!$E$2:$E$430),"TITLE NOT IN SOURCE"))</f>
        <v>Research on the intelligent construction of prefabricated building based on digital twin</v>
      </c>
      <c r="F358" s="26" t="s">
        <v>310</v>
      </c>
      <c r="G358" s="27" t="s">
        <v>311</v>
      </c>
      <c r="H358" s="27" t="s">
        <v>311</v>
      </c>
      <c r="I358" s="27" t="s">
        <v>311</v>
      </c>
      <c r="J358" s="27" t="s">
        <v>311</v>
      </c>
      <c r="K358" s="27" t="s">
        <v>311</v>
      </c>
      <c r="L358" s="28" t="str">
        <f t="shared" si="26"/>
        <v>INCLUDE</v>
      </c>
      <c r="M358" s="28" t="str">
        <f t="shared" si="27"/>
        <v/>
      </c>
      <c r="N358" s="29" t="s">
        <v>49</v>
      </c>
      <c r="O358" s="29" t="s">
        <v>49</v>
      </c>
      <c r="P358" s="30" t="s">
        <v>49</v>
      </c>
      <c r="Q358" s="30" t="s">
        <v>49</v>
      </c>
      <c r="R358" s="30" t="s">
        <v>49</v>
      </c>
      <c r="S358" s="28" t="str">
        <f t="shared" si="28"/>
        <v>INCLUDE</v>
      </c>
      <c r="T358" s="28" t="str">
        <f t="shared" si="29"/>
        <v/>
      </c>
      <c r="U358" s="31" t="s">
        <v>82</v>
      </c>
      <c r="V358" s="31">
        <v>0</v>
      </c>
      <c r="W358" s="31">
        <v>1</v>
      </c>
      <c r="X358" s="31">
        <v>0</v>
      </c>
      <c r="Y358" s="28" t="str">
        <f t="shared" si="30"/>
        <v>Single</v>
      </c>
      <c r="Z358" s="31" t="s">
        <v>9</v>
      </c>
      <c r="AA358" s="31" t="s">
        <v>53</v>
      </c>
      <c r="AB358" s="31" t="s">
        <v>91</v>
      </c>
      <c r="AC358" s="31" t="s">
        <v>64</v>
      </c>
      <c r="AD358" s="31" t="s">
        <v>56</v>
      </c>
      <c r="AE358" s="31">
        <v>2</v>
      </c>
      <c r="AF358" s="31" t="s">
        <v>57</v>
      </c>
      <c r="AG358" s="15" t="s">
        <v>738</v>
      </c>
      <c r="AH358" s="97" t="s">
        <v>982</v>
      </c>
      <c r="AI358" s="97" t="s">
        <v>983</v>
      </c>
      <c r="AJ358" s="98" t="s">
        <v>82</v>
      </c>
      <c r="AK358" s="98" t="s">
        <v>1206</v>
      </c>
      <c r="AL358" s="98" t="s">
        <v>1083</v>
      </c>
      <c r="AM358" s="99"/>
      <c r="AN358" s="100" t="s">
        <v>1320</v>
      </c>
      <c r="AO358" s="101" t="str">
        <f>IF($A358="","",IFERROR(_xlfn.XLOOKUP($A358,'2_DOI_Lookup'!$A$2:$A$430,'2_DOI_Lookup'!$B$2:$B$430),"NOT IN SOURCE"))</f>
        <v>10.1680/jstbu.25.00086</v>
      </c>
    </row>
    <row r="359" spans="1:41" ht="68.400000000000006" hidden="1" x14ac:dyDescent="0.3">
      <c r="A359" s="73">
        <v>3806</v>
      </c>
      <c r="B359" s="74"/>
      <c r="C359" s="75"/>
      <c r="D359" s="74"/>
      <c r="E359" s="74" t="str">
        <f>IF($A359="","",IFERROR(_xlfn.XLOOKUP($A359,'2_DOI_Lookup'!$D$2:$D$430,'2_DOI_Lookup'!$E$2:$E$430),"TITLE NOT IN SOURCE"))</f>
        <v>Research on Management Efficiency and Public Participation in Smart City Construction Based on BIM-CIM Technology</v>
      </c>
      <c r="F359" s="73" t="s">
        <v>309</v>
      </c>
      <c r="G359" s="76" t="s">
        <v>311</v>
      </c>
      <c r="H359" s="76" t="s">
        <v>312</v>
      </c>
      <c r="I359" s="76" t="s">
        <v>312</v>
      </c>
      <c r="J359" s="76" t="s">
        <v>311</v>
      </c>
      <c r="K359" s="76" t="s">
        <v>311</v>
      </c>
      <c r="L359" s="77" t="str">
        <f t="shared" si="26"/>
        <v>EXCLUDE</v>
      </c>
      <c r="M359" s="77" t="str">
        <f t="shared" si="27"/>
        <v>Digital Twin not core / buzzword</v>
      </c>
      <c r="N359" s="78"/>
      <c r="O359" s="78"/>
      <c r="P359" s="79"/>
      <c r="Q359" s="79"/>
      <c r="R359" s="79"/>
      <c r="S359" s="77" t="str">
        <f t="shared" si="28"/>
        <v/>
      </c>
      <c r="T359" s="77" t="str">
        <f t="shared" si="29"/>
        <v/>
      </c>
      <c r="U359" s="80"/>
      <c r="V359" s="80"/>
      <c r="W359" s="80"/>
      <c r="X359" s="80"/>
      <c r="Y359" s="77" t="str">
        <f t="shared" si="30"/>
        <v/>
      </c>
      <c r="Z359" s="80"/>
      <c r="AA359" s="80"/>
      <c r="AB359" s="80"/>
      <c r="AC359" s="80"/>
      <c r="AD359" s="80"/>
      <c r="AE359" s="80"/>
      <c r="AF359" s="80"/>
      <c r="AG359" s="81" t="s">
        <v>543</v>
      </c>
      <c r="AH359" s="35"/>
      <c r="AI359" s="35"/>
      <c r="AK359"/>
      <c r="AM359" s="56"/>
      <c r="AN359" s="57"/>
      <c r="AO359" s="63" t="str">
        <f>IF($A359="","",IFERROR(_xlfn.XLOOKUP($A359,'2_DOI_Lookup'!$A$2:$A$430,'2_DOI_Lookup'!$B$2:$B$430),"NOT IN SOURCE"))</f>
        <v>10.1061/JUPDDM.UPENG-5843</v>
      </c>
    </row>
    <row r="360" spans="1:41" ht="45.6" hidden="1" x14ac:dyDescent="0.3">
      <c r="A360" s="64">
        <v>4025</v>
      </c>
      <c r="B360" s="65"/>
      <c r="C360" s="66"/>
      <c r="D360" s="65"/>
      <c r="E360" s="65" t="str">
        <f>IF($A360="","",IFERROR(_xlfn.XLOOKUP($A360,'2_DOI_Lookup'!$D$2:$D$430,'2_DOI_Lookup'!$E$2:$E$430),"TITLE NOT IN SOURCE"))</f>
        <v>Using Eye-Tracking to Measure Worker Situation Awareness in Augmented Reality</v>
      </c>
      <c r="F360" s="64" t="s">
        <v>310</v>
      </c>
      <c r="G360" s="67" t="s">
        <v>311</v>
      </c>
      <c r="H360" s="67" t="s">
        <v>312</v>
      </c>
      <c r="I360" s="67" t="s">
        <v>311</v>
      </c>
      <c r="J360" s="67" t="s">
        <v>311</v>
      </c>
      <c r="K360" s="67" t="s">
        <v>311</v>
      </c>
      <c r="L360" s="68" t="str">
        <f t="shared" si="26"/>
        <v>EXCLUDE</v>
      </c>
      <c r="M360" s="68" t="str">
        <f t="shared" si="27"/>
        <v>Digital Twin not core / buzzword</v>
      </c>
      <c r="N360" s="69"/>
      <c r="O360" s="69"/>
      <c r="P360" s="70"/>
      <c r="Q360" s="70"/>
      <c r="R360" s="70"/>
      <c r="S360" s="68" t="str">
        <f t="shared" si="28"/>
        <v/>
      </c>
      <c r="T360" s="68" t="str">
        <f t="shared" si="29"/>
        <v/>
      </c>
      <c r="U360" s="71"/>
      <c r="V360" s="71"/>
      <c r="W360" s="71"/>
      <c r="X360" s="71"/>
      <c r="Y360" s="68" t="str">
        <f t="shared" si="30"/>
        <v/>
      </c>
      <c r="Z360" s="71"/>
      <c r="AA360" s="71"/>
      <c r="AB360" s="71"/>
      <c r="AC360" s="71"/>
      <c r="AD360" s="71"/>
      <c r="AE360" s="71"/>
      <c r="AF360" s="71"/>
      <c r="AG360" s="72" t="s">
        <v>544</v>
      </c>
      <c r="AH360" s="35"/>
      <c r="AI360" s="35"/>
      <c r="AK360"/>
      <c r="AM360" s="56"/>
      <c r="AN360" s="57"/>
      <c r="AO360" s="63" t="str">
        <f>IF($A360="","",IFERROR(_xlfn.XLOOKUP($A360,'2_DOI_Lookup'!$A$2:$A$430,'2_DOI_Lookup'!$B$2:$B$430),"NOT IN SOURCE"))</f>
        <v>10.1016/j.autcon.2024.105582</v>
      </c>
    </row>
    <row r="361" spans="1:41" ht="86.4" x14ac:dyDescent="0.3">
      <c r="A361" s="26">
        <v>3960</v>
      </c>
      <c r="B361" s="9" t="s">
        <v>279</v>
      </c>
      <c r="C361" s="32">
        <v>2022</v>
      </c>
      <c r="D361" s="9"/>
      <c r="E361" s="9" t="str">
        <f>IF($A361="","",IFERROR(_xlfn.XLOOKUP($A361,'2_DOI_Lookup'!$D$2:$D$430,'2_DOI_Lookup'!$E$2:$E$430),"TITLE NOT IN SOURCE"))</f>
        <v>Real-time mixed reality-based visual warning for construction workforce safety</v>
      </c>
      <c r="F361" s="26" t="s">
        <v>310</v>
      </c>
      <c r="G361" s="27" t="s">
        <v>311</v>
      </c>
      <c r="H361" s="27" t="s">
        <v>311</v>
      </c>
      <c r="I361" s="27" t="s">
        <v>311</v>
      </c>
      <c r="J361" s="27" t="s">
        <v>311</v>
      </c>
      <c r="K361" s="27" t="s">
        <v>311</v>
      </c>
      <c r="L361" s="28" t="str">
        <f t="shared" si="26"/>
        <v>INCLUDE</v>
      </c>
      <c r="M361" s="28" t="str">
        <f t="shared" si="27"/>
        <v/>
      </c>
      <c r="N361" s="29" t="s">
        <v>311</v>
      </c>
      <c r="O361" s="29" t="s">
        <v>311</v>
      </c>
      <c r="P361" s="30" t="s">
        <v>311</v>
      </c>
      <c r="Q361" s="30" t="s">
        <v>311</v>
      </c>
      <c r="R361" s="30" t="s">
        <v>311</v>
      </c>
      <c r="S361" s="28" t="str">
        <f t="shared" si="28"/>
        <v>INCLUDE</v>
      </c>
      <c r="T361" s="28" t="str">
        <f t="shared" si="29"/>
        <v/>
      </c>
      <c r="U361" s="31" t="s">
        <v>61</v>
      </c>
      <c r="V361" s="31">
        <v>0</v>
      </c>
      <c r="W361" s="31">
        <v>1</v>
      </c>
      <c r="X361" s="31">
        <v>0</v>
      </c>
      <c r="Y361" s="28" t="str">
        <f t="shared" si="30"/>
        <v>Single</v>
      </c>
      <c r="Z361" s="31" t="s">
        <v>9</v>
      </c>
      <c r="AA361" s="31" t="s">
        <v>53</v>
      </c>
      <c r="AB361" s="31" t="s">
        <v>54</v>
      </c>
      <c r="AC361" s="31" t="s">
        <v>64</v>
      </c>
      <c r="AD361" s="31" t="s">
        <v>72</v>
      </c>
      <c r="AE361" s="31">
        <v>4</v>
      </c>
      <c r="AF361" s="31" t="s">
        <v>80</v>
      </c>
      <c r="AG361" s="15" t="s">
        <v>662</v>
      </c>
      <c r="AH361" s="97" t="s">
        <v>984</v>
      </c>
      <c r="AI361" s="97" t="s">
        <v>985</v>
      </c>
      <c r="AJ361" s="98" t="s">
        <v>1081</v>
      </c>
      <c r="AK361" s="98" t="s">
        <v>1207</v>
      </c>
      <c r="AL361" s="98" t="s">
        <v>1083</v>
      </c>
      <c r="AM361" s="99"/>
      <c r="AN361" s="100" t="s">
        <v>1400</v>
      </c>
      <c r="AO361" s="101" t="str">
        <f>IF($A361="","",IFERROR(_xlfn.XLOOKUP($A361,'2_DOI_Lookup'!$A$2:$A$430,'2_DOI_Lookup'!$B$2:$B$430),"NOT IN SOURCE"))</f>
        <v>10.1016/j.autcon.2022.104252</v>
      </c>
    </row>
    <row r="362" spans="1:41" ht="302.39999999999998" x14ac:dyDescent="0.3">
      <c r="A362" s="26">
        <v>3988</v>
      </c>
      <c r="B362" s="9" t="s">
        <v>280</v>
      </c>
      <c r="C362" s="32">
        <v>2026</v>
      </c>
      <c r="D362" s="9"/>
      <c r="E362" s="9" t="str">
        <f>IF($A362="","",IFERROR(_xlfn.XLOOKUP($A362,'2_DOI_Lookup'!$D$2:$D$430,'2_DOI_Lookup'!$E$2:$E$430),"TITLE NOT IN SOURCE"))</f>
        <v>Knowledge-data driven digital twin platform: intelligent prediction and control of tunnel face stability during large-diameter slurry shield construction</v>
      </c>
      <c r="F362" s="26" t="s">
        <v>310</v>
      </c>
      <c r="G362" s="27" t="s">
        <v>311</v>
      </c>
      <c r="H362" s="27" t="s">
        <v>311</v>
      </c>
      <c r="I362" s="27" t="s">
        <v>311</v>
      </c>
      <c r="J362" s="27" t="s">
        <v>311</v>
      </c>
      <c r="K362" s="27" t="s">
        <v>311</v>
      </c>
      <c r="L362" s="28" t="str">
        <f t="shared" si="26"/>
        <v>INCLUDE</v>
      </c>
      <c r="M362" s="28" t="str">
        <f t="shared" si="27"/>
        <v/>
      </c>
      <c r="N362" s="29" t="s">
        <v>311</v>
      </c>
      <c r="O362" s="29" t="s">
        <v>311</v>
      </c>
      <c r="P362" s="30" t="s">
        <v>311</v>
      </c>
      <c r="Q362" s="30" t="s">
        <v>311</v>
      </c>
      <c r="R362" s="30" t="s">
        <v>311</v>
      </c>
      <c r="S362" s="28" t="str">
        <f t="shared" si="28"/>
        <v>INCLUDE</v>
      </c>
      <c r="T362" s="28" t="str">
        <f t="shared" si="29"/>
        <v/>
      </c>
      <c r="U362" s="31" t="s">
        <v>68</v>
      </c>
      <c r="V362" s="31">
        <v>0</v>
      </c>
      <c r="W362" s="31">
        <v>1</v>
      </c>
      <c r="X362" s="31">
        <v>0</v>
      </c>
      <c r="Y362" s="28" t="str">
        <f t="shared" si="30"/>
        <v>Single</v>
      </c>
      <c r="Z362" s="31" t="s">
        <v>9</v>
      </c>
      <c r="AA362" s="31" t="s">
        <v>53</v>
      </c>
      <c r="AB362" s="31" t="s">
        <v>63</v>
      </c>
      <c r="AC362" s="31" t="s">
        <v>64</v>
      </c>
      <c r="AD362" s="31" t="s">
        <v>72</v>
      </c>
      <c r="AE362" s="31">
        <v>4</v>
      </c>
      <c r="AF362" s="31" t="s">
        <v>84</v>
      </c>
      <c r="AG362" s="15" t="s">
        <v>663</v>
      </c>
      <c r="AH362" s="97" t="s">
        <v>986</v>
      </c>
      <c r="AI362" s="97" t="s">
        <v>987</v>
      </c>
      <c r="AJ362" s="98" t="s">
        <v>1081</v>
      </c>
      <c r="AK362" s="98" t="s">
        <v>1208</v>
      </c>
      <c r="AL362" s="98" t="s">
        <v>1083</v>
      </c>
      <c r="AM362" s="99" t="s">
        <v>1451</v>
      </c>
      <c r="AN362" s="100" t="s">
        <v>1452</v>
      </c>
      <c r="AO362" s="101" t="str">
        <f>IF($A362="","",IFERROR(_xlfn.XLOOKUP($A362,'2_DOI_Lookup'!$A$2:$A$430,'2_DOI_Lookup'!$B$2:$B$430),"NOT IN SOURCE"))</f>
        <v>10.1016/j.engappai.2026.114029</v>
      </c>
    </row>
    <row r="363" spans="1:41" ht="79.8" x14ac:dyDescent="0.3">
      <c r="A363" s="26">
        <v>3981</v>
      </c>
      <c r="B363" s="9" t="s">
        <v>281</v>
      </c>
      <c r="C363" s="32">
        <v>2024</v>
      </c>
      <c r="D363" s="9"/>
      <c r="E363" s="9" t="str">
        <f>IF($A363="","",IFERROR(_xlfn.XLOOKUP($A363,'2_DOI_Lookup'!$D$2:$D$430,'2_DOI_Lookup'!$E$2:$E$430),"TITLE NOT IN SOURCE"))</f>
        <v>Multisource information fusion for real-time prediction and multiobjective optimization of large-diameter slurry shield attitude</v>
      </c>
      <c r="F363" s="26" t="s">
        <v>310</v>
      </c>
      <c r="G363" s="27" t="s">
        <v>311</v>
      </c>
      <c r="H363" s="27" t="s">
        <v>311</v>
      </c>
      <c r="I363" s="27" t="s">
        <v>311</v>
      </c>
      <c r="J363" s="27" t="s">
        <v>311</v>
      </c>
      <c r="K363" s="27" t="s">
        <v>311</v>
      </c>
      <c r="L363" s="28" t="str">
        <f t="shared" si="26"/>
        <v>INCLUDE</v>
      </c>
      <c r="M363" s="28" t="str">
        <f t="shared" si="27"/>
        <v/>
      </c>
      <c r="N363" s="29" t="s">
        <v>311</v>
      </c>
      <c r="O363" s="29" t="s">
        <v>311</v>
      </c>
      <c r="P363" s="30" t="s">
        <v>311</v>
      </c>
      <c r="Q363" s="30" t="s">
        <v>311</v>
      </c>
      <c r="R363" s="30" t="s">
        <v>311</v>
      </c>
      <c r="S363" s="28" t="str">
        <f t="shared" si="28"/>
        <v>INCLUDE</v>
      </c>
      <c r="T363" s="28" t="str">
        <f t="shared" si="29"/>
        <v/>
      </c>
      <c r="U363" s="31" t="s">
        <v>61</v>
      </c>
      <c r="V363" s="31">
        <v>0</v>
      </c>
      <c r="W363" s="31">
        <v>1</v>
      </c>
      <c r="X363" s="31">
        <v>0</v>
      </c>
      <c r="Y363" s="28" t="str">
        <f t="shared" si="30"/>
        <v>Single</v>
      </c>
      <c r="Z363" s="31" t="s">
        <v>9</v>
      </c>
      <c r="AA363" s="31" t="s">
        <v>53</v>
      </c>
      <c r="AB363" s="31" t="s">
        <v>92</v>
      </c>
      <c r="AC363" s="31" t="s">
        <v>64</v>
      </c>
      <c r="AD363" s="31" t="s">
        <v>72</v>
      </c>
      <c r="AE363" s="31">
        <v>4</v>
      </c>
      <c r="AF363" s="31" t="s">
        <v>84</v>
      </c>
      <c r="AG363" s="15" t="s">
        <v>664</v>
      </c>
      <c r="AH363" s="97" t="s">
        <v>988</v>
      </c>
      <c r="AI363" s="97" t="s">
        <v>989</v>
      </c>
      <c r="AJ363" s="98" t="s">
        <v>1081</v>
      </c>
      <c r="AK363" s="98" t="s">
        <v>1209</v>
      </c>
      <c r="AL363" s="98" t="s">
        <v>1083</v>
      </c>
      <c r="AM363" s="99"/>
      <c r="AN363" s="100" t="s">
        <v>1419</v>
      </c>
      <c r="AO363" s="101" t="str">
        <f>IF($A363="","",IFERROR(_xlfn.XLOOKUP($A363,'2_DOI_Lookup'!$A$2:$A$430,'2_DOI_Lookup'!$B$2:$B$430),"NOT IN SOURCE"))</f>
        <v>10.1016/j.ress.2024.110305</v>
      </c>
    </row>
    <row r="364" spans="1:41" ht="79.8" x14ac:dyDescent="0.3">
      <c r="A364" s="26">
        <v>3656</v>
      </c>
      <c r="B364" s="9" t="s">
        <v>279</v>
      </c>
      <c r="C364" s="32">
        <v>2022</v>
      </c>
      <c r="D364" s="9"/>
      <c r="E364" s="9" t="str">
        <f>IF($A364="","",IFERROR(_xlfn.XLOOKUP($A364,'2_DOI_Lookup'!$D$2:$D$430,'2_DOI_Lookup'!$E$2:$E$430),"TITLE NOT IN SOURCE"))</f>
        <v>A Novel Method for Tunnel Digital Twin Construction and Virtual-Real Fusion Application</v>
      </c>
      <c r="F364" s="26" t="s">
        <v>309</v>
      </c>
      <c r="G364" s="27" t="s">
        <v>311</v>
      </c>
      <c r="H364" s="27" t="s">
        <v>311</v>
      </c>
      <c r="I364" s="27" t="s">
        <v>311</v>
      </c>
      <c r="J364" s="27" t="s">
        <v>311</v>
      </c>
      <c r="K364" s="27" t="s">
        <v>311</v>
      </c>
      <c r="L364" s="28" t="str">
        <f t="shared" si="26"/>
        <v>INCLUDE</v>
      </c>
      <c r="M364" s="28" t="str">
        <f t="shared" si="27"/>
        <v/>
      </c>
      <c r="N364" s="29" t="s">
        <v>311</v>
      </c>
      <c r="O364" s="29" t="s">
        <v>311</v>
      </c>
      <c r="P364" s="30" t="s">
        <v>311</v>
      </c>
      <c r="Q364" s="30" t="s">
        <v>311</v>
      </c>
      <c r="R364" s="30" t="s">
        <v>311</v>
      </c>
      <c r="S364" s="28" t="str">
        <f t="shared" si="28"/>
        <v>INCLUDE</v>
      </c>
      <c r="T364" s="28" t="str">
        <f t="shared" si="29"/>
        <v/>
      </c>
      <c r="U364" s="31" t="s">
        <v>61</v>
      </c>
      <c r="V364" s="31">
        <v>0</v>
      </c>
      <c r="W364" s="31">
        <v>0</v>
      </c>
      <c r="X364" s="31">
        <v>1</v>
      </c>
      <c r="Y364" s="28" t="str">
        <f t="shared" si="30"/>
        <v>Single</v>
      </c>
      <c r="Z364" s="31" t="s">
        <v>9</v>
      </c>
      <c r="AA364" s="31" t="s">
        <v>53</v>
      </c>
      <c r="AB364" s="31" t="s">
        <v>91</v>
      </c>
      <c r="AC364" s="31" t="s">
        <v>64</v>
      </c>
      <c r="AD364" s="31" t="s">
        <v>72</v>
      </c>
      <c r="AE364" s="31">
        <v>4</v>
      </c>
      <c r="AF364" s="31" t="s">
        <v>80</v>
      </c>
      <c r="AG364" s="15" t="s">
        <v>665</v>
      </c>
      <c r="AH364" s="97" t="s">
        <v>990</v>
      </c>
      <c r="AI364" s="97" t="s">
        <v>991</v>
      </c>
      <c r="AJ364" s="98" t="s">
        <v>1080</v>
      </c>
      <c r="AK364" s="98" t="s">
        <v>1210</v>
      </c>
      <c r="AL364" s="98" t="s">
        <v>1083</v>
      </c>
      <c r="AM364" s="99"/>
      <c r="AN364" s="100" t="s">
        <v>1279</v>
      </c>
      <c r="AO364" s="101" t="str">
        <f>IF($A364="","",IFERROR(_xlfn.XLOOKUP($A364,'2_DOI_Lookup'!$A$2:$A$430,'2_DOI_Lookup'!$B$2:$B$430),"NOT IN SOURCE"))</f>
        <v>10.3390/electronics11091413</v>
      </c>
    </row>
    <row r="365" spans="1:41" ht="114" x14ac:dyDescent="0.3">
      <c r="A365" s="26">
        <v>3530</v>
      </c>
      <c r="B365" s="9" t="s">
        <v>282</v>
      </c>
      <c r="C365" s="32">
        <v>2021</v>
      </c>
      <c r="D365" s="9"/>
      <c r="E365" s="9" t="str">
        <f>IF($A365="","",IFERROR(_xlfn.XLOOKUP($A365,'2_DOI_Lookup'!$D$2:$D$430,'2_DOI_Lookup'!$E$2:$E$430),"TITLE NOT IN SOURCE"))</f>
        <v>Research on Digital Twin Construction and Safety Management Application of Inland Waterway Based on 3D Video Fusion</v>
      </c>
      <c r="F365" s="26" t="s">
        <v>309</v>
      </c>
      <c r="G365" s="27" t="s">
        <v>311</v>
      </c>
      <c r="H365" s="27" t="s">
        <v>311</v>
      </c>
      <c r="I365" s="27" t="s">
        <v>311</v>
      </c>
      <c r="J365" s="27" t="s">
        <v>311</v>
      </c>
      <c r="K365" s="27" t="s">
        <v>311</v>
      </c>
      <c r="L365" s="28" t="str">
        <f t="shared" si="26"/>
        <v>INCLUDE</v>
      </c>
      <c r="M365" s="28" t="str">
        <f t="shared" si="27"/>
        <v/>
      </c>
      <c r="N365" s="29" t="s">
        <v>49</v>
      </c>
      <c r="O365" s="29" t="s">
        <v>49</v>
      </c>
      <c r="P365" s="30" t="s">
        <v>49</v>
      </c>
      <c r="Q365" s="30" t="s">
        <v>49</v>
      </c>
      <c r="R365" s="30" t="s">
        <v>49</v>
      </c>
      <c r="S365" s="28" t="str">
        <f t="shared" si="28"/>
        <v>INCLUDE</v>
      </c>
      <c r="T365" s="28" t="str">
        <f t="shared" si="29"/>
        <v/>
      </c>
      <c r="U365" s="31" t="s">
        <v>61</v>
      </c>
      <c r="V365" s="31">
        <v>0</v>
      </c>
      <c r="W365" s="31">
        <v>0</v>
      </c>
      <c r="X365" s="31">
        <v>1</v>
      </c>
      <c r="Y365" s="28" t="str">
        <f t="shared" si="30"/>
        <v>Single</v>
      </c>
      <c r="Z365" s="31" t="s">
        <v>9</v>
      </c>
      <c r="AA365" s="31" t="s">
        <v>62</v>
      </c>
      <c r="AB365" s="31" t="s">
        <v>54</v>
      </c>
      <c r="AC365" s="31" t="s">
        <v>64</v>
      </c>
      <c r="AD365" s="31" t="s">
        <v>72</v>
      </c>
      <c r="AE365" s="31">
        <v>4</v>
      </c>
      <c r="AF365" s="31" t="s">
        <v>84</v>
      </c>
      <c r="AG365" s="15" t="s">
        <v>739</v>
      </c>
      <c r="AH365" s="97" t="s">
        <v>992</v>
      </c>
      <c r="AI365" s="97" t="s">
        <v>993</v>
      </c>
      <c r="AJ365" s="98" t="s">
        <v>1080</v>
      </c>
      <c r="AK365" s="98" t="s">
        <v>1211</v>
      </c>
      <c r="AL365" s="98" t="s">
        <v>1083</v>
      </c>
      <c r="AM365" s="99"/>
      <c r="AN365" s="100" t="s">
        <v>1256</v>
      </c>
      <c r="AO365" s="101" t="str">
        <f>IF($A365="","",IFERROR(_xlfn.XLOOKUP($A365,'2_DOI_Lookup'!$A$2:$A$430,'2_DOI_Lookup'!$B$2:$B$430),"NOT IN SOURCE"))</f>
        <v>10.1109/ACCESS.2021.3101653</v>
      </c>
    </row>
    <row r="366" spans="1:41" ht="45.6" hidden="1" x14ac:dyDescent="0.3">
      <c r="A366" s="73">
        <v>3843</v>
      </c>
      <c r="B366" s="74"/>
      <c r="C366" s="75"/>
      <c r="D366" s="74"/>
      <c r="E366" s="74" t="str">
        <f>IF($A366="","",IFERROR(_xlfn.XLOOKUP($A366,'2_DOI_Lookup'!$D$2:$D$430,'2_DOI_Lookup'!$E$2:$E$430),"TITLE NOT IN SOURCE"))</f>
        <v>Real-time digital twin of autonomous ships based on virtual-physical mapping model</v>
      </c>
      <c r="F366" s="73" t="s">
        <v>309</v>
      </c>
      <c r="G366" s="76" t="s">
        <v>312</v>
      </c>
      <c r="H366" s="76" t="s">
        <v>311</v>
      </c>
      <c r="I366" s="76" t="s">
        <v>311</v>
      </c>
      <c r="J366" s="76" t="s">
        <v>311</v>
      </c>
      <c r="K366" s="76" t="s">
        <v>311</v>
      </c>
      <c r="L366" s="77" t="str">
        <f t="shared" si="26"/>
        <v>EXCLUDE</v>
      </c>
      <c r="M366" s="77" t="str">
        <f t="shared" si="27"/>
        <v>Wrong domain (non-AECO)</v>
      </c>
      <c r="N366" s="78"/>
      <c r="O366" s="78"/>
      <c r="P366" s="79"/>
      <c r="Q366" s="79"/>
      <c r="R366" s="79"/>
      <c r="S366" s="77" t="str">
        <f t="shared" si="28"/>
        <v/>
      </c>
      <c r="T366" s="77" t="str">
        <f t="shared" si="29"/>
        <v/>
      </c>
      <c r="U366" s="80"/>
      <c r="V366" s="80"/>
      <c r="W366" s="80"/>
      <c r="X366" s="80"/>
      <c r="Y366" s="77" t="str">
        <f t="shared" si="30"/>
        <v/>
      </c>
      <c r="Z366" s="80"/>
      <c r="AA366" s="80"/>
      <c r="AB366" s="80"/>
      <c r="AC366" s="80"/>
      <c r="AD366" s="80"/>
      <c r="AE366" s="80"/>
      <c r="AF366" s="80"/>
      <c r="AG366" s="81" t="s">
        <v>545</v>
      </c>
      <c r="AH366" s="35"/>
      <c r="AI366" s="35"/>
      <c r="AK366"/>
      <c r="AM366" s="56"/>
      <c r="AN366" s="57"/>
      <c r="AO366" s="63" t="str">
        <f>IF($A366="","",IFERROR(_xlfn.XLOOKUP($A366,'2_DOI_Lookup'!$A$2:$A$430,'2_DOI_Lookup'!$B$2:$B$430),"NOT IN SOURCE"))</f>
        <v>10.1063/5.0222332</v>
      </c>
    </row>
    <row r="367" spans="1:41" ht="68.400000000000006" hidden="1" x14ac:dyDescent="0.3">
      <c r="A367" s="26">
        <v>3502</v>
      </c>
      <c r="B367" s="9"/>
      <c r="C367" s="32"/>
      <c r="D367" s="9"/>
      <c r="E367" s="9" t="str">
        <f>IF($A367="","",IFERROR(_xlfn.XLOOKUP($A367,'2_DOI_Lookup'!$D$2:$D$430,'2_DOI_Lookup'!$E$2:$E$430),"TITLE NOT IN SOURCE"))</f>
        <v>Auto-constructed PID-based search algorithm for ship parameter identification under environmental disturbances</v>
      </c>
      <c r="F367" s="26" t="s">
        <v>309</v>
      </c>
      <c r="G367" s="27" t="s">
        <v>312</v>
      </c>
      <c r="H367" s="27" t="s">
        <v>311</v>
      </c>
      <c r="I367" s="27" t="s">
        <v>311</v>
      </c>
      <c r="J367" s="27" t="s">
        <v>311</v>
      </c>
      <c r="K367" s="27" t="s">
        <v>311</v>
      </c>
      <c r="L367" s="28" t="str">
        <f t="shared" si="26"/>
        <v>EXCLUDE</v>
      </c>
      <c r="M367" s="28" t="str">
        <f t="shared" si="27"/>
        <v>Wrong domain (non-AECO)</v>
      </c>
      <c r="N367" s="29"/>
      <c r="O367" s="29"/>
      <c r="P367" s="30"/>
      <c r="Q367" s="30"/>
      <c r="R367" s="30"/>
      <c r="S367" s="28" t="str">
        <f t="shared" si="28"/>
        <v/>
      </c>
      <c r="T367" s="28" t="str">
        <f t="shared" si="29"/>
        <v/>
      </c>
      <c r="U367" s="31"/>
      <c r="V367" s="31"/>
      <c r="W367" s="31"/>
      <c r="X367" s="31"/>
      <c r="Y367" s="28" t="str">
        <f t="shared" si="30"/>
        <v/>
      </c>
      <c r="Z367" s="31"/>
      <c r="AA367" s="31"/>
      <c r="AB367" s="31"/>
      <c r="AC367" s="31"/>
      <c r="AD367" s="31"/>
      <c r="AE367" s="31"/>
      <c r="AF367" s="31"/>
      <c r="AG367" s="15" t="s">
        <v>546</v>
      </c>
      <c r="AH367" s="35"/>
      <c r="AI367" s="35"/>
      <c r="AK367"/>
      <c r="AM367" s="56"/>
      <c r="AN367" s="57"/>
      <c r="AO367" s="63" t="str">
        <f>IF($A367="","",IFERROR(_xlfn.XLOOKUP($A367,'2_DOI_Lookup'!$A$2:$A$430,'2_DOI_Lookup'!$B$2:$B$430),"NOT IN SOURCE"))</f>
        <v>10.1080/17445302.2026.2663524</v>
      </c>
    </row>
    <row r="368" spans="1:41" ht="57" hidden="1" x14ac:dyDescent="0.3">
      <c r="A368" s="26">
        <v>3856</v>
      </c>
      <c r="B368" s="9"/>
      <c r="C368" s="32"/>
      <c r="D368" s="9"/>
      <c r="E368" s="9" t="str">
        <f>IF($A368="","",IFERROR(_xlfn.XLOOKUP($A368,'2_DOI_Lookup'!$D$2:$D$430,'2_DOI_Lookup'!$E$2:$E$430),"TITLE NOT IN SOURCE"))</f>
        <v>CommandFence: A Novel Digital-Twin-Based Preventive Framework for Securing Smart Home Systems</v>
      </c>
      <c r="F368" s="26" t="s">
        <v>309</v>
      </c>
      <c r="G368" s="27" t="s">
        <v>312</v>
      </c>
      <c r="H368" s="27" t="s">
        <v>311</v>
      </c>
      <c r="I368" s="27" t="s">
        <v>311</v>
      </c>
      <c r="J368" s="27" t="s">
        <v>311</v>
      </c>
      <c r="K368" s="27" t="s">
        <v>311</v>
      </c>
      <c r="L368" s="28" t="str">
        <f t="shared" si="26"/>
        <v>EXCLUDE</v>
      </c>
      <c r="M368" s="28" t="str">
        <f t="shared" si="27"/>
        <v>Wrong domain (non-AECO)</v>
      </c>
      <c r="N368" s="29"/>
      <c r="O368" s="29"/>
      <c r="P368" s="30"/>
      <c r="Q368" s="30"/>
      <c r="R368" s="30"/>
      <c r="S368" s="28" t="str">
        <f t="shared" si="28"/>
        <v/>
      </c>
      <c r="T368" s="28" t="str">
        <f t="shared" si="29"/>
        <v/>
      </c>
      <c r="U368" s="31"/>
      <c r="V368" s="31"/>
      <c r="W368" s="31"/>
      <c r="X368" s="31"/>
      <c r="Y368" s="28" t="str">
        <f t="shared" si="30"/>
        <v/>
      </c>
      <c r="Z368" s="31"/>
      <c r="AA368" s="31"/>
      <c r="AB368" s="31"/>
      <c r="AC368" s="31"/>
      <c r="AD368" s="31"/>
      <c r="AE368" s="31"/>
      <c r="AF368" s="31"/>
      <c r="AG368" s="15" t="s">
        <v>547</v>
      </c>
      <c r="AH368" s="35"/>
      <c r="AI368" s="35"/>
      <c r="AK368"/>
      <c r="AM368" s="56"/>
      <c r="AN368" s="57"/>
      <c r="AO368" s="63" t="str">
        <f>IF($A368="","",IFERROR(_xlfn.XLOOKUP($A368,'2_DOI_Lookup'!$A$2:$A$430,'2_DOI_Lookup'!$B$2:$B$430),"NOT IN SOURCE"))</f>
        <v>10.1109/TDSC.2022.3184185</v>
      </c>
    </row>
    <row r="369" spans="1:41" ht="45.6" hidden="1" x14ac:dyDescent="0.3">
      <c r="A369" s="64">
        <v>3719</v>
      </c>
      <c r="B369" s="65"/>
      <c r="C369" s="66"/>
      <c r="D369" s="65"/>
      <c r="E369" s="65" t="str">
        <f>IF($A369="","",IFERROR(_xlfn.XLOOKUP($A369,'2_DOI_Lookup'!$D$2:$D$430,'2_DOI_Lookup'!$E$2:$E$430),"TITLE NOT IN SOURCE"))</f>
        <v>3D City Modeling on Infrastructure Construction Using Digital Twin</v>
      </c>
      <c r="F369" s="64" t="s">
        <v>309</v>
      </c>
      <c r="G369" s="67" t="s">
        <v>311</v>
      </c>
      <c r="H369" s="67" t="s">
        <v>311</v>
      </c>
      <c r="I369" s="67" t="s">
        <v>312</v>
      </c>
      <c r="J369" s="67" t="s">
        <v>311</v>
      </c>
      <c r="K369" s="67" t="s">
        <v>311</v>
      </c>
      <c r="L369" s="68" t="str">
        <f t="shared" si="26"/>
        <v>EXCLUDE</v>
      </c>
      <c r="M369" s="68" t="str">
        <f t="shared" si="27"/>
        <v>No Design for Safety/Quality/PtD</v>
      </c>
      <c r="N369" s="69"/>
      <c r="O369" s="69"/>
      <c r="P369" s="70"/>
      <c r="Q369" s="70"/>
      <c r="R369" s="70"/>
      <c r="S369" s="68" t="str">
        <f t="shared" si="28"/>
        <v/>
      </c>
      <c r="T369" s="68" t="str">
        <f t="shared" si="29"/>
        <v/>
      </c>
      <c r="U369" s="71"/>
      <c r="V369" s="71"/>
      <c r="W369" s="71"/>
      <c r="X369" s="71"/>
      <c r="Y369" s="68" t="str">
        <f t="shared" si="30"/>
        <v/>
      </c>
      <c r="Z369" s="71"/>
      <c r="AA369" s="71"/>
      <c r="AB369" s="71"/>
      <c r="AC369" s="71"/>
      <c r="AD369" s="71"/>
      <c r="AE369" s="71"/>
      <c r="AF369" s="71"/>
      <c r="AG369" s="72" t="s">
        <v>548</v>
      </c>
      <c r="AH369" s="35"/>
      <c r="AI369" s="35"/>
      <c r="AK369"/>
      <c r="AM369" s="56"/>
      <c r="AN369" s="57"/>
      <c r="AO369" s="63" t="str">
        <f>IF($A369="","",IFERROR(_xlfn.XLOOKUP($A369,'2_DOI_Lookup'!$A$2:$A$430,'2_DOI_Lookup'!$B$2:$B$430),"NOT IN SOURCE"))</f>
        <v>10.14733/cadaps.2024.S12.1-18</v>
      </c>
    </row>
    <row r="370" spans="1:41" ht="115.2" x14ac:dyDescent="0.3">
      <c r="A370" s="26">
        <v>3927</v>
      </c>
      <c r="B370" s="61" t="s">
        <v>2318</v>
      </c>
      <c r="C370" s="32">
        <v>2025</v>
      </c>
      <c r="D370" s="9"/>
      <c r="E370" s="9" t="str">
        <f>IF($A370="","",IFERROR(_xlfn.XLOOKUP($A370,'2_DOI_Lookup'!$D$2:$D$430,'2_DOI_Lookup'!$E$2:$E$430),"TITLE NOT IN SOURCE"))</f>
        <v>AIoT-powered building digital twin for smart firefighting and super real-time fire forecast</v>
      </c>
      <c r="F370" s="26" t="s">
        <v>310</v>
      </c>
      <c r="G370" s="27" t="s">
        <v>311</v>
      </c>
      <c r="H370" s="27" t="s">
        <v>311</v>
      </c>
      <c r="I370" s="27" t="s">
        <v>311</v>
      </c>
      <c r="J370" s="27" t="s">
        <v>311</v>
      </c>
      <c r="K370" s="27" t="s">
        <v>311</v>
      </c>
      <c r="L370" s="28" t="str">
        <f t="shared" si="26"/>
        <v>INCLUDE</v>
      </c>
      <c r="M370" s="28" t="str">
        <f t="shared" si="27"/>
        <v/>
      </c>
      <c r="N370" s="29" t="s">
        <v>311</v>
      </c>
      <c r="O370" s="29" t="s">
        <v>311</v>
      </c>
      <c r="P370" s="30" t="s">
        <v>311</v>
      </c>
      <c r="Q370" s="30" t="s">
        <v>311</v>
      </c>
      <c r="R370" s="30" t="s">
        <v>311</v>
      </c>
      <c r="S370" s="28" t="str">
        <f t="shared" si="28"/>
        <v>INCLUDE</v>
      </c>
      <c r="T370" s="28" t="str">
        <f t="shared" si="29"/>
        <v/>
      </c>
      <c r="U370" s="31" t="s">
        <v>61</v>
      </c>
      <c r="V370" s="31">
        <v>0</v>
      </c>
      <c r="W370" s="31">
        <v>0</v>
      </c>
      <c r="X370" s="31">
        <v>1</v>
      </c>
      <c r="Y370" s="28" t="str">
        <f t="shared" si="30"/>
        <v>Single</v>
      </c>
      <c r="Z370" s="31" t="s">
        <v>9</v>
      </c>
      <c r="AA370" s="31" t="s">
        <v>53</v>
      </c>
      <c r="AB370" s="31" t="s">
        <v>71</v>
      </c>
      <c r="AC370" s="31" t="s">
        <v>64</v>
      </c>
      <c r="AD370" s="31" t="s">
        <v>72</v>
      </c>
      <c r="AE370" s="31">
        <v>4</v>
      </c>
      <c r="AF370" s="31" t="s">
        <v>80</v>
      </c>
      <c r="AG370" s="15" t="s">
        <v>666</v>
      </c>
      <c r="AH370" s="97" t="s">
        <v>994</v>
      </c>
      <c r="AI370" s="97" t="s">
        <v>995</v>
      </c>
      <c r="AJ370" s="98" t="s">
        <v>1080</v>
      </c>
      <c r="AK370" s="98" t="s">
        <v>1212</v>
      </c>
      <c r="AL370" s="98" t="s">
        <v>1084</v>
      </c>
      <c r="AM370" s="99"/>
      <c r="AN370" s="100" t="s">
        <v>1372</v>
      </c>
      <c r="AO370" s="101" t="str">
        <f>IF($A370="","",IFERROR(_xlfn.XLOOKUP($A370,'2_DOI_Lookup'!$A$2:$A$430,'2_DOI_Lookup'!$B$2:$B$430),"NOT IN SOURCE"))</f>
        <v>10.1016/j.aei.2025.103117</v>
      </c>
    </row>
    <row r="371" spans="1:41" ht="57" hidden="1" x14ac:dyDescent="0.3">
      <c r="A371" s="82">
        <v>3829</v>
      </c>
      <c r="B371" s="83"/>
      <c r="C371" s="84"/>
      <c r="D371" s="83"/>
      <c r="E371" s="83" t="str">
        <f>IF($A371="","",IFERROR(_xlfn.XLOOKUP($A371,'2_DOI_Lookup'!$D$2:$D$430,'2_DOI_Lookup'!$E$2:$E$430),"TITLE NOT IN SOURCE"))</f>
        <v>Research on the construction of 5G fully connected mining digital twin system based on 3D GIS</v>
      </c>
      <c r="F371" s="82" t="s">
        <v>309</v>
      </c>
      <c r="G371" s="85" t="s">
        <v>312</v>
      </c>
      <c r="H371" s="85" t="s">
        <v>311</v>
      </c>
      <c r="I371" s="85" t="s">
        <v>311</v>
      </c>
      <c r="J371" s="85" t="s">
        <v>311</v>
      </c>
      <c r="K371" s="85" t="s">
        <v>312</v>
      </c>
      <c r="L371" s="86" t="str">
        <f t="shared" si="26"/>
        <v>EXCLUDE</v>
      </c>
      <c r="M371" s="86" t="str">
        <f t="shared" si="27"/>
        <v>Wrong domain (non-AECO)</v>
      </c>
      <c r="N371" s="87"/>
      <c r="O371" s="87"/>
      <c r="P371" s="88"/>
      <c r="Q371" s="88"/>
      <c r="R371" s="88"/>
      <c r="S371" s="86" t="str">
        <f t="shared" si="28"/>
        <v/>
      </c>
      <c r="T371" s="86" t="str">
        <f t="shared" si="29"/>
        <v/>
      </c>
      <c r="U371" s="89"/>
      <c r="V371" s="89"/>
      <c r="W371" s="89"/>
      <c r="X371" s="89"/>
      <c r="Y371" s="86" t="str">
        <f t="shared" si="30"/>
        <v/>
      </c>
      <c r="Z371" s="89"/>
      <c r="AA371" s="89"/>
      <c r="AB371" s="89"/>
      <c r="AC371" s="89"/>
      <c r="AD371" s="89"/>
      <c r="AE371" s="89"/>
      <c r="AF371" s="89"/>
      <c r="AG371" s="90" t="s">
        <v>549</v>
      </c>
      <c r="AH371" s="35"/>
      <c r="AI371" s="35"/>
      <c r="AK371"/>
      <c r="AM371" s="56"/>
      <c r="AN371" s="57"/>
      <c r="AO371" s="63" t="str">
        <f>IF($A371="","",IFERROR(_xlfn.XLOOKUP($A371,'2_DOI_Lookup'!$A$2:$A$430,'2_DOI_Lookup'!$B$2:$B$430),"NOT IN SOURCE"))</f>
        <v>10.12075/j.issn.1004-4051.20241925</v>
      </c>
    </row>
    <row r="372" spans="1:41" ht="86.4" x14ac:dyDescent="0.3">
      <c r="A372" s="26">
        <v>3950</v>
      </c>
      <c r="B372" s="9" t="s">
        <v>283</v>
      </c>
      <c r="C372" s="32">
        <v>2026</v>
      </c>
      <c r="D372" s="9"/>
      <c r="E372" s="9" t="str">
        <f>IF($A372="","",IFERROR(_xlfn.XLOOKUP($A372,'2_DOI_Lookup'!$D$2:$D$430,'2_DOI_Lookup'!$E$2:$E$430),"TITLE NOT IN SOURCE"))</f>
        <v>Edge-cloud collaborative digital twin for vibration anomaly detection and localization in high-rise buildings</v>
      </c>
      <c r="F372" s="26" t="s">
        <v>310</v>
      </c>
      <c r="G372" s="27" t="s">
        <v>311</v>
      </c>
      <c r="H372" s="27" t="s">
        <v>311</v>
      </c>
      <c r="I372" s="27" t="s">
        <v>311</v>
      </c>
      <c r="J372" s="27" t="s">
        <v>311</v>
      </c>
      <c r="K372" s="27" t="s">
        <v>311</v>
      </c>
      <c r="L372" s="28" t="str">
        <f t="shared" si="26"/>
        <v>INCLUDE</v>
      </c>
      <c r="M372" s="28" t="str">
        <f t="shared" si="27"/>
        <v/>
      </c>
      <c r="N372" s="29" t="s">
        <v>311</v>
      </c>
      <c r="O372" s="29" t="s">
        <v>311</v>
      </c>
      <c r="P372" s="30" t="s">
        <v>311</v>
      </c>
      <c r="Q372" s="30" t="s">
        <v>311</v>
      </c>
      <c r="R372" s="30" t="s">
        <v>311</v>
      </c>
      <c r="S372" s="28" t="str">
        <f t="shared" si="28"/>
        <v>INCLUDE</v>
      </c>
      <c r="T372" s="28" t="str">
        <f t="shared" si="29"/>
        <v/>
      </c>
      <c r="U372" s="31" t="s">
        <v>61</v>
      </c>
      <c r="V372" s="31">
        <v>0</v>
      </c>
      <c r="W372" s="31">
        <v>0</v>
      </c>
      <c r="X372" s="31">
        <v>1</v>
      </c>
      <c r="Y372" s="28" t="str">
        <f t="shared" si="30"/>
        <v>Single</v>
      </c>
      <c r="Z372" s="31" t="s">
        <v>9</v>
      </c>
      <c r="AA372" s="31" t="s">
        <v>53</v>
      </c>
      <c r="AB372" s="31" t="s">
        <v>91</v>
      </c>
      <c r="AC372" s="31" t="s">
        <v>64</v>
      </c>
      <c r="AD372" s="31" t="s">
        <v>72</v>
      </c>
      <c r="AE372" s="31">
        <v>4</v>
      </c>
      <c r="AF372" s="31" t="s">
        <v>80</v>
      </c>
      <c r="AG372" s="15" t="s">
        <v>667</v>
      </c>
      <c r="AH372" s="97" t="s">
        <v>996</v>
      </c>
      <c r="AI372" s="97" t="s">
        <v>997</v>
      </c>
      <c r="AJ372" s="98" t="s">
        <v>1080</v>
      </c>
      <c r="AK372" s="98" t="s">
        <v>1213</v>
      </c>
      <c r="AL372" s="98" t="s">
        <v>1084</v>
      </c>
      <c r="AM372" s="99"/>
      <c r="AN372" s="100" t="s">
        <v>1394</v>
      </c>
      <c r="AO372" s="101" t="str">
        <f>IF($A372="","",IFERROR(_xlfn.XLOOKUP($A372,'2_DOI_Lookup'!$A$2:$A$430,'2_DOI_Lookup'!$B$2:$B$430),"NOT IN SOURCE"))</f>
        <v>10.1016/j.engstruct.2025.122061</v>
      </c>
    </row>
    <row r="373" spans="1:41" ht="57" hidden="1" x14ac:dyDescent="0.3">
      <c r="A373" s="73">
        <v>3961</v>
      </c>
      <c r="B373" s="74"/>
      <c r="C373" s="75"/>
      <c r="D373" s="74"/>
      <c r="E373" s="74" t="str">
        <f>IF($A373="","",IFERROR(_xlfn.XLOOKUP($A373,'2_DOI_Lookup'!$D$2:$D$430,'2_DOI_Lookup'!$E$2:$E$430),"TITLE NOT IN SOURCE"))</f>
        <v>Digital twin system for deepwater well construction: Enhancing operational efficiency and safety</v>
      </c>
      <c r="F373" s="73" t="s">
        <v>310</v>
      </c>
      <c r="G373" s="76" t="s">
        <v>312</v>
      </c>
      <c r="H373" s="76" t="s">
        <v>311</v>
      </c>
      <c r="I373" s="76" t="s">
        <v>311</v>
      </c>
      <c r="J373" s="76" t="s">
        <v>311</v>
      </c>
      <c r="K373" s="76" t="s">
        <v>311</v>
      </c>
      <c r="L373" s="77" t="str">
        <f t="shared" si="26"/>
        <v>EXCLUDE</v>
      </c>
      <c r="M373" s="77" t="str">
        <f t="shared" si="27"/>
        <v>Wrong domain (non-AECO)</v>
      </c>
      <c r="N373" s="78"/>
      <c r="O373" s="78"/>
      <c r="P373" s="79"/>
      <c r="Q373" s="79"/>
      <c r="R373" s="79"/>
      <c r="S373" s="77" t="str">
        <f t="shared" si="28"/>
        <v/>
      </c>
      <c r="T373" s="77" t="str">
        <f t="shared" si="29"/>
        <v/>
      </c>
      <c r="U373" s="80"/>
      <c r="V373" s="80"/>
      <c r="W373" s="80"/>
      <c r="X373" s="80"/>
      <c r="Y373" s="77" t="str">
        <f t="shared" si="30"/>
        <v/>
      </c>
      <c r="Z373" s="80"/>
      <c r="AA373" s="80"/>
      <c r="AB373" s="80"/>
      <c r="AC373" s="80"/>
      <c r="AD373" s="80"/>
      <c r="AE373" s="80"/>
      <c r="AF373" s="80"/>
      <c r="AG373" s="81" t="s">
        <v>550</v>
      </c>
      <c r="AH373" s="35"/>
      <c r="AI373" s="35"/>
      <c r="AK373"/>
      <c r="AM373" s="56"/>
      <c r="AN373" s="57"/>
      <c r="AO373" s="63" t="str">
        <f>IF($A373="","",IFERROR(_xlfn.XLOOKUP($A373,'2_DOI_Lookup'!$A$2:$A$430,'2_DOI_Lookup'!$B$2:$B$430),"NOT IN SOURCE"))</f>
        <v>10.1016/j.oceaneng.2026.124378</v>
      </c>
    </row>
    <row r="374" spans="1:41" ht="45.6" hidden="1" x14ac:dyDescent="0.3">
      <c r="A374" s="26">
        <v>3849</v>
      </c>
      <c r="B374" s="9"/>
      <c r="C374" s="32"/>
      <c r="D374" s="9"/>
      <c r="E374" s="9" t="str">
        <f>IF($A374="","",IFERROR(_xlfn.XLOOKUP($A374,'2_DOI_Lookup'!$D$2:$D$430,'2_DOI_Lookup'!$E$2:$E$430),"TITLE NOT IN SOURCE"))</f>
        <v>A digital twin framework for construction and operation of the radio active waste repository</v>
      </c>
      <c r="F374" s="26" t="s">
        <v>309</v>
      </c>
      <c r="G374" s="27" t="s">
        <v>312</v>
      </c>
      <c r="H374" s="27" t="s">
        <v>311</v>
      </c>
      <c r="I374" s="27" t="s">
        <v>311</v>
      </c>
      <c r="J374" s="27" t="s">
        <v>311</v>
      </c>
      <c r="K374" s="27" t="s">
        <v>311</v>
      </c>
      <c r="L374" s="28" t="str">
        <f t="shared" si="26"/>
        <v>EXCLUDE</v>
      </c>
      <c r="M374" s="28" t="str">
        <f t="shared" si="27"/>
        <v>Wrong domain (non-AECO)</v>
      </c>
      <c r="N374" s="29"/>
      <c r="O374" s="29"/>
      <c r="P374" s="30"/>
      <c r="Q374" s="30"/>
      <c r="R374" s="30"/>
      <c r="S374" s="28" t="str">
        <f t="shared" si="28"/>
        <v/>
      </c>
      <c r="T374" s="28" t="str">
        <f t="shared" si="29"/>
        <v/>
      </c>
      <c r="U374" s="31"/>
      <c r="V374" s="31"/>
      <c r="W374" s="31"/>
      <c r="X374" s="31"/>
      <c r="Y374" s="28" t="str">
        <f t="shared" si="30"/>
        <v/>
      </c>
      <c r="Z374" s="31"/>
      <c r="AA374" s="31"/>
      <c r="AB374" s="31"/>
      <c r="AC374" s="31"/>
      <c r="AD374" s="31"/>
      <c r="AE374" s="31"/>
      <c r="AF374" s="31"/>
      <c r="AG374" s="15" t="s">
        <v>551</v>
      </c>
      <c r="AH374" s="35"/>
      <c r="AI374" s="35"/>
      <c r="AK374"/>
      <c r="AM374" s="56"/>
      <c r="AN374" s="57"/>
      <c r="AO374" s="63" t="str">
        <f>IF($A374="","",IFERROR(_xlfn.XLOOKUP($A374,'2_DOI_Lookup'!$A$2:$A$430,'2_DOI_Lookup'!$B$2:$B$430),"NOT IN SOURCE"))</f>
        <v>10.2298/NTRP2203181X</v>
      </c>
    </row>
    <row r="375" spans="1:41" ht="57" hidden="1" x14ac:dyDescent="0.3">
      <c r="A375" s="64">
        <v>3545</v>
      </c>
      <c r="B375" s="65"/>
      <c r="C375" s="66"/>
      <c r="D375" s="65"/>
      <c r="E375" s="65" t="str">
        <f>IF($A375="","",IFERROR(_xlfn.XLOOKUP($A375,'2_DOI_Lookup'!$D$2:$D$430,'2_DOI_Lookup'!$E$2:$E$430),"TITLE NOT IN SOURCE"))</f>
        <v>Ensuring construction material provenance using Internet of Things and blockchain: Learning from the food industry</v>
      </c>
      <c r="F375" s="64" t="s">
        <v>309</v>
      </c>
      <c r="G375" s="67" t="s">
        <v>311</v>
      </c>
      <c r="H375" s="67" t="s">
        <v>312</v>
      </c>
      <c r="I375" s="67" t="s">
        <v>311</v>
      </c>
      <c r="J375" s="67" t="s">
        <v>311</v>
      </c>
      <c r="K375" s="67" t="s">
        <v>311</v>
      </c>
      <c r="L375" s="68" t="str">
        <f t="shared" si="26"/>
        <v>EXCLUDE</v>
      </c>
      <c r="M375" s="68" t="str">
        <f t="shared" si="27"/>
        <v>Digital Twin not core / buzzword</v>
      </c>
      <c r="N375" s="69"/>
      <c r="O375" s="69"/>
      <c r="P375" s="70"/>
      <c r="Q375" s="70"/>
      <c r="R375" s="70"/>
      <c r="S375" s="68" t="str">
        <f t="shared" si="28"/>
        <v/>
      </c>
      <c r="T375" s="68" t="str">
        <f t="shared" si="29"/>
        <v/>
      </c>
      <c r="U375" s="71"/>
      <c r="V375" s="71"/>
      <c r="W375" s="71"/>
      <c r="X375" s="71"/>
      <c r="Y375" s="68" t="str">
        <f t="shared" si="30"/>
        <v/>
      </c>
      <c r="Z375" s="71"/>
      <c r="AA375" s="71"/>
      <c r="AB375" s="71"/>
      <c r="AC375" s="71"/>
      <c r="AD375" s="71"/>
      <c r="AE375" s="71"/>
      <c r="AF375" s="71"/>
      <c r="AG375" s="72" t="s">
        <v>552</v>
      </c>
      <c r="AH375" s="35"/>
      <c r="AI375" s="35"/>
      <c r="AK375"/>
      <c r="AM375" s="56"/>
      <c r="AN375" s="57"/>
      <c r="AO375" s="63" t="str">
        <f>IF($A375="","",IFERROR(_xlfn.XLOOKUP($A375,'2_DOI_Lookup'!$A$2:$A$430,'2_DOI_Lookup'!$B$2:$B$430),"NOT IN SOURCE"))</f>
        <v>10.1016/j.jii.2023.100455</v>
      </c>
    </row>
    <row r="376" spans="1:41" ht="79.8" x14ac:dyDescent="0.3">
      <c r="A376" s="26">
        <v>3896</v>
      </c>
      <c r="B376" s="9" t="s">
        <v>284</v>
      </c>
      <c r="C376" s="32">
        <v>2023</v>
      </c>
      <c r="D376" s="9"/>
      <c r="E376" s="9" t="str">
        <f>IF($A376="","",IFERROR(_xlfn.XLOOKUP($A376,'2_DOI_Lookup'!$D$2:$D$430,'2_DOI_Lookup'!$E$2:$E$430),"TITLE NOT IN SOURCE"))</f>
        <v>Developing a digital twin model for monitoring building structural health by combining a building information model and a real-scene 3D model</v>
      </c>
      <c r="F376" s="26" t="s">
        <v>310</v>
      </c>
      <c r="G376" s="27" t="s">
        <v>311</v>
      </c>
      <c r="H376" s="27" t="s">
        <v>311</v>
      </c>
      <c r="I376" s="27" t="s">
        <v>311</v>
      </c>
      <c r="J376" s="27" t="s">
        <v>311</v>
      </c>
      <c r="K376" s="27" t="s">
        <v>311</v>
      </c>
      <c r="L376" s="28" t="str">
        <f t="shared" si="26"/>
        <v>INCLUDE</v>
      </c>
      <c r="M376" s="28" t="str">
        <f t="shared" si="27"/>
        <v/>
      </c>
      <c r="N376" s="29" t="s">
        <v>311</v>
      </c>
      <c r="O376" s="29" t="s">
        <v>311</v>
      </c>
      <c r="P376" s="30" t="s">
        <v>311</v>
      </c>
      <c r="Q376" s="30" t="s">
        <v>311</v>
      </c>
      <c r="R376" s="30" t="s">
        <v>311</v>
      </c>
      <c r="S376" s="28" t="str">
        <f t="shared" si="28"/>
        <v>INCLUDE</v>
      </c>
      <c r="T376" s="28" t="str">
        <f t="shared" si="29"/>
        <v/>
      </c>
      <c r="U376" s="31" t="s">
        <v>61</v>
      </c>
      <c r="V376" s="31">
        <v>0</v>
      </c>
      <c r="W376" s="31">
        <v>0</v>
      </c>
      <c r="X376" s="31">
        <v>1</v>
      </c>
      <c r="Y376" s="28" t="str">
        <f t="shared" si="30"/>
        <v>Single</v>
      </c>
      <c r="Z376" s="31" t="s">
        <v>9</v>
      </c>
      <c r="AA376" s="31" t="s">
        <v>53</v>
      </c>
      <c r="AB376" s="31" t="s">
        <v>91</v>
      </c>
      <c r="AC376" s="31" t="s">
        <v>64</v>
      </c>
      <c r="AD376" s="31" t="s">
        <v>72</v>
      </c>
      <c r="AE376" s="31">
        <v>4</v>
      </c>
      <c r="AF376" s="31" t="s">
        <v>57</v>
      </c>
      <c r="AG376" s="15" t="s">
        <v>668</v>
      </c>
      <c r="AH376" s="97" t="s">
        <v>998</v>
      </c>
      <c r="AI376" s="97" t="s">
        <v>999</v>
      </c>
      <c r="AJ376" s="98" t="s">
        <v>1081</v>
      </c>
      <c r="AK376" s="98" t="s">
        <v>1214</v>
      </c>
      <c r="AL376" s="98" t="s">
        <v>1083</v>
      </c>
      <c r="AM376" s="99"/>
      <c r="AN376" s="100" t="s">
        <v>1324</v>
      </c>
      <c r="AO376" s="101" t="str">
        <f>IF($A376="","",IFERROR(_xlfn.XLOOKUP($A376,'2_DOI_Lookup'!$A$2:$A$430,'2_DOI_Lookup'!$B$2:$B$430),"NOT IN SOURCE"))</f>
        <v>10.1016/j.measurement.2023.112955</v>
      </c>
    </row>
    <row r="377" spans="1:41" ht="68.400000000000006" hidden="1" x14ac:dyDescent="0.3">
      <c r="A377" s="73">
        <v>3499</v>
      </c>
      <c r="B377" s="74"/>
      <c r="C377" s="75"/>
      <c r="D377" s="74"/>
      <c r="E377" s="74" t="str">
        <f>IF($A377="","",IFERROR(_xlfn.XLOOKUP($A377,'2_DOI_Lookup'!$D$2:$D$430,'2_DOI_Lookup'!$E$2:$E$430),"TITLE NOT IN SOURCE"))</f>
        <v>Status and prospects of synergistic development between smart city infrastructure and intelligent connected vehicles</v>
      </c>
      <c r="F377" s="73" t="s">
        <v>309</v>
      </c>
      <c r="G377" s="76" t="s">
        <v>312</v>
      </c>
      <c r="H377" s="76" t="s">
        <v>312</v>
      </c>
      <c r="I377" s="76" t="s">
        <v>312</v>
      </c>
      <c r="J377" s="76" t="s">
        <v>311</v>
      </c>
      <c r="K377" s="76" t="s">
        <v>312</v>
      </c>
      <c r="L377" s="77" t="str">
        <f t="shared" si="26"/>
        <v>EXCLUDE</v>
      </c>
      <c r="M377" s="77" t="str">
        <f t="shared" si="27"/>
        <v>Wrong domain (non-AECO)</v>
      </c>
      <c r="N377" s="78"/>
      <c r="O377" s="78"/>
      <c r="P377" s="79"/>
      <c r="Q377" s="79"/>
      <c r="R377" s="79"/>
      <c r="S377" s="77" t="str">
        <f t="shared" si="28"/>
        <v/>
      </c>
      <c r="T377" s="77" t="str">
        <f t="shared" si="29"/>
        <v/>
      </c>
      <c r="U377" s="80"/>
      <c r="V377" s="80"/>
      <c r="W377" s="80"/>
      <c r="X377" s="80"/>
      <c r="Y377" s="77" t="str">
        <f t="shared" si="30"/>
        <v/>
      </c>
      <c r="Z377" s="80"/>
      <c r="AA377" s="80"/>
      <c r="AB377" s="80"/>
      <c r="AC377" s="80"/>
      <c r="AD377" s="80"/>
      <c r="AE377" s="80"/>
      <c r="AF377" s="80"/>
      <c r="AG377" s="81" t="s">
        <v>553</v>
      </c>
      <c r="AH377" s="35"/>
      <c r="AI377" s="35"/>
      <c r="AK377"/>
      <c r="AM377" s="56"/>
      <c r="AN377" s="57"/>
      <c r="AO377" s="63" t="str">
        <f>IF($A377="","",IFERROR(_xlfn.XLOOKUP($A377,'2_DOI_Lookup'!$A$2:$A$430,'2_DOI_Lookup'!$B$2:$B$430),"NOT IN SOURCE"))</f>
        <v>10.16511/j.cnki.qhdxxb.2025.21.055</v>
      </c>
    </row>
    <row r="378" spans="1:41" ht="79.8" hidden="1" x14ac:dyDescent="0.3">
      <c r="A378" s="26">
        <v>3522</v>
      </c>
      <c r="B378" s="9"/>
      <c r="C378" s="32"/>
      <c r="D378" s="9"/>
      <c r="E378" s="9" t="str">
        <f>IF($A378="","",IFERROR(_xlfn.XLOOKUP($A378,'2_DOI_Lookup'!$D$2:$D$430,'2_DOI_Lookup'!$E$2:$E$430),"TITLE NOT IN SOURCE"))</f>
        <v>Geological Perception and Digital Twin of Rock and Machine for TBM Tunnelling: Methods-Research Status-Digital and Intelligent Development Direction</v>
      </c>
      <c r="F378" s="26" t="s">
        <v>309</v>
      </c>
      <c r="G378" s="27" t="s">
        <v>311</v>
      </c>
      <c r="H378" s="27" t="s">
        <v>311</v>
      </c>
      <c r="I378" s="27" t="s">
        <v>311</v>
      </c>
      <c r="J378" s="27" t="s">
        <v>311</v>
      </c>
      <c r="K378" s="27" t="s">
        <v>312</v>
      </c>
      <c r="L378" s="28" t="str">
        <f t="shared" si="26"/>
        <v>EXCLUDE</v>
      </c>
      <c r="M378" s="28" t="str">
        <f t="shared" si="27"/>
        <v>Non-English</v>
      </c>
      <c r="N378" s="29"/>
      <c r="O378" s="29"/>
      <c r="P378" s="30"/>
      <c r="Q378" s="30"/>
      <c r="R378" s="30"/>
      <c r="S378" s="28" t="str">
        <f t="shared" si="28"/>
        <v/>
      </c>
      <c r="T378" s="28" t="str">
        <f t="shared" si="29"/>
        <v/>
      </c>
      <c r="U378" s="31"/>
      <c r="V378" s="31"/>
      <c r="W378" s="31"/>
      <c r="X378" s="31"/>
      <c r="Y378" s="28" t="str">
        <f t="shared" si="30"/>
        <v/>
      </c>
      <c r="Z378" s="31"/>
      <c r="AA378" s="31"/>
      <c r="AB378" s="31"/>
      <c r="AC378" s="31"/>
      <c r="AD378" s="31"/>
      <c r="AE378" s="31"/>
      <c r="AF378" s="31"/>
      <c r="AG378" s="15" t="s">
        <v>473</v>
      </c>
      <c r="AH378" s="35"/>
      <c r="AI378" s="35"/>
      <c r="AK378"/>
      <c r="AM378" s="56"/>
      <c r="AN378" s="57"/>
      <c r="AO378" s="63" t="str">
        <f>IF($A378="","",IFERROR(_xlfn.XLOOKUP($A378,'2_DOI_Lookup'!$A$2:$A$430,'2_DOI_Lookup'!$B$2:$B$430),"NOT IN SOURCE"))</f>
        <v>10.16058/j.issn.1005-0930.2023.06.002</v>
      </c>
    </row>
    <row r="379" spans="1:41" ht="57" hidden="1" x14ac:dyDescent="0.3">
      <c r="A379" s="64">
        <v>3553</v>
      </c>
      <c r="B379" s="65"/>
      <c r="C379" s="66"/>
      <c r="D379" s="65"/>
      <c r="E379" s="65" t="str">
        <f>IF($A379="","",IFERROR(_xlfn.XLOOKUP($A379,'2_DOI_Lookup'!$D$2:$D$430,'2_DOI_Lookup'!$E$2:$E$430),"TITLE NOT IN SOURCE"))</f>
        <v>Improvement of Construction Machinery Development Process by Digital Transformation Using Digital Twin</v>
      </c>
      <c r="F379" s="64" t="s">
        <v>309</v>
      </c>
      <c r="G379" s="67" t="s">
        <v>312</v>
      </c>
      <c r="H379" s="67" t="s">
        <v>311</v>
      </c>
      <c r="I379" s="67" t="s">
        <v>311</v>
      </c>
      <c r="J379" s="67" t="s">
        <v>311</v>
      </c>
      <c r="K379" s="67" t="s">
        <v>311</v>
      </c>
      <c r="L379" s="68" t="str">
        <f t="shared" si="26"/>
        <v>EXCLUDE</v>
      </c>
      <c r="M379" s="68" t="str">
        <f t="shared" si="27"/>
        <v>Wrong domain (non-AECO)</v>
      </c>
      <c r="N379" s="69"/>
      <c r="O379" s="69"/>
      <c r="P379" s="70"/>
      <c r="Q379" s="70"/>
      <c r="R379" s="70"/>
      <c r="S379" s="68" t="str">
        <f t="shared" si="28"/>
        <v/>
      </c>
      <c r="T379" s="68" t="str">
        <f t="shared" si="29"/>
        <v/>
      </c>
      <c r="U379" s="71"/>
      <c r="V379" s="71"/>
      <c r="W379" s="71"/>
      <c r="X379" s="71"/>
      <c r="Y379" s="68" t="str">
        <f t="shared" si="30"/>
        <v/>
      </c>
      <c r="Z379" s="71"/>
      <c r="AA379" s="71"/>
      <c r="AB379" s="71"/>
      <c r="AC379" s="71"/>
      <c r="AD379" s="71"/>
      <c r="AE379" s="71"/>
      <c r="AF379" s="71"/>
      <c r="AG379" s="72" t="s">
        <v>554</v>
      </c>
      <c r="AH379" s="35"/>
      <c r="AI379" s="35"/>
      <c r="AK379"/>
      <c r="AM379" s="56"/>
      <c r="AN379" s="57"/>
      <c r="AO379" s="63">
        <f>IF($A379="","",IFERROR(_xlfn.XLOOKUP($A379,'2_DOI_Lookup'!$A$2:$A$430,'2_DOI_Lookup'!$B$2:$B$430),"NOT IN SOURCE"))</f>
        <v>0</v>
      </c>
    </row>
    <row r="380" spans="1:41" ht="129.6" x14ac:dyDescent="0.3">
      <c r="A380" s="26">
        <v>3905</v>
      </c>
      <c r="B380" s="9" t="s">
        <v>285</v>
      </c>
      <c r="C380" s="32">
        <v>2025</v>
      </c>
      <c r="D380" s="9"/>
      <c r="E380" s="9" t="str">
        <f>IF($A380="","",IFERROR(_xlfn.XLOOKUP($A380,'2_DOI_Lookup'!$D$2:$D$430,'2_DOI_Lookup'!$E$2:$E$430),"TITLE NOT IN SOURCE"))</f>
        <v>Real-Time Digital Twin-Driven 3D Near-Miss Detection System at Construction Sites</v>
      </c>
      <c r="F380" s="26" t="s">
        <v>310</v>
      </c>
      <c r="G380" s="27" t="s">
        <v>311</v>
      </c>
      <c r="H380" s="27" t="s">
        <v>311</v>
      </c>
      <c r="I380" s="27" t="s">
        <v>311</v>
      </c>
      <c r="J380" s="27" t="s">
        <v>311</v>
      </c>
      <c r="K380" s="27" t="s">
        <v>311</v>
      </c>
      <c r="L380" s="28" t="str">
        <f t="shared" si="26"/>
        <v>INCLUDE</v>
      </c>
      <c r="M380" s="28" t="str">
        <f t="shared" si="27"/>
        <v/>
      </c>
      <c r="N380" s="29" t="s">
        <v>49</v>
      </c>
      <c r="O380" s="29" t="s">
        <v>49</v>
      </c>
      <c r="P380" s="30" t="s">
        <v>49</v>
      </c>
      <c r="Q380" s="30" t="s">
        <v>49</v>
      </c>
      <c r="R380" s="30" t="s">
        <v>49</v>
      </c>
      <c r="S380" s="28" t="str">
        <f t="shared" si="28"/>
        <v>INCLUDE</v>
      </c>
      <c r="T380" s="28" t="str">
        <f t="shared" si="29"/>
        <v/>
      </c>
      <c r="U380" s="31" t="s">
        <v>61</v>
      </c>
      <c r="V380" s="31">
        <v>0</v>
      </c>
      <c r="W380" s="31">
        <v>1</v>
      </c>
      <c r="X380" s="31">
        <v>0</v>
      </c>
      <c r="Y380" s="28" t="str">
        <f t="shared" si="30"/>
        <v>Single</v>
      </c>
      <c r="Z380" s="31" t="s">
        <v>9</v>
      </c>
      <c r="AA380" s="31" t="s">
        <v>53</v>
      </c>
      <c r="AB380" s="31" t="s">
        <v>54</v>
      </c>
      <c r="AC380" s="31" t="s">
        <v>64</v>
      </c>
      <c r="AD380" s="31" t="s">
        <v>72</v>
      </c>
      <c r="AE380" s="31">
        <v>4</v>
      </c>
      <c r="AF380" s="31" t="s">
        <v>84</v>
      </c>
      <c r="AG380" s="15" t="s">
        <v>1333</v>
      </c>
      <c r="AH380" s="97" t="s">
        <v>1334</v>
      </c>
      <c r="AI380" s="97" t="s">
        <v>1335</v>
      </c>
      <c r="AJ380" s="98" t="s">
        <v>1081</v>
      </c>
      <c r="AK380" s="98" t="s">
        <v>1215</v>
      </c>
      <c r="AL380" s="98" t="s">
        <v>1083</v>
      </c>
      <c r="AM380" s="99" t="s">
        <v>1336</v>
      </c>
      <c r="AN380" s="100" t="s">
        <v>1337</v>
      </c>
      <c r="AO380" s="101" t="str">
        <f>IF($A380="","",IFERROR(_xlfn.XLOOKUP($A380,'2_DOI_Lookup'!$A$2:$A$430,'2_DOI_Lookup'!$B$2:$B$430),"NOT IN SOURCE"))</f>
        <v>10.1061/JCEMD4.COENG-15583</v>
      </c>
    </row>
    <row r="381" spans="1:41" ht="129.6" x14ac:dyDescent="0.3">
      <c r="A381" s="26">
        <v>3909</v>
      </c>
      <c r="B381" s="9" t="s">
        <v>286</v>
      </c>
      <c r="C381" s="32">
        <v>2026</v>
      </c>
      <c r="D381" s="9"/>
      <c r="E381" s="9" t="str">
        <f>IF($A381="","",IFERROR(_xlfn.XLOOKUP($A381,'2_DOI_Lookup'!$D$2:$D$430,'2_DOI_Lookup'!$E$2:$E$430),"TITLE NOT IN SOURCE"))</f>
        <v>Digital twin-enabled 3D near-misses prediction method based on trajectories and postures for proactive construction safety management</v>
      </c>
      <c r="F381" s="26" t="s">
        <v>310</v>
      </c>
      <c r="G381" s="27" t="s">
        <v>311</v>
      </c>
      <c r="H381" s="27" t="s">
        <v>311</v>
      </c>
      <c r="I381" s="27" t="s">
        <v>311</v>
      </c>
      <c r="J381" s="27" t="s">
        <v>311</v>
      </c>
      <c r="K381" s="27" t="s">
        <v>311</v>
      </c>
      <c r="L381" s="28" t="str">
        <f t="shared" si="26"/>
        <v>INCLUDE</v>
      </c>
      <c r="M381" s="28" t="str">
        <f t="shared" si="27"/>
        <v/>
      </c>
      <c r="N381" s="29" t="s">
        <v>49</v>
      </c>
      <c r="O381" s="29" t="s">
        <v>49</v>
      </c>
      <c r="P381" s="30" t="s">
        <v>49</v>
      </c>
      <c r="Q381" s="30" t="s">
        <v>49</v>
      </c>
      <c r="R381" s="30" t="s">
        <v>49</v>
      </c>
      <c r="S381" s="28" t="str">
        <f t="shared" si="28"/>
        <v>INCLUDE</v>
      </c>
      <c r="T381" s="28" t="str">
        <f t="shared" si="29"/>
        <v/>
      </c>
      <c r="U381" s="31" t="s">
        <v>61</v>
      </c>
      <c r="V381" s="31">
        <v>0</v>
      </c>
      <c r="W381" s="31">
        <v>1</v>
      </c>
      <c r="X381" s="31">
        <v>0</v>
      </c>
      <c r="Y381" s="28" t="str">
        <f t="shared" si="30"/>
        <v>Single</v>
      </c>
      <c r="Z381" s="31" t="s">
        <v>9</v>
      </c>
      <c r="AA381" s="31" t="s">
        <v>53</v>
      </c>
      <c r="AB381" s="31" t="s">
        <v>78</v>
      </c>
      <c r="AC381" s="31" t="s">
        <v>64</v>
      </c>
      <c r="AD381" s="31" t="s">
        <v>72</v>
      </c>
      <c r="AE381" s="31">
        <v>4</v>
      </c>
      <c r="AF381" s="31" t="s">
        <v>84</v>
      </c>
      <c r="AG381" s="15" t="s">
        <v>740</v>
      </c>
      <c r="AH381" s="97" t="s">
        <v>1000</v>
      </c>
      <c r="AI381" s="97" t="s">
        <v>1001</v>
      </c>
      <c r="AJ381" s="98" t="s">
        <v>1081</v>
      </c>
      <c r="AK381" s="98" t="s">
        <v>1216</v>
      </c>
      <c r="AL381" s="98" t="s">
        <v>1083</v>
      </c>
      <c r="AM381" s="99"/>
      <c r="AN381" s="100" t="s">
        <v>1328</v>
      </c>
      <c r="AO381" s="101" t="str">
        <f>IF($A381="","",IFERROR(_xlfn.XLOOKUP($A381,'2_DOI_Lookup'!$A$2:$A$430,'2_DOI_Lookup'!$B$2:$B$430),"NOT IN SOURCE"))</f>
        <v>10.1108/ECAM-05-2025-0732</v>
      </c>
    </row>
    <row r="382" spans="1:41" ht="34.200000000000003" hidden="1" x14ac:dyDescent="0.3">
      <c r="A382" s="82">
        <v>3811</v>
      </c>
      <c r="B382" s="83"/>
      <c r="C382" s="84"/>
      <c r="D382" s="83"/>
      <c r="E382" s="83" t="str">
        <f>IF($A382="","",IFERROR(_xlfn.XLOOKUP($A382,'2_DOI_Lookup'!$D$2:$D$430,'2_DOI_Lookup'!$E$2:$E$430),"TITLE NOT IN SOURCE"))</f>
        <v>A Big Data-driven Digital Twin Model Method for Building a Shop Floor</v>
      </c>
      <c r="F382" s="82" t="s">
        <v>309</v>
      </c>
      <c r="G382" s="85" t="s">
        <v>312</v>
      </c>
      <c r="H382" s="85" t="s">
        <v>311</v>
      </c>
      <c r="I382" s="85" t="s">
        <v>312</v>
      </c>
      <c r="J382" s="85" t="s">
        <v>311</v>
      </c>
      <c r="K382" s="85" t="s">
        <v>312</v>
      </c>
      <c r="L382" s="86" t="str">
        <f t="shared" si="26"/>
        <v>EXCLUDE</v>
      </c>
      <c r="M382" s="86" t="str">
        <f t="shared" si="27"/>
        <v>Wrong domain (non-AECO)</v>
      </c>
      <c r="N382" s="87"/>
      <c r="O382" s="87"/>
      <c r="P382" s="88"/>
      <c r="Q382" s="88"/>
      <c r="R382" s="88"/>
      <c r="S382" s="86" t="str">
        <f t="shared" si="28"/>
        <v/>
      </c>
      <c r="T382" s="86" t="str">
        <f t="shared" si="29"/>
        <v/>
      </c>
      <c r="U382" s="89"/>
      <c r="V382" s="89"/>
      <c r="W382" s="89"/>
      <c r="X382" s="89"/>
      <c r="Y382" s="86" t="str">
        <f t="shared" si="30"/>
        <v/>
      </c>
      <c r="Z382" s="89"/>
      <c r="AA382" s="89"/>
      <c r="AB382" s="89"/>
      <c r="AC382" s="89"/>
      <c r="AD382" s="89"/>
      <c r="AE382" s="89"/>
      <c r="AF382" s="89"/>
      <c r="AG382" s="90" t="s">
        <v>555</v>
      </c>
      <c r="AH382" s="35"/>
      <c r="AI382" s="35"/>
      <c r="AK382"/>
      <c r="AM382" s="56"/>
      <c r="AN382" s="57"/>
      <c r="AO382" s="63" t="str">
        <f>IF($A382="","",IFERROR(_xlfn.XLOOKUP($A382,'2_DOI_Lookup'!$A$2:$A$430,'2_DOI_Lookup'!$B$2:$B$430),"NOT IN SOURCE"))</f>
        <v>10.3901/JME.2023.12.062</v>
      </c>
    </row>
    <row r="383" spans="1:41" ht="100.8" x14ac:dyDescent="0.3">
      <c r="A383" s="26">
        <v>3721</v>
      </c>
      <c r="B383" s="9" t="s">
        <v>287</v>
      </c>
      <c r="C383" s="32">
        <v>2026</v>
      </c>
      <c r="D383" s="9"/>
      <c r="E383" s="9" t="str">
        <f>IF($A383="","",IFERROR(_xlfn.XLOOKUP($A383,'2_DOI_Lookup'!$D$2:$D$430,'2_DOI_Lookup'!$E$2:$E$430),"TITLE NOT IN SOURCE"))</f>
        <v>Digital twin-based framework for multi-objective optimization of shield tunneling parameters</v>
      </c>
      <c r="F383" s="26" t="s">
        <v>309</v>
      </c>
      <c r="G383" s="27" t="s">
        <v>311</v>
      </c>
      <c r="H383" s="27" t="s">
        <v>311</v>
      </c>
      <c r="I383" s="27" t="s">
        <v>311</v>
      </c>
      <c r="J383" s="27" t="s">
        <v>311</v>
      </c>
      <c r="K383" s="27" t="s">
        <v>311</v>
      </c>
      <c r="L383" s="28" t="str">
        <f t="shared" si="26"/>
        <v>INCLUDE</v>
      </c>
      <c r="M383" s="28" t="str">
        <f t="shared" si="27"/>
        <v/>
      </c>
      <c r="N383" s="29" t="s">
        <v>311</v>
      </c>
      <c r="O383" s="29" t="s">
        <v>311</v>
      </c>
      <c r="P383" s="30" t="s">
        <v>311</v>
      </c>
      <c r="Q383" s="30" t="s">
        <v>311</v>
      </c>
      <c r="R383" s="30" t="s">
        <v>311</v>
      </c>
      <c r="S383" s="28" t="str">
        <f t="shared" si="28"/>
        <v>INCLUDE</v>
      </c>
      <c r="T383" s="28" t="str">
        <f t="shared" si="29"/>
        <v/>
      </c>
      <c r="U383" s="31" t="s">
        <v>68</v>
      </c>
      <c r="V383" s="31">
        <v>0</v>
      </c>
      <c r="W383" s="31">
        <v>1</v>
      </c>
      <c r="X383" s="31">
        <v>0</v>
      </c>
      <c r="Y383" s="28" t="str">
        <f t="shared" si="30"/>
        <v>Single</v>
      </c>
      <c r="Z383" s="31" t="s">
        <v>9</v>
      </c>
      <c r="AA383" s="31" t="s">
        <v>53</v>
      </c>
      <c r="AB383" s="31" t="s">
        <v>92</v>
      </c>
      <c r="AC383" s="31" t="s">
        <v>64</v>
      </c>
      <c r="AD383" s="31" t="s">
        <v>72</v>
      </c>
      <c r="AE383" s="31">
        <v>4</v>
      </c>
      <c r="AF383" s="31" t="s">
        <v>84</v>
      </c>
      <c r="AG383" s="15" t="s">
        <v>669</v>
      </c>
      <c r="AH383" s="97" t="s">
        <v>1002</v>
      </c>
      <c r="AI383" s="97" t="s">
        <v>1003</v>
      </c>
      <c r="AJ383" s="98" t="s">
        <v>1081</v>
      </c>
      <c r="AK383" s="98" t="s">
        <v>1217</v>
      </c>
      <c r="AL383" s="98" t="s">
        <v>1084</v>
      </c>
      <c r="AM383" s="99"/>
      <c r="AN383" s="100" t="s">
        <v>1290</v>
      </c>
      <c r="AO383" s="101" t="str">
        <f>IF($A383="","",IFERROR(_xlfn.XLOOKUP($A383,'2_DOI_Lookup'!$A$2:$A$430,'2_DOI_Lookup'!$B$2:$B$430),"NOT IN SOURCE"))</f>
        <v>10.1016/j.tust.2026.107457</v>
      </c>
    </row>
    <row r="384" spans="1:41" ht="57" hidden="1" x14ac:dyDescent="0.3">
      <c r="A384" s="73">
        <v>3547</v>
      </c>
      <c r="B384" s="74"/>
      <c r="C384" s="75"/>
      <c r="D384" s="74"/>
      <c r="E384" s="74" t="str">
        <f>IF($A384="","",IFERROR(_xlfn.XLOOKUP($A384,'2_DOI_Lookup'!$D$2:$D$430,'2_DOI_Lookup'!$E$2:$E$430),"TITLE NOT IN SOURCE"))</f>
        <v>CAVTest: A Closed Connected and Automated Vehicles Test Field of Chang'an University in China</v>
      </c>
      <c r="F384" s="73" t="s">
        <v>309</v>
      </c>
      <c r="G384" s="76" t="s">
        <v>312</v>
      </c>
      <c r="H384" s="76" t="s">
        <v>311</v>
      </c>
      <c r="I384" s="76" t="s">
        <v>311</v>
      </c>
      <c r="J384" s="76" t="s">
        <v>311</v>
      </c>
      <c r="K384" s="76" t="s">
        <v>311</v>
      </c>
      <c r="L384" s="77" t="str">
        <f t="shared" si="26"/>
        <v>EXCLUDE</v>
      </c>
      <c r="M384" s="77" t="str">
        <f t="shared" si="27"/>
        <v>Wrong domain (non-AECO)</v>
      </c>
      <c r="N384" s="78"/>
      <c r="O384" s="78"/>
      <c r="P384" s="79"/>
      <c r="Q384" s="79"/>
      <c r="R384" s="79"/>
      <c r="S384" s="77" t="str">
        <f t="shared" si="28"/>
        <v/>
      </c>
      <c r="T384" s="77" t="str">
        <f t="shared" si="29"/>
        <v/>
      </c>
      <c r="U384" s="80"/>
      <c r="V384" s="80"/>
      <c r="W384" s="80"/>
      <c r="X384" s="80"/>
      <c r="Y384" s="77" t="str">
        <f t="shared" si="30"/>
        <v/>
      </c>
      <c r="Z384" s="80"/>
      <c r="AA384" s="80"/>
      <c r="AB384" s="80"/>
      <c r="AC384" s="80"/>
      <c r="AD384" s="80"/>
      <c r="AE384" s="80"/>
      <c r="AF384" s="80"/>
      <c r="AG384" s="81" t="s">
        <v>556</v>
      </c>
      <c r="AH384" s="35"/>
      <c r="AI384" s="35"/>
      <c r="AK384"/>
      <c r="AM384" s="56"/>
      <c r="AN384" s="57"/>
      <c r="AO384" s="63" t="str">
        <f>IF($A384="","",IFERROR(_xlfn.XLOOKUP($A384,'2_DOI_Lookup'!$A$2:$A$430,'2_DOI_Lookup'!$B$2:$B$430),"NOT IN SOURCE"))</f>
        <v>10.4271/12-04-04-0032</v>
      </c>
    </row>
    <row r="385" spans="1:41" ht="45.6" hidden="1" x14ac:dyDescent="0.3">
      <c r="A385" s="64">
        <v>3649</v>
      </c>
      <c r="B385" s="65"/>
      <c r="C385" s="66"/>
      <c r="D385" s="65"/>
      <c r="E385" s="65" t="str">
        <f>IF($A385="","",IFERROR(_xlfn.XLOOKUP($A385,'2_DOI_Lookup'!$D$2:$D$430,'2_DOI_Lookup'!$E$2:$E$430),"TITLE NOT IN SOURCE"))</f>
        <v>Construction of digital twin model of lithium-ion battery for intelligent management</v>
      </c>
      <c r="F385" s="64" t="s">
        <v>309</v>
      </c>
      <c r="G385" s="67" t="s">
        <v>312</v>
      </c>
      <c r="H385" s="67" t="s">
        <v>311</v>
      </c>
      <c r="I385" s="67" t="s">
        <v>311</v>
      </c>
      <c r="J385" s="67" t="s">
        <v>311</v>
      </c>
      <c r="K385" s="67" t="s">
        <v>312</v>
      </c>
      <c r="L385" s="68" t="str">
        <f t="shared" si="26"/>
        <v>EXCLUDE</v>
      </c>
      <c r="M385" s="68" t="str">
        <f t="shared" si="27"/>
        <v>Wrong domain (non-AECO)</v>
      </c>
      <c r="N385" s="69"/>
      <c r="O385" s="69"/>
      <c r="P385" s="70"/>
      <c r="Q385" s="70"/>
      <c r="R385" s="70"/>
      <c r="S385" s="68" t="str">
        <f t="shared" si="28"/>
        <v/>
      </c>
      <c r="T385" s="68" t="str">
        <f t="shared" si="29"/>
        <v/>
      </c>
      <c r="U385" s="71"/>
      <c r="V385" s="71"/>
      <c r="W385" s="71"/>
      <c r="X385" s="71"/>
      <c r="Y385" s="68" t="str">
        <f t="shared" si="30"/>
        <v/>
      </c>
      <c r="Z385" s="71"/>
      <c r="AA385" s="71"/>
      <c r="AB385" s="71"/>
      <c r="AC385" s="71"/>
      <c r="AD385" s="71"/>
      <c r="AE385" s="71"/>
      <c r="AF385" s="71"/>
      <c r="AG385" s="72" t="s">
        <v>557</v>
      </c>
      <c r="AH385" s="35"/>
      <c r="AI385" s="35"/>
      <c r="AK385"/>
      <c r="AM385" s="56"/>
      <c r="AN385" s="57"/>
      <c r="AO385" s="63" t="str">
        <f>IF($A385="","",IFERROR(_xlfn.XLOOKUP($A385,'2_DOI_Lookup'!$A$2:$A$430,'2_DOI_Lookup'!$B$2:$B$430),"NOT IN SOURCE"))</f>
        <v>10.13700/j.bh.1001-5965.2022.0593</v>
      </c>
    </row>
    <row r="386" spans="1:41" ht="91.2" x14ac:dyDescent="0.3">
      <c r="A386" s="26">
        <v>3874</v>
      </c>
      <c r="B386" s="9" t="s">
        <v>288</v>
      </c>
      <c r="C386" s="32">
        <v>2025</v>
      </c>
      <c r="D386" s="9"/>
      <c r="E386" s="9" t="str">
        <f>IF($A386="","",IFERROR(_xlfn.XLOOKUP($A386,'2_DOI_Lookup'!$D$2:$D$430,'2_DOI_Lookup'!$E$2:$E$430),"TITLE NOT IN SOURCE"))</f>
        <v>Design and Validation of a Real-Time Maintenance Monitoring System Using BIM and Digital Twin Integration</v>
      </c>
      <c r="F386" s="26" t="s">
        <v>310</v>
      </c>
      <c r="G386" s="27" t="s">
        <v>311</v>
      </c>
      <c r="H386" s="27" t="s">
        <v>311</v>
      </c>
      <c r="I386" s="27" t="s">
        <v>311</v>
      </c>
      <c r="J386" s="27" t="s">
        <v>311</v>
      </c>
      <c r="K386" s="27" t="s">
        <v>311</v>
      </c>
      <c r="L386" s="28" t="str">
        <f t="shared" si="26"/>
        <v>INCLUDE</v>
      </c>
      <c r="M386" s="28" t="str">
        <f t="shared" si="27"/>
        <v/>
      </c>
      <c r="N386" s="29" t="s">
        <v>311</v>
      </c>
      <c r="O386" s="29" t="s">
        <v>311</v>
      </c>
      <c r="P386" s="30" t="s">
        <v>311</v>
      </c>
      <c r="Q386" s="30" t="s">
        <v>311</v>
      </c>
      <c r="R386" s="30" t="s">
        <v>311</v>
      </c>
      <c r="S386" s="28" t="str">
        <f t="shared" si="28"/>
        <v>INCLUDE</v>
      </c>
      <c r="T386" s="28" t="str">
        <f t="shared" si="29"/>
        <v/>
      </c>
      <c r="U386" s="31" t="s">
        <v>61</v>
      </c>
      <c r="V386" s="31">
        <v>0</v>
      </c>
      <c r="W386" s="31">
        <v>0</v>
      </c>
      <c r="X386" s="31">
        <v>1</v>
      </c>
      <c r="Y386" s="28" t="str">
        <f t="shared" si="30"/>
        <v>Single</v>
      </c>
      <c r="Z386" s="31" t="s">
        <v>9</v>
      </c>
      <c r="AA386" s="31" t="s">
        <v>53</v>
      </c>
      <c r="AB386" s="31" t="s">
        <v>91</v>
      </c>
      <c r="AC386" s="31" t="s">
        <v>64</v>
      </c>
      <c r="AD386" s="31" t="s">
        <v>72</v>
      </c>
      <c r="AE386" s="31">
        <v>4</v>
      </c>
      <c r="AF386" s="31" t="s">
        <v>57</v>
      </c>
      <c r="AG386" s="15" t="s">
        <v>670</v>
      </c>
      <c r="AH386" s="97" t="s">
        <v>1004</v>
      </c>
      <c r="AI386" s="97" t="s">
        <v>1005</v>
      </c>
      <c r="AJ386" s="98" t="s">
        <v>1080</v>
      </c>
      <c r="AK386" s="98" t="s">
        <v>1218</v>
      </c>
      <c r="AL386" s="98" t="s">
        <v>1083</v>
      </c>
      <c r="AM386" s="99"/>
      <c r="AN386" s="100" t="s">
        <v>1313</v>
      </c>
      <c r="AO386" s="101" t="str">
        <f>IF($A386="","",IFERROR(_xlfn.XLOOKUP($A386,'2_DOI_Lookup'!$A$2:$A$430,'2_DOI_Lookup'!$B$2:$B$430),"NOT IN SOURCE"))</f>
        <v>10.3390/buildings15081312</v>
      </c>
    </row>
    <row r="387" spans="1:41" ht="45.6" hidden="1" x14ac:dyDescent="0.3">
      <c r="A387" s="73">
        <v>3674</v>
      </c>
      <c r="B387" s="74"/>
      <c r="C387" s="75"/>
      <c r="D387" s="74"/>
      <c r="E387" s="74" t="str">
        <f>IF($A387="","",IFERROR(_xlfn.XLOOKUP($A387,'2_DOI_Lookup'!$D$2:$D$430,'2_DOI_Lookup'!$E$2:$E$430),"TITLE NOT IN SOURCE"))</f>
        <v>Current situation and development trend of intelligent unmanned autonomous excavators</v>
      </c>
      <c r="F387" s="73" t="s">
        <v>309</v>
      </c>
      <c r="G387" s="76" t="s">
        <v>312</v>
      </c>
      <c r="H387" s="76" t="s">
        <v>312</v>
      </c>
      <c r="I387" s="76" t="s">
        <v>311</v>
      </c>
      <c r="J387" s="76" t="s">
        <v>311</v>
      </c>
      <c r="K387" s="76" t="s">
        <v>312</v>
      </c>
      <c r="L387" s="77" t="str">
        <f t="shared" si="26"/>
        <v>EXCLUDE</v>
      </c>
      <c r="M387" s="77" t="str">
        <f t="shared" si="27"/>
        <v>Wrong domain (non-AECO)</v>
      </c>
      <c r="N387" s="78"/>
      <c r="O387" s="78"/>
      <c r="P387" s="79"/>
      <c r="Q387" s="79"/>
      <c r="R387" s="79"/>
      <c r="S387" s="77" t="str">
        <f t="shared" si="28"/>
        <v/>
      </c>
      <c r="T387" s="77" t="str">
        <f t="shared" si="29"/>
        <v/>
      </c>
      <c r="U387" s="80"/>
      <c r="V387" s="80"/>
      <c r="W387" s="80"/>
      <c r="X387" s="80"/>
      <c r="Y387" s="77" t="str">
        <f t="shared" si="30"/>
        <v/>
      </c>
      <c r="Z387" s="80"/>
      <c r="AA387" s="80"/>
      <c r="AB387" s="80"/>
      <c r="AC387" s="80"/>
      <c r="AD387" s="80"/>
      <c r="AE387" s="80"/>
      <c r="AF387" s="80"/>
      <c r="AG387" s="81" t="s">
        <v>558</v>
      </c>
      <c r="AH387" s="35"/>
      <c r="AI387" s="35"/>
      <c r="AK387"/>
      <c r="AM387" s="56"/>
      <c r="AN387" s="57"/>
      <c r="AO387" s="63" t="str">
        <f>IF($A387="","",IFERROR(_xlfn.XLOOKUP($A387,'2_DOI_Lookup'!$A$2:$A$430,'2_DOI_Lookup'!$B$2:$B$430),"NOT IN SOURCE"))</f>
        <v>10.13225/j.cnki.jccs.2025.0229</v>
      </c>
    </row>
    <row r="388" spans="1:41" ht="68.400000000000006" hidden="1" x14ac:dyDescent="0.3">
      <c r="A388" s="26">
        <v>3520</v>
      </c>
      <c r="B388" s="9"/>
      <c r="C388" s="32"/>
      <c r="D388" s="9"/>
      <c r="E388" s="9" t="str">
        <f>IF($A388="","",IFERROR(_xlfn.XLOOKUP($A388,'2_DOI_Lookup'!$D$2:$D$430,'2_DOI_Lookup'!$E$2:$E$430),"TITLE NOT IN SOURCE"))</f>
        <v>Related Literature Review 5D Model for Project and Operation/Maintenance Remote Monitoring of Equipment and Piping System</v>
      </c>
      <c r="F388" s="26" t="s">
        <v>309</v>
      </c>
      <c r="G388" s="27" t="s">
        <v>312</v>
      </c>
      <c r="H388" s="27" t="s">
        <v>312</v>
      </c>
      <c r="I388" s="27" t="s">
        <v>312</v>
      </c>
      <c r="J388" s="27" t="s">
        <v>311</v>
      </c>
      <c r="K388" s="27" t="s">
        <v>311</v>
      </c>
      <c r="L388" s="28" t="str">
        <f t="shared" si="26"/>
        <v>EXCLUDE</v>
      </c>
      <c r="M388" s="28" t="str">
        <f t="shared" si="27"/>
        <v>Wrong domain (non-AECO)</v>
      </c>
      <c r="N388" s="29"/>
      <c r="O388" s="29"/>
      <c r="P388" s="30"/>
      <c r="Q388" s="30"/>
      <c r="R388" s="30"/>
      <c r="S388" s="28" t="str">
        <f t="shared" si="28"/>
        <v/>
      </c>
      <c r="T388" s="28" t="str">
        <f t="shared" si="29"/>
        <v/>
      </c>
      <c r="U388" s="31"/>
      <c r="V388" s="31"/>
      <c r="W388" s="31"/>
      <c r="X388" s="31"/>
      <c r="Y388" s="28" t="str">
        <f t="shared" si="30"/>
        <v/>
      </c>
      <c r="Z388" s="31"/>
      <c r="AA388" s="31"/>
      <c r="AB388" s="31"/>
      <c r="AC388" s="31"/>
      <c r="AD388" s="31"/>
      <c r="AE388" s="31"/>
      <c r="AF388" s="31"/>
      <c r="AG388" s="15" t="s">
        <v>559</v>
      </c>
      <c r="AH388" s="35"/>
      <c r="AI388" s="35"/>
      <c r="AK388"/>
      <c r="AM388" s="56"/>
      <c r="AN388" s="57"/>
      <c r="AO388" s="63" t="str">
        <f>IF($A388="","",IFERROR(_xlfn.XLOOKUP($A388,'2_DOI_Lookup'!$A$2:$A$430,'2_DOI_Lookup'!$B$2:$B$430),"NOT IN SOURCE"))</f>
        <v>10.18280/jesa.560301</v>
      </c>
    </row>
    <row r="389" spans="1:41" ht="45.6" hidden="1" x14ac:dyDescent="0.3">
      <c r="A389" s="64">
        <v>3576</v>
      </c>
      <c r="B389" s="65"/>
      <c r="C389" s="66"/>
      <c r="D389" s="65"/>
      <c r="E389" s="65" t="str">
        <f>IF($A389="","",IFERROR(_xlfn.XLOOKUP($A389,'2_DOI_Lookup'!$D$2:$D$430,'2_DOI_Lookup'!$E$2:$E$430),"TITLE NOT IN SOURCE"))</f>
        <v>Metaverse for the Energy Industry: Technologies, Applications, and Solutions</v>
      </c>
      <c r="F389" s="64" t="s">
        <v>309</v>
      </c>
      <c r="G389" s="67" t="s">
        <v>312</v>
      </c>
      <c r="H389" s="67" t="s">
        <v>311</v>
      </c>
      <c r="I389" s="67" t="s">
        <v>311</v>
      </c>
      <c r="J389" s="67" t="s">
        <v>311</v>
      </c>
      <c r="K389" s="67" t="s">
        <v>311</v>
      </c>
      <c r="L389" s="68" t="str">
        <f t="shared" ref="L389:L433" si="31">IF(COUNTBLANK(G389:K389)=5,"",IF(COUNTIF(G389:K389,"No")&gt;0,"EXCLUDE","INCLUDE"))</f>
        <v>EXCLUDE</v>
      </c>
      <c r="M389" s="68" t="str">
        <f t="shared" ref="M389:M433" si="32">IF(L389&lt;&gt;"EXCLUDE","",IF(G389="No","Wrong domain (non-AECO)",IF(H389="No","Digital Twin not core / buzzword",IF(I389="No","No Design for Safety/Quality/PtD",IF(J389="No","Wrong publication type",IF(K389="No","Non-English",""))))))</f>
        <v>Wrong domain (non-AECO)</v>
      </c>
      <c r="N389" s="69"/>
      <c r="O389" s="69"/>
      <c r="P389" s="70"/>
      <c r="Q389" s="70"/>
      <c r="R389" s="70"/>
      <c r="S389" s="68" t="str">
        <f t="shared" ref="S389:S433" si="33">IF(N389&lt;&gt;"Yes","",IF(COUNTBLANK(P389:R389)=3,"",IF(COUNTIF(P389:R389,"No")&gt;0,"EXCLUDE","INCLUDE")))</f>
        <v/>
      </c>
      <c r="T389" s="68" t="str">
        <f t="shared" ref="T389:T433" si="34">IF(S389&lt;&gt;"EXCLUDE","",IF(P389="No","Digital Twin mentioned only, not the subject",IF(Q389="No","No Design for Safety/Quality in full text",IF(R389="No","Methodology not codable",""))))</f>
        <v/>
      </c>
      <c r="U389" s="71"/>
      <c r="V389" s="71"/>
      <c r="W389" s="71"/>
      <c r="X389" s="71"/>
      <c r="Y389" s="68" t="str">
        <f t="shared" ref="Y389:Y433" si="35">IF(SUM(V389:X389)=0,"",IF(SUM(V389:X389)&gt;=2,"Multi","Single"))</f>
        <v/>
      </c>
      <c r="Z389" s="71"/>
      <c r="AA389" s="71"/>
      <c r="AB389" s="71"/>
      <c r="AC389" s="71"/>
      <c r="AD389" s="71"/>
      <c r="AE389" s="71"/>
      <c r="AF389" s="71"/>
      <c r="AG389" s="72" t="s">
        <v>560</v>
      </c>
      <c r="AH389" s="35"/>
      <c r="AI389" s="35"/>
      <c r="AK389"/>
      <c r="AM389" s="56"/>
      <c r="AN389" s="57"/>
      <c r="AO389" s="63" t="str">
        <f>IF($A389="","",IFERROR(_xlfn.XLOOKUP($A389,'2_DOI_Lookup'!$A$2:$A$430,'2_DOI_Lookup'!$B$2:$B$430),"NOT IN SOURCE"))</f>
        <v>10.1109/TCYB.2024.3475272</v>
      </c>
    </row>
    <row r="390" spans="1:41" ht="91.2" x14ac:dyDescent="0.3">
      <c r="A390" s="26">
        <v>3696</v>
      </c>
      <c r="B390" s="9" t="s">
        <v>289</v>
      </c>
      <c r="C390" s="32">
        <v>2023</v>
      </c>
      <c r="D390" s="9"/>
      <c r="E390" s="9" t="str">
        <f>IF($A390="","",IFERROR(_xlfn.XLOOKUP($A390,'2_DOI_Lookup'!$D$2:$D$430,'2_DOI_Lookup'!$E$2:$E$430),"TITLE NOT IN SOURCE"))</f>
        <v>A digital twin approach for tunnel construction safety early warning and management</v>
      </c>
      <c r="F390" s="26" t="s">
        <v>309</v>
      </c>
      <c r="G390" s="27" t="s">
        <v>311</v>
      </c>
      <c r="H390" s="27" t="s">
        <v>311</v>
      </c>
      <c r="I390" s="27" t="s">
        <v>311</v>
      </c>
      <c r="J390" s="27" t="s">
        <v>311</v>
      </c>
      <c r="K390" s="27" t="s">
        <v>311</v>
      </c>
      <c r="L390" s="28" t="str">
        <f t="shared" si="31"/>
        <v>INCLUDE</v>
      </c>
      <c r="M390" s="28" t="str">
        <f t="shared" si="32"/>
        <v/>
      </c>
      <c r="N390" s="29" t="s">
        <v>311</v>
      </c>
      <c r="O390" s="29" t="s">
        <v>311</v>
      </c>
      <c r="P390" s="30" t="s">
        <v>311</v>
      </c>
      <c r="Q390" s="30" t="s">
        <v>311</v>
      </c>
      <c r="R390" s="30" t="s">
        <v>311</v>
      </c>
      <c r="S390" s="28" t="str">
        <f t="shared" si="33"/>
        <v>INCLUDE</v>
      </c>
      <c r="T390" s="28" t="str">
        <f t="shared" si="34"/>
        <v/>
      </c>
      <c r="U390" s="31" t="s">
        <v>61</v>
      </c>
      <c r="V390" s="31">
        <v>0</v>
      </c>
      <c r="W390" s="31">
        <v>1</v>
      </c>
      <c r="X390" s="31">
        <v>0</v>
      </c>
      <c r="Y390" s="28" t="str">
        <f t="shared" si="35"/>
        <v>Single</v>
      </c>
      <c r="Z390" s="31" t="s">
        <v>9</v>
      </c>
      <c r="AA390" s="31" t="s">
        <v>53</v>
      </c>
      <c r="AB390" s="31" t="s">
        <v>91</v>
      </c>
      <c r="AC390" s="31" t="s">
        <v>64</v>
      </c>
      <c r="AD390" s="31" t="s">
        <v>72</v>
      </c>
      <c r="AE390" s="31">
        <v>4</v>
      </c>
      <c r="AF390" s="31" t="s">
        <v>80</v>
      </c>
      <c r="AG390" s="15" t="s">
        <v>671</v>
      </c>
      <c r="AH390" s="97" t="s">
        <v>1006</v>
      </c>
      <c r="AI390" s="97" t="s">
        <v>1007</v>
      </c>
      <c r="AJ390" s="98" t="s">
        <v>1080</v>
      </c>
      <c r="AK390" s="98" t="s">
        <v>1219</v>
      </c>
      <c r="AL390" s="98" t="s">
        <v>1083</v>
      </c>
      <c r="AM390" s="99"/>
      <c r="AN390" s="100" t="s">
        <v>1285</v>
      </c>
      <c r="AO390" s="101" t="str">
        <f>IF($A390="","",IFERROR(_xlfn.XLOOKUP($A390,'2_DOI_Lookup'!$A$2:$A$430,'2_DOI_Lookup'!$B$2:$B$430),"NOT IN SOURCE"))</f>
        <v>10.1016/j.compind.2022.103783</v>
      </c>
    </row>
    <row r="391" spans="1:41" ht="68.400000000000006" hidden="1" x14ac:dyDescent="0.3">
      <c r="A391" s="82">
        <v>3855</v>
      </c>
      <c r="B391" s="83"/>
      <c r="C391" s="84"/>
      <c r="D391" s="83"/>
      <c r="E391" s="83" t="str">
        <f>IF($A391="","",IFERROR(_xlfn.XLOOKUP($A391,'2_DOI_Lookup'!$D$2:$D$430,'2_DOI_Lookup'!$E$2:$E$430),"TITLE NOT IN SOURCE"))</f>
        <v>Deep Tabular and Sequential Models for Robust SCADA Cybersecurity Using the Custom-Built SCADANet Dataset</v>
      </c>
      <c r="F391" s="82" t="s">
        <v>309</v>
      </c>
      <c r="G391" s="85" t="s">
        <v>312</v>
      </c>
      <c r="H391" s="85" t="s">
        <v>312</v>
      </c>
      <c r="I391" s="85" t="s">
        <v>312</v>
      </c>
      <c r="J391" s="85" t="s">
        <v>311</v>
      </c>
      <c r="K391" s="85" t="s">
        <v>311</v>
      </c>
      <c r="L391" s="86" t="str">
        <f t="shared" si="31"/>
        <v>EXCLUDE</v>
      </c>
      <c r="M391" s="86" t="str">
        <f t="shared" si="32"/>
        <v>Wrong domain (non-AECO)</v>
      </c>
      <c r="N391" s="87"/>
      <c r="O391" s="87"/>
      <c r="P391" s="88"/>
      <c r="Q391" s="88"/>
      <c r="R391" s="88"/>
      <c r="S391" s="86" t="str">
        <f t="shared" si="33"/>
        <v/>
      </c>
      <c r="T391" s="86" t="str">
        <f t="shared" si="34"/>
        <v/>
      </c>
      <c r="U391" s="89"/>
      <c r="V391" s="89"/>
      <c r="W391" s="89"/>
      <c r="X391" s="89"/>
      <c r="Y391" s="86" t="str">
        <f t="shared" si="35"/>
        <v/>
      </c>
      <c r="Z391" s="89"/>
      <c r="AA391" s="89"/>
      <c r="AB391" s="89"/>
      <c r="AC391" s="89"/>
      <c r="AD391" s="89"/>
      <c r="AE391" s="89"/>
      <c r="AF391" s="89"/>
      <c r="AG391" s="90" t="s">
        <v>561</v>
      </c>
      <c r="AH391" s="35"/>
      <c r="AI391" s="35"/>
      <c r="AK391"/>
      <c r="AM391" s="56"/>
      <c r="AN391" s="57"/>
      <c r="AO391" s="63" t="str">
        <f>IF($A391="","",IFERROR(_xlfn.XLOOKUP($A391,'2_DOI_Lookup'!$A$2:$A$430,'2_DOI_Lookup'!$B$2:$B$430),"NOT IN SOURCE"))</f>
        <v>10.1109/ACCESS.2026.3691986</v>
      </c>
    </row>
    <row r="392" spans="1:41" ht="201.6" x14ac:dyDescent="0.3">
      <c r="A392" s="26">
        <v>3667</v>
      </c>
      <c r="B392" s="9" t="s">
        <v>290</v>
      </c>
      <c r="C392" s="32">
        <v>2026</v>
      </c>
      <c r="D392" s="9"/>
      <c r="E392" s="9" t="str">
        <f>IF($A392="","",IFERROR(_xlfn.XLOOKUP($A392,'2_DOI_Lookup'!$D$2:$D$430,'2_DOI_Lookup'!$E$2:$E$430),"TITLE NOT IN SOURCE"))</f>
        <v>Topology guided fourier neural operator with decoupled geometric parameterization for dam leakage detection</v>
      </c>
      <c r="F392" s="26" t="s">
        <v>309</v>
      </c>
      <c r="G392" s="27" t="s">
        <v>311</v>
      </c>
      <c r="H392" s="27" t="s">
        <v>311</v>
      </c>
      <c r="I392" s="27" t="s">
        <v>311</v>
      </c>
      <c r="J392" s="27" t="s">
        <v>311</v>
      </c>
      <c r="K392" s="27" t="s">
        <v>311</v>
      </c>
      <c r="L392" s="28" t="str">
        <f t="shared" si="31"/>
        <v>INCLUDE</v>
      </c>
      <c r="M392" s="28" t="str">
        <f t="shared" si="32"/>
        <v/>
      </c>
      <c r="N392" s="29" t="s">
        <v>311</v>
      </c>
      <c r="O392" s="29" t="s">
        <v>311</v>
      </c>
      <c r="P392" s="30" t="s">
        <v>311</v>
      </c>
      <c r="Q392" s="30" t="s">
        <v>311</v>
      </c>
      <c r="R392" s="30" t="s">
        <v>311</v>
      </c>
      <c r="S392" s="28" t="str">
        <f t="shared" si="33"/>
        <v>INCLUDE</v>
      </c>
      <c r="T392" s="28" t="str">
        <f t="shared" si="34"/>
        <v/>
      </c>
      <c r="U392" s="31" t="s">
        <v>61</v>
      </c>
      <c r="V392" s="31">
        <v>0</v>
      </c>
      <c r="W392" s="31">
        <v>0</v>
      </c>
      <c r="X392" s="31">
        <v>1</v>
      </c>
      <c r="Y392" s="28" t="str">
        <f t="shared" si="35"/>
        <v>Single</v>
      </c>
      <c r="Z392" s="31" t="s">
        <v>9</v>
      </c>
      <c r="AA392" s="31" t="s">
        <v>53</v>
      </c>
      <c r="AB392" s="31" t="s">
        <v>92</v>
      </c>
      <c r="AC392" s="31" t="s">
        <v>55</v>
      </c>
      <c r="AD392" s="31" t="s">
        <v>65</v>
      </c>
      <c r="AE392" s="31">
        <v>4</v>
      </c>
      <c r="AF392" s="31" t="s">
        <v>84</v>
      </c>
      <c r="AG392" s="15" t="s">
        <v>672</v>
      </c>
      <c r="AH392" s="97" t="s">
        <v>1008</v>
      </c>
      <c r="AI392" s="97" t="s">
        <v>1009</v>
      </c>
      <c r="AJ392" s="98" t="s">
        <v>1078</v>
      </c>
      <c r="AK392" s="115" t="s">
        <v>1220</v>
      </c>
      <c r="AL392" s="98" t="s">
        <v>1083</v>
      </c>
      <c r="AM392" s="99" t="s">
        <v>1352</v>
      </c>
      <c r="AN392" s="100" t="s">
        <v>1412</v>
      </c>
      <c r="AO392" s="101" t="str">
        <f>IF($A392="","",IFERROR(_xlfn.XLOOKUP($A392,'2_DOI_Lookup'!$A$2:$A$430,'2_DOI_Lookup'!$B$2:$B$430),"NOT IN SOURCE"))</f>
        <v>10.1016/j.cacaie.2026.100073</v>
      </c>
    </row>
    <row r="393" spans="1:41" ht="102.6" x14ac:dyDescent="0.3">
      <c r="A393" s="26">
        <v>3518</v>
      </c>
      <c r="B393" s="9" t="s">
        <v>291</v>
      </c>
      <c r="C393" s="32">
        <v>2023</v>
      </c>
      <c r="D393" s="9"/>
      <c r="E393" s="9" t="str">
        <f>IF($A393="","",IFERROR(_xlfn.XLOOKUP($A393,'2_DOI_Lookup'!$D$2:$D$430,'2_DOI_Lookup'!$E$2:$E$430),"TITLE NOT IN SOURCE"))</f>
        <v>Earthwork digital twin for teleoperation of an automated bulldozer in edge dumping</v>
      </c>
      <c r="F393" s="26" t="s">
        <v>309</v>
      </c>
      <c r="G393" s="27" t="s">
        <v>311</v>
      </c>
      <c r="H393" s="27" t="s">
        <v>311</v>
      </c>
      <c r="I393" s="27" t="s">
        <v>311</v>
      </c>
      <c r="J393" s="27" t="s">
        <v>311</v>
      </c>
      <c r="K393" s="27" t="s">
        <v>311</v>
      </c>
      <c r="L393" s="28" t="str">
        <f t="shared" si="31"/>
        <v>INCLUDE</v>
      </c>
      <c r="M393" s="28" t="str">
        <f t="shared" si="32"/>
        <v/>
      </c>
      <c r="N393" s="29" t="s">
        <v>49</v>
      </c>
      <c r="O393" s="29" t="s">
        <v>49</v>
      </c>
      <c r="P393" s="30" t="s">
        <v>49</v>
      </c>
      <c r="Q393" s="30" t="s">
        <v>49</v>
      </c>
      <c r="R393" s="30" t="s">
        <v>49</v>
      </c>
      <c r="S393" s="28" t="str">
        <f t="shared" si="33"/>
        <v>INCLUDE</v>
      </c>
      <c r="T393" s="28" t="str">
        <f t="shared" si="34"/>
        <v/>
      </c>
      <c r="U393" s="31" t="s">
        <v>61</v>
      </c>
      <c r="V393" s="31">
        <v>0</v>
      </c>
      <c r="W393" s="31">
        <v>1</v>
      </c>
      <c r="X393" s="31">
        <v>0</v>
      </c>
      <c r="Y393" s="28" t="str">
        <f t="shared" si="35"/>
        <v>Single</v>
      </c>
      <c r="Z393" s="31" t="s">
        <v>9</v>
      </c>
      <c r="AA393" s="31" t="s">
        <v>53</v>
      </c>
      <c r="AB393" s="31" t="s">
        <v>54</v>
      </c>
      <c r="AC393" s="31" t="s">
        <v>64</v>
      </c>
      <c r="AD393" s="31" t="s">
        <v>72</v>
      </c>
      <c r="AE393" s="31">
        <v>4</v>
      </c>
      <c r="AF393" s="31" t="s">
        <v>73</v>
      </c>
      <c r="AG393" s="15" t="s">
        <v>741</v>
      </c>
      <c r="AH393" s="97" t="s">
        <v>1010</v>
      </c>
      <c r="AI393" s="97" t="s">
        <v>1011</v>
      </c>
      <c r="AJ393" s="98" t="s">
        <v>1080</v>
      </c>
      <c r="AK393" s="98" t="s">
        <v>1221</v>
      </c>
      <c r="AL393" s="98" t="s">
        <v>1083</v>
      </c>
      <c r="AM393" s="99"/>
      <c r="AN393" s="100" t="s">
        <v>1255</v>
      </c>
      <c r="AO393" s="101" t="str">
        <f>IF($A393="","",IFERROR(_xlfn.XLOOKUP($A393,'2_DOI_Lookup'!$A$2:$A$430,'2_DOI_Lookup'!$B$2:$B$430),"NOT IN SOURCE"))</f>
        <v>10.1002/rob.22234</v>
      </c>
    </row>
    <row r="394" spans="1:41" ht="345.6" x14ac:dyDescent="0.3">
      <c r="A394" s="26">
        <v>3993</v>
      </c>
      <c r="B394" s="9" t="s">
        <v>292</v>
      </c>
      <c r="C394" s="32">
        <v>2024</v>
      </c>
      <c r="D394" s="9"/>
      <c r="E394" s="9" t="str">
        <f>IF($A394="","",IFERROR(_xlfn.XLOOKUP($A394,'2_DOI_Lookup'!$D$2:$D$430,'2_DOI_Lookup'!$E$2:$E$430),"TITLE NOT IN SOURCE"))</f>
        <v>Intelligent Analysis of Construction Safety of Large Underground Space Based on Digital Twin</v>
      </c>
      <c r="F394" s="26" t="s">
        <v>310</v>
      </c>
      <c r="G394" s="27" t="s">
        <v>311</v>
      </c>
      <c r="H394" s="27" t="s">
        <v>311</v>
      </c>
      <c r="I394" s="27" t="s">
        <v>311</v>
      </c>
      <c r="J394" s="27" t="s">
        <v>311</v>
      </c>
      <c r="K394" s="27" t="s">
        <v>311</v>
      </c>
      <c r="L394" s="28" t="str">
        <f t="shared" si="31"/>
        <v>INCLUDE</v>
      </c>
      <c r="M394" s="28" t="str">
        <f t="shared" si="32"/>
        <v/>
      </c>
      <c r="N394" s="29" t="s">
        <v>49</v>
      </c>
      <c r="O394" s="29" t="s">
        <v>49</v>
      </c>
      <c r="P394" s="30" t="s">
        <v>49</v>
      </c>
      <c r="Q394" s="30" t="s">
        <v>49</v>
      </c>
      <c r="R394" s="30" t="s">
        <v>49</v>
      </c>
      <c r="S394" s="28" t="str">
        <f t="shared" si="33"/>
        <v>INCLUDE</v>
      </c>
      <c r="T394" s="28" t="str">
        <f t="shared" si="34"/>
        <v/>
      </c>
      <c r="U394" s="31" t="s">
        <v>61</v>
      </c>
      <c r="V394" s="31">
        <v>0</v>
      </c>
      <c r="W394" s="31">
        <v>1</v>
      </c>
      <c r="X394" s="31">
        <v>0</v>
      </c>
      <c r="Y394" s="28" t="str">
        <f t="shared" si="35"/>
        <v>Single</v>
      </c>
      <c r="Z394" s="31" t="s">
        <v>9</v>
      </c>
      <c r="AA394" s="31" t="s">
        <v>53</v>
      </c>
      <c r="AB394" s="31" t="s">
        <v>91</v>
      </c>
      <c r="AC394" s="31" t="s">
        <v>64</v>
      </c>
      <c r="AD394" s="31" t="s">
        <v>72</v>
      </c>
      <c r="AE394" s="31">
        <v>3</v>
      </c>
      <c r="AF394" s="31" t="s">
        <v>80</v>
      </c>
      <c r="AG394" s="15" t="s">
        <v>1888</v>
      </c>
      <c r="AH394" s="97" t="s">
        <v>1889</v>
      </c>
      <c r="AI394" s="97" t="s">
        <v>1890</v>
      </c>
      <c r="AJ394" s="98" t="s">
        <v>1080</v>
      </c>
      <c r="AK394" s="98" t="s">
        <v>1891</v>
      </c>
      <c r="AL394" s="98" t="s">
        <v>1084</v>
      </c>
      <c r="AM394" s="99"/>
      <c r="AN394" s="100" t="s">
        <v>1892</v>
      </c>
      <c r="AO394" s="101" t="str">
        <f>IF($A394="","",IFERROR(_xlfn.XLOOKUP($A394,'2_DOI_Lookup'!$A$2:$A$430,'2_DOI_Lookup'!$B$2:$B$430),"NOT IN SOURCE"))</f>
        <v>10.3390/buildings14061551</v>
      </c>
    </row>
    <row r="395" spans="1:41" ht="45.6" hidden="1" x14ac:dyDescent="0.3">
      <c r="A395" s="73">
        <v>3757</v>
      </c>
      <c r="B395" s="74"/>
      <c r="C395" s="75"/>
      <c r="D395" s="74"/>
      <c r="E395" s="74" t="str">
        <f>IF($A395="","",IFERROR(_xlfn.XLOOKUP($A395,'2_DOI_Lookup'!$D$2:$D$430,'2_DOI_Lookup'!$E$2:$E$430),"TITLE NOT IN SOURCE"))</f>
        <v>Application of BIM technologies based on parametric modeling in the mining industry</v>
      </c>
      <c r="F395" s="73" t="s">
        <v>309</v>
      </c>
      <c r="G395" s="76" t="s">
        <v>312</v>
      </c>
      <c r="H395" s="76" t="s">
        <v>312</v>
      </c>
      <c r="I395" s="76" t="s">
        <v>312</v>
      </c>
      <c r="J395" s="76" t="s">
        <v>311</v>
      </c>
      <c r="K395" s="76" t="s">
        <v>312</v>
      </c>
      <c r="L395" s="77" t="str">
        <f t="shared" si="31"/>
        <v>EXCLUDE</v>
      </c>
      <c r="M395" s="77" t="str">
        <f t="shared" si="32"/>
        <v>Wrong domain (non-AECO)</v>
      </c>
      <c r="N395" s="78"/>
      <c r="O395" s="78"/>
      <c r="P395" s="79"/>
      <c r="Q395" s="79"/>
      <c r="R395" s="79"/>
      <c r="S395" s="77" t="str">
        <f t="shared" si="33"/>
        <v/>
      </c>
      <c r="T395" s="77" t="str">
        <f t="shared" si="34"/>
        <v/>
      </c>
      <c r="U395" s="80"/>
      <c r="V395" s="80"/>
      <c r="W395" s="80"/>
      <c r="X395" s="80"/>
      <c r="Y395" s="77" t="str">
        <f t="shared" si="35"/>
        <v/>
      </c>
      <c r="Z395" s="80"/>
      <c r="AA395" s="80"/>
      <c r="AB395" s="80"/>
      <c r="AC395" s="80"/>
      <c r="AD395" s="80"/>
      <c r="AE395" s="80"/>
      <c r="AF395" s="80"/>
      <c r="AG395" s="81" t="s">
        <v>562</v>
      </c>
      <c r="AH395" s="35"/>
      <c r="AI395" s="35"/>
      <c r="AK395"/>
      <c r="AM395" s="56"/>
      <c r="AN395" s="57"/>
      <c r="AO395" s="63" t="str">
        <f>IF($A395="","",IFERROR(_xlfn.XLOOKUP($A395,'2_DOI_Lookup'!$A$2:$A$430,'2_DOI_Lookup'!$B$2:$B$430),"NOT IN SOURCE"))</f>
        <v>10.21177/1998-4502-2025-17-2-1233-1248</v>
      </c>
    </row>
    <row r="396" spans="1:41" ht="68.400000000000006" hidden="1" x14ac:dyDescent="0.3">
      <c r="A396" s="64">
        <v>3628</v>
      </c>
      <c r="B396" s="65"/>
      <c r="C396" s="66"/>
      <c r="D396" s="65"/>
      <c r="E396" s="65" t="str">
        <f>IF($A396="","",IFERROR(_xlfn.XLOOKUP($A396,'2_DOI_Lookup'!$D$2:$D$430,'2_DOI_Lookup'!$E$2:$E$430),"TITLE NOT IN SOURCE"))</f>
        <v>Exploration and practice of the digital twin construction for production in the “Deep Sea No. 1” intelligent gas field</v>
      </c>
      <c r="F396" s="64" t="s">
        <v>309</v>
      </c>
      <c r="G396" s="67" t="s">
        <v>312</v>
      </c>
      <c r="H396" s="67" t="s">
        <v>311</v>
      </c>
      <c r="I396" s="67" t="s">
        <v>311</v>
      </c>
      <c r="J396" s="67" t="s">
        <v>311</v>
      </c>
      <c r="K396" s="67" t="s">
        <v>312</v>
      </c>
      <c r="L396" s="68" t="str">
        <f t="shared" si="31"/>
        <v>EXCLUDE</v>
      </c>
      <c r="M396" s="68" t="str">
        <f t="shared" si="32"/>
        <v>Wrong domain (non-AECO)</v>
      </c>
      <c r="N396" s="69"/>
      <c r="O396" s="69"/>
      <c r="P396" s="70"/>
      <c r="Q396" s="70"/>
      <c r="R396" s="70"/>
      <c r="S396" s="68" t="str">
        <f t="shared" si="33"/>
        <v/>
      </c>
      <c r="T396" s="68" t="str">
        <f t="shared" si="34"/>
        <v/>
      </c>
      <c r="U396" s="71"/>
      <c r="V396" s="71"/>
      <c r="W396" s="71"/>
      <c r="X396" s="71"/>
      <c r="Y396" s="68" t="str">
        <f t="shared" si="35"/>
        <v/>
      </c>
      <c r="Z396" s="71"/>
      <c r="AA396" s="71"/>
      <c r="AB396" s="71"/>
      <c r="AC396" s="71"/>
      <c r="AD396" s="71"/>
      <c r="AE396" s="71"/>
      <c r="AF396" s="71"/>
      <c r="AG396" s="72" t="s">
        <v>563</v>
      </c>
      <c r="AH396" s="35"/>
      <c r="AI396" s="35"/>
      <c r="AK396"/>
      <c r="AM396" s="56"/>
      <c r="AN396" s="57"/>
      <c r="AO396" s="63" t="str">
        <f>IF($A396="","",IFERROR(_xlfn.XLOOKUP($A396,'2_DOI_Lookup'!$A$2:$A$430,'2_DOI_Lookup'!$B$2:$B$430),"NOT IN SOURCE"))</f>
        <v>10.3969/j.issn.2096-1693.2025.03.023</v>
      </c>
    </row>
    <row r="397" spans="1:41" ht="68.400000000000006" hidden="1" x14ac:dyDescent="0.3">
      <c r="A397" s="26">
        <v>3539</v>
      </c>
      <c r="B397" s="9" t="s">
        <v>293</v>
      </c>
      <c r="C397" s="32">
        <v>2025</v>
      </c>
      <c r="D397" s="9"/>
      <c r="E397" s="9" t="str">
        <f>IF($A397="","",IFERROR(_xlfn.XLOOKUP($A397,'2_DOI_Lookup'!$D$2:$D$430,'2_DOI_Lookup'!$E$2:$E$430),"TITLE NOT IN SOURCE"))</f>
        <v>A dynamic digital twin-based health monitoring method for steel structures integrating multi-source sensing and intelligent algorithms</v>
      </c>
      <c r="F397" s="26" t="s">
        <v>309</v>
      </c>
      <c r="G397" s="27" t="s">
        <v>311</v>
      </c>
      <c r="H397" s="27" t="s">
        <v>311</v>
      </c>
      <c r="I397" s="27" t="s">
        <v>311</v>
      </c>
      <c r="J397" s="27" t="s">
        <v>311</v>
      </c>
      <c r="K397" s="27" t="s">
        <v>311</v>
      </c>
      <c r="L397" s="28" t="str">
        <f t="shared" si="31"/>
        <v>INCLUDE</v>
      </c>
      <c r="M397" s="28" t="str">
        <f t="shared" si="32"/>
        <v/>
      </c>
      <c r="N397" s="29" t="s">
        <v>311</v>
      </c>
      <c r="O397" s="29" t="s">
        <v>311</v>
      </c>
      <c r="P397" s="30" t="s">
        <v>312</v>
      </c>
      <c r="Q397" s="30" t="s">
        <v>312</v>
      </c>
      <c r="R397" s="30" t="s">
        <v>312</v>
      </c>
      <c r="S397" s="28" t="str">
        <f t="shared" si="33"/>
        <v>EXCLUDE</v>
      </c>
      <c r="T397" s="28" t="str">
        <f t="shared" si="34"/>
        <v>Digital Twin mentioned only, not the subject</v>
      </c>
      <c r="U397" s="31" t="s">
        <v>82</v>
      </c>
      <c r="V397" s="31"/>
      <c r="W397" s="31"/>
      <c r="X397" s="31"/>
      <c r="Y397" s="28" t="str">
        <f t="shared" si="35"/>
        <v/>
      </c>
      <c r="Z397" s="31"/>
      <c r="AA397" s="31"/>
      <c r="AB397" s="31"/>
      <c r="AC397" s="31"/>
      <c r="AD397" s="31"/>
      <c r="AE397" s="31"/>
      <c r="AF397" s="31"/>
      <c r="AG397" s="15" t="s">
        <v>673</v>
      </c>
      <c r="AH397" s="97"/>
      <c r="AI397" s="97"/>
      <c r="AJ397" s="98"/>
      <c r="AK397" s="98"/>
      <c r="AL397" s="98"/>
      <c r="AM397" s="99"/>
      <c r="AN397" s="100" t="s">
        <v>1259</v>
      </c>
      <c r="AO397" s="101" t="str">
        <f>IF($A397="","",IFERROR(_xlfn.XLOOKUP($A397,'2_DOI_Lookup'!$A$2:$A$430,'2_DOI_Lookup'!$B$2:$B$430),"NOT IN SOURCE"))</f>
        <v>10.1108/IJSI-06-2025-0147</v>
      </c>
    </row>
    <row r="398" spans="1:41" ht="45.6" hidden="1" x14ac:dyDescent="0.3">
      <c r="A398" s="73">
        <v>3706</v>
      </c>
      <c r="B398" s="74"/>
      <c r="C398" s="75"/>
      <c r="D398" s="74"/>
      <c r="E398" s="74" t="str">
        <f>IF($A398="","",IFERROR(_xlfn.XLOOKUP($A398,'2_DOI_Lookup'!$D$2:$D$430,'2_DOI_Lookup'!$E$2:$E$430),"TITLE NOT IN SOURCE"))</f>
        <v>Quantitative prediction method for safety of old building structures based on digital twins</v>
      </c>
      <c r="F398" s="73" t="s">
        <v>309</v>
      </c>
      <c r="G398" s="76" t="s">
        <v>311</v>
      </c>
      <c r="H398" s="76" t="s">
        <v>311</v>
      </c>
      <c r="I398" s="76" t="s">
        <v>311</v>
      </c>
      <c r="J398" s="76" t="s">
        <v>311</v>
      </c>
      <c r="K398" s="76" t="s">
        <v>312</v>
      </c>
      <c r="L398" s="77" t="str">
        <f t="shared" si="31"/>
        <v>EXCLUDE</v>
      </c>
      <c r="M398" s="77" t="str">
        <f t="shared" si="32"/>
        <v>Non-English</v>
      </c>
      <c r="N398" s="78"/>
      <c r="O398" s="78"/>
      <c r="P398" s="79"/>
      <c r="Q398" s="79"/>
      <c r="R398" s="79"/>
      <c r="S398" s="77" t="str">
        <f t="shared" si="33"/>
        <v/>
      </c>
      <c r="T398" s="77" t="str">
        <f t="shared" si="34"/>
        <v/>
      </c>
      <c r="U398" s="80"/>
      <c r="V398" s="80"/>
      <c r="W398" s="80"/>
      <c r="X398" s="80"/>
      <c r="Y398" s="77" t="str">
        <f t="shared" si="35"/>
        <v/>
      </c>
      <c r="Z398" s="80"/>
      <c r="AA398" s="80"/>
      <c r="AB398" s="80"/>
      <c r="AC398" s="80"/>
      <c r="AD398" s="80"/>
      <c r="AE398" s="80"/>
      <c r="AF398" s="80"/>
      <c r="AG398" s="81" t="s">
        <v>523</v>
      </c>
      <c r="AH398" s="35"/>
      <c r="AI398" s="35"/>
      <c r="AK398"/>
      <c r="AM398" s="56"/>
      <c r="AN398" s="57"/>
      <c r="AO398" s="63" t="str">
        <f>IF($A398="","",IFERROR(_xlfn.XLOOKUP($A398,'2_DOI_Lookup'!$A$2:$A$430,'2_DOI_Lookup'!$B$2:$B$430),"NOT IN SOURCE"))</f>
        <v>10.16265/j.cnki.issn1003-3033.2024.09.1975</v>
      </c>
    </row>
    <row r="399" spans="1:41" ht="68.400000000000006" hidden="1" x14ac:dyDescent="0.3">
      <c r="A399" s="64">
        <v>3495</v>
      </c>
      <c r="B399" s="65"/>
      <c r="C399" s="66"/>
      <c r="D399" s="65"/>
      <c r="E399" s="65" t="str">
        <f>IF($A399="","",IFERROR(_xlfn.XLOOKUP($A399,'2_DOI_Lookup'!$D$2:$D$430,'2_DOI_Lookup'!$E$2:$E$430),"TITLE NOT IN SOURCE"))</f>
        <v>Digital twin modeling and performance inversion of modular fully assembled cable-strut cable dome system for intelligent construction</v>
      </c>
      <c r="F399" s="64" t="s">
        <v>309</v>
      </c>
      <c r="G399" s="67" t="s">
        <v>311</v>
      </c>
      <c r="H399" s="67" t="s">
        <v>311</v>
      </c>
      <c r="I399" s="67" t="s">
        <v>311</v>
      </c>
      <c r="J399" s="67" t="s">
        <v>311</v>
      </c>
      <c r="K399" s="67" t="s">
        <v>312</v>
      </c>
      <c r="L399" s="68" t="str">
        <f t="shared" si="31"/>
        <v>EXCLUDE</v>
      </c>
      <c r="M399" s="68" t="str">
        <f t="shared" si="32"/>
        <v>Non-English</v>
      </c>
      <c r="N399" s="69"/>
      <c r="O399" s="69"/>
      <c r="P399" s="70"/>
      <c r="Q399" s="70"/>
      <c r="R399" s="70"/>
      <c r="S399" s="68" t="str">
        <f t="shared" si="33"/>
        <v/>
      </c>
      <c r="T399" s="68" t="str">
        <f t="shared" si="34"/>
        <v/>
      </c>
      <c r="U399" s="71"/>
      <c r="V399" s="71"/>
      <c r="W399" s="71"/>
      <c r="X399" s="71"/>
      <c r="Y399" s="68" t="str">
        <f t="shared" si="35"/>
        <v/>
      </c>
      <c r="Z399" s="71"/>
      <c r="AA399" s="71"/>
      <c r="AB399" s="71"/>
      <c r="AC399" s="71"/>
      <c r="AD399" s="71"/>
      <c r="AE399" s="71"/>
      <c r="AF399" s="71"/>
      <c r="AG399" s="72" t="s">
        <v>452</v>
      </c>
      <c r="AH399" s="35"/>
      <c r="AI399" s="35"/>
      <c r="AK399"/>
      <c r="AM399" s="56"/>
      <c r="AN399" s="57"/>
      <c r="AO399" s="63" t="str">
        <f>IF($A399="","",IFERROR(_xlfn.XLOOKUP($A399,'2_DOI_Lookup'!$A$2:$A$430,'2_DOI_Lookup'!$B$2:$B$430),"NOT IN SOURCE"))</f>
        <v>10.14006/j.jzjgxb.2025.0431</v>
      </c>
    </row>
    <row r="400" spans="1:41" ht="158.4" x14ac:dyDescent="0.3">
      <c r="A400" s="26">
        <v>3934</v>
      </c>
      <c r="B400" s="9" t="s">
        <v>294</v>
      </c>
      <c r="C400" s="32">
        <v>2024</v>
      </c>
      <c r="D400" s="9"/>
      <c r="E400" s="9" t="str">
        <f>IF($A400="","",IFERROR(_xlfn.XLOOKUP($A400,'2_DOI_Lookup'!$D$2:$D$430,'2_DOI_Lookup'!$E$2:$E$430),"TITLE NOT IN SOURCE"))</f>
        <v>Joint detection PCD-based method for automatic construction of geometric digital twin in cable dome structure</v>
      </c>
      <c r="F400" s="26" t="s">
        <v>310</v>
      </c>
      <c r="G400" s="27" t="s">
        <v>311</v>
      </c>
      <c r="H400" s="27" t="s">
        <v>311</v>
      </c>
      <c r="I400" s="27" t="s">
        <v>311</v>
      </c>
      <c r="J400" s="27" t="s">
        <v>311</v>
      </c>
      <c r="K400" s="27" t="s">
        <v>311</v>
      </c>
      <c r="L400" s="28" t="str">
        <f t="shared" si="31"/>
        <v>INCLUDE</v>
      </c>
      <c r="M400" s="28" t="str">
        <f t="shared" si="32"/>
        <v/>
      </c>
      <c r="N400" s="29" t="s">
        <v>311</v>
      </c>
      <c r="O400" s="29" t="s">
        <v>311</v>
      </c>
      <c r="P400" s="30" t="s">
        <v>311</v>
      </c>
      <c r="Q400" s="30" t="s">
        <v>311</v>
      </c>
      <c r="R400" s="30" t="s">
        <v>311</v>
      </c>
      <c r="S400" s="28" t="str">
        <f t="shared" si="33"/>
        <v>INCLUDE</v>
      </c>
      <c r="T400" s="28" t="str">
        <f t="shared" si="34"/>
        <v/>
      </c>
      <c r="U400" s="31" t="s">
        <v>52</v>
      </c>
      <c r="V400" s="31">
        <v>0</v>
      </c>
      <c r="W400" s="31">
        <v>1</v>
      </c>
      <c r="X400" s="31">
        <v>0</v>
      </c>
      <c r="Y400" s="28" t="str">
        <f t="shared" si="35"/>
        <v>Single</v>
      </c>
      <c r="Z400" s="31" t="s">
        <v>9</v>
      </c>
      <c r="AA400" s="31" t="s">
        <v>53</v>
      </c>
      <c r="AB400" s="31" t="s">
        <v>54</v>
      </c>
      <c r="AC400" s="31" t="s">
        <v>55</v>
      </c>
      <c r="AD400" s="31" t="s">
        <v>1348</v>
      </c>
      <c r="AE400" s="31">
        <v>4</v>
      </c>
      <c r="AF400" s="31" t="s">
        <v>73</v>
      </c>
      <c r="AG400" s="15" t="s">
        <v>1380</v>
      </c>
      <c r="AH400" s="97" t="s">
        <v>1012</v>
      </c>
      <c r="AI400" s="97" t="s">
        <v>1013</v>
      </c>
      <c r="AJ400" s="98" t="s">
        <v>1078</v>
      </c>
      <c r="AK400" s="115" t="s">
        <v>1222</v>
      </c>
      <c r="AL400" s="98" t="s">
        <v>1083</v>
      </c>
      <c r="AM400" s="99" t="s">
        <v>1377</v>
      </c>
      <c r="AN400" s="100" t="s">
        <v>1376</v>
      </c>
      <c r="AO400" s="101" t="str">
        <f>IF($A400="","",IFERROR(_xlfn.XLOOKUP($A400,'2_DOI_Lookup'!$A$2:$A$430,'2_DOI_Lookup'!$B$2:$B$430),"NOT IN SOURCE"))</f>
        <v>10.1016/j.engstruct.2024.118908</v>
      </c>
    </row>
    <row r="401" spans="1:41" ht="68.400000000000006" hidden="1" x14ac:dyDescent="0.3">
      <c r="A401" s="82">
        <v>3845</v>
      </c>
      <c r="B401" s="83"/>
      <c r="C401" s="84"/>
      <c r="D401" s="83"/>
      <c r="E401" s="83" t="str">
        <f>IF($A401="","",IFERROR(_xlfn.XLOOKUP($A401,'2_DOI_Lookup'!$D$2:$D$430,'2_DOI_Lookup'!$E$2:$E$430),"TITLE NOT IN SOURCE"))</f>
        <v>Three-Dimensional Stratigraphic Structure and Property Collaborative Modeling in Urban Engineering Construction</v>
      </c>
      <c r="F401" s="82" t="s">
        <v>309</v>
      </c>
      <c r="G401" s="85" t="s">
        <v>311</v>
      </c>
      <c r="H401" s="85" t="s">
        <v>312</v>
      </c>
      <c r="I401" s="85" t="s">
        <v>311</v>
      </c>
      <c r="J401" s="85" t="s">
        <v>311</v>
      </c>
      <c r="K401" s="85" t="s">
        <v>311</v>
      </c>
      <c r="L401" s="86" t="str">
        <f t="shared" si="31"/>
        <v>EXCLUDE</v>
      </c>
      <c r="M401" s="86" t="str">
        <f t="shared" si="32"/>
        <v>Digital Twin not core / buzzword</v>
      </c>
      <c r="N401" s="87"/>
      <c r="O401" s="87"/>
      <c r="P401" s="88"/>
      <c r="Q401" s="88"/>
      <c r="R401" s="88"/>
      <c r="S401" s="86" t="str">
        <f t="shared" si="33"/>
        <v/>
      </c>
      <c r="T401" s="86" t="str">
        <f t="shared" si="34"/>
        <v/>
      </c>
      <c r="U401" s="89"/>
      <c r="V401" s="89"/>
      <c r="W401" s="89"/>
      <c r="X401" s="89"/>
      <c r="Y401" s="86" t="str">
        <f t="shared" si="35"/>
        <v/>
      </c>
      <c r="Z401" s="89"/>
      <c r="AA401" s="89"/>
      <c r="AB401" s="89"/>
      <c r="AC401" s="89"/>
      <c r="AD401" s="89"/>
      <c r="AE401" s="89"/>
      <c r="AF401" s="89"/>
      <c r="AG401" s="90" t="s">
        <v>564</v>
      </c>
      <c r="AH401" s="35"/>
      <c r="AI401" s="35"/>
      <c r="AK401"/>
      <c r="AM401" s="56"/>
      <c r="AN401" s="57"/>
      <c r="AO401" s="63" t="str">
        <f>IF($A401="","",IFERROR(_xlfn.XLOOKUP($A401,'2_DOI_Lookup'!$A$2:$A$430,'2_DOI_Lookup'!$B$2:$B$430),"NOT IN SOURCE"))</f>
        <v>10.3390/math13030345</v>
      </c>
    </row>
    <row r="402" spans="1:41" ht="125.4" x14ac:dyDescent="0.3">
      <c r="A402" s="26">
        <v>4035</v>
      </c>
      <c r="B402" s="9" t="s">
        <v>295</v>
      </c>
      <c r="C402" s="32">
        <v>2025</v>
      </c>
      <c r="D402" s="9"/>
      <c r="E402" s="9" t="str">
        <f>IF($A402="","",IFERROR(_xlfn.XLOOKUP($A402,'2_DOI_Lookup'!$D$2:$D$430,'2_DOI_Lookup'!$E$2:$E$430),"TITLE NOT IN SOURCE"))</f>
        <v>Digital Safety Navigation for Tower Crane Climbing Process from a Systematic Perspective: Risk Identification, Safety Information Requirements, and Related Intelligent Platform</v>
      </c>
      <c r="F402" s="26" t="s">
        <v>310</v>
      </c>
      <c r="G402" s="27" t="s">
        <v>311</v>
      </c>
      <c r="H402" s="27" t="s">
        <v>311</v>
      </c>
      <c r="I402" s="27" t="s">
        <v>311</v>
      </c>
      <c r="J402" s="27" t="s">
        <v>311</v>
      </c>
      <c r="K402" s="27" t="s">
        <v>311</v>
      </c>
      <c r="L402" s="28" t="str">
        <f t="shared" si="31"/>
        <v>INCLUDE</v>
      </c>
      <c r="M402" s="28" t="str">
        <f t="shared" si="32"/>
        <v/>
      </c>
      <c r="N402" s="29" t="s">
        <v>49</v>
      </c>
      <c r="O402" s="29" t="s">
        <v>49</v>
      </c>
      <c r="P402" s="30" t="s">
        <v>49</v>
      </c>
      <c r="Q402" s="30" t="s">
        <v>49</v>
      </c>
      <c r="R402" s="30" t="s">
        <v>49</v>
      </c>
      <c r="S402" s="28" t="str">
        <f t="shared" si="33"/>
        <v>INCLUDE</v>
      </c>
      <c r="T402" s="28" t="str">
        <f t="shared" si="34"/>
        <v/>
      </c>
      <c r="U402" s="31" t="s">
        <v>61</v>
      </c>
      <c r="V402" s="31">
        <v>0</v>
      </c>
      <c r="W402" s="31">
        <v>1</v>
      </c>
      <c r="X402" s="31">
        <v>0</v>
      </c>
      <c r="Y402" s="28" t="str">
        <f t="shared" si="35"/>
        <v>Single</v>
      </c>
      <c r="Z402" s="31" t="s">
        <v>9</v>
      </c>
      <c r="AA402" s="31" t="s">
        <v>53</v>
      </c>
      <c r="AB402" s="31" t="s">
        <v>91</v>
      </c>
      <c r="AC402" s="31" t="s">
        <v>64</v>
      </c>
      <c r="AD402" s="31" t="s">
        <v>65</v>
      </c>
      <c r="AE402" s="31">
        <v>4</v>
      </c>
      <c r="AF402" s="31" t="s">
        <v>80</v>
      </c>
      <c r="AG402" s="15" t="s">
        <v>742</v>
      </c>
      <c r="AH402" s="97" t="s">
        <v>1014</v>
      </c>
      <c r="AI402" s="97" t="s">
        <v>1015</v>
      </c>
      <c r="AJ402" s="98" t="s">
        <v>1080</v>
      </c>
      <c r="AK402" s="98" t="s">
        <v>1223</v>
      </c>
      <c r="AL402" s="98" t="s">
        <v>1083</v>
      </c>
      <c r="AM402" s="99"/>
      <c r="AN402" s="100" t="s">
        <v>1441</v>
      </c>
      <c r="AO402" s="101" t="str">
        <f>IF($A402="","",IFERROR(_xlfn.XLOOKUP($A402,'2_DOI_Lookup'!$A$2:$A$430,'2_DOI_Lookup'!$B$2:$B$430),"NOT IN SOURCE"))</f>
        <v>10.1061/JCEMD4.COENG-15772</v>
      </c>
    </row>
    <row r="403" spans="1:41" ht="68.400000000000006" hidden="1" x14ac:dyDescent="0.3">
      <c r="A403" s="73">
        <v>4038</v>
      </c>
      <c r="B403" s="74"/>
      <c r="C403" s="75"/>
      <c r="D403" s="74"/>
      <c r="E403" s="74" t="str">
        <f>IF($A403="","",IFERROR(_xlfn.XLOOKUP($A403,'2_DOI_Lookup'!$D$2:$D$430,'2_DOI_Lookup'!$E$2:$E$430),"TITLE NOT IN SOURCE"))</f>
        <v>Technology and implementation of safety monitoring system for power grid construction site based on intelligent video analysis</v>
      </c>
      <c r="F403" s="73" t="s">
        <v>310</v>
      </c>
      <c r="G403" s="76" t="s">
        <v>312</v>
      </c>
      <c r="H403" s="76" t="s">
        <v>311</v>
      </c>
      <c r="I403" s="76" t="s">
        <v>311</v>
      </c>
      <c r="J403" s="76" t="s">
        <v>311</v>
      </c>
      <c r="K403" s="76" t="s">
        <v>311</v>
      </c>
      <c r="L403" s="77" t="str">
        <f t="shared" si="31"/>
        <v>EXCLUDE</v>
      </c>
      <c r="M403" s="77" t="str">
        <f t="shared" si="32"/>
        <v>Wrong domain (non-AECO)</v>
      </c>
      <c r="N403" s="78"/>
      <c r="O403" s="78"/>
      <c r="P403" s="79"/>
      <c r="Q403" s="79"/>
      <c r="R403" s="79"/>
      <c r="S403" s="77" t="str">
        <f t="shared" si="33"/>
        <v/>
      </c>
      <c r="T403" s="77" t="str">
        <f t="shared" si="34"/>
        <v/>
      </c>
      <c r="U403" s="80"/>
      <c r="V403" s="80"/>
      <c r="W403" s="80"/>
      <c r="X403" s="80"/>
      <c r="Y403" s="77" t="str">
        <f t="shared" si="35"/>
        <v/>
      </c>
      <c r="Z403" s="80"/>
      <c r="AA403" s="80"/>
      <c r="AB403" s="80"/>
      <c r="AC403" s="80"/>
      <c r="AD403" s="80"/>
      <c r="AE403" s="80"/>
      <c r="AF403" s="80"/>
      <c r="AG403" s="81" t="s">
        <v>565</v>
      </c>
      <c r="AH403" s="35"/>
      <c r="AI403" s="35"/>
      <c r="AK403"/>
      <c r="AM403" s="56"/>
      <c r="AN403" s="57"/>
      <c r="AO403" s="63" t="str">
        <f>IF($A403="","",IFERROR(_xlfn.XLOOKUP($A403,'2_DOI_Lookup'!$A$2:$A$430,'2_DOI_Lookup'!$B$2:$B$430),"NOT IN SOURCE"))</f>
        <v>10.1177/14727978251366517</v>
      </c>
    </row>
    <row r="404" spans="1:41" ht="57" hidden="1" x14ac:dyDescent="0.3">
      <c r="A404" s="64">
        <v>3800</v>
      </c>
      <c r="B404" s="65"/>
      <c r="C404" s="66"/>
      <c r="D404" s="65"/>
      <c r="E404" s="65" t="str">
        <f>IF($A404="","",IFERROR(_xlfn.XLOOKUP($A404,'2_DOI_Lookup'!$D$2:$D$430,'2_DOI_Lookup'!$E$2:$E$430),"TITLE NOT IN SOURCE"))</f>
        <v>Construction technology of prefabricated concrete frame with steel connector based on digital twin</v>
      </c>
      <c r="F404" s="64" t="s">
        <v>309</v>
      </c>
      <c r="G404" s="67" t="s">
        <v>311</v>
      </c>
      <c r="H404" s="67" t="s">
        <v>311</v>
      </c>
      <c r="I404" s="67" t="s">
        <v>311</v>
      </c>
      <c r="J404" s="67" t="s">
        <v>311</v>
      </c>
      <c r="K404" s="67" t="s">
        <v>312</v>
      </c>
      <c r="L404" s="68" t="str">
        <f t="shared" si="31"/>
        <v>EXCLUDE</v>
      </c>
      <c r="M404" s="68" t="str">
        <f t="shared" si="32"/>
        <v>Non-English</v>
      </c>
      <c r="N404" s="69"/>
      <c r="O404" s="69"/>
      <c r="P404" s="70"/>
      <c r="Q404" s="70"/>
      <c r="R404" s="70"/>
      <c r="S404" s="68" t="str">
        <f t="shared" si="33"/>
        <v/>
      </c>
      <c r="T404" s="68" t="str">
        <f t="shared" si="34"/>
        <v/>
      </c>
      <c r="U404" s="71"/>
      <c r="V404" s="71"/>
      <c r="W404" s="71"/>
      <c r="X404" s="71"/>
      <c r="Y404" s="68" t="str">
        <f t="shared" si="35"/>
        <v/>
      </c>
      <c r="Z404" s="71"/>
      <c r="AA404" s="71"/>
      <c r="AB404" s="71"/>
      <c r="AC404" s="71"/>
      <c r="AD404" s="71"/>
      <c r="AE404" s="71"/>
      <c r="AF404" s="71"/>
      <c r="AG404" s="72" t="s">
        <v>408</v>
      </c>
      <c r="AH404" s="35"/>
      <c r="AI404" s="35"/>
      <c r="AK404"/>
      <c r="AM404" s="56"/>
      <c r="AN404" s="57"/>
      <c r="AO404" s="63" t="str">
        <f>IF($A404="","",IFERROR(_xlfn.XLOOKUP($A404,'2_DOI_Lookup'!$A$2:$A$430,'2_DOI_Lookup'!$B$2:$B$430),"NOT IN SOURCE"))</f>
        <v>10.11835/j.issn.2096-6717.2022.068</v>
      </c>
    </row>
    <row r="405" spans="1:41" ht="125.4" x14ac:dyDescent="0.3">
      <c r="A405" s="26">
        <v>3968</v>
      </c>
      <c r="B405" s="9" t="s">
        <v>295</v>
      </c>
      <c r="C405" s="32">
        <v>2025</v>
      </c>
      <c r="D405" s="9"/>
      <c r="E405" s="9" t="str">
        <f>IF($A405="","",IFERROR(_xlfn.XLOOKUP($A405,'2_DOI_Lookup'!$D$2:$D$430,'2_DOI_Lookup'!$E$2:$E$430),"TITLE NOT IN SOURCE"))</f>
        <v>AI-empowered digital twin modeling for high-precision building defect management integrating UAV and GeoBIM</v>
      </c>
      <c r="F405" s="26" t="s">
        <v>310</v>
      </c>
      <c r="G405" s="27" t="s">
        <v>311</v>
      </c>
      <c r="H405" s="27" t="s">
        <v>311</v>
      </c>
      <c r="I405" s="27" t="s">
        <v>311</v>
      </c>
      <c r="J405" s="27" t="s">
        <v>311</v>
      </c>
      <c r="K405" s="27" t="s">
        <v>311</v>
      </c>
      <c r="L405" s="28" t="str">
        <f t="shared" si="31"/>
        <v>INCLUDE</v>
      </c>
      <c r="M405" s="28" t="str">
        <f t="shared" si="32"/>
        <v/>
      </c>
      <c r="N405" s="29" t="s">
        <v>49</v>
      </c>
      <c r="O405" s="29" t="s">
        <v>49</v>
      </c>
      <c r="P405" s="30" t="s">
        <v>49</v>
      </c>
      <c r="Q405" s="30" t="s">
        <v>49</v>
      </c>
      <c r="R405" s="30" t="s">
        <v>49</v>
      </c>
      <c r="S405" s="28" t="str">
        <f t="shared" si="33"/>
        <v>INCLUDE</v>
      </c>
      <c r="T405" s="28" t="str">
        <f t="shared" si="34"/>
        <v/>
      </c>
      <c r="U405" s="31" t="s">
        <v>61</v>
      </c>
      <c r="V405" s="31">
        <v>0</v>
      </c>
      <c r="W405" s="31">
        <v>0</v>
      </c>
      <c r="X405" s="31">
        <v>1</v>
      </c>
      <c r="Y405" s="28" t="str">
        <f t="shared" si="35"/>
        <v>Single</v>
      </c>
      <c r="Z405" s="31" t="s">
        <v>11</v>
      </c>
      <c r="AA405" s="31" t="s">
        <v>53</v>
      </c>
      <c r="AB405" s="31" t="s">
        <v>54</v>
      </c>
      <c r="AC405" s="31" t="s">
        <v>64</v>
      </c>
      <c r="AD405" s="31" t="s">
        <v>72</v>
      </c>
      <c r="AE405" s="31">
        <v>4</v>
      </c>
      <c r="AF405" s="31" t="s">
        <v>73</v>
      </c>
      <c r="AG405" s="15" t="s">
        <v>743</v>
      </c>
      <c r="AH405" s="97" t="s">
        <v>1016</v>
      </c>
      <c r="AI405" s="97" t="s">
        <v>1017</v>
      </c>
      <c r="AJ405" s="98" t="s">
        <v>1081</v>
      </c>
      <c r="AK405" s="98" t="s">
        <v>1224</v>
      </c>
      <c r="AL405" s="98" t="s">
        <v>1083</v>
      </c>
      <c r="AM405" s="99"/>
      <c r="AN405" s="100" t="s">
        <v>1404</v>
      </c>
      <c r="AO405" s="101" t="str">
        <f>IF($A405="","",IFERROR(_xlfn.XLOOKUP($A405,'2_DOI_Lookup'!$A$2:$A$430,'2_DOI_Lookup'!$B$2:$B$430),"NOT IN SOURCE"))</f>
        <v>10.1007/s12273-025-1332-9</v>
      </c>
    </row>
    <row r="406" spans="1:41" ht="102.6" x14ac:dyDescent="0.3">
      <c r="A406" s="26">
        <v>3928</v>
      </c>
      <c r="B406" s="9" t="s">
        <v>296</v>
      </c>
      <c r="C406" s="32">
        <v>2022</v>
      </c>
      <c r="D406" s="9"/>
      <c r="E406" s="9" t="str">
        <f>IF($A406="","",IFERROR(_xlfn.XLOOKUP($A406,'2_DOI_Lookup'!$D$2:$D$430,'2_DOI_Lookup'!$E$2:$E$430),"TITLE NOT IN SOURCE"))</f>
        <v>Digital Twins for Construction Sites: Concepts, LoD Definition, and Applications</v>
      </c>
      <c r="F406" s="26" t="s">
        <v>310</v>
      </c>
      <c r="G406" s="27" t="s">
        <v>311</v>
      </c>
      <c r="H406" s="27" t="s">
        <v>311</v>
      </c>
      <c r="I406" s="27" t="s">
        <v>311</v>
      </c>
      <c r="J406" s="27" t="s">
        <v>311</v>
      </c>
      <c r="K406" s="27" t="s">
        <v>311</v>
      </c>
      <c r="L406" s="28" t="str">
        <f t="shared" si="31"/>
        <v>INCLUDE</v>
      </c>
      <c r="M406" s="28" t="str">
        <f t="shared" si="32"/>
        <v/>
      </c>
      <c r="N406" s="29" t="s">
        <v>49</v>
      </c>
      <c r="O406" s="29" t="s">
        <v>49</v>
      </c>
      <c r="P406" s="30" t="s">
        <v>49</v>
      </c>
      <c r="Q406" s="30" t="s">
        <v>49</v>
      </c>
      <c r="R406" s="30" t="s">
        <v>49</v>
      </c>
      <c r="S406" s="28" t="str">
        <f t="shared" si="33"/>
        <v>INCLUDE</v>
      </c>
      <c r="T406" s="28" t="str">
        <f t="shared" si="34"/>
        <v/>
      </c>
      <c r="U406" s="31" t="s">
        <v>82</v>
      </c>
      <c r="V406" s="31">
        <v>0</v>
      </c>
      <c r="W406" s="31">
        <v>1</v>
      </c>
      <c r="X406" s="31">
        <v>0</v>
      </c>
      <c r="Y406" s="28" t="str">
        <f t="shared" si="35"/>
        <v>Single</v>
      </c>
      <c r="Z406" s="31" t="s">
        <v>69</v>
      </c>
      <c r="AA406" s="31" t="s">
        <v>53</v>
      </c>
      <c r="AB406" s="31" t="s">
        <v>91</v>
      </c>
      <c r="AC406" s="31" t="s">
        <v>64</v>
      </c>
      <c r="AD406" s="31" t="s">
        <v>56</v>
      </c>
      <c r="AE406" s="31">
        <v>2</v>
      </c>
      <c r="AF406" s="31" t="s">
        <v>57</v>
      </c>
      <c r="AG406" s="15" t="s">
        <v>744</v>
      </c>
      <c r="AH406" s="97" t="s">
        <v>1018</v>
      </c>
      <c r="AI406" s="97" t="s">
        <v>1019</v>
      </c>
      <c r="AJ406" s="98" t="s">
        <v>82</v>
      </c>
      <c r="AK406" s="98" t="s">
        <v>1225</v>
      </c>
      <c r="AL406" s="98" t="s">
        <v>1083</v>
      </c>
      <c r="AM406" s="99"/>
      <c r="AN406" s="100" t="s">
        <v>1373</v>
      </c>
      <c r="AO406" s="101" t="str">
        <f>IF($A406="","",IFERROR(_xlfn.XLOOKUP($A406,'2_DOI_Lookup'!$A$2:$A$430,'2_DOI_Lookup'!$B$2:$B$430),"NOT IN SOURCE"))</f>
        <v>10.1061/(ASCE)ME.1943-5479.0000948</v>
      </c>
    </row>
    <row r="407" spans="1:41" ht="34.200000000000003" hidden="1" x14ac:dyDescent="0.3">
      <c r="A407" s="82">
        <v>3498</v>
      </c>
      <c r="B407" s="83"/>
      <c r="C407" s="84"/>
      <c r="D407" s="83"/>
      <c r="E407" s="83" t="str">
        <f>IF($A407="","",IFERROR(_xlfn.XLOOKUP($A407,'2_DOI_Lookup'!$D$2:$D$430,'2_DOI_Lookup'!$E$2:$E$430),"TITLE NOT IN SOURCE"))</f>
        <v>Advanced informatic technologies for intelligent construction: A review</v>
      </c>
      <c r="F407" s="82" t="s">
        <v>309</v>
      </c>
      <c r="G407" s="85" t="s">
        <v>311</v>
      </c>
      <c r="H407" s="85" t="s">
        <v>312</v>
      </c>
      <c r="I407" s="85" t="s">
        <v>312</v>
      </c>
      <c r="J407" s="85" t="s">
        <v>311</v>
      </c>
      <c r="K407" s="85" t="s">
        <v>311</v>
      </c>
      <c r="L407" s="86" t="str">
        <f t="shared" si="31"/>
        <v>EXCLUDE</v>
      </c>
      <c r="M407" s="86" t="str">
        <f t="shared" si="32"/>
        <v>Digital Twin not core / buzzword</v>
      </c>
      <c r="N407" s="87"/>
      <c r="O407" s="87"/>
      <c r="P407" s="88"/>
      <c r="Q407" s="88"/>
      <c r="R407" s="88"/>
      <c r="S407" s="86" t="str">
        <f t="shared" si="33"/>
        <v/>
      </c>
      <c r="T407" s="86" t="str">
        <f t="shared" si="34"/>
        <v/>
      </c>
      <c r="U407" s="89"/>
      <c r="V407" s="89"/>
      <c r="W407" s="89"/>
      <c r="X407" s="89"/>
      <c r="Y407" s="86" t="str">
        <f t="shared" si="35"/>
        <v/>
      </c>
      <c r="Z407" s="89"/>
      <c r="AA407" s="89"/>
      <c r="AB407" s="89"/>
      <c r="AC407" s="89"/>
      <c r="AD407" s="89"/>
      <c r="AE407" s="89"/>
      <c r="AF407" s="89"/>
      <c r="AG407" s="90" t="s">
        <v>566</v>
      </c>
      <c r="AH407" s="35"/>
      <c r="AI407" s="35"/>
      <c r="AK407"/>
      <c r="AM407" s="56"/>
      <c r="AN407" s="57"/>
      <c r="AO407" s="63" t="str">
        <f>IF($A407="","",IFERROR(_xlfn.XLOOKUP($A407,'2_DOI_Lookup'!$A$2:$A$430,'2_DOI_Lookup'!$B$2:$B$430),"NOT IN SOURCE"))</f>
        <v>10.1016/j.engappai.2024.109104</v>
      </c>
    </row>
    <row r="408" spans="1:41" ht="409.6" x14ac:dyDescent="0.3">
      <c r="A408" s="26">
        <v>3991</v>
      </c>
      <c r="B408" s="9" t="s">
        <v>297</v>
      </c>
      <c r="C408" s="32">
        <v>2026</v>
      </c>
      <c r="D408" s="9"/>
      <c r="E408" s="9" t="str">
        <f>IF($A408="","",IFERROR(_xlfn.XLOOKUP($A408,'2_DOI_Lookup'!$D$2:$D$430,'2_DOI_Lookup'!$E$2:$E$430),"TITLE NOT IN SOURCE"))</f>
        <v>Digital twin-enabled synchronous jacking control of an aerial building machine using a scale model</v>
      </c>
      <c r="F408" s="26" t="s">
        <v>310</v>
      </c>
      <c r="G408" s="27" t="s">
        <v>311</v>
      </c>
      <c r="H408" s="27" t="s">
        <v>311</v>
      </c>
      <c r="I408" s="27" t="s">
        <v>311</v>
      </c>
      <c r="J408" s="27" t="s">
        <v>311</v>
      </c>
      <c r="K408" s="27" t="s">
        <v>311</v>
      </c>
      <c r="L408" s="28" t="str">
        <f t="shared" si="31"/>
        <v>INCLUDE</v>
      </c>
      <c r="M408" s="28" t="str">
        <f t="shared" si="32"/>
        <v/>
      </c>
      <c r="N408" s="29" t="s">
        <v>311</v>
      </c>
      <c r="O408" s="29" t="s">
        <v>311</v>
      </c>
      <c r="P408" s="30" t="s">
        <v>311</v>
      </c>
      <c r="Q408" s="30" t="s">
        <v>311</v>
      </c>
      <c r="R408" s="30" t="s">
        <v>311</v>
      </c>
      <c r="S408" s="28" t="str">
        <f t="shared" si="33"/>
        <v>INCLUDE</v>
      </c>
      <c r="T408" s="28" t="str">
        <f t="shared" si="34"/>
        <v/>
      </c>
      <c r="U408" s="31" t="s">
        <v>68</v>
      </c>
      <c r="V408" s="31">
        <v>0</v>
      </c>
      <c r="W408" s="31">
        <v>1</v>
      </c>
      <c r="X408" s="31">
        <v>0</v>
      </c>
      <c r="Y408" s="28" t="str">
        <f t="shared" si="35"/>
        <v>Single</v>
      </c>
      <c r="Z408" s="31" t="s">
        <v>9</v>
      </c>
      <c r="AA408" s="31" t="s">
        <v>70</v>
      </c>
      <c r="AB408" s="31" t="s">
        <v>83</v>
      </c>
      <c r="AC408" s="31" t="s">
        <v>64</v>
      </c>
      <c r="AD408" s="31" t="s">
        <v>65</v>
      </c>
      <c r="AE408" s="31">
        <v>4</v>
      </c>
      <c r="AF408" s="31" t="s">
        <v>80</v>
      </c>
      <c r="AG408" s="15" t="s">
        <v>674</v>
      </c>
      <c r="AH408" s="97" t="s">
        <v>1020</v>
      </c>
      <c r="AI408" s="97" t="s">
        <v>1021</v>
      </c>
      <c r="AJ408" s="98" t="s">
        <v>1081</v>
      </c>
      <c r="AK408" s="98" t="s">
        <v>1226</v>
      </c>
      <c r="AL408" s="98" t="s">
        <v>1083</v>
      </c>
      <c r="AM408" s="99" t="s">
        <v>1433</v>
      </c>
      <c r="AN408" s="100" t="s">
        <v>1465</v>
      </c>
      <c r="AO408" s="101" t="str">
        <f>IF($A408="","",IFERROR(_xlfn.XLOOKUP($A408,'2_DOI_Lookup'!$A$2:$A$430,'2_DOI_Lookup'!$B$2:$B$430),"NOT IN SOURCE"))</f>
        <v>10.1016/j.autcon.2026.107076</v>
      </c>
    </row>
    <row r="409" spans="1:41" ht="91.2" x14ac:dyDescent="0.3">
      <c r="A409" s="26">
        <v>3918</v>
      </c>
      <c r="B409" s="9" t="s">
        <v>295</v>
      </c>
      <c r="C409" s="32">
        <v>2025</v>
      </c>
      <c r="D409" s="9"/>
      <c r="E409" s="9" t="str">
        <f>IF($A409="","",IFERROR(_xlfn.XLOOKUP($A409,'2_DOI_Lookup'!$D$2:$D$430,'2_DOI_Lookup'!$E$2:$E$430),"TITLE NOT IN SOURCE"))</f>
        <v>Research on the Digital Twin System for Rotation Construction Monitoring of Cable-Stayed Bridge Based on MBSE</v>
      </c>
      <c r="F409" s="26" t="s">
        <v>310</v>
      </c>
      <c r="G409" s="27" t="s">
        <v>311</v>
      </c>
      <c r="H409" s="27" t="s">
        <v>311</v>
      </c>
      <c r="I409" s="27" t="s">
        <v>311</v>
      </c>
      <c r="J409" s="27" t="s">
        <v>311</v>
      </c>
      <c r="K409" s="27" t="s">
        <v>311</v>
      </c>
      <c r="L409" s="28" t="str">
        <f t="shared" si="31"/>
        <v>INCLUDE</v>
      </c>
      <c r="M409" s="28" t="str">
        <f t="shared" si="32"/>
        <v/>
      </c>
      <c r="N409" s="29" t="s">
        <v>311</v>
      </c>
      <c r="O409" s="29" t="s">
        <v>311</v>
      </c>
      <c r="P409" s="30" t="s">
        <v>311</v>
      </c>
      <c r="Q409" s="30" t="s">
        <v>311</v>
      </c>
      <c r="R409" s="30" t="s">
        <v>311</v>
      </c>
      <c r="S409" s="28" t="str">
        <f t="shared" si="33"/>
        <v>INCLUDE</v>
      </c>
      <c r="T409" s="28" t="str">
        <f t="shared" si="34"/>
        <v/>
      </c>
      <c r="U409" s="31" t="s">
        <v>52</v>
      </c>
      <c r="V409" s="31">
        <v>0</v>
      </c>
      <c r="W409" s="31">
        <v>1</v>
      </c>
      <c r="X409" s="31">
        <v>0</v>
      </c>
      <c r="Y409" s="28" t="str">
        <f t="shared" si="35"/>
        <v>Single</v>
      </c>
      <c r="Z409" s="31" t="s">
        <v>9</v>
      </c>
      <c r="AA409" s="31" t="s">
        <v>53</v>
      </c>
      <c r="AB409" s="31" t="s">
        <v>89</v>
      </c>
      <c r="AC409" s="31" t="s">
        <v>64</v>
      </c>
      <c r="AD409" s="31" t="s">
        <v>56</v>
      </c>
      <c r="AE409" s="31">
        <v>3</v>
      </c>
      <c r="AF409" s="31" t="s">
        <v>57</v>
      </c>
      <c r="AG409" s="15" t="s">
        <v>675</v>
      </c>
      <c r="AH409" s="97" t="s">
        <v>1022</v>
      </c>
      <c r="AI409" s="97" t="s">
        <v>1023</v>
      </c>
      <c r="AJ409" s="98" t="s">
        <v>1080</v>
      </c>
      <c r="AK409" s="98" t="s">
        <v>1227</v>
      </c>
      <c r="AL409" s="98" t="s">
        <v>1084</v>
      </c>
      <c r="AM409" s="99"/>
      <c r="AN409" s="100" t="s">
        <v>1332</v>
      </c>
      <c r="AO409" s="101" t="str">
        <f>IF($A409="","",IFERROR(_xlfn.XLOOKUP($A409,'2_DOI_Lookup'!$A$2:$A$430,'2_DOI_Lookup'!$B$2:$B$430),"NOT IN SOURCE"))</f>
        <v>10.3390/buildings15091492</v>
      </c>
    </row>
    <row r="410" spans="1:41" ht="45.6" hidden="1" x14ac:dyDescent="0.3">
      <c r="A410" s="73">
        <v>3681</v>
      </c>
      <c r="B410" s="74"/>
      <c r="C410" s="75"/>
      <c r="D410" s="74"/>
      <c r="E410" s="74" t="str">
        <f>IF($A410="","",IFERROR(_xlfn.XLOOKUP($A410,'2_DOI_Lookup'!$D$2:$D$430,'2_DOI_Lookup'!$E$2:$E$430),"TITLE NOT IN SOURCE"))</f>
        <v>A Fixed-Budget Study of Real–Synthetic Data Mixing for PPE Detection in Construction</v>
      </c>
      <c r="F410" s="73" t="s">
        <v>309</v>
      </c>
      <c r="G410" s="76" t="s">
        <v>311</v>
      </c>
      <c r="H410" s="76" t="s">
        <v>312</v>
      </c>
      <c r="I410" s="76" t="s">
        <v>311</v>
      </c>
      <c r="J410" s="76" t="s">
        <v>311</v>
      </c>
      <c r="K410" s="76" t="s">
        <v>311</v>
      </c>
      <c r="L410" s="77" t="str">
        <f t="shared" si="31"/>
        <v>EXCLUDE</v>
      </c>
      <c r="M410" s="77" t="str">
        <f t="shared" si="32"/>
        <v>Digital Twin not core / buzzword</v>
      </c>
      <c r="N410" s="78"/>
      <c r="O410" s="78"/>
      <c r="P410" s="79"/>
      <c r="Q410" s="79"/>
      <c r="R410" s="79"/>
      <c r="S410" s="77" t="str">
        <f t="shared" si="33"/>
        <v/>
      </c>
      <c r="T410" s="77" t="str">
        <f t="shared" si="34"/>
        <v/>
      </c>
      <c r="U410" s="80"/>
      <c r="V410" s="80"/>
      <c r="W410" s="80"/>
      <c r="X410" s="80"/>
      <c r="Y410" s="77" t="str">
        <f t="shared" si="35"/>
        <v/>
      </c>
      <c r="Z410" s="80"/>
      <c r="AA410" s="80"/>
      <c r="AB410" s="80"/>
      <c r="AC410" s="80"/>
      <c r="AD410" s="80"/>
      <c r="AE410" s="80"/>
      <c r="AF410" s="80"/>
      <c r="AG410" s="81" t="s">
        <v>567</v>
      </c>
      <c r="AH410" s="35"/>
      <c r="AI410" s="35"/>
      <c r="AK410"/>
      <c r="AM410" s="56"/>
      <c r="AN410" s="57"/>
      <c r="AO410" s="63" t="str">
        <f>IF($A410="","",IFERROR(_xlfn.XLOOKUP($A410,'2_DOI_Lookup'!$A$2:$A$430,'2_DOI_Lookup'!$B$2:$B$430),"NOT IN SOURCE"))</f>
        <v>10.3390/buildings16102034</v>
      </c>
    </row>
    <row r="411" spans="1:41" ht="45.6" hidden="1" x14ac:dyDescent="0.3">
      <c r="A411" s="64">
        <v>4015</v>
      </c>
      <c r="B411" s="65"/>
      <c r="C411" s="66"/>
      <c r="D411" s="65"/>
      <c r="E411" s="65" t="str">
        <f>IF($A411="","",IFERROR(_xlfn.XLOOKUP($A411,'2_DOI_Lookup'!$D$2:$D$430,'2_DOI_Lookup'!$E$2:$E$430),"TITLE NOT IN SOURCE"))</f>
        <v>A Fixed-Budget Study of Real-Synthetic Data Mixing for PPE Detection in Construction</v>
      </c>
      <c r="F411" s="64" t="s">
        <v>310</v>
      </c>
      <c r="G411" s="67" t="s">
        <v>311</v>
      </c>
      <c r="H411" s="67" t="s">
        <v>312</v>
      </c>
      <c r="I411" s="67" t="s">
        <v>311</v>
      </c>
      <c r="J411" s="67" t="s">
        <v>311</v>
      </c>
      <c r="K411" s="67" t="s">
        <v>311</v>
      </c>
      <c r="L411" s="68" t="str">
        <f t="shared" si="31"/>
        <v>EXCLUDE</v>
      </c>
      <c r="M411" s="68" t="str">
        <f t="shared" si="32"/>
        <v>Digital Twin not core / buzzword</v>
      </c>
      <c r="N411" s="69"/>
      <c r="O411" s="69"/>
      <c r="P411" s="70"/>
      <c r="Q411" s="70"/>
      <c r="R411" s="70"/>
      <c r="S411" s="68" t="str">
        <f t="shared" si="33"/>
        <v/>
      </c>
      <c r="T411" s="68" t="str">
        <f t="shared" si="34"/>
        <v/>
      </c>
      <c r="U411" s="71"/>
      <c r="V411" s="71"/>
      <c r="W411" s="71"/>
      <c r="X411" s="71"/>
      <c r="Y411" s="68" t="str">
        <f t="shared" si="35"/>
        <v/>
      </c>
      <c r="Z411" s="71"/>
      <c r="AA411" s="71"/>
      <c r="AB411" s="71"/>
      <c r="AC411" s="71"/>
      <c r="AD411" s="71"/>
      <c r="AE411" s="71"/>
      <c r="AF411" s="71"/>
      <c r="AG411" s="72" t="s">
        <v>568</v>
      </c>
      <c r="AH411" s="35"/>
      <c r="AI411" s="35"/>
      <c r="AK411"/>
      <c r="AM411" s="56"/>
      <c r="AN411" s="57"/>
      <c r="AO411" s="63" t="str">
        <f>IF($A411="","",IFERROR(_xlfn.XLOOKUP($A411,'2_DOI_Lookup'!$A$2:$A$430,'2_DOI_Lookup'!$B$2:$B$430),"NOT IN SOURCE"))</f>
        <v>10.3390/buildings16102034</v>
      </c>
    </row>
    <row r="412" spans="1:41" ht="114" x14ac:dyDescent="0.3">
      <c r="A412" s="26">
        <v>4017</v>
      </c>
      <c r="B412" s="9" t="s">
        <v>298</v>
      </c>
      <c r="C412" s="32">
        <v>2026</v>
      </c>
      <c r="D412" s="9"/>
      <c r="E412" s="9" t="str">
        <f>IF($A412="","",IFERROR(_xlfn.XLOOKUP($A412,'2_DOI_Lookup'!$D$2:$D$430,'2_DOI_Lookup'!$E$2:$E$430),"TITLE NOT IN SOURCE"))</f>
        <v>From instance segmentation to physical quantification: High-resolution UAV-based dataset for façade defect assessment</v>
      </c>
      <c r="F412" s="26" t="s">
        <v>310</v>
      </c>
      <c r="G412" s="27" t="s">
        <v>311</v>
      </c>
      <c r="H412" s="27" t="s">
        <v>311</v>
      </c>
      <c r="I412" s="27" t="s">
        <v>311</v>
      </c>
      <c r="J412" s="27" t="s">
        <v>311</v>
      </c>
      <c r="K412" s="27" t="s">
        <v>311</v>
      </c>
      <c r="L412" s="28" t="str">
        <f t="shared" si="31"/>
        <v>INCLUDE</v>
      </c>
      <c r="M412" s="28" t="str">
        <f t="shared" si="32"/>
        <v/>
      </c>
      <c r="N412" s="29" t="s">
        <v>49</v>
      </c>
      <c r="O412" s="29" t="s">
        <v>49</v>
      </c>
      <c r="P412" s="30" t="s">
        <v>49</v>
      </c>
      <c r="Q412" s="30" t="s">
        <v>49</v>
      </c>
      <c r="R412" s="30" t="s">
        <v>49</v>
      </c>
      <c r="S412" s="28" t="str">
        <f t="shared" si="33"/>
        <v>INCLUDE</v>
      </c>
      <c r="T412" s="28" t="str">
        <f t="shared" si="34"/>
        <v/>
      </c>
      <c r="U412" s="31" t="s">
        <v>61</v>
      </c>
      <c r="V412" s="31">
        <v>0</v>
      </c>
      <c r="W412" s="31">
        <v>0</v>
      </c>
      <c r="X412" s="31">
        <v>1</v>
      </c>
      <c r="Y412" s="28" t="str">
        <f t="shared" si="35"/>
        <v>Single</v>
      </c>
      <c r="Z412" s="31" t="s">
        <v>11</v>
      </c>
      <c r="AA412" s="31" t="s">
        <v>53</v>
      </c>
      <c r="AB412" s="31" t="s">
        <v>54</v>
      </c>
      <c r="AC412" s="31" t="s">
        <v>64</v>
      </c>
      <c r="AD412" s="31" t="s">
        <v>72</v>
      </c>
      <c r="AE412" s="31">
        <v>4</v>
      </c>
      <c r="AF412" s="31" t="s">
        <v>73</v>
      </c>
      <c r="AG412" s="15" t="s">
        <v>745</v>
      </c>
      <c r="AH412" s="97" t="s">
        <v>1024</v>
      </c>
      <c r="AI412" s="97" t="s">
        <v>1025</v>
      </c>
      <c r="AJ412" s="98" t="s">
        <v>1081</v>
      </c>
      <c r="AK412" s="98" t="s">
        <v>1228</v>
      </c>
      <c r="AL412" s="98" t="s">
        <v>1083</v>
      </c>
      <c r="AM412" s="99"/>
      <c r="AN412" s="100" t="s">
        <v>1435</v>
      </c>
      <c r="AO412" s="101" t="str">
        <f>IF($A412="","",IFERROR(_xlfn.XLOOKUP($A412,'2_DOI_Lookup'!$A$2:$A$430,'2_DOI_Lookup'!$B$2:$B$430),"NOT IN SOURCE"))</f>
        <v>10.1016/j.autcon.2026.106980</v>
      </c>
    </row>
    <row r="413" spans="1:41" ht="79.8" hidden="1" x14ac:dyDescent="0.3">
      <c r="A413" s="26">
        <v>3711</v>
      </c>
      <c r="B413" s="9" t="s">
        <v>299</v>
      </c>
      <c r="C413" s="32">
        <v>2024</v>
      </c>
      <c r="D413" s="9"/>
      <c r="E413" s="9" t="str">
        <f>IF($A413="","",IFERROR(_xlfn.XLOOKUP($A413,'2_DOI_Lookup'!$D$2:$D$430,'2_DOI_Lookup'!$E$2:$E$430),"TITLE NOT IN SOURCE"))</f>
        <v>Predictive diagnosis of hidden risk for urban lifeline infrastructures driven by digital twin modeling of multisource observations: perspective</v>
      </c>
      <c r="F413" s="26" t="s">
        <v>309</v>
      </c>
      <c r="G413" s="27" t="s">
        <v>311</v>
      </c>
      <c r="H413" s="27" t="s">
        <v>311</v>
      </c>
      <c r="I413" s="27" t="s">
        <v>311</v>
      </c>
      <c r="J413" s="27" t="s">
        <v>311</v>
      </c>
      <c r="K413" s="27" t="s">
        <v>311</v>
      </c>
      <c r="L413" s="28" t="str">
        <f t="shared" si="31"/>
        <v>INCLUDE</v>
      </c>
      <c r="M413" s="28" t="str">
        <f t="shared" si="32"/>
        <v/>
      </c>
      <c r="N413" s="29" t="s">
        <v>311</v>
      </c>
      <c r="O413" s="29" t="s">
        <v>311</v>
      </c>
      <c r="P413" s="30" t="s">
        <v>312</v>
      </c>
      <c r="Q413" s="30" t="s">
        <v>311</v>
      </c>
      <c r="R413" s="30" t="s">
        <v>312</v>
      </c>
      <c r="S413" s="28" t="str">
        <f t="shared" si="33"/>
        <v>EXCLUDE</v>
      </c>
      <c r="T413" s="28" t="str">
        <f t="shared" si="34"/>
        <v>Digital Twin mentioned only, not the subject</v>
      </c>
      <c r="U413" s="31" t="s">
        <v>82</v>
      </c>
      <c r="V413" s="31"/>
      <c r="W413" s="31"/>
      <c r="X413" s="31"/>
      <c r="Y413" s="28" t="str">
        <f t="shared" si="35"/>
        <v/>
      </c>
      <c r="Z413" s="31"/>
      <c r="AA413" s="31"/>
      <c r="AB413" s="31"/>
      <c r="AC413" s="31"/>
      <c r="AD413" s="31"/>
      <c r="AE413" s="31"/>
      <c r="AF413" s="31"/>
      <c r="AG413" s="15" t="s">
        <v>676</v>
      </c>
      <c r="AH413" s="97"/>
      <c r="AI413" s="97"/>
      <c r="AJ413" s="98"/>
      <c r="AK413" s="98"/>
      <c r="AL413" s="98"/>
      <c r="AM413" s="99"/>
      <c r="AN413" s="100" t="s">
        <v>1286</v>
      </c>
      <c r="AO413" s="101" t="str">
        <f>IF($A413="","",IFERROR(_xlfn.XLOOKUP($A413,'2_DOI_Lookup'!$A$2:$A$430,'2_DOI_Lookup'!$B$2:$B$430),"NOT IN SOURCE"))</f>
        <v>10.55092/sc20240014</v>
      </c>
    </row>
    <row r="414" spans="1:41" ht="45.6" hidden="1" x14ac:dyDescent="0.3">
      <c r="A414" s="82">
        <v>3682</v>
      </c>
      <c r="B414" s="83"/>
      <c r="C414" s="84"/>
      <c r="D414" s="83"/>
      <c r="E414" s="83" t="str">
        <f>IF($A414="","",IFERROR(_xlfn.XLOOKUP($A414,'2_DOI_Lookup'!$D$2:$D$430,'2_DOI_Lookup'!$E$2:$E$430),"TITLE NOT IN SOURCE"))</f>
        <v>A single-spindle monitoring system and its application for intelligent spinning construction</v>
      </c>
      <c r="F414" s="82" t="s">
        <v>309</v>
      </c>
      <c r="G414" s="85" t="s">
        <v>312</v>
      </c>
      <c r="H414" s="85" t="s">
        <v>311</v>
      </c>
      <c r="I414" s="85" t="s">
        <v>311</v>
      </c>
      <c r="J414" s="85" t="s">
        <v>311</v>
      </c>
      <c r="K414" s="85" t="s">
        <v>312</v>
      </c>
      <c r="L414" s="86" t="str">
        <f t="shared" si="31"/>
        <v>EXCLUDE</v>
      </c>
      <c r="M414" s="86" t="str">
        <f t="shared" si="32"/>
        <v>Wrong domain (non-AECO)</v>
      </c>
      <c r="N414" s="87"/>
      <c r="O414" s="87"/>
      <c r="P414" s="88"/>
      <c r="Q414" s="88"/>
      <c r="R414" s="88"/>
      <c r="S414" s="86" t="str">
        <f t="shared" si="33"/>
        <v/>
      </c>
      <c r="T414" s="86" t="str">
        <f t="shared" si="34"/>
        <v/>
      </c>
      <c r="U414" s="89"/>
      <c r="V414" s="89"/>
      <c r="W414" s="89"/>
      <c r="X414" s="89"/>
      <c r="Y414" s="86" t="str">
        <f t="shared" si="35"/>
        <v/>
      </c>
      <c r="Z414" s="89"/>
      <c r="AA414" s="89"/>
      <c r="AB414" s="89"/>
      <c r="AC414" s="89"/>
      <c r="AD414" s="89"/>
      <c r="AE414" s="89"/>
      <c r="AF414" s="89"/>
      <c r="AG414" s="90" t="s">
        <v>569</v>
      </c>
      <c r="AH414" s="35"/>
      <c r="AI414" s="35"/>
      <c r="AK414"/>
      <c r="AM414" s="56"/>
      <c r="AN414" s="57"/>
      <c r="AO414" s="63" t="str">
        <f>IF($A414="","",IFERROR(_xlfn.XLOOKUP($A414,'2_DOI_Lookup'!$A$2:$A$430,'2_DOI_Lookup'!$B$2:$B$430),"NOT IN SOURCE"))</f>
        <v>10.19398/j.att.202407021</v>
      </c>
    </row>
    <row r="415" spans="1:41" ht="100.8" hidden="1" x14ac:dyDescent="0.3">
      <c r="A415" s="26">
        <v>3954</v>
      </c>
      <c r="B415" s="9" t="s">
        <v>300</v>
      </c>
      <c r="C415" s="32">
        <v>2022</v>
      </c>
      <c r="D415" s="9"/>
      <c r="E415" s="9" t="str">
        <f>IF($A415="","",IFERROR(_xlfn.XLOOKUP($A415,'2_DOI_Lookup'!$D$2:$D$430,'2_DOI_Lookup'!$E$2:$E$430),"TITLE NOT IN SOURCE"))</f>
        <v>Digital Twin Evaluation of Environment and Health of Public Toilet Ventilation Design Based on Building Information Modeling</v>
      </c>
      <c r="F415" s="26" t="s">
        <v>310</v>
      </c>
      <c r="G415" s="27" t="s">
        <v>311</v>
      </c>
      <c r="H415" s="27" t="s">
        <v>311</v>
      </c>
      <c r="I415" s="27" t="s">
        <v>311</v>
      </c>
      <c r="J415" s="27" t="s">
        <v>311</v>
      </c>
      <c r="K415" s="27" t="s">
        <v>311</v>
      </c>
      <c r="L415" s="28" t="str">
        <f t="shared" si="31"/>
        <v>INCLUDE</v>
      </c>
      <c r="M415" s="28" t="str">
        <f t="shared" si="32"/>
        <v/>
      </c>
      <c r="N415" s="29" t="s">
        <v>311</v>
      </c>
      <c r="O415" s="29" t="s">
        <v>311</v>
      </c>
      <c r="P415" s="30" t="s">
        <v>311</v>
      </c>
      <c r="Q415" s="30" t="s">
        <v>312</v>
      </c>
      <c r="R415" s="30" t="s">
        <v>311</v>
      </c>
      <c r="S415" s="28" t="str">
        <f t="shared" si="33"/>
        <v>EXCLUDE</v>
      </c>
      <c r="T415" s="28" t="str">
        <f t="shared" si="34"/>
        <v>No Design for Safety/Quality in full text</v>
      </c>
      <c r="U415" s="31" t="s">
        <v>82</v>
      </c>
      <c r="V415" s="31"/>
      <c r="W415" s="31"/>
      <c r="X415" s="31"/>
      <c r="Y415" s="28" t="str">
        <f t="shared" si="35"/>
        <v/>
      </c>
      <c r="Z415" s="31"/>
      <c r="AA415" s="31"/>
      <c r="AB415" s="31"/>
      <c r="AC415" s="31"/>
      <c r="AD415" s="31"/>
      <c r="AE415" s="31"/>
      <c r="AF415" s="31"/>
      <c r="AG415" s="15" t="s">
        <v>677</v>
      </c>
      <c r="AH415" s="97"/>
      <c r="AI415" s="97"/>
      <c r="AJ415" s="98"/>
      <c r="AK415" s="98"/>
      <c r="AL415" s="98"/>
      <c r="AM415" s="99"/>
      <c r="AN415" s="100" t="s">
        <v>1398</v>
      </c>
      <c r="AO415" s="101" t="str">
        <f>IF($A415="","",IFERROR(_xlfn.XLOOKUP($A415,'2_DOI_Lookup'!$A$2:$A$430,'2_DOI_Lookup'!$B$2:$B$430),"NOT IN SOURCE"))</f>
        <v>10.3390/buildings12040470</v>
      </c>
    </row>
    <row r="416" spans="1:41" ht="125.4" x14ac:dyDescent="0.3">
      <c r="A416" s="26">
        <v>3515</v>
      </c>
      <c r="B416" s="9" t="s">
        <v>301</v>
      </c>
      <c r="C416" s="32">
        <v>2025</v>
      </c>
      <c r="D416" s="9"/>
      <c r="E416" s="9" t="str">
        <f>IF($A416="","",IFERROR(_xlfn.XLOOKUP($A416,'2_DOI_Lookup'!$D$2:$D$430,'2_DOI_Lookup'!$E$2:$E$430),"TITLE NOT IN SOURCE"))</f>
        <v>Digital twin-enabled anti-collision system for smart construction sites</v>
      </c>
      <c r="F416" s="26" t="s">
        <v>309</v>
      </c>
      <c r="G416" s="27" t="s">
        <v>311</v>
      </c>
      <c r="H416" s="27" t="s">
        <v>311</v>
      </c>
      <c r="I416" s="27" t="s">
        <v>311</v>
      </c>
      <c r="J416" s="27" t="s">
        <v>311</v>
      </c>
      <c r="K416" s="27" t="s">
        <v>311</v>
      </c>
      <c r="L416" s="28" t="str">
        <f t="shared" si="31"/>
        <v>INCLUDE</v>
      </c>
      <c r="M416" s="28" t="str">
        <f t="shared" si="32"/>
        <v/>
      </c>
      <c r="N416" s="29" t="s">
        <v>49</v>
      </c>
      <c r="O416" s="29" t="s">
        <v>49</v>
      </c>
      <c r="P416" s="30" t="s">
        <v>49</v>
      </c>
      <c r="Q416" s="30" t="s">
        <v>49</v>
      </c>
      <c r="R416" s="30" t="s">
        <v>49</v>
      </c>
      <c r="S416" s="28" t="str">
        <f t="shared" si="33"/>
        <v>INCLUDE</v>
      </c>
      <c r="T416" s="28" t="str">
        <f t="shared" si="34"/>
        <v/>
      </c>
      <c r="U416" s="31" t="s">
        <v>61</v>
      </c>
      <c r="V416" s="31">
        <v>0</v>
      </c>
      <c r="W416" s="31">
        <v>1</v>
      </c>
      <c r="X416" s="31">
        <v>0</v>
      </c>
      <c r="Y416" s="28" t="str">
        <f t="shared" si="35"/>
        <v>Single</v>
      </c>
      <c r="Z416" s="31" t="s">
        <v>9</v>
      </c>
      <c r="AA416" s="31" t="s">
        <v>53</v>
      </c>
      <c r="AB416" s="31" t="s">
        <v>54</v>
      </c>
      <c r="AC416" s="31" t="s">
        <v>64</v>
      </c>
      <c r="AD416" s="31" t="s">
        <v>1348</v>
      </c>
      <c r="AE416" s="31">
        <v>4</v>
      </c>
      <c r="AF416" s="31" t="s">
        <v>73</v>
      </c>
      <c r="AG416" s="15" t="s">
        <v>746</v>
      </c>
      <c r="AH416" s="97" t="s">
        <v>1026</v>
      </c>
      <c r="AI416" s="97" t="s">
        <v>1027</v>
      </c>
      <c r="AJ416" s="98" t="s">
        <v>1081</v>
      </c>
      <c r="AK416" s="98" t="s">
        <v>1229</v>
      </c>
      <c r="AL416" s="98" t="s">
        <v>1083</v>
      </c>
      <c r="AM416" s="99" t="s">
        <v>1358</v>
      </c>
      <c r="AN416" s="100" t="s">
        <v>1359</v>
      </c>
      <c r="AO416" s="101" t="str">
        <f>IF($A416="","",IFERROR(_xlfn.XLOOKUP($A416,'2_DOI_Lookup'!$A$2:$A$430,'2_DOI_Lookup'!$B$2:$B$430),"NOT IN SOURCE"))</f>
        <v>10.55092/sc20250022</v>
      </c>
    </row>
    <row r="417" spans="1:41" ht="102.6" x14ac:dyDescent="0.3">
      <c r="A417" s="26">
        <v>3972</v>
      </c>
      <c r="B417" s="9" t="s">
        <v>298</v>
      </c>
      <c r="C417" s="32">
        <v>2026</v>
      </c>
      <c r="D417" s="9"/>
      <c r="E417" s="9" t="str">
        <f>IF($A417="","",IFERROR(_xlfn.XLOOKUP($A417,'2_DOI_Lookup'!$D$2:$D$430,'2_DOI_Lookup'!$E$2:$E$430),"TITLE NOT IN SOURCE"))</f>
        <v>Digital twin-enabled simulation system for NATM tunnel construction process considering multi-source uncertainty</v>
      </c>
      <c r="F417" s="26" t="s">
        <v>310</v>
      </c>
      <c r="G417" s="27" t="s">
        <v>311</v>
      </c>
      <c r="H417" s="27" t="s">
        <v>311</v>
      </c>
      <c r="I417" s="27" t="s">
        <v>311</v>
      </c>
      <c r="J417" s="27" t="s">
        <v>311</v>
      </c>
      <c r="K417" s="27" t="s">
        <v>311</v>
      </c>
      <c r="L417" s="28" t="str">
        <f t="shared" si="31"/>
        <v>INCLUDE</v>
      </c>
      <c r="M417" s="28" t="str">
        <f t="shared" si="32"/>
        <v/>
      </c>
      <c r="N417" s="29" t="s">
        <v>311</v>
      </c>
      <c r="O417" s="29" t="s">
        <v>311</v>
      </c>
      <c r="P417" s="30" t="s">
        <v>311</v>
      </c>
      <c r="Q417" s="30" t="s">
        <v>311</v>
      </c>
      <c r="R417" s="30" t="s">
        <v>311</v>
      </c>
      <c r="S417" s="28" t="str">
        <f t="shared" si="33"/>
        <v>INCLUDE</v>
      </c>
      <c r="T417" s="28" t="str">
        <f t="shared" si="34"/>
        <v/>
      </c>
      <c r="U417" s="31" t="s">
        <v>61</v>
      </c>
      <c r="V417" s="31">
        <v>0</v>
      </c>
      <c r="W417" s="31">
        <v>1</v>
      </c>
      <c r="X417" s="31">
        <v>0</v>
      </c>
      <c r="Y417" s="28" t="str">
        <f t="shared" si="35"/>
        <v>Single</v>
      </c>
      <c r="Z417" s="31" t="s">
        <v>9</v>
      </c>
      <c r="AA417" s="31" t="s">
        <v>53</v>
      </c>
      <c r="AB417" s="31" t="s">
        <v>92</v>
      </c>
      <c r="AC417" s="31" t="s">
        <v>64</v>
      </c>
      <c r="AD417" s="31" t="s">
        <v>72</v>
      </c>
      <c r="AE417" s="31">
        <v>4</v>
      </c>
      <c r="AF417" s="31" t="s">
        <v>84</v>
      </c>
      <c r="AG417" s="15" t="s">
        <v>678</v>
      </c>
      <c r="AH417" s="97" t="s">
        <v>1028</v>
      </c>
      <c r="AI417" s="97" t="s">
        <v>1029</v>
      </c>
      <c r="AJ417" s="98" t="s">
        <v>1081</v>
      </c>
      <c r="AK417" s="98" t="s">
        <v>1230</v>
      </c>
      <c r="AL417" s="98" t="s">
        <v>1084</v>
      </c>
      <c r="AM417" s="99"/>
      <c r="AN417" s="100" t="s">
        <v>1407</v>
      </c>
      <c r="AO417" s="101" t="str">
        <f>IF($A417="","",IFERROR(_xlfn.XLOOKUP($A417,'2_DOI_Lookup'!$A$2:$A$430,'2_DOI_Lookup'!$B$2:$B$430),"NOT IN SOURCE"))</f>
        <v>10.1016/j.undsp.2025.05.012</v>
      </c>
    </row>
    <row r="418" spans="1:41" ht="102.6" x14ac:dyDescent="0.3">
      <c r="A418" s="26">
        <v>3863</v>
      </c>
      <c r="B418" s="9" t="s">
        <v>301</v>
      </c>
      <c r="C418" s="32">
        <v>2025</v>
      </c>
      <c r="D418" s="9"/>
      <c r="E418" s="9" t="str">
        <f>IF($A418="","",IFERROR(_xlfn.XLOOKUP($A418,'2_DOI_Lookup'!$D$2:$D$430,'2_DOI_Lookup'!$E$2:$E$430),"TITLE NOT IN SOURCE"))</f>
        <v>Automatic response prediction in a digital twin framework for regional bridges group</v>
      </c>
      <c r="F418" s="26" t="s">
        <v>309</v>
      </c>
      <c r="G418" s="27" t="s">
        <v>311</v>
      </c>
      <c r="H418" s="27" t="s">
        <v>311</v>
      </c>
      <c r="I418" s="27" t="s">
        <v>311</v>
      </c>
      <c r="J418" s="27" t="s">
        <v>311</v>
      </c>
      <c r="K418" s="27" t="s">
        <v>311</v>
      </c>
      <c r="L418" s="28" t="str">
        <f t="shared" si="31"/>
        <v>INCLUDE</v>
      </c>
      <c r="M418" s="28" t="str">
        <f t="shared" si="32"/>
        <v/>
      </c>
      <c r="N418" s="29" t="s">
        <v>49</v>
      </c>
      <c r="O418" s="29" t="s">
        <v>49</v>
      </c>
      <c r="P418" s="30" t="s">
        <v>49</v>
      </c>
      <c r="Q418" s="30" t="s">
        <v>49</v>
      </c>
      <c r="R418" s="30" t="s">
        <v>49</v>
      </c>
      <c r="S418" s="28" t="str">
        <f t="shared" si="33"/>
        <v>INCLUDE</v>
      </c>
      <c r="T418" s="28" t="str">
        <f t="shared" si="34"/>
        <v/>
      </c>
      <c r="U418" s="31" t="s">
        <v>61</v>
      </c>
      <c r="V418" s="31">
        <v>0</v>
      </c>
      <c r="W418" s="31">
        <v>0</v>
      </c>
      <c r="X418" s="31">
        <v>1</v>
      </c>
      <c r="Y418" s="28" t="str">
        <f t="shared" si="35"/>
        <v>Single</v>
      </c>
      <c r="Z418" s="31" t="s">
        <v>9</v>
      </c>
      <c r="AA418" s="31" t="s">
        <v>53</v>
      </c>
      <c r="AB418" s="31" t="s">
        <v>78</v>
      </c>
      <c r="AC418" s="31" t="s">
        <v>64</v>
      </c>
      <c r="AD418" s="31" t="s">
        <v>79</v>
      </c>
      <c r="AE418" s="31">
        <v>4</v>
      </c>
      <c r="AF418" s="31" t="s">
        <v>84</v>
      </c>
      <c r="AG418" s="15" t="s">
        <v>747</v>
      </c>
      <c r="AH418" s="97" t="s">
        <v>1030</v>
      </c>
      <c r="AI418" s="97" t="s">
        <v>1031</v>
      </c>
      <c r="AJ418" s="98" t="s">
        <v>1081</v>
      </c>
      <c r="AK418" s="98" t="s">
        <v>1231</v>
      </c>
      <c r="AL418" s="98" t="s">
        <v>1083</v>
      </c>
      <c r="AM418" s="99"/>
      <c r="AN418" s="100" t="s">
        <v>1312</v>
      </c>
      <c r="AO418" s="101" t="str">
        <f>IF($A418="","",IFERROR(_xlfn.XLOOKUP($A418,'2_DOI_Lookup'!$A$2:$A$430,'2_DOI_Lookup'!$B$2:$B$430),"NOT IN SOURCE"))</f>
        <v>10.1016/j.istruc.2025.109052</v>
      </c>
    </row>
    <row r="419" spans="1:41" ht="57" hidden="1" x14ac:dyDescent="0.3">
      <c r="A419" s="82">
        <v>3700</v>
      </c>
      <c r="B419" s="83"/>
      <c r="C419" s="84"/>
      <c r="D419" s="83"/>
      <c r="E419" s="83" t="str">
        <f>IF($A419="","",IFERROR(_xlfn.XLOOKUP($A419,'2_DOI_Lookup'!$D$2:$D$430,'2_DOI_Lookup'!$E$2:$E$430),"TITLE NOT IN SOURCE"))</f>
        <v>Simulation method of shield-machine empty push through station based on in situ virtual-real interaction</v>
      </c>
      <c r="F419" s="82" t="s">
        <v>309</v>
      </c>
      <c r="G419" s="85" t="s">
        <v>311</v>
      </c>
      <c r="H419" s="85" t="s">
        <v>311</v>
      </c>
      <c r="I419" s="85" t="s">
        <v>311</v>
      </c>
      <c r="J419" s="85" t="s">
        <v>311</v>
      </c>
      <c r="K419" s="85" t="s">
        <v>312</v>
      </c>
      <c r="L419" s="86" t="str">
        <f t="shared" si="31"/>
        <v>EXCLUDE</v>
      </c>
      <c r="M419" s="86" t="str">
        <f t="shared" si="32"/>
        <v>Non-English</v>
      </c>
      <c r="N419" s="87"/>
      <c r="O419" s="87"/>
      <c r="P419" s="88"/>
      <c r="Q419" s="88"/>
      <c r="R419" s="88"/>
      <c r="S419" s="86" t="str">
        <f t="shared" si="33"/>
        <v/>
      </c>
      <c r="T419" s="86" t="str">
        <f t="shared" si="34"/>
        <v/>
      </c>
      <c r="U419" s="89"/>
      <c r="V419" s="89"/>
      <c r="W419" s="89"/>
      <c r="X419" s="89"/>
      <c r="Y419" s="86" t="str">
        <f t="shared" si="35"/>
        <v/>
      </c>
      <c r="Z419" s="89"/>
      <c r="AA419" s="89"/>
      <c r="AB419" s="89"/>
      <c r="AC419" s="89"/>
      <c r="AD419" s="89"/>
      <c r="AE419" s="89"/>
      <c r="AF419" s="89"/>
      <c r="AG419" s="90" t="s">
        <v>570</v>
      </c>
      <c r="AH419" s="35"/>
      <c r="AI419" s="35"/>
      <c r="AK419"/>
      <c r="AM419" s="56"/>
      <c r="AN419" s="57"/>
      <c r="AO419" s="63" t="str">
        <f>IF($A419="","",IFERROR(_xlfn.XLOOKUP($A419,'2_DOI_Lookup'!$A$2:$A$430,'2_DOI_Lookup'!$B$2:$B$430),"NOT IN SOURCE"))</f>
        <v>10.16511/j.cnki.qhdxxb.2026.21.001</v>
      </c>
    </row>
    <row r="420" spans="1:41" ht="86.4" x14ac:dyDescent="0.3">
      <c r="A420" s="26">
        <v>3923</v>
      </c>
      <c r="B420" s="9" t="s">
        <v>300</v>
      </c>
      <c r="C420" s="32">
        <v>2022</v>
      </c>
      <c r="D420" s="9"/>
      <c r="E420" s="9" t="str">
        <f>IF($A420="","",IFERROR(_xlfn.XLOOKUP($A420,'2_DOI_Lookup'!$D$2:$D$430,'2_DOI_Lookup'!$E$2:$E$430),"TITLE NOT IN SOURCE"))</f>
        <v>An Established Theory of Digital Twin Model for Tunnel Construction Safety Assessment</v>
      </c>
      <c r="F420" s="26" t="s">
        <v>310</v>
      </c>
      <c r="G420" s="27" t="s">
        <v>311</v>
      </c>
      <c r="H420" s="27" t="s">
        <v>311</v>
      </c>
      <c r="I420" s="27" t="s">
        <v>311</v>
      </c>
      <c r="J420" s="27" t="s">
        <v>311</v>
      </c>
      <c r="K420" s="27" t="s">
        <v>311</v>
      </c>
      <c r="L420" s="28" t="str">
        <f t="shared" si="31"/>
        <v>INCLUDE</v>
      </c>
      <c r="M420" s="28" t="str">
        <f t="shared" si="32"/>
        <v/>
      </c>
      <c r="N420" s="29" t="s">
        <v>311</v>
      </c>
      <c r="O420" s="29" t="s">
        <v>311</v>
      </c>
      <c r="P420" s="30" t="s">
        <v>311</v>
      </c>
      <c r="Q420" s="30" t="s">
        <v>311</v>
      </c>
      <c r="R420" s="30" t="s">
        <v>311</v>
      </c>
      <c r="S420" s="28" t="str">
        <f t="shared" si="33"/>
        <v>INCLUDE</v>
      </c>
      <c r="T420" s="28" t="str">
        <f t="shared" si="34"/>
        <v/>
      </c>
      <c r="U420" s="31" t="s">
        <v>61</v>
      </c>
      <c r="V420" s="31">
        <v>0</v>
      </c>
      <c r="W420" s="31">
        <v>1</v>
      </c>
      <c r="X420" s="31">
        <v>0</v>
      </c>
      <c r="Y420" s="28" t="str">
        <f t="shared" si="35"/>
        <v>Single</v>
      </c>
      <c r="Z420" s="31" t="s">
        <v>9</v>
      </c>
      <c r="AA420" s="31" t="s">
        <v>53</v>
      </c>
      <c r="AB420" s="31" t="s">
        <v>71</v>
      </c>
      <c r="AC420" s="31" t="s">
        <v>64</v>
      </c>
      <c r="AD420" s="31" t="s">
        <v>72</v>
      </c>
      <c r="AE420" s="31">
        <v>3</v>
      </c>
      <c r="AF420" s="31" t="s">
        <v>84</v>
      </c>
      <c r="AG420" s="15" t="s">
        <v>679</v>
      </c>
      <c r="AH420" s="97" t="s">
        <v>1032</v>
      </c>
      <c r="AI420" s="97" t="s">
        <v>1033</v>
      </c>
      <c r="AJ420" s="98" t="s">
        <v>1081</v>
      </c>
      <c r="AK420" s="98" t="s">
        <v>1232</v>
      </c>
      <c r="AL420" s="98" t="s">
        <v>1083</v>
      </c>
      <c r="AM420" s="99"/>
      <c r="AN420" s="100" t="s">
        <v>1369</v>
      </c>
      <c r="AO420" s="101" t="str">
        <f>IF($A420="","",IFERROR(_xlfn.XLOOKUP($A420,'2_DOI_Lookup'!$A$2:$A$430,'2_DOI_Lookup'!$B$2:$B$430),"NOT IN SOURCE"))</f>
        <v>10.3390/app122312256</v>
      </c>
    </row>
    <row r="421" spans="1:41" ht="79.8" hidden="1" x14ac:dyDescent="0.3">
      <c r="A421" s="82">
        <v>4014</v>
      </c>
      <c r="B421" s="83"/>
      <c r="C421" s="84"/>
      <c r="D421" s="83"/>
      <c r="E421" s="83" t="str">
        <f>IF($A421="","",IFERROR(_xlfn.XLOOKUP($A421,'2_DOI_Lookup'!$D$2:$D$430,'2_DOI_Lookup'!$E$2:$E$430),"TITLE NOT IN SOURCE"))</f>
        <v>Research on the Construction of Multimodal Large Models and Self-supervised Learning for Panoramic Perception of Power Equipment</v>
      </c>
      <c r="F421" s="82" t="s">
        <v>310</v>
      </c>
      <c r="G421" s="85" t="s">
        <v>312</v>
      </c>
      <c r="H421" s="85" t="s">
        <v>311</v>
      </c>
      <c r="I421" s="85" t="s">
        <v>312</v>
      </c>
      <c r="J421" s="85" t="s">
        <v>311</v>
      </c>
      <c r="K421" s="85" t="s">
        <v>311</v>
      </c>
      <c r="L421" s="86" t="str">
        <f t="shared" si="31"/>
        <v>EXCLUDE</v>
      </c>
      <c r="M421" s="86" t="str">
        <f t="shared" si="32"/>
        <v>Wrong domain (non-AECO)</v>
      </c>
      <c r="N421" s="87"/>
      <c r="O421" s="87"/>
      <c r="P421" s="88"/>
      <c r="Q421" s="88"/>
      <c r="R421" s="88"/>
      <c r="S421" s="86" t="str">
        <f t="shared" si="33"/>
        <v/>
      </c>
      <c r="T421" s="86" t="str">
        <f t="shared" si="34"/>
        <v/>
      </c>
      <c r="U421" s="89"/>
      <c r="V421" s="89"/>
      <c r="W421" s="89"/>
      <c r="X421" s="89"/>
      <c r="Y421" s="86" t="str">
        <f t="shared" si="35"/>
        <v/>
      </c>
      <c r="Z421" s="89"/>
      <c r="AA421" s="89"/>
      <c r="AB421" s="89"/>
      <c r="AC421" s="89"/>
      <c r="AD421" s="89"/>
      <c r="AE421" s="89"/>
      <c r="AF421" s="89"/>
      <c r="AG421" s="90" t="s">
        <v>571</v>
      </c>
      <c r="AH421" s="35"/>
      <c r="AI421" s="35"/>
      <c r="AK421"/>
      <c r="AM421" s="56"/>
      <c r="AN421" s="57"/>
      <c r="AO421" s="63" t="str">
        <f>IF($A421="","",IFERROR(_xlfn.XLOOKUP($A421,'2_DOI_Lookup'!$A$2:$A$430,'2_DOI_Lookup'!$B$2:$B$430),"NOT IN SOURCE"))</f>
        <v>10.17559/TV-20260203003363</v>
      </c>
    </row>
    <row r="422" spans="1:41" ht="91.2" x14ac:dyDescent="0.3">
      <c r="A422" s="26">
        <v>3943</v>
      </c>
      <c r="B422" s="9" t="s">
        <v>302</v>
      </c>
      <c r="C422" s="32">
        <v>2022</v>
      </c>
      <c r="D422" s="9"/>
      <c r="E422" s="9" t="str">
        <f>IF($A422="","",IFERROR(_xlfn.XLOOKUP($A422,'2_DOI_Lookup'!$D$2:$D$430,'2_DOI_Lookup'!$E$2:$E$430),"TITLE NOT IN SOURCE"))</f>
        <v>Digital Twin-Based Investigation of a Building Collapse Accident</v>
      </c>
      <c r="F422" s="26" t="s">
        <v>310</v>
      </c>
      <c r="G422" s="27" t="s">
        <v>311</v>
      </c>
      <c r="H422" s="27" t="s">
        <v>311</v>
      </c>
      <c r="I422" s="27" t="s">
        <v>311</v>
      </c>
      <c r="J422" s="27" t="s">
        <v>311</v>
      </c>
      <c r="K422" s="27" t="s">
        <v>311</v>
      </c>
      <c r="L422" s="28" t="str">
        <f t="shared" si="31"/>
        <v>INCLUDE</v>
      </c>
      <c r="M422" s="28" t="str">
        <f t="shared" si="32"/>
        <v/>
      </c>
      <c r="N422" s="29" t="s">
        <v>311</v>
      </c>
      <c r="O422" s="29" t="s">
        <v>311</v>
      </c>
      <c r="P422" s="30" t="s">
        <v>311</v>
      </c>
      <c r="Q422" s="30" t="s">
        <v>311</v>
      </c>
      <c r="R422" s="30" t="s">
        <v>311</v>
      </c>
      <c r="S422" s="28" t="str">
        <f t="shared" si="33"/>
        <v>INCLUDE</v>
      </c>
      <c r="T422" s="28" t="str">
        <f t="shared" si="34"/>
        <v/>
      </c>
      <c r="U422" s="31" t="s">
        <v>61</v>
      </c>
      <c r="V422" s="31">
        <v>0</v>
      </c>
      <c r="W422" s="31">
        <v>0</v>
      </c>
      <c r="X422" s="31">
        <v>1</v>
      </c>
      <c r="Y422" s="28" t="str">
        <f t="shared" si="35"/>
        <v>Single</v>
      </c>
      <c r="Z422" s="31" t="s">
        <v>9</v>
      </c>
      <c r="AA422" s="31" t="s">
        <v>53</v>
      </c>
      <c r="AB422" s="31" t="s">
        <v>88</v>
      </c>
      <c r="AC422" s="31" t="s">
        <v>64</v>
      </c>
      <c r="AD422" s="31" t="s">
        <v>72</v>
      </c>
      <c r="AE422" s="31">
        <v>4</v>
      </c>
      <c r="AF422" s="31" t="s">
        <v>80</v>
      </c>
      <c r="AG422" s="15" t="s">
        <v>680</v>
      </c>
      <c r="AH422" s="97" t="s">
        <v>1034</v>
      </c>
      <c r="AI422" s="97" t="s">
        <v>1035</v>
      </c>
      <c r="AJ422" s="98" t="s">
        <v>1080</v>
      </c>
      <c r="AK422" s="98" t="s">
        <v>1233</v>
      </c>
      <c r="AL422" s="98" t="s">
        <v>1084</v>
      </c>
      <c r="AM422" s="99"/>
      <c r="AN422" s="100" t="s">
        <v>1386</v>
      </c>
      <c r="AO422" s="101" t="str">
        <f>IF($A422="","",IFERROR(_xlfn.XLOOKUP($A422,'2_DOI_Lookup'!$A$2:$A$430,'2_DOI_Lookup'!$B$2:$B$430),"NOT IN SOURCE"))</f>
        <v>10.1155/2022/9568967</v>
      </c>
    </row>
    <row r="423" spans="1:41" ht="45.6" hidden="1" x14ac:dyDescent="0.3">
      <c r="A423" s="82">
        <v>3858</v>
      </c>
      <c r="B423" s="83"/>
      <c r="C423" s="84"/>
      <c r="D423" s="83"/>
      <c r="E423" s="83" t="str">
        <f>IF($A423="","",IFERROR(_xlfn.XLOOKUP($A423,'2_DOI_Lookup'!$D$2:$D$430,'2_DOI_Lookup'!$E$2:$E$430),"TITLE NOT IN SOURCE"))</f>
        <v>Research on Key Common Technologies in Intelligent Construction of Long-Span Bridges</v>
      </c>
      <c r="F423" s="82" t="s">
        <v>309</v>
      </c>
      <c r="G423" s="85" t="s">
        <v>311</v>
      </c>
      <c r="H423" s="85" t="s">
        <v>312</v>
      </c>
      <c r="I423" s="85" t="s">
        <v>311</v>
      </c>
      <c r="J423" s="85" t="s">
        <v>311</v>
      </c>
      <c r="K423" s="85" t="s">
        <v>312</v>
      </c>
      <c r="L423" s="86" t="str">
        <f t="shared" si="31"/>
        <v>EXCLUDE</v>
      </c>
      <c r="M423" s="86" t="str">
        <f t="shared" si="32"/>
        <v>Digital Twin not core / buzzword</v>
      </c>
      <c r="N423" s="87"/>
      <c r="O423" s="87"/>
      <c r="P423" s="88"/>
      <c r="Q423" s="88"/>
      <c r="R423" s="88"/>
      <c r="S423" s="86" t="str">
        <f t="shared" si="33"/>
        <v/>
      </c>
      <c r="T423" s="86" t="str">
        <f t="shared" si="34"/>
        <v/>
      </c>
      <c r="U423" s="89"/>
      <c r="V423" s="89"/>
      <c r="W423" s="89"/>
      <c r="X423" s="89"/>
      <c r="Y423" s="86" t="str">
        <f t="shared" si="35"/>
        <v/>
      </c>
      <c r="Z423" s="89"/>
      <c r="AA423" s="89"/>
      <c r="AB423" s="89"/>
      <c r="AC423" s="89"/>
      <c r="AD423" s="89"/>
      <c r="AE423" s="89"/>
      <c r="AF423" s="89"/>
      <c r="AG423" s="90" t="s">
        <v>572</v>
      </c>
      <c r="AH423" s="35"/>
      <c r="AI423" s="35"/>
      <c r="AK423"/>
      <c r="AM423" s="56"/>
      <c r="AN423" s="57"/>
      <c r="AO423" s="63" t="str">
        <f>IF($A423="","",IFERROR(_xlfn.XLOOKUP($A423,'2_DOI_Lookup'!$A$2:$A$430,'2_DOI_Lookup'!$B$2:$B$430),"NOT IN SOURCE"))</f>
        <v>10.20051/j.issn.1003-4722.2025.06.003</v>
      </c>
    </row>
    <row r="424" spans="1:41" ht="102.6" x14ac:dyDescent="0.3">
      <c r="A424" s="26">
        <v>3773</v>
      </c>
      <c r="B424" s="9" t="s">
        <v>303</v>
      </c>
      <c r="C424" s="32">
        <v>2021</v>
      </c>
      <c r="D424" s="9"/>
      <c r="E424" s="9" t="str">
        <f>IF($A424="","",IFERROR(_xlfn.XLOOKUP($A424,'2_DOI_Lookup'!$D$2:$D$430,'2_DOI_Lookup'!$E$2:$E$430),"TITLE NOT IN SOURCE"))</f>
        <v>The Modelling of Digital Twins Technology in the Construction Process of Prefabricated Buildings</v>
      </c>
      <c r="F424" s="26" t="s">
        <v>309</v>
      </c>
      <c r="G424" s="27" t="s">
        <v>311</v>
      </c>
      <c r="H424" s="27" t="s">
        <v>311</v>
      </c>
      <c r="I424" s="27" t="s">
        <v>311</v>
      </c>
      <c r="J424" s="27" t="s">
        <v>311</v>
      </c>
      <c r="K424" s="27" t="s">
        <v>311</v>
      </c>
      <c r="L424" s="28" t="str">
        <f t="shared" si="31"/>
        <v>INCLUDE</v>
      </c>
      <c r="M424" s="28" t="str">
        <f t="shared" si="32"/>
        <v/>
      </c>
      <c r="N424" s="29" t="s">
        <v>49</v>
      </c>
      <c r="O424" s="29" t="s">
        <v>49</v>
      </c>
      <c r="P424" s="30" t="s">
        <v>49</v>
      </c>
      <c r="Q424" s="30" t="s">
        <v>49</v>
      </c>
      <c r="R424" s="30" t="s">
        <v>49</v>
      </c>
      <c r="S424" s="28" t="str">
        <f t="shared" si="33"/>
        <v>INCLUDE</v>
      </c>
      <c r="T424" s="28" t="str">
        <f t="shared" si="34"/>
        <v/>
      </c>
      <c r="U424" s="31" t="s">
        <v>61</v>
      </c>
      <c r="V424" s="31">
        <v>0</v>
      </c>
      <c r="W424" s="31">
        <v>1</v>
      </c>
      <c r="X424" s="31">
        <v>0</v>
      </c>
      <c r="Y424" s="28" t="str">
        <f t="shared" si="35"/>
        <v>Single</v>
      </c>
      <c r="Z424" s="31" t="s">
        <v>9</v>
      </c>
      <c r="AA424" s="31" t="s">
        <v>53</v>
      </c>
      <c r="AB424" s="31" t="s">
        <v>90</v>
      </c>
      <c r="AC424" s="31" t="s">
        <v>64</v>
      </c>
      <c r="AD424" s="31" t="s">
        <v>72</v>
      </c>
      <c r="AE424" s="31">
        <v>3</v>
      </c>
      <c r="AF424" s="31" t="s">
        <v>80</v>
      </c>
      <c r="AG424" s="15" t="s">
        <v>748</v>
      </c>
      <c r="AH424" s="97" t="s">
        <v>1036</v>
      </c>
      <c r="AI424" s="97" t="s">
        <v>1037</v>
      </c>
      <c r="AJ424" s="98" t="s">
        <v>82</v>
      </c>
      <c r="AK424" s="98" t="s">
        <v>1234</v>
      </c>
      <c r="AL424" s="98" t="s">
        <v>1083</v>
      </c>
      <c r="AM424" s="99"/>
      <c r="AN424" s="100" t="s">
        <v>1297</v>
      </c>
      <c r="AO424" s="101" t="str">
        <f>IF($A424="","",IFERROR(_xlfn.XLOOKUP($A424,'2_DOI_Lookup'!$A$2:$A$430,'2_DOI_Lookup'!$B$2:$B$430),"NOT IN SOURCE"))</f>
        <v>10.1155/2021/2801557</v>
      </c>
    </row>
    <row r="425" spans="1:41" ht="91.2" x14ac:dyDescent="0.3">
      <c r="A425" s="26">
        <v>4039</v>
      </c>
      <c r="B425" s="9" t="s">
        <v>304</v>
      </c>
      <c r="C425" s="32">
        <v>2022</v>
      </c>
      <c r="D425" s="9"/>
      <c r="E425" s="9" t="str">
        <f>IF($A425="","",IFERROR(_xlfn.XLOOKUP($A425,'2_DOI_Lookup'!$D$2:$D$430,'2_DOI_Lookup'!$E$2:$E$430),"TITLE NOT IN SOURCE"))</f>
        <v>Intelligent Prediction of Prestressed Steel Structure Construction Safety Based on BP Neural Network</v>
      </c>
      <c r="F425" s="26" t="s">
        <v>310</v>
      </c>
      <c r="G425" s="27" t="s">
        <v>311</v>
      </c>
      <c r="H425" s="27" t="s">
        <v>311</v>
      </c>
      <c r="I425" s="27" t="s">
        <v>311</v>
      </c>
      <c r="J425" s="27" t="s">
        <v>311</v>
      </c>
      <c r="K425" s="27" t="s">
        <v>311</v>
      </c>
      <c r="L425" s="28" t="str">
        <f t="shared" si="31"/>
        <v>INCLUDE</v>
      </c>
      <c r="M425" s="28" t="str">
        <f t="shared" si="32"/>
        <v/>
      </c>
      <c r="N425" s="29" t="s">
        <v>311</v>
      </c>
      <c r="O425" s="29" t="s">
        <v>311</v>
      </c>
      <c r="P425" s="30" t="s">
        <v>311</v>
      </c>
      <c r="Q425" s="30" t="s">
        <v>311</v>
      </c>
      <c r="R425" s="30" t="s">
        <v>311</v>
      </c>
      <c r="S425" s="28" t="str">
        <f t="shared" si="33"/>
        <v>INCLUDE</v>
      </c>
      <c r="T425" s="28" t="str">
        <f t="shared" si="34"/>
        <v/>
      </c>
      <c r="U425" s="31" t="s">
        <v>61</v>
      </c>
      <c r="V425" s="31">
        <v>0</v>
      </c>
      <c r="W425" s="31">
        <v>1</v>
      </c>
      <c r="X425" s="31">
        <v>0</v>
      </c>
      <c r="Y425" s="28" t="str">
        <f t="shared" si="35"/>
        <v>Single</v>
      </c>
      <c r="Z425" s="31" t="s">
        <v>9</v>
      </c>
      <c r="AA425" s="31" t="s">
        <v>53</v>
      </c>
      <c r="AB425" s="31" t="s">
        <v>92</v>
      </c>
      <c r="AC425" s="31" t="s">
        <v>64</v>
      </c>
      <c r="AD425" s="31" t="s">
        <v>72</v>
      </c>
      <c r="AE425" s="31">
        <v>4</v>
      </c>
      <c r="AF425" s="31" t="s">
        <v>84</v>
      </c>
      <c r="AG425" s="15" t="s">
        <v>681</v>
      </c>
      <c r="AH425" s="97" t="s">
        <v>1038</v>
      </c>
      <c r="AI425" s="97" t="s">
        <v>1039</v>
      </c>
      <c r="AJ425" s="98" t="s">
        <v>1080</v>
      </c>
      <c r="AK425" s="98" t="s">
        <v>1235</v>
      </c>
      <c r="AL425" s="98" t="s">
        <v>1084</v>
      </c>
      <c r="AM425" s="99"/>
      <c r="AN425" s="100" t="s">
        <v>1444</v>
      </c>
      <c r="AO425" s="101" t="str">
        <f>IF($A425="","",IFERROR(_xlfn.XLOOKUP($A425,'2_DOI_Lookup'!$A$2:$A$430,'2_DOI_Lookup'!$B$2:$B$430),"NOT IN SOURCE"))</f>
        <v>10.3390/app12031442</v>
      </c>
    </row>
    <row r="426" spans="1:41" ht="45.6" hidden="1" x14ac:dyDescent="0.3">
      <c r="A426" s="82">
        <v>3564</v>
      </c>
      <c r="B426" s="83"/>
      <c r="C426" s="84"/>
      <c r="D426" s="83"/>
      <c r="E426" s="83" t="str">
        <f>IF($A426="","",IFERROR(_xlfn.XLOOKUP($A426,'2_DOI_Lookup'!$D$2:$D$430,'2_DOI_Lookup'!$E$2:$E$430),"TITLE NOT IN SOURCE"))</f>
        <v>A knowledge foundation and prospect review on thermal response of bridges</v>
      </c>
      <c r="F426" s="82" t="s">
        <v>309</v>
      </c>
      <c r="G426" s="85" t="s">
        <v>311</v>
      </c>
      <c r="H426" s="85" t="s">
        <v>312</v>
      </c>
      <c r="I426" s="85" t="s">
        <v>311</v>
      </c>
      <c r="J426" s="85" t="s">
        <v>311</v>
      </c>
      <c r="K426" s="85" t="s">
        <v>311</v>
      </c>
      <c r="L426" s="86" t="str">
        <f t="shared" si="31"/>
        <v>EXCLUDE</v>
      </c>
      <c r="M426" s="86" t="str">
        <f t="shared" si="32"/>
        <v>Digital Twin not core / buzzword</v>
      </c>
      <c r="N426" s="87"/>
      <c r="O426" s="87"/>
      <c r="P426" s="88"/>
      <c r="Q426" s="88"/>
      <c r="R426" s="88"/>
      <c r="S426" s="86" t="str">
        <f t="shared" si="33"/>
        <v/>
      </c>
      <c r="T426" s="86" t="str">
        <f t="shared" si="34"/>
        <v/>
      </c>
      <c r="U426" s="89"/>
      <c r="V426" s="89"/>
      <c r="W426" s="89"/>
      <c r="X426" s="89"/>
      <c r="Y426" s="86" t="str">
        <f t="shared" si="35"/>
        <v/>
      </c>
      <c r="Z426" s="89"/>
      <c r="AA426" s="89"/>
      <c r="AB426" s="89"/>
      <c r="AC426" s="89"/>
      <c r="AD426" s="89"/>
      <c r="AE426" s="89"/>
      <c r="AF426" s="89"/>
      <c r="AG426" s="90" t="s">
        <v>573</v>
      </c>
      <c r="AH426" s="35"/>
      <c r="AI426" s="35"/>
      <c r="AK426"/>
      <c r="AM426" s="56"/>
      <c r="AN426" s="57"/>
      <c r="AO426" s="63" t="str">
        <f>IF($A426="","",IFERROR(_xlfn.XLOOKUP($A426,'2_DOI_Lookup'!$A$2:$A$430,'2_DOI_Lookup'!$B$2:$B$430),"NOT IN SOURCE"))</f>
        <v>10.1177/13694332251365970</v>
      </c>
    </row>
    <row r="427" spans="1:41" ht="114" x14ac:dyDescent="0.3">
      <c r="A427" s="26">
        <v>3852</v>
      </c>
      <c r="B427" s="9" t="s">
        <v>305</v>
      </c>
      <c r="C427" s="32">
        <v>2023</v>
      </c>
      <c r="D427" s="9"/>
      <c r="E427" s="9" t="str">
        <f>IF($A427="","",IFERROR(_xlfn.XLOOKUP($A427,'2_DOI_Lookup'!$D$2:$D$430,'2_DOI_Lookup'!$E$2:$E$430),"TITLE NOT IN SOURCE"))</f>
        <v>Enhancing dam safety evaluation using dam digital twins</v>
      </c>
      <c r="F427" s="26" t="s">
        <v>309</v>
      </c>
      <c r="G427" s="27" t="s">
        <v>311</v>
      </c>
      <c r="H427" s="27" t="s">
        <v>311</v>
      </c>
      <c r="I427" s="27" t="s">
        <v>311</v>
      </c>
      <c r="J427" s="27" t="s">
        <v>311</v>
      </c>
      <c r="K427" s="27" t="s">
        <v>311</v>
      </c>
      <c r="L427" s="28" t="str">
        <f t="shared" si="31"/>
        <v>INCLUDE</v>
      </c>
      <c r="M427" s="28" t="str">
        <f t="shared" si="32"/>
        <v/>
      </c>
      <c r="N427" s="29" t="s">
        <v>49</v>
      </c>
      <c r="O427" s="29" t="s">
        <v>49</v>
      </c>
      <c r="P427" s="30" t="s">
        <v>49</v>
      </c>
      <c r="Q427" s="30" t="s">
        <v>49</v>
      </c>
      <c r="R427" s="30" t="s">
        <v>49</v>
      </c>
      <c r="S427" s="28" t="str">
        <f t="shared" si="33"/>
        <v>INCLUDE</v>
      </c>
      <c r="T427" s="28" t="str">
        <f t="shared" si="34"/>
        <v/>
      </c>
      <c r="U427" s="31" t="s">
        <v>61</v>
      </c>
      <c r="V427" s="31">
        <v>0</v>
      </c>
      <c r="W427" s="31">
        <v>0</v>
      </c>
      <c r="X427" s="31">
        <v>1</v>
      </c>
      <c r="Y427" s="28" t="str">
        <f t="shared" si="35"/>
        <v>Single</v>
      </c>
      <c r="Z427" s="31" t="s">
        <v>9</v>
      </c>
      <c r="AA427" s="31" t="s">
        <v>53</v>
      </c>
      <c r="AB427" s="31" t="s">
        <v>90</v>
      </c>
      <c r="AC427" s="31" t="s">
        <v>64</v>
      </c>
      <c r="AD427" s="31" t="s">
        <v>72</v>
      </c>
      <c r="AE427" s="31">
        <v>4</v>
      </c>
      <c r="AF427" s="31" t="s">
        <v>84</v>
      </c>
      <c r="AG427" s="15" t="s">
        <v>749</v>
      </c>
      <c r="AH427" s="97" t="s">
        <v>1040</v>
      </c>
      <c r="AI427" s="97" t="s">
        <v>1041</v>
      </c>
      <c r="AJ427" s="98" t="s">
        <v>1081</v>
      </c>
      <c r="AK427" s="98" t="s">
        <v>1236</v>
      </c>
      <c r="AL427" s="98" t="s">
        <v>1083</v>
      </c>
      <c r="AM427" s="99"/>
      <c r="AN427" s="100" t="s">
        <v>1311</v>
      </c>
      <c r="AO427" s="101" t="str">
        <f>IF($A427="","",IFERROR(_xlfn.XLOOKUP($A427,'2_DOI_Lookup'!$A$2:$A$430,'2_DOI_Lookup'!$B$2:$B$430),"NOT IN SOURCE"))</f>
        <v>10.1080/15732479.2021.1991387</v>
      </c>
    </row>
    <row r="428" spans="1:41" ht="57" hidden="1" x14ac:dyDescent="0.3">
      <c r="A428" s="73">
        <v>3703</v>
      </c>
      <c r="B428" s="74"/>
      <c r="C428" s="75"/>
      <c r="D428" s="74"/>
      <c r="E428" s="74" t="str">
        <f>IF($A428="","",IFERROR(_xlfn.XLOOKUP($A428,'2_DOI_Lookup'!$D$2:$D$430,'2_DOI_Lookup'!$E$2:$E$430),"TITLE NOT IN SOURCE"))</f>
        <v>Fast electrothermal coupling calculation method for supporting digital twin construction of electrical equipment</v>
      </c>
      <c r="F428" s="73" t="s">
        <v>309</v>
      </c>
      <c r="G428" s="76" t="s">
        <v>312</v>
      </c>
      <c r="H428" s="76" t="s">
        <v>311</v>
      </c>
      <c r="I428" s="76" t="s">
        <v>311</v>
      </c>
      <c r="J428" s="76" t="s">
        <v>311</v>
      </c>
      <c r="K428" s="76" t="s">
        <v>311</v>
      </c>
      <c r="L428" s="77" t="str">
        <f t="shared" si="31"/>
        <v>EXCLUDE</v>
      </c>
      <c r="M428" s="77" t="str">
        <f t="shared" si="32"/>
        <v>Wrong domain (non-AECO)</v>
      </c>
      <c r="N428" s="78"/>
      <c r="O428" s="78"/>
      <c r="P428" s="79"/>
      <c r="Q428" s="79"/>
      <c r="R428" s="79"/>
      <c r="S428" s="77" t="str">
        <f t="shared" si="33"/>
        <v/>
      </c>
      <c r="T428" s="77" t="str">
        <f t="shared" si="34"/>
        <v/>
      </c>
      <c r="U428" s="80"/>
      <c r="V428" s="80"/>
      <c r="W428" s="80"/>
      <c r="X428" s="80"/>
      <c r="Y428" s="77" t="str">
        <f t="shared" si="35"/>
        <v/>
      </c>
      <c r="Z428" s="80"/>
      <c r="AA428" s="80"/>
      <c r="AB428" s="80"/>
      <c r="AC428" s="80"/>
      <c r="AD428" s="80"/>
      <c r="AE428" s="80"/>
      <c r="AF428" s="80"/>
      <c r="AG428" s="81" t="s">
        <v>574</v>
      </c>
      <c r="AH428" s="35"/>
      <c r="AI428" s="35"/>
      <c r="AK428"/>
      <c r="AM428" s="56"/>
      <c r="AN428" s="57"/>
      <c r="AO428" s="63" t="str">
        <f>IF($A428="","",IFERROR(_xlfn.XLOOKUP($A428,'2_DOI_Lookup'!$A$2:$A$430,'2_DOI_Lookup'!$B$2:$B$430),"NOT IN SOURCE"))</f>
        <v>10.1049/hve2.12260</v>
      </c>
    </row>
    <row r="429" spans="1:41" ht="57" hidden="1" x14ac:dyDescent="0.3">
      <c r="A429" s="64">
        <v>3687</v>
      </c>
      <c r="B429" s="65"/>
      <c r="C429" s="66"/>
      <c r="D429" s="65"/>
      <c r="E429" s="65" t="str">
        <f>IF($A429="","",IFERROR(_xlfn.XLOOKUP($A429,'2_DOI_Lookup'!$D$2:$D$430,'2_DOI_Lookup'!$E$2:$E$430),"TITLE NOT IN SOURCE"))</f>
        <v>Artificial Intelligence in the Construction Industry: A Comprehensive Review of Benefits and Challenges</v>
      </c>
      <c r="F429" s="64" t="s">
        <v>309</v>
      </c>
      <c r="G429" s="67" t="s">
        <v>311</v>
      </c>
      <c r="H429" s="67" t="s">
        <v>312</v>
      </c>
      <c r="I429" s="67" t="s">
        <v>312</v>
      </c>
      <c r="J429" s="67" t="s">
        <v>311</v>
      </c>
      <c r="K429" s="67" t="s">
        <v>311</v>
      </c>
      <c r="L429" s="68" t="str">
        <f t="shared" si="31"/>
        <v>EXCLUDE</v>
      </c>
      <c r="M429" s="68" t="str">
        <f t="shared" si="32"/>
        <v>Digital Twin not core / buzzword</v>
      </c>
      <c r="N429" s="69"/>
      <c r="O429" s="69"/>
      <c r="P429" s="70"/>
      <c r="Q429" s="70"/>
      <c r="R429" s="70"/>
      <c r="S429" s="68" t="str">
        <f t="shared" si="33"/>
        <v/>
      </c>
      <c r="T429" s="68" t="str">
        <f t="shared" si="34"/>
        <v/>
      </c>
      <c r="U429" s="71"/>
      <c r="V429" s="71"/>
      <c r="W429" s="71"/>
      <c r="X429" s="71"/>
      <c r="Y429" s="68" t="str">
        <f t="shared" si="35"/>
        <v/>
      </c>
      <c r="Z429" s="71"/>
      <c r="AA429" s="71"/>
      <c r="AB429" s="71"/>
      <c r="AC429" s="71"/>
      <c r="AD429" s="71"/>
      <c r="AE429" s="71"/>
      <c r="AF429" s="71"/>
      <c r="AG429" s="72" t="s">
        <v>575</v>
      </c>
      <c r="AH429" s="35"/>
      <c r="AI429" s="35"/>
      <c r="AK429"/>
      <c r="AM429" s="56"/>
      <c r="AN429" s="57"/>
      <c r="AO429" s="63" t="str">
        <f>IF($A429="","",IFERROR(_xlfn.XLOOKUP($A429,'2_DOI_Lookup'!$A$2:$A$430,'2_DOI_Lookup'!$B$2:$B$430),"NOT IN SOURCE"))</f>
        <v>10.1061/JLADAH.LADR-1397</v>
      </c>
    </row>
    <row r="430" spans="1:41" ht="91.2" x14ac:dyDescent="0.3">
      <c r="A430" s="26">
        <v>3951</v>
      </c>
      <c r="B430" s="9" t="s">
        <v>306</v>
      </c>
      <c r="C430" s="32">
        <v>2024</v>
      </c>
      <c r="D430" s="9"/>
      <c r="E430" s="9" t="str">
        <f>IF($A430="","",IFERROR(_xlfn.XLOOKUP($A430,'2_DOI_Lookup'!$D$2:$D$430,'2_DOI_Lookup'!$E$2:$E$430),"TITLE NOT IN SOURCE"))</f>
        <v>Digital Twin Construction Method for Monitoring Operation Status of Building Machine Jacking Operation</v>
      </c>
      <c r="F430" s="26" t="s">
        <v>310</v>
      </c>
      <c r="G430" s="27" t="s">
        <v>311</v>
      </c>
      <c r="H430" s="27" t="s">
        <v>311</v>
      </c>
      <c r="I430" s="27" t="s">
        <v>311</v>
      </c>
      <c r="J430" s="27" t="s">
        <v>311</v>
      </c>
      <c r="K430" s="27" t="s">
        <v>311</v>
      </c>
      <c r="L430" s="28" t="str">
        <f t="shared" si="31"/>
        <v>INCLUDE</v>
      </c>
      <c r="M430" s="28" t="str">
        <f t="shared" si="32"/>
        <v/>
      </c>
      <c r="N430" s="29" t="s">
        <v>311</v>
      </c>
      <c r="O430" s="29" t="s">
        <v>311</v>
      </c>
      <c r="P430" s="30" t="s">
        <v>311</v>
      </c>
      <c r="Q430" s="30" t="s">
        <v>311</v>
      </c>
      <c r="R430" s="30" t="s">
        <v>311</v>
      </c>
      <c r="S430" s="28" t="str">
        <f t="shared" si="33"/>
        <v>INCLUDE</v>
      </c>
      <c r="T430" s="28" t="str">
        <f t="shared" si="34"/>
        <v/>
      </c>
      <c r="U430" s="31" t="s">
        <v>61</v>
      </c>
      <c r="V430" s="31">
        <v>0</v>
      </c>
      <c r="W430" s="31">
        <v>1</v>
      </c>
      <c r="X430" s="31">
        <v>0</v>
      </c>
      <c r="Y430" s="28" t="str">
        <f t="shared" si="35"/>
        <v>Single</v>
      </c>
      <c r="Z430" s="31" t="s">
        <v>9</v>
      </c>
      <c r="AA430" s="31" t="s">
        <v>53</v>
      </c>
      <c r="AB430" s="31" t="s">
        <v>92</v>
      </c>
      <c r="AC430" s="31" t="s">
        <v>64</v>
      </c>
      <c r="AD430" s="31" t="s">
        <v>72</v>
      </c>
      <c r="AE430" s="31">
        <v>4</v>
      </c>
      <c r="AF430" s="31" t="s">
        <v>80</v>
      </c>
      <c r="AG430" s="15" t="s">
        <v>682</v>
      </c>
      <c r="AH430" s="97" t="s">
        <v>1042</v>
      </c>
      <c r="AI430" s="97" t="s">
        <v>1043</v>
      </c>
      <c r="AJ430" s="98" t="s">
        <v>1081</v>
      </c>
      <c r="AK430" s="98" t="s">
        <v>1237</v>
      </c>
      <c r="AL430" s="98" t="s">
        <v>1084</v>
      </c>
      <c r="AM430" s="99"/>
      <c r="AN430" s="100" t="s">
        <v>1395</v>
      </c>
      <c r="AO430" s="101" t="str">
        <f>IF($A430="","",IFERROR(_xlfn.XLOOKUP($A430,'2_DOI_Lookup'!$A$2:$A$430,'2_DOI_Lookup'!$B$2:$B$430),"NOT IN SOURCE"))</f>
        <v>10.3390/buildings14082318</v>
      </c>
    </row>
    <row r="431" spans="1:41" ht="114" x14ac:dyDescent="0.3">
      <c r="A431" s="26">
        <v>3885</v>
      </c>
      <c r="B431" s="9" t="s">
        <v>294</v>
      </c>
      <c r="C431" s="32">
        <v>2024</v>
      </c>
      <c r="D431" s="9"/>
      <c r="E431" s="9" t="str">
        <f>IF($A431="","",IFERROR(_xlfn.XLOOKUP($A431,'2_DOI_Lookup'!$D$2:$D$430,'2_DOI_Lookup'!$E$2:$E$430),"TITLE NOT IN SOURCE"))</f>
        <v>Research on Building Process Optimization Framework Based on BIM-DT</v>
      </c>
      <c r="F431" s="26" t="s">
        <v>310</v>
      </c>
      <c r="G431" s="27" t="s">
        <v>311</v>
      </c>
      <c r="H431" s="27" t="s">
        <v>311</v>
      </c>
      <c r="I431" s="27" t="s">
        <v>311</v>
      </c>
      <c r="J431" s="27" t="s">
        <v>311</v>
      </c>
      <c r="K431" s="27" t="s">
        <v>311</v>
      </c>
      <c r="L431" s="28" t="str">
        <f t="shared" si="31"/>
        <v>INCLUDE</v>
      </c>
      <c r="M431" s="28" t="str">
        <f t="shared" si="32"/>
        <v/>
      </c>
      <c r="N431" s="29" t="s">
        <v>49</v>
      </c>
      <c r="O431" s="29" t="s">
        <v>49</v>
      </c>
      <c r="P431" s="30" t="s">
        <v>49</v>
      </c>
      <c r="Q431" s="30" t="s">
        <v>49</v>
      </c>
      <c r="R431" s="30" t="s">
        <v>49</v>
      </c>
      <c r="S431" s="28" t="str">
        <f t="shared" si="33"/>
        <v>INCLUDE</v>
      </c>
      <c r="T431" s="28" t="str">
        <f t="shared" si="34"/>
        <v/>
      </c>
      <c r="U431" s="31" t="s">
        <v>61</v>
      </c>
      <c r="V431" s="31">
        <v>0</v>
      </c>
      <c r="W431" s="31">
        <v>1</v>
      </c>
      <c r="X431" s="31">
        <v>0</v>
      </c>
      <c r="Y431" s="28" t="str">
        <f t="shared" si="35"/>
        <v>Single</v>
      </c>
      <c r="Z431" s="31" t="s">
        <v>9</v>
      </c>
      <c r="AA431" s="31" t="s">
        <v>53</v>
      </c>
      <c r="AB431" s="31" t="s">
        <v>92</v>
      </c>
      <c r="AC431" s="31" t="s">
        <v>64</v>
      </c>
      <c r="AD431" s="31" t="s">
        <v>72</v>
      </c>
      <c r="AE431" s="31">
        <v>3</v>
      </c>
      <c r="AF431" s="31" t="s">
        <v>86</v>
      </c>
      <c r="AG431" s="15" t="s">
        <v>1340</v>
      </c>
      <c r="AH431" s="97" t="s">
        <v>1044</v>
      </c>
      <c r="AI431" s="97" t="s">
        <v>1045</v>
      </c>
      <c r="AJ431" s="98" t="s">
        <v>1081</v>
      </c>
      <c r="AK431" s="98" t="s">
        <v>1238</v>
      </c>
      <c r="AL431" s="98" t="s">
        <v>1084</v>
      </c>
      <c r="AM431" s="99" t="s">
        <v>1341</v>
      </c>
      <c r="AN431" s="100" t="s">
        <v>1318</v>
      </c>
      <c r="AO431" s="101" t="str">
        <f>IF($A431="","",IFERROR(_xlfn.XLOOKUP($A431,'2_DOI_Lookup'!$A$2:$A$430,'2_DOI_Lookup'!$B$2:$B$430),"NOT IN SOURCE"))</f>
        <v>10.17559/TV-20240115001267</v>
      </c>
    </row>
    <row r="432" spans="1:41" ht="125.4" x14ac:dyDescent="0.3">
      <c r="A432" s="26">
        <v>3875</v>
      </c>
      <c r="B432" s="9" t="s">
        <v>307</v>
      </c>
      <c r="C432" s="32">
        <v>2023</v>
      </c>
      <c r="D432" s="9"/>
      <c r="E432" s="9" t="str">
        <f>IF($A432="","",IFERROR(_xlfn.XLOOKUP($A432,'2_DOI_Lookup'!$D$2:$D$430,'2_DOI_Lookup'!$E$2:$E$430),"TITLE NOT IN SOURCE"))</f>
        <v>Multisensory and BIM-Integrated Digital Twin to Improve Urban Excavation Safety</v>
      </c>
      <c r="F432" s="26" t="s">
        <v>310</v>
      </c>
      <c r="G432" s="27" t="s">
        <v>311</v>
      </c>
      <c r="H432" s="27" t="s">
        <v>311</v>
      </c>
      <c r="I432" s="27" t="s">
        <v>311</v>
      </c>
      <c r="J432" s="27" t="s">
        <v>311</v>
      </c>
      <c r="K432" s="27" t="s">
        <v>311</v>
      </c>
      <c r="L432" s="28" t="str">
        <f t="shared" si="31"/>
        <v>INCLUDE</v>
      </c>
      <c r="M432" s="28" t="str">
        <f t="shared" si="32"/>
        <v/>
      </c>
      <c r="N432" s="29" t="s">
        <v>49</v>
      </c>
      <c r="O432" s="29" t="s">
        <v>49</v>
      </c>
      <c r="P432" s="30" t="s">
        <v>49</v>
      </c>
      <c r="Q432" s="30" t="s">
        <v>49</v>
      </c>
      <c r="R432" s="30" t="s">
        <v>49</v>
      </c>
      <c r="S432" s="28" t="str">
        <f t="shared" si="33"/>
        <v>INCLUDE</v>
      </c>
      <c r="T432" s="28" t="str">
        <f t="shared" si="34"/>
        <v/>
      </c>
      <c r="U432" s="31" t="s">
        <v>61</v>
      </c>
      <c r="V432" s="31">
        <v>0</v>
      </c>
      <c r="W432" s="31">
        <v>1</v>
      </c>
      <c r="X432" s="31">
        <v>0</v>
      </c>
      <c r="Y432" s="28" t="str">
        <f t="shared" si="35"/>
        <v>Single</v>
      </c>
      <c r="Z432" s="31" t="s">
        <v>9</v>
      </c>
      <c r="AA432" s="31" t="s">
        <v>53</v>
      </c>
      <c r="AB432" s="31" t="s">
        <v>90</v>
      </c>
      <c r="AC432" s="31" t="s">
        <v>64</v>
      </c>
      <c r="AD432" s="31" t="s">
        <v>72</v>
      </c>
      <c r="AE432" s="31">
        <v>4</v>
      </c>
      <c r="AF432" s="31" t="s">
        <v>80</v>
      </c>
      <c r="AG432" s="15" t="s">
        <v>750</v>
      </c>
      <c r="AH432" s="97" t="s">
        <v>1046</v>
      </c>
      <c r="AI432" s="97" t="s">
        <v>1047</v>
      </c>
      <c r="AJ432" s="98" t="s">
        <v>1081</v>
      </c>
      <c r="AK432" s="98" t="s">
        <v>1239</v>
      </c>
      <c r="AL432" s="98" t="s">
        <v>1083</v>
      </c>
      <c r="AM432" s="99"/>
      <c r="AN432" s="100" t="s">
        <v>1314</v>
      </c>
      <c r="AO432" s="101" t="str">
        <f>IF($A432="","",IFERROR(_xlfn.XLOOKUP($A432,'2_DOI_Lookup'!$A$2:$A$430,'2_DOI_Lookup'!$B$2:$B$430),"NOT IN SOURCE"))</f>
        <v>10.1061/JCCEE5.CPENG-5354</v>
      </c>
    </row>
    <row r="433" spans="1:41" ht="102.6" x14ac:dyDescent="0.3">
      <c r="A433" s="26">
        <v>3877</v>
      </c>
      <c r="B433" s="9" t="s">
        <v>308</v>
      </c>
      <c r="C433" s="32">
        <v>2026</v>
      </c>
      <c r="D433" s="9"/>
      <c r="E433" s="9" t="str">
        <f>IF($A433="","",IFERROR(_xlfn.XLOOKUP($A433,'2_DOI_Lookup'!$D$2:$D$430,'2_DOI_Lookup'!$E$2:$E$430),"TITLE NOT IN SOURCE"))</f>
        <v>Integration of building information modelling and digital twin in mechanized tunnelling construction</v>
      </c>
      <c r="F433" s="26" t="s">
        <v>310</v>
      </c>
      <c r="G433" s="27" t="s">
        <v>311</v>
      </c>
      <c r="H433" s="27" t="s">
        <v>311</v>
      </c>
      <c r="I433" s="27" t="s">
        <v>311</v>
      </c>
      <c r="J433" s="27" t="s">
        <v>311</v>
      </c>
      <c r="K433" s="27" t="s">
        <v>311</v>
      </c>
      <c r="L433" s="28" t="str">
        <f t="shared" si="31"/>
        <v>INCLUDE</v>
      </c>
      <c r="M433" s="28" t="str">
        <f t="shared" si="32"/>
        <v/>
      </c>
      <c r="N433" s="29" t="s">
        <v>311</v>
      </c>
      <c r="O433" s="29" t="s">
        <v>311</v>
      </c>
      <c r="P433" s="30" t="s">
        <v>311</v>
      </c>
      <c r="Q433" s="30" t="s">
        <v>311</v>
      </c>
      <c r="R433" s="30" t="s">
        <v>311</v>
      </c>
      <c r="S433" s="28" t="str">
        <f t="shared" si="33"/>
        <v>INCLUDE</v>
      </c>
      <c r="T433" s="28" t="str">
        <f t="shared" si="34"/>
        <v/>
      </c>
      <c r="U433" s="31" t="s">
        <v>61</v>
      </c>
      <c r="V433" s="31">
        <v>0</v>
      </c>
      <c r="W433" s="31">
        <v>1</v>
      </c>
      <c r="X433" s="31">
        <v>0</v>
      </c>
      <c r="Y433" s="28" t="str">
        <f t="shared" si="35"/>
        <v>Single</v>
      </c>
      <c r="Z433" s="31" t="s">
        <v>11</v>
      </c>
      <c r="AA433" s="31" t="s">
        <v>53</v>
      </c>
      <c r="AB433" s="31" t="s">
        <v>91</v>
      </c>
      <c r="AC433" s="31" t="s">
        <v>64</v>
      </c>
      <c r="AD433" s="31" t="s">
        <v>72</v>
      </c>
      <c r="AE433" s="31">
        <v>4</v>
      </c>
      <c r="AF433" s="31" t="s">
        <v>86</v>
      </c>
      <c r="AG433" s="15" t="s">
        <v>683</v>
      </c>
      <c r="AH433" s="97" t="s">
        <v>1048</v>
      </c>
      <c r="AI433" s="97" t="s">
        <v>1049</v>
      </c>
      <c r="AJ433" s="98" t="s">
        <v>1080</v>
      </c>
      <c r="AK433" s="98" t="s">
        <v>1240</v>
      </c>
      <c r="AL433" s="98" t="s">
        <v>1084</v>
      </c>
      <c r="AM433" s="99"/>
      <c r="AN433" s="100" t="s">
        <v>1316</v>
      </c>
      <c r="AO433" s="101" t="str">
        <f>IF($A433="","",IFERROR(_xlfn.XLOOKUP($A433,'2_DOI_Lookup'!$A$2:$A$430,'2_DOI_Lookup'!$B$2:$B$430),"NOT IN SOURCE"))</f>
        <v>10.1108/ECAM-01-2025-0031</v>
      </c>
    </row>
    <row r="434" spans="1:41" hidden="1" x14ac:dyDescent="0.3">
      <c r="A434" s="91"/>
      <c r="B434" s="74"/>
      <c r="C434" s="91"/>
      <c r="D434" s="74"/>
      <c r="E434" s="74" t="str">
        <f>IF($A434="","",IFERROR(_xlfn.XLOOKUP($A434,'2_DOI_Lookup'!$D$2:$D$430,'2_DOI_Lookup'!$E$2:$E$430),"TITLE NOT IN SOURCE"))</f>
        <v/>
      </c>
      <c r="F434" s="91"/>
      <c r="G434" s="92"/>
      <c r="H434" s="92"/>
      <c r="I434" s="92"/>
      <c r="J434" s="92"/>
      <c r="K434" s="92"/>
      <c r="L434" s="93"/>
      <c r="M434" s="93"/>
      <c r="N434" s="94"/>
      <c r="O434" s="94"/>
      <c r="P434" s="95"/>
      <c r="Q434" s="95"/>
      <c r="R434" s="95"/>
      <c r="S434" s="93"/>
      <c r="T434" s="93"/>
      <c r="U434" s="96"/>
      <c r="V434" s="96"/>
      <c r="W434" s="96"/>
      <c r="X434" s="96"/>
      <c r="Y434" s="93"/>
      <c r="Z434" s="96"/>
      <c r="AA434" s="96"/>
      <c r="AB434" s="96"/>
      <c r="AC434" s="96"/>
      <c r="AD434" s="96"/>
      <c r="AE434" s="96"/>
      <c r="AF434" s="96"/>
      <c r="AG434" s="81"/>
      <c r="AH434" s="35"/>
      <c r="AI434" s="35"/>
      <c r="AK434"/>
      <c r="AM434" s="56"/>
      <c r="AN434" s="57"/>
      <c r="AO434" s="63" t="str">
        <f>IF($A434="","",IFERROR(_xlfn.XLOOKUP($A434,'2_DOI_Lookup'!$A$2:$A$430,'2_DOI_Lookup'!$B$2:$B$430),"NOT IN SOURCE"))</f>
        <v/>
      </c>
    </row>
    <row r="435" spans="1:41" hidden="1" x14ac:dyDescent="0.3">
      <c r="A435" s="8"/>
      <c r="B435" s="9"/>
      <c r="C435" s="8"/>
      <c r="D435" s="9"/>
      <c r="E435" s="9" t="str">
        <f>IF($A435="","",IFERROR(_xlfn.XLOOKUP($A435,'2_DOI_Lookup'!$D$2:$D$430,'2_DOI_Lookup'!$E$2:$E$430),"TITLE NOT IN SOURCE"))</f>
        <v/>
      </c>
      <c r="F435" s="8"/>
      <c r="G435" s="10"/>
      <c r="H435" s="10"/>
      <c r="I435" s="10"/>
      <c r="J435" s="10"/>
      <c r="K435" s="10"/>
      <c r="L435" s="11"/>
      <c r="M435" s="11"/>
      <c r="N435" s="12"/>
      <c r="O435" s="12"/>
      <c r="P435" s="13"/>
      <c r="Q435" s="13"/>
      <c r="R435" s="13"/>
      <c r="S435" s="11"/>
      <c r="T435" s="11"/>
      <c r="U435" s="14"/>
      <c r="V435" s="14"/>
      <c r="W435" s="14"/>
      <c r="X435" s="14"/>
      <c r="Y435" s="11"/>
      <c r="Z435" s="14"/>
      <c r="AA435" s="14"/>
      <c r="AB435" s="14"/>
      <c r="AC435" s="14"/>
      <c r="AD435" s="14"/>
      <c r="AE435" s="14"/>
      <c r="AF435" s="14"/>
      <c r="AG435" s="15"/>
      <c r="AH435" s="35"/>
      <c r="AI435" s="35"/>
      <c r="AK435"/>
      <c r="AM435" s="56"/>
      <c r="AN435" s="57"/>
      <c r="AO435" s="63" t="str">
        <f>IF($A435="","",IFERROR(_xlfn.XLOOKUP($A435,'2_DOI_Lookup'!$A$2:$A$430,'2_DOI_Lookup'!$B$2:$B$430),"NOT IN SOURCE"))</f>
        <v/>
      </c>
    </row>
    <row r="436" spans="1:41" hidden="1" x14ac:dyDescent="0.3">
      <c r="A436" s="8"/>
      <c r="B436" s="9"/>
      <c r="C436" s="8"/>
      <c r="D436" s="9"/>
      <c r="E436" s="9" t="str">
        <f>IF($A436="","",IFERROR(_xlfn.XLOOKUP($A436,'2_DOI_Lookup'!$D$2:$D$430,'2_DOI_Lookup'!$E$2:$E$430),"TITLE NOT IN SOURCE"))</f>
        <v/>
      </c>
      <c r="F436" s="8"/>
      <c r="G436" s="10"/>
      <c r="H436" s="10"/>
      <c r="I436" s="10"/>
      <c r="J436" s="10"/>
      <c r="K436" s="10"/>
      <c r="L436" s="11"/>
      <c r="M436" s="11"/>
      <c r="N436" s="12"/>
      <c r="O436" s="12"/>
      <c r="P436" s="13"/>
      <c r="Q436" s="13"/>
      <c r="R436" s="13"/>
      <c r="S436" s="11"/>
      <c r="T436" s="11"/>
      <c r="U436" s="14"/>
      <c r="V436" s="14"/>
      <c r="W436" s="14"/>
      <c r="X436" s="14"/>
      <c r="Y436" s="11"/>
      <c r="Z436" s="14"/>
      <c r="AA436" s="14"/>
      <c r="AB436" s="14"/>
      <c r="AC436" s="14"/>
      <c r="AD436" s="14"/>
      <c r="AE436" s="14"/>
      <c r="AF436" s="14"/>
      <c r="AG436" s="15"/>
      <c r="AH436" s="35"/>
      <c r="AI436" s="35"/>
      <c r="AK436"/>
      <c r="AM436" s="56"/>
      <c r="AN436" s="57"/>
      <c r="AO436" s="63" t="str">
        <f>IF($A436="","",IFERROR(_xlfn.XLOOKUP($A436,'2_DOI_Lookup'!$A$2:$A$430,'2_DOI_Lookup'!$B$2:$B$430),"NOT IN SOURCE"))</f>
        <v/>
      </c>
    </row>
    <row r="437" spans="1:41" hidden="1" x14ac:dyDescent="0.3">
      <c r="A437" s="8"/>
      <c r="B437" s="9"/>
      <c r="C437" s="8"/>
      <c r="D437" s="9"/>
      <c r="E437" s="9" t="str">
        <f>IF($A437="","",IFERROR(_xlfn.XLOOKUP($A437,'2_DOI_Lookup'!$D$2:$D$430,'2_DOI_Lookup'!$E$2:$E$430),"TITLE NOT IN SOURCE"))</f>
        <v/>
      </c>
      <c r="F437" s="8"/>
      <c r="G437" s="10"/>
      <c r="H437" s="10"/>
      <c r="I437" s="10"/>
      <c r="J437" s="10"/>
      <c r="K437" s="10"/>
      <c r="L437" s="11"/>
      <c r="M437" s="11"/>
      <c r="N437" s="12"/>
      <c r="O437" s="12"/>
      <c r="P437" s="13"/>
      <c r="Q437" s="13"/>
      <c r="R437" s="13"/>
      <c r="S437" s="11"/>
      <c r="T437" s="11"/>
      <c r="U437" s="14"/>
      <c r="V437" s="14"/>
      <c r="W437" s="14"/>
      <c r="X437" s="14"/>
      <c r="Y437" s="11"/>
      <c r="Z437" s="14"/>
      <c r="AA437" s="14"/>
      <c r="AB437" s="14"/>
      <c r="AC437" s="14"/>
      <c r="AD437" s="14"/>
      <c r="AE437" s="14"/>
      <c r="AF437" s="14"/>
      <c r="AG437" s="15"/>
      <c r="AH437" s="35"/>
      <c r="AI437" s="35"/>
      <c r="AK437"/>
      <c r="AM437" s="56"/>
      <c r="AN437" s="57"/>
      <c r="AO437" s="63" t="str">
        <f>IF($A437="","",IFERROR(_xlfn.XLOOKUP($A437,'2_DOI_Lookup'!$A$2:$A$430,'2_DOI_Lookup'!$B$2:$B$430),"NOT IN SOURCE"))</f>
        <v/>
      </c>
    </row>
    <row r="438" spans="1:41" hidden="1" x14ac:dyDescent="0.3">
      <c r="A438" s="8"/>
      <c r="B438" s="9"/>
      <c r="C438" s="8"/>
      <c r="D438" s="9"/>
      <c r="E438" s="9" t="str">
        <f>IF($A438="","",IFERROR(_xlfn.XLOOKUP($A438,'2_DOI_Lookup'!$D$2:$D$430,'2_DOI_Lookup'!$E$2:$E$430),"TITLE NOT IN SOURCE"))</f>
        <v/>
      </c>
      <c r="F438" s="8"/>
      <c r="G438" s="10"/>
      <c r="H438" s="10"/>
      <c r="I438" s="10"/>
      <c r="J438" s="10"/>
      <c r="K438" s="10"/>
      <c r="L438" s="11"/>
      <c r="M438" s="11"/>
      <c r="N438" s="12"/>
      <c r="O438" s="12"/>
      <c r="P438" s="13"/>
      <c r="Q438" s="13"/>
      <c r="R438" s="13"/>
      <c r="S438" s="11"/>
      <c r="T438" s="11"/>
      <c r="U438" s="14"/>
      <c r="V438" s="14"/>
      <c r="W438" s="14"/>
      <c r="X438" s="14"/>
      <c r="Y438" s="11"/>
      <c r="Z438" s="14"/>
      <c r="AA438" s="14"/>
      <c r="AB438" s="14"/>
      <c r="AC438" s="14"/>
      <c r="AD438" s="14"/>
      <c r="AE438" s="14"/>
      <c r="AF438" s="14"/>
      <c r="AG438" s="15"/>
      <c r="AH438" s="35"/>
      <c r="AI438" s="35"/>
      <c r="AK438"/>
      <c r="AM438" s="56"/>
      <c r="AN438" s="57"/>
      <c r="AO438" s="63" t="str">
        <f>IF($A438="","",IFERROR(_xlfn.XLOOKUP($A438,'2_DOI_Lookup'!$A$2:$A$430,'2_DOI_Lookup'!$B$2:$B$430),"NOT IN SOURCE"))</f>
        <v/>
      </c>
    </row>
    <row r="439" spans="1:41" hidden="1" x14ac:dyDescent="0.3">
      <c r="A439" s="8"/>
      <c r="B439" s="9"/>
      <c r="C439" s="8"/>
      <c r="D439" s="9"/>
      <c r="E439" s="9" t="str">
        <f>IF($A439="","",IFERROR(_xlfn.XLOOKUP($A439,'2_DOI_Lookup'!$D$2:$D$430,'2_DOI_Lookup'!$E$2:$E$430),"TITLE NOT IN SOURCE"))</f>
        <v/>
      </c>
      <c r="F439" s="8"/>
      <c r="G439" s="10"/>
      <c r="H439" s="10"/>
      <c r="I439" s="10"/>
      <c r="J439" s="10"/>
      <c r="K439" s="10"/>
      <c r="L439" s="11"/>
      <c r="M439" s="11"/>
      <c r="N439" s="12"/>
      <c r="O439" s="12"/>
      <c r="P439" s="13"/>
      <c r="Q439" s="13"/>
      <c r="R439" s="13"/>
      <c r="S439" s="11"/>
      <c r="T439" s="11"/>
      <c r="U439" s="14"/>
      <c r="V439" s="14"/>
      <c r="W439" s="14"/>
      <c r="X439" s="14"/>
      <c r="Y439" s="11"/>
      <c r="Z439" s="14"/>
      <c r="AA439" s="14"/>
      <c r="AB439" s="14"/>
      <c r="AC439" s="14"/>
      <c r="AD439" s="14"/>
      <c r="AE439" s="14"/>
      <c r="AF439" s="14"/>
      <c r="AG439" s="15"/>
      <c r="AH439" s="35"/>
      <c r="AI439" s="35"/>
      <c r="AK439"/>
      <c r="AM439" s="56"/>
      <c r="AN439" s="57"/>
      <c r="AO439" s="63" t="str">
        <f>IF($A439="","",IFERROR(_xlfn.XLOOKUP($A439,'2_DOI_Lookup'!$A$2:$A$430,'2_DOI_Lookup'!$B$2:$B$430),"NOT IN SOURCE"))</f>
        <v/>
      </c>
    </row>
    <row r="440" spans="1:41" hidden="1" x14ac:dyDescent="0.3">
      <c r="A440" s="8"/>
      <c r="B440" s="9"/>
      <c r="C440" s="8"/>
      <c r="D440" s="9"/>
      <c r="E440" s="9" t="str">
        <f>IF($A440="","",IFERROR(_xlfn.XLOOKUP($A440,'2_DOI_Lookup'!$D$2:$D$430,'2_DOI_Lookup'!$E$2:$E$430),"TITLE NOT IN SOURCE"))</f>
        <v/>
      </c>
      <c r="F440" s="8"/>
      <c r="G440" s="10"/>
      <c r="H440" s="10"/>
      <c r="I440" s="10"/>
      <c r="J440" s="10"/>
      <c r="K440" s="10"/>
      <c r="L440" s="11"/>
      <c r="M440" s="11"/>
      <c r="N440" s="12"/>
      <c r="O440" s="12"/>
      <c r="P440" s="13"/>
      <c r="Q440" s="13"/>
      <c r="R440" s="13"/>
      <c r="S440" s="11"/>
      <c r="T440" s="11"/>
      <c r="U440" s="14"/>
      <c r="V440" s="14"/>
      <c r="W440" s="14"/>
      <c r="X440" s="14"/>
      <c r="Y440" s="11"/>
      <c r="Z440" s="14"/>
      <c r="AA440" s="14"/>
      <c r="AB440" s="14"/>
      <c r="AC440" s="14"/>
      <c r="AD440" s="14"/>
      <c r="AE440" s="14"/>
      <c r="AF440" s="14"/>
      <c r="AG440" s="15"/>
      <c r="AH440" s="35"/>
      <c r="AI440" s="35"/>
      <c r="AK440"/>
      <c r="AM440" s="56"/>
      <c r="AN440" s="57"/>
      <c r="AO440" s="63" t="str">
        <f>IF($A440="","",IFERROR(_xlfn.XLOOKUP($A440,'2_DOI_Lookup'!$A$2:$A$430,'2_DOI_Lookup'!$B$2:$B$430),"NOT IN SOURCE"))</f>
        <v/>
      </c>
    </row>
    <row r="441" spans="1:41" hidden="1" x14ac:dyDescent="0.3">
      <c r="A441" s="8"/>
      <c r="B441" s="9"/>
      <c r="C441" s="8"/>
      <c r="D441" s="9"/>
      <c r="E441" s="9" t="str">
        <f>IF($A441="","",IFERROR(_xlfn.XLOOKUP($A441,'2_DOI_Lookup'!$D$2:$D$430,'2_DOI_Lookup'!$E$2:$E$430),"TITLE NOT IN SOURCE"))</f>
        <v/>
      </c>
      <c r="F441" s="8"/>
      <c r="G441" s="10"/>
      <c r="H441" s="10"/>
      <c r="I441" s="10"/>
      <c r="J441" s="10"/>
      <c r="K441" s="10"/>
      <c r="L441" s="11"/>
      <c r="M441" s="11"/>
      <c r="N441" s="12"/>
      <c r="O441" s="12"/>
      <c r="P441" s="13"/>
      <c r="Q441" s="13"/>
      <c r="R441" s="13"/>
      <c r="S441" s="11"/>
      <c r="T441" s="11"/>
      <c r="U441" s="14"/>
      <c r="V441" s="14"/>
      <c r="W441" s="14"/>
      <c r="X441" s="14"/>
      <c r="Y441" s="11"/>
      <c r="Z441" s="14"/>
      <c r="AA441" s="14"/>
      <c r="AB441" s="14"/>
      <c r="AC441" s="14"/>
      <c r="AD441" s="14"/>
      <c r="AE441" s="14"/>
      <c r="AF441" s="14"/>
      <c r="AG441" s="15"/>
      <c r="AH441" s="35"/>
      <c r="AI441" s="35"/>
      <c r="AK441"/>
      <c r="AM441" s="56"/>
      <c r="AN441" s="57"/>
      <c r="AO441" s="63" t="str">
        <f>IF($A441="","",IFERROR(_xlfn.XLOOKUP($A441,'2_DOI_Lookup'!$A$2:$A$430,'2_DOI_Lookup'!$B$2:$B$430),"NOT IN SOURCE"))</f>
        <v/>
      </c>
    </row>
    <row r="442" spans="1:41" hidden="1" x14ac:dyDescent="0.3">
      <c r="A442" s="8"/>
      <c r="B442" s="9"/>
      <c r="C442" s="8"/>
      <c r="D442" s="9"/>
      <c r="E442" s="9" t="str">
        <f>IF($A442="","",IFERROR(_xlfn.XLOOKUP($A442,'2_DOI_Lookup'!$D$2:$D$430,'2_DOI_Lookup'!$E$2:$E$430),"TITLE NOT IN SOURCE"))</f>
        <v/>
      </c>
      <c r="F442" s="8"/>
      <c r="G442" s="10"/>
      <c r="H442" s="10"/>
      <c r="I442" s="10"/>
      <c r="J442" s="10"/>
      <c r="K442" s="10"/>
      <c r="L442" s="11"/>
      <c r="M442" s="11"/>
      <c r="N442" s="12"/>
      <c r="O442" s="12"/>
      <c r="P442" s="13"/>
      <c r="Q442" s="13"/>
      <c r="R442" s="13"/>
      <c r="S442" s="11"/>
      <c r="T442" s="11"/>
      <c r="U442" s="14"/>
      <c r="V442" s="14"/>
      <c r="W442" s="14"/>
      <c r="X442" s="14"/>
      <c r="Y442" s="11"/>
      <c r="Z442" s="14"/>
      <c r="AA442" s="14"/>
      <c r="AB442" s="14"/>
      <c r="AC442" s="14"/>
      <c r="AD442" s="14"/>
      <c r="AE442" s="14"/>
      <c r="AF442" s="14"/>
      <c r="AG442" s="15"/>
      <c r="AH442" s="35"/>
      <c r="AI442" s="35"/>
      <c r="AK442"/>
      <c r="AM442" s="56"/>
      <c r="AN442" s="57"/>
      <c r="AO442" s="63" t="str">
        <f>IF($A442="","",IFERROR(_xlfn.XLOOKUP($A442,'2_DOI_Lookup'!$A$2:$A$430,'2_DOI_Lookup'!$B$2:$B$430),"NOT IN SOURCE"))</f>
        <v/>
      </c>
    </row>
    <row r="443" spans="1:41" hidden="1" x14ac:dyDescent="0.3">
      <c r="A443" s="8"/>
      <c r="B443" s="9"/>
      <c r="C443" s="8"/>
      <c r="D443" s="9"/>
      <c r="E443" s="9" t="str">
        <f>IF($A443="","",IFERROR(_xlfn.XLOOKUP($A443,'2_DOI_Lookup'!$D$2:$D$430,'2_DOI_Lookup'!$E$2:$E$430),"TITLE NOT IN SOURCE"))</f>
        <v/>
      </c>
      <c r="F443" s="8"/>
      <c r="G443" s="10"/>
      <c r="H443" s="10"/>
      <c r="I443" s="10"/>
      <c r="J443" s="10"/>
      <c r="K443" s="10"/>
      <c r="L443" s="11"/>
      <c r="M443" s="11"/>
      <c r="N443" s="12"/>
      <c r="O443" s="12"/>
      <c r="P443" s="13"/>
      <c r="Q443" s="13"/>
      <c r="R443" s="13"/>
      <c r="S443" s="11"/>
      <c r="T443" s="11"/>
      <c r="U443" s="14"/>
      <c r="V443" s="14"/>
      <c r="W443" s="14"/>
      <c r="X443" s="14"/>
      <c r="Y443" s="11"/>
      <c r="Z443" s="14"/>
      <c r="AA443" s="14"/>
      <c r="AB443" s="14"/>
      <c r="AC443" s="14"/>
      <c r="AD443" s="14"/>
      <c r="AE443" s="14"/>
      <c r="AF443" s="14"/>
      <c r="AG443" s="15"/>
      <c r="AH443" s="35"/>
      <c r="AI443" s="35"/>
      <c r="AK443"/>
      <c r="AM443" s="56"/>
      <c r="AN443" s="57"/>
      <c r="AO443" s="63" t="str">
        <f>IF($A443="","",IFERROR(_xlfn.XLOOKUP($A443,'2_DOI_Lookup'!$A$2:$A$430,'2_DOI_Lookup'!$B$2:$B$430),"NOT IN SOURCE"))</f>
        <v/>
      </c>
    </row>
    <row r="444" spans="1:41" hidden="1" x14ac:dyDescent="0.3">
      <c r="A444" s="8"/>
      <c r="B444" s="9"/>
      <c r="C444" s="8"/>
      <c r="D444" s="9"/>
      <c r="E444" s="9" t="str">
        <f>IF($A444="","",IFERROR(_xlfn.XLOOKUP($A444,'2_DOI_Lookup'!$D$2:$D$430,'2_DOI_Lookup'!$E$2:$E$430),"TITLE NOT IN SOURCE"))</f>
        <v/>
      </c>
      <c r="F444" s="8"/>
      <c r="G444" s="10"/>
      <c r="H444" s="10"/>
      <c r="I444" s="10"/>
      <c r="J444" s="10"/>
      <c r="K444" s="10"/>
      <c r="L444" s="11"/>
      <c r="M444" s="11"/>
      <c r="N444" s="12"/>
      <c r="O444" s="12"/>
      <c r="P444" s="13"/>
      <c r="Q444" s="13"/>
      <c r="R444" s="13"/>
      <c r="S444" s="11"/>
      <c r="T444" s="11"/>
      <c r="U444" s="14"/>
      <c r="V444" s="14"/>
      <c r="W444" s="14"/>
      <c r="X444" s="14"/>
      <c r="Y444" s="11"/>
      <c r="Z444" s="14"/>
      <c r="AA444" s="14"/>
      <c r="AB444" s="14"/>
      <c r="AC444" s="14"/>
      <c r="AD444" s="14"/>
      <c r="AE444" s="14"/>
      <c r="AF444" s="14"/>
      <c r="AG444" s="15"/>
      <c r="AH444" s="35"/>
      <c r="AI444" s="35"/>
      <c r="AK444"/>
      <c r="AM444" s="56"/>
      <c r="AN444" s="57"/>
      <c r="AO444" s="63" t="str">
        <f>IF($A444="","",IFERROR(_xlfn.XLOOKUP($A444,'2_DOI_Lookup'!$A$2:$A$430,'2_DOI_Lookup'!$B$2:$B$430),"NOT IN SOURCE"))</f>
        <v/>
      </c>
    </row>
    <row r="445" spans="1:41" hidden="1" x14ac:dyDescent="0.3">
      <c r="A445" s="8"/>
      <c r="B445" s="9"/>
      <c r="C445" s="8"/>
      <c r="D445" s="9"/>
      <c r="E445" s="9" t="str">
        <f>IF($A445="","",IFERROR(_xlfn.XLOOKUP($A445,'2_DOI_Lookup'!$D$2:$D$430,'2_DOI_Lookup'!$E$2:$E$430),"TITLE NOT IN SOURCE"))</f>
        <v/>
      </c>
      <c r="F445" s="8"/>
      <c r="G445" s="10"/>
      <c r="H445" s="10"/>
      <c r="I445" s="10"/>
      <c r="J445" s="10"/>
      <c r="K445" s="10"/>
      <c r="L445" s="11"/>
      <c r="M445" s="11"/>
      <c r="N445" s="12"/>
      <c r="O445" s="12"/>
      <c r="P445" s="13"/>
      <c r="Q445" s="13"/>
      <c r="R445" s="13"/>
      <c r="S445" s="11"/>
      <c r="T445" s="11"/>
      <c r="U445" s="14"/>
      <c r="V445" s="14"/>
      <c r="W445" s="14"/>
      <c r="X445" s="14"/>
      <c r="Y445" s="11"/>
      <c r="Z445" s="14"/>
      <c r="AA445" s="14"/>
      <c r="AB445" s="14"/>
      <c r="AC445" s="14"/>
      <c r="AD445" s="14"/>
      <c r="AE445" s="14"/>
      <c r="AF445" s="14"/>
      <c r="AG445" s="15"/>
      <c r="AH445" s="35"/>
      <c r="AI445" s="35"/>
      <c r="AK445"/>
      <c r="AM445" s="56"/>
      <c r="AN445" s="57"/>
      <c r="AO445" s="63" t="str">
        <f>IF($A445="","",IFERROR(_xlfn.XLOOKUP($A445,'2_DOI_Lookup'!$A$2:$A$430,'2_DOI_Lookup'!$B$2:$B$430),"NOT IN SOURCE"))</f>
        <v/>
      </c>
    </row>
    <row r="446" spans="1:41" hidden="1" x14ac:dyDescent="0.3">
      <c r="A446" s="8"/>
      <c r="B446" s="9"/>
      <c r="C446" s="8"/>
      <c r="D446" s="9"/>
      <c r="E446" s="9" t="str">
        <f>IF($A446="","",IFERROR(_xlfn.XLOOKUP($A446,'2_DOI_Lookup'!$D$2:$D$430,'2_DOI_Lookup'!$E$2:$E$430),"TITLE NOT IN SOURCE"))</f>
        <v/>
      </c>
      <c r="F446" s="8"/>
      <c r="G446" s="10"/>
      <c r="H446" s="10"/>
      <c r="I446" s="10"/>
      <c r="J446" s="10"/>
      <c r="K446" s="10"/>
      <c r="L446" s="11"/>
      <c r="M446" s="11"/>
      <c r="N446" s="12"/>
      <c r="O446" s="12"/>
      <c r="P446" s="13"/>
      <c r="Q446" s="13"/>
      <c r="R446" s="13"/>
      <c r="S446" s="11"/>
      <c r="T446" s="11"/>
      <c r="U446" s="14"/>
      <c r="V446" s="14"/>
      <c r="W446" s="14"/>
      <c r="X446" s="14"/>
      <c r="Y446" s="11"/>
      <c r="Z446" s="14"/>
      <c r="AA446" s="14"/>
      <c r="AB446" s="14"/>
      <c r="AC446" s="14"/>
      <c r="AD446" s="14"/>
      <c r="AE446" s="14"/>
      <c r="AF446" s="14"/>
      <c r="AG446" s="15"/>
      <c r="AH446" s="35"/>
      <c r="AI446" s="35"/>
      <c r="AK446"/>
      <c r="AM446" s="56"/>
      <c r="AN446" s="57"/>
      <c r="AO446" s="63" t="str">
        <f>IF($A446="","",IFERROR(_xlfn.XLOOKUP($A446,'2_DOI_Lookup'!$A$2:$A$430,'2_DOI_Lookup'!$B$2:$B$430),"NOT IN SOURCE"))</f>
        <v/>
      </c>
    </row>
    <row r="447" spans="1:41" hidden="1" x14ac:dyDescent="0.3">
      <c r="A447" s="8"/>
      <c r="B447" s="9"/>
      <c r="C447" s="8"/>
      <c r="D447" s="9"/>
      <c r="E447" s="9" t="str">
        <f>IF($A447="","",IFERROR(_xlfn.XLOOKUP($A447,'2_DOI_Lookup'!$D$2:$D$430,'2_DOI_Lookup'!$E$2:$E$430),"TITLE NOT IN SOURCE"))</f>
        <v/>
      </c>
      <c r="F447" s="8"/>
      <c r="G447" s="10"/>
      <c r="H447" s="10"/>
      <c r="I447" s="10"/>
      <c r="J447" s="10"/>
      <c r="K447" s="10"/>
      <c r="L447" s="11"/>
      <c r="M447" s="11"/>
      <c r="N447" s="12"/>
      <c r="O447" s="12"/>
      <c r="P447" s="13"/>
      <c r="Q447" s="13"/>
      <c r="R447" s="13"/>
      <c r="S447" s="11"/>
      <c r="T447" s="11"/>
      <c r="U447" s="14"/>
      <c r="V447" s="14"/>
      <c r="W447" s="14"/>
      <c r="X447" s="14"/>
      <c r="Y447" s="11"/>
      <c r="Z447" s="14"/>
      <c r="AA447" s="14"/>
      <c r="AB447" s="14"/>
      <c r="AC447" s="14"/>
      <c r="AD447" s="14"/>
      <c r="AE447" s="14"/>
      <c r="AF447" s="14"/>
      <c r="AG447" s="15"/>
      <c r="AH447" s="35"/>
      <c r="AI447" s="35"/>
      <c r="AK447"/>
      <c r="AM447" s="56"/>
      <c r="AN447" s="57"/>
      <c r="AO447" s="63" t="str">
        <f>IF($A447="","",IFERROR(_xlfn.XLOOKUP($A447,'2_DOI_Lookup'!$A$2:$A$430,'2_DOI_Lookup'!$B$2:$B$430),"NOT IN SOURCE"))</f>
        <v/>
      </c>
    </row>
    <row r="448" spans="1:41" hidden="1" x14ac:dyDescent="0.3">
      <c r="A448" s="8"/>
      <c r="B448" s="9"/>
      <c r="C448" s="8"/>
      <c r="D448" s="9"/>
      <c r="E448" s="9" t="str">
        <f>IF($A448="","",IFERROR(_xlfn.XLOOKUP($A448,'2_DOI_Lookup'!$D$2:$D$430,'2_DOI_Lookup'!$E$2:$E$430),"TITLE NOT IN SOURCE"))</f>
        <v/>
      </c>
      <c r="F448" s="8"/>
      <c r="G448" s="10"/>
      <c r="H448" s="10"/>
      <c r="I448" s="10"/>
      <c r="J448" s="10"/>
      <c r="K448" s="10"/>
      <c r="L448" s="11"/>
      <c r="M448" s="11"/>
      <c r="N448" s="12"/>
      <c r="O448" s="12"/>
      <c r="P448" s="13"/>
      <c r="Q448" s="13"/>
      <c r="R448" s="13"/>
      <c r="S448" s="11"/>
      <c r="T448" s="11"/>
      <c r="U448" s="14"/>
      <c r="V448" s="14"/>
      <c r="W448" s="14"/>
      <c r="X448" s="14"/>
      <c r="Y448" s="11"/>
      <c r="Z448" s="14"/>
      <c r="AA448" s="14"/>
      <c r="AB448" s="14"/>
      <c r="AC448" s="14"/>
      <c r="AD448" s="14"/>
      <c r="AE448" s="14"/>
      <c r="AF448" s="14"/>
      <c r="AG448" s="15"/>
      <c r="AH448" s="35"/>
      <c r="AI448" s="35"/>
      <c r="AK448"/>
      <c r="AM448" s="56"/>
      <c r="AN448" s="57"/>
      <c r="AO448" s="63" t="str">
        <f>IF($A448="","",IFERROR(_xlfn.XLOOKUP($A448,'2_DOI_Lookup'!$A$2:$A$430,'2_DOI_Lookup'!$B$2:$B$430),"NOT IN SOURCE"))</f>
        <v/>
      </c>
    </row>
    <row r="449" spans="1:41" hidden="1" x14ac:dyDescent="0.3">
      <c r="A449" s="8"/>
      <c r="B449" s="9"/>
      <c r="C449" s="8"/>
      <c r="D449" s="9"/>
      <c r="E449" s="9" t="str">
        <f>IF($A449="","",IFERROR(_xlfn.XLOOKUP($A449,'2_DOI_Lookup'!$D$2:$D$430,'2_DOI_Lookup'!$E$2:$E$430),"TITLE NOT IN SOURCE"))</f>
        <v/>
      </c>
      <c r="F449" s="8"/>
      <c r="G449" s="10"/>
      <c r="H449" s="10"/>
      <c r="I449" s="10"/>
      <c r="J449" s="10"/>
      <c r="K449" s="10"/>
      <c r="L449" s="11"/>
      <c r="M449" s="11"/>
      <c r="N449" s="12"/>
      <c r="O449" s="12"/>
      <c r="P449" s="13"/>
      <c r="Q449" s="13"/>
      <c r="R449" s="13"/>
      <c r="S449" s="11"/>
      <c r="T449" s="11"/>
      <c r="U449" s="14"/>
      <c r="V449" s="14"/>
      <c r="W449" s="14"/>
      <c r="X449" s="14"/>
      <c r="Y449" s="11"/>
      <c r="Z449" s="14"/>
      <c r="AA449" s="14"/>
      <c r="AB449" s="14"/>
      <c r="AC449" s="14"/>
      <c r="AD449" s="14"/>
      <c r="AE449" s="14"/>
      <c r="AF449" s="14"/>
      <c r="AG449" s="15"/>
      <c r="AH449" s="35"/>
      <c r="AI449" s="35"/>
      <c r="AK449"/>
      <c r="AM449" s="56"/>
      <c r="AN449" s="57"/>
      <c r="AO449" s="63" t="str">
        <f>IF($A449="","",IFERROR(_xlfn.XLOOKUP($A449,'2_DOI_Lookup'!$A$2:$A$430,'2_DOI_Lookup'!$B$2:$B$430),"NOT IN SOURCE"))</f>
        <v/>
      </c>
    </row>
    <row r="450" spans="1:41" hidden="1" x14ac:dyDescent="0.3">
      <c r="A450" s="8"/>
      <c r="B450" s="9"/>
      <c r="C450" s="8"/>
      <c r="D450" s="9"/>
      <c r="E450" s="9" t="str">
        <f>IF($A450="","",IFERROR(_xlfn.XLOOKUP($A450,'2_DOI_Lookup'!$D$2:$D$430,'2_DOI_Lookup'!$E$2:$E$430),"TITLE NOT IN SOURCE"))</f>
        <v/>
      </c>
      <c r="F450" s="8"/>
      <c r="G450" s="10"/>
      <c r="H450" s="10"/>
      <c r="I450" s="10"/>
      <c r="J450" s="10"/>
      <c r="K450" s="10"/>
      <c r="L450" s="11"/>
      <c r="M450" s="11"/>
      <c r="N450" s="12"/>
      <c r="O450" s="12"/>
      <c r="P450" s="13"/>
      <c r="Q450" s="13"/>
      <c r="R450" s="13"/>
      <c r="S450" s="11"/>
      <c r="T450" s="11"/>
      <c r="U450" s="14"/>
      <c r="V450" s="14"/>
      <c r="W450" s="14"/>
      <c r="X450" s="14"/>
      <c r="Y450" s="11"/>
      <c r="Z450" s="14"/>
      <c r="AA450" s="14"/>
      <c r="AB450" s="14"/>
      <c r="AC450" s="14"/>
      <c r="AD450" s="14"/>
      <c r="AE450" s="14"/>
      <c r="AF450" s="14"/>
      <c r="AG450" s="15"/>
      <c r="AH450" s="35"/>
      <c r="AI450" s="35"/>
      <c r="AK450"/>
      <c r="AM450" s="56"/>
      <c r="AN450" s="57"/>
      <c r="AO450" s="63" t="str">
        <f>IF($A450="","",IFERROR(_xlfn.XLOOKUP($A450,'2_DOI_Lookup'!$A$2:$A$430,'2_DOI_Lookup'!$B$2:$B$430),"NOT IN SOURCE"))</f>
        <v/>
      </c>
    </row>
    <row r="451" spans="1:41" hidden="1" x14ac:dyDescent="0.3">
      <c r="A451" s="8"/>
      <c r="B451" s="9"/>
      <c r="C451" s="8"/>
      <c r="D451" s="9"/>
      <c r="E451" s="9" t="str">
        <f>IF($A451="","",IFERROR(_xlfn.XLOOKUP($A451,'2_DOI_Lookup'!$D$2:$D$430,'2_DOI_Lookup'!$E$2:$E$430),"TITLE NOT IN SOURCE"))</f>
        <v/>
      </c>
      <c r="F451" s="8"/>
      <c r="G451" s="10"/>
      <c r="H451" s="10"/>
      <c r="I451" s="10"/>
      <c r="J451" s="10"/>
      <c r="K451" s="10"/>
      <c r="L451" s="11"/>
      <c r="M451" s="11"/>
      <c r="N451" s="12"/>
      <c r="O451" s="12"/>
      <c r="P451" s="13"/>
      <c r="Q451" s="13"/>
      <c r="R451" s="13"/>
      <c r="S451" s="11"/>
      <c r="T451" s="11"/>
      <c r="U451" s="14"/>
      <c r="V451" s="14"/>
      <c r="W451" s="14"/>
      <c r="X451" s="14"/>
      <c r="Y451" s="11"/>
      <c r="Z451" s="14"/>
      <c r="AA451" s="14"/>
      <c r="AB451" s="14"/>
      <c r="AC451" s="14"/>
      <c r="AD451" s="14"/>
      <c r="AE451" s="14"/>
      <c r="AF451" s="14"/>
      <c r="AG451" s="15"/>
      <c r="AH451" s="35"/>
      <c r="AI451" s="35"/>
      <c r="AK451"/>
      <c r="AM451" s="56"/>
      <c r="AN451" s="57"/>
      <c r="AO451" s="63" t="str">
        <f>IF($A451="","",IFERROR(_xlfn.XLOOKUP($A451,'2_DOI_Lookup'!$A$2:$A$430,'2_DOI_Lookup'!$B$2:$B$430),"NOT IN SOURCE"))</f>
        <v/>
      </c>
    </row>
    <row r="452" spans="1:41" hidden="1" x14ac:dyDescent="0.3">
      <c r="A452" s="8"/>
      <c r="B452" s="9"/>
      <c r="C452" s="8"/>
      <c r="D452" s="9"/>
      <c r="E452" s="9" t="str">
        <f>IF($A452="","",IFERROR(_xlfn.XLOOKUP($A452,'2_DOI_Lookup'!$D$2:$D$430,'2_DOI_Lookup'!$E$2:$E$430),"TITLE NOT IN SOURCE"))</f>
        <v/>
      </c>
      <c r="F452" s="8"/>
      <c r="G452" s="10"/>
      <c r="H452" s="10"/>
      <c r="I452" s="10"/>
      <c r="J452" s="10"/>
      <c r="K452" s="10"/>
      <c r="L452" s="11"/>
      <c r="M452" s="11"/>
      <c r="N452" s="12"/>
      <c r="O452" s="12"/>
      <c r="P452" s="13"/>
      <c r="Q452" s="13"/>
      <c r="R452" s="13"/>
      <c r="S452" s="11"/>
      <c r="T452" s="11"/>
      <c r="U452" s="14"/>
      <c r="V452" s="14"/>
      <c r="W452" s="14"/>
      <c r="X452" s="14"/>
      <c r="Y452" s="11"/>
      <c r="Z452" s="14"/>
      <c r="AA452" s="14"/>
      <c r="AB452" s="14"/>
      <c r="AC452" s="14"/>
      <c r="AD452" s="14"/>
      <c r="AE452" s="14"/>
      <c r="AF452" s="14"/>
      <c r="AG452" s="15"/>
      <c r="AH452" s="35"/>
      <c r="AI452" s="35"/>
      <c r="AK452"/>
      <c r="AM452" s="56"/>
      <c r="AN452" s="57"/>
      <c r="AO452" s="63" t="str">
        <f>IF($A452="","",IFERROR(_xlfn.XLOOKUP($A452,'2_DOI_Lookup'!$A$2:$A$430,'2_DOI_Lookup'!$B$2:$B$430),"NOT IN SOURCE"))</f>
        <v/>
      </c>
    </row>
    <row r="453" spans="1:41" hidden="1" x14ac:dyDescent="0.3">
      <c r="A453" s="8"/>
      <c r="B453" s="9"/>
      <c r="C453" s="8"/>
      <c r="D453" s="9"/>
      <c r="E453" s="9" t="str">
        <f>IF($A453="","",IFERROR(_xlfn.XLOOKUP($A453,'2_DOI_Lookup'!$D$2:$D$430,'2_DOI_Lookup'!$E$2:$E$430),"TITLE NOT IN SOURCE"))</f>
        <v/>
      </c>
      <c r="F453" s="8"/>
      <c r="G453" s="10"/>
      <c r="H453" s="10"/>
      <c r="I453" s="10"/>
      <c r="J453" s="10"/>
      <c r="K453" s="10"/>
      <c r="L453" s="11"/>
      <c r="M453" s="11"/>
      <c r="N453" s="12"/>
      <c r="O453" s="12"/>
      <c r="P453" s="13"/>
      <c r="Q453" s="13"/>
      <c r="R453" s="13"/>
      <c r="S453" s="11"/>
      <c r="T453" s="11"/>
      <c r="U453" s="14"/>
      <c r="V453" s="14"/>
      <c r="W453" s="14"/>
      <c r="X453" s="14"/>
      <c r="Y453" s="11"/>
      <c r="Z453" s="14"/>
      <c r="AA453" s="14"/>
      <c r="AB453" s="14"/>
      <c r="AC453" s="14"/>
      <c r="AD453" s="14"/>
      <c r="AE453" s="14"/>
      <c r="AF453" s="14"/>
      <c r="AG453" s="15"/>
      <c r="AH453" s="35"/>
      <c r="AI453" s="35"/>
      <c r="AK453"/>
      <c r="AM453" s="56"/>
      <c r="AN453" s="57"/>
      <c r="AO453" s="63" t="str">
        <f>IF($A453="","",IFERROR(_xlfn.XLOOKUP($A453,'2_DOI_Lookup'!$A$2:$A$430,'2_DOI_Lookup'!$B$2:$B$430),"NOT IN SOURCE"))</f>
        <v/>
      </c>
    </row>
    <row r="454" spans="1:41" hidden="1" x14ac:dyDescent="0.3">
      <c r="A454" s="8"/>
      <c r="B454" s="9"/>
      <c r="C454" s="8"/>
      <c r="D454" s="9"/>
      <c r="E454" s="9" t="str">
        <f>IF($A454="","",IFERROR(_xlfn.XLOOKUP($A454,'2_DOI_Lookup'!$D$2:$D$430,'2_DOI_Lookup'!$E$2:$E$430),"TITLE NOT IN SOURCE"))</f>
        <v/>
      </c>
      <c r="F454" s="8"/>
      <c r="G454" s="10"/>
      <c r="H454" s="10"/>
      <c r="I454" s="10"/>
      <c r="J454" s="10"/>
      <c r="K454" s="10"/>
      <c r="L454" s="11"/>
      <c r="M454" s="11"/>
      <c r="N454" s="12"/>
      <c r="O454" s="12"/>
      <c r="P454" s="13"/>
      <c r="Q454" s="13"/>
      <c r="R454" s="13"/>
      <c r="S454" s="11"/>
      <c r="T454" s="11"/>
      <c r="U454" s="14"/>
      <c r="V454" s="14"/>
      <c r="W454" s="14"/>
      <c r="X454" s="14"/>
      <c r="Y454" s="11"/>
      <c r="Z454" s="14"/>
      <c r="AA454" s="14"/>
      <c r="AB454" s="14"/>
      <c r="AC454" s="14"/>
      <c r="AD454" s="14"/>
      <c r="AE454" s="14"/>
      <c r="AF454" s="14"/>
      <c r="AG454" s="15"/>
      <c r="AH454" s="35"/>
      <c r="AI454" s="35"/>
      <c r="AK454"/>
      <c r="AM454" s="56"/>
      <c r="AN454" s="57"/>
      <c r="AO454" s="63" t="str">
        <f>IF($A454="","",IFERROR(_xlfn.XLOOKUP($A454,'2_DOI_Lookup'!$A$2:$A$430,'2_DOI_Lookup'!$B$2:$B$430),"NOT IN SOURCE"))</f>
        <v/>
      </c>
    </row>
  </sheetData>
  <autoFilter ref="A4:AO454" xr:uid="{00000000-0001-0000-0200-000000000000}">
    <filterColumn colId="14">
      <filters>
        <filter val="Yes"/>
      </filters>
    </filterColumn>
    <filterColumn colId="18">
      <filters>
        <filter val="INCLUDE"/>
      </filters>
    </filterColumn>
  </autoFilter>
  <phoneticPr fontId="11" type="noConversion"/>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12">
        <x14:dataValidation type="list" allowBlank="1" xr:uid="{00000000-0002-0000-0200-000000000000}">
          <x14:formula1>
            <xm:f>'1_CodeLists'!$B$2:$B$6</xm:f>
          </x14:formula1>
          <x14:formula2>
            <xm:f>0</xm:f>
          </x14:formula2>
          <xm:sqref>F5:F454</xm:sqref>
        </x14:dataValidation>
        <x14:dataValidation type="list" allowBlank="1" xr:uid="{00000000-0002-0000-0200-000001000000}">
          <x14:formula1>
            <xm:f>'1_CodeLists'!$A$2:$A$3</xm:f>
          </x14:formula1>
          <x14:formula2>
            <xm:f>0</xm:f>
          </x14:formula2>
          <xm:sqref>G5:K454 N5:R454</xm:sqref>
        </x14:dataValidation>
        <x14:dataValidation type="list" allowBlank="1" xr:uid="{00000000-0002-0000-0200-00000B000000}">
          <x14:formula1>
            <xm:f>'1_CodeLists'!$D$2:$D$6</xm:f>
          </x14:formula1>
          <x14:formula2>
            <xm:f>0</xm:f>
          </x14:formula2>
          <xm:sqref>U5:U454</xm:sqref>
        </x14:dataValidation>
        <x14:dataValidation type="list" allowBlank="1" xr:uid="{00000000-0002-0000-0200-00000C000000}">
          <x14:formula1>
            <xm:f>'1_CodeLists'!$C$2:$C$3</xm:f>
          </x14:formula1>
          <x14:formula2>
            <xm:f>0</xm:f>
          </x14:formula2>
          <xm:sqref>V5:X454</xm:sqref>
        </x14:dataValidation>
        <x14:dataValidation type="list" allowBlank="1" xr:uid="{00000000-0002-0000-0200-00000F000000}">
          <x14:formula1>
            <xm:f>'1_CodeLists'!$E$2:$E$5</xm:f>
          </x14:formula1>
          <x14:formula2>
            <xm:f>0</xm:f>
          </x14:formula2>
          <xm:sqref>Z5:Z454</xm:sqref>
        </x14:dataValidation>
        <x14:dataValidation type="list" allowBlank="1" xr:uid="{00000000-0002-0000-0200-000010000000}">
          <x14:formula1>
            <xm:f>'1_CodeLists'!$F$2:$F$5</xm:f>
          </x14:formula1>
          <x14:formula2>
            <xm:f>0</xm:f>
          </x14:formula2>
          <xm:sqref>AA5:AA454</xm:sqref>
        </x14:dataValidation>
        <x14:dataValidation type="list" allowBlank="1" xr:uid="{00000000-0002-0000-0200-000011000000}">
          <x14:formula1>
            <xm:f>'1_CodeLists'!$G$2:$G$13</xm:f>
          </x14:formula1>
          <x14:formula2>
            <xm:f>0</xm:f>
          </x14:formula2>
          <xm:sqref>AB5:AB454</xm:sqref>
        </x14:dataValidation>
        <x14:dataValidation type="list" allowBlank="1" xr:uid="{00000000-0002-0000-0200-000012000000}">
          <x14:formula1>
            <xm:f>'1_CodeLists'!$H$2:$H$3</xm:f>
          </x14:formula1>
          <x14:formula2>
            <xm:f>0</xm:f>
          </x14:formula2>
          <xm:sqref>AC5:AC454</xm:sqref>
        </x14:dataValidation>
        <x14:dataValidation type="list" allowBlank="1" xr:uid="{00000000-0002-0000-0200-000014000000}">
          <x14:formula1>
            <xm:f>'1_CodeLists'!$J$2:$J$8</xm:f>
          </x14:formula1>
          <x14:formula2>
            <xm:f>0</xm:f>
          </x14:formula2>
          <xm:sqref>AF5:AF454</xm:sqref>
        </x14:dataValidation>
        <x14:dataValidation type="list" allowBlank="1" showInputMessage="1" showErrorMessage="1" xr:uid="{F44F7FD4-2351-4A9B-B26B-11BDA869C56B}">
          <x14:formula1>
            <xm:f>'1_CodeLists'!$K$2:$K$6</xm:f>
          </x14:formula1>
          <xm:sqref>AJ5:AJ454</xm:sqref>
        </x14:dataValidation>
        <x14:dataValidation type="list" allowBlank="1" showInputMessage="1" showErrorMessage="1" xr:uid="{7FA54CFA-E233-44A0-919D-120119BBD135}">
          <x14:formula1>
            <xm:f>'1_CodeLists'!$L$2:$L$4</xm:f>
          </x14:formula1>
          <xm:sqref>AL5:AL454</xm:sqref>
        </x14:dataValidation>
        <x14:dataValidation type="list" allowBlank="1" showInputMessage="1" showErrorMessage="1" xr:uid="{9544BFD5-4C4B-4F69-9647-CEFA594E6514}">
          <x14:formula1>
            <xm:f>'1_CodeLists'!$I$2:$I$6</xm:f>
          </x14:formula1>
          <xm:sqref>AD5:AD454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8"/>
  <sheetViews>
    <sheetView showGridLines="0" zoomScale="130" zoomScaleNormal="130" workbookViewId="0">
      <selection activeCell="B39" sqref="B39"/>
    </sheetView>
  </sheetViews>
  <sheetFormatPr defaultColWidth="8.6640625" defaultRowHeight="14.4" x14ac:dyDescent="0.3"/>
  <cols>
    <col min="1" max="1" width="46" customWidth="1"/>
    <col min="2" max="2" width="14" customWidth="1"/>
  </cols>
  <sheetData>
    <row r="1" spans="1:2" ht="16.8" x14ac:dyDescent="0.3">
      <c r="A1" s="16" t="s">
        <v>124</v>
      </c>
    </row>
    <row r="3" spans="1:2" x14ac:dyDescent="0.3">
      <c r="A3" s="17" t="s">
        <v>125</v>
      </c>
      <c r="B3" s="6" t="s">
        <v>126</v>
      </c>
    </row>
    <row r="4" spans="1:2" x14ac:dyDescent="0.3">
      <c r="A4" s="18" t="s">
        <v>127</v>
      </c>
      <c r="B4" s="19">
        <f>COUNTA(Matrix!$A$5:$A$454)</f>
        <v>429</v>
      </c>
    </row>
    <row r="5" spans="1:2" x14ac:dyDescent="0.3">
      <c r="A5" s="18" t="s">
        <v>128</v>
      </c>
      <c r="B5" s="19">
        <f>COUNTIF(Matrix!$L$5:$L$454,"INCLUDE")+COUNTIF(Matrix!$L$5:$L$454,"EXCLUDE")</f>
        <v>429</v>
      </c>
    </row>
    <row r="6" spans="1:2" x14ac:dyDescent="0.3">
      <c r="A6" s="18" t="s">
        <v>129</v>
      </c>
      <c r="B6" s="19">
        <f>COUNTIF(Matrix!$L$5:$L$454,"EXCLUDE")</f>
        <v>262</v>
      </c>
    </row>
    <row r="7" spans="1:2" x14ac:dyDescent="0.3">
      <c r="A7" s="20" t="s">
        <v>130</v>
      </c>
      <c r="B7" s="21">
        <f>COUNTIF(Matrix!$L$5:$L$454,"INCLUDE")</f>
        <v>167</v>
      </c>
    </row>
    <row r="8" spans="1:2" x14ac:dyDescent="0.3">
      <c r="A8" s="18" t="s">
        <v>131</v>
      </c>
      <c r="B8" s="19">
        <f>COUNTIFS(Matrix!$L$5:$L$454,"INCLUDE",Matrix!$N$5:$N$454,"Yes")</f>
        <v>165</v>
      </c>
    </row>
    <row r="9" spans="1:2" x14ac:dyDescent="0.3">
      <c r="A9" s="18" t="s">
        <v>132</v>
      </c>
      <c r="B9" s="19">
        <f>COUNTIFS(Matrix!$L$5:$L$454,"INCLUDE",Matrix!$N$5:$N$454,"No")</f>
        <v>2</v>
      </c>
    </row>
    <row r="10" spans="1:2" x14ac:dyDescent="0.3">
      <c r="A10" s="20" t="s">
        <v>133</v>
      </c>
      <c r="B10" s="21">
        <f>COUNTIFS(Matrix!$N$5:$N$454,"Yes",Matrix!$S$5:$S$454,"INCLUDE")+COUNTIFS(Matrix!$N$5:$N$454,"Yes",Matrix!$S$5:$S$454,"EXCLUDE")</f>
        <v>165</v>
      </c>
    </row>
    <row r="11" spans="1:2" x14ac:dyDescent="0.3">
      <c r="A11" s="18" t="s">
        <v>134</v>
      </c>
      <c r="B11" s="19">
        <f>COUNTIF(Matrix!$S$5:$S$454,"EXCLUDE")</f>
        <v>13</v>
      </c>
    </row>
    <row r="12" spans="1:2" x14ac:dyDescent="0.3">
      <c r="A12" s="22" t="s">
        <v>135</v>
      </c>
      <c r="B12" s="23">
        <f>COUNTIF(Matrix!$S$5:$S$454,"INCLUDE")</f>
        <v>152</v>
      </c>
    </row>
    <row r="14" spans="1:2" ht="15.6" x14ac:dyDescent="0.3">
      <c r="A14" s="3" t="s">
        <v>136</v>
      </c>
    </row>
    <row r="15" spans="1:2" x14ac:dyDescent="0.3">
      <c r="A15" s="17" t="s">
        <v>137</v>
      </c>
      <c r="B15" s="6" t="s">
        <v>126</v>
      </c>
    </row>
    <row r="16" spans="1:2" x14ac:dyDescent="0.3">
      <c r="A16" s="18" t="s">
        <v>138</v>
      </c>
      <c r="B16" s="19">
        <f>COUNTIF(Matrix!$M$5:$M$454,"Wrong domain (non-AECO)")</f>
        <v>99</v>
      </c>
    </row>
    <row r="17" spans="1:2" x14ac:dyDescent="0.3">
      <c r="A17" s="18" t="s">
        <v>139</v>
      </c>
      <c r="B17" s="19">
        <f>COUNTIF(Matrix!$M$5:$M$454,"Digital Twin not core / buzzword")</f>
        <v>112</v>
      </c>
    </row>
    <row r="18" spans="1:2" x14ac:dyDescent="0.3">
      <c r="A18" s="18" t="s">
        <v>140</v>
      </c>
      <c r="B18" s="19">
        <f>COUNTIF(Matrix!$M$5:$M$454,"No Design for Safety/Quality/PtD")</f>
        <v>21</v>
      </c>
    </row>
    <row r="19" spans="1:2" x14ac:dyDescent="0.3">
      <c r="A19" s="18" t="s">
        <v>141</v>
      </c>
      <c r="B19" s="19">
        <f>COUNTIF(Matrix!$M$5:$M$454,"Wrong publication type")</f>
        <v>0</v>
      </c>
    </row>
    <row r="20" spans="1:2" x14ac:dyDescent="0.3">
      <c r="A20" s="18" t="s">
        <v>142</v>
      </c>
      <c r="B20" s="19">
        <f>COUNTIF(Matrix!$M$5:$M$454,"Non-English")</f>
        <v>30</v>
      </c>
    </row>
    <row r="21" spans="1:2" x14ac:dyDescent="0.3">
      <c r="A21" s="24" t="s">
        <v>143</v>
      </c>
      <c r="B21" s="25">
        <f>SUM(B16:B20)</f>
        <v>262</v>
      </c>
    </row>
    <row r="23" spans="1:2" ht="15.6" x14ac:dyDescent="0.3">
      <c r="A23" s="3" t="s">
        <v>144</v>
      </c>
    </row>
    <row r="24" spans="1:2" x14ac:dyDescent="0.3">
      <c r="A24" s="17" t="s">
        <v>137</v>
      </c>
      <c r="B24" s="6" t="s">
        <v>126</v>
      </c>
    </row>
    <row r="25" spans="1:2" x14ac:dyDescent="0.3">
      <c r="A25" s="18" t="s">
        <v>145</v>
      </c>
      <c r="B25" s="19">
        <f>COUNTIF(Matrix!$T$5:$T$454,"Digital Twin mentioned only, not the subject")</f>
        <v>10</v>
      </c>
    </row>
    <row r="26" spans="1:2" x14ac:dyDescent="0.3">
      <c r="A26" s="18" t="s">
        <v>146</v>
      </c>
      <c r="B26" s="19">
        <f>COUNTIF(Matrix!$T$5:$T$454,"No Design for Safety/Quality in full text")</f>
        <v>1</v>
      </c>
    </row>
    <row r="27" spans="1:2" x14ac:dyDescent="0.3">
      <c r="A27" s="18" t="s">
        <v>147</v>
      </c>
      <c r="B27" s="19">
        <f>COUNTIF(Matrix!$T$5:$T$454,"Methodology not codable")</f>
        <v>0</v>
      </c>
    </row>
    <row r="28" spans="1:2" x14ac:dyDescent="0.3">
      <c r="A28" s="24" t="s">
        <v>148</v>
      </c>
      <c r="B28" s="25">
        <f>SUM(B25:B27)</f>
        <v>11</v>
      </c>
    </row>
  </sheetData>
  <phoneticPr fontId="11" type="noConversion"/>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260D3-135D-4D50-89AF-5F6D408EBDF9}">
  <dimension ref="A1:Q95"/>
  <sheetViews>
    <sheetView showGridLines="0" tabSelected="1" topLeftCell="A4" zoomScale="127" zoomScaleNormal="145" workbookViewId="0">
      <selection activeCell="D19" sqref="D19"/>
    </sheetView>
  </sheetViews>
  <sheetFormatPr defaultRowHeight="14.4" x14ac:dyDescent="0.3"/>
  <cols>
    <col min="1" max="1" width="82.77734375" bestFit="1" customWidth="1"/>
    <col min="2" max="2" width="96.33203125" customWidth="1"/>
    <col min="16" max="16" width="27.77734375" customWidth="1"/>
  </cols>
  <sheetData>
    <row r="1" spans="5:17" x14ac:dyDescent="0.3">
      <c r="P1" s="36"/>
    </row>
    <row r="2" spans="5:17" x14ac:dyDescent="0.3">
      <c r="P2" s="36"/>
      <c r="Q2" s="36"/>
    </row>
    <row r="8" spans="5:17" x14ac:dyDescent="0.3">
      <c r="P8" s="36"/>
    </row>
    <row r="9" spans="5:17" x14ac:dyDescent="0.3">
      <c r="P9" s="36"/>
      <c r="Q9" s="36"/>
    </row>
    <row r="14" spans="5:17" x14ac:dyDescent="0.3">
      <c r="E14">
        <v>112</v>
      </c>
    </row>
    <row r="15" spans="5:17" x14ac:dyDescent="0.3">
      <c r="E15">
        <v>99</v>
      </c>
    </row>
    <row r="16" spans="5:17" x14ac:dyDescent="0.3">
      <c r="E16">
        <v>30</v>
      </c>
    </row>
    <row r="17" spans="5:5" x14ac:dyDescent="0.3">
      <c r="E17">
        <v>21</v>
      </c>
    </row>
    <row r="58" spans="1:2" x14ac:dyDescent="0.3">
      <c r="A58" s="38" t="s">
        <v>1050</v>
      </c>
      <c r="B58" s="39"/>
    </row>
    <row r="59" spans="1:2" x14ac:dyDescent="0.3">
      <c r="A59" s="40" t="s">
        <v>1051</v>
      </c>
      <c r="B59" s="40" t="s">
        <v>1052</v>
      </c>
    </row>
    <row r="60" spans="1:2" x14ac:dyDescent="0.3">
      <c r="A60" s="41" t="s">
        <v>1053</v>
      </c>
      <c r="B60" s="41" t="str">
        <f>"Records identified from databases"&amp;CHAR(10)&amp;"(Scopus · Web of Science)"&amp;CHAR(10)&amp;"n = "&amp;TEXT(Step1_Report!$B$4,"0")</f>
        <v>Records identified from databases
(Scopus · Web of Science)
n = 429</v>
      </c>
    </row>
    <row r="61" spans="1:2" x14ac:dyDescent="0.3">
      <c r="A61" s="41" t="s">
        <v>1054</v>
      </c>
      <c r="B61" s="41" t="str">
        <f>"Records screened at Stage 1"&amp;CHAR(10)&amp;"(title &amp; abstract)"&amp;CHAR(10)&amp;"n = "&amp;TEXT(Step1_Report!$B$5,"0")</f>
        <v>Records screened at Stage 1
(title &amp; abstract)
n = 429</v>
      </c>
    </row>
    <row r="62" spans="1:2" x14ac:dyDescent="0.3">
      <c r="A62" s="41" t="s">
        <v>1055</v>
      </c>
      <c r="B62" s="41" t="str">
        <f>"Records excluded at Stage 1   n = "&amp;TEXT(Step1_Report!$B$6,"0")&amp;CHAR(10)&amp;"• "&amp;Step1_Report!$A$17&amp;": "&amp;TEXT(Step1_Report!$B$17,"0")&amp;CHAR(10)&amp;"• "&amp;Step1_Report!$A$16&amp;": "&amp;TEXT(Step1_Report!$B$16,"0")&amp;CHAR(10)&amp;"• "&amp;Step1_Report!$A$20&amp;": "&amp;TEXT(Step1_Report!$B$20,"0")&amp;CHAR(10)&amp;"• "&amp;Step1_Report!$A$18&amp;": "&amp;TEXT(Step1_Report!$B$18,"0")&amp;CHAR(10)&amp;"• "&amp;Step1_Report!$A$19&amp;": "&amp;TEXT(Step1_Report!$B$19,"0")</f>
        <v>Records excluded at Stage 1   n = 262
• Digital Twin not core / buzzword: 112
• Wrong domain (non-AECO): 99
• Non-English: 30
• No Design for Safety/Quality/PtD: 21
• Wrong publication type: 0</v>
      </c>
    </row>
    <row r="63" spans="1:2" x14ac:dyDescent="0.3">
      <c r="A63" s="41" t="s">
        <v>1056</v>
      </c>
      <c r="B63" s="41" t="str">
        <f>"Reports sought for retrieval"&amp;CHAR(10)&amp;"n = "&amp;TEXT(Step1_Report!$B$7,"0")</f>
        <v>Reports sought for retrieval
n = 167</v>
      </c>
    </row>
    <row r="64" spans="1:2" x14ac:dyDescent="0.3">
      <c r="A64" s="41" t="s">
        <v>1057</v>
      </c>
      <c r="B64" s="41" t="str">
        <f>"Reports not retrieved"&amp;CHAR(10)&amp;"(full-text PDF not on hand)"&amp;CHAR(10)&amp;"n = "&amp;TEXT(Step1_Report!$B$7-Step1_Report!$B$10,"0")</f>
        <v>Reports not retrieved
(full-text PDF not on hand)
n = 2</v>
      </c>
    </row>
    <row r="65" spans="1:2" x14ac:dyDescent="0.3">
      <c r="A65" s="41" t="s">
        <v>1058</v>
      </c>
      <c r="B65" s="41" t="str">
        <f>"Reports assessed for eligibility"&amp;CHAR(10)&amp;"(Stage 2 — full text)"&amp;CHAR(10)&amp;"n = "&amp;TEXT(Step1_Report!$B$10,"0")</f>
        <v>Reports assessed for eligibility
(Stage 2 — full text)
n = 165</v>
      </c>
    </row>
    <row r="66" spans="1:2" x14ac:dyDescent="0.3">
      <c r="A66" s="41" t="s">
        <v>1059</v>
      </c>
      <c r="B66" s="41" t="str">
        <f>"Reports excluded at Stage 2   n = "&amp;TEXT(Step1_Report!$B$11,"0")&amp;CHAR(10)&amp;"• "&amp;Step1_Report!$A$25&amp;": "&amp;TEXT(Step1_Report!$B$25,"0")&amp;CHAR(10)&amp;"• "&amp;Step1_Report!$A$26&amp;": "&amp;TEXT(Step1_Report!$B$26,"0")&amp;CHAR(10)&amp;"• "&amp;Step1_Report!$A$27&amp;": "&amp;TEXT(Step1_Report!$B$27,"0")</f>
        <v>Reports excluded at Stage 2   n = 13
• Digital Twin mentioned only, not the subject: 10
• No Design for Safety/Quality in full text: 1
• Methodology not codable: 0</v>
      </c>
    </row>
    <row r="67" spans="1:2" x14ac:dyDescent="0.3">
      <c r="A67" s="41" t="s">
        <v>1060</v>
      </c>
      <c r="B67" s="41" t="str">
        <f>"STUDIES INCLUDED IN SYNTHESIS"&amp;CHAR(10)&amp;"n = "&amp;TEXT(Step1_Report!$B$12,"0")</f>
        <v>STUDIES INCLUDED IN SYNTHESIS
n = 152</v>
      </c>
    </row>
    <row r="68" spans="1:2" x14ac:dyDescent="0.3">
      <c r="A68" s="41" t="s">
        <v>1061</v>
      </c>
      <c r="B68" s="41" t="str">
        <f>"Characteristics of the "&amp;TEXT(Step3_Report!$B$2,"0")&amp;" included studies"</f>
        <v>Characteristics of the 152 included studies</v>
      </c>
    </row>
    <row r="69" spans="1:2" x14ac:dyDescent="0.3">
      <c r="A69" s="40" t="s">
        <v>1062</v>
      </c>
      <c r="B69" s="41" t="str">
        <f>"Digital Twin capability tier (Gap 1)"&amp;CHAR(10)&amp;"• Tier 1 – Digital Model: "&amp;TEXT(Step3_Report!$B$6,"0")&amp;"  ("&amp;TEXT(Step3_Report!$C$6,"0.0%")&amp;")"&amp;CHAR(10)&amp;"• Tier 2 – Digital Shadow: "&amp;TEXT(Step3_Report!$B$7,"0")&amp;"  ("&amp;TEXT(Step3_Report!$C$7,"0.0%")&amp;")"&amp;CHAR(10)&amp;"• Tier 3 – Digital Twin: "&amp;TEXT(Step3_Report!$B$8,"0")&amp;"  ("&amp;TEXT(Step3_Report!$C$8,"0.0%")&amp;")"&amp;CHAR(10)&amp;"• Tier 4 – Cognitive: "&amp;TEXT(Step3_Report!$B$9,"0")&amp;"  ("&amp;TEXT(Step3_Report!$C$9,"0.0%")&amp;")"&amp;CHAR(10)&amp;"• Unclear: "&amp;TEXT(Step3_Report!$B$10,"0")&amp;"  ("&amp;TEXT(Step3_Report!$C$10,"0.0%")&amp;")"</f>
        <v>Digital Twin capability tier (Gap 1)
• Tier 1 – Digital Model: 31  (20.4%)
• Tier 2 – Digital Shadow: 92  (60.5%)
• Tier 3 – Digital Twin: 21  (13.8%)
• Tier 4 – Cognitive: 0  (0.0%)
• Unclear: 8  (5.3%)</v>
      </c>
    </row>
    <row r="70" spans="1:2" x14ac:dyDescent="0.3">
      <c r="A70" s="40" t="s">
        <v>1063</v>
      </c>
      <c r="B70" s="41" t="str">
        <f>Step3_Report!$A$13&amp;CHAR(10)&amp;"• None: "&amp;TEXT(Step3_Report!$B$15,"0")&amp;"  ("&amp;TEXT(Step3_Report!$C$15,"0.0%")&amp;")"&amp;CHAR(10)&amp;"• Mentioned only: "&amp;TEXT(Step3_Report!$B$16,"0")&amp;"  ("&amp;TEXT(Step3_Report!$C$16,"0.0%")&amp;")"&amp;CHAR(10)&amp;"• Implemented: "&amp;TEXT(Step3_Report!$B$17,"0")&amp;"  ("&amp;TEXT(Step3_Report!$C$17,"0.0%")&amp;")"&amp;CHAR(10)&amp;"• Convergence-characterised: "&amp;TEXT(Step3_Report!$B$18,"0")&amp;"  ("&amp;TEXT(Step3_Report!$C$18,"0.0%")&amp;")"</f>
        <v>Self-improvement / convergence (Gap 4 - core gap)
• None: 138  (90.8%)
• Mentioned only: 10  (6.6%)
• Implemented: 4  (2.6%)
• Convergence-characterised: 0  (0.0%)</v>
      </c>
    </row>
    <row r="71" spans="1:2" x14ac:dyDescent="0.3">
      <c r="A71" s="40" t="s">
        <v>1064</v>
      </c>
      <c r="B71" s="41" t="str">
        <f>Step3_Report!$A$35&amp;CHAR(10)&amp;"• "&amp;Step3_Report!$A$37&amp;": "&amp;TEXT(Step3_Report!$B$37,"0")&amp;"  ("&amp;TEXT(Step3_Report!$C$37,"0.0%")&amp;")"&amp;CHAR(10)&amp;"• "&amp;Step3_Report!$A$38&amp;": "&amp;TEXT(Step3_Report!$B$38,"0")&amp;"  ("&amp;TEXT(Step3_Report!$C$38,"0.0%")&amp;")"&amp;CHAR(10)&amp;"• "&amp;Step3_Report!$A$39&amp;": "&amp;TEXT(Step3_Report!$B$39,"0")&amp;"  ("&amp;TEXT(Step3_Report!$C$39,"0.0%")&amp;")"&amp;CHAR(10)&amp;"• "&amp;Step3_Report!$A$40&amp;": "&amp;TEXT(Step3_Report!$B$40,"0")&amp;"  ("&amp;TEXT(Step3_Report!$C$40,"0.0%")&amp;")"&amp;CHAR(10)&amp;"• "&amp;Step3_Report!$A$41&amp;": "&amp;TEXT(Step3_Report!$B$41,"0")&amp;"  ("&amp;TEXT(Step3_Report!$C$41,"0.0%")&amp;")"</f>
        <v>Validation level (Gap 5)
• Conceptual (no test): 19  (12.5%)
• Simulation: 16  (10.5%)
• Lab / scale-model experiment: 5  (3.3%)
• Single case study: 104  (68.4%)
• Cross-project (multiple real projects): 8  (5.3%)</v>
      </c>
    </row>
    <row r="72" spans="1:2" x14ac:dyDescent="0.3">
      <c r="A72" s="40" t="s">
        <v>1065</v>
      </c>
      <c r="B72" s="41" t="str">
        <f>"Lifecycle phase coverage (Gap 3)"&amp;CHAR(10)&amp;"• Design (any): "&amp;TEXT(Step3_Report!$B$62,"0")&amp;CHAR(10)&amp;"• Construction (any): "&amp;TEXT(Step3_Report!$B$63,"0")&amp;CHAR(10)&amp;"• Operation (any): "&amp;TEXT(Step3_Report!$B$64,"0")&amp;CHAR(10)&amp;"• Single-phase: "&amp;TEXT(Step3_Report!$B$65,"0")&amp;CHAR(10)&amp;"• Multi-phase (cross-phase): "&amp;TEXT(Step3_Report!$B$66,"0")</f>
        <v>Lifecycle phase coverage (Gap 3)
• Design (any): 5
• Construction (any): 82
• Operation (any): 72
• Single-phase: 147
• Multi-phase (cross-phase): 5</v>
      </c>
    </row>
    <row r="73" spans="1:2" x14ac:dyDescent="0.3">
      <c r="A73" s="41" t="s">
        <v>97</v>
      </c>
      <c r="B73" s="41" t="str">
        <f>"PRISMA 2020 flow diagram — Digital Twins for Design for Safety &amp; Quality in AECO"</f>
        <v>PRISMA 2020 flow diagram — Digital Twins for Design for Safety &amp; Quality in AECO</v>
      </c>
    </row>
    <row r="74" spans="1:2" x14ac:dyDescent="0.3">
      <c r="A74" t="s">
        <v>1066</v>
      </c>
      <c r="B74" t="s">
        <v>1897</v>
      </c>
    </row>
    <row r="75" spans="1:2" x14ac:dyDescent="0.3">
      <c r="A75" s="40" t="s">
        <v>1068</v>
      </c>
      <c r="B75" s="37" t="str">
        <f>Step3_Report!$A$29&amp;CHAR(10)&amp;"• Single (one data type): "&amp;TEXT(Step3_Report!$B$31,"0")&amp;"  ("&amp;TEXT(Step3_Report!$C$31,"0.0%")&amp;")"&amp;CHAR(10)&amp;"• Multi (two or more data types): "&amp;TEXT(Step3_Report!$B$32,"0")&amp;"  ("&amp;TEXT(Step3_Report!$C$32,"0.0%")&amp;")"</f>
        <v>Data modality (Gap 2)
• Single (one data type): 16  (10.5%)
• Multi (two or more data types): 136  (89.5%)</v>
      </c>
    </row>
    <row r="76" spans="1:2" x14ac:dyDescent="0.3">
      <c r="A76" s="40" t="s">
        <v>1249</v>
      </c>
      <c r="B76" s="37" t="str">
        <f>Step3_Report!$A$88&amp;CHAR(10)&amp;"• Single: "&amp;TEXT(Step3_Report!$B$90,"0")&amp;"  ("&amp;TEXT(Step3_Report!$C$90,"0.0%")&amp;")"&amp;CHAR(10)&amp;"• Co-present: "&amp;TEXT(Step3_Report!$B$91,"0")&amp;"  ("&amp;TEXT(Step3_Report!$C$91,"0.0%")&amp;")"&amp;CHAR(10)&amp;"• Aligned: "&amp;TEXT(Step3_Report!$B$92,"0")&amp;"  ("&amp;TEXT(Step3_Report!$C$92,"0.0%")&amp;")"&amp;CHAR(10)&amp;"• Fused: "&amp;TEXT(Step3_Report!$B$93,"0")&amp;"  ("&amp;TEXT(Step3_Report!$C$93,"0.0%")&amp;")"&amp;CHAR(10)&amp;"• Unclear: "&amp;TEXT(Step3_Report!$B$94,"0")&amp;"  ("&amp;TEXT(Step3_Report!$C$94,"0.0%")&amp;")"</f>
        <v>Fusion depth (Gap 2b - how deeply are the data types actually integrated?)
• Single: 19  (12.5%)
• Co-present: 3  (2.0%)
• Aligned: 40  (26.3%)
• Fused: 71  (46.7%)
• Unclear: 19  (12.5%)</v>
      </c>
    </row>
    <row r="77" spans="1:2" x14ac:dyDescent="0.3">
      <c r="A77" s="40" t="s">
        <v>1250</v>
      </c>
      <c r="B77" s="37" t="str">
        <f>Step3_Report!$A$113</f>
        <v>Even among the 71 Fused studies, 67 (94.4%) implement no self-improvement and 0 characterise convergence - deep data integration does NOT translate into adaptive capability.</v>
      </c>
    </row>
    <row r="79" spans="1:2" x14ac:dyDescent="0.3">
      <c r="A79" s="40" t="s">
        <v>1898</v>
      </c>
    </row>
    <row r="80" spans="1:2" x14ac:dyDescent="0.3">
      <c r="A80" s="36" t="s">
        <v>1899</v>
      </c>
      <c r="B80" s="36" t="s">
        <v>1900</v>
      </c>
    </row>
    <row r="81" spans="1:2" x14ac:dyDescent="0.3">
      <c r="A81" t="s">
        <v>1901</v>
      </c>
      <c r="B81" t="str">
        <f>"1st screening by title &amp; abstract"&amp;CHAR(10)&amp;"n = "&amp;TEXT(Step1_Report!$B$5,"0")</f>
        <v>1st screening by title &amp; abstract
n = 429</v>
      </c>
    </row>
    <row r="82" spans="1:2" x14ac:dyDescent="0.3">
      <c r="A82" t="s">
        <v>1902</v>
      </c>
      <c r="B82" t="str">
        <f>"Reports sought for retrieval"&amp;CHAR(10)&amp;"n = "&amp;TEXT(Step1_Report!$B$7,"0")</f>
        <v>Reports sought for retrieval
n = 167</v>
      </c>
    </row>
    <row r="83" spans="1:2" x14ac:dyDescent="0.3">
      <c r="A83" t="s">
        <v>1903</v>
      </c>
      <c r="B83" t="str">
        <f>"Reports assessed for eligibility"&amp;CHAR(10)&amp;"n = "&amp;TEXT(Step1_Report!$B$10,"0")</f>
        <v>Reports assessed for eligibility
n = 165</v>
      </c>
    </row>
    <row r="84" spans="1:2" x14ac:dyDescent="0.3">
      <c r="A84" t="s">
        <v>1904</v>
      </c>
      <c r="B84" t="str">
        <f>"Studies Included In Synthesis (n = "&amp;TEXT(Step1_Report!$B$12,"0")&amp;")"</f>
        <v>Studies Included In Synthesis (n = 152)</v>
      </c>
    </row>
    <row r="85" spans="1:2" x14ac:dyDescent="0.3">
      <c r="A85" t="s">
        <v>1905</v>
      </c>
      <c r="B85" t="str">
        <f>"Records excluded in 1st screening (n = "&amp;TEXT(Step1_Report!$B$6,"0")&amp;")"&amp;CHAR(10)&amp;"1. Digital Twin not core / buzzword: a = "&amp;TEXT(Step1_Report!$B$17,"0")&amp;CHAR(10)&amp;"2. Wrong domain (non-AECO): b = "&amp;TEXT(Step1_Report!$B$16,"0")&amp;CHAR(10)&amp;"3. Non-English: c = "&amp;TEXT(Step1_Report!$B$20,"0")&amp;CHAR(10)&amp;"4. No DfS/DfQ: d = "&amp;TEXT(Step1_Report!$B$18,"0")</f>
        <v>Records excluded in 1st screening (n = 262)
1. Digital Twin not core / buzzword: a = 112
2. Wrong domain (non-AECO): b = 99
3. Non-English: c = 30
4. No DfS/DfQ: d = 21</v>
      </c>
    </row>
    <row r="86" spans="1:2" x14ac:dyDescent="0.3">
      <c r="A86" t="s">
        <v>1906</v>
      </c>
      <c r="B86" t="str">
        <f>"2nd screening (n = "&amp;TEXT(Step1_Report!$B$7-Step1_Report!$B$10,"0")&amp;")"&amp;CHAR(10)&amp;"1. full-text PDF not retrieved: a = "&amp;TEXT(Step1_Report!$B$9-2,"0")&amp;CHAR(10)&amp;"2. 2nd deduplication: b = 2"</f>
        <v>2nd screening (n = 2)
1. full-text PDF not retrieved: a = 0
2. 2nd deduplication: b = 2</v>
      </c>
    </row>
    <row r="87" spans="1:2" x14ac:dyDescent="0.3">
      <c r="A87" t="s">
        <v>1907</v>
      </c>
      <c r="B87" t="str">
        <f>"Reports excluded at 2nd screening (n = "&amp;TEXT(Step1_Report!$B$11,"0")&amp;")"&amp;CHAR(10)&amp;"1. Digital Twin not core / buzzword: a = "&amp;TEXT(Step1_Report!$B$25,"0")&amp;CHAR(10)&amp;"2. No DfS/DfQ: b = "&amp;TEXT(Step1_Report!$B$26,"0")</f>
        <v>Reports excluded at 2nd screening (n = 13)
1. Digital Twin not core / buzzword: a = 10
2. No DfS/DfQ: b = 1</v>
      </c>
    </row>
    <row r="88" spans="1:2" x14ac:dyDescent="0.3">
      <c r="A88" t="s">
        <v>1908</v>
      </c>
      <c r="B88" t="str">
        <f>$B$69</f>
        <v>Digital Twin capability tier (Gap 1)
• Tier 1 – Digital Model: 31  (20.4%)
• Tier 2 – Digital Shadow: 92  (60.5%)
• Tier 3 – Digital Twin: 21  (13.8%)
• Tier 4 – Cognitive: 0  (0.0%)
• Unclear: 8  (5.3%)</v>
      </c>
    </row>
    <row r="89" spans="1:2" x14ac:dyDescent="0.3">
      <c r="A89" t="s">
        <v>1909</v>
      </c>
      <c r="B89" t="str">
        <f>$B$70</f>
        <v>Self-improvement / convergence (Gap 4 - core gap)
• None: 138  (90.8%)
• Mentioned only: 10  (6.6%)
• Implemented: 4  (2.6%)
• Convergence-characterised: 0  (0.0%)</v>
      </c>
    </row>
    <row r="90" spans="1:2" x14ac:dyDescent="0.3">
      <c r="A90" t="s">
        <v>1910</v>
      </c>
      <c r="B90" t="str">
        <f>$B$71</f>
        <v>Validation level (Gap 5)
• Conceptual (no test): 19  (12.5%)
• Simulation: 16  (10.5%)
• Lab / scale-model experiment: 5  (3.3%)
• Single case study: 104  (68.4%)
• Cross-project (multiple real projects): 8  (5.3%)</v>
      </c>
    </row>
    <row r="91" spans="1:2" x14ac:dyDescent="0.3">
      <c r="A91" t="s">
        <v>1911</v>
      </c>
      <c r="B91" t="str">
        <f>$B$72</f>
        <v>Lifecycle phase coverage (Gap 3)
• Design (any): 5
• Construction (any): 82
• Operation (any): 72
• Single-phase: 147
• Multi-phase (cross-phase): 5</v>
      </c>
    </row>
    <row r="92" spans="1:2" x14ac:dyDescent="0.3">
      <c r="A92" t="s">
        <v>1912</v>
      </c>
      <c r="B92" t="str">
        <f>$B$75</f>
        <v>Data modality (Gap 2)
• Single (one data type): 16  (10.5%)
• Multi (two or more data types): 136  (89.5%)</v>
      </c>
    </row>
    <row r="93" spans="1:2" x14ac:dyDescent="0.3">
      <c r="A93" t="s">
        <v>1913</v>
      </c>
      <c r="B93" t="str">
        <f>$B$76</f>
        <v>Fusion depth (Gap 2b - how deeply are the data types actually integrated?)
• Single: 19  (12.5%)
• Co-present: 3  (2.0%)
• Aligned: 40  (26.3%)
• Fused: 71  (46.7%)
• Unclear: 19  (12.5%)</v>
      </c>
    </row>
    <row r="94" spans="1:2" x14ac:dyDescent="0.3">
      <c r="A94" t="s">
        <v>1914</v>
      </c>
      <c r="B94" t="str">
        <f>$B$77</f>
        <v>Even among the 71 Fused studies, 67 (94.4%) implement no self-improvement and 0 characterise convergence - deep data integration does NOT translate into adaptive capability.</v>
      </c>
    </row>
    <row r="95" spans="1:2" x14ac:dyDescent="0.3">
      <c r="A95" t="s">
        <v>1915</v>
      </c>
      <c r="B95" t="str">
        <f>$B$73</f>
        <v>PRISMA 2020 flow diagram — Digital Twins for Design for Safety &amp; Quality in AECO</v>
      </c>
    </row>
  </sheetData>
  <phoneticPr fontId="1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13"/>
  <sheetViews>
    <sheetView showGridLines="0" topLeftCell="A30" zoomScale="115" zoomScaleNormal="115" workbookViewId="0">
      <selection activeCell="D28" sqref="D28"/>
    </sheetView>
  </sheetViews>
  <sheetFormatPr defaultColWidth="8.6640625" defaultRowHeight="14.4" x14ac:dyDescent="0.3"/>
  <cols>
    <col min="1" max="1" width="42" style="36" customWidth="1"/>
    <col min="2" max="2" width="10" style="36" customWidth="1"/>
    <col min="3" max="3" width="12" style="36" customWidth="1"/>
    <col min="4" max="4" width="22.44140625" style="36" customWidth="1"/>
    <col min="5" max="5" width="14.33203125" style="36" customWidth="1"/>
    <col min="6" max="16384" width="8.6640625" style="36"/>
  </cols>
  <sheetData>
    <row r="1" spans="1:3" ht="16.8" x14ac:dyDescent="0.3">
      <c r="A1" s="103" t="s">
        <v>149</v>
      </c>
    </row>
    <row r="2" spans="1:3" x14ac:dyDescent="0.3">
      <c r="A2" s="104" t="s">
        <v>150</v>
      </c>
      <c r="B2" s="105">
        <f>COUNTIF(Matrix!$S$5:$S$454,"INCLUDE")</f>
        <v>152</v>
      </c>
    </row>
    <row r="4" spans="1:3" ht="15.6" x14ac:dyDescent="0.3">
      <c r="A4" s="109" t="s">
        <v>151</v>
      </c>
      <c r="B4"/>
      <c r="C4"/>
    </row>
    <row r="5" spans="1:3" x14ac:dyDescent="0.3">
      <c r="A5" s="110" t="s">
        <v>1466</v>
      </c>
      <c r="B5" s="110" t="s">
        <v>126</v>
      </c>
      <c r="C5" s="110" t="s">
        <v>153</v>
      </c>
    </row>
    <row r="6" spans="1:3" x14ac:dyDescent="0.3">
      <c r="A6" s="111" t="s">
        <v>52</v>
      </c>
      <c r="B6" s="112">
        <f>COUNTIFS(Matrix!$S$5:$S$454,"INCLUDE",Matrix!$U$5:$U$454,"Tier 1 - Digital Model (static, no live data)")</f>
        <v>31</v>
      </c>
      <c r="C6" s="113">
        <f>IF($B$2=0,"-",B6/$B$2)</f>
        <v>0.20394736842105263</v>
      </c>
    </row>
    <row r="7" spans="1:3" x14ac:dyDescent="0.3">
      <c r="A7" s="111" t="s">
        <v>61</v>
      </c>
      <c r="B7" s="112">
        <f>COUNTIFS(Matrix!$S$5:$S$454,"INCLUDE",Matrix!$U$5:$U$454,"Tier 2 - Digital Shadow (one-way physical to virtual)")</f>
        <v>92</v>
      </c>
      <c r="C7" s="113">
        <f>IF($B$2=0,"-",B7/$B$2)</f>
        <v>0.60526315789473684</v>
      </c>
    </row>
    <row r="8" spans="1:3" x14ac:dyDescent="0.3">
      <c r="A8" s="111" t="s">
        <v>68</v>
      </c>
      <c r="B8" s="112">
        <f>COUNTIFS(Matrix!$S$5:$S$454,"INCLUDE",Matrix!$U$5:$U$454,"Tier 3 - Digital Twin (bidirectional, two-way)")</f>
        <v>21</v>
      </c>
      <c r="C8" s="113">
        <f>IF($B$2=0,"-",B8/$B$2)</f>
        <v>0.13815789473684212</v>
      </c>
    </row>
    <row r="9" spans="1:3" x14ac:dyDescent="0.3">
      <c r="A9" s="111" t="s">
        <v>75</v>
      </c>
      <c r="B9" s="112">
        <f>COUNTIFS(Matrix!$S$5:$S$454,"INCLUDE",Matrix!$U$5:$U$454,"Tier 4 - Cognitive / Self-improving")</f>
        <v>0</v>
      </c>
      <c r="C9" s="113">
        <f>IF($B$2=0,"-",B9/$B$2)</f>
        <v>0</v>
      </c>
    </row>
    <row r="10" spans="1:3" x14ac:dyDescent="0.3">
      <c r="A10" s="111" t="s">
        <v>82</v>
      </c>
      <c r="B10" s="112">
        <f>COUNTIFS(Matrix!$S$5:$S$454,"INCLUDE",Matrix!$U$5:$U$454,"Unclear")</f>
        <v>8</v>
      </c>
      <c r="C10" s="113">
        <f>IF($B$2=0,"-",B10/$B$2)</f>
        <v>5.2631578947368418E-2</v>
      </c>
    </row>
    <row r="11" spans="1:3" x14ac:dyDescent="0.3">
      <c r="A11" s="116"/>
      <c r="B11" s="117">
        <f>SUM(B6:B10)</f>
        <v>152</v>
      </c>
      <c r="C11" s="114"/>
    </row>
    <row r="13" spans="1:3" ht="15.6" x14ac:dyDescent="0.3">
      <c r="A13" s="109" t="s">
        <v>1067</v>
      </c>
      <c r="B13"/>
      <c r="C13"/>
    </row>
    <row r="14" spans="1:3" x14ac:dyDescent="0.3">
      <c r="A14" s="110" t="s">
        <v>152</v>
      </c>
      <c r="B14" s="110" t="s">
        <v>126</v>
      </c>
      <c r="C14" s="110" t="s">
        <v>153</v>
      </c>
    </row>
    <row r="15" spans="1:3" x14ac:dyDescent="0.3">
      <c r="A15" s="111" t="s">
        <v>53</v>
      </c>
      <c r="B15" s="112">
        <f>COUNTIFS(Matrix!$S$5:$S$454,"INCLUDE",Matrix!$AA$5:$AA$454,"None")</f>
        <v>138</v>
      </c>
      <c r="C15" s="113">
        <f>IF($B$2=0,"-",B15/$B$2)</f>
        <v>0.90789473684210531</v>
      </c>
    </row>
    <row r="16" spans="1:3" x14ac:dyDescent="0.3">
      <c r="A16" s="111" t="s">
        <v>62</v>
      </c>
      <c r="B16" s="112">
        <f>COUNTIFS(Matrix!$S$5:$S$454,"INCLUDE",Matrix!$AA$5:$AA$454,"Mentioned only")</f>
        <v>10</v>
      </c>
      <c r="C16" s="113">
        <f>IF($B$2=0,"-",B16/$B$2)</f>
        <v>6.5789473684210523E-2</v>
      </c>
    </row>
    <row r="17" spans="1:5" x14ac:dyDescent="0.3">
      <c r="A17" s="111" t="s">
        <v>70</v>
      </c>
      <c r="B17" s="112">
        <f>COUNTIFS(Matrix!$S$5:$S$454,"INCLUDE",Matrix!$AA$5:$AA$454,"Implemented")</f>
        <v>4</v>
      </c>
      <c r="C17" s="113">
        <f>IF($B$2=0,"-",B17/$B$2)</f>
        <v>2.6315789473684209E-2</v>
      </c>
    </row>
    <row r="18" spans="1:5" x14ac:dyDescent="0.3">
      <c r="A18" s="111" t="s">
        <v>77</v>
      </c>
      <c r="B18" s="112">
        <f>COUNTIFS(Matrix!$S$5:$S$454,"INCLUDE",Matrix!$AA$5:$AA$454,"Convergence-characterised")</f>
        <v>0</v>
      </c>
      <c r="C18" s="113">
        <f>IF($B$2=0,"-",B18/$B$2)</f>
        <v>0</v>
      </c>
      <c r="D18"/>
      <c r="E18"/>
    </row>
    <row r="19" spans="1:5" x14ac:dyDescent="0.3">
      <c r="A19" s="116"/>
      <c r="B19" s="117">
        <f>SUM(B15:B18)</f>
        <v>152</v>
      </c>
      <c r="C19" s="120" t="str">
        <f>IF(B19=$B$2,"OK","MISMATCH")</f>
        <v>OK</v>
      </c>
      <c r="D19"/>
      <c r="E19"/>
    </row>
    <row r="20" spans="1:5" x14ac:dyDescent="0.3">
      <c r="A20"/>
      <c r="B20"/>
      <c r="C20"/>
      <c r="D20"/>
      <c r="E20"/>
    </row>
    <row r="21" spans="1:5" ht="15.6" x14ac:dyDescent="0.3">
      <c r="A21" s="109" t="s">
        <v>154</v>
      </c>
      <c r="B21"/>
      <c r="C21"/>
      <c r="D21"/>
      <c r="E21"/>
    </row>
    <row r="22" spans="1:5" x14ac:dyDescent="0.3">
      <c r="A22" s="110" t="s">
        <v>152</v>
      </c>
      <c r="B22" s="110" t="s">
        <v>126</v>
      </c>
      <c r="C22" s="110" t="s">
        <v>153</v>
      </c>
      <c r="D22"/>
      <c r="E22"/>
    </row>
    <row r="23" spans="1:5" x14ac:dyDescent="0.3">
      <c r="A23" s="111" t="s">
        <v>9</v>
      </c>
      <c r="B23" s="112">
        <f>COUNTIFS(Matrix!$S$5:$S$454,"INCLUDE",Matrix!$Z$5:$Z$454,"Design for Safety (DfS)")</f>
        <v>134</v>
      </c>
      <c r="C23" s="113">
        <f>IF($B$2=0,"-",B23/$B$2)</f>
        <v>0.88157894736842102</v>
      </c>
      <c r="D23"/>
      <c r="E23"/>
    </row>
    <row r="24" spans="1:5" x14ac:dyDescent="0.3">
      <c r="A24" s="111" t="s">
        <v>11</v>
      </c>
      <c r="B24" s="112">
        <f>COUNTIFS(Matrix!$S$5:$S$454,"INCLUDE",Matrix!$Z$5:$Z$454,"Design for Quality (DfQ)")</f>
        <v>10</v>
      </c>
      <c r="C24" s="113">
        <f>IF($B$2=0,"-",B24/$B$2)</f>
        <v>6.5789473684210523E-2</v>
      </c>
      <c r="D24"/>
      <c r="E24"/>
    </row>
    <row r="25" spans="1:5" x14ac:dyDescent="0.3">
      <c r="A25" s="111" t="s">
        <v>69</v>
      </c>
      <c r="B25" s="112">
        <f>COUNTIFS(Matrix!$S$5:$S$454,"INCLUDE",Matrix!$Z$5:$Z$454,"Both")</f>
        <v>8</v>
      </c>
      <c r="C25" s="113">
        <f>IF($B$2=0,"-",B25/$B$2)</f>
        <v>5.2631578947368418E-2</v>
      </c>
      <c r="D25"/>
      <c r="E25"/>
    </row>
    <row r="26" spans="1:5" x14ac:dyDescent="0.3">
      <c r="A26" s="111" t="s">
        <v>76</v>
      </c>
      <c r="B26" s="112">
        <f>COUNTIFS(Matrix!$S$5:$S$454,"INCLUDE",Matrix!$Z$5:$Z$454,"Other")</f>
        <v>0</v>
      </c>
      <c r="C26" s="113">
        <f>IF($B$2=0,"-",B26/$B$2)</f>
        <v>0</v>
      </c>
      <c r="D26"/>
      <c r="E26"/>
    </row>
    <row r="27" spans="1:5" x14ac:dyDescent="0.3">
      <c r="A27" s="116"/>
      <c r="B27" s="117">
        <f>SUM(B23:B26)</f>
        <v>152</v>
      </c>
      <c r="C27" s="120" t="str">
        <f>IF(B27=$B$2,"OK","MISMATCH")</f>
        <v>OK</v>
      </c>
      <c r="D27"/>
      <c r="E27"/>
    </row>
    <row r="28" spans="1:5" x14ac:dyDescent="0.3">
      <c r="A28"/>
      <c r="B28"/>
      <c r="C28"/>
      <c r="D28"/>
      <c r="E28"/>
    </row>
    <row r="29" spans="1:5" ht="15.6" x14ac:dyDescent="0.3">
      <c r="A29" s="109" t="s">
        <v>155</v>
      </c>
      <c r="B29"/>
      <c r="C29"/>
      <c r="D29"/>
      <c r="E29"/>
    </row>
    <row r="30" spans="1:5" x14ac:dyDescent="0.3">
      <c r="A30" s="110" t="s">
        <v>152</v>
      </c>
      <c r="B30" s="110" t="s">
        <v>126</v>
      </c>
      <c r="C30" s="110" t="s">
        <v>153</v>
      </c>
      <c r="D30"/>
      <c r="E30"/>
    </row>
    <row r="31" spans="1:5" x14ac:dyDescent="0.3">
      <c r="A31" s="111" t="s">
        <v>55</v>
      </c>
      <c r="B31" s="112">
        <f>COUNTIFS(Matrix!$S$5:$S$454,"INCLUDE",Matrix!$AC$5:$AC$454,"Single (one data type)")</f>
        <v>16</v>
      </c>
      <c r="C31" s="113">
        <f>IF($B$2=0,"-",B31/$B$2)</f>
        <v>0.10526315789473684</v>
      </c>
      <c r="D31"/>
      <c r="E31"/>
    </row>
    <row r="32" spans="1:5" x14ac:dyDescent="0.3">
      <c r="A32" s="111" t="s">
        <v>64</v>
      </c>
      <c r="B32" s="112">
        <f>COUNTIFS(Matrix!$S$5:$S$454,"INCLUDE",Matrix!$AC$5:$AC$454,"Multi (two or more data types)")</f>
        <v>136</v>
      </c>
      <c r="C32" s="113">
        <f>IF($B$2=0,"-",B32/$B$2)</f>
        <v>0.89473684210526316</v>
      </c>
      <c r="D32"/>
      <c r="E32"/>
    </row>
    <row r="33" spans="1:5" x14ac:dyDescent="0.3">
      <c r="A33"/>
      <c r="B33" s="118">
        <f>SUM(B31:B32)</f>
        <v>152</v>
      </c>
      <c r="C33" s="120" t="str">
        <f>IF(B33=$B$2,"OK","MISMATCH")</f>
        <v>OK</v>
      </c>
      <c r="D33"/>
      <c r="E33"/>
    </row>
    <row r="34" spans="1:5" x14ac:dyDescent="0.3">
      <c r="A34"/>
      <c r="B34"/>
      <c r="C34"/>
      <c r="D34"/>
      <c r="E34"/>
    </row>
    <row r="35" spans="1:5" ht="15.6" x14ac:dyDescent="0.3">
      <c r="A35" s="109" t="s">
        <v>156</v>
      </c>
      <c r="B35"/>
      <c r="C35"/>
      <c r="D35"/>
      <c r="E35"/>
    </row>
    <row r="36" spans="1:5" x14ac:dyDescent="0.3">
      <c r="A36" s="110" t="s">
        <v>152</v>
      </c>
      <c r="B36" s="110" t="s">
        <v>126</v>
      </c>
      <c r="C36" s="110" t="s">
        <v>153</v>
      </c>
      <c r="D36"/>
      <c r="E36"/>
    </row>
    <row r="37" spans="1:5" x14ac:dyDescent="0.3">
      <c r="A37" s="111" t="str">
        <f>'1_CodeLists'!$I$2</f>
        <v>Conceptual (no test)</v>
      </c>
      <c r="B37" s="112">
        <f>COUNTIFS(Matrix!$S$5:$S$454,"INCLUDE",Matrix!$AD$5:$AD$454,$A37)</f>
        <v>19</v>
      </c>
      <c r="C37" s="113">
        <f>IF($B$2=0,"-",B37/$B$2)</f>
        <v>0.125</v>
      </c>
      <c r="D37"/>
      <c r="E37"/>
    </row>
    <row r="38" spans="1:5" x14ac:dyDescent="0.3">
      <c r="A38" s="111" t="str">
        <f>'1_CodeLists'!$I$3</f>
        <v>Simulation</v>
      </c>
      <c r="B38" s="112">
        <f>COUNTIFS(Matrix!$S$5:$S$454,"INCLUDE",Matrix!$AD$5:$AD$454,$A38)</f>
        <v>16</v>
      </c>
      <c r="C38" s="113">
        <f t="shared" ref="C38:C41" si="0">IF($B$2=0,"-",B38/$B$2)</f>
        <v>0.10526315789473684</v>
      </c>
      <c r="D38"/>
      <c r="E38"/>
    </row>
    <row r="39" spans="1:5" x14ac:dyDescent="0.3">
      <c r="A39" s="111" t="str">
        <f>'1_CodeLists'!$I$4</f>
        <v>Lab / scale-model experiment</v>
      </c>
      <c r="B39" s="112">
        <f>COUNTIFS(Matrix!$S$5:$S$454,"INCLUDE",Matrix!$AD$5:$AD$454,$A39)</f>
        <v>5</v>
      </c>
      <c r="C39" s="113">
        <f t="shared" si="0"/>
        <v>3.2894736842105261E-2</v>
      </c>
      <c r="D39"/>
      <c r="E39"/>
    </row>
    <row r="40" spans="1:5" x14ac:dyDescent="0.3">
      <c r="A40" s="111" t="str">
        <f>'1_CodeLists'!$I$5</f>
        <v>Single case study</v>
      </c>
      <c r="B40" s="112">
        <f>COUNTIFS(Matrix!$S$5:$S$454,"INCLUDE",Matrix!$AD$5:$AD$454,$A40)</f>
        <v>104</v>
      </c>
      <c r="C40" s="113">
        <f t="shared" si="0"/>
        <v>0.68421052631578949</v>
      </c>
      <c r="D40"/>
      <c r="E40"/>
    </row>
    <row r="41" spans="1:5" x14ac:dyDescent="0.3">
      <c r="A41" s="111" t="str">
        <f>'1_CodeLists'!$I$6</f>
        <v>Cross-project (multiple real projects)</v>
      </c>
      <c r="B41" s="112">
        <f>COUNTIFS(Matrix!$S$5:$S$454,"INCLUDE",Matrix!$AD$5:$AD$454,$A41)</f>
        <v>8</v>
      </c>
      <c r="C41" s="113">
        <f t="shared" si="0"/>
        <v>5.2631578947368418E-2</v>
      </c>
      <c r="D41"/>
      <c r="E41"/>
    </row>
    <row r="42" spans="1:5" x14ac:dyDescent="0.3">
      <c r="A42" t="s">
        <v>1366</v>
      </c>
      <c r="B42" s="119">
        <f>SUM(B37:B41)</f>
        <v>152</v>
      </c>
      <c r="C42" s="120" t="str">
        <f>IF(B42=$B$2,"OK","MISMATCH")</f>
        <v>OK</v>
      </c>
      <c r="D42"/>
      <c r="E42"/>
    </row>
    <row r="43" spans="1:5" x14ac:dyDescent="0.3">
      <c r="A43"/>
      <c r="B43"/>
      <c r="C43" s="114"/>
      <c r="D43"/>
      <c r="E43"/>
    </row>
    <row r="44" spans="1:5" ht="15.6" x14ac:dyDescent="0.3">
      <c r="A44" s="109" t="s">
        <v>157</v>
      </c>
      <c r="B44"/>
      <c r="C44"/>
      <c r="D44"/>
      <c r="E44"/>
    </row>
    <row r="45" spans="1:5" x14ac:dyDescent="0.3">
      <c r="A45" s="110" t="s">
        <v>152</v>
      </c>
      <c r="B45" s="110" t="s">
        <v>126</v>
      </c>
      <c r="C45" s="110" t="s">
        <v>153</v>
      </c>
      <c r="D45"/>
      <c r="E45"/>
    </row>
    <row r="46" spans="1:5" x14ac:dyDescent="0.3">
      <c r="A46" s="111" t="s">
        <v>54</v>
      </c>
      <c r="B46" s="112">
        <f>COUNTIFS(Matrix!$S$5:$S$454,"INCLUDE",Matrix!$AB$5:$AB$454,"Computer Vision / CNN / object-detection")</f>
        <v>25</v>
      </c>
      <c r="C46" s="113">
        <f t="shared" ref="C46:C57" si="1">IF($B$2=0,"-",B46/$B$2)</f>
        <v>0.16447368421052633</v>
      </c>
      <c r="D46"/>
      <c r="E46"/>
    </row>
    <row r="47" spans="1:5" x14ac:dyDescent="0.3">
      <c r="A47" s="111" t="s">
        <v>63</v>
      </c>
      <c r="B47" s="112">
        <f>COUNTIFS(Matrix!$S$5:$S$454,"INCLUDE",Matrix!$AB$5:$AB$454,"Graph Neural Network (GNN)")</f>
        <v>3</v>
      </c>
      <c r="C47" s="113">
        <f t="shared" si="1"/>
        <v>1.9736842105263157E-2</v>
      </c>
      <c r="D47"/>
      <c r="E47"/>
    </row>
    <row r="48" spans="1:5" x14ac:dyDescent="0.3">
      <c r="A48" s="111" t="s">
        <v>71</v>
      </c>
      <c r="B48" s="112">
        <f>COUNTIFS(Matrix!$S$5:$S$454,"INCLUDE",Matrix!$AB$5:$AB$454,"LSTM / RNN (recurrent networks)")</f>
        <v>2</v>
      </c>
      <c r="C48" s="113">
        <f t="shared" si="1"/>
        <v>1.3157894736842105E-2</v>
      </c>
      <c r="D48"/>
      <c r="E48"/>
    </row>
    <row r="49" spans="1:5" x14ac:dyDescent="0.3">
      <c r="A49" s="111" t="s">
        <v>78</v>
      </c>
      <c r="B49" s="112">
        <f>COUNTIFS(Matrix!$S$5:$S$454,"INCLUDE",Matrix!$AB$5:$AB$454,"Transformer / Large Language Model (LLM)")</f>
        <v>7</v>
      </c>
      <c r="C49" s="113">
        <f t="shared" si="1"/>
        <v>4.6052631578947366E-2</v>
      </c>
      <c r="D49"/>
      <c r="E49"/>
    </row>
    <row r="50" spans="1:5" x14ac:dyDescent="0.3">
      <c r="A50" s="111" t="s">
        <v>83</v>
      </c>
      <c r="B50" s="112">
        <f>COUNTIFS(Matrix!$S$5:$S$454,"INCLUDE",Matrix!$AB$5:$AB$454,"Reinforcement Learning (RL)")</f>
        <v>2</v>
      </c>
      <c r="C50" s="113">
        <f t="shared" si="1"/>
        <v>1.3157894736842105E-2</v>
      </c>
      <c r="D50"/>
      <c r="E50"/>
    </row>
    <row r="51" spans="1:5" x14ac:dyDescent="0.3">
      <c r="A51" s="111" t="s">
        <v>85</v>
      </c>
      <c r="B51" s="112">
        <f>COUNTIFS(Matrix!$S$5:$S$454,"INCLUDE",Matrix!$AB$5:$AB$454,"Bayesian / probabilistic")</f>
        <v>4</v>
      </c>
      <c r="C51" s="113">
        <f t="shared" si="1"/>
        <v>2.6315789473684209E-2</v>
      </c>
      <c r="D51"/>
      <c r="E51"/>
    </row>
    <row r="52" spans="1:5" x14ac:dyDescent="0.3">
      <c r="A52" s="111" t="s">
        <v>87</v>
      </c>
      <c r="B52" s="112">
        <f>COUNTIFS(Matrix!$S$5:$S$454,"INCLUDE",Matrix!$AB$5:$AB$454,"Agent-based model (ABM)")</f>
        <v>1</v>
      </c>
      <c r="C52" s="113">
        <f t="shared" si="1"/>
        <v>6.5789473684210523E-3</v>
      </c>
      <c r="D52"/>
      <c r="E52"/>
    </row>
    <row r="53" spans="1:5" x14ac:dyDescent="0.3">
      <c r="A53" s="111" t="s">
        <v>88</v>
      </c>
      <c r="B53" s="112">
        <f>COUNTIFS(Matrix!$S$5:$S$454,"INCLUDE",Matrix!$AB$5:$AB$454,"Finite Element Method / physics-based")</f>
        <v>15</v>
      </c>
      <c r="C53" s="113">
        <f t="shared" si="1"/>
        <v>9.8684210526315791E-2</v>
      </c>
      <c r="D53"/>
      <c r="E53"/>
    </row>
    <row r="54" spans="1:5" x14ac:dyDescent="0.3">
      <c r="A54" s="111" t="s">
        <v>89</v>
      </c>
      <c r="B54" s="112">
        <f>COUNTIFS(Matrix!$S$5:$S$454,"INCLUDE",Matrix!$AB$5:$AB$454,"Ontology / semantic")</f>
        <v>9</v>
      </c>
      <c r="C54" s="113">
        <f t="shared" si="1"/>
        <v>5.921052631578947E-2</v>
      </c>
      <c r="D54"/>
      <c r="E54"/>
    </row>
    <row r="55" spans="1:5" x14ac:dyDescent="0.3">
      <c r="A55" s="111" t="s">
        <v>90</v>
      </c>
      <c r="B55" s="112">
        <f>COUNTIFS(Matrix!$S$5:$S$454,"INCLUDE",Matrix!$AB$5:$AB$454,"Statistical / change-point")</f>
        <v>8</v>
      </c>
      <c r="C55" s="113">
        <f t="shared" si="1"/>
        <v>5.2631578947368418E-2</v>
      </c>
      <c r="D55"/>
      <c r="E55"/>
    </row>
    <row r="56" spans="1:5" x14ac:dyDescent="0.3">
      <c r="A56" s="111" t="s">
        <v>91</v>
      </c>
      <c r="B56" s="112">
        <f>COUNTIFS(Matrix!$S$5:$S$454,"INCLUDE",Matrix!$AB$5:$AB$454,"Digital Twin platform (no machine learning)")</f>
        <v>41</v>
      </c>
      <c r="C56" s="113">
        <f t="shared" si="1"/>
        <v>0.26973684210526316</v>
      </c>
      <c r="D56"/>
      <c r="E56"/>
    </row>
    <row r="57" spans="1:5" x14ac:dyDescent="0.3">
      <c r="A57" s="111" t="s">
        <v>92</v>
      </c>
      <c r="B57" s="112">
        <f>COUNTIFS(Matrix!$S$5:$S$454,"INCLUDE",Matrix!$AB$5:$AB$454,"Other / Mixed")</f>
        <v>35</v>
      </c>
      <c r="C57" s="113">
        <f t="shared" si="1"/>
        <v>0.23026315789473684</v>
      </c>
      <c r="D57"/>
      <c r="E57"/>
    </row>
    <row r="58" spans="1:5" x14ac:dyDescent="0.3">
      <c r="A58" s="116"/>
      <c r="B58" s="117">
        <f>SUM(B46:B57)</f>
        <v>152</v>
      </c>
      <c r="C58" s="120" t="str">
        <f>IF(B58=$B$2,"OK","MISMATCH")</f>
        <v>OK</v>
      </c>
      <c r="D58"/>
      <c r="E58"/>
    </row>
    <row r="59" spans="1:5" x14ac:dyDescent="0.3">
      <c r="A59"/>
      <c r="B59"/>
      <c r="C59"/>
      <c r="D59"/>
      <c r="E59"/>
    </row>
    <row r="60" spans="1:5" ht="15.6" x14ac:dyDescent="0.3">
      <c r="A60" s="109" t="s">
        <v>158</v>
      </c>
      <c r="B60"/>
      <c r="C60"/>
      <c r="D60"/>
      <c r="E60"/>
    </row>
    <row r="61" spans="1:5" x14ac:dyDescent="0.3">
      <c r="A61" s="110" t="s">
        <v>159</v>
      </c>
      <c r="B61" s="110" t="s">
        <v>126</v>
      </c>
      <c r="C61"/>
      <c r="D61"/>
      <c r="E61"/>
    </row>
    <row r="62" spans="1:5" x14ac:dyDescent="0.3">
      <c r="A62" s="111" t="s">
        <v>160</v>
      </c>
      <c r="B62" s="112">
        <f>COUNTIFS(Matrix!$S$5:$S$454,"INCLUDE",Matrix!$V$5:$V$454,1)</f>
        <v>5</v>
      </c>
      <c r="C62"/>
      <c r="D62"/>
      <c r="E62"/>
    </row>
    <row r="63" spans="1:5" x14ac:dyDescent="0.3">
      <c r="A63" s="111" t="s">
        <v>161</v>
      </c>
      <c r="B63" s="112">
        <f>COUNTIFS(Matrix!$S$5:$S$454,"INCLUDE",Matrix!$W$5:$W$454,1)</f>
        <v>82</v>
      </c>
      <c r="C63"/>
      <c r="D63"/>
      <c r="E63"/>
    </row>
    <row r="64" spans="1:5" x14ac:dyDescent="0.3">
      <c r="A64" s="111" t="s">
        <v>162</v>
      </c>
      <c r="B64" s="112">
        <f>COUNTIFS(Matrix!$S$5:$S$454,"INCLUDE",Matrix!$X$5:$X$454,1)</f>
        <v>72</v>
      </c>
      <c r="C64">
        <f>SUM(B62:B64)</f>
        <v>159</v>
      </c>
      <c r="D64"/>
      <c r="E64"/>
    </row>
    <row r="65" spans="1:7" x14ac:dyDescent="0.3">
      <c r="A65" s="111" t="s">
        <v>163</v>
      </c>
      <c r="B65" s="112">
        <f>COUNTIFS(Matrix!$S$5:$S$454,"INCLUDE",Matrix!$Y$5:$Y$454,"Single")</f>
        <v>147</v>
      </c>
      <c r="D65"/>
      <c r="E65"/>
    </row>
    <row r="66" spans="1:7" x14ac:dyDescent="0.3">
      <c r="A66" s="111" t="s">
        <v>164</v>
      </c>
      <c r="B66" s="112">
        <f>COUNTIFS(Matrix!$S$5:$S$454,"INCLUDE",Matrix!$Y$5:$Y$454,"Multi")</f>
        <v>5</v>
      </c>
      <c r="C66">
        <f>SUM(B65:B66)</f>
        <v>152</v>
      </c>
      <c r="D66" s="120" t="str">
        <f>IF(C66=$B$2,"OK","MISMATCH")</f>
        <v>OK</v>
      </c>
      <c r="E66"/>
    </row>
    <row r="67" spans="1:7" x14ac:dyDescent="0.3">
      <c r="A67" s="116"/>
      <c r="B67" s="117"/>
      <c r="C67"/>
      <c r="D67"/>
      <c r="E67"/>
    </row>
    <row r="69" spans="1:7" ht="15.6" x14ac:dyDescent="0.3">
      <c r="A69" s="102" t="s">
        <v>1069</v>
      </c>
    </row>
    <row r="70" spans="1:7" ht="30" customHeight="1" x14ac:dyDescent="0.3">
      <c r="A70" s="46" t="s">
        <v>1070</v>
      </c>
      <c r="B70" s="47" t="str">
        <f>$A$15</f>
        <v>None</v>
      </c>
      <c r="C70" s="47" t="str">
        <f>$A$16</f>
        <v>Mentioned only</v>
      </c>
      <c r="D70" s="47" t="str">
        <f>$A$17</f>
        <v>Implemented</v>
      </c>
      <c r="E70" s="47" t="str">
        <f>$A$18</f>
        <v>Convergence-characterised</v>
      </c>
      <c r="F70" s="48" t="s">
        <v>1071</v>
      </c>
    </row>
    <row r="71" spans="1:7" x14ac:dyDescent="0.3">
      <c r="A71" s="49" t="str">
        <f>$A$31</f>
        <v>Single (one data type)</v>
      </c>
      <c r="B71" s="51">
        <f>COUNTIFS(Matrix!$S$5:$S$454,"INCLUDE",Matrix!$AC$5:$AC$454,$A71,Matrix!$AA$5:$AA$454,B$70)</f>
        <v>14</v>
      </c>
      <c r="C71" s="51">
        <f>COUNTIFS(Matrix!$S$5:$S$454,"INCLUDE",Matrix!$AC$5:$AC$454,$A71,Matrix!$AA$5:$AA$454,C$70)</f>
        <v>2</v>
      </c>
      <c r="D71" s="51">
        <f>COUNTIFS(Matrix!$S$5:$S$454,"INCLUDE",Matrix!$AC$5:$AC$454,$A71,Matrix!$AA$5:$AA$454,D$70)</f>
        <v>0</v>
      </c>
      <c r="E71" s="51">
        <f>COUNTIFS(Matrix!$S$5:$S$454,"INCLUDE",Matrix!$AC$5:$AC$454,$A71,Matrix!$AA$5:$AA$454,E$70)</f>
        <v>0</v>
      </c>
      <c r="F71" s="50">
        <f>SUM(B71:E71)</f>
        <v>16</v>
      </c>
    </row>
    <row r="72" spans="1:7" x14ac:dyDescent="0.3">
      <c r="A72" s="49" t="str">
        <f>$A$32</f>
        <v>Multi (two or more data types)</v>
      </c>
      <c r="B72" s="51">
        <f>COUNTIFS(Matrix!$S$5:$S$454,"INCLUDE",Matrix!$AC$5:$AC$454,$A72,Matrix!$AA$5:$AA$454,B$70)</f>
        <v>124</v>
      </c>
      <c r="C72" s="51">
        <f>COUNTIFS(Matrix!$S$5:$S$454,"INCLUDE",Matrix!$AC$5:$AC$454,$A72,Matrix!$AA$5:$AA$454,C$70)</f>
        <v>8</v>
      </c>
      <c r="D72" s="51">
        <f>COUNTIFS(Matrix!$S$5:$S$454,"INCLUDE",Matrix!$AC$5:$AC$454,$A72,Matrix!$AA$5:$AA$454,D$70)</f>
        <v>4</v>
      </c>
      <c r="E72" s="51">
        <f>COUNTIFS(Matrix!$S$5:$S$454,"INCLUDE",Matrix!$AC$5:$AC$454,$A72,Matrix!$AA$5:$AA$454,E$70)</f>
        <v>0</v>
      </c>
      <c r="F72" s="50">
        <f t="shared" ref="F72" si="2">SUM(B72:E72)</f>
        <v>136</v>
      </c>
    </row>
    <row r="73" spans="1:7" x14ac:dyDescent="0.3">
      <c r="A73" s="49" t="s">
        <v>1071</v>
      </c>
      <c r="B73" s="51">
        <f>SUM(B71:B72)</f>
        <v>138</v>
      </c>
      <c r="C73" s="51">
        <f t="shared" ref="C73:F73" si="3">SUM(C71:C72)</f>
        <v>10</v>
      </c>
      <c r="D73" s="51">
        <f t="shared" si="3"/>
        <v>4</v>
      </c>
      <c r="E73" s="51">
        <f t="shared" si="3"/>
        <v>0</v>
      </c>
      <c r="F73" s="50">
        <f t="shared" si="3"/>
        <v>152</v>
      </c>
      <c r="G73" s="120" t="str">
        <f>IF(F73=$B$2,"OK","MISMATCH")</f>
        <v>OK</v>
      </c>
    </row>
    <row r="74" spans="1:7" x14ac:dyDescent="0.3">
      <c r="A74" s="106"/>
      <c r="B74" s="106"/>
      <c r="C74" s="106"/>
      <c r="D74" s="106"/>
      <c r="E74" s="106"/>
      <c r="F74" s="106"/>
    </row>
    <row r="75" spans="1:7" x14ac:dyDescent="0.3">
      <c r="A75" s="52" t="s">
        <v>1072</v>
      </c>
      <c r="B75" s="45"/>
      <c r="C75" s="45"/>
      <c r="D75" s="45"/>
      <c r="E75" s="45"/>
      <c r="F75" s="45"/>
    </row>
    <row r="76" spans="1:7" ht="30" customHeight="1" x14ac:dyDescent="0.3">
      <c r="A76" s="53" t="s">
        <v>1070</v>
      </c>
      <c r="B76" s="47" t="str">
        <f>B$70</f>
        <v>None</v>
      </c>
      <c r="C76" s="47" t="str">
        <f>C$70</f>
        <v>Mentioned only</v>
      </c>
      <c r="D76" s="47" t="str">
        <f>D$70</f>
        <v>Implemented</v>
      </c>
      <c r="E76" s="47" t="str">
        <f>E$70</f>
        <v>Convergence-characterised</v>
      </c>
      <c r="F76" s="48" t="s">
        <v>1071</v>
      </c>
    </row>
    <row r="77" spans="1:7" x14ac:dyDescent="0.3">
      <c r="A77" s="49" t="str">
        <f>$A$71</f>
        <v>Single (one data type)</v>
      </c>
      <c r="B77" s="60">
        <f>IF($F71=0,"-",B71/$F71)</f>
        <v>0.875</v>
      </c>
      <c r="C77" s="60">
        <f t="shared" ref="C77:F77" si="4">IF($F71=0,"-",C71/$F71)</f>
        <v>0.125</v>
      </c>
      <c r="D77" s="60">
        <f t="shared" si="4"/>
        <v>0</v>
      </c>
      <c r="E77" s="60">
        <f t="shared" si="4"/>
        <v>0</v>
      </c>
      <c r="F77" s="107">
        <f t="shared" si="4"/>
        <v>1</v>
      </c>
    </row>
    <row r="78" spans="1:7" x14ac:dyDescent="0.3">
      <c r="A78" s="49" t="str">
        <f>$A$72</f>
        <v>Multi (two or more data types)</v>
      </c>
      <c r="B78" s="60">
        <f t="shared" ref="B78:F78" si="5">IF($F72=0,"-",B72/$F72)</f>
        <v>0.91176470588235292</v>
      </c>
      <c r="C78" s="60">
        <f t="shared" si="5"/>
        <v>5.8823529411764705E-2</v>
      </c>
      <c r="D78" s="60">
        <f t="shared" si="5"/>
        <v>2.9411764705882353E-2</v>
      </c>
      <c r="E78" s="60">
        <f t="shared" si="5"/>
        <v>0</v>
      </c>
      <c r="F78" s="107">
        <f t="shared" si="5"/>
        <v>1</v>
      </c>
    </row>
    <row r="79" spans="1:7" x14ac:dyDescent="0.3">
      <c r="A79" s="106"/>
      <c r="B79" s="106"/>
      <c r="C79" s="106"/>
      <c r="D79" s="106"/>
      <c r="E79" s="106"/>
      <c r="F79" s="106"/>
    </row>
    <row r="80" spans="1:7" x14ac:dyDescent="0.3">
      <c r="A80" s="44" t="s">
        <v>1073</v>
      </c>
      <c r="B80" s="43"/>
      <c r="C80" s="43"/>
      <c r="D80" s="43"/>
      <c r="E80" s="43"/>
      <c r="F80" s="43"/>
    </row>
    <row r="81" spans="1:6" x14ac:dyDescent="0.3">
      <c r="A81" s="43" t="s">
        <v>1074</v>
      </c>
      <c r="B81" s="43">
        <f>$F$73</f>
        <v>152</v>
      </c>
      <c r="C81" s="43"/>
      <c r="D81" s="43"/>
      <c r="E81" s="43"/>
      <c r="F81" s="43"/>
    </row>
    <row r="82" spans="1:6" x14ac:dyDescent="0.3">
      <c r="A82" s="43" t="s">
        <v>150</v>
      </c>
      <c r="B82" s="43">
        <f>$B$2</f>
        <v>152</v>
      </c>
      <c r="C82" s="43"/>
      <c r="D82" s="43"/>
      <c r="E82" s="43"/>
      <c r="F82" s="43"/>
    </row>
    <row r="83" spans="1:6" x14ac:dyDescent="0.3">
      <c r="A83" s="45" t="s">
        <v>1075</v>
      </c>
      <c r="B83" s="45" t="str">
        <f>IF($F$73=$B$2,"OK - "&amp;TEXT($F$73,"0")&amp;" studies fully cross-classified","MISMATCH: "&amp;TEXT($F$73-$B$2,"+0;-0")&amp;" - check for blank codes in Matrix AA/AC")</f>
        <v>OK - 152 studies fully cross-classified</v>
      </c>
      <c r="C83" s="45"/>
      <c r="D83" s="45"/>
      <c r="E83" s="45"/>
      <c r="F83" s="45"/>
    </row>
    <row r="85" spans="1:6" x14ac:dyDescent="0.3">
      <c r="A85" s="42" t="s">
        <v>1076</v>
      </c>
    </row>
    <row r="86" spans="1:6" x14ac:dyDescent="0.3">
      <c r="A86" s="108" t="str">
        <f>"Of the "&amp;TEXT($F$72,"0")&amp;" multimodal studies, "&amp;TEXT($B$72,"0")&amp;" ("&amp;TEXT($B$72/$F$72,"0.0%")&amp;") implement no self-improvement at all; only "&amp;TEXT($D$72,"0")&amp;" ("&amp;TEXT($D$72/$F$72,"0.0%")&amp;") implement it and "&amp;TEXT($E$72,"0")&amp;" characterise convergence."</f>
        <v>Of the 136 multimodal studies, 124 (91.2%) implement no self-improvement at all; only 4 (2.9%) implement it and 0 characterise convergence.</v>
      </c>
    </row>
    <row r="88" spans="1:6" ht="15.6" x14ac:dyDescent="0.3">
      <c r="A88" s="102" t="s">
        <v>1241</v>
      </c>
      <c r="E88" s="42" t="s">
        <v>1242</v>
      </c>
    </row>
    <row r="89" spans="1:6" x14ac:dyDescent="0.3">
      <c r="A89" s="47" t="s">
        <v>152</v>
      </c>
      <c r="B89" s="47" t="s">
        <v>126</v>
      </c>
      <c r="C89" s="47" t="s">
        <v>153</v>
      </c>
      <c r="E89" s="47" t="s">
        <v>1243</v>
      </c>
      <c r="F89" s="47" t="s">
        <v>126</v>
      </c>
    </row>
    <row r="90" spans="1:6" x14ac:dyDescent="0.3">
      <c r="A90" s="51" t="str">
        <f>'1_CodeLists'!$K$2</f>
        <v>Single</v>
      </c>
      <c r="B90" s="51">
        <f>COUNTIFS(Matrix!$S$5:$S$454,"INCLUDE",Matrix!$AJ$5:$AJ$454,$A90)</f>
        <v>19</v>
      </c>
      <c r="C90" s="60">
        <f>IF($B$2=0,"-",B90/$B$2)</f>
        <v>0.125</v>
      </c>
      <c r="E90" s="51" t="str">
        <f>'1_CodeLists'!$L$2</f>
        <v>High</v>
      </c>
      <c r="F90" s="51">
        <f>COUNTIFS(Matrix!$S$5:$S$454,"INCLUDE",Matrix!$AL$5:$AL$454,$E90)</f>
        <v>109</v>
      </c>
    </row>
    <row r="91" spans="1:6" x14ac:dyDescent="0.3">
      <c r="A91" s="51" t="str">
        <f>'1_CodeLists'!$K$3</f>
        <v>Co-present</v>
      </c>
      <c r="B91" s="51">
        <f>COUNTIFS(Matrix!$S$5:$S$454,"INCLUDE",Matrix!$AJ$5:$AJ$454,$A91)</f>
        <v>3</v>
      </c>
      <c r="C91" s="60">
        <f t="shared" ref="C91:C94" si="6">IF($B$2=0,"-",B91/$B$2)</f>
        <v>1.9736842105263157E-2</v>
      </c>
      <c r="E91" s="51" t="str">
        <f>'1_CodeLists'!$L$3</f>
        <v>Medium</v>
      </c>
      <c r="F91" s="51">
        <f>COUNTIFS(Matrix!$S$5:$S$454,"INCLUDE",Matrix!$AL$5:$AL$454,$E91)</f>
        <v>43</v>
      </c>
    </row>
    <row r="92" spans="1:6" x14ac:dyDescent="0.3">
      <c r="A92" s="51" t="str">
        <f>'1_CodeLists'!$K$4</f>
        <v>Aligned</v>
      </c>
      <c r="B92" s="51">
        <f>COUNTIFS(Matrix!$S$5:$S$454,"INCLUDE",Matrix!$AJ$5:$AJ$454,$A92)</f>
        <v>40</v>
      </c>
      <c r="C92" s="60">
        <f t="shared" si="6"/>
        <v>0.26315789473684209</v>
      </c>
      <c r="E92" s="51" t="str">
        <f>'1_CodeLists'!$L$4</f>
        <v>Low</v>
      </c>
      <c r="F92" s="51">
        <f>COUNTIFS(Matrix!$S$5:$S$454,"INCLUDE",Matrix!$AL$5:$AL$454,$E92)</f>
        <v>0</v>
      </c>
    </row>
    <row r="93" spans="1:6" x14ac:dyDescent="0.3">
      <c r="A93" s="51" t="str">
        <f>'1_CodeLists'!$K$5</f>
        <v>Fused</v>
      </c>
      <c r="B93" s="51">
        <f>COUNTIFS(Matrix!$S$5:$S$454,"INCLUDE",Matrix!$AJ$5:$AJ$454,$A93)</f>
        <v>71</v>
      </c>
      <c r="C93" s="60">
        <f t="shared" si="6"/>
        <v>0.46710526315789475</v>
      </c>
      <c r="E93" s="51" t="s">
        <v>1244</v>
      </c>
      <c r="F93" s="51">
        <f>COUNTIFS(Matrix!$S$5:$S$454,"INCLUDE",Matrix!$AM$5:$AM$454,"&lt;&gt;")</f>
        <v>32</v>
      </c>
    </row>
    <row r="94" spans="1:6" x14ac:dyDescent="0.3">
      <c r="A94" s="51" t="str">
        <f>'1_CodeLists'!$K$6</f>
        <v>Unclear</v>
      </c>
      <c r="B94" s="51">
        <f>COUNTIFS(Matrix!$S$5:$S$454,"INCLUDE",Matrix!$AJ$5:$AJ$454,$A94)</f>
        <v>19</v>
      </c>
      <c r="C94" s="60">
        <f t="shared" si="6"/>
        <v>0.125</v>
      </c>
    </row>
    <row r="95" spans="1:6" x14ac:dyDescent="0.3">
      <c r="A95" s="51" t="s">
        <v>1071</v>
      </c>
      <c r="B95" s="51">
        <f>SUM(B90:B94)</f>
        <v>152</v>
      </c>
      <c r="C95" s="60">
        <f>IF($B$2=0,"-",B95/$B$2)</f>
        <v>1</v>
      </c>
    </row>
    <row r="97" spans="1:6" x14ac:dyDescent="0.3">
      <c r="A97" s="42" t="s">
        <v>1245</v>
      </c>
    </row>
    <row r="98" spans="1:6" ht="30" customHeight="1" x14ac:dyDescent="0.3">
      <c r="A98" s="47" t="s">
        <v>1246</v>
      </c>
      <c r="B98" s="47" t="str">
        <f>$A$15</f>
        <v>None</v>
      </c>
      <c r="C98" s="47" t="str">
        <f>$A$16</f>
        <v>Mentioned only</v>
      </c>
      <c r="D98" s="47" t="str">
        <f>$A$17</f>
        <v>Implemented</v>
      </c>
      <c r="E98" s="47" t="str">
        <f>$A$18</f>
        <v>Convergence-characterised</v>
      </c>
      <c r="F98" s="47" t="s">
        <v>1071</v>
      </c>
    </row>
    <row r="99" spans="1:6" x14ac:dyDescent="0.3">
      <c r="A99" s="51" t="str">
        <f>$A$90</f>
        <v>Single</v>
      </c>
      <c r="B99" s="51">
        <f>COUNTIFS(Matrix!$S$5:$S$454,"INCLUDE",Matrix!$AJ$5:$AJ$454,$A99,Matrix!$AA$5:$AA$454,B$98)</f>
        <v>17</v>
      </c>
      <c r="C99" s="51">
        <f>COUNTIFS(Matrix!$S$5:$S$454,"INCLUDE",Matrix!$AJ$5:$AJ$454,$A99,Matrix!$AA$5:$AA$454,C$98)</f>
        <v>2</v>
      </c>
      <c r="D99" s="51">
        <f>COUNTIFS(Matrix!$S$5:$S$454,"INCLUDE",Matrix!$AJ$5:$AJ$454,$A99,Matrix!$AA$5:$AA$454,D$98)</f>
        <v>0</v>
      </c>
      <c r="E99" s="51">
        <f>COUNTIFS(Matrix!$S$5:$S$454,"INCLUDE",Matrix!$AJ$5:$AJ$454,$A99,Matrix!$AA$5:$AA$454,E$98)</f>
        <v>0</v>
      </c>
      <c r="F99" s="51">
        <f>SUM(B99:E99)</f>
        <v>19</v>
      </c>
    </row>
    <row r="100" spans="1:6" x14ac:dyDescent="0.3">
      <c r="A100" s="51" t="str">
        <f>$A$91</f>
        <v>Co-present</v>
      </c>
      <c r="B100" s="51">
        <f>COUNTIFS(Matrix!$S$5:$S$454,"INCLUDE",Matrix!$AJ$5:$AJ$454,$A100,Matrix!$AA$5:$AA$454,B$98)</f>
        <v>3</v>
      </c>
      <c r="C100" s="51">
        <f>COUNTIFS(Matrix!$S$5:$S$454,"INCLUDE",Matrix!$AJ$5:$AJ$454,$A100,Matrix!$AA$5:$AA$454,C$98)</f>
        <v>0</v>
      </c>
      <c r="D100" s="51">
        <f>COUNTIFS(Matrix!$S$5:$S$454,"INCLUDE",Matrix!$AJ$5:$AJ$454,$A100,Matrix!$AA$5:$AA$454,D$98)</f>
        <v>0</v>
      </c>
      <c r="E100" s="51">
        <f>COUNTIFS(Matrix!$S$5:$S$454,"INCLUDE",Matrix!$AJ$5:$AJ$454,$A100,Matrix!$AA$5:$AA$454,E$98)</f>
        <v>0</v>
      </c>
      <c r="F100" s="51">
        <f t="shared" ref="F100:F103" si="7">SUM(B100:E100)</f>
        <v>3</v>
      </c>
    </row>
    <row r="101" spans="1:6" x14ac:dyDescent="0.3">
      <c r="A101" s="51" t="str">
        <f>$A$92</f>
        <v>Aligned</v>
      </c>
      <c r="B101" s="51">
        <f>COUNTIFS(Matrix!$S$5:$S$454,"INCLUDE",Matrix!$AJ$5:$AJ$454,$A101,Matrix!$AA$5:$AA$454,B$98)</f>
        <v>36</v>
      </c>
      <c r="C101" s="51">
        <f>COUNTIFS(Matrix!$S$5:$S$454,"INCLUDE",Matrix!$AJ$5:$AJ$454,$A101,Matrix!$AA$5:$AA$454,C$98)</f>
        <v>3</v>
      </c>
      <c r="D101" s="51">
        <f>COUNTIFS(Matrix!$S$5:$S$454,"INCLUDE",Matrix!$AJ$5:$AJ$454,$A101,Matrix!$AA$5:$AA$454,D$98)</f>
        <v>1</v>
      </c>
      <c r="E101" s="51">
        <f>COUNTIFS(Matrix!$S$5:$S$454,"INCLUDE",Matrix!$AJ$5:$AJ$454,$A101,Matrix!$AA$5:$AA$454,E$98)</f>
        <v>0</v>
      </c>
      <c r="F101" s="51">
        <f t="shared" si="7"/>
        <v>40</v>
      </c>
    </row>
    <row r="102" spans="1:6" x14ac:dyDescent="0.3">
      <c r="A102" s="51" t="str">
        <f>$A$93</f>
        <v>Fused</v>
      </c>
      <c r="B102" s="51">
        <f>COUNTIFS(Matrix!$S$5:$S$454,"INCLUDE",Matrix!$AJ$5:$AJ$454,$A102,Matrix!$AA$5:$AA$454,B$98)</f>
        <v>67</v>
      </c>
      <c r="C102" s="51">
        <f>COUNTIFS(Matrix!$S$5:$S$454,"INCLUDE",Matrix!$AJ$5:$AJ$454,$A102,Matrix!$AA$5:$AA$454,C$98)</f>
        <v>1</v>
      </c>
      <c r="D102" s="51">
        <f>COUNTIFS(Matrix!$S$5:$S$454,"INCLUDE",Matrix!$AJ$5:$AJ$454,$A102,Matrix!$AA$5:$AA$454,D$98)</f>
        <v>3</v>
      </c>
      <c r="E102" s="51">
        <f>COUNTIFS(Matrix!$S$5:$S$454,"INCLUDE",Matrix!$AJ$5:$AJ$454,$A102,Matrix!$AA$5:$AA$454,E$98)</f>
        <v>0</v>
      </c>
      <c r="F102" s="51">
        <f t="shared" si="7"/>
        <v>71</v>
      </c>
    </row>
    <row r="103" spans="1:6" x14ac:dyDescent="0.3">
      <c r="A103" s="51" t="str">
        <f>$A$94</f>
        <v>Unclear</v>
      </c>
      <c r="B103" s="51">
        <f>COUNTIFS(Matrix!$S$5:$S$454,"INCLUDE",Matrix!$AJ$5:$AJ$454,$A103,Matrix!$AA$5:$AA$454,B$98)</f>
        <v>15</v>
      </c>
      <c r="C103" s="51">
        <f>COUNTIFS(Matrix!$S$5:$S$454,"INCLUDE",Matrix!$AJ$5:$AJ$454,$A103,Matrix!$AA$5:$AA$454,C$98)</f>
        <v>4</v>
      </c>
      <c r="D103" s="51">
        <f>COUNTIFS(Matrix!$S$5:$S$454,"INCLUDE",Matrix!$AJ$5:$AJ$454,$A103,Matrix!$AA$5:$AA$454,D$98)</f>
        <v>0</v>
      </c>
      <c r="E103" s="51">
        <f>COUNTIFS(Matrix!$S$5:$S$454,"INCLUDE",Matrix!$AJ$5:$AJ$454,$A103,Matrix!$AA$5:$AA$454,E$98)</f>
        <v>0</v>
      </c>
      <c r="F103" s="51">
        <f t="shared" si="7"/>
        <v>19</v>
      </c>
    </row>
    <row r="104" spans="1:6" x14ac:dyDescent="0.3">
      <c r="A104" s="51" t="s">
        <v>1071</v>
      </c>
      <c r="B104" s="51">
        <f>SUM(B99:B103)</f>
        <v>138</v>
      </c>
      <c r="C104" s="51">
        <f t="shared" ref="C104:F104" si="8">SUM(C99:C103)</f>
        <v>10</v>
      </c>
      <c r="D104" s="51">
        <f t="shared" si="8"/>
        <v>4</v>
      </c>
      <c r="E104" s="51">
        <f t="shared" si="8"/>
        <v>0</v>
      </c>
      <c r="F104" s="51">
        <f t="shared" si="8"/>
        <v>152</v>
      </c>
    </row>
    <row r="106" spans="1:6" x14ac:dyDescent="0.3">
      <c r="A106" s="42" t="s">
        <v>1247</v>
      </c>
    </row>
    <row r="107" spans="1:6" x14ac:dyDescent="0.3">
      <c r="A107" s="51" t="s">
        <v>1248</v>
      </c>
      <c r="B107" s="51">
        <f>$F$104</f>
        <v>152</v>
      </c>
    </row>
    <row r="108" spans="1:6" x14ac:dyDescent="0.3">
      <c r="A108" s="51" t="s">
        <v>150</v>
      </c>
      <c r="B108" s="51">
        <f>$B$2</f>
        <v>152</v>
      </c>
    </row>
    <row r="109" spans="1:6" x14ac:dyDescent="0.3">
      <c r="A109" s="51" t="s">
        <v>1075</v>
      </c>
      <c r="B109" s="51" t="str">
        <f>IF($F$104=$B$2,"OK - "&amp;TEXT($F$104,"0")&amp;" studies fully fusion-coded","MISMATCH: "&amp;TEXT($F$104-$B$2,"+0;-0")&amp;" - check blanks in Matrix AJ")</f>
        <v>OK - 152 studies fully fusion-coded</v>
      </c>
    </row>
    <row r="111" spans="1:6" x14ac:dyDescent="0.3">
      <c r="A111" s="42" t="s">
        <v>1076</v>
      </c>
    </row>
    <row r="112" spans="1:6" x14ac:dyDescent="0.3">
      <c r="A112" s="108" t="str">
        <f>"Of the "&amp;TEXT($B$32,"0")&amp;" multimodal studies only "&amp;TEXT($B$94+$B$93,"0")&amp;" reach Fused or Aligned with genuine joint inference; "&amp;TEXT($B$91,"0")&amp;" remain merely Co-present and "&amp;TEXT($B$94,"0")&amp;" are Unclear. Deepest integration (Fused) = "&amp;TEXT($B$93,"0")&amp;" ("&amp;TEXT($C$93,"0.0%")&amp;" of all included)."</f>
        <v>Of the 136 multimodal studies only 90 reach Fused or Aligned with genuine joint inference; 3 remain merely Co-present and 19 are Unclear. Deepest integration (Fused) = 71 (46.7% of all included).</v>
      </c>
    </row>
    <row r="113" spans="1:1" x14ac:dyDescent="0.3">
      <c r="A113" s="108" t="str">
        <f>"Even among the "&amp;TEXT($F$102,"0")&amp;" Fused studies, "&amp;TEXT($B$102,"0")&amp;" ("&amp;TEXT($B$102/$F$102,"0.0%")&amp;") implement no self-improvement and "&amp;TEXT($E$102,"0")&amp;" characterise convergence - deep data integration does NOT translate into adaptive capability."</f>
        <v>Even among the 71 Fused studies, 67 (94.4%) implement no self-improvement and 0 characterise convergence - deep data integration does NOT translate into adaptive capability.</v>
      </c>
    </row>
  </sheetData>
  <phoneticPr fontId="11" type="noConversion"/>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1B06F-C1E4-4220-A2CC-A687B6C058A2}">
  <dimension ref="A1:E430"/>
  <sheetViews>
    <sheetView topLeftCell="A101" workbookViewId="0">
      <selection activeCell="B26" sqref="B26"/>
    </sheetView>
  </sheetViews>
  <sheetFormatPr defaultRowHeight="14.4" x14ac:dyDescent="0.3"/>
  <cols>
    <col min="1" max="1" width="5.5546875" bestFit="1" customWidth="1"/>
    <col min="2" max="2" width="41.6640625" bestFit="1" customWidth="1"/>
  </cols>
  <sheetData>
    <row r="1" spans="1:5" x14ac:dyDescent="0.3">
      <c r="A1" s="36" t="s">
        <v>93</v>
      </c>
      <c r="B1" s="36" t="s">
        <v>1468</v>
      </c>
      <c r="C1" s="36" t="s">
        <v>1469</v>
      </c>
      <c r="D1" s="36" t="s">
        <v>1916</v>
      </c>
      <c r="E1" s="36" t="s">
        <v>1917</v>
      </c>
    </row>
    <row r="2" spans="1:5" x14ac:dyDescent="0.3">
      <c r="A2">
        <v>3493</v>
      </c>
      <c r="B2" t="s">
        <v>1470</v>
      </c>
      <c r="C2" t="s">
        <v>1471</v>
      </c>
      <c r="D2">
        <v>3566</v>
      </c>
      <c r="E2" t="s">
        <v>1918</v>
      </c>
    </row>
    <row r="3" spans="1:5" x14ac:dyDescent="0.3">
      <c r="A3">
        <v>3494</v>
      </c>
      <c r="B3" t="s">
        <v>1472</v>
      </c>
      <c r="C3" t="s">
        <v>1471</v>
      </c>
      <c r="D3">
        <v>3741</v>
      </c>
      <c r="E3" t="s">
        <v>1919</v>
      </c>
    </row>
    <row r="4" spans="1:5" x14ac:dyDescent="0.3">
      <c r="A4">
        <v>3495</v>
      </c>
      <c r="B4" t="s">
        <v>1473</v>
      </c>
      <c r="C4" t="s">
        <v>1471</v>
      </c>
      <c r="D4">
        <v>3665</v>
      </c>
      <c r="E4" t="s">
        <v>1920</v>
      </c>
    </row>
    <row r="5" spans="1:5" x14ac:dyDescent="0.3">
      <c r="A5">
        <v>3496</v>
      </c>
      <c r="B5" t="s">
        <v>1474</v>
      </c>
      <c r="C5" t="s">
        <v>1471</v>
      </c>
      <c r="D5">
        <v>3657</v>
      </c>
      <c r="E5" t="s">
        <v>1921</v>
      </c>
    </row>
    <row r="6" spans="1:5" x14ac:dyDescent="0.3">
      <c r="A6">
        <v>3497</v>
      </c>
      <c r="B6" t="s">
        <v>1475</v>
      </c>
      <c r="C6" t="s">
        <v>1471</v>
      </c>
      <c r="D6">
        <v>3685</v>
      </c>
      <c r="E6" t="s">
        <v>1922</v>
      </c>
    </row>
    <row r="7" spans="1:5" x14ac:dyDescent="0.3">
      <c r="A7">
        <v>3498</v>
      </c>
      <c r="B7" t="s">
        <v>1476</v>
      </c>
      <c r="C7" t="s">
        <v>1471</v>
      </c>
      <c r="D7">
        <v>3756</v>
      </c>
      <c r="E7" t="s">
        <v>1923</v>
      </c>
    </row>
    <row r="8" spans="1:5" x14ac:dyDescent="0.3">
      <c r="A8">
        <v>3499</v>
      </c>
      <c r="B8" t="s">
        <v>1477</v>
      </c>
      <c r="C8" t="s">
        <v>1471</v>
      </c>
      <c r="D8">
        <v>3978</v>
      </c>
      <c r="E8" t="s">
        <v>1924</v>
      </c>
    </row>
    <row r="9" spans="1:5" x14ac:dyDescent="0.3">
      <c r="A9">
        <v>3501</v>
      </c>
      <c r="B9" t="s">
        <v>1478</v>
      </c>
      <c r="C9" t="s">
        <v>1471</v>
      </c>
      <c r="D9">
        <v>3527</v>
      </c>
      <c r="E9" t="s">
        <v>1925</v>
      </c>
    </row>
    <row r="10" spans="1:5" x14ac:dyDescent="0.3">
      <c r="A10">
        <v>3502</v>
      </c>
      <c r="B10" t="s">
        <v>1479</v>
      </c>
      <c r="C10" t="s">
        <v>1471</v>
      </c>
      <c r="D10">
        <v>3963</v>
      </c>
      <c r="E10" t="s">
        <v>1926</v>
      </c>
    </row>
    <row r="11" spans="1:5" x14ac:dyDescent="0.3">
      <c r="A11">
        <v>3507</v>
      </c>
      <c r="B11" t="s">
        <v>1480</v>
      </c>
      <c r="C11" t="s">
        <v>1471</v>
      </c>
      <c r="D11">
        <v>3917</v>
      </c>
      <c r="E11" t="s">
        <v>1927</v>
      </c>
    </row>
    <row r="12" spans="1:5" x14ac:dyDescent="0.3">
      <c r="A12">
        <v>3508</v>
      </c>
      <c r="B12" t="s">
        <v>1481</v>
      </c>
      <c r="C12" t="s">
        <v>1471</v>
      </c>
      <c r="D12">
        <v>3541</v>
      </c>
      <c r="E12" t="s">
        <v>1928</v>
      </c>
    </row>
    <row r="13" spans="1:5" x14ac:dyDescent="0.3">
      <c r="A13">
        <v>3509</v>
      </c>
      <c r="B13" t="s">
        <v>1482</v>
      </c>
      <c r="C13" t="s">
        <v>1471</v>
      </c>
      <c r="D13">
        <v>3903</v>
      </c>
      <c r="E13" t="s">
        <v>1929</v>
      </c>
    </row>
    <row r="14" spans="1:5" x14ac:dyDescent="0.3">
      <c r="A14">
        <v>3510</v>
      </c>
      <c r="B14" t="s">
        <v>1483</v>
      </c>
      <c r="C14" t="s">
        <v>1471</v>
      </c>
      <c r="D14">
        <v>3915</v>
      </c>
      <c r="E14" t="s">
        <v>1930</v>
      </c>
    </row>
    <row r="15" spans="1:5" x14ac:dyDescent="0.3">
      <c r="A15">
        <v>3512</v>
      </c>
      <c r="B15" t="s">
        <v>1484</v>
      </c>
      <c r="C15" t="s">
        <v>1471</v>
      </c>
      <c r="D15">
        <v>3668</v>
      </c>
      <c r="E15" t="s">
        <v>1931</v>
      </c>
    </row>
    <row r="16" spans="1:5" x14ac:dyDescent="0.3">
      <c r="A16">
        <v>3514</v>
      </c>
      <c r="B16" t="s">
        <v>1485</v>
      </c>
      <c r="C16" t="s">
        <v>1471</v>
      </c>
      <c r="D16">
        <v>4053</v>
      </c>
      <c r="E16" t="s">
        <v>1932</v>
      </c>
    </row>
    <row r="17" spans="1:5" x14ac:dyDescent="0.3">
      <c r="A17">
        <v>3515</v>
      </c>
      <c r="B17" t="s">
        <v>1486</v>
      </c>
      <c r="C17" t="s">
        <v>1471</v>
      </c>
      <c r="D17">
        <v>3579</v>
      </c>
      <c r="E17" t="s">
        <v>1933</v>
      </c>
    </row>
    <row r="18" spans="1:5" x14ac:dyDescent="0.3">
      <c r="A18">
        <v>3517</v>
      </c>
      <c r="B18" t="s">
        <v>1487</v>
      </c>
      <c r="C18" t="s">
        <v>1471</v>
      </c>
      <c r="D18">
        <v>3838</v>
      </c>
      <c r="E18" t="s">
        <v>1934</v>
      </c>
    </row>
    <row r="19" spans="1:5" x14ac:dyDescent="0.3">
      <c r="A19">
        <v>3518</v>
      </c>
      <c r="B19" t="s">
        <v>1488</v>
      </c>
      <c r="C19" t="s">
        <v>1471</v>
      </c>
      <c r="D19">
        <v>4020</v>
      </c>
      <c r="E19" t="s">
        <v>1935</v>
      </c>
    </row>
    <row r="20" spans="1:5" x14ac:dyDescent="0.3">
      <c r="A20">
        <v>3520</v>
      </c>
      <c r="B20" t="s">
        <v>1489</v>
      </c>
      <c r="C20" t="s">
        <v>1471</v>
      </c>
      <c r="D20">
        <v>3842</v>
      </c>
      <c r="E20" t="s">
        <v>1936</v>
      </c>
    </row>
    <row r="21" spans="1:5" x14ac:dyDescent="0.3">
      <c r="A21">
        <v>3521</v>
      </c>
      <c r="B21" t="s">
        <v>1490</v>
      </c>
      <c r="C21" t="s">
        <v>1471</v>
      </c>
      <c r="D21">
        <v>4028</v>
      </c>
      <c r="E21" t="s">
        <v>576</v>
      </c>
    </row>
    <row r="22" spans="1:5" x14ac:dyDescent="0.3">
      <c r="A22">
        <v>3522</v>
      </c>
      <c r="B22" t="s">
        <v>1491</v>
      </c>
      <c r="C22" t="s">
        <v>1471</v>
      </c>
      <c r="D22">
        <v>3828</v>
      </c>
      <c r="E22" t="s">
        <v>1937</v>
      </c>
    </row>
    <row r="23" spans="1:5" x14ac:dyDescent="0.3">
      <c r="A23">
        <v>3523</v>
      </c>
      <c r="B23" t="s">
        <v>1492</v>
      </c>
      <c r="C23" t="s">
        <v>1471</v>
      </c>
      <c r="D23">
        <v>3662</v>
      </c>
      <c r="E23" t="s">
        <v>1938</v>
      </c>
    </row>
    <row r="24" spans="1:5" x14ac:dyDescent="0.3">
      <c r="A24">
        <v>3527</v>
      </c>
      <c r="B24" t="s">
        <v>1493</v>
      </c>
      <c r="C24" t="s">
        <v>1471</v>
      </c>
      <c r="D24">
        <v>3975</v>
      </c>
      <c r="E24" t="s">
        <v>1939</v>
      </c>
    </row>
    <row r="25" spans="1:5" x14ac:dyDescent="0.3">
      <c r="A25">
        <v>3528</v>
      </c>
      <c r="B25" t="s">
        <v>1494</v>
      </c>
      <c r="C25" t="s">
        <v>1471</v>
      </c>
      <c r="D25">
        <v>3996</v>
      </c>
      <c r="E25" t="s">
        <v>1940</v>
      </c>
    </row>
    <row r="26" spans="1:5" x14ac:dyDescent="0.3">
      <c r="A26">
        <v>3529</v>
      </c>
      <c r="B26" t="s">
        <v>1495</v>
      </c>
      <c r="C26" t="s">
        <v>1471</v>
      </c>
      <c r="D26">
        <v>4030</v>
      </c>
      <c r="E26" t="s">
        <v>577</v>
      </c>
    </row>
    <row r="27" spans="1:5" x14ac:dyDescent="0.3">
      <c r="A27">
        <v>3530</v>
      </c>
      <c r="B27" t="s">
        <v>1496</v>
      </c>
      <c r="C27" t="s">
        <v>1471</v>
      </c>
      <c r="D27">
        <v>3982</v>
      </c>
      <c r="E27" t="s">
        <v>1941</v>
      </c>
    </row>
    <row r="28" spans="1:5" x14ac:dyDescent="0.3">
      <c r="A28">
        <v>3531</v>
      </c>
      <c r="B28" t="s">
        <v>1497</v>
      </c>
      <c r="C28" t="s">
        <v>1471</v>
      </c>
      <c r="D28">
        <v>3940</v>
      </c>
      <c r="E28" t="s">
        <v>1942</v>
      </c>
    </row>
    <row r="29" spans="1:5" x14ac:dyDescent="0.3">
      <c r="A29">
        <v>3532</v>
      </c>
      <c r="B29" t="s">
        <v>1498</v>
      </c>
      <c r="C29" t="s">
        <v>1471</v>
      </c>
      <c r="D29">
        <v>4037</v>
      </c>
      <c r="E29" t="s">
        <v>1943</v>
      </c>
    </row>
    <row r="30" spans="1:5" x14ac:dyDescent="0.3">
      <c r="A30">
        <v>3536</v>
      </c>
      <c r="B30" t="s">
        <v>1499</v>
      </c>
      <c r="C30" t="s">
        <v>1471</v>
      </c>
      <c r="D30">
        <v>3551</v>
      </c>
      <c r="E30" t="s">
        <v>1944</v>
      </c>
    </row>
    <row r="31" spans="1:5" x14ac:dyDescent="0.3">
      <c r="A31">
        <v>3537</v>
      </c>
      <c r="B31" t="s">
        <v>1500</v>
      </c>
      <c r="C31" t="s">
        <v>1471</v>
      </c>
      <c r="D31">
        <v>3571</v>
      </c>
      <c r="E31" t="s">
        <v>1945</v>
      </c>
    </row>
    <row r="32" spans="1:5" x14ac:dyDescent="0.3">
      <c r="A32">
        <v>3539</v>
      </c>
      <c r="B32" t="s">
        <v>1501</v>
      </c>
      <c r="C32" t="s">
        <v>1471</v>
      </c>
      <c r="D32">
        <v>3707</v>
      </c>
      <c r="E32" t="s">
        <v>578</v>
      </c>
    </row>
    <row r="33" spans="1:5" x14ac:dyDescent="0.3">
      <c r="A33">
        <v>3540</v>
      </c>
      <c r="B33" t="s">
        <v>1502</v>
      </c>
      <c r="C33" t="s">
        <v>1471</v>
      </c>
      <c r="D33">
        <v>3613</v>
      </c>
      <c r="E33" t="s">
        <v>1946</v>
      </c>
    </row>
    <row r="34" spans="1:5" x14ac:dyDescent="0.3">
      <c r="A34">
        <v>3541</v>
      </c>
      <c r="B34" t="s">
        <v>1503</v>
      </c>
      <c r="C34" t="s">
        <v>1471</v>
      </c>
      <c r="D34">
        <v>3645</v>
      </c>
      <c r="E34" t="s">
        <v>1947</v>
      </c>
    </row>
    <row r="35" spans="1:5" x14ac:dyDescent="0.3">
      <c r="A35">
        <v>3542</v>
      </c>
      <c r="B35" t="s">
        <v>1504</v>
      </c>
      <c r="C35" t="s">
        <v>1471</v>
      </c>
      <c r="D35">
        <v>3807</v>
      </c>
      <c r="E35" t="s">
        <v>1948</v>
      </c>
    </row>
    <row r="36" spans="1:5" x14ac:dyDescent="0.3">
      <c r="A36">
        <v>3545</v>
      </c>
      <c r="B36" t="s">
        <v>1505</v>
      </c>
      <c r="C36" t="s">
        <v>1471</v>
      </c>
      <c r="D36">
        <v>3595</v>
      </c>
      <c r="E36" t="s">
        <v>1949</v>
      </c>
    </row>
    <row r="37" spans="1:5" x14ac:dyDescent="0.3">
      <c r="A37">
        <v>3547</v>
      </c>
      <c r="B37" t="s">
        <v>1506</v>
      </c>
      <c r="C37" t="s">
        <v>1471</v>
      </c>
      <c r="D37">
        <v>3888</v>
      </c>
      <c r="E37" t="s">
        <v>1950</v>
      </c>
    </row>
    <row r="38" spans="1:5" x14ac:dyDescent="0.3">
      <c r="A38">
        <v>3548</v>
      </c>
      <c r="B38" t="s">
        <v>1507</v>
      </c>
      <c r="C38" t="s">
        <v>1471</v>
      </c>
      <c r="D38">
        <v>3869</v>
      </c>
      <c r="E38" t="s">
        <v>1951</v>
      </c>
    </row>
    <row r="39" spans="1:5" x14ac:dyDescent="0.3">
      <c r="A39">
        <v>3551</v>
      </c>
      <c r="B39" t="s">
        <v>1508</v>
      </c>
      <c r="C39" t="s">
        <v>1471</v>
      </c>
      <c r="D39">
        <v>3702</v>
      </c>
      <c r="E39" t="s">
        <v>1952</v>
      </c>
    </row>
    <row r="40" spans="1:5" x14ac:dyDescent="0.3">
      <c r="A40">
        <v>3552</v>
      </c>
      <c r="B40" t="s">
        <v>1509</v>
      </c>
      <c r="C40" t="s">
        <v>1471</v>
      </c>
      <c r="D40">
        <v>3901</v>
      </c>
      <c r="E40" t="s">
        <v>1953</v>
      </c>
    </row>
    <row r="41" spans="1:5" x14ac:dyDescent="0.3">
      <c r="A41">
        <v>3553</v>
      </c>
      <c r="C41" t="s">
        <v>1510</v>
      </c>
      <c r="D41">
        <v>3889</v>
      </c>
      <c r="E41" t="s">
        <v>1954</v>
      </c>
    </row>
    <row r="42" spans="1:5" x14ac:dyDescent="0.3">
      <c r="A42">
        <v>3554</v>
      </c>
      <c r="B42" t="s">
        <v>1511</v>
      </c>
      <c r="C42" t="s">
        <v>1471</v>
      </c>
      <c r="D42">
        <v>3555</v>
      </c>
      <c r="E42" t="s">
        <v>1955</v>
      </c>
    </row>
    <row r="43" spans="1:5" x14ac:dyDescent="0.3">
      <c r="A43">
        <v>3555</v>
      </c>
      <c r="B43" t="s">
        <v>1512</v>
      </c>
      <c r="C43" t="s">
        <v>1471</v>
      </c>
      <c r="D43">
        <v>3658</v>
      </c>
      <c r="E43" t="s">
        <v>1956</v>
      </c>
    </row>
    <row r="44" spans="1:5" x14ac:dyDescent="0.3">
      <c r="A44">
        <v>3556</v>
      </c>
      <c r="B44" t="s">
        <v>1513</v>
      </c>
      <c r="C44" t="s">
        <v>1471</v>
      </c>
      <c r="D44">
        <v>3958</v>
      </c>
      <c r="E44" t="s">
        <v>1957</v>
      </c>
    </row>
    <row r="45" spans="1:5" x14ac:dyDescent="0.3">
      <c r="A45">
        <v>3557</v>
      </c>
      <c r="B45" t="s">
        <v>1514</v>
      </c>
      <c r="C45" t="s">
        <v>1471</v>
      </c>
      <c r="D45">
        <v>3936</v>
      </c>
      <c r="E45" t="s">
        <v>1958</v>
      </c>
    </row>
    <row r="46" spans="1:5" x14ac:dyDescent="0.3">
      <c r="A46">
        <v>3558</v>
      </c>
      <c r="B46" t="s">
        <v>1515</v>
      </c>
      <c r="C46" t="s">
        <v>1471</v>
      </c>
      <c r="D46">
        <v>3795</v>
      </c>
      <c r="E46" t="s">
        <v>579</v>
      </c>
    </row>
    <row r="47" spans="1:5" x14ac:dyDescent="0.3">
      <c r="A47">
        <v>3559</v>
      </c>
      <c r="B47" t="s">
        <v>1516</v>
      </c>
      <c r="C47" t="s">
        <v>1471</v>
      </c>
      <c r="D47">
        <v>3998</v>
      </c>
      <c r="E47" t="s">
        <v>1959</v>
      </c>
    </row>
    <row r="48" spans="1:5" x14ac:dyDescent="0.3">
      <c r="A48">
        <v>3560</v>
      </c>
      <c r="B48" t="s">
        <v>1517</v>
      </c>
      <c r="C48" t="s">
        <v>1471</v>
      </c>
      <c r="D48">
        <v>3984</v>
      </c>
      <c r="E48" t="s">
        <v>1960</v>
      </c>
    </row>
    <row r="49" spans="1:5" x14ac:dyDescent="0.3">
      <c r="A49">
        <v>3562</v>
      </c>
      <c r="B49" t="s">
        <v>1518</v>
      </c>
      <c r="C49" t="s">
        <v>1471</v>
      </c>
      <c r="D49">
        <v>3601</v>
      </c>
      <c r="E49" t="s">
        <v>1961</v>
      </c>
    </row>
    <row r="50" spans="1:5" x14ac:dyDescent="0.3">
      <c r="A50">
        <v>3563</v>
      </c>
      <c r="B50" t="s">
        <v>1519</v>
      </c>
      <c r="C50" t="s">
        <v>1471</v>
      </c>
      <c r="D50">
        <v>3911</v>
      </c>
      <c r="E50" t="s">
        <v>1962</v>
      </c>
    </row>
    <row r="51" spans="1:5" x14ac:dyDescent="0.3">
      <c r="A51">
        <v>3564</v>
      </c>
      <c r="B51" t="s">
        <v>1520</v>
      </c>
      <c r="C51" t="s">
        <v>1471</v>
      </c>
      <c r="D51">
        <v>3953</v>
      </c>
      <c r="E51" t="s">
        <v>1963</v>
      </c>
    </row>
    <row r="52" spans="1:5" x14ac:dyDescent="0.3">
      <c r="A52">
        <v>3566</v>
      </c>
      <c r="B52" t="s">
        <v>1521</v>
      </c>
      <c r="C52" t="s">
        <v>1471</v>
      </c>
      <c r="D52">
        <v>3873</v>
      </c>
      <c r="E52" t="s">
        <v>580</v>
      </c>
    </row>
    <row r="53" spans="1:5" x14ac:dyDescent="0.3">
      <c r="A53">
        <v>3568</v>
      </c>
      <c r="B53" t="s">
        <v>1522</v>
      </c>
      <c r="C53" t="s">
        <v>1471</v>
      </c>
      <c r="D53">
        <v>3745</v>
      </c>
      <c r="E53" t="s">
        <v>1964</v>
      </c>
    </row>
    <row r="54" spans="1:5" x14ac:dyDescent="0.3">
      <c r="A54">
        <v>3569</v>
      </c>
      <c r="B54" t="s">
        <v>1523</v>
      </c>
      <c r="C54" t="s">
        <v>1471</v>
      </c>
      <c r="D54">
        <v>3509</v>
      </c>
      <c r="E54" t="s">
        <v>1965</v>
      </c>
    </row>
    <row r="55" spans="1:5" x14ac:dyDescent="0.3">
      <c r="A55">
        <v>3571</v>
      </c>
      <c r="B55" t="s">
        <v>1524</v>
      </c>
      <c r="C55" t="s">
        <v>1471</v>
      </c>
      <c r="D55">
        <v>3529</v>
      </c>
      <c r="E55" t="s">
        <v>581</v>
      </c>
    </row>
    <row r="56" spans="1:5" x14ac:dyDescent="0.3">
      <c r="A56">
        <v>3572</v>
      </c>
      <c r="B56" t="s">
        <v>1525</v>
      </c>
      <c r="C56" t="s">
        <v>1471</v>
      </c>
      <c r="D56">
        <v>3660</v>
      </c>
      <c r="E56" t="s">
        <v>1966</v>
      </c>
    </row>
    <row r="57" spans="1:5" x14ac:dyDescent="0.3">
      <c r="A57">
        <v>3573</v>
      </c>
      <c r="B57" t="s">
        <v>1526</v>
      </c>
      <c r="C57" t="s">
        <v>1471</v>
      </c>
      <c r="D57">
        <v>3931</v>
      </c>
      <c r="E57" t="s">
        <v>1967</v>
      </c>
    </row>
    <row r="58" spans="1:5" x14ac:dyDescent="0.3">
      <c r="A58">
        <v>3574</v>
      </c>
      <c r="B58" t="s">
        <v>1527</v>
      </c>
      <c r="C58" t="s">
        <v>1471</v>
      </c>
      <c r="D58">
        <v>3679</v>
      </c>
      <c r="E58" t="s">
        <v>1968</v>
      </c>
    </row>
    <row r="59" spans="1:5" x14ac:dyDescent="0.3">
      <c r="A59">
        <v>3575</v>
      </c>
      <c r="B59" t="s">
        <v>1528</v>
      </c>
      <c r="C59" t="s">
        <v>1471</v>
      </c>
      <c r="D59">
        <v>3651</v>
      </c>
      <c r="E59" t="s">
        <v>1969</v>
      </c>
    </row>
    <row r="60" spans="1:5" x14ac:dyDescent="0.3">
      <c r="A60">
        <v>3576</v>
      </c>
      <c r="B60" t="s">
        <v>1529</v>
      </c>
      <c r="C60" t="s">
        <v>1471</v>
      </c>
      <c r="D60">
        <v>3830</v>
      </c>
      <c r="E60" t="s">
        <v>1970</v>
      </c>
    </row>
    <row r="61" spans="1:5" x14ac:dyDescent="0.3">
      <c r="A61">
        <v>3577</v>
      </c>
      <c r="B61" t="s">
        <v>1530</v>
      </c>
      <c r="C61" t="s">
        <v>1471</v>
      </c>
      <c r="D61">
        <v>3793</v>
      </c>
      <c r="E61" t="s">
        <v>1971</v>
      </c>
    </row>
    <row r="62" spans="1:5" x14ac:dyDescent="0.3">
      <c r="A62">
        <v>3579</v>
      </c>
      <c r="B62" t="s">
        <v>1531</v>
      </c>
      <c r="C62" t="s">
        <v>1471</v>
      </c>
      <c r="D62">
        <v>3802</v>
      </c>
      <c r="E62" t="s">
        <v>1972</v>
      </c>
    </row>
    <row r="63" spans="1:5" x14ac:dyDescent="0.3">
      <c r="A63">
        <v>3580</v>
      </c>
      <c r="B63" t="s">
        <v>1532</v>
      </c>
      <c r="C63" t="s">
        <v>1471</v>
      </c>
      <c r="D63">
        <v>4007</v>
      </c>
      <c r="E63" t="s">
        <v>1973</v>
      </c>
    </row>
    <row r="64" spans="1:5" x14ac:dyDescent="0.3">
      <c r="A64">
        <v>3581</v>
      </c>
      <c r="B64" t="s">
        <v>1533</v>
      </c>
      <c r="C64" t="s">
        <v>1471</v>
      </c>
      <c r="D64">
        <v>3708</v>
      </c>
      <c r="E64" t="s">
        <v>1974</v>
      </c>
    </row>
    <row r="65" spans="1:5" x14ac:dyDescent="0.3">
      <c r="A65">
        <v>3583</v>
      </c>
      <c r="B65" t="s">
        <v>1534</v>
      </c>
      <c r="C65" t="s">
        <v>1471</v>
      </c>
      <c r="D65">
        <v>3631</v>
      </c>
      <c r="E65" t="s">
        <v>1975</v>
      </c>
    </row>
    <row r="66" spans="1:5" x14ac:dyDescent="0.3">
      <c r="A66">
        <v>3584</v>
      </c>
      <c r="B66" t="s">
        <v>1535</v>
      </c>
      <c r="C66" t="s">
        <v>1471</v>
      </c>
      <c r="D66">
        <v>3626</v>
      </c>
      <c r="E66" t="s">
        <v>1976</v>
      </c>
    </row>
    <row r="67" spans="1:5" x14ac:dyDescent="0.3">
      <c r="A67">
        <v>3585</v>
      </c>
      <c r="B67" t="s">
        <v>1536</v>
      </c>
      <c r="C67" t="s">
        <v>1471</v>
      </c>
      <c r="D67">
        <v>3967</v>
      </c>
      <c r="E67" t="s">
        <v>1977</v>
      </c>
    </row>
    <row r="68" spans="1:5" x14ac:dyDescent="0.3">
      <c r="A68">
        <v>3587</v>
      </c>
      <c r="B68" t="s">
        <v>1537</v>
      </c>
      <c r="C68" t="s">
        <v>1471</v>
      </c>
      <c r="D68">
        <v>4036</v>
      </c>
      <c r="E68" t="s">
        <v>1978</v>
      </c>
    </row>
    <row r="69" spans="1:5" x14ac:dyDescent="0.3">
      <c r="A69">
        <v>3590</v>
      </c>
      <c r="B69" t="s">
        <v>1538</v>
      </c>
      <c r="C69" t="s">
        <v>1471</v>
      </c>
      <c r="D69">
        <v>3760</v>
      </c>
      <c r="E69" t="s">
        <v>1979</v>
      </c>
    </row>
    <row r="70" spans="1:5" x14ac:dyDescent="0.3">
      <c r="A70">
        <v>3591</v>
      </c>
      <c r="B70" t="s">
        <v>1539</v>
      </c>
      <c r="C70" t="s">
        <v>1471</v>
      </c>
      <c r="D70">
        <v>3521</v>
      </c>
      <c r="E70" t="s">
        <v>1980</v>
      </c>
    </row>
    <row r="71" spans="1:5" x14ac:dyDescent="0.3">
      <c r="A71">
        <v>3592</v>
      </c>
      <c r="B71" t="s">
        <v>1540</v>
      </c>
      <c r="C71" t="s">
        <v>1471</v>
      </c>
      <c r="D71">
        <v>4002</v>
      </c>
      <c r="E71" t="s">
        <v>1981</v>
      </c>
    </row>
    <row r="72" spans="1:5" x14ac:dyDescent="0.3">
      <c r="A72">
        <v>3593</v>
      </c>
      <c r="B72" t="s">
        <v>1541</v>
      </c>
      <c r="C72" t="s">
        <v>1471</v>
      </c>
      <c r="D72">
        <v>3528</v>
      </c>
      <c r="E72" t="s">
        <v>1982</v>
      </c>
    </row>
    <row r="73" spans="1:5" x14ac:dyDescent="0.3">
      <c r="A73">
        <v>3594</v>
      </c>
      <c r="B73" t="s">
        <v>1542</v>
      </c>
      <c r="C73" t="s">
        <v>1471</v>
      </c>
      <c r="D73">
        <v>3736</v>
      </c>
      <c r="E73" t="s">
        <v>1983</v>
      </c>
    </row>
    <row r="74" spans="1:5" x14ac:dyDescent="0.3">
      <c r="A74">
        <v>3595</v>
      </c>
      <c r="B74" t="s">
        <v>1543</v>
      </c>
      <c r="C74" t="s">
        <v>1471</v>
      </c>
      <c r="D74">
        <v>3625</v>
      </c>
      <c r="E74" t="s">
        <v>1984</v>
      </c>
    </row>
    <row r="75" spans="1:5" x14ac:dyDescent="0.3">
      <c r="A75">
        <v>3597</v>
      </c>
      <c r="B75" t="s">
        <v>1544</v>
      </c>
      <c r="C75" t="s">
        <v>1471</v>
      </c>
      <c r="D75">
        <v>3906</v>
      </c>
      <c r="E75" t="s">
        <v>1985</v>
      </c>
    </row>
    <row r="76" spans="1:5" x14ac:dyDescent="0.3">
      <c r="A76">
        <v>3598</v>
      </c>
      <c r="B76" t="s">
        <v>1545</v>
      </c>
      <c r="C76" t="s">
        <v>1471</v>
      </c>
      <c r="D76">
        <v>3921</v>
      </c>
      <c r="E76" t="s">
        <v>1986</v>
      </c>
    </row>
    <row r="77" spans="1:5" x14ac:dyDescent="0.3">
      <c r="A77">
        <v>3599</v>
      </c>
      <c r="B77" t="s">
        <v>1546</v>
      </c>
      <c r="C77" t="s">
        <v>1471</v>
      </c>
      <c r="D77">
        <v>4046</v>
      </c>
      <c r="E77" t="s">
        <v>1987</v>
      </c>
    </row>
    <row r="78" spans="1:5" x14ac:dyDescent="0.3">
      <c r="A78">
        <v>3600</v>
      </c>
      <c r="B78" t="s">
        <v>1547</v>
      </c>
      <c r="C78" t="s">
        <v>1471</v>
      </c>
      <c r="D78">
        <v>3912</v>
      </c>
      <c r="E78" t="s">
        <v>1988</v>
      </c>
    </row>
    <row r="79" spans="1:5" x14ac:dyDescent="0.3">
      <c r="A79">
        <v>3601</v>
      </c>
      <c r="C79" t="s">
        <v>1510</v>
      </c>
      <c r="D79">
        <v>4029</v>
      </c>
      <c r="E79" t="s">
        <v>1989</v>
      </c>
    </row>
    <row r="80" spans="1:5" x14ac:dyDescent="0.3">
      <c r="A80">
        <v>3602</v>
      </c>
      <c r="B80" t="s">
        <v>1548</v>
      </c>
      <c r="C80" t="s">
        <v>1471</v>
      </c>
      <c r="D80">
        <v>3782</v>
      </c>
      <c r="E80" t="s">
        <v>1990</v>
      </c>
    </row>
    <row r="81" spans="1:5" x14ac:dyDescent="0.3">
      <c r="A81">
        <v>3604</v>
      </c>
      <c r="B81" t="s">
        <v>1549</v>
      </c>
      <c r="C81" t="s">
        <v>1471</v>
      </c>
      <c r="D81">
        <v>3955</v>
      </c>
      <c r="E81" t="s">
        <v>1991</v>
      </c>
    </row>
    <row r="82" spans="1:5" x14ac:dyDescent="0.3">
      <c r="A82">
        <v>3605</v>
      </c>
      <c r="B82" t="s">
        <v>1550</v>
      </c>
      <c r="C82" t="s">
        <v>1471</v>
      </c>
      <c r="D82">
        <v>3632</v>
      </c>
      <c r="E82" t="s">
        <v>582</v>
      </c>
    </row>
    <row r="83" spans="1:5" x14ac:dyDescent="0.3">
      <c r="A83">
        <v>3606</v>
      </c>
      <c r="B83" t="s">
        <v>1551</v>
      </c>
      <c r="C83" t="s">
        <v>1471</v>
      </c>
      <c r="D83">
        <v>4048</v>
      </c>
      <c r="E83" t="s">
        <v>1992</v>
      </c>
    </row>
    <row r="84" spans="1:5" x14ac:dyDescent="0.3">
      <c r="A84">
        <v>3608</v>
      </c>
      <c r="B84" t="s">
        <v>1552</v>
      </c>
      <c r="C84" t="s">
        <v>1471</v>
      </c>
      <c r="D84">
        <v>3824</v>
      </c>
      <c r="E84" t="s">
        <v>1993</v>
      </c>
    </row>
    <row r="85" spans="1:5" x14ac:dyDescent="0.3">
      <c r="A85">
        <v>3609</v>
      </c>
      <c r="B85" t="s">
        <v>1553</v>
      </c>
      <c r="C85" t="s">
        <v>1471</v>
      </c>
      <c r="D85">
        <v>3493</v>
      </c>
      <c r="E85" t="s">
        <v>1994</v>
      </c>
    </row>
    <row r="86" spans="1:5" x14ac:dyDescent="0.3">
      <c r="A86">
        <v>3610</v>
      </c>
      <c r="B86" t="s">
        <v>1554</v>
      </c>
      <c r="C86" t="s">
        <v>1471</v>
      </c>
      <c r="D86">
        <v>4032</v>
      </c>
      <c r="E86" t="s">
        <v>1995</v>
      </c>
    </row>
    <row r="87" spans="1:5" x14ac:dyDescent="0.3">
      <c r="A87">
        <v>3611</v>
      </c>
      <c r="B87" t="s">
        <v>1555</v>
      </c>
      <c r="C87" t="s">
        <v>1471</v>
      </c>
      <c r="D87">
        <v>3775</v>
      </c>
      <c r="E87" t="s">
        <v>1996</v>
      </c>
    </row>
    <row r="88" spans="1:5" x14ac:dyDescent="0.3">
      <c r="A88">
        <v>3612</v>
      </c>
      <c r="B88" t="s">
        <v>1556</v>
      </c>
      <c r="C88" t="s">
        <v>1471</v>
      </c>
      <c r="D88">
        <v>3826</v>
      </c>
      <c r="E88" t="s">
        <v>583</v>
      </c>
    </row>
    <row r="89" spans="1:5" x14ac:dyDescent="0.3">
      <c r="A89">
        <v>3613</v>
      </c>
      <c r="B89" t="s">
        <v>1557</v>
      </c>
      <c r="C89" t="s">
        <v>1471</v>
      </c>
      <c r="D89">
        <v>3876</v>
      </c>
      <c r="E89" t="s">
        <v>1997</v>
      </c>
    </row>
    <row r="90" spans="1:5" x14ac:dyDescent="0.3">
      <c r="A90">
        <v>3614</v>
      </c>
      <c r="B90" t="s">
        <v>1558</v>
      </c>
      <c r="C90" t="s">
        <v>1471</v>
      </c>
      <c r="D90">
        <v>3786</v>
      </c>
      <c r="E90" t="s">
        <v>584</v>
      </c>
    </row>
    <row r="91" spans="1:5" x14ac:dyDescent="0.3">
      <c r="A91">
        <v>3617</v>
      </c>
      <c r="B91" t="s">
        <v>1559</v>
      </c>
      <c r="C91" t="s">
        <v>1471</v>
      </c>
      <c r="D91">
        <v>3778</v>
      </c>
      <c r="E91" t="s">
        <v>1998</v>
      </c>
    </row>
    <row r="92" spans="1:5" x14ac:dyDescent="0.3">
      <c r="A92">
        <v>3621</v>
      </c>
      <c r="B92" t="s">
        <v>1560</v>
      </c>
      <c r="C92" t="s">
        <v>1471</v>
      </c>
      <c r="D92">
        <v>3797</v>
      </c>
      <c r="E92" t="s">
        <v>1999</v>
      </c>
    </row>
    <row r="93" spans="1:5" x14ac:dyDescent="0.3">
      <c r="A93">
        <v>3622</v>
      </c>
      <c r="B93" t="s">
        <v>1561</v>
      </c>
      <c r="C93" t="s">
        <v>1471</v>
      </c>
      <c r="D93">
        <v>3979</v>
      </c>
      <c r="E93" t="s">
        <v>2000</v>
      </c>
    </row>
    <row r="94" spans="1:5" x14ac:dyDescent="0.3">
      <c r="A94">
        <v>3625</v>
      </c>
      <c r="B94" t="s">
        <v>1562</v>
      </c>
      <c r="C94" t="s">
        <v>1471</v>
      </c>
      <c r="D94">
        <v>3962</v>
      </c>
      <c r="E94" t="s">
        <v>585</v>
      </c>
    </row>
    <row r="95" spans="1:5" x14ac:dyDescent="0.3">
      <c r="A95">
        <v>3626</v>
      </c>
      <c r="B95" t="s">
        <v>1563</v>
      </c>
      <c r="C95" t="s">
        <v>1471</v>
      </c>
      <c r="D95">
        <v>3542</v>
      </c>
      <c r="E95" t="s">
        <v>2001</v>
      </c>
    </row>
    <row r="96" spans="1:5" x14ac:dyDescent="0.3">
      <c r="A96">
        <v>3627</v>
      </c>
      <c r="C96" t="s">
        <v>1510</v>
      </c>
      <c r="D96">
        <v>3580</v>
      </c>
      <c r="E96" t="s">
        <v>2002</v>
      </c>
    </row>
    <row r="97" spans="1:5" x14ac:dyDescent="0.3">
      <c r="A97">
        <v>3628</v>
      </c>
      <c r="B97" t="s">
        <v>1564</v>
      </c>
      <c r="C97" t="s">
        <v>1471</v>
      </c>
      <c r="D97">
        <v>3611</v>
      </c>
      <c r="E97" t="s">
        <v>2003</v>
      </c>
    </row>
    <row r="98" spans="1:5" x14ac:dyDescent="0.3">
      <c r="A98">
        <v>3630</v>
      </c>
      <c r="B98" t="s">
        <v>1565</v>
      </c>
      <c r="C98" t="s">
        <v>1471</v>
      </c>
      <c r="D98">
        <v>4005</v>
      </c>
      <c r="E98" t="s">
        <v>2004</v>
      </c>
    </row>
    <row r="99" spans="1:5" x14ac:dyDescent="0.3">
      <c r="A99">
        <v>3631</v>
      </c>
      <c r="B99" t="s">
        <v>1566</v>
      </c>
      <c r="C99" t="s">
        <v>1471</v>
      </c>
      <c r="D99">
        <v>3652</v>
      </c>
      <c r="E99" t="s">
        <v>2005</v>
      </c>
    </row>
    <row r="100" spans="1:5" x14ac:dyDescent="0.3">
      <c r="A100">
        <v>3632</v>
      </c>
      <c r="B100" t="s">
        <v>1567</v>
      </c>
      <c r="C100" t="s">
        <v>1471</v>
      </c>
      <c r="D100">
        <v>3942</v>
      </c>
      <c r="E100" t="s">
        <v>586</v>
      </c>
    </row>
    <row r="101" spans="1:5" x14ac:dyDescent="0.3">
      <c r="A101">
        <v>3633</v>
      </c>
      <c r="B101" t="s">
        <v>1568</v>
      </c>
      <c r="C101" t="s">
        <v>1471</v>
      </c>
      <c r="D101">
        <v>4026</v>
      </c>
      <c r="E101" t="s">
        <v>2006</v>
      </c>
    </row>
    <row r="102" spans="1:5" x14ac:dyDescent="0.3">
      <c r="A102">
        <v>3634</v>
      </c>
      <c r="B102" t="s">
        <v>1569</v>
      </c>
      <c r="C102" t="s">
        <v>1471</v>
      </c>
      <c r="D102">
        <v>4031</v>
      </c>
      <c r="E102" t="s">
        <v>2007</v>
      </c>
    </row>
    <row r="103" spans="1:5" x14ac:dyDescent="0.3">
      <c r="A103">
        <v>3636</v>
      </c>
      <c r="B103" t="s">
        <v>1570</v>
      </c>
      <c r="C103" t="s">
        <v>1471</v>
      </c>
      <c r="D103">
        <v>3577</v>
      </c>
      <c r="E103" t="s">
        <v>2008</v>
      </c>
    </row>
    <row r="104" spans="1:5" x14ac:dyDescent="0.3">
      <c r="A104">
        <v>3638</v>
      </c>
      <c r="B104" t="s">
        <v>1571</v>
      </c>
      <c r="C104" t="s">
        <v>1471</v>
      </c>
      <c r="D104">
        <v>3908</v>
      </c>
      <c r="E104" t="s">
        <v>2009</v>
      </c>
    </row>
    <row r="105" spans="1:5" x14ac:dyDescent="0.3">
      <c r="A105">
        <v>3641</v>
      </c>
      <c r="B105" t="s">
        <v>1572</v>
      </c>
      <c r="C105" t="s">
        <v>1471</v>
      </c>
      <c r="D105">
        <v>3977</v>
      </c>
      <c r="E105" t="s">
        <v>2010</v>
      </c>
    </row>
    <row r="106" spans="1:5" x14ac:dyDescent="0.3">
      <c r="A106">
        <v>3642</v>
      </c>
      <c r="B106" t="s">
        <v>1573</v>
      </c>
      <c r="C106" t="s">
        <v>1471</v>
      </c>
      <c r="D106">
        <v>3609</v>
      </c>
      <c r="E106" t="s">
        <v>2011</v>
      </c>
    </row>
    <row r="107" spans="1:5" x14ac:dyDescent="0.3">
      <c r="A107">
        <v>3643</v>
      </c>
      <c r="B107" t="s">
        <v>1574</v>
      </c>
      <c r="C107" t="s">
        <v>1471</v>
      </c>
      <c r="D107">
        <v>3924</v>
      </c>
      <c r="E107" t="s">
        <v>2012</v>
      </c>
    </row>
    <row r="108" spans="1:5" x14ac:dyDescent="0.3">
      <c r="A108">
        <v>3644</v>
      </c>
      <c r="B108" t="s">
        <v>1575</v>
      </c>
      <c r="C108" t="s">
        <v>1471</v>
      </c>
      <c r="D108">
        <v>3980</v>
      </c>
      <c r="E108" t="s">
        <v>2013</v>
      </c>
    </row>
    <row r="109" spans="1:5" x14ac:dyDescent="0.3">
      <c r="A109">
        <v>3645</v>
      </c>
      <c r="B109" t="s">
        <v>1576</v>
      </c>
      <c r="C109" t="s">
        <v>1471</v>
      </c>
      <c r="D109">
        <v>4045</v>
      </c>
      <c r="E109" t="s">
        <v>2014</v>
      </c>
    </row>
    <row r="110" spans="1:5" x14ac:dyDescent="0.3">
      <c r="A110">
        <v>3648</v>
      </c>
      <c r="B110" t="s">
        <v>1577</v>
      </c>
      <c r="C110" t="s">
        <v>1471</v>
      </c>
      <c r="D110">
        <v>3770</v>
      </c>
      <c r="E110" t="s">
        <v>2015</v>
      </c>
    </row>
    <row r="111" spans="1:5" x14ac:dyDescent="0.3">
      <c r="A111">
        <v>3649</v>
      </c>
      <c r="B111" t="s">
        <v>1578</v>
      </c>
      <c r="C111" t="s">
        <v>1471</v>
      </c>
      <c r="D111">
        <v>3926</v>
      </c>
      <c r="E111" t="s">
        <v>2016</v>
      </c>
    </row>
    <row r="112" spans="1:5" x14ac:dyDescent="0.3">
      <c r="A112">
        <v>3651</v>
      </c>
      <c r="B112" t="s">
        <v>1579</v>
      </c>
      <c r="C112" t="s">
        <v>1471</v>
      </c>
      <c r="D112">
        <v>3959</v>
      </c>
      <c r="E112" t="s">
        <v>1413</v>
      </c>
    </row>
    <row r="113" spans="1:5" x14ac:dyDescent="0.3">
      <c r="A113">
        <v>3652</v>
      </c>
      <c r="B113" t="s">
        <v>1580</v>
      </c>
      <c r="C113" t="s">
        <v>1471</v>
      </c>
      <c r="D113">
        <v>3765</v>
      </c>
      <c r="E113" t="s">
        <v>2017</v>
      </c>
    </row>
    <row r="114" spans="1:5" x14ac:dyDescent="0.3">
      <c r="A114">
        <v>3656</v>
      </c>
      <c r="B114" t="s">
        <v>1581</v>
      </c>
      <c r="C114" t="s">
        <v>1471</v>
      </c>
      <c r="D114">
        <v>3913</v>
      </c>
      <c r="E114" t="s">
        <v>2018</v>
      </c>
    </row>
    <row r="115" spans="1:5" x14ac:dyDescent="0.3">
      <c r="A115">
        <v>3657</v>
      </c>
      <c r="B115" t="s">
        <v>1582</v>
      </c>
      <c r="C115" t="s">
        <v>1471</v>
      </c>
      <c r="D115">
        <v>3636</v>
      </c>
      <c r="E115" t="s">
        <v>2019</v>
      </c>
    </row>
    <row r="116" spans="1:5" x14ac:dyDescent="0.3">
      <c r="A116">
        <v>3658</v>
      </c>
      <c r="C116" t="s">
        <v>1510</v>
      </c>
      <c r="D116">
        <v>3973</v>
      </c>
      <c r="E116" t="s">
        <v>2020</v>
      </c>
    </row>
    <row r="117" spans="1:5" x14ac:dyDescent="0.3">
      <c r="A117">
        <v>3660</v>
      </c>
      <c r="B117" t="s">
        <v>1583</v>
      </c>
      <c r="C117" t="s">
        <v>1471</v>
      </c>
      <c r="D117">
        <v>3735</v>
      </c>
      <c r="E117" t="s">
        <v>2021</v>
      </c>
    </row>
    <row r="118" spans="1:5" x14ac:dyDescent="0.3">
      <c r="A118">
        <v>3661</v>
      </c>
      <c r="B118" t="s">
        <v>1584</v>
      </c>
      <c r="C118" t="s">
        <v>1471</v>
      </c>
      <c r="D118">
        <v>3537</v>
      </c>
      <c r="E118" t="s">
        <v>2022</v>
      </c>
    </row>
    <row r="119" spans="1:5" x14ac:dyDescent="0.3">
      <c r="A119">
        <v>3662</v>
      </c>
      <c r="B119" t="s">
        <v>1585</v>
      </c>
      <c r="C119" t="s">
        <v>1471</v>
      </c>
      <c r="D119">
        <v>3813</v>
      </c>
      <c r="E119" t="s">
        <v>2023</v>
      </c>
    </row>
    <row r="120" spans="1:5" x14ac:dyDescent="0.3">
      <c r="A120">
        <v>3663</v>
      </c>
      <c r="B120" t="s">
        <v>1586</v>
      </c>
      <c r="C120" t="s">
        <v>1471</v>
      </c>
      <c r="D120">
        <v>4018</v>
      </c>
      <c r="E120" t="s">
        <v>2024</v>
      </c>
    </row>
    <row r="121" spans="1:5" x14ac:dyDescent="0.3">
      <c r="A121">
        <v>3665</v>
      </c>
      <c r="B121" t="s">
        <v>1587</v>
      </c>
      <c r="C121" t="s">
        <v>1471</v>
      </c>
      <c r="D121">
        <v>3556</v>
      </c>
      <c r="E121" t="s">
        <v>2025</v>
      </c>
    </row>
    <row r="122" spans="1:5" x14ac:dyDescent="0.3">
      <c r="A122">
        <v>3666</v>
      </c>
      <c r="B122" t="s">
        <v>1588</v>
      </c>
      <c r="C122" t="s">
        <v>1471</v>
      </c>
      <c r="D122">
        <v>3558</v>
      </c>
      <c r="E122" t="s">
        <v>2026</v>
      </c>
    </row>
    <row r="123" spans="1:5" x14ac:dyDescent="0.3">
      <c r="A123">
        <v>3667</v>
      </c>
      <c r="B123" t="s">
        <v>1589</v>
      </c>
      <c r="C123" t="s">
        <v>1471</v>
      </c>
      <c r="D123">
        <v>3886</v>
      </c>
      <c r="E123" t="s">
        <v>2027</v>
      </c>
    </row>
    <row r="124" spans="1:5" x14ac:dyDescent="0.3">
      <c r="A124">
        <v>3668</v>
      </c>
      <c r="B124" t="s">
        <v>1590</v>
      </c>
      <c r="C124" t="s">
        <v>1471</v>
      </c>
      <c r="D124">
        <v>3949</v>
      </c>
      <c r="E124" t="s">
        <v>2028</v>
      </c>
    </row>
    <row r="125" spans="1:5" x14ac:dyDescent="0.3">
      <c r="A125">
        <v>3669</v>
      </c>
      <c r="B125" t="s">
        <v>1591</v>
      </c>
      <c r="C125" t="s">
        <v>1471</v>
      </c>
      <c r="D125">
        <v>3501</v>
      </c>
      <c r="E125" t="s">
        <v>2029</v>
      </c>
    </row>
    <row r="126" spans="1:5" x14ac:dyDescent="0.3">
      <c r="A126">
        <v>3672</v>
      </c>
      <c r="B126" t="s">
        <v>1592</v>
      </c>
      <c r="C126" t="s">
        <v>1471</v>
      </c>
      <c r="D126">
        <v>3956</v>
      </c>
      <c r="E126" t="s">
        <v>2030</v>
      </c>
    </row>
    <row r="127" spans="1:5" x14ac:dyDescent="0.3">
      <c r="A127">
        <v>3673</v>
      </c>
      <c r="B127" t="s">
        <v>1593</v>
      </c>
      <c r="C127" t="s">
        <v>1471</v>
      </c>
      <c r="D127">
        <v>3971</v>
      </c>
      <c r="E127" t="s">
        <v>2031</v>
      </c>
    </row>
    <row r="128" spans="1:5" x14ac:dyDescent="0.3">
      <c r="A128">
        <v>3674</v>
      </c>
      <c r="B128" t="s">
        <v>1594</v>
      </c>
      <c r="C128" t="s">
        <v>1471</v>
      </c>
      <c r="D128">
        <v>3642</v>
      </c>
      <c r="E128" t="s">
        <v>2032</v>
      </c>
    </row>
    <row r="129" spans="1:5" x14ac:dyDescent="0.3">
      <c r="A129">
        <v>3676</v>
      </c>
      <c r="B129" t="s">
        <v>1595</v>
      </c>
      <c r="C129" t="s">
        <v>1471</v>
      </c>
      <c r="D129">
        <v>3575</v>
      </c>
      <c r="E129" t="s">
        <v>2033</v>
      </c>
    </row>
    <row r="130" spans="1:5" x14ac:dyDescent="0.3">
      <c r="A130">
        <v>3679</v>
      </c>
      <c r="B130" t="s">
        <v>1596</v>
      </c>
      <c r="C130" t="s">
        <v>1471</v>
      </c>
      <c r="D130">
        <v>3666</v>
      </c>
      <c r="E130" t="s">
        <v>2034</v>
      </c>
    </row>
    <row r="131" spans="1:5" x14ac:dyDescent="0.3">
      <c r="A131">
        <v>3681</v>
      </c>
      <c r="B131" t="s">
        <v>1597</v>
      </c>
      <c r="C131" t="s">
        <v>1471</v>
      </c>
      <c r="D131">
        <v>3976</v>
      </c>
      <c r="E131" t="s">
        <v>2035</v>
      </c>
    </row>
    <row r="132" spans="1:5" x14ac:dyDescent="0.3">
      <c r="A132">
        <v>3682</v>
      </c>
      <c r="B132" t="s">
        <v>1598</v>
      </c>
      <c r="C132" t="s">
        <v>1471</v>
      </c>
      <c r="D132">
        <v>3790</v>
      </c>
      <c r="E132" t="s">
        <v>2036</v>
      </c>
    </row>
    <row r="133" spans="1:5" x14ac:dyDescent="0.3">
      <c r="A133">
        <v>3685</v>
      </c>
      <c r="B133" t="s">
        <v>1599</v>
      </c>
      <c r="C133" t="s">
        <v>1471</v>
      </c>
      <c r="D133">
        <v>3821</v>
      </c>
      <c r="E133" t="s">
        <v>2037</v>
      </c>
    </row>
    <row r="134" spans="1:5" x14ac:dyDescent="0.3">
      <c r="A134">
        <v>3687</v>
      </c>
      <c r="B134" t="s">
        <v>1600</v>
      </c>
      <c r="C134" t="s">
        <v>1471</v>
      </c>
      <c r="D134">
        <v>3987</v>
      </c>
      <c r="E134" t="s">
        <v>2038</v>
      </c>
    </row>
    <row r="135" spans="1:5" x14ac:dyDescent="0.3">
      <c r="A135">
        <v>3688</v>
      </c>
      <c r="B135" t="s">
        <v>1601</v>
      </c>
      <c r="C135" t="s">
        <v>1471</v>
      </c>
      <c r="D135">
        <v>4050</v>
      </c>
      <c r="E135" t="s">
        <v>2039</v>
      </c>
    </row>
    <row r="136" spans="1:5" x14ac:dyDescent="0.3">
      <c r="A136">
        <v>3694</v>
      </c>
      <c r="B136" t="s">
        <v>1602</v>
      </c>
      <c r="C136" t="s">
        <v>1471</v>
      </c>
      <c r="D136">
        <v>3563</v>
      </c>
      <c r="E136" t="s">
        <v>2040</v>
      </c>
    </row>
    <row r="137" spans="1:5" x14ac:dyDescent="0.3">
      <c r="A137">
        <v>3696</v>
      </c>
      <c r="B137" t="s">
        <v>1603</v>
      </c>
      <c r="C137" t="s">
        <v>1471</v>
      </c>
      <c r="D137">
        <v>3592</v>
      </c>
      <c r="E137" t="s">
        <v>2041</v>
      </c>
    </row>
    <row r="138" spans="1:5" x14ac:dyDescent="0.3">
      <c r="A138">
        <v>3697</v>
      </c>
      <c r="B138" t="s">
        <v>1604</v>
      </c>
      <c r="C138" t="s">
        <v>1471</v>
      </c>
      <c r="D138">
        <v>3930</v>
      </c>
      <c r="E138" t="s">
        <v>2042</v>
      </c>
    </row>
    <row r="139" spans="1:5" x14ac:dyDescent="0.3">
      <c r="A139">
        <v>3698</v>
      </c>
      <c r="B139" t="s">
        <v>1605</v>
      </c>
      <c r="C139" t="s">
        <v>1471</v>
      </c>
      <c r="D139">
        <v>3784</v>
      </c>
      <c r="E139" t="s">
        <v>2043</v>
      </c>
    </row>
    <row r="140" spans="1:5" x14ac:dyDescent="0.3">
      <c r="A140">
        <v>3700</v>
      </c>
      <c r="B140" t="s">
        <v>1606</v>
      </c>
      <c r="C140" t="s">
        <v>1471</v>
      </c>
      <c r="D140">
        <v>3630</v>
      </c>
      <c r="E140" t="s">
        <v>2044</v>
      </c>
    </row>
    <row r="141" spans="1:5" x14ac:dyDescent="0.3">
      <c r="A141">
        <v>3702</v>
      </c>
      <c r="B141" t="s">
        <v>1607</v>
      </c>
      <c r="C141" t="s">
        <v>1471</v>
      </c>
      <c r="D141">
        <v>4054</v>
      </c>
      <c r="E141" t="s">
        <v>2045</v>
      </c>
    </row>
    <row r="142" spans="1:5" x14ac:dyDescent="0.3">
      <c r="A142">
        <v>3703</v>
      </c>
      <c r="B142" t="s">
        <v>1608</v>
      </c>
      <c r="C142" t="s">
        <v>1471</v>
      </c>
      <c r="D142">
        <v>3605</v>
      </c>
      <c r="E142" t="s">
        <v>2046</v>
      </c>
    </row>
    <row r="143" spans="1:5" x14ac:dyDescent="0.3">
      <c r="A143">
        <v>3706</v>
      </c>
      <c r="B143" t="s">
        <v>1609</v>
      </c>
      <c r="C143" t="s">
        <v>1471</v>
      </c>
      <c r="D143">
        <v>3794</v>
      </c>
      <c r="E143" t="s">
        <v>2047</v>
      </c>
    </row>
    <row r="144" spans="1:5" x14ac:dyDescent="0.3">
      <c r="A144">
        <v>3707</v>
      </c>
      <c r="C144" t="s">
        <v>1510</v>
      </c>
      <c r="D144">
        <v>3572</v>
      </c>
      <c r="E144" t="s">
        <v>2048</v>
      </c>
    </row>
    <row r="145" spans="1:5" x14ac:dyDescent="0.3">
      <c r="A145">
        <v>3708</v>
      </c>
      <c r="B145" t="s">
        <v>1610</v>
      </c>
      <c r="C145" t="s">
        <v>1471</v>
      </c>
      <c r="D145">
        <v>3872</v>
      </c>
      <c r="E145" t="s">
        <v>2049</v>
      </c>
    </row>
    <row r="146" spans="1:5" x14ac:dyDescent="0.3">
      <c r="A146">
        <v>3710</v>
      </c>
      <c r="B146" t="s">
        <v>1611</v>
      </c>
      <c r="C146" t="s">
        <v>1471</v>
      </c>
      <c r="D146">
        <v>3599</v>
      </c>
      <c r="E146" t="s">
        <v>2050</v>
      </c>
    </row>
    <row r="147" spans="1:5" x14ac:dyDescent="0.3">
      <c r="A147">
        <v>3711</v>
      </c>
      <c r="B147" t="s">
        <v>1612</v>
      </c>
      <c r="C147" t="s">
        <v>1471</v>
      </c>
      <c r="D147">
        <v>3832</v>
      </c>
      <c r="E147" t="s">
        <v>2051</v>
      </c>
    </row>
    <row r="148" spans="1:5" x14ac:dyDescent="0.3">
      <c r="A148">
        <v>3712</v>
      </c>
      <c r="B148" t="s">
        <v>1613</v>
      </c>
      <c r="C148" t="s">
        <v>1471</v>
      </c>
      <c r="D148">
        <v>3789</v>
      </c>
      <c r="E148" t="s">
        <v>2052</v>
      </c>
    </row>
    <row r="149" spans="1:5" x14ac:dyDescent="0.3">
      <c r="A149">
        <v>3713</v>
      </c>
      <c r="B149" t="s">
        <v>1614</v>
      </c>
      <c r="C149" t="s">
        <v>1471</v>
      </c>
      <c r="D149">
        <v>4027</v>
      </c>
      <c r="E149" t="s">
        <v>2053</v>
      </c>
    </row>
    <row r="150" spans="1:5" x14ac:dyDescent="0.3">
      <c r="A150">
        <v>3714</v>
      </c>
      <c r="B150" t="s">
        <v>1615</v>
      </c>
      <c r="C150" t="s">
        <v>1471</v>
      </c>
      <c r="D150">
        <v>4023</v>
      </c>
      <c r="E150" t="s">
        <v>2054</v>
      </c>
    </row>
    <row r="151" spans="1:5" x14ac:dyDescent="0.3">
      <c r="A151">
        <v>3715</v>
      </c>
      <c r="B151" t="s">
        <v>1616</v>
      </c>
      <c r="C151" t="s">
        <v>1471</v>
      </c>
      <c r="D151">
        <v>3854</v>
      </c>
      <c r="E151" t="s">
        <v>2055</v>
      </c>
    </row>
    <row r="152" spans="1:5" x14ac:dyDescent="0.3">
      <c r="A152">
        <v>3718</v>
      </c>
      <c r="B152" t="s">
        <v>1617</v>
      </c>
      <c r="C152" t="s">
        <v>1471</v>
      </c>
      <c r="D152">
        <v>4012</v>
      </c>
      <c r="E152" t="s">
        <v>2056</v>
      </c>
    </row>
    <row r="153" spans="1:5" x14ac:dyDescent="0.3">
      <c r="A153">
        <v>3719</v>
      </c>
      <c r="B153" t="s">
        <v>1618</v>
      </c>
      <c r="C153" t="s">
        <v>1471</v>
      </c>
      <c r="D153">
        <v>3731</v>
      </c>
      <c r="E153" t="s">
        <v>2057</v>
      </c>
    </row>
    <row r="154" spans="1:5" x14ac:dyDescent="0.3">
      <c r="A154">
        <v>3720</v>
      </c>
      <c r="B154" t="s">
        <v>1619</v>
      </c>
      <c r="C154" t="s">
        <v>1471</v>
      </c>
      <c r="D154">
        <v>3584</v>
      </c>
      <c r="E154" t="s">
        <v>2058</v>
      </c>
    </row>
    <row r="155" spans="1:5" x14ac:dyDescent="0.3">
      <c r="A155">
        <v>3721</v>
      </c>
      <c r="B155" t="s">
        <v>1620</v>
      </c>
      <c r="C155" t="s">
        <v>1471</v>
      </c>
      <c r="D155">
        <v>4024</v>
      </c>
      <c r="E155" t="s">
        <v>2059</v>
      </c>
    </row>
    <row r="156" spans="1:5" x14ac:dyDescent="0.3">
      <c r="A156">
        <v>3722</v>
      </c>
      <c r="B156" t="s">
        <v>1621</v>
      </c>
      <c r="C156" t="s">
        <v>1471</v>
      </c>
      <c r="D156">
        <v>3644</v>
      </c>
      <c r="E156" t="s">
        <v>2060</v>
      </c>
    </row>
    <row r="157" spans="1:5" x14ac:dyDescent="0.3">
      <c r="A157">
        <v>3728</v>
      </c>
      <c r="B157" t="s">
        <v>1622</v>
      </c>
      <c r="C157" t="s">
        <v>1471</v>
      </c>
      <c r="D157">
        <v>3643</v>
      </c>
      <c r="E157" t="s">
        <v>2061</v>
      </c>
    </row>
    <row r="158" spans="1:5" x14ac:dyDescent="0.3">
      <c r="A158">
        <v>3729</v>
      </c>
      <c r="B158" t="s">
        <v>1623</v>
      </c>
      <c r="C158" t="s">
        <v>1471</v>
      </c>
      <c r="D158">
        <v>3523</v>
      </c>
      <c r="E158" t="s">
        <v>2062</v>
      </c>
    </row>
    <row r="159" spans="1:5" x14ac:dyDescent="0.3">
      <c r="A159">
        <v>3731</v>
      </c>
      <c r="B159" t="s">
        <v>1624</v>
      </c>
      <c r="C159" t="s">
        <v>1471</v>
      </c>
      <c r="D159">
        <v>3792</v>
      </c>
      <c r="E159" t="s">
        <v>2063</v>
      </c>
    </row>
    <row r="160" spans="1:5" x14ac:dyDescent="0.3">
      <c r="A160">
        <v>3735</v>
      </c>
      <c r="B160" t="s">
        <v>1625</v>
      </c>
      <c r="C160" t="s">
        <v>1471</v>
      </c>
      <c r="D160">
        <v>3608</v>
      </c>
      <c r="E160" t="s">
        <v>2064</v>
      </c>
    </row>
    <row r="161" spans="1:5" x14ac:dyDescent="0.3">
      <c r="A161">
        <v>3736</v>
      </c>
      <c r="B161" t="s">
        <v>1626</v>
      </c>
      <c r="C161" t="s">
        <v>1471</v>
      </c>
      <c r="D161">
        <v>4008</v>
      </c>
      <c r="E161" t="s">
        <v>2065</v>
      </c>
    </row>
    <row r="162" spans="1:5" x14ac:dyDescent="0.3">
      <c r="A162">
        <v>3737</v>
      </c>
      <c r="B162" t="s">
        <v>1627</v>
      </c>
      <c r="C162" t="s">
        <v>1471</v>
      </c>
      <c r="D162">
        <v>3750</v>
      </c>
      <c r="E162" t="s">
        <v>2066</v>
      </c>
    </row>
    <row r="163" spans="1:5" x14ac:dyDescent="0.3">
      <c r="A163">
        <v>3738</v>
      </c>
      <c r="B163" t="s">
        <v>1628</v>
      </c>
      <c r="C163" t="s">
        <v>1471</v>
      </c>
      <c r="D163">
        <v>3604</v>
      </c>
      <c r="E163" t="s">
        <v>2067</v>
      </c>
    </row>
    <row r="164" spans="1:5" x14ac:dyDescent="0.3">
      <c r="A164">
        <v>3741</v>
      </c>
      <c r="B164" t="s">
        <v>1629</v>
      </c>
      <c r="C164" t="s">
        <v>1471</v>
      </c>
      <c r="D164">
        <v>3517</v>
      </c>
      <c r="E164" t="s">
        <v>2068</v>
      </c>
    </row>
    <row r="165" spans="1:5" x14ac:dyDescent="0.3">
      <c r="A165">
        <v>3743</v>
      </c>
      <c r="B165" t="s">
        <v>1630</v>
      </c>
      <c r="C165" t="s">
        <v>1471</v>
      </c>
      <c r="D165">
        <v>3883</v>
      </c>
      <c r="E165" t="s">
        <v>2069</v>
      </c>
    </row>
    <row r="166" spans="1:5" x14ac:dyDescent="0.3">
      <c r="A166">
        <v>3745</v>
      </c>
      <c r="B166" t="s">
        <v>1631</v>
      </c>
      <c r="C166" t="s">
        <v>1471</v>
      </c>
      <c r="D166">
        <v>3916</v>
      </c>
      <c r="E166" t="s">
        <v>2070</v>
      </c>
    </row>
    <row r="167" spans="1:5" x14ac:dyDescent="0.3">
      <c r="A167">
        <v>3748</v>
      </c>
      <c r="B167" t="s">
        <v>1632</v>
      </c>
      <c r="C167" t="s">
        <v>1471</v>
      </c>
      <c r="D167">
        <v>3548</v>
      </c>
      <c r="E167" t="s">
        <v>2071</v>
      </c>
    </row>
    <row r="168" spans="1:5" x14ac:dyDescent="0.3">
      <c r="A168">
        <v>3749</v>
      </c>
      <c r="B168" t="s">
        <v>1633</v>
      </c>
      <c r="C168" t="s">
        <v>1471</v>
      </c>
      <c r="D168">
        <v>3938</v>
      </c>
      <c r="E168" t="s">
        <v>2072</v>
      </c>
    </row>
    <row r="169" spans="1:5" x14ac:dyDescent="0.3">
      <c r="A169">
        <v>3750</v>
      </c>
      <c r="B169" t="s">
        <v>1634</v>
      </c>
      <c r="C169" t="s">
        <v>1471</v>
      </c>
      <c r="D169">
        <v>3999</v>
      </c>
      <c r="E169" t="s">
        <v>2073</v>
      </c>
    </row>
    <row r="170" spans="1:5" x14ac:dyDescent="0.3">
      <c r="A170">
        <v>3755</v>
      </c>
      <c r="B170" t="s">
        <v>1635</v>
      </c>
      <c r="C170" t="s">
        <v>1471</v>
      </c>
      <c r="D170">
        <v>3808</v>
      </c>
      <c r="E170" t="s">
        <v>2074</v>
      </c>
    </row>
    <row r="171" spans="1:5" x14ac:dyDescent="0.3">
      <c r="A171">
        <v>3756</v>
      </c>
      <c r="B171" t="s">
        <v>1636</v>
      </c>
      <c r="C171" t="s">
        <v>1471</v>
      </c>
      <c r="D171">
        <v>3827</v>
      </c>
      <c r="E171" t="s">
        <v>2075</v>
      </c>
    </row>
    <row r="172" spans="1:5" x14ac:dyDescent="0.3">
      <c r="A172">
        <v>3757</v>
      </c>
      <c r="B172" t="s">
        <v>1637</v>
      </c>
      <c r="C172" t="s">
        <v>1471</v>
      </c>
      <c r="D172">
        <v>3738</v>
      </c>
      <c r="E172" t="s">
        <v>2076</v>
      </c>
    </row>
    <row r="173" spans="1:5" x14ac:dyDescent="0.3">
      <c r="A173">
        <v>3760</v>
      </c>
      <c r="B173" t="s">
        <v>1638</v>
      </c>
      <c r="C173" t="s">
        <v>1471</v>
      </c>
      <c r="D173">
        <v>3897</v>
      </c>
      <c r="E173" t="s">
        <v>2077</v>
      </c>
    </row>
    <row r="174" spans="1:5" x14ac:dyDescent="0.3">
      <c r="A174">
        <v>3762</v>
      </c>
      <c r="B174" t="s">
        <v>1639</v>
      </c>
      <c r="C174" t="s">
        <v>1471</v>
      </c>
      <c r="D174">
        <v>3859</v>
      </c>
      <c r="E174" t="s">
        <v>2078</v>
      </c>
    </row>
    <row r="175" spans="1:5" x14ac:dyDescent="0.3">
      <c r="A175">
        <v>3763</v>
      </c>
      <c r="B175" t="s">
        <v>1640</v>
      </c>
      <c r="C175" t="s">
        <v>1471</v>
      </c>
      <c r="D175">
        <v>3507</v>
      </c>
      <c r="E175" t="s">
        <v>587</v>
      </c>
    </row>
    <row r="176" spans="1:5" x14ac:dyDescent="0.3">
      <c r="A176">
        <v>3764</v>
      </c>
      <c r="B176" t="s">
        <v>1641</v>
      </c>
      <c r="C176" t="s">
        <v>1471</v>
      </c>
      <c r="D176">
        <v>4051</v>
      </c>
      <c r="E176" t="s">
        <v>2079</v>
      </c>
    </row>
    <row r="177" spans="1:5" x14ac:dyDescent="0.3">
      <c r="A177">
        <v>3765</v>
      </c>
      <c r="B177" t="s">
        <v>1642</v>
      </c>
      <c r="C177" t="s">
        <v>1471</v>
      </c>
      <c r="D177">
        <v>3591</v>
      </c>
      <c r="E177" t="s">
        <v>2080</v>
      </c>
    </row>
    <row r="178" spans="1:5" x14ac:dyDescent="0.3">
      <c r="A178">
        <v>3766</v>
      </c>
      <c r="B178" t="s">
        <v>1643</v>
      </c>
      <c r="C178" t="s">
        <v>1471</v>
      </c>
      <c r="D178">
        <v>3748</v>
      </c>
      <c r="E178" t="s">
        <v>588</v>
      </c>
    </row>
    <row r="179" spans="1:5" x14ac:dyDescent="0.3">
      <c r="A179">
        <v>3767</v>
      </c>
      <c r="B179" t="s">
        <v>1644</v>
      </c>
      <c r="C179" t="s">
        <v>1471</v>
      </c>
      <c r="D179">
        <v>3712</v>
      </c>
      <c r="E179" t="s">
        <v>2081</v>
      </c>
    </row>
    <row r="180" spans="1:5" x14ac:dyDescent="0.3">
      <c r="A180">
        <v>3768</v>
      </c>
      <c r="B180" t="s">
        <v>1645</v>
      </c>
      <c r="C180" t="s">
        <v>1471</v>
      </c>
      <c r="D180">
        <v>3612</v>
      </c>
      <c r="E180" t="s">
        <v>2082</v>
      </c>
    </row>
    <row r="181" spans="1:5" x14ac:dyDescent="0.3">
      <c r="A181">
        <v>3770</v>
      </c>
      <c r="B181" t="s">
        <v>1646</v>
      </c>
      <c r="C181" t="s">
        <v>1471</v>
      </c>
      <c r="D181">
        <v>3728</v>
      </c>
      <c r="E181" t="s">
        <v>2083</v>
      </c>
    </row>
    <row r="182" spans="1:5" x14ac:dyDescent="0.3">
      <c r="A182">
        <v>3772</v>
      </c>
      <c r="B182" t="s">
        <v>1647</v>
      </c>
      <c r="C182" t="s">
        <v>1471</v>
      </c>
      <c r="D182">
        <v>3661</v>
      </c>
      <c r="E182" t="s">
        <v>2084</v>
      </c>
    </row>
    <row r="183" spans="1:5" x14ac:dyDescent="0.3">
      <c r="A183">
        <v>3773</v>
      </c>
      <c r="B183" t="s">
        <v>1648</v>
      </c>
      <c r="C183" t="s">
        <v>1471</v>
      </c>
      <c r="D183">
        <v>3937</v>
      </c>
      <c r="E183" t="s">
        <v>2085</v>
      </c>
    </row>
    <row r="184" spans="1:5" x14ac:dyDescent="0.3">
      <c r="A184">
        <v>3775</v>
      </c>
      <c r="B184" t="s">
        <v>1649</v>
      </c>
      <c r="C184" t="s">
        <v>1471</v>
      </c>
      <c r="D184">
        <v>3839</v>
      </c>
      <c r="E184" t="s">
        <v>2086</v>
      </c>
    </row>
    <row r="185" spans="1:5" x14ac:dyDescent="0.3">
      <c r="A185">
        <v>3778</v>
      </c>
      <c r="B185" t="s">
        <v>1650</v>
      </c>
      <c r="C185" t="s">
        <v>1471</v>
      </c>
      <c r="D185">
        <v>3581</v>
      </c>
      <c r="E185" t="s">
        <v>2087</v>
      </c>
    </row>
    <row r="186" spans="1:5" x14ac:dyDescent="0.3">
      <c r="A186">
        <v>3779</v>
      </c>
      <c r="B186" t="s">
        <v>1651</v>
      </c>
      <c r="C186" t="s">
        <v>1471</v>
      </c>
      <c r="D186">
        <v>3947</v>
      </c>
      <c r="E186" t="s">
        <v>2088</v>
      </c>
    </row>
    <row r="187" spans="1:5" x14ac:dyDescent="0.3">
      <c r="A187">
        <v>3781</v>
      </c>
      <c r="B187" t="s">
        <v>1652</v>
      </c>
      <c r="C187" t="s">
        <v>1471</v>
      </c>
      <c r="D187">
        <v>3610</v>
      </c>
      <c r="E187" t="s">
        <v>2089</v>
      </c>
    </row>
    <row r="188" spans="1:5" x14ac:dyDescent="0.3">
      <c r="A188">
        <v>3782</v>
      </c>
      <c r="B188" t="s">
        <v>1653</v>
      </c>
      <c r="C188" t="s">
        <v>1471</v>
      </c>
      <c r="D188">
        <v>3587</v>
      </c>
      <c r="E188" t="s">
        <v>2090</v>
      </c>
    </row>
    <row r="189" spans="1:5" x14ac:dyDescent="0.3">
      <c r="A189">
        <v>3783</v>
      </c>
      <c r="B189" t="s">
        <v>1654</v>
      </c>
      <c r="C189" t="s">
        <v>1471</v>
      </c>
      <c r="D189">
        <v>3554</v>
      </c>
      <c r="E189" t="s">
        <v>2091</v>
      </c>
    </row>
    <row r="190" spans="1:5" x14ac:dyDescent="0.3">
      <c r="A190">
        <v>3784</v>
      </c>
      <c r="B190" t="s">
        <v>1655</v>
      </c>
      <c r="C190" t="s">
        <v>1471</v>
      </c>
      <c r="D190">
        <v>3767</v>
      </c>
      <c r="E190" t="s">
        <v>2092</v>
      </c>
    </row>
    <row r="191" spans="1:5" x14ac:dyDescent="0.3">
      <c r="A191">
        <v>3785</v>
      </c>
      <c r="B191" t="s">
        <v>1656</v>
      </c>
      <c r="C191" t="s">
        <v>1471</v>
      </c>
      <c r="D191">
        <v>4016</v>
      </c>
      <c r="E191" t="s">
        <v>2093</v>
      </c>
    </row>
    <row r="192" spans="1:5" x14ac:dyDescent="0.3">
      <c r="A192">
        <v>3786</v>
      </c>
      <c r="B192" t="s">
        <v>1657</v>
      </c>
      <c r="C192" t="s">
        <v>1471</v>
      </c>
      <c r="D192">
        <v>4011</v>
      </c>
      <c r="E192" t="s">
        <v>2094</v>
      </c>
    </row>
    <row r="193" spans="1:5" x14ac:dyDescent="0.3">
      <c r="A193">
        <v>3787</v>
      </c>
      <c r="B193" t="s">
        <v>1658</v>
      </c>
      <c r="C193" t="s">
        <v>1471</v>
      </c>
      <c r="D193">
        <v>3617</v>
      </c>
      <c r="E193" t="s">
        <v>2095</v>
      </c>
    </row>
    <row r="194" spans="1:5" x14ac:dyDescent="0.3">
      <c r="A194">
        <v>3789</v>
      </c>
      <c r="B194" t="s">
        <v>1659</v>
      </c>
      <c r="C194" t="s">
        <v>1471</v>
      </c>
      <c r="D194">
        <v>3510</v>
      </c>
      <c r="E194" t="s">
        <v>2096</v>
      </c>
    </row>
    <row r="195" spans="1:5" x14ac:dyDescent="0.3">
      <c r="A195">
        <v>3790</v>
      </c>
      <c r="B195" t="s">
        <v>1660</v>
      </c>
      <c r="C195" t="s">
        <v>1471</v>
      </c>
      <c r="D195">
        <v>3899</v>
      </c>
      <c r="E195" t="s">
        <v>2097</v>
      </c>
    </row>
    <row r="196" spans="1:5" x14ac:dyDescent="0.3">
      <c r="A196">
        <v>3791</v>
      </c>
      <c r="B196" t="s">
        <v>1661</v>
      </c>
      <c r="C196" t="s">
        <v>1471</v>
      </c>
      <c r="D196">
        <v>3974</v>
      </c>
      <c r="E196" t="s">
        <v>2098</v>
      </c>
    </row>
    <row r="197" spans="1:5" x14ac:dyDescent="0.3">
      <c r="A197">
        <v>3792</v>
      </c>
      <c r="B197" t="s">
        <v>1662</v>
      </c>
      <c r="C197" t="s">
        <v>1471</v>
      </c>
      <c r="D197">
        <v>3945</v>
      </c>
      <c r="E197" t="s">
        <v>2099</v>
      </c>
    </row>
    <row r="198" spans="1:5" x14ac:dyDescent="0.3">
      <c r="A198">
        <v>3793</v>
      </c>
      <c r="B198" t="s">
        <v>1663</v>
      </c>
      <c r="C198" t="s">
        <v>1471</v>
      </c>
      <c r="D198">
        <v>3990</v>
      </c>
      <c r="E198" t="s">
        <v>2100</v>
      </c>
    </row>
    <row r="199" spans="1:5" x14ac:dyDescent="0.3">
      <c r="A199">
        <v>3794</v>
      </c>
      <c r="B199" t="s">
        <v>1664</v>
      </c>
      <c r="C199" t="s">
        <v>1471</v>
      </c>
      <c r="D199">
        <v>3729</v>
      </c>
      <c r="E199" t="s">
        <v>2101</v>
      </c>
    </row>
    <row r="200" spans="1:5" x14ac:dyDescent="0.3">
      <c r="A200">
        <v>3795</v>
      </c>
      <c r="B200" t="s">
        <v>1665</v>
      </c>
      <c r="C200" t="s">
        <v>1471</v>
      </c>
      <c r="D200">
        <v>3898</v>
      </c>
      <c r="E200" t="s">
        <v>2102</v>
      </c>
    </row>
    <row r="201" spans="1:5" x14ac:dyDescent="0.3">
      <c r="A201">
        <v>3797</v>
      </c>
      <c r="B201" t="s">
        <v>1666</v>
      </c>
      <c r="C201" t="s">
        <v>1471</v>
      </c>
      <c r="D201">
        <v>3514</v>
      </c>
      <c r="E201" t="s">
        <v>2103</v>
      </c>
    </row>
    <row r="202" spans="1:5" x14ac:dyDescent="0.3">
      <c r="A202">
        <v>3798</v>
      </c>
      <c r="B202" t="s">
        <v>1667</v>
      </c>
      <c r="C202" t="s">
        <v>1471</v>
      </c>
      <c r="D202">
        <v>3672</v>
      </c>
      <c r="E202" t="s">
        <v>2104</v>
      </c>
    </row>
    <row r="203" spans="1:5" x14ac:dyDescent="0.3">
      <c r="A203">
        <v>3799</v>
      </c>
      <c r="B203" t="s">
        <v>1668</v>
      </c>
      <c r="C203" t="s">
        <v>1471</v>
      </c>
      <c r="D203">
        <v>3879</v>
      </c>
      <c r="E203" t="s">
        <v>2105</v>
      </c>
    </row>
    <row r="204" spans="1:5" x14ac:dyDescent="0.3">
      <c r="A204">
        <v>3800</v>
      </c>
      <c r="B204" t="s">
        <v>1669</v>
      </c>
      <c r="C204" t="s">
        <v>1471</v>
      </c>
      <c r="D204">
        <v>3560</v>
      </c>
      <c r="E204" t="s">
        <v>2106</v>
      </c>
    </row>
    <row r="205" spans="1:5" x14ac:dyDescent="0.3">
      <c r="A205">
        <v>3802</v>
      </c>
      <c r="B205" t="s">
        <v>1670</v>
      </c>
      <c r="C205" t="s">
        <v>1471</v>
      </c>
      <c r="D205">
        <v>3602</v>
      </c>
      <c r="E205" t="s">
        <v>2107</v>
      </c>
    </row>
    <row r="206" spans="1:5" x14ac:dyDescent="0.3">
      <c r="A206">
        <v>3805</v>
      </c>
      <c r="B206" t="s">
        <v>1671</v>
      </c>
      <c r="C206" t="s">
        <v>1471</v>
      </c>
      <c r="D206">
        <v>3573</v>
      </c>
      <c r="E206" t="s">
        <v>2108</v>
      </c>
    </row>
    <row r="207" spans="1:5" x14ac:dyDescent="0.3">
      <c r="A207">
        <v>3806</v>
      </c>
      <c r="B207" t="s">
        <v>1672</v>
      </c>
      <c r="C207" t="s">
        <v>1471</v>
      </c>
      <c r="D207">
        <v>3749</v>
      </c>
      <c r="E207" t="s">
        <v>2109</v>
      </c>
    </row>
    <row r="208" spans="1:5" x14ac:dyDescent="0.3">
      <c r="A208">
        <v>3807</v>
      </c>
      <c r="B208" t="s">
        <v>1673</v>
      </c>
      <c r="C208" t="s">
        <v>1471</v>
      </c>
      <c r="D208">
        <v>3669</v>
      </c>
      <c r="E208" t="s">
        <v>2110</v>
      </c>
    </row>
    <row r="209" spans="1:5" x14ac:dyDescent="0.3">
      <c r="A209">
        <v>3808</v>
      </c>
      <c r="B209" t="s">
        <v>1674</v>
      </c>
      <c r="C209" t="s">
        <v>1471</v>
      </c>
      <c r="D209">
        <v>3641</v>
      </c>
      <c r="E209" t="s">
        <v>2111</v>
      </c>
    </row>
    <row r="210" spans="1:5" x14ac:dyDescent="0.3">
      <c r="A210">
        <v>3810</v>
      </c>
      <c r="B210" t="s">
        <v>1675</v>
      </c>
      <c r="C210" t="s">
        <v>1471</v>
      </c>
      <c r="D210">
        <v>3676</v>
      </c>
      <c r="E210" t="s">
        <v>2112</v>
      </c>
    </row>
    <row r="211" spans="1:5" x14ac:dyDescent="0.3">
      <c r="A211">
        <v>3811</v>
      </c>
      <c r="B211" t="s">
        <v>1676</v>
      </c>
      <c r="C211" t="s">
        <v>1471</v>
      </c>
      <c r="D211">
        <v>3969</v>
      </c>
      <c r="E211" t="s">
        <v>2113</v>
      </c>
    </row>
    <row r="212" spans="1:5" x14ac:dyDescent="0.3">
      <c r="A212">
        <v>3812</v>
      </c>
      <c r="B212" t="s">
        <v>1677</v>
      </c>
      <c r="C212" t="s">
        <v>1471</v>
      </c>
      <c r="D212">
        <v>3952</v>
      </c>
      <c r="E212" t="s">
        <v>2114</v>
      </c>
    </row>
    <row r="213" spans="1:5" x14ac:dyDescent="0.3">
      <c r="A213">
        <v>3813</v>
      </c>
      <c r="B213" t="s">
        <v>1678</v>
      </c>
      <c r="C213" t="s">
        <v>1471</v>
      </c>
      <c r="D213">
        <v>4013</v>
      </c>
      <c r="E213" t="s">
        <v>2115</v>
      </c>
    </row>
    <row r="214" spans="1:5" x14ac:dyDescent="0.3">
      <c r="A214">
        <v>3818</v>
      </c>
      <c r="B214" t="s">
        <v>1679</v>
      </c>
      <c r="C214" t="s">
        <v>1471</v>
      </c>
      <c r="D214">
        <v>3597</v>
      </c>
      <c r="E214" t="s">
        <v>2116</v>
      </c>
    </row>
    <row r="215" spans="1:5" x14ac:dyDescent="0.3">
      <c r="A215">
        <v>3820</v>
      </c>
      <c r="B215" t="s">
        <v>1680</v>
      </c>
      <c r="C215" t="s">
        <v>1471</v>
      </c>
      <c r="D215">
        <v>3887</v>
      </c>
      <c r="E215" t="s">
        <v>2117</v>
      </c>
    </row>
    <row r="216" spans="1:5" x14ac:dyDescent="0.3">
      <c r="A216">
        <v>3821</v>
      </c>
      <c r="B216" t="s">
        <v>1681</v>
      </c>
      <c r="C216" t="s">
        <v>1471</v>
      </c>
      <c r="D216">
        <v>3992</v>
      </c>
      <c r="E216" t="s">
        <v>2118</v>
      </c>
    </row>
    <row r="217" spans="1:5" x14ac:dyDescent="0.3">
      <c r="A217">
        <v>3823</v>
      </c>
      <c r="B217" t="s">
        <v>1682</v>
      </c>
      <c r="C217" t="s">
        <v>1471</v>
      </c>
      <c r="D217">
        <v>3766</v>
      </c>
      <c r="E217" t="s">
        <v>2119</v>
      </c>
    </row>
    <row r="218" spans="1:5" x14ac:dyDescent="0.3">
      <c r="A218">
        <v>3824</v>
      </c>
      <c r="B218" t="s">
        <v>1683</v>
      </c>
      <c r="C218" t="s">
        <v>1471</v>
      </c>
      <c r="D218">
        <v>4006</v>
      </c>
      <c r="E218" t="s">
        <v>2120</v>
      </c>
    </row>
    <row r="219" spans="1:5" x14ac:dyDescent="0.3">
      <c r="A219">
        <v>3825</v>
      </c>
      <c r="B219" t="s">
        <v>1684</v>
      </c>
      <c r="C219" t="s">
        <v>1471</v>
      </c>
      <c r="D219">
        <v>3925</v>
      </c>
      <c r="E219" t="s">
        <v>2121</v>
      </c>
    </row>
    <row r="220" spans="1:5" x14ac:dyDescent="0.3">
      <c r="A220">
        <v>3826</v>
      </c>
      <c r="B220" t="s">
        <v>1685</v>
      </c>
      <c r="C220" t="s">
        <v>1471</v>
      </c>
      <c r="D220">
        <v>3606</v>
      </c>
      <c r="E220" t="s">
        <v>589</v>
      </c>
    </row>
    <row r="221" spans="1:5" x14ac:dyDescent="0.3">
      <c r="A221">
        <v>3827</v>
      </c>
      <c r="B221" t="s">
        <v>1686</v>
      </c>
      <c r="C221" t="s">
        <v>1471</v>
      </c>
      <c r="D221">
        <v>3698</v>
      </c>
      <c r="E221" t="s">
        <v>2122</v>
      </c>
    </row>
    <row r="222" spans="1:5" x14ac:dyDescent="0.3">
      <c r="A222">
        <v>3828</v>
      </c>
      <c r="B222" t="s">
        <v>1687</v>
      </c>
      <c r="C222" t="s">
        <v>1471</v>
      </c>
      <c r="D222">
        <v>3894</v>
      </c>
      <c r="E222" t="s">
        <v>2123</v>
      </c>
    </row>
    <row r="223" spans="1:5" x14ac:dyDescent="0.3">
      <c r="A223">
        <v>3829</v>
      </c>
      <c r="B223" t="s">
        <v>1688</v>
      </c>
      <c r="C223" t="s">
        <v>1471</v>
      </c>
      <c r="D223">
        <v>3638</v>
      </c>
      <c r="E223" t="s">
        <v>590</v>
      </c>
    </row>
    <row r="224" spans="1:5" x14ac:dyDescent="0.3">
      <c r="A224">
        <v>3830</v>
      </c>
      <c r="B224" t="s">
        <v>1689</v>
      </c>
      <c r="C224" t="s">
        <v>1471</v>
      </c>
      <c r="D224">
        <v>3688</v>
      </c>
      <c r="E224" t="s">
        <v>2124</v>
      </c>
    </row>
    <row r="225" spans="1:5" x14ac:dyDescent="0.3">
      <c r="A225">
        <v>3832</v>
      </c>
      <c r="B225" t="s">
        <v>1690</v>
      </c>
      <c r="C225" t="s">
        <v>1471</v>
      </c>
      <c r="D225">
        <v>3995</v>
      </c>
      <c r="E225" t="s">
        <v>2125</v>
      </c>
    </row>
    <row r="226" spans="1:5" x14ac:dyDescent="0.3">
      <c r="A226">
        <v>3833</v>
      </c>
      <c r="B226" t="s">
        <v>1691</v>
      </c>
      <c r="C226" t="s">
        <v>1471</v>
      </c>
      <c r="D226">
        <v>3986</v>
      </c>
      <c r="E226" t="s">
        <v>2126</v>
      </c>
    </row>
    <row r="227" spans="1:5" x14ac:dyDescent="0.3">
      <c r="A227">
        <v>3834</v>
      </c>
      <c r="B227" t="s">
        <v>1692</v>
      </c>
      <c r="C227" t="s">
        <v>1471</v>
      </c>
      <c r="D227">
        <v>3965</v>
      </c>
      <c r="E227" t="s">
        <v>2127</v>
      </c>
    </row>
    <row r="228" spans="1:5" x14ac:dyDescent="0.3">
      <c r="A228">
        <v>3836</v>
      </c>
      <c r="B228" t="s">
        <v>1693</v>
      </c>
      <c r="C228" t="s">
        <v>1471</v>
      </c>
      <c r="D228">
        <v>3805</v>
      </c>
      <c r="E228" t="s">
        <v>2128</v>
      </c>
    </row>
    <row r="229" spans="1:5" x14ac:dyDescent="0.3">
      <c r="A229">
        <v>3837</v>
      </c>
      <c r="B229" t="s">
        <v>1694</v>
      </c>
      <c r="C229" t="s">
        <v>1471</v>
      </c>
      <c r="D229">
        <v>3715</v>
      </c>
      <c r="E229" t="s">
        <v>2129</v>
      </c>
    </row>
    <row r="230" spans="1:5" x14ac:dyDescent="0.3">
      <c r="A230">
        <v>3838</v>
      </c>
      <c r="B230" t="s">
        <v>1695</v>
      </c>
      <c r="C230" t="s">
        <v>1471</v>
      </c>
      <c r="D230">
        <v>3785</v>
      </c>
      <c r="E230" t="s">
        <v>2130</v>
      </c>
    </row>
    <row r="231" spans="1:5" x14ac:dyDescent="0.3">
      <c r="A231">
        <v>3839</v>
      </c>
      <c r="B231" t="s">
        <v>1696</v>
      </c>
      <c r="C231" t="s">
        <v>1471</v>
      </c>
      <c r="D231">
        <v>3574</v>
      </c>
      <c r="E231" t="s">
        <v>2131</v>
      </c>
    </row>
    <row r="232" spans="1:5" x14ac:dyDescent="0.3">
      <c r="A232">
        <v>3840</v>
      </c>
      <c r="B232" t="s">
        <v>1697</v>
      </c>
      <c r="C232" t="s">
        <v>1471</v>
      </c>
      <c r="D232">
        <v>3496</v>
      </c>
      <c r="E232" t="s">
        <v>2132</v>
      </c>
    </row>
    <row r="233" spans="1:5" x14ac:dyDescent="0.3">
      <c r="A233">
        <v>3842</v>
      </c>
      <c r="B233" t="s">
        <v>1698</v>
      </c>
      <c r="C233" t="s">
        <v>1471</v>
      </c>
      <c r="D233">
        <v>3799</v>
      </c>
      <c r="E233" t="s">
        <v>2133</v>
      </c>
    </row>
    <row r="234" spans="1:5" x14ac:dyDescent="0.3">
      <c r="A234">
        <v>3843</v>
      </c>
      <c r="B234" t="s">
        <v>1699</v>
      </c>
      <c r="C234" t="s">
        <v>1471</v>
      </c>
      <c r="D234">
        <v>3847</v>
      </c>
      <c r="E234" t="s">
        <v>2134</v>
      </c>
    </row>
    <row r="235" spans="1:5" x14ac:dyDescent="0.3">
      <c r="A235">
        <v>3845</v>
      </c>
      <c r="B235" t="s">
        <v>1700</v>
      </c>
      <c r="C235" t="s">
        <v>1471</v>
      </c>
      <c r="D235">
        <v>3862</v>
      </c>
      <c r="E235" t="s">
        <v>2135</v>
      </c>
    </row>
    <row r="236" spans="1:5" x14ac:dyDescent="0.3">
      <c r="A236">
        <v>3847</v>
      </c>
      <c r="B236" t="s">
        <v>1701</v>
      </c>
      <c r="C236" t="s">
        <v>1471</v>
      </c>
      <c r="D236">
        <v>3720</v>
      </c>
      <c r="E236" t="s">
        <v>2136</v>
      </c>
    </row>
    <row r="237" spans="1:5" x14ac:dyDescent="0.3">
      <c r="A237">
        <v>3849</v>
      </c>
      <c r="B237" t="s">
        <v>1702</v>
      </c>
      <c r="C237" t="s">
        <v>1471</v>
      </c>
      <c r="D237">
        <v>3812</v>
      </c>
      <c r="E237" t="s">
        <v>2137</v>
      </c>
    </row>
    <row r="238" spans="1:5" x14ac:dyDescent="0.3">
      <c r="A238">
        <v>3850</v>
      </c>
      <c r="B238" t="s">
        <v>1703</v>
      </c>
      <c r="C238" t="s">
        <v>1471</v>
      </c>
      <c r="D238">
        <v>3622</v>
      </c>
      <c r="E238" t="s">
        <v>2138</v>
      </c>
    </row>
    <row r="239" spans="1:5" x14ac:dyDescent="0.3">
      <c r="A239">
        <v>3852</v>
      </c>
      <c r="B239" t="s">
        <v>1704</v>
      </c>
      <c r="C239" t="s">
        <v>1471</v>
      </c>
      <c r="D239">
        <v>4004</v>
      </c>
      <c r="E239" t="s">
        <v>2139</v>
      </c>
    </row>
    <row r="240" spans="1:5" x14ac:dyDescent="0.3">
      <c r="A240">
        <v>3854</v>
      </c>
      <c r="B240" t="s">
        <v>1705</v>
      </c>
      <c r="C240" t="s">
        <v>1471</v>
      </c>
      <c r="D240">
        <v>3944</v>
      </c>
      <c r="E240" t="s">
        <v>2140</v>
      </c>
    </row>
    <row r="241" spans="1:5" x14ac:dyDescent="0.3">
      <c r="A241">
        <v>3855</v>
      </c>
      <c r="B241" t="s">
        <v>1706</v>
      </c>
      <c r="C241" t="s">
        <v>1471</v>
      </c>
      <c r="D241">
        <v>4049</v>
      </c>
      <c r="E241" t="s">
        <v>2141</v>
      </c>
    </row>
    <row r="242" spans="1:5" x14ac:dyDescent="0.3">
      <c r="A242">
        <v>3856</v>
      </c>
      <c r="B242" t="s">
        <v>1707</v>
      </c>
      <c r="C242" t="s">
        <v>1471</v>
      </c>
      <c r="D242">
        <v>4009</v>
      </c>
      <c r="E242" t="s">
        <v>2142</v>
      </c>
    </row>
    <row r="243" spans="1:5" x14ac:dyDescent="0.3">
      <c r="A243">
        <v>3858</v>
      </c>
      <c r="B243" t="s">
        <v>1708</v>
      </c>
      <c r="C243" t="s">
        <v>1471</v>
      </c>
      <c r="D243">
        <v>3890</v>
      </c>
      <c r="E243" t="s">
        <v>2143</v>
      </c>
    </row>
    <row r="244" spans="1:5" x14ac:dyDescent="0.3">
      <c r="A244">
        <v>3859</v>
      </c>
      <c r="B244" t="s">
        <v>1709</v>
      </c>
      <c r="C244" t="s">
        <v>1471</v>
      </c>
      <c r="D244">
        <v>3600</v>
      </c>
      <c r="E244" t="s">
        <v>2144</v>
      </c>
    </row>
    <row r="245" spans="1:5" x14ac:dyDescent="0.3">
      <c r="A245">
        <v>3862</v>
      </c>
      <c r="B245" t="s">
        <v>1710</v>
      </c>
      <c r="C245" t="s">
        <v>1471</v>
      </c>
      <c r="D245">
        <v>4022</v>
      </c>
      <c r="E245" t="s">
        <v>2145</v>
      </c>
    </row>
    <row r="246" spans="1:5" x14ac:dyDescent="0.3">
      <c r="A246">
        <v>3863</v>
      </c>
      <c r="B246" t="s">
        <v>1711</v>
      </c>
      <c r="C246" t="s">
        <v>1471</v>
      </c>
      <c r="D246">
        <v>3922</v>
      </c>
      <c r="E246" t="s">
        <v>2146</v>
      </c>
    </row>
    <row r="247" spans="1:5" x14ac:dyDescent="0.3">
      <c r="A247">
        <v>3869</v>
      </c>
      <c r="B247" t="s">
        <v>1712</v>
      </c>
      <c r="C247" t="s">
        <v>1471</v>
      </c>
      <c r="D247">
        <v>3512</v>
      </c>
      <c r="E247" t="s">
        <v>2147</v>
      </c>
    </row>
    <row r="248" spans="1:5" x14ac:dyDescent="0.3">
      <c r="A248">
        <v>3871</v>
      </c>
      <c r="B248" t="s">
        <v>1713</v>
      </c>
      <c r="C248" t="s">
        <v>1471</v>
      </c>
      <c r="D248">
        <v>3939</v>
      </c>
      <c r="E248" t="s">
        <v>2148</v>
      </c>
    </row>
    <row r="249" spans="1:5" x14ac:dyDescent="0.3">
      <c r="A249">
        <v>3872</v>
      </c>
      <c r="B249" t="s">
        <v>1714</v>
      </c>
      <c r="C249" t="s">
        <v>1471</v>
      </c>
      <c r="D249">
        <v>3508</v>
      </c>
      <c r="E249" t="s">
        <v>2149</v>
      </c>
    </row>
    <row r="250" spans="1:5" x14ac:dyDescent="0.3">
      <c r="A250">
        <v>3873</v>
      </c>
      <c r="B250" t="s">
        <v>1715</v>
      </c>
      <c r="C250" t="s">
        <v>1471</v>
      </c>
      <c r="D250">
        <v>3837</v>
      </c>
      <c r="E250" t="s">
        <v>591</v>
      </c>
    </row>
    <row r="251" spans="1:5" x14ac:dyDescent="0.3">
      <c r="A251">
        <v>3874</v>
      </c>
      <c r="B251" t="s">
        <v>1716</v>
      </c>
      <c r="C251" t="s">
        <v>1471</v>
      </c>
      <c r="D251">
        <v>3743</v>
      </c>
      <c r="E251" t="s">
        <v>2150</v>
      </c>
    </row>
    <row r="252" spans="1:5" x14ac:dyDescent="0.3">
      <c r="A252">
        <v>3875</v>
      </c>
      <c r="B252" t="s">
        <v>1717</v>
      </c>
      <c r="C252" t="s">
        <v>1471</v>
      </c>
      <c r="D252">
        <v>3820</v>
      </c>
      <c r="E252" t="s">
        <v>592</v>
      </c>
    </row>
    <row r="253" spans="1:5" x14ac:dyDescent="0.3">
      <c r="A253">
        <v>3876</v>
      </c>
      <c r="B253" t="s">
        <v>1718</v>
      </c>
      <c r="C253" t="s">
        <v>1471</v>
      </c>
      <c r="D253">
        <v>3871</v>
      </c>
      <c r="E253" t="s">
        <v>2151</v>
      </c>
    </row>
    <row r="254" spans="1:5" x14ac:dyDescent="0.3">
      <c r="A254">
        <v>3877</v>
      </c>
      <c r="B254" t="s">
        <v>1719</v>
      </c>
      <c r="C254" t="s">
        <v>1471</v>
      </c>
      <c r="D254">
        <v>3585</v>
      </c>
      <c r="E254" t="s">
        <v>2152</v>
      </c>
    </row>
    <row r="255" spans="1:5" x14ac:dyDescent="0.3">
      <c r="A255">
        <v>3878</v>
      </c>
      <c r="B255" t="s">
        <v>1720</v>
      </c>
      <c r="C255" t="s">
        <v>1471</v>
      </c>
      <c r="D255">
        <v>3970</v>
      </c>
      <c r="E255" t="s">
        <v>2153</v>
      </c>
    </row>
    <row r="256" spans="1:5" x14ac:dyDescent="0.3">
      <c r="A256">
        <v>3879</v>
      </c>
      <c r="B256" t="s">
        <v>1721</v>
      </c>
      <c r="C256" t="s">
        <v>1471</v>
      </c>
      <c r="D256">
        <v>3989</v>
      </c>
      <c r="E256" t="s">
        <v>2154</v>
      </c>
    </row>
    <row r="257" spans="1:5" x14ac:dyDescent="0.3">
      <c r="A257">
        <v>3880</v>
      </c>
      <c r="B257" t="s">
        <v>1722</v>
      </c>
      <c r="C257" t="s">
        <v>1471</v>
      </c>
      <c r="D257">
        <v>4003</v>
      </c>
      <c r="E257" t="s">
        <v>2155</v>
      </c>
    </row>
    <row r="258" spans="1:5" x14ac:dyDescent="0.3">
      <c r="A258">
        <v>3881</v>
      </c>
      <c r="B258" t="s">
        <v>1723</v>
      </c>
      <c r="C258" t="s">
        <v>1471</v>
      </c>
      <c r="D258">
        <v>4021</v>
      </c>
      <c r="E258" t="s">
        <v>2156</v>
      </c>
    </row>
    <row r="259" spans="1:5" x14ac:dyDescent="0.3">
      <c r="A259">
        <v>3882</v>
      </c>
      <c r="B259" t="s">
        <v>1724</v>
      </c>
      <c r="C259" t="s">
        <v>1471</v>
      </c>
      <c r="D259">
        <v>3764</v>
      </c>
      <c r="E259" t="s">
        <v>2157</v>
      </c>
    </row>
    <row r="260" spans="1:5" x14ac:dyDescent="0.3">
      <c r="A260">
        <v>3883</v>
      </c>
      <c r="B260" t="s">
        <v>1725</v>
      </c>
      <c r="C260" t="s">
        <v>1471</v>
      </c>
      <c r="D260">
        <v>3497</v>
      </c>
      <c r="E260" t="s">
        <v>2158</v>
      </c>
    </row>
    <row r="261" spans="1:5" x14ac:dyDescent="0.3">
      <c r="A261">
        <v>3884</v>
      </c>
      <c r="B261" t="s">
        <v>1726</v>
      </c>
      <c r="C261" t="s">
        <v>1471</v>
      </c>
      <c r="D261">
        <v>3755</v>
      </c>
      <c r="E261" t="s">
        <v>2159</v>
      </c>
    </row>
    <row r="262" spans="1:5" x14ac:dyDescent="0.3">
      <c r="A262">
        <v>3885</v>
      </c>
      <c r="B262" t="s">
        <v>1727</v>
      </c>
      <c r="C262" t="s">
        <v>1471</v>
      </c>
      <c r="D262">
        <v>3902</v>
      </c>
      <c r="E262" t="s">
        <v>2160</v>
      </c>
    </row>
    <row r="263" spans="1:5" x14ac:dyDescent="0.3">
      <c r="A263">
        <v>3886</v>
      </c>
      <c r="B263" t="s">
        <v>1728</v>
      </c>
      <c r="C263" t="s">
        <v>1471</v>
      </c>
      <c r="D263">
        <v>3881</v>
      </c>
      <c r="E263" t="s">
        <v>2161</v>
      </c>
    </row>
    <row r="264" spans="1:5" x14ac:dyDescent="0.3">
      <c r="A264">
        <v>3887</v>
      </c>
      <c r="B264" t="s">
        <v>1729</v>
      </c>
      <c r="C264" t="s">
        <v>1471</v>
      </c>
      <c r="D264">
        <v>3798</v>
      </c>
      <c r="E264" t="s">
        <v>2162</v>
      </c>
    </row>
    <row r="265" spans="1:5" x14ac:dyDescent="0.3">
      <c r="A265">
        <v>3888</v>
      </c>
      <c r="B265" t="s">
        <v>1730</v>
      </c>
      <c r="C265" t="s">
        <v>1471</v>
      </c>
      <c r="D265">
        <v>3557</v>
      </c>
      <c r="E265" t="s">
        <v>593</v>
      </c>
    </row>
    <row r="266" spans="1:5" x14ac:dyDescent="0.3">
      <c r="A266">
        <v>3889</v>
      </c>
      <c r="B266" t="s">
        <v>1731</v>
      </c>
      <c r="C266" t="s">
        <v>1471</v>
      </c>
      <c r="D266">
        <v>3536</v>
      </c>
      <c r="E266" t="s">
        <v>2163</v>
      </c>
    </row>
    <row r="267" spans="1:5" x14ac:dyDescent="0.3">
      <c r="A267">
        <v>3890</v>
      </c>
      <c r="B267" t="s">
        <v>1732</v>
      </c>
      <c r="C267" t="s">
        <v>1471</v>
      </c>
      <c r="D267">
        <v>4044</v>
      </c>
      <c r="E267" t="s">
        <v>2164</v>
      </c>
    </row>
    <row r="268" spans="1:5" x14ac:dyDescent="0.3">
      <c r="A268">
        <v>3891</v>
      </c>
      <c r="B268" t="s">
        <v>1733</v>
      </c>
      <c r="C268" t="s">
        <v>1471</v>
      </c>
      <c r="D268">
        <v>3882</v>
      </c>
      <c r="E268" t="s">
        <v>2165</v>
      </c>
    </row>
    <row r="269" spans="1:5" x14ac:dyDescent="0.3">
      <c r="A269">
        <v>3892</v>
      </c>
      <c r="B269" t="s">
        <v>1734</v>
      </c>
      <c r="C269" t="s">
        <v>1471</v>
      </c>
      <c r="D269">
        <v>3614</v>
      </c>
      <c r="E269" t="s">
        <v>2166</v>
      </c>
    </row>
    <row r="270" spans="1:5" x14ac:dyDescent="0.3">
      <c r="A270">
        <v>3893</v>
      </c>
      <c r="B270" t="s">
        <v>1611</v>
      </c>
      <c r="C270" t="s">
        <v>1471</v>
      </c>
      <c r="D270">
        <v>3710</v>
      </c>
      <c r="E270" t="s">
        <v>2167</v>
      </c>
    </row>
    <row r="271" spans="1:5" x14ac:dyDescent="0.3">
      <c r="A271">
        <v>3894</v>
      </c>
      <c r="B271" t="s">
        <v>1735</v>
      </c>
      <c r="C271" t="s">
        <v>1471</v>
      </c>
      <c r="D271">
        <v>3893</v>
      </c>
      <c r="E271" t="s">
        <v>2168</v>
      </c>
    </row>
    <row r="272" spans="1:5" x14ac:dyDescent="0.3">
      <c r="A272">
        <v>3895</v>
      </c>
      <c r="B272" t="s">
        <v>1736</v>
      </c>
      <c r="C272" t="s">
        <v>1471</v>
      </c>
      <c r="D272">
        <v>4000</v>
      </c>
      <c r="E272" t="s">
        <v>2169</v>
      </c>
    </row>
    <row r="273" spans="1:5" x14ac:dyDescent="0.3">
      <c r="A273">
        <v>3896</v>
      </c>
      <c r="B273" t="s">
        <v>1737</v>
      </c>
      <c r="C273" t="s">
        <v>1471</v>
      </c>
      <c r="D273">
        <v>3627</v>
      </c>
      <c r="E273" t="s">
        <v>2170</v>
      </c>
    </row>
    <row r="274" spans="1:5" x14ac:dyDescent="0.3">
      <c r="A274">
        <v>3897</v>
      </c>
      <c r="B274" t="s">
        <v>1738</v>
      </c>
      <c r="C274" t="s">
        <v>1471</v>
      </c>
      <c r="D274">
        <v>3892</v>
      </c>
      <c r="E274" t="s">
        <v>2171</v>
      </c>
    </row>
    <row r="275" spans="1:5" x14ac:dyDescent="0.3">
      <c r="A275">
        <v>3898</v>
      </c>
      <c r="B275" t="s">
        <v>1739</v>
      </c>
      <c r="C275" t="s">
        <v>1471</v>
      </c>
      <c r="D275">
        <v>3673</v>
      </c>
      <c r="E275" t="s">
        <v>594</v>
      </c>
    </row>
    <row r="276" spans="1:5" x14ac:dyDescent="0.3">
      <c r="A276">
        <v>3899</v>
      </c>
      <c r="B276" t="s">
        <v>1740</v>
      </c>
      <c r="C276" t="s">
        <v>1471</v>
      </c>
      <c r="D276">
        <v>3663</v>
      </c>
      <c r="E276" t="s">
        <v>2172</v>
      </c>
    </row>
    <row r="277" spans="1:5" x14ac:dyDescent="0.3">
      <c r="A277">
        <v>3900</v>
      </c>
      <c r="B277" t="s">
        <v>1679</v>
      </c>
      <c r="C277" t="s">
        <v>1471</v>
      </c>
      <c r="D277">
        <v>3791</v>
      </c>
      <c r="E277" t="s">
        <v>2173</v>
      </c>
    </row>
    <row r="278" spans="1:5" x14ac:dyDescent="0.3">
      <c r="A278">
        <v>3901</v>
      </c>
      <c r="B278" t="s">
        <v>1741</v>
      </c>
      <c r="C278" t="s">
        <v>1471</v>
      </c>
      <c r="D278">
        <v>4042</v>
      </c>
      <c r="E278" t="s">
        <v>2174</v>
      </c>
    </row>
    <row r="279" spans="1:5" x14ac:dyDescent="0.3">
      <c r="A279">
        <v>3902</v>
      </c>
      <c r="B279" t="s">
        <v>1742</v>
      </c>
      <c r="C279" t="s">
        <v>1471</v>
      </c>
      <c r="D279">
        <v>3983</v>
      </c>
      <c r="E279" t="s">
        <v>2175</v>
      </c>
    </row>
    <row r="280" spans="1:5" x14ac:dyDescent="0.3">
      <c r="A280">
        <v>3903</v>
      </c>
      <c r="B280" t="s">
        <v>1743</v>
      </c>
      <c r="C280" t="s">
        <v>1471</v>
      </c>
      <c r="D280">
        <v>3957</v>
      </c>
      <c r="E280" t="s">
        <v>2176</v>
      </c>
    </row>
    <row r="281" spans="1:5" x14ac:dyDescent="0.3">
      <c r="A281">
        <v>3904</v>
      </c>
      <c r="B281" t="s">
        <v>1744</v>
      </c>
      <c r="C281" t="s">
        <v>1471</v>
      </c>
      <c r="D281">
        <v>3714</v>
      </c>
      <c r="E281" t="s">
        <v>2177</v>
      </c>
    </row>
    <row r="282" spans="1:5" x14ac:dyDescent="0.3">
      <c r="A282">
        <v>3905</v>
      </c>
      <c r="B282" t="s">
        <v>1745</v>
      </c>
      <c r="C282" t="s">
        <v>1471</v>
      </c>
      <c r="D282">
        <v>3634</v>
      </c>
      <c r="E282" t="s">
        <v>2178</v>
      </c>
    </row>
    <row r="283" spans="1:5" x14ac:dyDescent="0.3">
      <c r="A283">
        <v>3906</v>
      </c>
      <c r="B283" t="s">
        <v>1746</v>
      </c>
      <c r="C283" t="s">
        <v>1471</v>
      </c>
      <c r="D283">
        <v>3772</v>
      </c>
      <c r="E283" t="s">
        <v>2179</v>
      </c>
    </row>
    <row r="284" spans="1:5" x14ac:dyDescent="0.3">
      <c r="A284">
        <v>3907</v>
      </c>
      <c r="B284" t="s">
        <v>1747</v>
      </c>
      <c r="C284" t="s">
        <v>1471</v>
      </c>
      <c r="D284">
        <v>3810</v>
      </c>
      <c r="E284" t="s">
        <v>2180</v>
      </c>
    </row>
    <row r="285" spans="1:5" x14ac:dyDescent="0.3">
      <c r="A285">
        <v>3908</v>
      </c>
      <c r="B285" t="s">
        <v>1748</v>
      </c>
      <c r="C285" t="s">
        <v>1471</v>
      </c>
      <c r="D285">
        <v>4047</v>
      </c>
      <c r="E285" t="s">
        <v>2181</v>
      </c>
    </row>
    <row r="286" spans="1:5" x14ac:dyDescent="0.3">
      <c r="A286">
        <v>3909</v>
      </c>
      <c r="B286" t="s">
        <v>1749</v>
      </c>
      <c r="C286" t="s">
        <v>1471</v>
      </c>
      <c r="D286">
        <v>4052</v>
      </c>
      <c r="E286" t="s">
        <v>2182</v>
      </c>
    </row>
    <row r="287" spans="1:5" x14ac:dyDescent="0.3">
      <c r="A287">
        <v>3911</v>
      </c>
      <c r="B287" t="s">
        <v>1750</v>
      </c>
      <c r="C287" t="s">
        <v>1471</v>
      </c>
      <c r="D287">
        <v>3722</v>
      </c>
      <c r="E287" t="s">
        <v>2183</v>
      </c>
    </row>
    <row r="288" spans="1:5" x14ac:dyDescent="0.3">
      <c r="A288">
        <v>3912</v>
      </c>
      <c r="B288" t="s">
        <v>1751</v>
      </c>
      <c r="C288" t="s">
        <v>1471</v>
      </c>
      <c r="D288">
        <v>4043</v>
      </c>
      <c r="E288" t="s">
        <v>2184</v>
      </c>
    </row>
    <row r="289" spans="1:5" x14ac:dyDescent="0.3">
      <c r="A289">
        <v>3913</v>
      </c>
      <c r="B289" t="s">
        <v>1752</v>
      </c>
      <c r="C289" t="s">
        <v>1471</v>
      </c>
      <c r="D289">
        <v>3818</v>
      </c>
      <c r="E289" t="s">
        <v>2185</v>
      </c>
    </row>
    <row r="290" spans="1:5" x14ac:dyDescent="0.3">
      <c r="A290">
        <v>3914</v>
      </c>
      <c r="B290" t="s">
        <v>1753</v>
      </c>
      <c r="C290" t="s">
        <v>1471</v>
      </c>
      <c r="D290">
        <v>3900</v>
      </c>
      <c r="E290" t="s">
        <v>2186</v>
      </c>
    </row>
    <row r="291" spans="1:5" x14ac:dyDescent="0.3">
      <c r="A291">
        <v>3915</v>
      </c>
      <c r="B291" t="s">
        <v>1754</v>
      </c>
      <c r="C291" t="s">
        <v>1471</v>
      </c>
      <c r="D291">
        <v>3914</v>
      </c>
      <c r="E291" t="s">
        <v>595</v>
      </c>
    </row>
    <row r="292" spans="1:5" x14ac:dyDescent="0.3">
      <c r="A292">
        <v>3916</v>
      </c>
      <c r="B292" t="s">
        <v>1755</v>
      </c>
      <c r="C292" t="s">
        <v>1471</v>
      </c>
      <c r="D292">
        <v>3929</v>
      </c>
      <c r="E292" t="s">
        <v>2187</v>
      </c>
    </row>
    <row r="293" spans="1:5" x14ac:dyDescent="0.3">
      <c r="A293">
        <v>3917</v>
      </c>
      <c r="B293" t="s">
        <v>1756</v>
      </c>
      <c r="C293" t="s">
        <v>1471</v>
      </c>
      <c r="D293">
        <v>3713</v>
      </c>
      <c r="E293" t="s">
        <v>2188</v>
      </c>
    </row>
    <row r="294" spans="1:5" x14ac:dyDescent="0.3">
      <c r="A294">
        <v>3918</v>
      </c>
      <c r="B294" t="s">
        <v>1757</v>
      </c>
      <c r="C294" t="s">
        <v>1471</v>
      </c>
      <c r="D294">
        <v>3884</v>
      </c>
      <c r="E294" t="s">
        <v>2189</v>
      </c>
    </row>
    <row r="295" spans="1:5" x14ac:dyDescent="0.3">
      <c r="A295">
        <v>3919</v>
      </c>
      <c r="B295" t="s">
        <v>1758</v>
      </c>
      <c r="C295" t="s">
        <v>1471</v>
      </c>
      <c r="D295">
        <v>3532</v>
      </c>
      <c r="E295" t="s">
        <v>2190</v>
      </c>
    </row>
    <row r="296" spans="1:5" x14ac:dyDescent="0.3">
      <c r="A296">
        <v>3920</v>
      </c>
      <c r="B296" t="s">
        <v>1759</v>
      </c>
      <c r="C296" t="s">
        <v>1471</v>
      </c>
      <c r="D296">
        <v>4040</v>
      </c>
      <c r="E296" t="s">
        <v>2191</v>
      </c>
    </row>
    <row r="297" spans="1:5" x14ac:dyDescent="0.3">
      <c r="A297">
        <v>3921</v>
      </c>
      <c r="B297" t="s">
        <v>1760</v>
      </c>
      <c r="C297" t="s">
        <v>1471</v>
      </c>
      <c r="D297">
        <v>3880</v>
      </c>
      <c r="E297" t="s">
        <v>2192</v>
      </c>
    </row>
    <row r="298" spans="1:5" x14ac:dyDescent="0.3">
      <c r="A298">
        <v>3922</v>
      </c>
      <c r="B298" t="s">
        <v>1761</v>
      </c>
      <c r="C298" t="s">
        <v>1471</v>
      </c>
      <c r="D298">
        <v>3633</v>
      </c>
      <c r="E298" t="s">
        <v>2193</v>
      </c>
    </row>
    <row r="299" spans="1:5" x14ac:dyDescent="0.3">
      <c r="A299">
        <v>3923</v>
      </c>
      <c r="B299" t="s">
        <v>1762</v>
      </c>
      <c r="C299" t="s">
        <v>1471</v>
      </c>
      <c r="D299">
        <v>3907</v>
      </c>
      <c r="E299" t="s">
        <v>2194</v>
      </c>
    </row>
    <row r="300" spans="1:5" x14ac:dyDescent="0.3">
      <c r="A300">
        <v>3924</v>
      </c>
      <c r="B300" t="s">
        <v>1763</v>
      </c>
      <c r="C300" t="s">
        <v>1471</v>
      </c>
      <c r="D300">
        <v>3823</v>
      </c>
      <c r="E300" t="s">
        <v>2195</v>
      </c>
    </row>
    <row r="301" spans="1:5" x14ac:dyDescent="0.3">
      <c r="A301">
        <v>3925</v>
      </c>
      <c r="B301" t="s">
        <v>1764</v>
      </c>
      <c r="C301" t="s">
        <v>1471</v>
      </c>
      <c r="D301">
        <v>3964</v>
      </c>
      <c r="E301" t="s">
        <v>2196</v>
      </c>
    </row>
    <row r="302" spans="1:5" x14ac:dyDescent="0.3">
      <c r="A302">
        <v>3926</v>
      </c>
      <c r="B302" t="s">
        <v>1765</v>
      </c>
      <c r="C302" t="s">
        <v>1471</v>
      </c>
      <c r="D302">
        <v>3569</v>
      </c>
      <c r="E302" t="s">
        <v>2197</v>
      </c>
    </row>
    <row r="303" spans="1:5" x14ac:dyDescent="0.3">
      <c r="A303">
        <v>3927</v>
      </c>
      <c r="B303" t="s">
        <v>1766</v>
      </c>
      <c r="C303" t="s">
        <v>1471</v>
      </c>
      <c r="D303">
        <v>3966</v>
      </c>
      <c r="E303" t="s">
        <v>2198</v>
      </c>
    </row>
    <row r="304" spans="1:5" x14ac:dyDescent="0.3">
      <c r="A304">
        <v>3928</v>
      </c>
      <c r="B304" t="s">
        <v>1767</v>
      </c>
      <c r="C304" t="s">
        <v>1471</v>
      </c>
      <c r="D304">
        <v>3531</v>
      </c>
      <c r="E304" t="s">
        <v>2199</v>
      </c>
    </row>
    <row r="305" spans="1:5" x14ac:dyDescent="0.3">
      <c r="A305">
        <v>3929</v>
      </c>
      <c r="B305" t="s">
        <v>1768</v>
      </c>
      <c r="C305" t="s">
        <v>1471</v>
      </c>
      <c r="D305">
        <v>3997</v>
      </c>
      <c r="E305" t="s">
        <v>2200</v>
      </c>
    </row>
    <row r="306" spans="1:5" x14ac:dyDescent="0.3">
      <c r="A306">
        <v>3930</v>
      </c>
      <c r="B306" t="s">
        <v>1769</v>
      </c>
      <c r="C306" t="s">
        <v>1471</v>
      </c>
      <c r="D306">
        <v>4033</v>
      </c>
      <c r="E306" t="s">
        <v>2201</v>
      </c>
    </row>
    <row r="307" spans="1:5" x14ac:dyDescent="0.3">
      <c r="A307">
        <v>3931</v>
      </c>
      <c r="B307" t="s">
        <v>1583</v>
      </c>
      <c r="C307" t="s">
        <v>1471</v>
      </c>
      <c r="D307">
        <v>4034</v>
      </c>
      <c r="E307" t="s">
        <v>2202</v>
      </c>
    </row>
    <row r="308" spans="1:5" x14ac:dyDescent="0.3">
      <c r="A308">
        <v>3932</v>
      </c>
      <c r="B308" t="s">
        <v>1770</v>
      </c>
      <c r="C308" t="s">
        <v>1471</v>
      </c>
      <c r="D308">
        <v>3594</v>
      </c>
      <c r="E308" t="s">
        <v>2203</v>
      </c>
    </row>
    <row r="309" spans="1:5" x14ac:dyDescent="0.3">
      <c r="A309">
        <v>3933</v>
      </c>
      <c r="B309" t="s">
        <v>1771</v>
      </c>
      <c r="C309" t="s">
        <v>1471</v>
      </c>
      <c r="D309">
        <v>3932</v>
      </c>
      <c r="E309" t="s">
        <v>2204</v>
      </c>
    </row>
    <row r="310" spans="1:5" x14ac:dyDescent="0.3">
      <c r="A310">
        <v>3934</v>
      </c>
      <c r="B310" t="s">
        <v>1772</v>
      </c>
      <c r="C310" t="s">
        <v>1471</v>
      </c>
      <c r="D310">
        <v>3833</v>
      </c>
      <c r="E310" t="s">
        <v>2205</v>
      </c>
    </row>
    <row r="311" spans="1:5" x14ac:dyDescent="0.3">
      <c r="A311">
        <v>3935</v>
      </c>
      <c r="B311" t="s">
        <v>1773</v>
      </c>
      <c r="C311" t="s">
        <v>1471</v>
      </c>
      <c r="D311">
        <v>4001</v>
      </c>
      <c r="E311" t="s">
        <v>2206</v>
      </c>
    </row>
    <row r="312" spans="1:5" x14ac:dyDescent="0.3">
      <c r="A312">
        <v>3936</v>
      </c>
      <c r="B312" t="s">
        <v>1774</v>
      </c>
      <c r="C312" t="s">
        <v>1471</v>
      </c>
      <c r="D312">
        <v>3568</v>
      </c>
      <c r="E312" t="s">
        <v>2207</v>
      </c>
    </row>
    <row r="313" spans="1:5" x14ac:dyDescent="0.3">
      <c r="A313">
        <v>3937</v>
      </c>
      <c r="B313" t="s">
        <v>1775</v>
      </c>
      <c r="C313" t="s">
        <v>1471</v>
      </c>
      <c r="D313">
        <v>3540</v>
      </c>
      <c r="E313" t="s">
        <v>2208</v>
      </c>
    </row>
    <row r="314" spans="1:5" x14ac:dyDescent="0.3">
      <c r="A314">
        <v>3938</v>
      </c>
      <c r="B314" t="s">
        <v>1776</v>
      </c>
      <c r="C314" t="s">
        <v>1471</v>
      </c>
      <c r="D314">
        <v>3768</v>
      </c>
      <c r="E314" t="s">
        <v>2209</v>
      </c>
    </row>
    <row r="315" spans="1:5" x14ac:dyDescent="0.3">
      <c r="A315">
        <v>3939</v>
      </c>
      <c r="B315" t="s">
        <v>1777</v>
      </c>
      <c r="C315" t="s">
        <v>1471</v>
      </c>
      <c r="D315">
        <v>3787</v>
      </c>
      <c r="E315" t="s">
        <v>2210</v>
      </c>
    </row>
    <row r="316" spans="1:5" x14ac:dyDescent="0.3">
      <c r="A316">
        <v>3940</v>
      </c>
      <c r="B316" t="s">
        <v>1778</v>
      </c>
      <c r="C316" t="s">
        <v>1471</v>
      </c>
      <c r="D316">
        <v>3919</v>
      </c>
      <c r="E316" t="s">
        <v>2211</v>
      </c>
    </row>
    <row r="317" spans="1:5" x14ac:dyDescent="0.3">
      <c r="A317">
        <v>3941</v>
      </c>
      <c r="B317" t="s">
        <v>1779</v>
      </c>
      <c r="C317" t="s">
        <v>1471</v>
      </c>
      <c r="D317">
        <v>4041</v>
      </c>
      <c r="E317" t="s">
        <v>2212</v>
      </c>
    </row>
    <row r="318" spans="1:5" x14ac:dyDescent="0.3">
      <c r="A318">
        <v>3942</v>
      </c>
      <c r="B318" t="s">
        <v>1780</v>
      </c>
      <c r="C318" t="s">
        <v>1471</v>
      </c>
      <c r="D318">
        <v>3694</v>
      </c>
      <c r="E318" t="s">
        <v>2213</v>
      </c>
    </row>
    <row r="319" spans="1:5" x14ac:dyDescent="0.3">
      <c r="A319">
        <v>3943</v>
      </c>
      <c r="B319" t="s">
        <v>1781</v>
      </c>
      <c r="C319" t="s">
        <v>1471</v>
      </c>
      <c r="D319">
        <v>3941</v>
      </c>
      <c r="E319" t="s">
        <v>2214</v>
      </c>
    </row>
    <row r="320" spans="1:5" x14ac:dyDescent="0.3">
      <c r="A320">
        <v>3944</v>
      </c>
      <c r="B320" t="s">
        <v>1782</v>
      </c>
      <c r="C320" t="s">
        <v>1471</v>
      </c>
      <c r="D320">
        <v>3648</v>
      </c>
      <c r="E320" t="s">
        <v>2215</v>
      </c>
    </row>
    <row r="321" spans="1:5" x14ac:dyDescent="0.3">
      <c r="A321">
        <v>3945</v>
      </c>
      <c r="B321" t="s">
        <v>1783</v>
      </c>
      <c r="C321" t="s">
        <v>1471</v>
      </c>
      <c r="D321">
        <v>3994</v>
      </c>
      <c r="E321" t="s">
        <v>2216</v>
      </c>
    </row>
    <row r="322" spans="1:5" x14ac:dyDescent="0.3">
      <c r="A322">
        <v>3946</v>
      </c>
      <c r="B322" t="s">
        <v>1784</v>
      </c>
      <c r="C322" t="s">
        <v>1471</v>
      </c>
      <c r="D322">
        <v>3583</v>
      </c>
      <c r="E322" t="s">
        <v>2217</v>
      </c>
    </row>
    <row r="323" spans="1:5" x14ac:dyDescent="0.3">
      <c r="A323">
        <v>3947</v>
      </c>
      <c r="B323" t="s">
        <v>1785</v>
      </c>
      <c r="C323" t="s">
        <v>1471</v>
      </c>
      <c r="D323">
        <v>3948</v>
      </c>
      <c r="E323" t="s">
        <v>2218</v>
      </c>
    </row>
    <row r="324" spans="1:5" x14ac:dyDescent="0.3">
      <c r="A324">
        <v>3948</v>
      </c>
      <c r="B324" t="s">
        <v>1786</v>
      </c>
      <c r="C324" t="s">
        <v>1471</v>
      </c>
      <c r="D324">
        <v>3850</v>
      </c>
      <c r="E324" t="s">
        <v>2219</v>
      </c>
    </row>
    <row r="325" spans="1:5" x14ac:dyDescent="0.3">
      <c r="A325">
        <v>3949</v>
      </c>
      <c r="B325" t="s">
        <v>1787</v>
      </c>
      <c r="C325" t="s">
        <v>1471</v>
      </c>
      <c r="D325">
        <v>3559</v>
      </c>
      <c r="E325" t="s">
        <v>2220</v>
      </c>
    </row>
    <row r="326" spans="1:5" x14ac:dyDescent="0.3">
      <c r="A326">
        <v>3950</v>
      </c>
      <c r="B326" t="s">
        <v>1788</v>
      </c>
      <c r="C326" t="s">
        <v>1471</v>
      </c>
      <c r="D326">
        <v>3737</v>
      </c>
      <c r="E326" t="s">
        <v>2221</v>
      </c>
    </row>
    <row r="327" spans="1:5" x14ac:dyDescent="0.3">
      <c r="A327">
        <v>3951</v>
      </c>
      <c r="B327" t="s">
        <v>1789</v>
      </c>
      <c r="C327" t="s">
        <v>1471</v>
      </c>
      <c r="D327">
        <v>3552</v>
      </c>
      <c r="E327" t="s">
        <v>2222</v>
      </c>
    </row>
    <row r="328" spans="1:5" x14ac:dyDescent="0.3">
      <c r="A328">
        <v>3952</v>
      </c>
      <c r="B328" t="s">
        <v>1790</v>
      </c>
      <c r="C328" t="s">
        <v>1471</v>
      </c>
      <c r="D328">
        <v>3904</v>
      </c>
      <c r="E328" t="s">
        <v>596</v>
      </c>
    </row>
    <row r="329" spans="1:5" x14ac:dyDescent="0.3">
      <c r="A329">
        <v>3953</v>
      </c>
      <c r="B329" t="s">
        <v>1791</v>
      </c>
      <c r="C329" t="s">
        <v>1471</v>
      </c>
      <c r="D329">
        <v>3621</v>
      </c>
      <c r="E329" t="s">
        <v>2223</v>
      </c>
    </row>
    <row r="330" spans="1:5" x14ac:dyDescent="0.3">
      <c r="A330">
        <v>3954</v>
      </c>
      <c r="B330" t="s">
        <v>1792</v>
      </c>
      <c r="C330" t="s">
        <v>1471</v>
      </c>
      <c r="D330">
        <v>3946</v>
      </c>
      <c r="E330" t="s">
        <v>2224</v>
      </c>
    </row>
    <row r="331" spans="1:5" x14ac:dyDescent="0.3">
      <c r="A331">
        <v>3955</v>
      </c>
      <c r="B331" t="s">
        <v>1793</v>
      </c>
      <c r="C331" t="s">
        <v>1471</v>
      </c>
      <c r="D331">
        <v>3834</v>
      </c>
      <c r="E331" t="s">
        <v>2225</v>
      </c>
    </row>
    <row r="332" spans="1:5" x14ac:dyDescent="0.3">
      <c r="A332">
        <v>3956</v>
      </c>
      <c r="B332" t="s">
        <v>1794</v>
      </c>
      <c r="C332" t="s">
        <v>1471</v>
      </c>
      <c r="D332">
        <v>3593</v>
      </c>
      <c r="E332" t="s">
        <v>2226</v>
      </c>
    </row>
    <row r="333" spans="1:5" x14ac:dyDescent="0.3">
      <c r="A333">
        <v>3957</v>
      </c>
      <c r="B333" t="s">
        <v>1795</v>
      </c>
      <c r="C333" t="s">
        <v>1471</v>
      </c>
      <c r="D333">
        <v>3935</v>
      </c>
      <c r="E333" t="s">
        <v>2227</v>
      </c>
    </row>
    <row r="334" spans="1:5" x14ac:dyDescent="0.3">
      <c r="A334">
        <v>3958</v>
      </c>
      <c r="B334" t="s">
        <v>1796</v>
      </c>
      <c r="C334" t="s">
        <v>1471</v>
      </c>
      <c r="D334">
        <v>3878</v>
      </c>
      <c r="E334" t="s">
        <v>597</v>
      </c>
    </row>
    <row r="335" spans="1:5" x14ac:dyDescent="0.3">
      <c r="A335">
        <v>3959</v>
      </c>
      <c r="B335" t="s">
        <v>1797</v>
      </c>
      <c r="C335" t="s">
        <v>1471</v>
      </c>
      <c r="D335">
        <v>3840</v>
      </c>
      <c r="E335" t="s">
        <v>2228</v>
      </c>
    </row>
    <row r="336" spans="1:5" x14ac:dyDescent="0.3">
      <c r="A336">
        <v>3960</v>
      </c>
      <c r="B336" t="s">
        <v>1798</v>
      </c>
      <c r="C336" t="s">
        <v>1471</v>
      </c>
      <c r="D336">
        <v>3836</v>
      </c>
      <c r="E336" t="s">
        <v>2229</v>
      </c>
    </row>
    <row r="337" spans="1:5" x14ac:dyDescent="0.3">
      <c r="A337">
        <v>3961</v>
      </c>
      <c r="B337" t="s">
        <v>1799</v>
      </c>
      <c r="C337" t="s">
        <v>1471</v>
      </c>
      <c r="D337">
        <v>3494</v>
      </c>
      <c r="E337" t="s">
        <v>2230</v>
      </c>
    </row>
    <row r="338" spans="1:5" x14ac:dyDescent="0.3">
      <c r="A338">
        <v>3962</v>
      </c>
      <c r="B338" t="s">
        <v>1800</v>
      </c>
      <c r="C338" t="s">
        <v>1471</v>
      </c>
      <c r="D338">
        <v>3933</v>
      </c>
      <c r="E338" t="s">
        <v>2231</v>
      </c>
    </row>
    <row r="339" spans="1:5" x14ac:dyDescent="0.3">
      <c r="A339">
        <v>3963</v>
      </c>
      <c r="B339" t="s">
        <v>1801</v>
      </c>
      <c r="C339" t="s">
        <v>1471</v>
      </c>
      <c r="D339">
        <v>3598</v>
      </c>
      <c r="E339" t="s">
        <v>2232</v>
      </c>
    </row>
    <row r="340" spans="1:5" x14ac:dyDescent="0.3">
      <c r="A340">
        <v>3964</v>
      </c>
      <c r="B340" t="s">
        <v>1802</v>
      </c>
      <c r="C340" t="s">
        <v>1471</v>
      </c>
      <c r="D340">
        <v>3825</v>
      </c>
      <c r="E340" t="s">
        <v>2233</v>
      </c>
    </row>
    <row r="341" spans="1:5" x14ac:dyDescent="0.3">
      <c r="A341">
        <v>3965</v>
      </c>
      <c r="B341" t="s">
        <v>1803</v>
      </c>
      <c r="C341" t="s">
        <v>1471</v>
      </c>
      <c r="D341">
        <v>3920</v>
      </c>
      <c r="E341" t="s">
        <v>2234</v>
      </c>
    </row>
    <row r="342" spans="1:5" x14ac:dyDescent="0.3">
      <c r="A342">
        <v>3966</v>
      </c>
      <c r="B342" t="s">
        <v>1804</v>
      </c>
      <c r="C342" t="s">
        <v>1471</v>
      </c>
      <c r="D342">
        <v>3781</v>
      </c>
      <c r="E342" t="s">
        <v>2235</v>
      </c>
    </row>
    <row r="343" spans="1:5" x14ac:dyDescent="0.3">
      <c r="A343">
        <v>3967</v>
      </c>
      <c r="B343" t="s">
        <v>1805</v>
      </c>
      <c r="C343" t="s">
        <v>1471</v>
      </c>
      <c r="D343">
        <v>3697</v>
      </c>
      <c r="E343" t="s">
        <v>2236</v>
      </c>
    </row>
    <row r="344" spans="1:5" x14ac:dyDescent="0.3">
      <c r="A344">
        <v>3968</v>
      </c>
      <c r="B344" t="s">
        <v>1806</v>
      </c>
      <c r="C344" t="s">
        <v>1471</v>
      </c>
      <c r="D344">
        <v>4010</v>
      </c>
      <c r="E344" t="s">
        <v>2237</v>
      </c>
    </row>
    <row r="345" spans="1:5" x14ac:dyDescent="0.3">
      <c r="A345">
        <v>3969</v>
      </c>
      <c r="B345" t="s">
        <v>1807</v>
      </c>
      <c r="C345" t="s">
        <v>1471</v>
      </c>
      <c r="D345">
        <v>4019</v>
      </c>
      <c r="E345" t="s">
        <v>2238</v>
      </c>
    </row>
    <row r="346" spans="1:5" x14ac:dyDescent="0.3">
      <c r="A346">
        <v>3970</v>
      </c>
      <c r="B346" t="s">
        <v>1808</v>
      </c>
      <c r="C346" t="s">
        <v>1471</v>
      </c>
      <c r="D346">
        <v>3762</v>
      </c>
      <c r="E346" t="s">
        <v>2239</v>
      </c>
    </row>
    <row r="347" spans="1:5" x14ac:dyDescent="0.3">
      <c r="A347">
        <v>3971</v>
      </c>
      <c r="B347" t="s">
        <v>1809</v>
      </c>
      <c r="C347" t="s">
        <v>1471</v>
      </c>
      <c r="D347">
        <v>3562</v>
      </c>
      <c r="E347" t="s">
        <v>598</v>
      </c>
    </row>
    <row r="348" spans="1:5" x14ac:dyDescent="0.3">
      <c r="A348">
        <v>3972</v>
      </c>
      <c r="B348" t="s">
        <v>1810</v>
      </c>
      <c r="C348" t="s">
        <v>1471</v>
      </c>
      <c r="D348">
        <v>3985</v>
      </c>
      <c r="E348" t="s">
        <v>2240</v>
      </c>
    </row>
    <row r="349" spans="1:5" x14ac:dyDescent="0.3">
      <c r="A349">
        <v>3973</v>
      </c>
      <c r="B349" t="s">
        <v>1811</v>
      </c>
      <c r="C349" t="s">
        <v>1471</v>
      </c>
      <c r="D349">
        <v>3763</v>
      </c>
      <c r="E349" t="s">
        <v>2241</v>
      </c>
    </row>
    <row r="350" spans="1:5" x14ac:dyDescent="0.3">
      <c r="A350">
        <v>3974</v>
      </c>
      <c r="B350" t="s">
        <v>1812</v>
      </c>
      <c r="C350" t="s">
        <v>1471</v>
      </c>
      <c r="D350">
        <v>3779</v>
      </c>
      <c r="E350" t="s">
        <v>2242</v>
      </c>
    </row>
    <row r="351" spans="1:5" x14ac:dyDescent="0.3">
      <c r="A351">
        <v>3975</v>
      </c>
      <c r="B351" t="s">
        <v>1813</v>
      </c>
      <c r="C351" t="s">
        <v>1471</v>
      </c>
      <c r="D351">
        <v>3718</v>
      </c>
      <c r="E351" t="s">
        <v>2243</v>
      </c>
    </row>
    <row r="352" spans="1:5" x14ac:dyDescent="0.3">
      <c r="A352">
        <v>3976</v>
      </c>
      <c r="B352" t="s">
        <v>1814</v>
      </c>
      <c r="C352" t="s">
        <v>1471</v>
      </c>
      <c r="D352">
        <v>3783</v>
      </c>
      <c r="E352" t="s">
        <v>2244</v>
      </c>
    </row>
    <row r="353" spans="1:5" x14ac:dyDescent="0.3">
      <c r="A353">
        <v>3977</v>
      </c>
      <c r="B353" t="s">
        <v>1815</v>
      </c>
      <c r="C353" t="s">
        <v>1471</v>
      </c>
      <c r="D353">
        <v>3895</v>
      </c>
      <c r="E353" t="s">
        <v>2245</v>
      </c>
    </row>
    <row r="354" spans="1:5" x14ac:dyDescent="0.3">
      <c r="A354">
        <v>3978</v>
      </c>
      <c r="B354" t="s">
        <v>1816</v>
      </c>
      <c r="C354" t="s">
        <v>1471</v>
      </c>
      <c r="D354">
        <v>3590</v>
      </c>
      <c r="E354" t="s">
        <v>2246</v>
      </c>
    </row>
    <row r="355" spans="1:5" x14ac:dyDescent="0.3">
      <c r="A355">
        <v>3979</v>
      </c>
      <c r="B355" t="s">
        <v>1817</v>
      </c>
      <c r="C355" t="s">
        <v>1471</v>
      </c>
      <c r="D355">
        <v>3891</v>
      </c>
      <c r="E355" t="s">
        <v>2247</v>
      </c>
    </row>
    <row r="356" spans="1:5" x14ac:dyDescent="0.3">
      <c r="A356">
        <v>3980</v>
      </c>
      <c r="B356" t="s">
        <v>1818</v>
      </c>
      <c r="C356" t="s">
        <v>1471</v>
      </c>
      <c r="D356">
        <v>3806</v>
      </c>
      <c r="E356" t="s">
        <v>2248</v>
      </c>
    </row>
    <row r="357" spans="1:5" x14ac:dyDescent="0.3">
      <c r="A357">
        <v>3981</v>
      </c>
      <c r="B357" t="s">
        <v>1819</v>
      </c>
      <c r="C357" t="s">
        <v>1471</v>
      </c>
      <c r="D357">
        <v>4025</v>
      </c>
      <c r="E357" t="s">
        <v>2249</v>
      </c>
    </row>
    <row r="358" spans="1:5" x14ac:dyDescent="0.3">
      <c r="A358">
        <v>3982</v>
      </c>
      <c r="B358" t="s">
        <v>1820</v>
      </c>
      <c r="C358" t="s">
        <v>1471</v>
      </c>
      <c r="D358">
        <v>3960</v>
      </c>
      <c r="E358" t="s">
        <v>2250</v>
      </c>
    </row>
    <row r="359" spans="1:5" x14ac:dyDescent="0.3">
      <c r="A359">
        <v>3983</v>
      </c>
      <c r="B359" t="s">
        <v>1821</v>
      </c>
      <c r="C359" t="s">
        <v>1471</v>
      </c>
      <c r="D359">
        <v>3988</v>
      </c>
      <c r="E359" t="s">
        <v>2251</v>
      </c>
    </row>
    <row r="360" spans="1:5" x14ac:dyDescent="0.3">
      <c r="A360">
        <v>3984</v>
      </c>
      <c r="B360" t="s">
        <v>1822</v>
      </c>
      <c r="C360" t="s">
        <v>1471</v>
      </c>
      <c r="D360">
        <v>3981</v>
      </c>
      <c r="E360" t="s">
        <v>2252</v>
      </c>
    </row>
    <row r="361" spans="1:5" x14ac:dyDescent="0.3">
      <c r="A361">
        <v>3985</v>
      </c>
      <c r="B361" t="s">
        <v>1823</v>
      </c>
      <c r="C361" t="s">
        <v>1471</v>
      </c>
      <c r="D361">
        <v>3656</v>
      </c>
      <c r="E361" t="s">
        <v>2253</v>
      </c>
    </row>
    <row r="362" spans="1:5" x14ac:dyDescent="0.3">
      <c r="A362">
        <v>3986</v>
      </c>
      <c r="B362" t="s">
        <v>1824</v>
      </c>
      <c r="C362" t="s">
        <v>1471</v>
      </c>
      <c r="D362">
        <v>3530</v>
      </c>
      <c r="E362" t="s">
        <v>2254</v>
      </c>
    </row>
    <row r="363" spans="1:5" x14ac:dyDescent="0.3">
      <c r="A363">
        <v>3987</v>
      </c>
      <c r="B363" t="s">
        <v>1825</v>
      </c>
      <c r="C363" t="s">
        <v>1471</v>
      </c>
      <c r="D363">
        <v>3843</v>
      </c>
      <c r="E363" t="s">
        <v>2255</v>
      </c>
    </row>
    <row r="364" spans="1:5" x14ac:dyDescent="0.3">
      <c r="A364">
        <v>3988</v>
      </c>
      <c r="B364" t="s">
        <v>1826</v>
      </c>
      <c r="C364" t="s">
        <v>1471</v>
      </c>
      <c r="D364">
        <v>3502</v>
      </c>
      <c r="E364" t="s">
        <v>2256</v>
      </c>
    </row>
    <row r="365" spans="1:5" x14ac:dyDescent="0.3">
      <c r="A365">
        <v>3989</v>
      </c>
      <c r="B365" t="s">
        <v>1827</v>
      </c>
      <c r="C365" t="s">
        <v>1471</v>
      </c>
      <c r="D365">
        <v>3856</v>
      </c>
      <c r="E365" t="s">
        <v>2257</v>
      </c>
    </row>
    <row r="366" spans="1:5" x14ac:dyDescent="0.3">
      <c r="A366">
        <v>3990</v>
      </c>
      <c r="B366" t="s">
        <v>1828</v>
      </c>
      <c r="C366" t="s">
        <v>1471</v>
      </c>
      <c r="D366">
        <v>3719</v>
      </c>
      <c r="E366" t="s">
        <v>599</v>
      </c>
    </row>
    <row r="367" spans="1:5" x14ac:dyDescent="0.3">
      <c r="A367">
        <v>3991</v>
      </c>
      <c r="B367" t="s">
        <v>1829</v>
      </c>
      <c r="C367" t="s">
        <v>1471</v>
      </c>
      <c r="D367">
        <v>3927</v>
      </c>
      <c r="E367" t="s">
        <v>2258</v>
      </c>
    </row>
    <row r="368" spans="1:5" x14ac:dyDescent="0.3">
      <c r="A368">
        <v>3992</v>
      </c>
      <c r="B368" t="s">
        <v>1830</v>
      </c>
      <c r="C368" t="s">
        <v>1471</v>
      </c>
      <c r="D368">
        <v>3829</v>
      </c>
      <c r="E368" t="s">
        <v>2259</v>
      </c>
    </row>
    <row r="369" spans="1:5" x14ac:dyDescent="0.3">
      <c r="A369">
        <v>3993</v>
      </c>
      <c r="B369" t="s">
        <v>1831</v>
      </c>
      <c r="C369" t="s">
        <v>1471</v>
      </c>
      <c r="D369">
        <v>3950</v>
      </c>
      <c r="E369" t="s">
        <v>2260</v>
      </c>
    </row>
    <row r="370" spans="1:5" x14ac:dyDescent="0.3">
      <c r="A370">
        <v>3994</v>
      </c>
      <c r="B370" t="s">
        <v>1832</v>
      </c>
      <c r="C370" t="s">
        <v>1471</v>
      </c>
      <c r="D370">
        <v>3961</v>
      </c>
      <c r="E370" t="s">
        <v>2261</v>
      </c>
    </row>
    <row r="371" spans="1:5" x14ac:dyDescent="0.3">
      <c r="A371">
        <v>3995</v>
      </c>
      <c r="B371" t="s">
        <v>1601</v>
      </c>
      <c r="C371" t="s">
        <v>1471</v>
      </c>
      <c r="D371">
        <v>3849</v>
      </c>
      <c r="E371" t="s">
        <v>2262</v>
      </c>
    </row>
    <row r="372" spans="1:5" x14ac:dyDescent="0.3">
      <c r="A372">
        <v>3996</v>
      </c>
      <c r="B372" t="s">
        <v>1833</v>
      </c>
      <c r="C372" t="s">
        <v>1471</v>
      </c>
      <c r="D372">
        <v>3545</v>
      </c>
      <c r="E372" t="s">
        <v>2263</v>
      </c>
    </row>
    <row r="373" spans="1:5" x14ac:dyDescent="0.3">
      <c r="A373">
        <v>3997</v>
      </c>
      <c r="B373" t="s">
        <v>1834</v>
      </c>
      <c r="C373" t="s">
        <v>1471</v>
      </c>
      <c r="D373">
        <v>3896</v>
      </c>
      <c r="E373" t="s">
        <v>2264</v>
      </c>
    </row>
    <row r="374" spans="1:5" x14ac:dyDescent="0.3">
      <c r="A374">
        <v>3998</v>
      </c>
      <c r="B374" t="s">
        <v>1835</v>
      </c>
      <c r="C374" t="s">
        <v>1471</v>
      </c>
      <c r="D374">
        <v>3499</v>
      </c>
      <c r="E374" t="s">
        <v>2265</v>
      </c>
    </row>
    <row r="375" spans="1:5" x14ac:dyDescent="0.3">
      <c r="A375">
        <v>3999</v>
      </c>
      <c r="B375" t="s">
        <v>1836</v>
      </c>
      <c r="C375" t="s">
        <v>1471</v>
      </c>
      <c r="D375">
        <v>3522</v>
      </c>
      <c r="E375" t="s">
        <v>2266</v>
      </c>
    </row>
    <row r="376" spans="1:5" x14ac:dyDescent="0.3">
      <c r="A376">
        <v>4000</v>
      </c>
      <c r="B376" t="s">
        <v>1837</v>
      </c>
      <c r="C376" t="s">
        <v>1471</v>
      </c>
      <c r="D376">
        <v>3553</v>
      </c>
      <c r="E376" t="s">
        <v>2267</v>
      </c>
    </row>
    <row r="377" spans="1:5" x14ac:dyDescent="0.3">
      <c r="A377">
        <v>4001</v>
      </c>
      <c r="B377" t="s">
        <v>1838</v>
      </c>
      <c r="C377" t="s">
        <v>1471</v>
      </c>
      <c r="D377">
        <v>3905</v>
      </c>
      <c r="E377" t="s">
        <v>2268</v>
      </c>
    </row>
    <row r="378" spans="1:5" x14ac:dyDescent="0.3">
      <c r="A378">
        <v>4002</v>
      </c>
      <c r="B378" t="s">
        <v>1839</v>
      </c>
      <c r="C378" t="s">
        <v>1471</v>
      </c>
      <c r="D378">
        <v>3909</v>
      </c>
      <c r="E378" t="s">
        <v>2269</v>
      </c>
    </row>
    <row r="379" spans="1:5" x14ac:dyDescent="0.3">
      <c r="A379">
        <v>4003</v>
      </c>
      <c r="B379" t="s">
        <v>1840</v>
      </c>
      <c r="C379" t="s">
        <v>1471</v>
      </c>
      <c r="D379">
        <v>3811</v>
      </c>
      <c r="E379" t="s">
        <v>600</v>
      </c>
    </row>
    <row r="380" spans="1:5" x14ac:dyDescent="0.3">
      <c r="A380">
        <v>4004</v>
      </c>
      <c r="B380" t="s">
        <v>1841</v>
      </c>
      <c r="C380" t="s">
        <v>1471</v>
      </c>
      <c r="D380">
        <v>3721</v>
      </c>
      <c r="E380" t="s">
        <v>2270</v>
      </c>
    </row>
    <row r="381" spans="1:5" x14ac:dyDescent="0.3">
      <c r="A381">
        <v>4005</v>
      </c>
      <c r="B381" t="s">
        <v>1842</v>
      </c>
      <c r="C381" t="s">
        <v>1471</v>
      </c>
      <c r="D381">
        <v>3547</v>
      </c>
      <c r="E381" t="s">
        <v>2271</v>
      </c>
    </row>
    <row r="382" spans="1:5" x14ac:dyDescent="0.3">
      <c r="A382">
        <v>4006</v>
      </c>
      <c r="B382" t="s">
        <v>1843</v>
      </c>
      <c r="C382" t="s">
        <v>1471</v>
      </c>
      <c r="D382">
        <v>3649</v>
      </c>
      <c r="E382" t="s">
        <v>2272</v>
      </c>
    </row>
    <row r="383" spans="1:5" x14ac:dyDescent="0.3">
      <c r="A383">
        <v>4007</v>
      </c>
      <c r="B383" t="s">
        <v>1844</v>
      </c>
      <c r="C383" t="s">
        <v>1471</v>
      </c>
      <c r="D383">
        <v>3874</v>
      </c>
      <c r="E383" t="s">
        <v>2273</v>
      </c>
    </row>
    <row r="384" spans="1:5" x14ac:dyDescent="0.3">
      <c r="A384">
        <v>4008</v>
      </c>
      <c r="B384" t="s">
        <v>1845</v>
      </c>
      <c r="C384" t="s">
        <v>1471</v>
      </c>
      <c r="D384">
        <v>3674</v>
      </c>
      <c r="E384" t="s">
        <v>2274</v>
      </c>
    </row>
    <row r="385" spans="1:5" x14ac:dyDescent="0.3">
      <c r="A385">
        <v>4009</v>
      </c>
      <c r="B385" t="s">
        <v>1846</v>
      </c>
      <c r="C385" t="s">
        <v>1471</v>
      </c>
      <c r="D385">
        <v>3520</v>
      </c>
      <c r="E385" t="s">
        <v>2275</v>
      </c>
    </row>
    <row r="386" spans="1:5" x14ac:dyDescent="0.3">
      <c r="A386">
        <v>4010</v>
      </c>
      <c r="B386" t="s">
        <v>1847</v>
      </c>
      <c r="C386" t="s">
        <v>1471</v>
      </c>
      <c r="D386">
        <v>3576</v>
      </c>
      <c r="E386" t="s">
        <v>2276</v>
      </c>
    </row>
    <row r="387" spans="1:5" x14ac:dyDescent="0.3">
      <c r="A387">
        <v>4011</v>
      </c>
      <c r="B387" t="s">
        <v>1848</v>
      </c>
      <c r="C387" t="s">
        <v>1471</v>
      </c>
      <c r="D387">
        <v>3696</v>
      </c>
      <c r="E387" t="s">
        <v>2277</v>
      </c>
    </row>
    <row r="388" spans="1:5" x14ac:dyDescent="0.3">
      <c r="A388">
        <v>4012</v>
      </c>
      <c r="B388" t="s">
        <v>1849</v>
      </c>
      <c r="C388" t="s">
        <v>1471</v>
      </c>
      <c r="D388">
        <v>3855</v>
      </c>
      <c r="E388" t="s">
        <v>2278</v>
      </c>
    </row>
    <row r="389" spans="1:5" x14ac:dyDescent="0.3">
      <c r="A389">
        <v>4013</v>
      </c>
      <c r="B389" t="s">
        <v>1850</v>
      </c>
      <c r="C389" t="s">
        <v>1471</v>
      </c>
      <c r="D389">
        <v>3667</v>
      </c>
      <c r="E389" t="s">
        <v>2279</v>
      </c>
    </row>
    <row r="390" spans="1:5" x14ac:dyDescent="0.3">
      <c r="A390">
        <v>4014</v>
      </c>
      <c r="B390" t="s">
        <v>1851</v>
      </c>
      <c r="C390" t="s">
        <v>1471</v>
      </c>
      <c r="D390">
        <v>3518</v>
      </c>
      <c r="E390" t="s">
        <v>2280</v>
      </c>
    </row>
    <row r="391" spans="1:5" x14ac:dyDescent="0.3">
      <c r="A391">
        <v>4015</v>
      </c>
      <c r="B391" t="s">
        <v>1597</v>
      </c>
      <c r="C391" t="s">
        <v>1471</v>
      </c>
      <c r="D391">
        <v>3993</v>
      </c>
      <c r="E391" t="s">
        <v>2281</v>
      </c>
    </row>
    <row r="392" spans="1:5" x14ac:dyDescent="0.3">
      <c r="A392">
        <v>4016</v>
      </c>
      <c r="B392" t="s">
        <v>1852</v>
      </c>
      <c r="C392" t="s">
        <v>1471</v>
      </c>
      <c r="D392">
        <v>3757</v>
      </c>
      <c r="E392" t="s">
        <v>2282</v>
      </c>
    </row>
    <row r="393" spans="1:5" x14ac:dyDescent="0.3">
      <c r="A393">
        <v>4017</v>
      </c>
      <c r="B393" t="s">
        <v>1853</v>
      </c>
      <c r="C393" t="s">
        <v>1471</v>
      </c>
      <c r="D393">
        <v>3628</v>
      </c>
      <c r="E393" t="s">
        <v>2283</v>
      </c>
    </row>
    <row r="394" spans="1:5" x14ac:dyDescent="0.3">
      <c r="A394">
        <v>4018</v>
      </c>
      <c r="B394" t="s">
        <v>1678</v>
      </c>
      <c r="C394" t="s">
        <v>1471</v>
      </c>
      <c r="D394">
        <v>3539</v>
      </c>
      <c r="E394" t="s">
        <v>2284</v>
      </c>
    </row>
    <row r="395" spans="1:5" x14ac:dyDescent="0.3">
      <c r="A395">
        <v>4019</v>
      </c>
      <c r="B395" t="s">
        <v>1854</v>
      </c>
      <c r="C395" t="s">
        <v>1471</v>
      </c>
      <c r="D395">
        <v>3706</v>
      </c>
      <c r="E395" t="s">
        <v>2285</v>
      </c>
    </row>
    <row r="396" spans="1:5" x14ac:dyDescent="0.3">
      <c r="A396">
        <v>4020</v>
      </c>
      <c r="B396" t="s">
        <v>1855</v>
      </c>
      <c r="C396" t="s">
        <v>1471</v>
      </c>
      <c r="D396">
        <v>3495</v>
      </c>
      <c r="E396" t="s">
        <v>2286</v>
      </c>
    </row>
    <row r="397" spans="1:5" x14ac:dyDescent="0.3">
      <c r="A397">
        <v>4021</v>
      </c>
      <c r="B397" t="s">
        <v>1856</v>
      </c>
      <c r="C397" t="s">
        <v>1471</v>
      </c>
      <c r="D397">
        <v>3934</v>
      </c>
      <c r="E397" t="s">
        <v>2287</v>
      </c>
    </row>
    <row r="398" spans="1:5" x14ac:dyDescent="0.3">
      <c r="A398">
        <v>4022</v>
      </c>
      <c r="B398" t="s">
        <v>1857</v>
      </c>
      <c r="C398" t="s">
        <v>1471</v>
      </c>
      <c r="D398">
        <v>3845</v>
      </c>
      <c r="E398" t="s">
        <v>2288</v>
      </c>
    </row>
    <row r="399" spans="1:5" x14ac:dyDescent="0.3">
      <c r="A399">
        <v>4023</v>
      </c>
      <c r="B399" t="s">
        <v>1858</v>
      </c>
      <c r="C399" t="s">
        <v>1471</v>
      </c>
      <c r="D399">
        <v>4035</v>
      </c>
      <c r="E399" t="s">
        <v>2289</v>
      </c>
    </row>
    <row r="400" spans="1:5" x14ac:dyDescent="0.3">
      <c r="A400">
        <v>4024</v>
      </c>
      <c r="B400" t="s">
        <v>1859</v>
      </c>
      <c r="C400" t="s">
        <v>1471</v>
      </c>
      <c r="D400">
        <v>4038</v>
      </c>
      <c r="E400" t="s">
        <v>2290</v>
      </c>
    </row>
    <row r="401" spans="1:5" x14ac:dyDescent="0.3">
      <c r="A401">
        <v>4025</v>
      </c>
      <c r="B401" t="s">
        <v>1860</v>
      </c>
      <c r="C401" t="s">
        <v>1471</v>
      </c>
      <c r="D401">
        <v>3800</v>
      </c>
      <c r="E401" t="s">
        <v>2291</v>
      </c>
    </row>
    <row r="402" spans="1:5" x14ac:dyDescent="0.3">
      <c r="A402">
        <v>4026</v>
      </c>
      <c r="B402" t="s">
        <v>1861</v>
      </c>
      <c r="C402" t="s">
        <v>1471</v>
      </c>
      <c r="D402">
        <v>3968</v>
      </c>
      <c r="E402" t="s">
        <v>2292</v>
      </c>
    </row>
    <row r="403" spans="1:5" x14ac:dyDescent="0.3">
      <c r="A403">
        <v>4027</v>
      </c>
      <c r="B403" t="s">
        <v>1862</v>
      </c>
      <c r="C403" t="s">
        <v>1471</v>
      </c>
      <c r="D403">
        <v>3928</v>
      </c>
      <c r="E403" t="s">
        <v>2293</v>
      </c>
    </row>
    <row r="404" spans="1:5" x14ac:dyDescent="0.3">
      <c r="A404">
        <v>4028</v>
      </c>
      <c r="B404" t="s">
        <v>1863</v>
      </c>
      <c r="C404" t="s">
        <v>1471</v>
      </c>
      <c r="D404">
        <v>3498</v>
      </c>
      <c r="E404" t="s">
        <v>2294</v>
      </c>
    </row>
    <row r="405" spans="1:5" x14ac:dyDescent="0.3">
      <c r="A405">
        <v>4029</v>
      </c>
      <c r="B405" t="s">
        <v>1864</v>
      </c>
      <c r="C405" t="s">
        <v>1471</v>
      </c>
      <c r="D405">
        <v>3991</v>
      </c>
      <c r="E405" t="s">
        <v>2295</v>
      </c>
    </row>
    <row r="406" spans="1:5" x14ac:dyDescent="0.3">
      <c r="A406">
        <v>4030</v>
      </c>
      <c r="B406" t="s">
        <v>1865</v>
      </c>
      <c r="C406" t="s">
        <v>1471</v>
      </c>
      <c r="D406">
        <v>3918</v>
      </c>
      <c r="E406" t="s">
        <v>2296</v>
      </c>
    </row>
    <row r="407" spans="1:5" x14ac:dyDescent="0.3">
      <c r="A407">
        <v>4031</v>
      </c>
      <c r="B407" t="s">
        <v>1866</v>
      </c>
      <c r="C407" t="s">
        <v>1471</v>
      </c>
      <c r="D407">
        <v>3681</v>
      </c>
      <c r="E407" t="s">
        <v>2297</v>
      </c>
    </row>
    <row r="408" spans="1:5" x14ac:dyDescent="0.3">
      <c r="A408">
        <v>4032</v>
      </c>
      <c r="B408" t="s">
        <v>1867</v>
      </c>
      <c r="C408" t="s">
        <v>1471</v>
      </c>
      <c r="D408">
        <v>4015</v>
      </c>
      <c r="E408" t="s">
        <v>2298</v>
      </c>
    </row>
    <row r="409" spans="1:5" x14ac:dyDescent="0.3">
      <c r="A409">
        <v>4033</v>
      </c>
      <c r="B409" t="s">
        <v>1868</v>
      </c>
      <c r="C409" t="s">
        <v>1471</v>
      </c>
      <c r="D409">
        <v>4017</v>
      </c>
      <c r="E409" t="s">
        <v>2299</v>
      </c>
    </row>
    <row r="410" spans="1:5" x14ac:dyDescent="0.3">
      <c r="A410">
        <v>4034</v>
      </c>
      <c r="B410" t="s">
        <v>1869</v>
      </c>
      <c r="C410" t="s">
        <v>1471</v>
      </c>
      <c r="D410">
        <v>3711</v>
      </c>
      <c r="E410" t="s">
        <v>2300</v>
      </c>
    </row>
    <row r="411" spans="1:5" x14ac:dyDescent="0.3">
      <c r="A411">
        <v>4035</v>
      </c>
      <c r="B411" t="s">
        <v>1870</v>
      </c>
      <c r="C411" t="s">
        <v>1471</v>
      </c>
      <c r="D411">
        <v>3682</v>
      </c>
      <c r="E411" t="s">
        <v>2301</v>
      </c>
    </row>
    <row r="412" spans="1:5" x14ac:dyDescent="0.3">
      <c r="A412">
        <v>4036</v>
      </c>
      <c r="B412" t="s">
        <v>1871</v>
      </c>
      <c r="C412" t="s">
        <v>1471</v>
      </c>
      <c r="D412">
        <v>3954</v>
      </c>
      <c r="E412" t="s">
        <v>2302</v>
      </c>
    </row>
    <row r="413" spans="1:5" x14ac:dyDescent="0.3">
      <c r="A413">
        <v>4037</v>
      </c>
      <c r="B413" t="s">
        <v>1872</v>
      </c>
      <c r="C413" t="s">
        <v>1471</v>
      </c>
      <c r="D413">
        <v>3515</v>
      </c>
      <c r="E413" t="s">
        <v>2303</v>
      </c>
    </row>
    <row r="414" spans="1:5" x14ac:dyDescent="0.3">
      <c r="A414">
        <v>4038</v>
      </c>
      <c r="B414" t="s">
        <v>1873</v>
      </c>
      <c r="C414" t="s">
        <v>1471</v>
      </c>
      <c r="D414">
        <v>3972</v>
      </c>
      <c r="E414" t="s">
        <v>2304</v>
      </c>
    </row>
    <row r="415" spans="1:5" x14ac:dyDescent="0.3">
      <c r="A415">
        <v>4039</v>
      </c>
      <c r="B415" t="s">
        <v>1874</v>
      </c>
      <c r="C415" t="s">
        <v>1471</v>
      </c>
      <c r="D415">
        <v>3863</v>
      </c>
      <c r="E415" t="s">
        <v>2305</v>
      </c>
    </row>
    <row r="416" spans="1:5" x14ac:dyDescent="0.3">
      <c r="A416">
        <v>4040</v>
      </c>
      <c r="B416" t="s">
        <v>1875</v>
      </c>
      <c r="C416" t="s">
        <v>1471</v>
      </c>
      <c r="D416">
        <v>3700</v>
      </c>
      <c r="E416" t="s">
        <v>2306</v>
      </c>
    </row>
    <row r="417" spans="1:5" x14ac:dyDescent="0.3">
      <c r="A417">
        <v>4041</v>
      </c>
      <c r="B417" t="s">
        <v>1876</v>
      </c>
      <c r="C417" t="s">
        <v>1471</v>
      </c>
      <c r="D417">
        <v>3923</v>
      </c>
      <c r="E417" t="s">
        <v>2307</v>
      </c>
    </row>
    <row r="418" spans="1:5" x14ac:dyDescent="0.3">
      <c r="A418">
        <v>4042</v>
      </c>
      <c r="B418" t="s">
        <v>1877</v>
      </c>
      <c r="C418" t="s">
        <v>1471</v>
      </c>
      <c r="D418">
        <v>4014</v>
      </c>
      <c r="E418" t="s">
        <v>2308</v>
      </c>
    </row>
    <row r="419" spans="1:5" x14ac:dyDescent="0.3">
      <c r="A419">
        <v>4043</v>
      </c>
      <c r="B419" t="s">
        <v>1878</v>
      </c>
      <c r="C419" t="s">
        <v>1471</v>
      </c>
      <c r="D419">
        <v>3943</v>
      </c>
      <c r="E419" t="s">
        <v>601</v>
      </c>
    </row>
    <row r="420" spans="1:5" x14ac:dyDescent="0.3">
      <c r="A420">
        <v>4044</v>
      </c>
      <c r="B420" t="s">
        <v>1499</v>
      </c>
      <c r="C420" t="s">
        <v>1471</v>
      </c>
      <c r="D420">
        <v>3858</v>
      </c>
      <c r="E420" t="s">
        <v>2309</v>
      </c>
    </row>
    <row r="421" spans="1:5" x14ac:dyDescent="0.3">
      <c r="A421">
        <v>4045</v>
      </c>
      <c r="B421" t="s">
        <v>1879</v>
      </c>
      <c r="C421" t="s">
        <v>1471</v>
      </c>
      <c r="D421">
        <v>3773</v>
      </c>
      <c r="E421" t="s">
        <v>2310</v>
      </c>
    </row>
    <row r="422" spans="1:5" x14ac:dyDescent="0.3">
      <c r="A422">
        <v>4046</v>
      </c>
      <c r="B422" t="s">
        <v>1880</v>
      </c>
      <c r="C422" t="s">
        <v>1471</v>
      </c>
      <c r="D422">
        <v>4039</v>
      </c>
      <c r="E422" t="s">
        <v>2311</v>
      </c>
    </row>
    <row r="423" spans="1:5" x14ac:dyDescent="0.3">
      <c r="A423">
        <v>4047</v>
      </c>
      <c r="B423" t="s">
        <v>1881</v>
      </c>
      <c r="C423" t="s">
        <v>1471</v>
      </c>
      <c r="D423">
        <v>3564</v>
      </c>
      <c r="E423" t="s">
        <v>2312</v>
      </c>
    </row>
    <row r="424" spans="1:5" x14ac:dyDescent="0.3">
      <c r="A424">
        <v>4048</v>
      </c>
      <c r="B424" t="s">
        <v>1567</v>
      </c>
      <c r="C424" t="s">
        <v>1471</v>
      </c>
      <c r="D424">
        <v>3852</v>
      </c>
      <c r="E424" t="s">
        <v>602</v>
      </c>
    </row>
    <row r="425" spans="1:5" x14ac:dyDescent="0.3">
      <c r="A425">
        <v>4049</v>
      </c>
      <c r="B425" t="s">
        <v>1882</v>
      </c>
      <c r="C425" t="s">
        <v>1471</v>
      </c>
      <c r="D425">
        <v>3703</v>
      </c>
      <c r="E425" t="s">
        <v>2313</v>
      </c>
    </row>
    <row r="426" spans="1:5" x14ac:dyDescent="0.3">
      <c r="A426">
        <v>4050</v>
      </c>
      <c r="B426" t="s">
        <v>1883</v>
      </c>
      <c r="C426" t="s">
        <v>1471</v>
      </c>
      <c r="D426">
        <v>3687</v>
      </c>
      <c r="E426" t="s">
        <v>2314</v>
      </c>
    </row>
    <row r="427" spans="1:5" x14ac:dyDescent="0.3">
      <c r="A427">
        <v>4051</v>
      </c>
      <c r="B427" t="s">
        <v>1884</v>
      </c>
      <c r="C427" t="s">
        <v>1471</v>
      </c>
      <c r="D427">
        <v>3951</v>
      </c>
      <c r="E427" t="s">
        <v>2315</v>
      </c>
    </row>
    <row r="428" spans="1:5" x14ac:dyDescent="0.3">
      <c r="A428">
        <v>4052</v>
      </c>
      <c r="B428" t="s">
        <v>1885</v>
      </c>
      <c r="C428" t="s">
        <v>1471</v>
      </c>
      <c r="D428">
        <v>3885</v>
      </c>
      <c r="E428" t="s">
        <v>603</v>
      </c>
    </row>
    <row r="429" spans="1:5" x14ac:dyDescent="0.3">
      <c r="A429">
        <v>4053</v>
      </c>
      <c r="B429" t="s">
        <v>1886</v>
      </c>
      <c r="C429" t="s">
        <v>1471</v>
      </c>
      <c r="D429">
        <v>3875</v>
      </c>
      <c r="E429" t="s">
        <v>2316</v>
      </c>
    </row>
    <row r="430" spans="1:5" x14ac:dyDescent="0.3">
      <c r="A430">
        <v>4054</v>
      </c>
      <c r="B430" t="s">
        <v>1887</v>
      </c>
      <c r="C430" t="s">
        <v>1471</v>
      </c>
      <c r="D430">
        <v>3877</v>
      </c>
      <c r="E430" t="s">
        <v>2317</v>
      </c>
    </row>
  </sheetData>
  <phoneticPr fontId="11" type="noConversion"/>
  <pageMargins left="0.7" right="0.7" top="0.75" bottom="0.75" header="0.3" footer="0.3"/>
</worksheet>
</file>

<file path=docMetadata/LabelInfo.xml><?xml version="1.0" encoding="utf-8"?>
<clbl:labelList xmlns:clbl="http://schemas.microsoft.com/office/2020/mipLabelMetadata">
  <clbl:label id="{82fa3fd3-029b-403d-91b4-1dc930cb0e60}" enabled="1" method="Standard" siteId="{4ae48b41-0137-4599-8661-fc641fe77b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0_Guide</vt:lpstr>
      <vt:lpstr>1_CodeLists</vt:lpstr>
      <vt:lpstr>Matrix</vt:lpstr>
      <vt:lpstr>Step1_Report</vt:lpstr>
      <vt:lpstr>PRISMA_Shapes</vt:lpstr>
      <vt:lpstr>Step3_Report</vt:lpstr>
      <vt:lpstr>2_DOI_Lookup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Hu</dc:creator>
  <cp:keywords/>
  <dc:description/>
  <cp:lastModifiedBy>Tim Hu</cp:lastModifiedBy>
  <cp:revision>0</cp:revision>
  <dcterms:created xsi:type="dcterms:W3CDTF">2026-08-09T15:02:47Z</dcterms:created>
  <dcterms:modified xsi:type="dcterms:W3CDTF">2026-09-07T16:56:22Z</dcterms:modified>
  <cp:category/>
  <cp:contentStatus/>
</cp:coreProperties>
</file>
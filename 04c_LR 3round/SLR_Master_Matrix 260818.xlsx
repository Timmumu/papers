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phd\6.pjt\LR1\papers\04c_LR 3round\"/>
    </mc:Choice>
  </mc:AlternateContent>
  <xr:revisionPtr revIDLastSave="0" documentId="13_ncr:1_{D11E0FE7-B462-4925-9921-9EDF2ADF4D1D}" xr6:coauthVersionLast="47" xr6:coauthVersionMax="47" xr10:uidLastSave="{00000000-0000-0000-0000-000000000000}"/>
  <bookViews>
    <workbookView xWindow="-108" yWindow="-108" windowWidth="30936" windowHeight="16776" tabRatio="752" activeTab="2" xr2:uid="{00000000-000D-0000-FFFF-FFFF00000000}"/>
  </bookViews>
  <sheets>
    <sheet name="0_Guide" sheetId="1" r:id="rId1"/>
    <sheet name="1_CodeLists" sheetId="2" r:id="rId2"/>
    <sheet name="Matrix" sheetId="3" r:id="rId3"/>
    <sheet name="Step1_Report" sheetId="4" r:id="rId4"/>
    <sheet name="PRISMA_Shapes" sheetId="8" r:id="rId5"/>
    <sheet name="Step3_Report" sheetId="5"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0" i="5" l="1"/>
  <c r="D90" i="5"/>
  <c r="C90" i="5"/>
  <c r="B90" i="5"/>
  <c r="E82" i="5"/>
  <c r="E83" i="5"/>
  <c r="E84" i="5"/>
  <c r="A82" i="5"/>
  <c r="A91" i="5" s="1"/>
  <c r="A83" i="5"/>
  <c r="A92" i="5" s="1"/>
  <c r="A84" i="5"/>
  <c r="A93" i="5" s="1"/>
  <c r="A85" i="5"/>
  <c r="A94" i="5" s="1"/>
  <c r="A86" i="5"/>
  <c r="A95" i="5" s="1"/>
  <c r="A64" i="5"/>
  <c r="A63" i="5"/>
  <c r="A69" i="5" s="1"/>
  <c r="E62" i="5"/>
  <c r="D62" i="5"/>
  <c r="D68" i="5" s="1"/>
  <c r="C62" i="5"/>
  <c r="C68" i="5" s="1"/>
  <c r="B62" i="5"/>
  <c r="B68" i="5" s="1"/>
  <c r="B73" i="8"/>
  <c r="B4" i="4"/>
  <c r="Y430" i="3"/>
  <c r="S430" i="3"/>
  <c r="T430" i="3" s="1"/>
  <c r="L430" i="3"/>
  <c r="M430" i="3" s="1"/>
  <c r="Y429" i="3"/>
  <c r="S429" i="3"/>
  <c r="T429" i="3" s="1"/>
  <c r="L429" i="3"/>
  <c r="M429" i="3" s="1"/>
  <c r="Y428" i="3"/>
  <c r="S428" i="3"/>
  <c r="T428" i="3" s="1"/>
  <c r="L428" i="3"/>
  <c r="M428" i="3" s="1"/>
  <c r="Y427" i="3"/>
  <c r="S427" i="3"/>
  <c r="T427" i="3" s="1"/>
  <c r="L427" i="3"/>
  <c r="M427" i="3" s="1"/>
  <c r="Y426" i="3"/>
  <c r="S426" i="3"/>
  <c r="T426" i="3" s="1"/>
  <c r="L426" i="3"/>
  <c r="M426" i="3" s="1"/>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S419" i="3"/>
  <c r="T419" i="3" s="1"/>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L414" i="3"/>
  <c r="M414" i="3" s="1"/>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S407" i="3"/>
  <c r="T407" i="3" s="1"/>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L402" i="3"/>
  <c r="M402" i="3" s="1"/>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S395" i="3"/>
  <c r="T395" i="3" s="1"/>
  <c r="L395" i="3"/>
  <c r="M395" i="3" s="1"/>
  <c r="Y394" i="3"/>
  <c r="S394" i="3"/>
  <c r="T394" i="3" s="1"/>
  <c r="L394" i="3"/>
  <c r="M394" i="3" s="1"/>
  <c r="Y393" i="3"/>
  <c r="S393" i="3"/>
  <c r="T393" i="3" s="1"/>
  <c r="L393" i="3"/>
  <c r="M393" i="3" s="1"/>
  <c r="Y392" i="3"/>
  <c r="S392" i="3"/>
  <c r="T392" i="3" s="1"/>
  <c r="L392" i="3"/>
  <c r="M392" i="3" s="1"/>
  <c r="Y391" i="3"/>
  <c r="S391" i="3"/>
  <c r="T391" i="3" s="1"/>
  <c r="L391" i="3"/>
  <c r="M391" i="3" s="1"/>
  <c r="Y390" i="3"/>
  <c r="S390" i="3"/>
  <c r="T390" i="3" s="1"/>
  <c r="L390" i="3"/>
  <c r="M390" i="3" s="1"/>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S383" i="3"/>
  <c r="T383" i="3" s="1"/>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L378" i="3"/>
  <c r="M378" i="3" s="1"/>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L371" i="3"/>
  <c r="M371" i="3" s="1"/>
  <c r="Y370" i="3"/>
  <c r="S370" i="3"/>
  <c r="T370" i="3" s="1"/>
  <c r="L370" i="3"/>
  <c r="M370" i="3" s="1"/>
  <c r="Y369" i="3"/>
  <c r="S369" i="3"/>
  <c r="T369" i="3" s="1"/>
  <c r="L369" i="3"/>
  <c r="M369" i="3" s="1"/>
  <c r="Y368" i="3"/>
  <c r="S368" i="3"/>
  <c r="T368" i="3" s="1"/>
  <c r="L368" i="3"/>
  <c r="M368" i="3" s="1"/>
  <c r="Y367" i="3"/>
  <c r="S367" i="3"/>
  <c r="T367" i="3" s="1"/>
  <c r="L367" i="3"/>
  <c r="M367" i="3" s="1"/>
  <c r="Y366" i="3"/>
  <c r="S366" i="3"/>
  <c r="T366" i="3" s="1"/>
  <c r="L366" i="3"/>
  <c r="M366" i="3" s="1"/>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S359" i="3"/>
  <c r="T359" i="3" s="1"/>
  <c r="L359" i="3"/>
  <c r="M359" i="3" s="1"/>
  <c r="Y358" i="3"/>
  <c r="S358" i="3"/>
  <c r="T358" i="3" s="1"/>
  <c r="L358" i="3"/>
  <c r="M358" i="3" s="1"/>
  <c r="Y357" i="3"/>
  <c r="S357" i="3"/>
  <c r="T357" i="3" s="1"/>
  <c r="L357" i="3"/>
  <c r="M357" i="3" s="1"/>
  <c r="Y356" i="3"/>
  <c r="S356" i="3"/>
  <c r="T356" i="3" s="1"/>
  <c r="L356" i="3"/>
  <c r="M356" i="3" s="1"/>
  <c r="Y355" i="3"/>
  <c r="S355" i="3"/>
  <c r="T355" i="3" s="1"/>
  <c r="L355" i="3"/>
  <c r="M355" i="3" s="1"/>
  <c r="Y354" i="3"/>
  <c r="S354" i="3"/>
  <c r="T354" i="3" s="1"/>
  <c r="L354" i="3"/>
  <c r="M354" i="3" s="1"/>
  <c r="Y353" i="3"/>
  <c r="S353" i="3"/>
  <c r="T353" i="3" s="1"/>
  <c r="L353" i="3"/>
  <c r="M353" i="3" s="1"/>
  <c r="Y352" i="3"/>
  <c r="S352" i="3"/>
  <c r="T352" i="3" s="1"/>
  <c r="L352" i="3"/>
  <c r="M352" i="3" s="1"/>
  <c r="Y351" i="3"/>
  <c r="S351" i="3"/>
  <c r="T351" i="3" s="1"/>
  <c r="L351" i="3"/>
  <c r="M351" i="3" s="1"/>
  <c r="Y350" i="3"/>
  <c r="S350" i="3"/>
  <c r="T350" i="3" s="1"/>
  <c r="L350" i="3"/>
  <c r="M350" i="3" s="1"/>
  <c r="Y349" i="3"/>
  <c r="S349" i="3"/>
  <c r="T349" i="3" s="1"/>
  <c r="L349" i="3"/>
  <c r="M349" i="3" s="1"/>
  <c r="Y348" i="3"/>
  <c r="S348" i="3"/>
  <c r="T348" i="3" s="1"/>
  <c r="L348" i="3"/>
  <c r="M348" i="3" s="1"/>
  <c r="Y347" i="3"/>
  <c r="S347" i="3"/>
  <c r="T347" i="3" s="1"/>
  <c r="L347" i="3"/>
  <c r="M347" i="3" s="1"/>
  <c r="Y346" i="3"/>
  <c r="S346" i="3"/>
  <c r="T346" i="3" s="1"/>
  <c r="L346" i="3"/>
  <c r="M346" i="3" s="1"/>
  <c r="Y345" i="3"/>
  <c r="S345" i="3"/>
  <c r="T345" i="3" s="1"/>
  <c r="L345" i="3"/>
  <c r="M345" i="3" s="1"/>
  <c r="Y344" i="3"/>
  <c r="S344" i="3"/>
  <c r="T344" i="3" s="1"/>
  <c r="L344" i="3"/>
  <c r="M344" i="3" s="1"/>
  <c r="Y343" i="3"/>
  <c r="S343" i="3"/>
  <c r="T343" i="3" s="1"/>
  <c r="L343" i="3"/>
  <c r="M343" i="3" s="1"/>
  <c r="Y342" i="3"/>
  <c r="S342" i="3"/>
  <c r="T342" i="3" s="1"/>
  <c r="L342" i="3"/>
  <c r="M342" i="3" s="1"/>
  <c r="Y341" i="3"/>
  <c r="S341" i="3"/>
  <c r="T341" i="3" s="1"/>
  <c r="L341" i="3"/>
  <c r="M341" i="3" s="1"/>
  <c r="Y340" i="3"/>
  <c r="S340" i="3"/>
  <c r="T340" i="3" s="1"/>
  <c r="L340" i="3"/>
  <c r="M340" i="3" s="1"/>
  <c r="Y339" i="3"/>
  <c r="S339" i="3"/>
  <c r="T339" i="3" s="1"/>
  <c r="L339" i="3"/>
  <c r="M339" i="3" s="1"/>
  <c r="Y338" i="3"/>
  <c r="S338" i="3"/>
  <c r="T338" i="3" s="1"/>
  <c r="L338" i="3"/>
  <c r="M338" i="3" s="1"/>
  <c r="Y337" i="3"/>
  <c r="S337" i="3"/>
  <c r="T337" i="3" s="1"/>
  <c r="L337" i="3"/>
  <c r="M337" i="3" s="1"/>
  <c r="Y336" i="3"/>
  <c r="S336" i="3"/>
  <c r="T336" i="3" s="1"/>
  <c r="L336" i="3"/>
  <c r="M336" i="3" s="1"/>
  <c r="Y335" i="3"/>
  <c r="S335" i="3"/>
  <c r="T335" i="3" s="1"/>
  <c r="L335" i="3"/>
  <c r="M335" i="3" s="1"/>
  <c r="Y334" i="3"/>
  <c r="S334" i="3"/>
  <c r="T334" i="3" s="1"/>
  <c r="L334" i="3"/>
  <c r="M334" i="3" s="1"/>
  <c r="Y333" i="3"/>
  <c r="S333" i="3"/>
  <c r="T333" i="3" s="1"/>
  <c r="L333" i="3"/>
  <c r="M333" i="3" s="1"/>
  <c r="Y332" i="3"/>
  <c r="S332" i="3"/>
  <c r="T332" i="3" s="1"/>
  <c r="L332" i="3"/>
  <c r="M332" i="3" s="1"/>
  <c r="Y331" i="3"/>
  <c r="S331" i="3"/>
  <c r="T331" i="3" s="1"/>
  <c r="L331" i="3"/>
  <c r="M331" i="3" s="1"/>
  <c r="Y330" i="3"/>
  <c r="S330" i="3"/>
  <c r="T330" i="3" s="1"/>
  <c r="L330" i="3"/>
  <c r="M330" i="3" s="1"/>
  <c r="Y329" i="3"/>
  <c r="S329" i="3"/>
  <c r="T329" i="3" s="1"/>
  <c r="L329" i="3"/>
  <c r="M329" i="3" s="1"/>
  <c r="Y328" i="3"/>
  <c r="S328" i="3"/>
  <c r="T328" i="3" s="1"/>
  <c r="L328" i="3"/>
  <c r="M328" i="3" s="1"/>
  <c r="Y327" i="3"/>
  <c r="S327" i="3"/>
  <c r="T327" i="3" s="1"/>
  <c r="L327" i="3"/>
  <c r="M327" i="3" s="1"/>
  <c r="Y326" i="3"/>
  <c r="S326" i="3"/>
  <c r="T326" i="3" s="1"/>
  <c r="L326" i="3"/>
  <c r="M326" i="3" s="1"/>
  <c r="Y325" i="3"/>
  <c r="S325" i="3"/>
  <c r="T325" i="3" s="1"/>
  <c r="L325" i="3"/>
  <c r="M325" i="3" s="1"/>
  <c r="Y324" i="3"/>
  <c r="S324" i="3"/>
  <c r="T324" i="3" s="1"/>
  <c r="L324" i="3"/>
  <c r="M324" i="3" s="1"/>
  <c r="Y323" i="3"/>
  <c r="S323" i="3"/>
  <c r="T323" i="3" s="1"/>
  <c r="L323" i="3"/>
  <c r="M323" i="3" s="1"/>
  <c r="Y322" i="3"/>
  <c r="S322" i="3"/>
  <c r="T322" i="3" s="1"/>
  <c r="L322" i="3"/>
  <c r="M322" i="3" s="1"/>
  <c r="Y321" i="3"/>
  <c r="S321" i="3"/>
  <c r="T321" i="3" s="1"/>
  <c r="L321" i="3"/>
  <c r="M321" i="3" s="1"/>
  <c r="Y320" i="3"/>
  <c r="S320" i="3"/>
  <c r="T320" i="3" s="1"/>
  <c r="L320" i="3"/>
  <c r="M320" i="3" s="1"/>
  <c r="Y319" i="3"/>
  <c r="S319" i="3"/>
  <c r="T319" i="3" s="1"/>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S311" i="3"/>
  <c r="T311" i="3" s="1"/>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L306" i="3"/>
  <c r="M306" i="3" s="1"/>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L299" i="3"/>
  <c r="M299" i="3" s="1"/>
  <c r="Y298" i="3"/>
  <c r="S298" i="3"/>
  <c r="T298" i="3" s="1"/>
  <c r="L298" i="3"/>
  <c r="M298" i="3" s="1"/>
  <c r="Y297" i="3"/>
  <c r="S297" i="3"/>
  <c r="T297" i="3" s="1"/>
  <c r="L297" i="3"/>
  <c r="M297" i="3" s="1"/>
  <c r="Y296" i="3"/>
  <c r="S296" i="3"/>
  <c r="T296" i="3" s="1"/>
  <c r="L296" i="3"/>
  <c r="M296" i="3" s="1"/>
  <c r="Y295" i="3"/>
  <c r="S295" i="3"/>
  <c r="T295" i="3" s="1"/>
  <c r="L295" i="3"/>
  <c r="M295" i="3" s="1"/>
  <c r="Y294" i="3"/>
  <c r="S294" i="3"/>
  <c r="T294" i="3" s="1"/>
  <c r="L294" i="3"/>
  <c r="M294" i="3" s="1"/>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S287" i="3"/>
  <c r="T287" i="3" s="1"/>
  <c r="L287" i="3"/>
  <c r="M287" i="3" s="1"/>
  <c r="Y286" i="3"/>
  <c r="S286" i="3"/>
  <c r="T286" i="3" s="1"/>
  <c r="L286" i="3"/>
  <c r="M286" i="3" s="1"/>
  <c r="Y285" i="3"/>
  <c r="S285" i="3"/>
  <c r="T285" i="3" s="1"/>
  <c r="L285" i="3"/>
  <c r="M285" i="3" s="1"/>
  <c r="Y284" i="3"/>
  <c r="S284" i="3"/>
  <c r="T284" i="3" s="1"/>
  <c r="L284" i="3"/>
  <c r="M284" i="3" s="1"/>
  <c r="Y283" i="3"/>
  <c r="S283" i="3"/>
  <c r="T283" i="3" s="1"/>
  <c r="L283" i="3"/>
  <c r="M283" i="3" s="1"/>
  <c r="Y282" i="3"/>
  <c r="S282" i="3"/>
  <c r="T282" i="3" s="1"/>
  <c r="L282" i="3"/>
  <c r="M282" i="3" s="1"/>
  <c r="Y281" i="3"/>
  <c r="S281" i="3"/>
  <c r="T281" i="3" s="1"/>
  <c r="L281" i="3"/>
  <c r="M281" i="3" s="1"/>
  <c r="Y280" i="3"/>
  <c r="S280" i="3"/>
  <c r="T280" i="3" s="1"/>
  <c r="L280" i="3"/>
  <c r="M280" i="3" s="1"/>
  <c r="Y279" i="3"/>
  <c r="S279" i="3"/>
  <c r="T279" i="3" s="1"/>
  <c r="L279" i="3"/>
  <c r="M279" i="3" s="1"/>
  <c r="Y278" i="3"/>
  <c r="S278" i="3"/>
  <c r="T278" i="3" s="1"/>
  <c r="L278" i="3"/>
  <c r="M278" i="3" s="1"/>
  <c r="Y277" i="3"/>
  <c r="S277" i="3"/>
  <c r="T277" i="3" s="1"/>
  <c r="L277" i="3"/>
  <c r="M277" i="3" s="1"/>
  <c r="Y276" i="3"/>
  <c r="S276" i="3"/>
  <c r="T276" i="3" s="1"/>
  <c r="L276" i="3"/>
  <c r="M276" i="3" s="1"/>
  <c r="Y275" i="3"/>
  <c r="S275" i="3"/>
  <c r="T275" i="3" s="1"/>
  <c r="L275" i="3"/>
  <c r="M275" i="3" s="1"/>
  <c r="Y274" i="3"/>
  <c r="S274" i="3"/>
  <c r="T274" i="3" s="1"/>
  <c r="L274" i="3"/>
  <c r="M274" i="3" s="1"/>
  <c r="Y273" i="3"/>
  <c r="S273" i="3"/>
  <c r="T273" i="3" s="1"/>
  <c r="L273" i="3"/>
  <c r="M273" i="3" s="1"/>
  <c r="Y272" i="3"/>
  <c r="S272" i="3"/>
  <c r="T272" i="3" s="1"/>
  <c r="L272" i="3"/>
  <c r="M272" i="3" s="1"/>
  <c r="Y271" i="3"/>
  <c r="S271" i="3"/>
  <c r="T271" i="3" s="1"/>
  <c r="L271" i="3"/>
  <c r="M271" i="3" s="1"/>
  <c r="Y270" i="3"/>
  <c r="S270" i="3"/>
  <c r="T270" i="3" s="1"/>
  <c r="L270" i="3"/>
  <c r="M270" i="3" s="1"/>
  <c r="Y269" i="3"/>
  <c r="S269" i="3"/>
  <c r="T269" i="3" s="1"/>
  <c r="L269" i="3"/>
  <c r="M269" i="3" s="1"/>
  <c r="Y268" i="3"/>
  <c r="S268" i="3"/>
  <c r="T268" i="3" s="1"/>
  <c r="L268" i="3"/>
  <c r="M268" i="3" s="1"/>
  <c r="Y267" i="3"/>
  <c r="S267" i="3"/>
  <c r="T267" i="3" s="1"/>
  <c r="L267" i="3"/>
  <c r="M267" i="3" s="1"/>
  <c r="Y266" i="3"/>
  <c r="S266" i="3"/>
  <c r="T266" i="3" s="1"/>
  <c r="L266" i="3"/>
  <c r="M266" i="3" s="1"/>
  <c r="Y265" i="3"/>
  <c r="S265" i="3"/>
  <c r="T265" i="3" s="1"/>
  <c r="L265" i="3"/>
  <c r="M265" i="3" s="1"/>
  <c r="Y264" i="3"/>
  <c r="S264" i="3"/>
  <c r="T264" i="3" s="1"/>
  <c r="L264" i="3"/>
  <c r="M264" i="3" s="1"/>
  <c r="Y263" i="3"/>
  <c r="S263" i="3"/>
  <c r="T263" i="3" s="1"/>
  <c r="L263" i="3"/>
  <c r="M263" i="3" s="1"/>
  <c r="Y262" i="3"/>
  <c r="S262" i="3"/>
  <c r="T262" i="3" s="1"/>
  <c r="L262" i="3"/>
  <c r="M262" i="3" s="1"/>
  <c r="Y261" i="3"/>
  <c r="S261" i="3"/>
  <c r="T261" i="3" s="1"/>
  <c r="L261" i="3"/>
  <c r="M261" i="3" s="1"/>
  <c r="Y260" i="3"/>
  <c r="S260" i="3"/>
  <c r="T260" i="3" s="1"/>
  <c r="L260" i="3"/>
  <c r="M260" i="3" s="1"/>
  <c r="Y259" i="3"/>
  <c r="S259" i="3"/>
  <c r="T259" i="3" s="1"/>
  <c r="L259" i="3"/>
  <c r="M259" i="3" s="1"/>
  <c r="Y258" i="3"/>
  <c r="S258" i="3"/>
  <c r="T258" i="3" s="1"/>
  <c r="L258" i="3"/>
  <c r="M258" i="3" s="1"/>
  <c r="Y257" i="3"/>
  <c r="S257" i="3"/>
  <c r="T257" i="3" s="1"/>
  <c r="L257" i="3"/>
  <c r="M257" i="3" s="1"/>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L251" i="3"/>
  <c r="M251" i="3" s="1"/>
  <c r="Y250" i="3"/>
  <c r="S250" i="3"/>
  <c r="T250" i="3" s="1"/>
  <c r="L250" i="3"/>
  <c r="M250" i="3" s="1"/>
  <c r="Y249" i="3"/>
  <c r="S249" i="3"/>
  <c r="T249" i="3" s="1"/>
  <c r="L249" i="3"/>
  <c r="M249" i="3" s="1"/>
  <c r="Y248" i="3"/>
  <c r="S248" i="3"/>
  <c r="T248" i="3" s="1"/>
  <c r="L248" i="3"/>
  <c r="M248" i="3" s="1"/>
  <c r="Y247" i="3"/>
  <c r="S247" i="3"/>
  <c r="T247" i="3" s="1"/>
  <c r="L247" i="3"/>
  <c r="M247" i="3" s="1"/>
  <c r="Y246" i="3"/>
  <c r="S246" i="3"/>
  <c r="T246" i="3" s="1"/>
  <c r="L246" i="3"/>
  <c r="M246" i="3" s="1"/>
  <c r="Y245" i="3"/>
  <c r="S245" i="3"/>
  <c r="T245" i="3" s="1"/>
  <c r="L245" i="3"/>
  <c r="M245" i="3" s="1"/>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S239" i="3"/>
  <c r="T239" i="3" s="1"/>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L234" i="3"/>
  <c r="M234" i="3" s="1"/>
  <c r="Y233" i="3"/>
  <c r="S233" i="3"/>
  <c r="T233" i="3" s="1"/>
  <c r="L233" i="3"/>
  <c r="M233" i="3" s="1"/>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S226" i="3"/>
  <c r="T226" i="3" s="1"/>
  <c r="L226" i="3"/>
  <c r="M226" i="3" s="1"/>
  <c r="Y225" i="3"/>
  <c r="S225" i="3"/>
  <c r="T225" i="3" s="1"/>
  <c r="L225" i="3"/>
  <c r="M225" i="3" s="1"/>
  <c r="Y224" i="3"/>
  <c r="S224" i="3"/>
  <c r="T224" i="3" s="1"/>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L215" i="3"/>
  <c r="M215" i="3" s="1"/>
  <c r="Y214" i="3"/>
  <c r="S214" i="3"/>
  <c r="T214" i="3" s="1"/>
  <c r="L214" i="3"/>
  <c r="M214" i="3" s="1"/>
  <c r="Y213" i="3"/>
  <c r="S213" i="3"/>
  <c r="T213" i="3" s="1"/>
  <c r="L213" i="3"/>
  <c r="M213" i="3" s="1"/>
  <c r="Y212" i="3"/>
  <c r="S212" i="3"/>
  <c r="T212" i="3" s="1"/>
  <c r="L212" i="3"/>
  <c r="M212" i="3" s="1"/>
  <c r="Y211" i="3"/>
  <c r="S211" i="3"/>
  <c r="T211" i="3" s="1"/>
  <c r="L211" i="3"/>
  <c r="M211" i="3" s="1"/>
  <c r="Y210" i="3"/>
  <c r="S210" i="3"/>
  <c r="T210" i="3" s="1"/>
  <c r="L210" i="3"/>
  <c r="M210" i="3" s="1"/>
  <c r="Y209" i="3"/>
  <c r="S209" i="3"/>
  <c r="T209" i="3" s="1"/>
  <c r="L209" i="3"/>
  <c r="M209" i="3" s="1"/>
  <c r="Y208" i="3"/>
  <c r="S208" i="3"/>
  <c r="T208" i="3" s="1"/>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S202" i="3"/>
  <c r="T202" i="3" s="1"/>
  <c r="L202" i="3"/>
  <c r="M202" i="3" s="1"/>
  <c r="Y201" i="3"/>
  <c r="S201" i="3"/>
  <c r="T201" i="3" s="1"/>
  <c r="L201" i="3"/>
  <c r="M201" i="3" s="1"/>
  <c r="Y200" i="3"/>
  <c r="S200" i="3"/>
  <c r="T200" i="3" s="1"/>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S193" i="3"/>
  <c r="T193" i="3" s="1"/>
  <c r="L193" i="3"/>
  <c r="M193" i="3" s="1"/>
  <c r="Y192" i="3"/>
  <c r="S192" i="3"/>
  <c r="T192" i="3" s="1"/>
  <c r="L192" i="3"/>
  <c r="M192" i="3" s="1"/>
  <c r="Y191" i="3"/>
  <c r="S191" i="3"/>
  <c r="T191" i="3" s="1"/>
  <c r="L191" i="3"/>
  <c r="M191" i="3" s="1"/>
  <c r="Y190" i="3"/>
  <c r="S190" i="3"/>
  <c r="T190" i="3" s="1"/>
  <c r="L190" i="3"/>
  <c r="M190" i="3" s="1"/>
  <c r="Y189" i="3"/>
  <c r="S189" i="3"/>
  <c r="T189" i="3" s="1"/>
  <c r="L189" i="3"/>
  <c r="M189" i="3" s="1"/>
  <c r="Y188" i="3"/>
  <c r="S188" i="3"/>
  <c r="T188" i="3" s="1"/>
  <c r="L188" i="3"/>
  <c r="M188" i="3" s="1"/>
  <c r="Y187" i="3"/>
  <c r="S187" i="3"/>
  <c r="T187" i="3" s="1"/>
  <c r="L187" i="3"/>
  <c r="M187" i="3" s="1"/>
  <c r="Y186" i="3"/>
  <c r="S186" i="3"/>
  <c r="T186" i="3" s="1"/>
  <c r="L186" i="3"/>
  <c r="M186" i="3" s="1"/>
  <c r="Y185" i="3"/>
  <c r="S185" i="3"/>
  <c r="T185" i="3" s="1"/>
  <c r="L185" i="3"/>
  <c r="M185" i="3" s="1"/>
  <c r="Y184" i="3"/>
  <c r="S184" i="3"/>
  <c r="T184" i="3" s="1"/>
  <c r="L184" i="3"/>
  <c r="M184" i="3" s="1"/>
  <c r="Y183" i="3"/>
  <c r="S183" i="3"/>
  <c r="T183" i="3" s="1"/>
  <c r="L183" i="3"/>
  <c r="M183" i="3" s="1"/>
  <c r="Y182" i="3"/>
  <c r="S182" i="3"/>
  <c r="T182" i="3" s="1"/>
  <c r="L182" i="3"/>
  <c r="M182" i="3" s="1"/>
  <c r="Y181" i="3"/>
  <c r="S181" i="3"/>
  <c r="T181" i="3" s="1"/>
  <c r="L181" i="3"/>
  <c r="M181" i="3" s="1"/>
  <c r="Y180" i="3"/>
  <c r="S180" i="3"/>
  <c r="T180" i="3" s="1"/>
  <c r="L180" i="3"/>
  <c r="M180" i="3" s="1"/>
  <c r="Y179" i="3"/>
  <c r="S179" i="3"/>
  <c r="T179" i="3" s="1"/>
  <c r="L179" i="3"/>
  <c r="M179" i="3" s="1"/>
  <c r="Y178" i="3"/>
  <c r="S178" i="3"/>
  <c r="T178" i="3" s="1"/>
  <c r="L178" i="3"/>
  <c r="M178" i="3" s="1"/>
  <c r="Y177" i="3"/>
  <c r="S177" i="3"/>
  <c r="T177" i="3" s="1"/>
  <c r="L177" i="3"/>
  <c r="M177" i="3" s="1"/>
  <c r="Y176" i="3"/>
  <c r="S176" i="3"/>
  <c r="T176" i="3" s="1"/>
  <c r="L176" i="3"/>
  <c r="M176" i="3" s="1"/>
  <c r="Y175" i="3"/>
  <c r="S175" i="3"/>
  <c r="T175" i="3" s="1"/>
  <c r="L175" i="3"/>
  <c r="M175" i="3" s="1"/>
  <c r="Y174" i="3"/>
  <c r="S174" i="3"/>
  <c r="T174" i="3" s="1"/>
  <c r="L174" i="3"/>
  <c r="M174" i="3" s="1"/>
  <c r="Y173" i="3"/>
  <c r="S173" i="3"/>
  <c r="T173" i="3" s="1"/>
  <c r="L173" i="3"/>
  <c r="M173" i="3" s="1"/>
  <c r="Y172" i="3"/>
  <c r="S172" i="3"/>
  <c r="T172" i="3" s="1"/>
  <c r="L172" i="3"/>
  <c r="M172" i="3" s="1"/>
  <c r="Y171" i="3"/>
  <c r="S171" i="3"/>
  <c r="T171" i="3" s="1"/>
  <c r="L171" i="3"/>
  <c r="M171" i="3" s="1"/>
  <c r="Y170" i="3"/>
  <c r="S170" i="3"/>
  <c r="T170" i="3" s="1"/>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L165" i="3"/>
  <c r="M165" i="3" s="1"/>
  <c r="Y164" i="3"/>
  <c r="S164" i="3"/>
  <c r="T164" i="3" s="1"/>
  <c r="L164" i="3"/>
  <c r="M164" i="3" s="1"/>
  <c r="Y163" i="3"/>
  <c r="S163" i="3"/>
  <c r="T163" i="3" s="1"/>
  <c r="L163" i="3"/>
  <c r="M163" i="3" s="1"/>
  <c r="Y162" i="3"/>
  <c r="S162" i="3"/>
  <c r="T162" i="3" s="1"/>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L155" i="3"/>
  <c r="M155" i="3" s="1"/>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L150" i="3"/>
  <c r="M150" i="3" s="1"/>
  <c r="Y149" i="3"/>
  <c r="S149" i="3"/>
  <c r="T149" i="3" s="1"/>
  <c r="L149" i="3"/>
  <c r="M149" i="3" s="1"/>
  <c r="Y148" i="3"/>
  <c r="S148" i="3"/>
  <c r="T148" i="3" s="1"/>
  <c r="L148" i="3"/>
  <c r="M148" i="3" s="1"/>
  <c r="Y147" i="3"/>
  <c r="S147" i="3"/>
  <c r="T147" i="3" s="1"/>
  <c r="L147" i="3"/>
  <c r="M147" i="3" s="1"/>
  <c r="Y146" i="3"/>
  <c r="S146" i="3"/>
  <c r="T146" i="3" s="1"/>
  <c r="L146" i="3"/>
  <c r="M146" i="3" s="1"/>
  <c r="Y145" i="3"/>
  <c r="S145" i="3"/>
  <c r="T145" i="3" s="1"/>
  <c r="L145" i="3"/>
  <c r="M145" i="3" s="1"/>
  <c r="Y144" i="3"/>
  <c r="S144" i="3"/>
  <c r="T144" i="3" s="1"/>
  <c r="L144" i="3"/>
  <c r="M144" i="3" s="1"/>
  <c r="Y143" i="3"/>
  <c r="S143" i="3"/>
  <c r="T143" i="3" s="1"/>
  <c r="L143" i="3"/>
  <c r="M143" i="3" s="1"/>
  <c r="Y142" i="3"/>
  <c r="S142" i="3"/>
  <c r="T142" i="3" s="1"/>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S133" i="3"/>
  <c r="T133" i="3" s="1"/>
  <c r="L133" i="3"/>
  <c r="M133" i="3" s="1"/>
  <c r="Y132" i="3"/>
  <c r="S132" i="3"/>
  <c r="T132" i="3" s="1"/>
  <c r="L132" i="3"/>
  <c r="M132" i="3" s="1"/>
  <c r="Y131" i="3"/>
  <c r="S131" i="3"/>
  <c r="T131" i="3" s="1"/>
  <c r="L131" i="3"/>
  <c r="M131" i="3" s="1"/>
  <c r="Y130" i="3"/>
  <c r="S130" i="3"/>
  <c r="T130" i="3" s="1"/>
  <c r="L130" i="3"/>
  <c r="M130" i="3" s="1"/>
  <c r="Y129" i="3"/>
  <c r="S129" i="3"/>
  <c r="T129" i="3" s="1"/>
  <c r="L129" i="3"/>
  <c r="M129" i="3" s="1"/>
  <c r="Y128" i="3"/>
  <c r="S128" i="3"/>
  <c r="T128" i="3" s="1"/>
  <c r="L128" i="3"/>
  <c r="M128" i="3" s="1"/>
  <c r="Y127" i="3"/>
  <c r="S127" i="3"/>
  <c r="T127" i="3" s="1"/>
  <c r="L127" i="3"/>
  <c r="M127" i="3" s="1"/>
  <c r="Y126" i="3"/>
  <c r="S126" i="3"/>
  <c r="T126" i="3" s="1"/>
  <c r="L126" i="3"/>
  <c r="M126" i="3" s="1"/>
  <c r="Y125" i="3"/>
  <c r="S125" i="3"/>
  <c r="T125" i="3" s="1"/>
  <c r="L125" i="3"/>
  <c r="M125" i="3" s="1"/>
  <c r="Y124" i="3"/>
  <c r="S124" i="3"/>
  <c r="T124" i="3" s="1"/>
  <c r="L124" i="3"/>
  <c r="M124" i="3" s="1"/>
  <c r="Y123" i="3"/>
  <c r="S123" i="3"/>
  <c r="T123" i="3" s="1"/>
  <c r="L123" i="3"/>
  <c r="M123" i="3" s="1"/>
  <c r="Y122" i="3"/>
  <c r="S122" i="3"/>
  <c r="T122" i="3" s="1"/>
  <c r="L122" i="3"/>
  <c r="M122" i="3" s="1"/>
  <c r="Y121" i="3"/>
  <c r="S121" i="3"/>
  <c r="T121" i="3" s="1"/>
  <c r="L121" i="3"/>
  <c r="M121" i="3" s="1"/>
  <c r="Y120" i="3"/>
  <c r="S120" i="3"/>
  <c r="T120" i="3" s="1"/>
  <c r="L120" i="3"/>
  <c r="M120" i="3" s="1"/>
  <c r="Y119" i="3"/>
  <c r="S119" i="3"/>
  <c r="T119" i="3" s="1"/>
  <c r="L119" i="3"/>
  <c r="M119" i="3" s="1"/>
  <c r="Y118" i="3"/>
  <c r="S118" i="3"/>
  <c r="T118" i="3" s="1"/>
  <c r="L118" i="3"/>
  <c r="M118" i="3" s="1"/>
  <c r="Y117" i="3"/>
  <c r="S117" i="3"/>
  <c r="T117" i="3" s="1"/>
  <c r="L117" i="3"/>
  <c r="M117" i="3" s="1"/>
  <c r="Y116" i="3"/>
  <c r="S116" i="3"/>
  <c r="T116" i="3" s="1"/>
  <c r="L116" i="3"/>
  <c r="M116" i="3" s="1"/>
  <c r="Y115" i="3"/>
  <c r="S115" i="3"/>
  <c r="T115" i="3" s="1"/>
  <c r="L115" i="3"/>
  <c r="M115" i="3" s="1"/>
  <c r="Y114" i="3"/>
  <c r="S114" i="3"/>
  <c r="T114" i="3" s="1"/>
  <c r="L114" i="3"/>
  <c r="M114" i="3" s="1"/>
  <c r="Y113" i="3"/>
  <c r="S113" i="3"/>
  <c r="T113" i="3" s="1"/>
  <c r="L113" i="3"/>
  <c r="M113" i="3" s="1"/>
  <c r="Y112" i="3"/>
  <c r="S112" i="3"/>
  <c r="T112" i="3" s="1"/>
  <c r="L112" i="3"/>
  <c r="M112" i="3" s="1"/>
  <c r="Y111" i="3"/>
  <c r="S111" i="3"/>
  <c r="T111" i="3" s="1"/>
  <c r="L111" i="3"/>
  <c r="M111" i="3" s="1"/>
  <c r="Y110" i="3"/>
  <c r="S110" i="3"/>
  <c r="T110" i="3" s="1"/>
  <c r="L110" i="3"/>
  <c r="M110" i="3" s="1"/>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S104" i="3"/>
  <c r="T104" i="3" s="1"/>
  <c r="L104" i="3"/>
  <c r="M104" i="3" s="1"/>
  <c r="Y103" i="3"/>
  <c r="S103" i="3"/>
  <c r="T103" i="3" s="1"/>
  <c r="L103" i="3"/>
  <c r="M103" i="3" s="1"/>
  <c r="Y102" i="3"/>
  <c r="S102" i="3"/>
  <c r="T102" i="3" s="1"/>
  <c r="L102" i="3"/>
  <c r="M102" i="3" s="1"/>
  <c r="Y101" i="3"/>
  <c r="S101" i="3"/>
  <c r="T101" i="3" s="1"/>
  <c r="L101" i="3"/>
  <c r="M101" i="3" s="1"/>
  <c r="Y100" i="3"/>
  <c r="S100" i="3"/>
  <c r="T100" i="3" s="1"/>
  <c r="L100" i="3"/>
  <c r="M100" i="3" s="1"/>
  <c r="Y99" i="3"/>
  <c r="S99" i="3"/>
  <c r="T99" i="3" s="1"/>
  <c r="L99" i="3"/>
  <c r="M99" i="3" s="1"/>
  <c r="Y98" i="3"/>
  <c r="S98" i="3"/>
  <c r="T98" i="3" s="1"/>
  <c r="L98" i="3"/>
  <c r="M98" i="3" s="1"/>
  <c r="Y97" i="3"/>
  <c r="S97" i="3"/>
  <c r="T97" i="3" s="1"/>
  <c r="L97" i="3"/>
  <c r="M97" i="3" s="1"/>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L89" i="3"/>
  <c r="M89" i="3" s="1"/>
  <c r="Y88" i="3"/>
  <c r="S88" i="3"/>
  <c r="T88" i="3" s="1"/>
  <c r="L88" i="3"/>
  <c r="M88" i="3" s="1"/>
  <c r="Y87" i="3"/>
  <c r="S87" i="3"/>
  <c r="T87" i="3" s="1"/>
  <c r="L87" i="3"/>
  <c r="M87" i="3" s="1"/>
  <c r="Y86" i="3"/>
  <c r="S86" i="3"/>
  <c r="T86" i="3" s="1"/>
  <c r="L86" i="3"/>
  <c r="M86" i="3" s="1"/>
  <c r="Y85" i="3"/>
  <c r="S85" i="3"/>
  <c r="T85" i="3" s="1"/>
  <c r="L85" i="3"/>
  <c r="M85" i="3" s="1"/>
  <c r="Y84" i="3"/>
  <c r="S84" i="3"/>
  <c r="T84" i="3" s="1"/>
  <c r="L84" i="3"/>
  <c r="M84" i="3" s="1"/>
  <c r="Y83" i="3"/>
  <c r="S83" i="3"/>
  <c r="T83" i="3" s="1"/>
  <c r="L83" i="3"/>
  <c r="M83" i="3" s="1"/>
  <c r="Y82" i="3"/>
  <c r="S82" i="3"/>
  <c r="T82" i="3" s="1"/>
  <c r="L82" i="3"/>
  <c r="M82" i="3" s="1"/>
  <c r="Y81" i="3"/>
  <c r="S81" i="3"/>
  <c r="T81" i="3" s="1"/>
  <c r="L81" i="3"/>
  <c r="M81" i="3" s="1"/>
  <c r="Y80" i="3"/>
  <c r="S80" i="3"/>
  <c r="T80" i="3" s="1"/>
  <c r="L80" i="3"/>
  <c r="M80" i="3" s="1"/>
  <c r="Y79" i="3"/>
  <c r="S79" i="3"/>
  <c r="T79" i="3" s="1"/>
  <c r="L79" i="3"/>
  <c r="M79" i="3" s="1"/>
  <c r="Y78" i="3"/>
  <c r="S78" i="3"/>
  <c r="T78" i="3" s="1"/>
  <c r="L78" i="3"/>
  <c r="M78" i="3" s="1"/>
  <c r="Y77" i="3"/>
  <c r="S77" i="3"/>
  <c r="T77" i="3" s="1"/>
  <c r="L77" i="3"/>
  <c r="M77" i="3" s="1"/>
  <c r="Y76" i="3"/>
  <c r="S76" i="3"/>
  <c r="T76" i="3" s="1"/>
  <c r="L76" i="3"/>
  <c r="M76" i="3" s="1"/>
  <c r="Y75" i="3"/>
  <c r="S75" i="3"/>
  <c r="T75" i="3" s="1"/>
  <c r="L75" i="3"/>
  <c r="M75" i="3" s="1"/>
  <c r="Y74" i="3"/>
  <c r="S74" i="3"/>
  <c r="T74" i="3" s="1"/>
  <c r="L74" i="3"/>
  <c r="M74" i="3" s="1"/>
  <c r="Y73" i="3"/>
  <c r="S73" i="3"/>
  <c r="T73" i="3" s="1"/>
  <c r="L73" i="3"/>
  <c r="M73" i="3" s="1"/>
  <c r="Y72" i="3"/>
  <c r="S72" i="3"/>
  <c r="T72" i="3" s="1"/>
  <c r="L72" i="3"/>
  <c r="M72" i="3" s="1"/>
  <c r="Y71" i="3"/>
  <c r="S71" i="3"/>
  <c r="T71" i="3" s="1"/>
  <c r="L71" i="3"/>
  <c r="M71" i="3" s="1"/>
  <c r="Y70" i="3"/>
  <c r="S70" i="3"/>
  <c r="T70" i="3" s="1"/>
  <c r="L70" i="3"/>
  <c r="M70" i="3" s="1"/>
  <c r="Y69" i="3"/>
  <c r="S69" i="3"/>
  <c r="T69" i="3" s="1"/>
  <c r="L69" i="3"/>
  <c r="M69" i="3" s="1"/>
  <c r="Y68" i="3"/>
  <c r="S68" i="3"/>
  <c r="T68" i="3" s="1"/>
  <c r="L68" i="3"/>
  <c r="M68" i="3" s="1"/>
  <c r="Y67" i="3"/>
  <c r="S67" i="3"/>
  <c r="T67" i="3" s="1"/>
  <c r="L67" i="3"/>
  <c r="M67" i="3" s="1"/>
  <c r="Y66" i="3"/>
  <c r="S66" i="3"/>
  <c r="T66" i="3" s="1"/>
  <c r="L66" i="3"/>
  <c r="M66" i="3" s="1"/>
  <c r="Y65" i="3"/>
  <c r="S65" i="3"/>
  <c r="T65" i="3" s="1"/>
  <c r="L65" i="3"/>
  <c r="M65" i="3" s="1"/>
  <c r="Y64" i="3"/>
  <c r="S64" i="3"/>
  <c r="T64" i="3" s="1"/>
  <c r="L64" i="3"/>
  <c r="M64" i="3" s="1"/>
  <c r="Y63" i="3"/>
  <c r="S63" i="3"/>
  <c r="T63" i="3" s="1"/>
  <c r="L63" i="3"/>
  <c r="M63" i="3" s="1"/>
  <c r="Y62" i="3"/>
  <c r="S62" i="3"/>
  <c r="T62" i="3" s="1"/>
  <c r="L62" i="3"/>
  <c r="M62" i="3" s="1"/>
  <c r="Y61" i="3"/>
  <c r="S61" i="3"/>
  <c r="T61" i="3" s="1"/>
  <c r="L61" i="3"/>
  <c r="M61" i="3" s="1"/>
  <c r="Y60" i="3"/>
  <c r="S60" i="3"/>
  <c r="T60" i="3" s="1"/>
  <c r="L60" i="3"/>
  <c r="M60" i="3" s="1"/>
  <c r="Y59" i="3"/>
  <c r="S59" i="3"/>
  <c r="T59" i="3" s="1"/>
  <c r="L59" i="3"/>
  <c r="M59" i="3" s="1"/>
  <c r="Y58" i="3"/>
  <c r="S58" i="3"/>
  <c r="T58" i="3" s="1"/>
  <c r="L58" i="3"/>
  <c r="M58" i="3" s="1"/>
  <c r="Y57" i="3"/>
  <c r="S57" i="3"/>
  <c r="T57" i="3" s="1"/>
  <c r="L57" i="3"/>
  <c r="M57" i="3" s="1"/>
  <c r="Y56" i="3"/>
  <c r="S56" i="3"/>
  <c r="T56" i="3" s="1"/>
  <c r="L56" i="3"/>
  <c r="M56" i="3" s="1"/>
  <c r="Y55" i="3"/>
  <c r="S55" i="3"/>
  <c r="T55" i="3" s="1"/>
  <c r="L55" i="3"/>
  <c r="M55" i="3" s="1"/>
  <c r="Y54" i="3"/>
  <c r="S54" i="3"/>
  <c r="T54" i="3" s="1"/>
  <c r="L54" i="3"/>
  <c r="M54" i="3" s="1"/>
  <c r="Y53" i="3"/>
  <c r="S53" i="3"/>
  <c r="T53" i="3" s="1"/>
  <c r="L53" i="3"/>
  <c r="M53" i="3" s="1"/>
  <c r="Y52" i="3"/>
  <c r="S52" i="3"/>
  <c r="T52" i="3" s="1"/>
  <c r="L52" i="3"/>
  <c r="M52" i="3" s="1"/>
  <c r="Y51" i="3"/>
  <c r="S51" i="3"/>
  <c r="T51" i="3" s="1"/>
  <c r="L51" i="3"/>
  <c r="M51" i="3" s="1"/>
  <c r="Y50" i="3"/>
  <c r="S50" i="3"/>
  <c r="T50" i="3" s="1"/>
  <c r="L50" i="3"/>
  <c r="M50" i="3" s="1"/>
  <c r="Y49" i="3"/>
  <c r="S49" i="3"/>
  <c r="T49" i="3" s="1"/>
  <c r="L49" i="3"/>
  <c r="M49" i="3" s="1"/>
  <c r="Y48" i="3"/>
  <c r="S48" i="3"/>
  <c r="T48" i="3" s="1"/>
  <c r="L48" i="3"/>
  <c r="M48" i="3" s="1"/>
  <c r="Y47" i="3"/>
  <c r="S47" i="3"/>
  <c r="T47" i="3" s="1"/>
  <c r="L47" i="3"/>
  <c r="M47" i="3" s="1"/>
  <c r="Y46" i="3"/>
  <c r="S46" i="3"/>
  <c r="T46" i="3" s="1"/>
  <c r="L46" i="3"/>
  <c r="M46" i="3" s="1"/>
  <c r="Y45" i="3"/>
  <c r="S45" i="3"/>
  <c r="T45" i="3" s="1"/>
  <c r="L45" i="3"/>
  <c r="M45" i="3" s="1"/>
  <c r="Y44" i="3"/>
  <c r="S44" i="3"/>
  <c r="T44" i="3" s="1"/>
  <c r="L44" i="3"/>
  <c r="M44" i="3" s="1"/>
  <c r="Y43" i="3"/>
  <c r="S43" i="3"/>
  <c r="T43" i="3" s="1"/>
  <c r="L43" i="3"/>
  <c r="M43" i="3" s="1"/>
  <c r="Y42" i="3"/>
  <c r="S42" i="3"/>
  <c r="T42" i="3" s="1"/>
  <c r="L42" i="3"/>
  <c r="M42" i="3" s="1"/>
  <c r="Y41" i="3"/>
  <c r="S41" i="3"/>
  <c r="T41" i="3" s="1"/>
  <c r="L41" i="3"/>
  <c r="M41" i="3" s="1"/>
  <c r="Y40" i="3"/>
  <c r="S40" i="3"/>
  <c r="T40" i="3" s="1"/>
  <c r="L40" i="3"/>
  <c r="M40" i="3" s="1"/>
  <c r="Y39" i="3"/>
  <c r="S39" i="3"/>
  <c r="T39" i="3" s="1"/>
  <c r="L39" i="3"/>
  <c r="M39" i="3" s="1"/>
  <c r="Y38" i="3"/>
  <c r="S38" i="3"/>
  <c r="T38" i="3" s="1"/>
  <c r="L38" i="3"/>
  <c r="M38" i="3" s="1"/>
  <c r="Y37" i="3"/>
  <c r="S37" i="3"/>
  <c r="T37" i="3" s="1"/>
  <c r="L37" i="3"/>
  <c r="M37" i="3" s="1"/>
  <c r="Y36" i="3"/>
  <c r="S36" i="3"/>
  <c r="T36" i="3" s="1"/>
  <c r="L36" i="3"/>
  <c r="M36" i="3" s="1"/>
  <c r="Y35" i="3"/>
  <c r="S35" i="3"/>
  <c r="T35" i="3" s="1"/>
  <c r="L35" i="3"/>
  <c r="M35" i="3" s="1"/>
  <c r="Y34" i="3"/>
  <c r="S34" i="3"/>
  <c r="T34" i="3" s="1"/>
  <c r="L34" i="3"/>
  <c r="M34" i="3" s="1"/>
  <c r="Y33" i="3"/>
  <c r="S33" i="3"/>
  <c r="T33" i="3" s="1"/>
  <c r="L33" i="3"/>
  <c r="M33" i="3" s="1"/>
  <c r="Y32" i="3"/>
  <c r="S32" i="3"/>
  <c r="T32" i="3" s="1"/>
  <c r="L32" i="3"/>
  <c r="M32" i="3" s="1"/>
  <c r="Y31" i="3"/>
  <c r="S31" i="3"/>
  <c r="T31" i="3" s="1"/>
  <c r="L31" i="3"/>
  <c r="M31" i="3" s="1"/>
  <c r="Y30" i="3"/>
  <c r="S30" i="3"/>
  <c r="T30" i="3" s="1"/>
  <c r="L30" i="3"/>
  <c r="M30" i="3" s="1"/>
  <c r="Y29" i="3"/>
  <c r="S29" i="3"/>
  <c r="T29" i="3" s="1"/>
  <c r="L29" i="3"/>
  <c r="M29" i="3" s="1"/>
  <c r="Y28" i="3"/>
  <c r="S28" i="3"/>
  <c r="T28" i="3" s="1"/>
  <c r="L28" i="3"/>
  <c r="M28" i="3" s="1"/>
  <c r="Y27" i="3"/>
  <c r="S27" i="3"/>
  <c r="T27" i="3" s="1"/>
  <c r="L27" i="3"/>
  <c r="M27" i="3" s="1"/>
  <c r="Y26" i="3"/>
  <c r="S26" i="3"/>
  <c r="T26" i="3" s="1"/>
  <c r="L26" i="3"/>
  <c r="M26" i="3" s="1"/>
  <c r="Y25" i="3"/>
  <c r="S25" i="3"/>
  <c r="T25" i="3" s="1"/>
  <c r="L25" i="3"/>
  <c r="M25" i="3" s="1"/>
  <c r="Y24" i="3"/>
  <c r="S24" i="3"/>
  <c r="T24" i="3" s="1"/>
  <c r="L24" i="3"/>
  <c r="M24" i="3" s="1"/>
  <c r="Y23" i="3"/>
  <c r="S23" i="3"/>
  <c r="T23" i="3" s="1"/>
  <c r="L23" i="3"/>
  <c r="M23" i="3" s="1"/>
  <c r="Y22" i="3"/>
  <c r="S22" i="3"/>
  <c r="T22" i="3" s="1"/>
  <c r="L22" i="3"/>
  <c r="M22" i="3" s="1"/>
  <c r="Y21" i="3"/>
  <c r="S21" i="3"/>
  <c r="T21" i="3" s="1"/>
  <c r="L21" i="3"/>
  <c r="M21" i="3" s="1"/>
  <c r="Y20" i="3"/>
  <c r="S20" i="3"/>
  <c r="T20" i="3" s="1"/>
  <c r="L20" i="3"/>
  <c r="M20" i="3" s="1"/>
  <c r="Y19" i="3"/>
  <c r="S19" i="3"/>
  <c r="T19" i="3" s="1"/>
  <c r="L19" i="3"/>
  <c r="M19" i="3" s="1"/>
  <c r="Y18" i="3"/>
  <c r="S18" i="3"/>
  <c r="T18" i="3" s="1"/>
  <c r="L18" i="3"/>
  <c r="M18" i="3" s="1"/>
  <c r="Y17" i="3"/>
  <c r="S17" i="3"/>
  <c r="T17" i="3" s="1"/>
  <c r="L17" i="3"/>
  <c r="M17" i="3" s="1"/>
  <c r="Y16" i="3"/>
  <c r="S16" i="3"/>
  <c r="T16" i="3" s="1"/>
  <c r="L16" i="3"/>
  <c r="M16" i="3" s="1"/>
  <c r="Y15" i="3"/>
  <c r="S15" i="3"/>
  <c r="T15" i="3" s="1"/>
  <c r="L15" i="3"/>
  <c r="M15" i="3" s="1"/>
  <c r="Y14" i="3"/>
  <c r="S14" i="3"/>
  <c r="T14" i="3" s="1"/>
  <c r="L14" i="3"/>
  <c r="M14" i="3" s="1"/>
  <c r="Y13" i="3"/>
  <c r="S13" i="3"/>
  <c r="T13" i="3" s="1"/>
  <c r="L13" i="3"/>
  <c r="M13" i="3" s="1"/>
  <c r="Y12" i="3"/>
  <c r="S12" i="3"/>
  <c r="T12" i="3" s="1"/>
  <c r="L12" i="3"/>
  <c r="M12" i="3" s="1"/>
  <c r="Y11" i="3"/>
  <c r="S11" i="3"/>
  <c r="T11" i="3" s="1"/>
  <c r="L11" i="3"/>
  <c r="M11" i="3" s="1"/>
  <c r="Y10" i="3"/>
  <c r="S10" i="3"/>
  <c r="T10" i="3" s="1"/>
  <c r="L10" i="3"/>
  <c r="M10" i="3" s="1"/>
  <c r="Y9" i="3"/>
  <c r="S9" i="3"/>
  <c r="T9" i="3" s="1"/>
  <c r="L9" i="3"/>
  <c r="M9" i="3" s="1"/>
  <c r="Y8" i="3"/>
  <c r="S8" i="3"/>
  <c r="T8" i="3" s="1"/>
  <c r="L8" i="3"/>
  <c r="M8" i="3" s="1"/>
  <c r="Y7" i="3"/>
  <c r="S7" i="3"/>
  <c r="T7" i="3" s="1"/>
  <c r="L7" i="3"/>
  <c r="M7" i="3" s="1"/>
  <c r="Y6" i="3"/>
  <c r="S6" i="3"/>
  <c r="T6" i="3" s="1"/>
  <c r="L6" i="3"/>
  <c r="M6" i="3" s="1"/>
  <c r="Y5" i="3"/>
  <c r="S5" i="3"/>
  <c r="T5" i="3" s="1"/>
  <c r="L5" i="3"/>
  <c r="M5" i="3" s="1"/>
  <c r="Y4" i="3"/>
  <c r="S4" i="3"/>
  <c r="T4" i="3" s="1"/>
  <c r="L4" i="3"/>
  <c r="M4" i="3" s="1"/>
  <c r="Y3" i="3"/>
  <c r="S3" i="3"/>
  <c r="T3" i="3" s="1"/>
  <c r="L3" i="3"/>
  <c r="M3" i="3" s="1"/>
  <c r="Y2" i="3"/>
  <c r="S2" i="3"/>
  <c r="L2" i="3"/>
  <c r="F84" i="5" l="1"/>
  <c r="F83" i="5"/>
  <c r="F82" i="5"/>
  <c r="D93" i="5"/>
  <c r="B83" i="5"/>
  <c r="B84" i="5"/>
  <c r="E94" i="5"/>
  <c r="D94" i="5"/>
  <c r="C94" i="5"/>
  <c r="B94" i="5"/>
  <c r="E92" i="5"/>
  <c r="D92" i="5"/>
  <c r="C92" i="5"/>
  <c r="B92" i="5"/>
  <c r="E95" i="5"/>
  <c r="D95" i="5"/>
  <c r="C95" i="5"/>
  <c r="B95" i="5"/>
  <c r="E91" i="5"/>
  <c r="D91" i="5"/>
  <c r="C91" i="5"/>
  <c r="B91" i="5"/>
  <c r="B85" i="5"/>
  <c r="E93" i="5"/>
  <c r="B86" i="5"/>
  <c r="F85" i="5"/>
  <c r="B82" i="5"/>
  <c r="B93" i="5"/>
  <c r="C93" i="5"/>
  <c r="E64" i="5"/>
  <c r="E63" i="5"/>
  <c r="D64" i="5"/>
  <c r="B63" i="5"/>
  <c r="A70" i="5"/>
  <c r="C63" i="5"/>
  <c r="D63" i="5"/>
  <c r="E68" i="5"/>
  <c r="B64" i="5"/>
  <c r="C64" i="5"/>
  <c r="B60" i="8"/>
  <c r="B10" i="4"/>
  <c r="B9" i="4"/>
  <c r="B8" i="4"/>
  <c r="B7" i="4"/>
  <c r="B6" i="4"/>
  <c r="B5" i="4"/>
  <c r="M2" i="3"/>
  <c r="B59" i="5"/>
  <c r="B58" i="5"/>
  <c r="B57" i="5"/>
  <c r="B56" i="5"/>
  <c r="B55" i="5"/>
  <c r="B51" i="5"/>
  <c r="B50" i="5"/>
  <c r="B49" i="5"/>
  <c r="B48" i="5"/>
  <c r="B47" i="5"/>
  <c r="B46" i="5"/>
  <c r="B45" i="5"/>
  <c r="B44" i="5"/>
  <c r="B43" i="5"/>
  <c r="B42" i="5"/>
  <c r="B41" i="5"/>
  <c r="B40" i="5"/>
  <c r="B36" i="5"/>
  <c r="B35" i="5"/>
  <c r="B34" i="5"/>
  <c r="B33" i="5"/>
  <c r="B29" i="5"/>
  <c r="B28" i="5"/>
  <c r="B24" i="5"/>
  <c r="B23" i="5"/>
  <c r="B22" i="5"/>
  <c r="B21" i="5"/>
  <c r="B17" i="5"/>
  <c r="B16" i="5"/>
  <c r="B15" i="5"/>
  <c r="B14" i="5"/>
  <c r="B10" i="5"/>
  <c r="B9" i="5"/>
  <c r="B8" i="5"/>
  <c r="B7" i="5"/>
  <c r="B6" i="5"/>
  <c r="B2" i="5"/>
  <c r="B12" i="4"/>
  <c r="B11" i="4"/>
  <c r="T2" i="3"/>
  <c r="F94" i="5" l="1"/>
  <c r="A105" i="5" s="1"/>
  <c r="B77" i="8" s="1"/>
  <c r="C96" i="5"/>
  <c r="D96" i="5"/>
  <c r="F95" i="5"/>
  <c r="B87" i="5"/>
  <c r="C87" i="5" s="1"/>
  <c r="F93" i="5"/>
  <c r="F64" i="5"/>
  <c r="A78" i="5" s="1"/>
  <c r="F92" i="5"/>
  <c r="B74" i="5"/>
  <c r="B100" i="5"/>
  <c r="C86" i="5"/>
  <c r="C85" i="5"/>
  <c r="A104" i="5" s="1"/>
  <c r="C84" i="5"/>
  <c r="C83" i="5"/>
  <c r="C82" i="5"/>
  <c r="F91" i="5"/>
  <c r="B96" i="5"/>
  <c r="E65" i="5"/>
  <c r="E96" i="5"/>
  <c r="D65" i="5"/>
  <c r="F63" i="5"/>
  <c r="B69" i="5" s="1"/>
  <c r="C65" i="5"/>
  <c r="B65" i="5"/>
  <c r="B68" i="8"/>
  <c r="B67" i="8"/>
  <c r="B61" i="8"/>
  <c r="B63" i="8"/>
  <c r="B64" i="8"/>
  <c r="B74" i="8"/>
  <c r="B65" i="8"/>
  <c r="B72" i="8"/>
  <c r="B27" i="4"/>
  <c r="B26" i="4"/>
  <c r="B25" i="4"/>
  <c r="C51" i="5"/>
  <c r="C50" i="5"/>
  <c r="C49" i="5"/>
  <c r="C48" i="5"/>
  <c r="C47" i="5"/>
  <c r="C46" i="5"/>
  <c r="C45" i="5"/>
  <c r="C44" i="5"/>
  <c r="C43" i="5"/>
  <c r="C42" i="5"/>
  <c r="C41" i="5"/>
  <c r="C40" i="5"/>
  <c r="C36" i="5"/>
  <c r="C35" i="5"/>
  <c r="C34" i="5"/>
  <c r="C33" i="5"/>
  <c r="C29" i="5"/>
  <c r="C28" i="5"/>
  <c r="C24" i="5"/>
  <c r="C23" i="5"/>
  <c r="C22" i="5"/>
  <c r="C21" i="5"/>
  <c r="C17" i="5"/>
  <c r="C16" i="5"/>
  <c r="C15" i="5"/>
  <c r="C14" i="5"/>
  <c r="C10" i="5"/>
  <c r="C9" i="5"/>
  <c r="C8" i="5"/>
  <c r="C7" i="5"/>
  <c r="C6" i="5"/>
  <c r="B20" i="4"/>
  <c r="B19" i="4"/>
  <c r="B18" i="4"/>
  <c r="B17" i="4"/>
  <c r="B16" i="4"/>
  <c r="C69" i="5" l="1"/>
  <c r="B62" i="8"/>
  <c r="B66" i="8"/>
  <c r="E69" i="5"/>
  <c r="F69" i="5"/>
  <c r="C70" i="5"/>
  <c r="D69" i="5"/>
  <c r="B69" i="8"/>
  <c r="F70" i="5"/>
  <c r="B76" i="8"/>
  <c r="E70" i="5"/>
  <c r="F65" i="5"/>
  <c r="B75" i="5" s="1"/>
  <c r="B70" i="5"/>
  <c r="D70" i="5"/>
  <c r="B75" i="8"/>
  <c r="F96" i="5"/>
  <c r="B71" i="8"/>
  <c r="B70" i="8"/>
  <c r="B28" i="4"/>
  <c r="B21" i="4"/>
  <c r="B73" i="5" l="1"/>
  <c r="B101" i="5"/>
  <c r="B99" i="5"/>
</calcChain>
</file>

<file path=xl/sharedStrings.xml><?xml version="1.0" encoding="utf-8"?>
<sst xmlns="http://schemas.openxmlformats.org/spreadsheetml/2006/main" count="6530" uniqueCount="1668">
  <si>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</si>
  <si>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</si>
  <si>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</si>
  <si>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</si>
  <si>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</si>
  <si>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</si>
  <si>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</si>
  <si>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</si>
  <si>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</si>
  <si>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</si>
  <si>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</si>
  <si>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</si>
  <si>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</si>
  <si>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</si>
  <si>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</si>
  <si>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</si>
  <si>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</si>
  <si>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</si>
  <si>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</si>
  <si>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</si>
  <si>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</si>
  <si>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</si>
  <si>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</si>
  <si>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</si>
  <si>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</si>
  <si>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</si>
  <si>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</si>
  <si>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</si>
  <si>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</si>
  <si>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</si>
  <si>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</si>
  <si>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</si>
  <si>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</si>
  <si>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</si>
  <si>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</si>
  <si>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</si>
  <si>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</si>
  <si>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</si>
  <si>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</si>
  <si>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YN</t>
  </si>
  <si>
    <t>Src</t>
  </si>
  <si>
    <t>Bin</t>
  </si>
  <si>
    <t>Tier</t>
  </si>
  <si>
    <t>DfX</t>
  </si>
  <si>
    <t>Self</t>
  </si>
  <si>
    <t>Method</t>
  </si>
  <si>
    <t>Modality</t>
  </si>
  <si>
    <t>Valid</t>
  </si>
  <si>
    <t>Cluster</t>
  </si>
  <si>
    <t>Yes</t>
  </si>
  <si>
    <t>Scopus</t>
  </si>
  <si>
    <t>0</t>
  </si>
  <si>
    <t>Tier 1 - Digital Model (static, no live data)</t>
  </si>
  <si>
    <t>None</t>
  </si>
  <si>
    <t>Computer Vision / CNN / object-detection</t>
  </si>
  <si>
    <t>Single (one data type)</t>
  </si>
  <si>
    <t>Conceptual (no test)</t>
  </si>
  <si>
    <t>BIM-to-Digital-Twin architecture</t>
  </si>
  <si>
    <t>No</t>
  </si>
  <si>
    <t>Web of Science</t>
  </si>
  <si>
    <t>1</t>
  </si>
  <si>
    <t>Tier 2 - Digital Shadow (one-way physical to virtual)</t>
  </si>
  <si>
    <t>Mentioned only</t>
  </si>
  <si>
    <t>Graph Neural Network (GNN)</t>
  </si>
  <si>
    <t>Multi (two or more data types)</t>
  </si>
  <si>
    <t>Simulation</t>
  </si>
  <si>
    <t>Semantic interoperability</t>
  </si>
  <si>
    <t>Lens.org</t>
  </si>
  <si>
    <t>Tier 3 - Digital Twin (bidirectional, two-way)</t>
  </si>
  <si>
    <t>Both</t>
  </si>
  <si>
    <t>Implemented</t>
  </si>
  <si>
    <t>LSTM / RNN (recurrent networks)</t>
  </si>
  <si>
    <t>Single case study</t>
  </si>
  <si>
    <t>Perception / Computer Vision</t>
  </si>
  <si>
    <t>Backward-snowball</t>
  </si>
  <si>
    <t>Tier 4 - Cognitive / Self-improving</t>
  </si>
  <si>
    <t>Other</t>
  </si>
  <si>
    <t>Convergence-characterised</t>
  </si>
  <si>
    <t>Transformer / Large Language Model (LLM)</t>
  </si>
  <si>
    <t>Cross-project (multiple real projects)</t>
  </si>
  <si>
    <t>Design for Safety</t>
  </si>
  <si>
    <t>Forward-snowball</t>
  </si>
  <si>
    <t>Unclear</t>
  </si>
  <si>
    <t>Reinforcement Learning (RL)</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</si>
  <si>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</si>
  <si>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</si>
  <si>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</si>
  <si>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</si>
  <si>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</si>
  <si>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</si>
  <si>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</si>
  <si>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</si>
  <si>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</si>
  <si>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</si>
  <si>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</si>
  <si>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</si>
  <si>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</si>
  <si>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</si>
  <si>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</si>
  <si>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</si>
  <si>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</si>
  <si>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</si>
  <si>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</si>
  <si>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</si>
  <si>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</si>
  <si>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</si>
  <si>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</si>
  <si>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</si>
  <si>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</si>
  <si>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</si>
  <si>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</si>
  <si>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</si>
  <si>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</si>
  <si>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Deep-read: Digital Twin capability tier</t>
  </si>
  <si>
    <t>Phase: Design (1/0)</t>
  </si>
  <si>
    <t>Phase: Construction (1/0)</t>
  </si>
  <si>
    <t>Phase: Operation (1/0)</t>
  </si>
  <si>
    <t>Cross-phase? (auto)</t>
  </si>
  <si>
    <t>Deep-read: Design-for-X target</t>
  </si>
  <si>
    <t>Deep-read: Self-improvement / convergence</t>
  </si>
  <si>
    <t>Deep-read: Data modality</t>
  </si>
  <si>
    <t>Deep-read: Validation level</t>
  </si>
  <si>
    <t>Deep-read: Quality appraisal score (0 to 5)</t>
  </si>
  <si>
    <t>Deep-read: Thematic cluster</t>
  </si>
  <si>
    <t>Deep-read: Key evidence / notes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</si>
  <si>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</si>
  <si>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</si>
  <si>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</si>
  <si>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</si>
  <si>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</si>
  <si>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</si>
  <si>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</si>
  <si>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</si>
  <si>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</si>
  <si>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</si>
  <si>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</si>
  <si>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</si>
  <si>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</si>
  <si>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</si>
  <si>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</si>
  <si>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</si>
  <si>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</si>
  <si>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</si>
  <si>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</si>
  <si>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</si>
  <si>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</si>
  <si>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</si>
  <si>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</si>
  <si>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</si>
  <si>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</si>
  <si>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STEP 3 - deep-read synthesis tables (auto = findings section)</t>
  </si>
  <si>
    <t>Total included studies</t>
  </si>
  <si>
    <t>Digital Twin capability tier (Gap 1)</t>
  </si>
  <si>
    <t>Category</t>
  </si>
  <si>
    <t>% of incl.</t>
  </si>
  <si>
    <t>Design-for-X target</t>
  </si>
  <si>
    <t>Data modality (Gap 2)</t>
  </si>
  <si>
    <t>Validation level (Gap 5)</t>
  </si>
  <si>
    <t>Methodology (RQ2)</t>
  </si>
  <si>
    <t>Lifecycle phase coverage (Gap 3)</t>
  </si>
  <si>
    <t>Coverage</t>
  </si>
  <si>
    <t>Design (any)</t>
  </si>
  <si>
    <t>Construction (any)</t>
  </si>
  <si>
    <t>Operation (any)</t>
  </si>
  <si>
    <t>Single-phase</t>
  </si>
  <si>
    <t>Multi-phase (cross-phase)</t>
  </si>
  <si>
    <t>Ahmad (2026)</t>
  </si>
  <si>
    <t>Akanmu (2021)</t>
  </si>
  <si>
    <t>Almatared (2024)</t>
  </si>
  <si>
    <t>Alvaro (2025)</t>
  </si>
  <si>
    <t>Ammar (2024)</t>
  </si>
  <si>
    <t>Aragon (2025)</t>
  </si>
  <si>
    <t>Araujo (2025)</t>
  </si>
  <si>
    <t>Arhrib (2026)</t>
  </si>
  <si>
    <t>Armijo (2024)</t>
  </si>
  <si>
    <t>Aroquipa (2025)</t>
  </si>
  <si>
    <t>Arowoiya (2024)</t>
  </si>
  <si>
    <t>Bao (2026)</t>
  </si>
  <si>
    <t>Brucherseifer (2021)</t>
  </si>
  <si>
    <t>Cervenka (2026)</t>
  </si>
  <si>
    <t>Chacon (2024)</t>
  </si>
  <si>
    <t>Chan (2025)</t>
  </si>
  <si>
    <t>Chang (2024)</t>
  </si>
  <si>
    <t>Chang (2026)</t>
  </si>
  <si>
    <t>Chen (2025)</t>
  </si>
  <si>
    <t>Chen (2026)</t>
  </si>
  <si>
    <t>Dan (2022)</t>
  </si>
  <si>
    <t>Delhibabu (2026)</t>
  </si>
  <si>
    <t>Deng (2025)</t>
  </si>
  <si>
    <t>Deng (2026)</t>
  </si>
  <si>
    <t>Doukari (2026)</t>
  </si>
  <si>
    <t>ElDin (2022)</t>
  </si>
  <si>
    <t>Ellul (2024)</t>
  </si>
  <si>
    <t>Fang (2023)</t>
  </si>
  <si>
    <t>Franciosi (2024)</t>
  </si>
  <si>
    <t>Gao (2025)</t>
  </si>
  <si>
    <t>Gao (2024)</t>
  </si>
  <si>
    <t>Geng (2025)</t>
  </si>
  <si>
    <t>Gonzalez-Boehme (2023)</t>
  </si>
  <si>
    <t>Granzner (2023)</t>
  </si>
  <si>
    <t>Gu (2023)</t>
  </si>
  <si>
    <t>Guo (2026)</t>
  </si>
  <si>
    <t>Guo (2025)</t>
  </si>
  <si>
    <t>Ham (2020)</t>
  </si>
  <si>
    <t>Han (2026)</t>
  </si>
  <si>
    <t>Han (2025)</t>
  </si>
  <si>
    <t>Hasan (2022)</t>
  </si>
  <si>
    <t>Hekmatnejad (2025)</t>
  </si>
  <si>
    <t>Hong (2022)</t>
  </si>
  <si>
    <t>Hong (2025)</t>
  </si>
  <si>
    <t>Hou (2026)</t>
  </si>
  <si>
    <t>Hu (2026)</t>
  </si>
  <si>
    <t>Hu (2024)</t>
  </si>
  <si>
    <t>Huang (2026)</t>
  </si>
  <si>
    <t>Jiang (2022)</t>
  </si>
  <si>
    <t>Jiang (2023)</t>
  </si>
  <si>
    <t>Jiang (2024)</t>
  </si>
  <si>
    <t>Johansen (2025)</t>
  </si>
  <si>
    <t>Kamari (2022)</t>
  </si>
  <si>
    <t>Kang (2025)</t>
  </si>
  <si>
    <t>Kaveh (2025)</t>
  </si>
  <si>
    <t>Khajavi (2023)</t>
  </si>
  <si>
    <t>Kim (2023)</t>
  </si>
  <si>
    <t>Kim (2024)</t>
  </si>
  <si>
    <t>Lai (2022)</t>
  </si>
  <si>
    <t>Levine (2022)</t>
  </si>
  <si>
    <t>Li (2024)</t>
  </si>
  <si>
    <t>Li (2023)</t>
  </si>
  <si>
    <t>Li (2021)</t>
  </si>
  <si>
    <t>Lin (2026)</t>
  </si>
  <si>
    <t>Lin (2025)</t>
  </si>
  <si>
    <t>Lin (2020)</t>
  </si>
  <si>
    <t>Liu (2022)</t>
  </si>
  <si>
    <t>Liu (2021)</t>
  </si>
  <si>
    <t>Liu (2020)</t>
  </si>
  <si>
    <t>Liu (2025)</t>
  </si>
  <si>
    <t>Luleci (2024)</t>
  </si>
  <si>
    <t>Lv (2026)</t>
  </si>
  <si>
    <t>Machado (2024)</t>
  </si>
  <si>
    <t>Machado (2025)</t>
  </si>
  <si>
    <t>Meschini (2022)</t>
  </si>
  <si>
    <t>Moe (2026)</t>
  </si>
  <si>
    <t>Moe (2025)</t>
  </si>
  <si>
    <t>Okuntade (2026)</t>
  </si>
  <si>
    <t>Palihakkara (2025)</t>
  </si>
  <si>
    <t>Pan (2026)</t>
  </si>
  <si>
    <t>Pan (2022)</t>
  </si>
  <si>
    <t>Park (2024)</t>
  </si>
  <si>
    <t>PerezPerez (2026)</t>
  </si>
  <si>
    <t>Pham (2026)</t>
  </si>
  <si>
    <t>Ponzo (2024)</t>
  </si>
  <si>
    <t>Qiu (2025)</t>
  </si>
  <si>
    <t>Rashidian (2026)</t>
  </si>
  <si>
    <t>Rezaie (2025)</t>
  </si>
  <si>
    <t>Rinaldi (2025)</t>
  </si>
  <si>
    <t>Salem (2023)</t>
  </si>
  <si>
    <t>Scolamiero (2026)</t>
  </si>
  <si>
    <t>Seo (2025)</t>
  </si>
  <si>
    <t>Shao (2022)</t>
  </si>
  <si>
    <t>Sharafat (2025)</t>
  </si>
  <si>
    <t>Shariatfar (2026)</t>
  </si>
  <si>
    <t>Shen (2026)</t>
  </si>
  <si>
    <t>Shi (2026)</t>
  </si>
  <si>
    <t>Song (2026)</t>
  </si>
  <si>
    <t>Song (2023)</t>
  </si>
  <si>
    <t>Speiser (2024)</t>
  </si>
  <si>
    <t>Stergiopoulos (2025)</t>
  </si>
  <si>
    <t>Su (2025)</t>
  </si>
  <si>
    <t>Sun (2025)</t>
  </si>
  <si>
    <t>Sun (2023)</t>
  </si>
  <si>
    <t>Sun (2026)</t>
  </si>
  <si>
    <t>Talmaki (2022)</t>
  </si>
  <si>
    <t>Tian (2026)</t>
  </si>
  <si>
    <t>Torrecilla-Garcia (2021)</t>
  </si>
  <si>
    <t>Torres (2024)</t>
  </si>
  <si>
    <t>Torzoni (2024)</t>
  </si>
  <si>
    <t>Tran (2025)</t>
  </si>
  <si>
    <t>Ugliotti (2025)</t>
  </si>
  <si>
    <t>Villaverde (2026)</t>
  </si>
  <si>
    <t>Wang (2024)</t>
  </si>
  <si>
    <t>Wang (2021)</t>
  </si>
  <si>
    <t>Wen (2025)</t>
  </si>
  <si>
    <t>Wu (2022)</t>
  </si>
  <si>
    <t>Wu (2026)</t>
  </si>
  <si>
    <t>Wu (2024)</t>
  </si>
  <si>
    <t>Wu (2021)</t>
  </si>
  <si>
    <t>Xie (2025)</t>
  </si>
  <si>
    <t>Xiong (2026)</t>
  </si>
  <si>
    <t>Xu (2023)</t>
  </si>
  <si>
    <t>Yan (2025)</t>
  </si>
  <si>
    <t>Yan (2026)</t>
  </si>
  <si>
    <t>Yang (2026)</t>
  </si>
  <si>
    <t>Yang (2025)</t>
  </si>
  <si>
    <t>Ye (2023)</t>
  </si>
  <si>
    <t>Yin (2026)</t>
  </si>
  <si>
    <t>You (2023)</t>
  </si>
  <si>
    <t>Yu (2024)</t>
  </si>
  <si>
    <t>Zeng (2025)</t>
  </si>
  <si>
    <t>Zhang (2024)</t>
  </si>
  <si>
    <t>Zhang (2025)</t>
  </si>
  <si>
    <t>Zhang (2022)</t>
  </si>
  <si>
    <t>Zhang (2026)</t>
  </si>
  <si>
    <t>Zhao (2026)</t>
  </si>
  <si>
    <t>Zhao (2024)</t>
  </si>
  <si>
    <t>Zhao (2022)</t>
  </si>
  <si>
    <t>Zhao (2025)</t>
  </si>
  <si>
    <t>Zheng (2022)</t>
  </si>
  <si>
    <t>Zhou (2021)</t>
  </si>
  <si>
    <t>Zhu (2022)</t>
  </si>
  <si>
    <t>Zhu (2023)</t>
  </si>
  <si>
    <t>Zou (2024)</t>
  </si>
  <si>
    <t>Liu (2023)</t>
  </si>
  <si>
    <t>Martinez (2026)</t>
  </si>
  <si>
    <t>Scopus</t>
    <phoneticPr fontId="11" type="noConversion"/>
  </si>
  <si>
    <t>Web of Science</t>
    <phoneticPr fontId="11" type="noConversion"/>
  </si>
  <si>
    <t>Yes</t>
    <phoneticPr fontId="11" type="noConversion"/>
  </si>
  <si>
    <t>No</t>
    <phoneticPr fontId="11" type="noConversion"/>
  </si>
  <si>
    <t>Tech-adoption survey (ARM); no DT, no DfS/DfQ focus</t>
  </si>
  <si>
    <t>Energy/comfort/carbon optimization; safety shield is control constraint (edge 5)</t>
  </si>
  <si>
    <t>Cybersecurity of industrial CPS/SCADA; not AECO</t>
  </si>
  <si>
    <t>Smart energy systems CI; not built environment</t>
  </si>
  <si>
    <t>Crowd management/surveillance; no built asset DfS/DfQ</t>
  </si>
  <si>
    <t>SHM hybrid AI; no DT built/proposed</t>
  </si>
  <si>
    <t>FEM+NN metamodel; authors state not a full digital twin</t>
  </si>
  <si>
    <t>BIM-ICDD semantic linking; no DT; compliance not DfQ</t>
  </si>
  <si>
    <t>Nuclear power domain</t>
  </si>
  <si>
    <t>BIM-HDM framework; DT only future early warning</t>
  </si>
  <si>
    <t>Survey + case study on guiderail data management for a transportation agency: investigates current practices and proposes a data architecture for information-rich analytical models using DTs, but no DT is actually built or evaluated - P=No -&gt; Stage-2 exclude. [Full-text source: Endnote]</t>
  </si>
  <si>
    <t>Legal/regulatory IoT paper; not AECO</t>
  </si>
  <si>
    <t>AI-in-motorways review; DT one of many topics</t>
  </si>
  <si>
    <t>Cybersecurity; airport baggage system industrial testbed</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</si>
  <si>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Endnote]</t>
  </si>
  <si>
    <t>CV pose estimation; DT only synthesizes training data</t>
  </si>
  <si>
    <t>BIM+RPA weather alerts; static BIM, no live DT</t>
  </si>
  <si>
    <t>CE/digitalisation review; DT peripheral</t>
  </si>
  <si>
    <t>Russian journal; BIM/DT mentioned, full text non-English</t>
  </si>
  <si>
    <t>Urban regeneration protocol; DT as future archive</t>
  </si>
  <si>
    <t>Industrial port ops; Chinese journal, non-English</t>
  </si>
  <si>
    <t>Pure FEM structural analysis; no DT</t>
  </si>
  <si>
    <t>BIM-manager narrative review; no DT core</t>
  </si>
  <si>
    <t>I-BIM maintenance framework; DT aspirational</t>
  </si>
  <si>
    <t>Digital Twin Conceptual Framework for critical infrastructure resilience (DLR): comprehensive requirements analysis for infrastructure crisis management/resilience, deriving a conceptual framework (virtual replica, virtual clones, smart-tool toolbox, human-operated control center) with guiding principles for construction/planning phases and a conceptual DT model; resilience cycle with learning from past events is discussed conceptually but not implemented; no DT built or validated, no learning loop. [Full-text source: Endnote]</t>
  </si>
  <si>
    <t>Data-management review; no DT core, no safety/quality</t>
  </si>
  <si>
    <t>Emotion recognition; no built asset, no safety/quality</t>
  </si>
  <si>
    <t>Neural-SDF reconstruction; DT only downstream use</t>
  </si>
  <si>
    <t>Static GIS-BIM/CMMS-3D; no live DT</t>
  </si>
  <si>
    <t>BIM-Dynamo automation; initial step towards DT only</t>
  </si>
  <si>
    <t>Bibliometric; DT only a keyword trend</t>
  </si>
  <si>
    <t>Tech-adoption survey; DT one of many</t>
  </si>
  <si>
    <t>Autonomous dimensional inspection and issue tracking of rebar using semantically enriched 3D models (NTU): DT generation from GoPro images via SfM-MVS point-cloud reconstruction (AprilTag scale calibration); segmentation via Mask R-CNN + 3D clustering (DBSCAN); inspection via 2D circular Hough transform (diameter accuracy 95.5%, spacing mean relative error 0.98%); issue identification/tracking via Scan-vs-BIM registration and comparison of semantically enriched 3D models with BIM across time. Single column rebar cage experiment. One-way inspection to BIM/Digital-Twin for DQC; no live data link and no learning loop. [Full-text source: Endnote]</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</si>
  <si>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Endnote]</t>
  </si>
  <si>
    <t>Chinese journal; full text non-English</t>
  </si>
  <si>
    <t>Oil/gas pipeline industry; Chinese journal, non-English</t>
  </si>
  <si>
    <t>Chinese journal; non-English full text</t>
  </si>
  <si>
    <t>CV activity recognition; DT integration future work</t>
  </si>
  <si>
    <t>Materials/manufacturing component DT; not AECO</t>
  </si>
  <si>
    <t>BIM+AR safety inspection; no DT (duplicate of #56)</t>
  </si>
  <si>
    <t>Duplicate of ID 3660 (WoS copy); BIM-based, no DT</t>
  </si>
  <si>
    <t>Traffic ITS survey; DT only future distribution topic</t>
  </si>
  <si>
    <t>Pure FE soil-structure interaction study; no DT</t>
  </si>
  <si>
    <t>Pure FE seismic SSI analysis; no DT</t>
  </si>
  <si>
    <t>Load-identification method; DT only data consumer</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</si>
  <si>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Endnote]</t>
  </si>
  <si>
    <t>Damage-index benchmarking; DT only future use</t>
  </si>
  <si>
    <t>Marine science RIs; not AECO</t>
  </si>
  <si>
    <t>Oil-refinery process CPS; industrial</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</si>
  <si>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Endnote]</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</si>
  <si>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Endnote]</t>
  </si>
  <si>
    <t>Adaptive multi-robot task allocation framework (UTK/Amazon/TAMU): DT system enables real-time synchronization between physical operations and digital representations as user interface, creating closed-loop feedback; Integer Programming models task allocation (dependencies, heterogeneity, scheduling, replanning); LLM interprets natural-language inputs to autonomously update optimization constraints (97% accuracy in constraint/parameter extraction) without manual programming; case study demonstrates computational efficiency and LLM reasoning. Closed-loop feedback + LLM-based constraint adaptation -&gt; Tier 3; no learning loop (LLM is inference-time, not self-improving). [Full-text source: Endnote]</t>
  </si>
  <si>
    <t>Chinese journal (Tunnel Construction); non-English</t>
  </si>
  <si>
    <t>CV tracking framework; DT as end-goal only</t>
  </si>
  <si>
    <t>Chinese journal (CIMS); non-English full text</t>
  </si>
  <si>
    <t>Additive manufacturing; Chinese journal, non-English</t>
  </si>
  <si>
    <t>DTSRM for cost/time/resources; safety only as extension</t>
  </si>
  <si>
    <t>Level-2 static twin = calibrated BIM; no live data link</t>
  </si>
  <si>
    <t>Scientometric review; DT only integration trend</t>
  </si>
  <si>
    <t>FM reactive maintenance; safety incidental</t>
  </si>
  <si>
    <t>AI design co-pilot; no DT</t>
  </si>
  <si>
    <t>German duplicate of ID 3632; non-English</t>
  </si>
  <si>
    <t>Fusion-reactor maintenance robotics; not AECO</t>
  </si>
  <si>
    <t>Mining ventilation; not AECO built environment</t>
  </si>
  <si>
    <t>Vehicle localization framework; not AECO</t>
  </si>
  <si>
    <t>Fusion-energy facility design; not AECO</t>
  </si>
  <si>
    <t>Mining; Chinese journal, non-English</t>
  </si>
  <si>
    <t>EV charging/IoV scheduling; not AECO</t>
  </si>
  <si>
    <t>NDT data federation in Revit; DT as future tool</t>
  </si>
  <si>
    <t>Aerospace remanufacturing</t>
  </si>
  <si>
    <t>Tech-adoption survey; DT one item in a list</t>
  </si>
  <si>
    <t>Mining ventilation; Chinese journal, non-English</t>
  </si>
  <si>
    <t>Cyber-physical security of CI generally; not AECO-specific</t>
  </si>
  <si>
    <t>Robotics-for-SHM review; DT creation only attempts</t>
  </si>
  <si>
    <t>Train-bridge dynamic compatibility verification; no DT</t>
  </si>
  <si>
    <t>AI/DT challenges perspective; energy transition focus, safety peripheral</t>
  </si>
  <si>
    <t>High-voltage live-line work; power industry, not AECO</t>
  </si>
  <si>
    <t>Truck platooning logistics; not AECO</t>
  </si>
  <si>
    <t>Construction 4.0 industrial-relations SLR; DT one theme</t>
  </si>
  <si>
    <t>Coal-mine roadheader MR-DT; mining domain</t>
  </si>
  <si>
    <t>Healthcare OR air-quality DT; FM/IAQ, no DfS/DfQ</t>
  </si>
  <si>
    <t>Smart-grid DT authentication; power/cybersecurity</t>
  </si>
  <si>
    <t>Maritime smart fairways; not AECO</t>
  </si>
  <si>
    <t>Duplicate of ID 3813 (WoS copy)</t>
  </si>
  <si>
    <t>Chinese journal (Underground Space); non-English full text</t>
  </si>
  <si>
    <t>SLR of 395 DT-construction papers incl. safety management</t>
  </si>
  <si>
    <t>Cold-chain warehouse logistics; not AECO</t>
  </si>
  <si>
    <t>Underwater glider DT; marine robotics</t>
  </si>
  <si>
    <t>Chinese journal (J. Building Structures); non-English full text</t>
  </si>
  <si>
    <t>BIM-FEM excavation analysis; no live DT data link</t>
  </si>
  <si>
    <t>Mine ventilation intelligence; mining, no DT built</t>
  </si>
  <si>
    <t>Chinese journal (China J. Highway Transport); non-English</t>
  </si>
  <si>
    <t>DT adoption drivers/barriers review; safety not in scope focus</t>
  </si>
  <si>
    <t>C4.0 readiness survey in road projects; DT one of 16 techs</t>
  </si>
  <si>
    <t>Milling chatter detection; manufacturing</t>
  </si>
  <si>
    <t>DT for dynamic cost control; no safety/quality angle</t>
  </si>
  <si>
    <t>Chinese journal (J. Civil &amp; Environmental Eng.); non-English</t>
  </si>
  <si>
    <t>MWD rock-parameter prediction; no DT</t>
  </si>
  <si>
    <t>Chinese journal (China Civil Eng. Journal); non-English</t>
  </si>
  <si>
    <t>AV localization via roadside LiDAR; not AECO</t>
  </si>
  <si>
    <t>Autonomous-driving simulation; Chinese journal, non-English</t>
  </si>
  <si>
    <t>BIM+AI+sensor hazard exposure quantification; no DT</t>
  </si>
  <si>
    <t>Fire-service information needs; no DT system built</t>
  </si>
  <si>
    <t>Airport as cognitive DT of aviation ecosystem; not AECO asset</t>
  </si>
  <si>
    <t>Bearing RUL health indicator; manufacturing</t>
  </si>
  <si>
    <t>Document-native AI for admin workflows; no DT</t>
  </si>
  <si>
    <t>Station greenery perception via DT; well-being, not DfS/DfQ</t>
  </si>
  <si>
    <t>CI cybersecurity incident detection SLR; not AECO-specific</t>
  </si>
  <si>
    <t>German journal (Beton- und Stahlbetonbau); non-English full text</t>
  </si>
  <si>
    <t>Nuclear containment ROM; Korean journal, non-English</t>
  </si>
  <si>
    <t>RL control of building energy; safety of RL only, not DfS</t>
  </si>
  <si>
    <t>Tire health DT; automotive</t>
  </si>
  <si>
    <t>3D-scan+BIM precast shape QC; no live DT</t>
  </si>
  <si>
    <t>Verticality sensing device; DT only beneficiary (edge 3)</t>
  </si>
  <si>
    <t>Natural gas pipeline DMD-DT; energy utility ops</t>
  </si>
  <si>
    <t>Russian journal (Nanotechnologies in Construction); non-English</t>
  </si>
  <si>
    <t>Ultrasound defect detection in plastic panels; manufacturing NDT</t>
  </si>
  <si>
    <t>PLS-SEM framework for DT monitoring; productivity focus, no DfS/DfQ</t>
  </si>
  <si>
    <t>Korean journal (JAIK); non-English full text</t>
  </si>
  <si>
    <t>Bridge resilience review; DT only in proposed future framework</t>
  </si>
  <si>
    <t>GPR antenna DT for data simulation; no asset DT</t>
  </si>
  <si>
    <t>Bridge reconstruction case; verified FE "element of a DT" only</t>
  </si>
  <si>
    <t>Building energy monitoring DT; energy focus (edge 5)</t>
  </si>
  <si>
    <t>AI-in-AEC review; DT only future direction</t>
  </si>
  <si>
    <t>OPDM-BIM integration method; DT as context only</t>
  </si>
  <si>
    <t>Gear measurement DT; manufacturing metrology</t>
  </si>
  <si>
    <t>Power-grid tower point-cloud segmentation; not AECO</t>
  </si>
  <si>
    <t>Industrial product CMF design; Chinese journal, non-English</t>
  </si>
  <si>
    <t>Power equipment O&amp;M; Chinese journal, non-English</t>
  </si>
  <si>
    <t>Pavement defect YOLO; DT only dataset name</t>
  </si>
  <si>
    <t>LfD robot training; DT as perceived workspace only</t>
  </si>
  <si>
    <t>CI resilience framework; district heating plant case</t>
  </si>
  <si>
    <t>NDT crack-mapping review; DT linkage aspirational</t>
  </si>
  <si>
    <t>Aircraft wing stress field; Chinese journal, non-English</t>
  </si>
  <si>
    <t>HRC review; DT-based HRC only future priority</t>
  </si>
  <si>
    <t>Machining quality DT; manufacturing</t>
  </si>
  <si>
    <t>BIM+IoT+GIS logistics DT; efficiency/cost, no safety/quality core</t>
  </si>
  <si>
    <t>Chinese journal (Bridge Construction); non-English full text</t>
  </si>
  <si>
    <t>Floating wind turbine DT; energy sector</t>
  </si>
  <si>
    <t>ImTs-BIM bibliometric; DT one cluster</t>
  </si>
  <si>
    <t>Chinese journal (J. Building Structures); non-English</t>
  </si>
  <si>
    <t>Chinese journal (J. Architecture &amp; Civil Eng.); non-English</t>
  </si>
  <si>
    <t>CiteSpace review of intelligent construction; DT only core-literature topic</t>
  </si>
  <si>
    <t>MV-LV substation electrical safety; power equipment</t>
  </si>
  <si>
    <t>SLR integrative framework; operational intelligence broadly, DfS/DfQ not core</t>
  </si>
  <si>
    <t>RPA calibration of damage into BIM; no live DT</t>
  </si>
  <si>
    <t>Modal identification study; DT as future foundation</t>
  </si>
  <si>
    <t>GIS app for bridge inspection→BIM; no DT</t>
  </si>
  <si>
    <t>Chinese journal (J. Traffic &amp; Transportation Eng.); non-English</t>
  </si>
  <si>
    <t>Thermal energy storage DT; energy scheduling, safety incidental</t>
  </si>
  <si>
    <t>Serious-game MEP coordination education; DT linkage future</t>
  </si>
  <si>
    <t>Duplicate of ID 3688 (WoS copy)</t>
  </si>
  <si>
    <t>WWTP cybersecurity testbed; water industrial ICS</t>
  </si>
  <si>
    <t>Smart road IoT/DT for traffic; not built-asset DfS/DfQ</t>
  </si>
  <si>
    <t>Automotive/aviation/maritime DT survey; not AECO</t>
  </si>
  <si>
    <t>8D BIM rule-based compliance; static BIM, DT as label</t>
  </si>
  <si>
    <t>Road situational awareness streaming; vehicular</t>
  </si>
  <si>
    <t>Mining heritage site environmental DT; not AECO</t>
  </si>
  <si>
    <t>CNI cyber-resilience methodology; energy/connected sites</t>
  </si>
  <si>
    <t>MARS reliability of excavations; DT/BIM as outlook</t>
  </si>
  <si>
    <t>Organisational SR of DT in AEC; use/user perspective, DfS/DfQ not core</t>
  </si>
  <si>
    <t>Chinese journal (J. Basic Science &amp; Eng.); non-English</t>
  </si>
  <si>
    <t>Renovation environmental-impact DT; energy/carbon focus</t>
  </si>
  <si>
    <t>German journal (Bautechnik); non-English full text</t>
  </si>
  <si>
    <t>XR lifecycle safety framework; BIM/Lean/PtD but no DT</t>
  </si>
  <si>
    <t>BIM-MBSE semantic bridge; DT environment only as context</t>
  </si>
  <si>
    <t>Natural-period regression; DT as application context</t>
  </si>
  <si>
    <t>DT-NFT data ownership; no safety/quality focus</t>
  </si>
  <si>
    <t>Ship manoeuvring DT; maritime</t>
  </si>
  <si>
    <t>Digitalisation case-study review; DT one of many techs</t>
  </si>
  <si>
    <t>LIDAR+VR bridge inspection; "step towards DTs"</t>
  </si>
  <si>
    <t>AHP risk assessment; BIM/DT only as smart-O&amp;M factor</t>
  </si>
  <si>
    <t>Russian journal (Russian Electrical Eng.); non-English</t>
  </si>
  <si>
    <t>Thermal-bridging DT platform; energy performance, no DfS/DfQ</t>
  </si>
  <si>
    <t>AR-based disaster management; physical-virtual linkage but pre-DT (2018)</t>
  </si>
  <si>
    <t>ASCE 75 utility as-built standard; DT as data product</t>
  </si>
  <si>
    <t>Irrigation network DT; water/agriculture infrastructure</t>
  </si>
  <si>
    <t>Underground coal mine BIM+TLS; mining</t>
  </si>
  <si>
    <t>Site layout optimization; hazard risk one objective, no DT</t>
  </si>
  <si>
    <t>Modern-industry risk assessment reflections; manufacturing/energy cases</t>
  </si>
  <si>
    <t>Duplicate of ID 3536 (WoS copy)</t>
  </si>
  <si>
    <t>ETO manufacturing warehouse DT; factory domain (edge 1)</t>
  </si>
  <si>
    <t>Nuclear power unit monitoring DT</t>
  </si>
  <si>
    <t>Transmission tower SHM DT; power infrastructure (edge 2)</t>
  </si>
  <si>
    <t>Duplicate of ID 3710 (WoS copy); power infrastructure</t>
  </si>
  <si>
    <t>Chinese journal (China Rural Water &amp; Hydropower); non-English</t>
  </si>
  <si>
    <t>Aviation connector pin defect DT; aerospace manufacturing</t>
  </si>
  <si>
    <t>Chinese journal (Experimental Tech. &amp; Mgmt); non-English, no DT</t>
  </si>
  <si>
    <t>IoT-in-construction scientometric; DT one theme</t>
  </si>
  <si>
    <t>Oil-well construction MDP DT; O&amp;G drilling</t>
  </si>
  <si>
    <t>Well construction scenario DT; O&amp;G drilling</t>
  </si>
  <si>
    <t>Well construction RL planning; O&amp;G drilling</t>
  </si>
  <si>
    <t>Tech adoption perceptions vs project data; DT one of many</t>
  </si>
  <si>
    <t>AI+tech correlation survey; DT one of 13 technologies</t>
  </si>
  <si>
    <t>LSTM surrogate for earthquake-flood response; no DT</t>
  </si>
  <si>
    <t>BIM+AR bridge inspection; "heading toward a DT"</t>
  </si>
  <si>
    <t>ITA-AITES BIM tunnelling guideline; sustainability focus</t>
  </si>
  <si>
    <t>Duplicate of ID 3818 (WoS copy)</t>
  </si>
  <si>
    <t>German journal (Mauerwerk); non-English full text</t>
  </si>
  <si>
    <t>4D BIM scientometric; DT one emerging theme</t>
  </si>
  <si>
    <t>MRDT adoption TAM meta-analysis; safety only as outcome context</t>
  </si>
  <si>
    <t>BIM+DT convergence roadmap; no DfS/DfQ core</t>
  </si>
  <si>
    <t>Russian journal; UAV diagnostics, no DT core, non-English</t>
  </si>
  <si>
    <t>Commentary on aging concrete rehab; DT one of many techs</t>
  </si>
  <si>
    <t>YOLO equipment detection benchmark; DT as future extension</t>
  </si>
  <si>
    <t>AI+FOS railway SHM review; DT-integrated RL only emerging</t>
  </si>
  <si>
    <t>Aircraft nacelle NDT CAD-native DT; aerospace</t>
  </si>
  <si>
    <t>LLM+KG safety risk assessment; DT integration future work</t>
  </si>
  <si>
    <t>DTCS auto-generated VR safety training; BIM+schedule+hazard data</t>
  </si>
  <si>
    <t>RNN+BIM co-simulation track prediction; no DT claim</t>
  </si>
  <si>
    <t>Hyper-connected pavement concepts; DT mode discussion only</t>
  </si>
  <si>
    <t>3D reconstruction from surveillance; DT management as beneficiary</t>
  </si>
  <si>
    <t>Chinese journal (China Safety Science J.); non-English</t>
  </si>
  <si>
    <t>Marine machinery fault diagnosis DT</t>
  </si>
  <si>
    <t>Progress prediction portfolio; DT integration future</t>
  </si>
  <si>
    <t>German journal (Bauingenieur); non-English full text</t>
  </si>
  <si>
    <t>Automation/robotics adoption in Indonesian SOEs; DT prospect only</t>
  </si>
  <si>
    <t>Subcontracting &amp; safety innovation; digitalization broadly, no DT</t>
  </si>
  <si>
    <t>Critical information infrastructure cybersecurity; grid DT testbed</t>
  </si>
  <si>
    <t>Green-IoT scoping review; DT future direction only</t>
  </si>
  <si>
    <t>Mining DT framework; not AECO</t>
  </si>
  <si>
    <t>Agentic AI governance; HVAC/energy focus, safety as governance risk</t>
  </si>
  <si>
    <t>Sailing robot virtual environment; maritime</t>
  </si>
  <si>
    <t>Disaster risk assessment review; DT one method among many</t>
  </si>
  <si>
    <t>Coal mine heading; Chinese journal, non-English</t>
  </si>
  <si>
    <t>MR+ML cable robot; no DT component</t>
  </si>
  <si>
    <t>Vision deformation measurement; graphics DT only as synthetic env</t>
  </si>
  <si>
    <t>Consumer-electronics smart-city DT; traffic GNN</t>
  </si>
  <si>
    <t>Oil/gas pipeline smart-liner DT</t>
  </si>
  <si>
    <t>Sodium-cooled reactor RTDT; nuclear</t>
  </si>
  <si>
    <t>Coal mine heading face; Chinese journal, non-English</t>
  </si>
  <si>
    <t>SOLOv2 progress monitoring; DT as future development</t>
  </si>
  <si>
    <t>BIM-CIM smart city governance; DT not core</t>
  </si>
  <si>
    <t>Eye-tracking AR situation awareness; no DT</t>
  </si>
  <si>
    <t>Autonomous ship DT; maritime</t>
  </si>
  <si>
    <t>Ship parameter identification; maritime</t>
  </si>
  <si>
    <t>Smart home cybersecurity DT; not AECO industry</t>
  </si>
  <si>
    <t>City-scale 3D modelling algorithm; efficiency focus (edge 10)</t>
  </si>
  <si>
    <t>Open-pit mining 5G DT; Chinese journal, non-English</t>
  </si>
  <si>
    <t>Deepwater well construction DT; O&amp;G</t>
  </si>
  <si>
    <t>Radioactive waste repository DT; nuclear</t>
  </si>
  <si>
    <t>IoT+blockchain material provenance; DT as prospect</t>
  </si>
  <si>
    <t>Vehicle-road-cloud review; Chinese journal, non-English</t>
  </si>
  <si>
    <t>Construction machinery development process; manufacturing DT</t>
  </si>
  <si>
    <t>Shop-floor manufacturing DT; Chinese journal, non-English</t>
  </si>
  <si>
    <t>CAV test field; automotive testing</t>
  </si>
  <si>
    <t>Li-ion battery DT; Chinese journal, non-English</t>
  </si>
  <si>
    <t>Unmanned excavators review; Chinese journal, non-English</t>
  </si>
  <si>
    <t>5D model review for O&amp;G plant remote monitoring</t>
  </si>
  <si>
    <t>Metaverse for energy industry (O&amp;G)</t>
  </si>
  <si>
    <t>SCADA intrusion detection; DT only future validation</t>
  </si>
  <si>
    <t>DT intelligent safety analysis of large underground space construction</t>
  </si>
  <si>
    <t>Mining BIM parametric modeling; Russian journal, non-English</t>
  </si>
  <si>
    <t>Deep-sea gas field DT; Chinese journal, non-English</t>
  </si>
  <si>
    <t>3D stratigraphic modeling; urban DT as application context</t>
  </si>
  <si>
    <t>Power grid construction site video monitoring; power industry</t>
  </si>
  <si>
    <t>Intelligent construction review; DT only future path</t>
  </si>
  <si>
    <t>PPE detection data-mixing benchmark; DT only synthetic data source</t>
  </si>
  <si>
    <t>Duplicate of ID 3681 (WoS copy)</t>
  </si>
  <si>
    <t>Textile spinning monitoring; Chinese journal, non-English</t>
  </si>
  <si>
    <t>Chinese journal (J. Tsinghua Univ.); non-English</t>
  </si>
  <si>
    <t>Power equipment perception; power industry</t>
  </si>
  <si>
    <t>Chinese journal (Bridge Construction); non-English</t>
  </si>
  <si>
    <t>Bridge thermal response bibliometric; DT recent trend only</t>
  </si>
  <si>
    <t>Electrical equipment electrothermal DT; power</t>
  </si>
  <si>
    <t>AI-in-construction review; DT one of six techs</t>
  </si>
  <si>
    <t>An association rule mining model for the application of construction t…</t>
  </si>
  <si>
    <t>Digital twin and AI-driven smart adaptive walls for energy, comfort an…</t>
  </si>
  <si>
    <t>Enhancing attack resilience of cyber-physical systems through state de…</t>
  </si>
  <si>
    <t>IoT-Driven Resilience Monitoring: Case Study of a Cyber-Physical Syste…</t>
  </si>
  <si>
    <t>Virtual Fencing for Safety-Critical Cyber-Physical Systems: Computer-V…</t>
  </si>
  <si>
    <t>Lessons Learned from the Real-World Deployment of Multisensor Fusion f…</t>
  </si>
  <si>
    <t>TOWARDS NEXT GENERATION CYBER-PHYSICAL SYSTEMS AND DIGITAL TWINS FOR C…</t>
  </si>
  <si>
    <t>A methodological approach to hybrid AI systems for real-time infrastru…</t>
  </si>
  <si>
    <t>Neural network-based metamodel for scaffolding behavior: Application f…</t>
  </si>
  <si>
    <t>Enhancing resilience through environmental data integration in early c…</t>
  </si>
  <si>
    <t>Automation levels for nuclear reactor operations: A revised perspectiv…</t>
  </si>
  <si>
    <t>BIM-GIS integrated hydrodynamic modeling for road flood risk assessmen…</t>
  </si>
  <si>
    <t>Digital-Twin-Based Fire Safety Management Framework for Smart Building…</t>
  </si>
  <si>
    <t>GUIDE2FR: A smart monitoring platform with a digital twin of a firefig…</t>
  </si>
  <si>
    <t>Practical Application of Digital Twins for Transportation Asset Data M…</t>
  </si>
  <si>
    <t>State regulation of the IoT in the Russian Federation: Fundamentals an…</t>
  </si>
  <si>
    <t>The Role of Artificial Intelligence in Shaping Intelligent Motorways: …</t>
  </si>
  <si>
    <t>FingerCI: Writing industrial process specifications from network traff…</t>
  </si>
  <si>
    <t>Seeking a Definition of Digital Twins for Construction and Infrastruct…</t>
  </si>
  <si>
    <t>Proposal of a conceptual model of digital twins for construction sites</t>
  </si>
  <si>
    <t>Serverless 3D Reconstruction and Spatial Anchoring for Cloud-Native In…</t>
  </si>
  <si>
    <t>Integration of Railway Bridge Structural Health Monitoring into the In…</t>
  </si>
  <si>
    <t>Methodological framework for integrating structural health monitoring …</t>
  </si>
  <si>
    <t>Driving Factors for the Adoption of Digital Twin Technology Implementa…</t>
  </si>
  <si>
    <t>Excavator 3D pose estimation using deep learning and hybrid datasets</t>
  </si>
  <si>
    <t>Integrating Web-Based Weather Data into Building Information Modeling …</t>
  </si>
  <si>
    <t>Circular economy in construction: The digital transformation perspecti…</t>
  </si>
  <si>
    <t>Intelligent technologies for tunnel construction and maintenance: A st…</t>
  </si>
  <si>
    <t>Improving Organizational and Engineering Reliability during Dismantlin…</t>
  </si>
  <si>
    <t>The Process of Digitalization of the Urban Environment for the Develop…</t>
  </si>
  <si>
    <t>Construction and application of digital twin system for coal ports</t>
  </si>
  <si>
    <t>Incorporation of pre-existing longitudinal cracks in finite element an…</t>
  </si>
  <si>
    <t>The evolution of BIM work standards: current, best, and future practic…</t>
  </si>
  <si>
    <t>Railway condition information modelling in a BIM framework for mainten…</t>
  </si>
  <si>
    <t>Digital Twin conceptual framework for improving critical infrastructur…</t>
  </si>
  <si>
    <t>From BIM to Web3: A critical interpretive synthesis of present and eme…</t>
  </si>
  <si>
    <t>Affective computing in smart city spaces: Research on emotion recognit…</t>
  </si>
  <si>
    <t>TunnelSDF-FilterNet: A Domain-Aware Neural Framework for High-Fidelity…</t>
  </si>
  <si>
    <t>Methodology for 3D Management of University Faculties Using Integrated…</t>
  </si>
  <si>
    <t>Integration of BIM Tools for the Facility Management of Railway Bridge…</t>
  </si>
  <si>
    <t>Climate Change Impacts on Reinforced Concrete Structures: A Bibliometr…</t>
  </si>
  <si>
    <t>AI based surrogate model for digital twins in structural health monito…</t>
  </si>
  <si>
    <t>Integration of Emerging Technologies with Construction Practices in Au…</t>
  </si>
  <si>
    <t>Digital twinning of building construction processes. Case study: A rei…</t>
  </si>
  <si>
    <t>Risk Mitigation of a Heritage Bridge Using Noninvasive Sensors</t>
  </si>
  <si>
    <t>Autonomous dimensional inspection and issue tracking of rebar using se…</t>
  </si>
  <si>
    <t>A transformer-based surrogate modeling strategy for tunnel digital twi…</t>
  </si>
  <si>
    <t>Digital twin-based experimental method for construction loads of adjac…</t>
  </si>
  <si>
    <t>Digital Twin-Based and Knowledge Graph-Enhanced Emergency Response in …</t>
  </si>
  <si>
    <t>Digital Twin-Enabled Robust Parallel Control of Construction Engineeri…</t>
  </si>
  <si>
    <t>Construction and application of Digital Twin model of pipeline</t>
  </si>
  <si>
    <t>Monitoring Construction and System Development of Bridge Horizontal Ro…</t>
  </si>
  <si>
    <t>Multi-Modal Excavator Activity Recognition Using Two-Stream CNN-LSTM w…</t>
  </si>
  <si>
    <t>Guidance for Materials 4.0 to interact with a digital twin</t>
  </si>
  <si>
    <t>On-Site Safety Inspections Through Marker-Less Augmented Reality and B…</t>
  </si>
  <si>
    <t>Intelligent Transportation Systems Using Roadside Infrastructure: A Li…</t>
  </si>
  <si>
    <t>The role of the foundation flexibility on the seismic response of a mo…</t>
  </si>
  <si>
    <t>For how large soil shear wave velocity the soil-structure interaction …</t>
  </si>
  <si>
    <t>Online traffic load identification of high-speed railway bridge using …</t>
  </si>
  <si>
    <t>Digital Twin System of Bridges Group Based on Machine Vision Fusion Mo…</t>
  </si>
  <si>
    <t>Assessing the Suitability of Damage Indexes for Digital Twin Applicati…</t>
  </si>
  <si>
    <t>The role of the marine research infrastructures in the European marine…</t>
  </si>
  <si>
    <t>Enhancing Operational Resilience of Critical Infrastructure Processes …</t>
  </si>
  <si>
    <t>Interconnected digital twins of subway stations for decision support s…</t>
  </si>
  <si>
    <t>Structural Analysis of Construction Risk Management Assessment Model B…</t>
  </si>
  <si>
    <t>Real-time bridge disaster management: Enabling technology and applicat…</t>
  </si>
  <si>
    <t>Integrating LLMs and Digital Twins for Adaptive Multi-Robot Task Alloc…</t>
  </si>
  <si>
    <t>Application Benefit Analysis of Digital Twin Technology in Tunnel Cons…</t>
  </si>
  <si>
    <t>Smart building evacuation by tracking multi-camera network and explain…</t>
  </si>
  <si>
    <t>Digital twin system construction method for evaluating load carrying c…</t>
  </si>
  <si>
    <t>Stakeholder-informed renovation digital twin for multi-domain monitori…</t>
  </si>
  <si>
    <t>Digital twin-driven on-line monitoring method of metal selective laser…</t>
  </si>
  <si>
    <t>Digital Twins for Construction Assets Using BIM Standard Specification…</t>
  </si>
  <si>
    <t>Predictive digital monitoring of construction resources: an integrated…</t>
  </si>
  <si>
    <t>Exploring Data for Construction Digital Twins: Building Health and Saf…</t>
  </si>
  <si>
    <t>Seismic Failure Mechanism Shift in RC Buildings Revealed by NDT-Suppor…</t>
  </si>
  <si>
    <t>Intervention and management of construction workers' unsafe behavior: …</t>
  </si>
  <si>
    <t>A scientometric analysis of drone-based structural health monitoring a…</t>
  </si>
  <si>
    <t>Development of a BIM and IoT-Based Smart Lighting Maintenance System P…</t>
  </si>
  <si>
    <t>Machine learning for design and analysis of steel frame halls</t>
  </si>
  <si>
    <t>Maschinelles Lernen beim Entwurf und der Bemessung von Stahlrahmenhall…</t>
  </si>
  <si>
    <t>Preliminary architecture design for human-in-the-loop control of robot…</t>
  </si>
  <si>
    <t>Digital twins in bridge engineering for streamlined maintenance and en…</t>
  </si>
  <si>
    <t>Resilient ventilation network construction in complex underground mini…</t>
  </si>
  <si>
    <t>Digital twin-based vibration displacement sensing and recognition tech…</t>
  </si>
  <si>
    <t>Cooperative Localization in Transportation 5.0</t>
  </si>
  <si>
    <t>Bridge Digital Twin for Practical Bridge Operation and Maintenance by …</t>
  </si>
  <si>
    <t>Virtual and Augmented Reality Use Cases for Fusion Design Engineering</t>
  </si>
  <si>
    <t>Digital twin for smart coal mining workface: Technological frame and c…</t>
  </si>
  <si>
    <t>Construction of Autonomous Collaborative Resource Control System for E…</t>
  </si>
  <si>
    <t>Integrating multi-source data for life-cycle risk assessment of bridge…</t>
  </si>
  <si>
    <t>Federation of non-destructive testing data for bridge asset management</t>
  </si>
  <si>
    <t>Construction of damage-free digital twin of damaged aero-engine blades…</t>
  </si>
  <si>
    <t>The Conventional Construction Scenario and the Emergence of Advance Te…</t>
  </si>
  <si>
    <t>Digital twin driven airflow intelligent control system for the air out…</t>
  </si>
  <si>
    <t>Mixed Reality for Safe and Reliable Human-Robot Collaboration in Timbe…</t>
  </si>
  <si>
    <t>Protecting critical infrastructure against cascading effects: The PREC…</t>
  </si>
  <si>
    <t>Robotic devices for Structural Health Monitoring</t>
  </si>
  <si>
    <t>Data-Driven Condition Assessment and Life Cycle Analysis Methods for D…</t>
  </si>
  <si>
    <t>Dynamic train-bridge compatibility: the reference method as a new form…</t>
  </si>
  <si>
    <t>A Metaverse-Based Teaching Building Evacuation Training System With De…</t>
  </si>
  <si>
    <t>The Challenge of Machine Learning and Artificial Intelligence in the C…</t>
  </si>
  <si>
    <t>AN INTELLIGENT CONSTRUCTION SYSTEM BASED ON DIGITAL TWIN AND FOUNDATIO…</t>
  </si>
  <si>
    <t>Study on the Construction and Application of Digital Twins on High Vol…</t>
  </si>
  <si>
    <t>A methodology for sky-space-ground integrated remote sensing monitorin…</t>
  </si>
  <si>
    <t>Digital twin-enabled cooperative autonomous truck platooning framework…</t>
  </si>
  <si>
    <t>Exploring the Impact of Construction 4.0 on Industrial Relations: A Co…</t>
  </si>
  <si>
    <t>Participatory Sensing and Digital Twin City: Updating Virtual City Mod…</t>
  </si>
  <si>
    <t>Construction Path of Shanghai Oriental Hub Municipal Pipeline Full Cyc…</t>
  </si>
  <si>
    <t>Enhancing worker monitoring and management on large-scale construction…</t>
  </si>
  <si>
    <t>Digital twin-driven pose estimation and trajectory prediction for modu…</t>
  </si>
  <si>
    <t>A Method for Building a Mixed-Reality Digital Twin of a Roadheader Mon…</t>
  </si>
  <si>
    <t>A TOOL-BASED SYSTEM ARCHITECTURE FOR A DIGITAL TWIN: A CASE STUDY IN A…</t>
  </si>
  <si>
    <t>Augmented reality and digital twin system for interaction with constru…</t>
  </si>
  <si>
    <t>ANCHOR-Grid: Authenticating Smart Grid Digital Twins Using Real-World …</t>
  </si>
  <si>
    <t>Navigating the Future: Developing Smart Fairways for Enhanced Maritime…</t>
  </si>
  <si>
    <t>Toward intelligent tunnel construction: The universal discontinuity in…</t>
  </si>
  <si>
    <t>Exploring the Construction of a Composite Risk Prevention and Control …</t>
  </si>
  <si>
    <t>An Integrated Intelligent Approach for Monitoring and Management of a …</t>
  </si>
  <si>
    <t>Digital construction site layout planning and real-time trajectory ana…</t>
  </si>
  <si>
    <t>Advancing Smart Construction Management: A Comprehensive Analysis of D…</t>
  </si>
  <si>
    <t>Construction of Digital Twin System for Cold Chain Logistics Stereo Wa…</t>
  </si>
  <si>
    <t>Multi-dimensional framework for assessing digital twin maturity in con…</t>
  </si>
  <si>
    <t>Construction of a digital twin system for the blended-wing-body underw…</t>
  </si>
  <si>
    <t>Design verification and in-service performance evaluation model for hi…</t>
  </si>
  <si>
    <t>An intelligent BIM-enabled digital twin framework for real-time struct…</t>
  </si>
  <si>
    <t>Research on an intelligent monitoring system for the entire tunnel con…</t>
  </si>
  <si>
    <t>Parametric modeling and safety simulation of pit excavation affecting …</t>
  </si>
  <si>
    <t>Research and design of intelligent mine ventilation construction archi…</t>
  </si>
  <si>
    <t>Smart Monitoring System of Bridge Erecting Machine Operation Status In…</t>
  </si>
  <si>
    <t>A REVIEW OF DRIVERS AND BARRIERS OF DIGITAL TWIN ADOPTION IN BUILDING …</t>
  </si>
  <si>
    <t>Investigating the Applicability of Industry 4.0 Technologies in Road C…</t>
  </si>
  <si>
    <t>Building digital-twin virtual machining for milling chatter detection …</t>
  </si>
  <si>
    <t>Dynamic Cost Control of Construction Engineering Projects Using Multi-…</t>
  </si>
  <si>
    <t>Underpass clearance checking in highway widening projects using digita…</t>
  </si>
  <si>
    <t>Monitoring System for the Construction of Arch Cover Method Subway Sta…</t>
  </si>
  <si>
    <t>Building facility virtual inspection system design and implementation …</t>
  </si>
  <si>
    <t>Application of the multimodal model for predicting rock mechanical par…</t>
  </si>
  <si>
    <t>Intelligent control of building fire protection system using digital t…</t>
  </si>
  <si>
    <t>Digital twin driven intelligent assessment method for structural safet…</t>
  </si>
  <si>
    <t>Digital twin: Stability analysis for tower crane hoisting safety with …</t>
  </si>
  <si>
    <t>Early-warning of unsafe hoisting operations: An integration of digital…</t>
  </si>
  <si>
    <t>Enhancing Autonomous Vehicle Localization Through Cooperative LiDAR an…</t>
  </si>
  <si>
    <t>Intelligent Transition of Automotive Industry Driven by Autonomous Dri…</t>
  </si>
  <si>
    <t>Automated quantification of construction workers' exposure to falling …</t>
  </si>
  <si>
    <t>Knowledge graph exploitation to enhance the usability of risk assessme…</t>
  </si>
  <si>
    <t>The influence of information from digital buildings on fire service op…</t>
  </si>
  <si>
    <t>Mathematical Framework for Airport as Cognitive Digital Twin of Aviati…</t>
  </si>
  <si>
    <t>Constructing a Reliable Health Indicator for Bearings Using Convolutio…</t>
  </si>
  <si>
    <t>The overlooked frontier of AI in construction: conversational, documen…</t>
  </si>
  <si>
    <t>Station biophilia–assessing the perception of greenery on railway plat…</t>
  </si>
  <si>
    <t>AI-based risk assessment for construction site disaster preparedness t…</t>
  </si>
  <si>
    <t>Analyzing Safety Risk Imposed by Jobsite Debris to Nearby Built Enviro…</t>
  </si>
  <si>
    <t>Digital Twin-Enabled Incident Detection and Response: A Systematic Rev…</t>
  </si>
  <si>
    <t>Intelligent digital methods for extending the service life of the Nibe…</t>
  </si>
  <si>
    <t>Effective Underground Facilities Management in Virtual Reality by Appl…</t>
  </si>
  <si>
    <t>Generation and Verification of CFD-based ROM for Real-Time Thermal Flo…</t>
  </si>
  <si>
    <t>Reinforcement learning for control and optimization of real buildings:…</t>
  </si>
  <si>
    <t>A Digital Twin Framework Utilizing Machine Learning for Robust Predict…</t>
  </si>
  <si>
    <t>ADVANCING CIVIL INFRASTRUCTURE WITH DIGITAL TWINS: A REVIEW OF APPLICA…</t>
  </si>
  <si>
    <t>Digital Twin for Safety and Security: Perspectives on Building Lifecyc…</t>
  </si>
  <si>
    <t>Automation of shape quality control for precast concrete members using…</t>
  </si>
  <si>
    <t>Constructing a digital twin for estimating the response and load of a …</t>
  </si>
  <si>
    <t>Active gravity-aligned reference Axis for high-precision verticality a…</t>
  </si>
  <si>
    <t>Spatio-temporal heat risk analysis in construction: Digital twin-enabl…</t>
  </si>
  <si>
    <t>Advanced fire emergency management based on potential fire risk assess…</t>
  </si>
  <si>
    <t>Digital twin for natural gas infrastructure operation and management v…</t>
  </si>
  <si>
    <t>Digital twin of a building as the basis for the application of nanotec…</t>
  </si>
  <si>
    <t>Detection of Defects in Polyethylene and Polyamide Flat Panels Using A…</t>
  </si>
  <si>
    <t>A PLS-SEM based framework for enabling digital twin systems for real-t…</t>
  </si>
  <si>
    <t>A Study on the Prioritization and Combination Strategies of Smart Safe…</t>
  </si>
  <si>
    <t>State-of-Art review of resilience of bridges and bridge networks</t>
  </si>
  <si>
    <t>Automatic Object Detection in Radargrams of Multi-Antenna GPR Systems …</t>
  </si>
  <si>
    <t>Building a Lightweight Digital Twin of a Crane Boom for Structural Saf…</t>
  </si>
  <si>
    <t>Reconstruction of the road bridge on Monte Cassino Avenue in Koszalin</t>
  </si>
  <si>
    <t>Post-Earthquake Building Evaluation Using UAVs: A BIM-Based Digital Tw…</t>
  </si>
  <si>
    <t>Intelligent Monitoring Platform and Application for Building Energy Us…</t>
  </si>
  <si>
    <t>Applications of artificial intelligence in the AEC industry: a review …</t>
  </si>
  <si>
    <t>Automated generation and semantic segmentation of roof orthophoto for …</t>
  </si>
  <si>
    <t>Rapid integration strategy for oblique photogrammetry terrain and high…</t>
  </si>
  <si>
    <t>3D laser point cloud-based geometric digital twin for condition assess…</t>
  </si>
  <si>
    <t>Research on the Construction of a Digital Twin Model for a 3D Measurem…</t>
  </si>
  <si>
    <t>Digital twin-driven virtual sensor approach for safe construction oper…</t>
  </si>
  <si>
    <t>A Multi-Sensor Fusion Approach Combined with RandLA-Net for Large-Scal…</t>
  </si>
  <si>
    <t>Construction and application of CMF design service model for industria…</t>
  </si>
  <si>
    <t>Key Technologies for Health Management and Intelligent Operation and M…</t>
  </si>
  <si>
    <t>A lightweight and attention-enhanced framework for robust pavement def…</t>
  </si>
  <si>
    <t>Teaching robots to perform quasi-repetitive construction tasks through…</t>
  </si>
  <si>
    <t>Framework for Operational Resilience Management of Critical Infrastruc…</t>
  </si>
  <si>
    <t>Review on the Non-Destructive Test (NDT) Approaches on Concrete Crack …</t>
  </si>
  <si>
    <t>A deep feature fusion network based on multi-scale kernel construction…</t>
  </si>
  <si>
    <t>Creation and application of a geometric digital twin model for constru…</t>
  </si>
  <si>
    <t>Digital twin-enabled safety monitoring system for seamless worker-robo…</t>
  </si>
  <si>
    <t>Developing WSN/BIM-Based Environmental Monitoring Management System fo…</t>
  </si>
  <si>
    <t>Human-Robot collaboration in construction: Robot design, perception an…</t>
  </si>
  <si>
    <t>Multi-scale evolution mechanism and knowledge construction of a digita…</t>
  </si>
  <si>
    <t>Supply chain management for modular construction using building inform…</t>
  </si>
  <si>
    <t>Portal-Frame Piers to Spare Space for Two Piers of Jingkou Double-Trac…</t>
  </si>
  <si>
    <t>A digital twin-based framework for simulation and monitoring analysis …</t>
  </si>
  <si>
    <t>Immersive Technologies-Driven Building Information Modeling (BIM) in t…</t>
  </si>
  <si>
    <t>Digital Twin‐Based Risk Control during Prefabricated Building Hoisting…</t>
  </si>
  <si>
    <t>Digital twin-based safety risk coupling of prefabricated building hois…</t>
  </si>
  <si>
    <t>Intelligent tensioning method for prestressed cables based on digital …</t>
  </si>
  <si>
    <t>Digital twin modeling method for construction process of assembled bui…</t>
  </si>
  <si>
    <t>Digital Twins-Based Impact Response Prediction of Prestressed Steel St…</t>
  </si>
  <si>
    <t>A framework for an indoor safety management system based on digital tw…</t>
  </si>
  <si>
    <t>Guidance Method for Earthquake-damaged Building Reinforcement Integrat…</t>
  </si>
  <si>
    <t>Structural safety risk prediction method for terminal building steel r…</t>
  </si>
  <si>
    <t>Intelligent safety control modeling and construction process control o…</t>
  </si>
  <si>
    <t>Research progress and trends of intelligent technology construction in…</t>
  </si>
  <si>
    <t>Intelligent Analysis Method for Prestressed Steel Structure Constructi…</t>
  </si>
  <si>
    <t>Electrical Safety Enhanced With BIM, SCADA and Digital Twin Integratio…</t>
  </si>
  <si>
    <t>Developing an integrative framework for digital twin applications in t…</t>
  </si>
  <si>
    <t>Automatic Calibration of Structural Damage in Building Information Mod…</t>
  </si>
  <si>
    <t>Structural Health Assessment of a Reinforced Concrete Building in Valp…</t>
  </si>
  <si>
    <t>An open-source GIS app for digitalising bridge inspections and automat…</t>
  </si>
  <si>
    <t>Community Twin Ecosystem for Disaster Resilient Communities</t>
  </si>
  <si>
    <t>Applications and challenges of digital twin in intelligent constructio…</t>
  </si>
  <si>
    <t>Automating digitalization of engineered slopes to support interactive …</t>
  </si>
  <si>
    <t>Digital twins for secure thermal energy storage in building</t>
  </si>
  <si>
    <t>Digital Transformation in Early-Stage MEP Coordination: A Serious Gami…</t>
  </si>
  <si>
    <t>Tunnel performance prediction through degradation inspection and digit…</t>
  </si>
  <si>
    <t>Automated procedural modeling for tunnel inspection and digital twin d…</t>
  </si>
  <si>
    <t>Assessing the impact of Modbus/TCP protocol attacks on critical infras…</t>
  </si>
  <si>
    <t>The Internet of Things for Smart Roads: A Road Map From Present to Fut…</t>
  </si>
  <si>
    <t>A Systematic Survey of Digital Twin Applications: Transferring Knowled…</t>
  </si>
  <si>
    <t>BIM-Driven Safety: Automated Rule-Based Multihazard Detection and Lega…</t>
  </si>
  <si>
    <t>Roads Infrastructure Digital Twin: Advancing Situational Awareness Thr…</t>
  </si>
  <si>
    <t>Integrating Advanced Technologies for Environmental Valuation in Legac…</t>
  </si>
  <si>
    <t>A Hybrid Methodology to Assess Cyber Resilience of IoT in Energy Manag…</t>
  </si>
  <si>
    <t>Reliability Analysis of Micropile-Supported Deep Excavations Using Mul…</t>
  </si>
  <si>
    <t>Toward cognitive digital twins using a BIM-GIS asset management system…</t>
  </si>
  <si>
    <t>Organising digital twin in the built environment: a systematic review …</t>
  </si>
  <si>
    <t>Digital Twin Modelling Approach and Optimization Analysis for Safety i…</t>
  </si>
  <si>
    <t>SMAC-based cooperative hyperparameter optimization for occupational ri…</t>
  </si>
  <si>
    <t>Safety monitoring digital twin-based centralized model consolidation m…</t>
  </si>
  <si>
    <t>Environmental impacts of standard building renovations: City-level ext…</t>
  </si>
  <si>
    <t>Image-based acquisition and digital documentation of geometry and cond…</t>
  </si>
  <si>
    <t>A Comprehensive Framework for Integrating Extended Reality into Lifecy…</t>
  </si>
  <si>
    <t>When BIM Meets MBSE: Building a Semantic Bridge for Infrastructure Dat…</t>
  </si>
  <si>
    <t>Data-Driven Piecewise Bivariate Regression for Best-Estimate Natural P…</t>
  </si>
  <si>
    <t>Digital twin non-fungible token (DT-NFT): Enabling data ownership in t…</t>
  </si>
  <si>
    <t>Machine learning enhancement of manoeuvring prediction for ship Digita…</t>
  </si>
  <si>
    <t>Construction defects, envelope degradation and lifecycle carbon implic…</t>
  </si>
  <si>
    <t>Optimising the construction process through digitalisation: Case studi…</t>
  </si>
  <si>
    <t>Use of gaming technology to bring bridge inspection to the office</t>
  </si>
  <si>
    <t>Risk Assessment of Underground Utility Tunnel Projects in Q City Using…</t>
  </si>
  <si>
    <t>Diagnostic Systems and Complexes for Railways</t>
  </si>
  <si>
    <t>Digital twin platform for evaluating thermal bridging effects on aggre…</t>
  </si>
  <si>
    <t>A REVIEW OF THE APPLICATION OF ONTOLOGIES AND SEMANTIC WEB FOR BUILDIN…</t>
  </si>
  <si>
    <t>An Anomaly-Enhanced Digital Twin (AEDT) Model for Intelligent Inspecti…</t>
  </si>
  <si>
    <t>Enriching geometric digital twins of buildings with small objects by f…</t>
  </si>
  <si>
    <t>Unlocking the Potential of Digital Twins in Construction: A Systematic…</t>
  </si>
  <si>
    <t>Design and Implementation of a Smart IoT Based Building and Town Disas…</t>
  </si>
  <si>
    <t>Current Benefits of ASCE 75 and its Potential to Affect Digital As-Bui…</t>
  </si>
  <si>
    <t>Digital Twin development and implementation for the management of irri…</t>
  </si>
  <si>
    <t>ESTIMATING THE SERVICE LIFE OF CONCRETE REINFORCED WITH ADVANCED MATER…</t>
  </si>
  <si>
    <t>BIM and TLS Point Cloud Integration for Information Management of Unde…</t>
  </si>
  <si>
    <t>Designing a BIM-enhanced digital twin architecture for construction po…</t>
  </si>
  <si>
    <t>Optimizing construction site layouts with dynamic multi-objective meth…</t>
  </si>
  <si>
    <t>Risk assessment for modern industry</t>
  </si>
  <si>
    <t>DInSAR–SBAS satellite monitoring of infrastructures: how temperature a…</t>
  </si>
  <si>
    <t>DInSAR-SBAS satellite monitoring of infrastructures: how temperature a…</t>
  </si>
  <si>
    <t>Designing Digital Twin with IoT and AI in Warehouse to Support Optimiz…</t>
  </si>
  <si>
    <t>CONSTRUCTION OF A DIGITAL TWIN MODEL FOR A SYSTEM THAT MONITORS THE TE…</t>
  </si>
  <si>
    <t>Digital Twin Framework for Structural Health Monitoring of Transmissio…</t>
  </si>
  <si>
    <t>LiDAR-Simulated Multimodal and Self-Supervised Contrastive Digital Twi…</t>
  </si>
  <si>
    <t>Study and Design of Dike Engineering Safety Management System Based on…</t>
  </si>
  <si>
    <t>An IFC-based framework for semantic integration of BIM and mobile crow…</t>
  </si>
  <si>
    <t>Digitisation of as-built structures with AI</t>
  </si>
  <si>
    <t>Digital Twin Enabled Automated Pin Defect Detection System for Aviatio…</t>
  </si>
  <si>
    <t>AI for empowering the construction and development of university labor…</t>
  </si>
  <si>
    <t>Designing automated digital safety systems for building health monitor…</t>
  </si>
  <si>
    <t>Physics-informed computational framework for assessing the seismic beh…</t>
  </si>
  <si>
    <t>Internet of Things in construction: trends and adoption insights from …</t>
  </si>
  <si>
    <t>Well Construction Action Planning and Automation through Finite-Horizo…</t>
  </si>
  <si>
    <t>Digital Twins for Real-Time Scenario Analysis during Well Construction…</t>
  </si>
  <si>
    <t>Intelligent Action Planning for Well Construction Operations Demonstra…</t>
  </si>
  <si>
    <t>Digital Twins for Construction Projects—Developing a Risk Systematizat…</t>
  </si>
  <si>
    <t>Exploring the Adoption of Construction Technologies in Infrastructure …</t>
  </si>
  <si>
    <t>Investigating the Correlation and Synergy of Artificial Intelligence T…</t>
  </si>
  <si>
    <t>Stack-AttenLSTM: A surrogate deep learning model for sequential earthq…</t>
  </si>
  <si>
    <t>Defect-oriented supportive bridge inspection system featuring building…</t>
  </si>
  <si>
    <t>ITA − AITES tunnelling information modelling − A BIM approach for a su…</t>
  </si>
  <si>
    <t>ITA - AITES tunnelling information modelling - A BIM approach for a su…</t>
  </si>
  <si>
    <t>Structural Information Modeling</t>
  </si>
  <si>
    <t>Structural Information Modeling - the digital transformation of buildi…</t>
  </si>
  <si>
    <t>A BIM-Based Digital Twin Framework for Urban Roads: Integrating MMS an…</t>
  </si>
  <si>
    <t>Mapping the Evolution of 4D BIM in Construction Digitalisation: A Scie…</t>
  </si>
  <si>
    <t>Analyzing Research Trends in Smart Construction Safety: A Topic Modeli…</t>
  </si>
  <si>
    <t>Metrics development and modelling the mixed reality and digital twin a…</t>
  </si>
  <si>
    <t>BIM and Digital Twin for Developing Convergence Technologies as Future…</t>
  </si>
  <si>
    <t>Intelligent overall planning model of underground space based on digit…</t>
  </si>
  <si>
    <t>Digital Twin-Driven Stability Optimization Framework for Large Undergr…</t>
  </si>
  <si>
    <t>When Roads Go Underwater: AI-Enhanced Digital Twin-Driven Flood Resili…</t>
  </si>
  <si>
    <t>Reverse digital twin mapping of building envelope anomalies based on U…</t>
  </si>
  <si>
    <t>Developing a Comprehensive Diagnostics Technology for the Technical Co…</t>
  </si>
  <si>
    <t>The Research on the Construction Method of a Slope Digital Twin Model …</t>
  </si>
  <si>
    <t>Twinning simulation and model test for construction error assessment o…</t>
  </si>
  <si>
    <t>Leveraging emerging technologies to address the crisis of aging concre…</t>
  </si>
  <si>
    <t>A New Benchmark Model for the Automated Detection and Classification o…</t>
  </si>
  <si>
    <t>AI-assisted fibre optic sensing frameworks for automated monitoring of…</t>
  </si>
  <si>
    <t>Building a Cad-Native Digital Twin for Ndt and Plm: Workflow, Tools, a…</t>
  </si>
  <si>
    <t>Simultaneous Digital Twin: Chaining Climbing-Robot, Defect Segmentatio…</t>
  </si>
  <si>
    <t>Digital twin-assisted fault diagnosis system for robot joints with ins…</t>
  </si>
  <si>
    <t>Agentic system for construction safety risk assessments using large la…</t>
  </si>
  <si>
    <t>Automatic creation of personalised virtual construction safety trainin…</t>
  </si>
  <si>
    <t>Track Geometry Prediction Using Three-Dimensional Recurrent Neural Net…</t>
  </si>
  <si>
    <t>Enhancing Urban Heatwave Response Planning via a Graph-Based Digital T…</t>
  </si>
  <si>
    <t>Selected implications of a hyper-connected world on pavement engineeri…</t>
  </si>
  <si>
    <t>Development of a digital twin-driven bridge construction safety monito…</t>
  </si>
  <si>
    <t>Near Real-Time 3D Reconstruction of Construction Sites Based on Survei…</t>
  </si>
  <si>
    <t>Research on the construction of civil airport safety management system…</t>
  </si>
  <si>
    <t>Digital twin of advanced geological conditions in rock tunnel construc…</t>
  </si>
  <si>
    <t>An Enhanced Digital Twin-Driven Fault Diagnosis Approach Based on Deep…</t>
  </si>
  <si>
    <t>Intelligent Risk Prognosis and Control of Foundation Pit Excavation Ba…</t>
  </si>
  <si>
    <t>Data and Knowledge-Driven Bridge Digital Twin Modeling for Smart Opera…</t>
  </si>
  <si>
    <t>Human-in-the-Loop Digital Twin Modeling for Smart Civil Infrastructure…</t>
  </si>
  <si>
    <t>Data-driven progress prediction in construction: a multi-project portf…</t>
  </si>
  <si>
    <t>Sensor Acquisition and Allocation for Real-Time Monitoring of Articula…</t>
  </si>
  <si>
    <t>Artificial Intelligence-Powered Digital Twins for Sustainable and Resi…</t>
  </si>
  <si>
    <t>Review of Construction Automation and Robotics Practices in Indonesian…</t>
  </si>
  <si>
    <t>Integration and linking of inspection data in digital bridge models</t>
  </si>
  <si>
    <t>Relationship between Subcontracting Models and Adoption of Innovative …</t>
  </si>
  <si>
    <t>Defect Trigger Identification in a Construction Digital Twin Using Qua…</t>
  </si>
  <si>
    <t>Big data in the processes of ensuring the security of critical informa…</t>
  </si>
  <si>
    <t>Overall introduction to the framework of BIM-based digital twinning in…</t>
  </si>
  <si>
    <t>Building Digital Twins to Overcome Digitalization Barriers for Automat…</t>
  </si>
  <si>
    <t>A digital twin framework for civil engineering structures</t>
  </si>
  <si>
    <t>Physical digital twins for ancient stone masonry informed of original …</t>
  </si>
  <si>
    <t>Spatial Insights for Building Resilience: The Territorial Risk Managem…</t>
  </si>
  <si>
    <t>A scoping review of green Internet of Things in construction and smart…</t>
  </si>
  <si>
    <t>A framework to define, design and construct digital twins in the minin…</t>
  </si>
  <si>
    <t>Autonomy is not enough: why agentic AI in the built environment demand…</t>
  </si>
  <si>
    <t>Yara: An Ocean Virtual Environment for Research and Development of Aut…</t>
  </si>
  <si>
    <t>A Digital Twin-Driven System for Road Maintenance: Integrating UAVs an…</t>
  </si>
  <si>
    <t>Disaster Risk Assessment and Analysis of Physical Infrastructure: A Co…</t>
  </si>
  <si>
    <t>Key technology and engineering practice of intelligent rapid heading i…</t>
  </si>
  <si>
    <t>Development and validation of graphics-based digital twin framework fo…</t>
  </si>
  <si>
    <t>Mixed reality and machine learning-guided cable robot framework (MMCR)…</t>
  </si>
  <si>
    <t>Reference-free ego-motion compensation for vision-based measurement of…</t>
  </si>
  <si>
    <t>AI and Digital Twin for Consumer Electronics in Smart Cities</t>
  </si>
  <si>
    <t>Interactive and Immersive Process-Level Digital Twin for Collaborative…</t>
  </si>
  <si>
    <t>A digital twin integrated smart-liner for visualization monitoring of …</t>
  </si>
  <si>
    <t>Enabling Building Information Model-driven human-robot collaborative c…</t>
  </si>
  <si>
    <t>Detailed transient modeling and FPGA-based real-time digital-twin deve…</t>
  </si>
  <si>
    <t>Construction of digital twin and parallel intelligent control method f…</t>
  </si>
  <si>
    <t>Augmenting progress monitoring in soil-foundation construction utilizi…</t>
  </si>
  <si>
    <t>Design and System Development of Knowledge Graph and Process Planning …</t>
  </si>
  <si>
    <t>Research on the intelligent construction of prefabricated building bas…</t>
  </si>
  <si>
    <t>Research on Management Efficiency and Public Participation in Smart Ci…</t>
  </si>
  <si>
    <t>Using Eye-Tracking to Measure Worker Situation Awareness in Augmented …</t>
  </si>
  <si>
    <t>Real-time mixed reality-based visual warning for construction workforc…</t>
  </si>
  <si>
    <t>Knowledge-data driven digital twin platform: intelligent prediction an…</t>
  </si>
  <si>
    <t>Multisource information fusion for real-time prediction and multiobjec…</t>
  </si>
  <si>
    <t>A Novel Method for Tunnel Digital Twin Construction and Virtual-Real F…</t>
  </si>
  <si>
    <t>Research on Digital Twin Construction and Safety Management Applicatio…</t>
  </si>
  <si>
    <t>Real-time digital twin of autonomous ships based on virtual-physical m…</t>
  </si>
  <si>
    <t>Auto-constructed PID-based search algorithm for ship parameter identif…</t>
  </si>
  <si>
    <t>CommandFence: A Novel Digital-Twin-Based Preventive Framework for Secu…</t>
  </si>
  <si>
    <t>3D City Modeling on Infrastructure Construction Using Digital Twin</t>
  </si>
  <si>
    <t>AIoT-powered building digital twin for smart firefighting and super re…</t>
  </si>
  <si>
    <t>Research on the construction of 5G fully connected mining digital twin…</t>
  </si>
  <si>
    <t>Edge-cloud collaborative digital twin for vibration anomaly detection …</t>
  </si>
  <si>
    <t>Digital twin system for deepwater well construction: Enhancing operati…</t>
  </si>
  <si>
    <t>A digital twin framework for construction and operation of the radio a…</t>
  </si>
  <si>
    <t>Ensuring construction material provenance using Internet of Things and…</t>
  </si>
  <si>
    <t>Developing a digital twin model for monitoring building structural hea…</t>
  </si>
  <si>
    <t>Status and prospects of synergistic development between smart city inf…</t>
  </si>
  <si>
    <t>Geological Perception and Digital Twin of Rock and Machine for TBM Tun…</t>
  </si>
  <si>
    <t>Improvement of Construction Machinery Development Process by Digital T…</t>
  </si>
  <si>
    <t>Real-Time Digital Twin-Driven 3D Near-Miss Detection System at Constru…</t>
  </si>
  <si>
    <t>Digital twin-enabled 3D near-misses prediction method based on traject…</t>
  </si>
  <si>
    <t>A Big Data-driven Digital Twin Model Method for Building a Shop Floor</t>
  </si>
  <si>
    <t>Digital twin-based framework for multi-objective optimization of shiel…</t>
  </si>
  <si>
    <t>CAVTest: A Closed Connected and Automated Vehicles Test Field of Chang…</t>
  </si>
  <si>
    <t>Construction of digital twin model of lithium-ion battery for intellig…</t>
  </si>
  <si>
    <t>Design and Validation of a Real-Time Maintenance Monitoring System Usi…</t>
  </si>
  <si>
    <t>Current situation and development trend of intelligent unmanned autono…</t>
  </si>
  <si>
    <t>Related Literature Review 5D Model for Project and Operation/Maintenan…</t>
  </si>
  <si>
    <t>Metaverse for the Energy Industry: Technologies, Applications, and Sol…</t>
  </si>
  <si>
    <t>A digital twin approach for tunnel construction safety early warning a…</t>
  </si>
  <si>
    <t>Deep Tabular and Sequential Models for Robust SCADA Cybersecurity Usin…</t>
  </si>
  <si>
    <t>Topology guided fourier neural operator with decoupled geometric param…</t>
  </si>
  <si>
    <t>Earthwork digital twin for teleoperation of an automated bulldozer in …</t>
  </si>
  <si>
    <t>Intelligent Analysis of Construction Safety of Large Underground Space…</t>
  </si>
  <si>
    <t>Application of BIM technologies based on parametric modeling in the mi…</t>
  </si>
  <si>
    <t>Exploration and practice of the digital twin construction for producti…</t>
  </si>
  <si>
    <t>A dynamic digital twin-based health monitoring method for steel struct…</t>
  </si>
  <si>
    <t>Quantitative prediction method for safety of old building structures b…</t>
  </si>
  <si>
    <t>Digital twin modeling and performance inversion of modular fully assem…</t>
  </si>
  <si>
    <t>Joint detection PCD-based method for automatic construction of geometr…</t>
  </si>
  <si>
    <t>Three-Dimensional Stratigraphic Structure and Property Collaborative M…</t>
  </si>
  <si>
    <t>Digital Safety Navigation for Tower Crane Climbing Process from a Syst…</t>
  </si>
  <si>
    <t>Technology and implementation of safety monitoring system for power gr…</t>
  </si>
  <si>
    <t>Construction technology of prefabricated concrete frame with steel con…</t>
  </si>
  <si>
    <t>AI-empowered digital twin modeling for high-precision building defect …</t>
  </si>
  <si>
    <t>Digital Twins for Construction Sites: Concepts, LoD Definition, and Ap…</t>
  </si>
  <si>
    <t>Advanced informatic technologies for intelligent construction: A revie…</t>
  </si>
  <si>
    <t>Digital twin-enabled synchronous jacking control of an aerial building…</t>
  </si>
  <si>
    <t>Research on the Digital Twin System for Rotation Construction Monitori…</t>
  </si>
  <si>
    <t>A Fixed-Budget Study of Real–Synthetic Data Mixing for PPE Detection i…</t>
  </si>
  <si>
    <t>A Fixed-Budget Study of Real-Synthetic Data Mixing for PPE Detection i…</t>
  </si>
  <si>
    <t>From instance segmentation to physical quantification: High-resolution…</t>
  </si>
  <si>
    <t>Predictive diagnosis of hidden risk for urban lifeline infrastructures…</t>
  </si>
  <si>
    <t>A single-spindle monitoring system and its application for intelligent…</t>
  </si>
  <si>
    <t>Digital Twin Evaluation of Environment and Health of Public Toilet Ven…</t>
  </si>
  <si>
    <t>Digital twin-enabled anti-collision system for smart construction site…</t>
  </si>
  <si>
    <t>Digital twin-enabled simulation system for NATM tunnel construction pr…</t>
  </si>
  <si>
    <t>Automatic response prediction in a digital twin framework for regional…</t>
  </si>
  <si>
    <t>Simulation method of shield-machine empty push through station based o…</t>
  </si>
  <si>
    <t>An Established Theory of Digital Twin Model for Tunnel Construction Sa…</t>
  </si>
  <si>
    <t>Research on the Construction of Multimodal Large Models and Self-super…</t>
  </si>
  <si>
    <t>Digital Twin-Based Investigation of a Building Collapse Accident</t>
  </si>
  <si>
    <t>Research on Key Common Technologies in Intelligent Construction of Lon…</t>
  </si>
  <si>
    <t>The Modelling of Digital Twins Technology in the Construction Process …</t>
  </si>
  <si>
    <t>Intelligent Prediction of Prestressed Steel Structure Construction Saf…</t>
  </si>
  <si>
    <t>A knowledge foundation and prospect review on thermal response of brid…</t>
  </si>
  <si>
    <t>Enhancing dam safety evaluation using dam digital twins</t>
  </si>
  <si>
    <t>Fast electrothermal coupling calculation method for supporting digital…</t>
  </si>
  <si>
    <t>Artificial Intelligence in the Construction Industry: A Comprehensive …</t>
  </si>
  <si>
    <t>Digital Twin Construction Method for Monitoring Operation Status of Bu…</t>
  </si>
  <si>
    <t>Research on Building Process Optimization Framework Based on BIM-DT</t>
  </si>
  <si>
    <t>Multisensory and BIM-Integrated Digital Twin to Improve Urban Excavati…</t>
  </si>
  <si>
    <t>Integration of building information modelling and digital twin in mech…</t>
  </si>
  <si>
    <t>Deep-read: Methodology</t>
    <phoneticPr fontId="11" type="noConversion"/>
  </si>
  <si>
    <t>Deep-read: Strength / research gap filled</t>
  </si>
  <si>
    <t>Deep-read: Deficiencies &amp; future work</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</si>
  <si>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Endnote]</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</si>
  <si>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Endnote]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</si>
  <si>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Endnote]</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</si>
  <si>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Endnote]</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</si>
  <si>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Endnote]</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</si>
  <si>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Endnote]</t>
  </si>
  <si>
    <t>Mixed Reality-based human-robot collaboration for timber frame construction (USM Chile): vision-based collaborative industrial robot system for wood stereotomy; carpenter lays out joinery with conventional marks, robot cuts based on visual interpretation; digital twin of robot previsualizes all motions for task validation and safety (when to enter workspace); real-time visual feedback between human and robot; 3D model of cut shape constructed from vision system data. Bidirectional human-robot collaboration with robot executing physical tasks → Tier 3; no ML learning loop (rule-based mark interpretation). [Full-text source: Endnote]</t>
  </si>
  <si>
    <t>Metaverse-based building evacuation training system with deep reinforcement learning (Monmouth U): sensors (video cameras, smoke detectors) collect real-time crowd distribution and disaster location; cloud servers train a DRL model to find optimal escape paths and dynamically guide evacuees via dynamic guidance signs; experiments in different simulation scenes show superiority over traditional static guidance in saving evacuation time. One-way monitoring→DRL guidance→human evacuees; no actuation and no learning loop (DRL is trained in simulation, not online). [Full-text source: Endnote]</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</si>
  <si>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Endnote]</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</si>
  <si>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Endnote]</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</si>
  <si>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Endnote]</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</si>
  <si>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Endnote]</t>
  </si>
  <si>
    <t>Universal Discontinuity Index (UDi) for probabilistic rock-block failure prediction in tunnels (Pontificia Universidad Catolica de Chile): single probabilistic score fusing physical damage, effective-stress intensity, active-fracture ratio, and kinematic feasibility; embedded in Poisson-regression early-warning model converting index updates to expected block counts; validated via DFN-KBT engine (5300 realizations) at El Teniente mine (R2 = 0.93); millisecond updates for real-time DT workflow. One-way monitoring→prediction→early warning; no actuation and no learning loop (UDi is a static probabilistic index, not self-improving). [Full-text source: Endnote]</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</si>
  <si>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Endnote]</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</si>
  <si>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Endnote]</t>
  </si>
  <si>
    <t>Multi-dimensional framework for assessing construction machinery digital twin (CMDT) maturity (HUST): 24 maturity indicators across five dimensions from literature review + expert interviews; expert-opinion grouping via community detection with competency/quality-weighted groups; improved bi-objective optimization model (adjustable penalty weight balancing PDF overlap vs confidence of collective opinion) aggregates expert judgments into overall CMDT maturity; validated on a real-world DT-driven ACS (automated climbing system) high-rise project whose DT integrates safety sensors (inclinometers, leveling instruments) and operational sensors (oil pressure, laser rangefinders); identifies maturity levels and improvement pathways. Study assesses DT maturity - does not itself build/operate a DT (tier Unclear); no learning loop. [Full-text source: Endnote]</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</si>
  <si>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Endnote]</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</si>
  <si>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Endnote]</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</si>
  <si>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Endnote]</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</si>
  <si>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Endnote]</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</si>
  <si>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Endnote]</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</si>
  <si>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Endnote]</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</si>
  <si>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Endnote]</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</si>
  <si>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Endnote]</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</si>
  <si>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Endnote]</t>
  </si>
  <si>
    <t>Geometric digital twin for condition assessment of large-diameter pipelines (Dalian U/Tongji): laser scanning point clouds → density-based clustering + fitting + region growing algorithm → accurate 3D surface mapping; geometric DT enables quantitative assessment of structural deformation (mean error &lt;1 mm) and blockage defects; validated experimentally vs total station. Static DT for condition assessment — no live data link, no actuation, no learning loop. [Full-text source: Endnote]</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</si>
  <si>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Endnote]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</si>
  <si>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Endnote]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</si>
  <si>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Endnote]</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</si>
  <si>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Endnote]</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</si>
  <si>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Endnote]</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</si>
  <si>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Endnote]</t>
  </si>
  <si>
    <t>Tunnel performance prediction through degradation inspection and digital twin construction (USP): methodology correlates performance loss (tunnel serviceability index TSI) to defects via 2D grid of classified unit cells converted to virtual representation; inspection DT prototype maps zones with greatest degradation; limit analysis with inverse exponential equations estimates intervention times; railway tunnel for ore transport in northern Brazil; target intervention time 16 years. One-way inspection→TSI mapping→intervention prediction; no actuation and no learning loop (stochastic models are statistical, not learning). [Full-text source: Endnote]</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</si>
  <si>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Endnote]</t>
  </si>
  <si>
    <t>SMAC-based cooperative hyperparameter optimization for occupational risk assessment in decentralized federated on-device AI networks (Jeju National U): DFL framework with one-shot cooperative HPO (SMAC) + DT orchestration layer to manage edge nodes and network topologies; local SMAC tuning + performance-weighted aggregation; validated on worker-safety and MNIST datasets with Raspberry Pi testbed; convergence rounds reduced 42→18 (worker safety). One-way monitoring→HPO→risk assessment; no actuation and no learning loop (SMAC is hyperparameter optimization, not online learning). [Full-text source: Endnote]</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</si>
  <si>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Endnote]</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</si>
  <si>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Endnote]</t>
  </si>
  <si>
    <t>Systematic and quantitative review of digital twins in construction using text mining (Indiana State U): investigates impacts and potentials of DTs via literature review + text mining; identifies leading/core technologies and applications; no DT built, evaluated, or methodologically developed - R=No -&gt; Stage-2 exclude. [Full-text source: Endnote]</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</si>
  <si>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Endnote]</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</si>
  <si>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Endnote]</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</si>
  <si>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Endnote]</t>
  </si>
  <si>
    <t>BIM-based DT framework for urban roads (Sapienza/Politecnico di Torino): integrates MMS-derived LiDAR point clouds with municipal GIS layers and authoritative geodatabases; multi-scale workflow (city-wide LoD200 to asset-level LoD400) with IFC 4.3 semantic enrichment; geometric accuracy ±3 cm; integrates 45+ km of urban road network; supports multi-scale visualization, asset management, and predictive maintenance. Static DT — no live data link, no actuation, no learning loop (sensor-integrated updates are future work). [Full-text source: Endnote]</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</si>
  <si>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Endnote]</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</si>
  <si>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Endnote]</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</si>
  <si>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Endnote]</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</si>
  <si>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Endnote]</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</si>
  <si>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Endnote]</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</si>
  <si>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Endnote]</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</si>
  <si>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Endnote]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</si>
  <si>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Endnote]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</si>
  <si>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Endnote]</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</si>
  <si>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Endnote]</t>
  </si>
  <si>
    <t>Predictive digital twin framework for civil engineering structures (Politecnico di Milano/UT Austin): dynamic Bayesian network (dynamic decision network) encodes asset-twin coupled dynamical system; deep learning (convolutional layers) assimilates vibration data for structural health diagnostics; sequential Bayesian inference continually updates digital state; offline learning phase with reduced-order models trains DL models and learns control policy; health-dependent control policy for maintenance planning. Bidirectional — physical→digital assimilation + digital→physical control → Tier 3; implemented Bayesian inference + offline learning, no convergence criterion. [Full-text source: Endnote]</t>
  </si>
  <si>
    <t>TERIMAAS framework for territorial risk management and analysis across scale (Politecnico di Torino): centralized PostGIS repository harmonizes BIM + GIS + IoT data; real-time IoT-derived information updates vulnerability and risk scores; GIS spatial analysis assesses risk scores for each hazard type; BIM data refines assessment with building/functional characteristics; flood risk case study in northwest Italy; dynamic risk assessments adapt to changing conditions. One-way monitoring→risk assessment→decision support; no actuation and no learning loop (risk scores are rule-based, not learning). [Full-text source: Endnote]</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</si>
  <si>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Endnote]</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</si>
  <si>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Endnote]</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</si>
  <si>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Endnote]</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</si>
  <si>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Endnote]</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</si>
  <si>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Endnote]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</si>
  <si>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Endnote]</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</si>
  <si>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Endnote]</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</si>
  <si>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Endnote]</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</si>
  <si>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Endnote]</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</si>
  <si>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Endnote]</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</si>
  <si>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Endnote]</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</si>
  <si>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Endnote]</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</si>
  <si>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Endnote]</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</si>
  <si>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Endnote]</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</si>
  <si>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Endnote]</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</si>
  <si>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segmentation success ~51.5% higher than traditional methods; joint fitting accuracy &gt;99%); enables joint-deviation assessment. Static geometric DT - no live data link, no learning loop. [Full-text source: Endnote]</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</si>
  <si>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Endnote]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</si>
  <si>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Endnote]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</si>
  <si>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Endnote]</t>
  </si>
  <si>
    <t>DT evaluation of public toilet ventilation design (Southeast U/NUS): Revit BIM digital twins of different ventilation systems; CFD-based pollutant diffusion simulation + DesignBuilder energy simulation; all-air AC with 400mm exhaust height reduces energy 20.4% and carbon by 30681 kg CO2. Focus is indoor air quality/comfort/energy in a building, NOT construction/operation SAFETY (hazards, accidents, structural) or QUALITY (defects/rework) - Q=No -&gt; Stage-2 exclude. [Full-text source: Endnote]</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</si>
  <si>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Endnote]</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</si>
  <si>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Endnote]</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</si>
  <si>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Endnote]</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</si>
  <si>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Endnote]</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</si>
  <si>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Endnote]</t>
  </si>
  <si>
    <t>Integration of BIM and digital twin in mechanized tunnelling construction (Implenia/NYU/Technion): design-science case study of a TBM tunnelling project; computational design algorithm automates TBM excavation-data integration into a Digital Twin Construction (DTC) system; DT generates real-time status of the tunnel physical state in short cycles; 90% reduction in DT modelling time; supports lean design/construction (bracketry design, reducing rework/uncertainty); challenges: data interoperability, standardized modelling. One-way data-&gt;DT-&gt;decision support for lean workflows; no actuation, no learning loop. [Full-text source: Endnote]</t>
  </si>
  <si>
    <t>Deployed LiDAR+radar+camera fusion validated with RTK-GNSS at real work zone (lane-level accuracy); Predictive DT framework (Digital Shadow + Digital Sibling, TTC/PET conflict metrics, C-V2X warnings) proposed but not implemented — hence Tier 2, AA None. [Full-text source: arXiv OA preprint]</t>
  </si>
  <si>
    <t>Perspective paper defining next-gen CPS/DT with explicit two-way mapping and passive/active control; scenarios (teleoperated drywall robot, postural tracking, near-miss prevention) illustrate bidirectional control but nothing implemented; ML training of movement data only suggested. [Full-text source: Endnote]</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</si>
  <si>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Endnote]</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</si>
  <si>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Endnote]</t>
  </si>
  <si>
    <t>Definition/standardisation position paper (CEN/TC 442/WG 9, ISO); two illustrative DT cases (Bidebieta-Basauri railway station, UPM civil engineering school) are management/visualisation platforms with real-time info integration but no analytics loop or learning; safety only a secondary use case. [Full-text source: Endnote]</t>
  </si>
  <si>
    <t>DSR conceptual model (F1 data acquisition / F2 data analysis-simulation / F3 BIM transformation boxes) for DT on construction sites, generalised from the empirical Smart Twins 4.0 system (RFID+IoT+BIM tracking of metallic formwork in concrete wall construction; 151 panels inspected, 100% external defects, wear 42% — rework/quality control). Closed-loop is human-in-the-loop only; F2 simulation box proposed but NOT implemented (future Smart Twins 5.0); no ML and no self-improvement. [Full-text source: Endnote]</t>
  </si>
  <si>
    <t>Serverless SfM/MVS pipeline + PostGIS defect anchors on real inspection datasets; defects as georeferenced 3D anchors support DfQ traceability; authors explicitly position against passive Level-1 twins, but no live link/learning: periodic re-scan workflow. [Full-text source: Endnote]</t>
  </si>
  <si>
    <t>2-year in-service railway bridge pilot; unsupervised clustering of normal vibration + FEM-calibrated synthetic damage + LightGBM classifier (ROC-AUC 0.9999); periodic retraining of the model on accumulated data = implemented learning loop, but no convergence criterion/metric. [Full-text source: Endnote]</t>
  </si>
  <si>
    <t>Questionnaire survey (Nigerian construction professionals, purposive+snowball) of drivers for adopting DTT; Shapiro-Wilk + Kruskal-Wallis H + factor analysis grouping drivers into innovation/operation/quality/performance/policy. No digital twin is built, evaluated or framed as a system — DT only appears as the technology whose adoption is surveyed. P=No → Stage-2 exclude. [Full-text source: Endnote]</t>
  </si>
  <si>
    <t>State-of-the-art review of intelligent tunnel construction &amp; O&amp;M technologies (IoT, big data, AI, platforms) across design/construction/O&amp;M; digital twins appear as one component (geological DTs, future DT co-simulation) but are not the actual subject of the paper. P=No → Stage-2 exclude. Safety/risk is a genuine theme (construction safety, real-time risk analysis). [Full-text source: Endnote]</t>
  </si>
  <si>
    <t>ASHVIN H2020 DT case study (RC office building, Barcelona): six independent information pipelines (IMU/temp/load sensors, TLS point clouds, equipment tracking) → knowledge-graph system → Unity dashboard with project-specific KPIs (construction safety, quality control, productivity); ML activity recognition (Naïve Bayes/DT/kNN/SVM on equipment sensors); data flows one-way physical→virtual for decision support; conclusions state it "has not permitted to act" on the site — no actuation, no learning loop. [Full-text source: Endnote]</t>
  </si>
  <si>
    <t>120-yr heritage RC bridge; ambient vibration + laser displacement monitoring; FE-based DT validated against field data, used for what-if scenarios (overweight vehicles, scour loss); six-phase Incident Response Framework; model is updated/validated, not self-learning. [Full-text source: Endnote]</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</si>
  <si>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Endnote]</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</si>
  <si>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MDPI Buildings (Gold OA)]</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</si>
  <si>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Endnote]</t>
  </si>
  <si>
    <t>SLR (229 pubs) + conceptual DT development framework grounded in ISO 19650; no implementation or experiment; DfS/DfQ appear as application potentials, not demonstrated. [Full-text source: Endnote]</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</si>
  <si>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Endnote]</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</si>
  <si>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Endnote]</t>
  </si>
  <si>
    <t>Four-stage holistic condition-assessment and life-cycle framework for fatigue-loaded railway noise barriers (ÖBB): Stage I standard fatigue calc; IIa/b/c visual-condition classes + action-side (axle-load) and resistance-side (bolt-preload) monitoring; Stage III FEM digital twin (Abaqus, ideal vs displaced-baseplate vs inclined-bolt installation conditions) calibrating stress-range/lifetime (PL0 gives 772 N/mm2 stress range vs 71 N/mm2 normative — 4x accelerated fatigue); Stage IV probabilistic approach with Bayesian updating of condition/lifetime (prior visual + likelihood monitoring/DT → posterior ZKM). DT is an offline numerical model; Bayesian updating described/demonstrated as assessment procedure, not an autonomous self-improving loop. [Full-text source: Endnote]</t>
  </si>
  <si>
    <t>Digital twin city framework (Houston case) using participatory-sensing crowdsourced visual data: geospatial localization of physically-vulnerable objects (wind-borne debris, tower cranes) in distance → update 3D virtual city model → CAVE immersive visualization for disaster risk-informed decision-making (cascading-failure what-if scenarios). One-way physical→virtual model update from analyzed crowdsourced imagery; update is periodic/replacement-based, not a live link and no learning loop. [Full-text source: Endnote]</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</si>
  <si>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Endnote]</t>
  </si>
  <si>
    <t>Lab prototype of AR + Digital Twin Cyber-Physical System (DPL) for construction-machinery interaction (stationary tower-crane analogue): Arduino MCU sensor/actuator net (ultrasonic distance sensor for safety/clash detection, MPU-6050 accel/gyro) ↔ Unity3D 3D DT over Wi-Fi with bidirectional data/control (AR marker controller remotely operates servos; sensor data drives 3D model; DT latency 0.5–1.0 s). Explicitly bidirectional — virtual acts back on physical — but lab-only robotic analogue, no ML, no learning. [Full-text source: Endnote]</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</si>
  <si>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Endnote]</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</si>
  <si>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Endnote]</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</si>
  <si>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Endnote]</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</si>
  <si>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Endnote]</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</si>
  <si>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Endnote]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</si>
  <si>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Endnote]</t>
  </si>
  <si>
    <t>Real-time DT of a piping system (MECOS-benchmark pipe on shaking table) for PHM: FE model updated via random-vibration FRF matching (Nelder-Mead stiffness/damping calibration), then Craig-Bampton ROM reduces 7,428 to 62 DOFs (~1%, ~450x faster) for Newmark-β real-time estimation of unmeasured-point responses and seismic+arbitrary loads; validated vs FE model/sensors (RMSE 0.0103/0.0266). Model updating is a one-time calibration step during DT construction, not an ongoing self-improvement loop; one-way sensing→estimation, no actuation. [Full-text source: Endnote]</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</si>
  <si>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Endnote]</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</si>
  <si>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Endnote]</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</si>
  <si>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3 real traditional buildings (Duff House, St Mary's Church, ...). Outputs are semantically linked to DT/digital logbook elements for future defect detection and epoch comparison; processing pipeline is static/offline — no live data link and no learning loop. [Full-text source: Endnote]</t>
  </si>
  <si>
    <t>DT-driven virtual sensor (DTDVS) for construction safety of a trailing suction hopper dredger (Tianjin Dredging Co.): real SCADA data (793 dims) + Lasso/random-forest feature selection; 4 ML algorithms predict torsional vibration in mechanical failure (R2 &gt; 0.9), best DBN model acts as virtual sensor; residual between physical and virtual sensor used to diagnose construction behavior and accurately pre-warn faults, improving time utilization and construction safety. Digital twin structure (physical model / digital model / data link) with virtual-sensor prediction and pre-warning to operators; data flow is monitoring/prediction one-way, no actuation and no stated online self-improvement loop. [Full-text source: Endnote]</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</si>
  <si>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1.3%/1.5%. One-way physical→virtual stage-by-stage update with prediction; no actuation and no learning loop (manual re-parameterisation). [Full-text source: Endnote]</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</si>
  <si>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Endnote]</t>
  </si>
  <si>
    <t>WSN/BIM environmental monitoring &amp; control system for underground parking garage (Taipei case): WSN nodes (coordinator/sensor/router/control) collect CO, temperature, humidity in real time; data transferred over self-constituted WSN and dynamically displayed on corresponding spatial components of a 3D BIM model, making the BIM a real-time DT; actuation (ventilator + flashing alarm on high CO) is performed by the WSN control node directly (sensor→control-node safety loop), not through the virtual twin; reaction ~1-2 s. BIM/DT is a one-way monitoring/visualisation layer; no ML and no learning loop. [Full-text source: Endnote]</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</si>
  <si>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Endnote]</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</si>
  <si>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Endnote]</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</si>
  <si>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Endnote]</t>
  </si>
  <si>
    <t>BIM-GIS-based asset management system (AMS app) for the diffused University of Turin campus (two demonstrator buildings): web platform with interactive 3D map + analytical dashboards for real-time visualization of the asset stock from a centralized database integrating spatial/functional data; crowd simulations (Pathfinder-style) assess fire-emergency safety and evacuation time as a benchmark; cognitive digital twins are framed as the long-term future objective — no live sensor/IoT data flow yet (sensor deployment and ML-based automated analysis are future work). Static visualisation platform toward future CDTs; one-way, no learning loop. [Full-text source: Endnote]</t>
  </si>
  <si>
    <t>Quality-Sustainability Integration Index (QSII) reconceptualising construction defects as indirect drivers of energy/carbon use: survey of 83 Nigerian professionals + longitudinal maintenance records for 14 buildings in Lagos + BIM-based Lifecycle Assessment quantifying embodied carbon from defect-induced repair cycles (envelope/waterproofing defects highest, up to 3.4x carbon multiplier, 82.3 tCO2e per 1000 m2 over 5 yr, 44% lifecycle-carbon gap between high/low quality); a conceptual Digital Twin prototype visualises defect propagation pathways and intervention strategies but is explicitly "not operationally validating... presently a conceptual tool only" — no live data, no implementation, no learning loop. [Full-text source: Endnote]</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</si>
  <si>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Endnote]</t>
  </si>
  <si>
    <t>Anomaly-enhanced digital twin (AEDT) for intelligent inspection of slope/SWC infrastructure (central Taiwan): multiview UAV imagery + SfM 3D reconstruction + CNN for automated anomaly classification (erosion/spalling/siltation/collapse, macro-F1 0.81 on 2000 annotated images, 3 severity levels); anomalies semantically embedded into an interactive GIS-compatible DT platform linking geometry + damage attributes + historical maintenance records for lifecycle management; field deployment cut inspection time ~63%. One-way inspection→semantic DT for maintenance scheduling and risk-based prioritisation; CNN offline-trained, no actuation and no online learning loop (edge-AI real-time inference is future work). [Full-text source: Endnote]</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</si>
  <si>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Endnote]</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</si>
  <si>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Endnote]</t>
  </si>
  <si>
    <t>3D FEM digital twin (SAP2000) of the "Ponte della Musica" arch bridge (Rome) calibrated against experimental ambient-vibration modal parameters (eigenfrequency error ~2%) and used for thermo-mechanical analyses: correlates air-temperature variation with deck vertical displacement (fmax = 0.0009 + 0.004·ΔT; ±5 °C → ±2 cm) to explain why COSMO-SkyMed X-band DInSAR-SBAS loses the central span (max detectable LOS displacement ~0.8 cm &lt; thermal deformation). One-time calibration with field data, then static what-if thermal analysis; no live data link and no learning loop. [Full-text source: Endnote]</t>
  </si>
  <si>
    <t>Deep-learning "LiDAR-simulated digital twin" framework generating probabilistic 3D point clouds of rail fasteners in real time from depth + grayscale images (Siamese self-supervised contrastive learning with vision transformer + Fourier net + multilevel fusion + Bayesian NN for uncertainty; 30 image-pairs per fastener from high-speed track inspection vehicle; CD 0.3926, HD 1063.79, contrastive loss 0.3142). Framed as "a step toward digital twin" — the DT itself is future work (foundation-model depth estimation); rail-fastener tightness/wear monitoring is the safety application, but no asset twin, no live loop, no learning. [Full-text source: Endnote]</t>
  </si>
  <si>
    <t>Designs a comprehensive "digital safety system" (DSS) framework for construction site health &amp; safety monitoring: reviews essential technologies, proposes a data-physics-driven model for automating safety processes, and uses multi-criteria decision analysis (TOPSIS/MCDM) to rank technology alternatives; validated via questionnaire/t-test in Tehran municipality region; pre-construction period identified as most safety-data-driven stage. A digital twin is only described as "possibly developing" in the future — no DT is actually built or evaluated. P=No → Stage-2 exclude. [Full-text source: Endnote]</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</si>
  <si>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Endnote]</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</si>
  <si>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Endnote]</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</si>
  <si>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Endnote]</t>
  </si>
  <si>
    <t>Graph-based digital twin for urban heatwave response planning (Vienna city center, Horizon PANTHEON): integrates Google Solar API real-time heat-index data + spatial population distribution/vulnerability (Vienna Open Data, META) + critical road infrastructure (OpenStreetMap) into a graph network model; Spatial Dependency Risk Analysis captures cumulative risk paths, identifies critical junctions (e.g., node 683 "cold spot") and automatically plans ambulance/first-responder routes from cooling spots to high-risk hotspots (&lt;=15 min patrol). One-way planning/decision-support tool; graph-based dependency analysis (no ML training loop), no actuation and no learning loop; future work adds real-time data and transfer to other cities. [Full-text source: Endnote]</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</si>
  <si>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11% → L1, 20-30% → L2, &gt;30% → L3) triggers alerts to on-site personnel who adjust construction. One-way monitoring→analysis→human action; no automated actuation and no learning loop. [Full-text source: Endnote]</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</si>
  <si>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Endnote]</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</si>
  <si>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Endnote]</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</si>
  <si>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Endnote]</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</si>
  <si>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Endnote]</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</si>
  <si>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Endnote]</t>
  </si>
  <si>
    <t>Review + conceptual framework for integrating digital twins into intelligent construction of prefabricated buildings (Construction 4.0): synthesises state-of-the-art DT applications in hoisting management (Dijkstra route planning, DT-SVM risk prediction, Bayesian-network risk control), construction oversight (BIM-DT, blockchain DT sharing), and safety/risk monitoring (wearable-sensor ergonomic LSTM feedback); proposes a structured DT framework and a construction-service-bus (CSB) architecture for physical-digital integration. Purely conceptual/review — no DT implemented or validated; AI learning and closed-loop control only described as future directions. [Full-text source: Endnote]</t>
  </si>
  <si>
    <t>Inland waterway digital twin based on 3D video fusion (China Academy of Transportation Sciences): drone tilt photography + BIM build a static 3D waterway scene; multi-channel surveillance-video 3D registration/rendering fuses discrete videos into the scene (2D/3D linkage); multi-source IoT sensing data (AIS, etc.) integrated into the digital twin scene for water safety management (facility management, daily monitoring, illegal-evidence collection, emergency response); demonstrated on Changhu-Shen Line segment. One-way fusion/monitoring/visualisation for managers; "scene iteration driven by online data" is stated as next-step future work — not yet implemented, no learning loop.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</si>
  <si>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perception→prediction→early warning for safety managers; no actuation and no self-improvement loop (model is offline-trained).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</si>
  <si>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Endnote]</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</si>
  <si>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Endnote]</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</si>
  <si>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Endnote]</t>
  </si>
  <si>
    <t>AI-empowered digital twin framework for high-precision building facade defect management (CUHK): UAV visual data acquisition + deep-learning object detection (YOLO/R-CNN series) for defect detection; GeoBIM (BIM+GIS) environment with end-to-end pipeline for defect localization and semantic registration — virtual building model + camera geometry from geographic metadata, synthetic views simulate capture conditions, depth-based inference of each defect's spatial location, dual-verification (image + geographic features) removes duplicates; defect data projected into georeferenced DT with structural context from GeoBIM; validated on a Hong Kong high-rise. One-way inspection→semantic DT for maintenance; no actuation and no self-improvement loop. [Full-text source: Endnote]</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</si>
  <si>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Endnote]</t>
  </si>
  <si>
    <t>CUBIT-InSeg: high-resolution UAV façade-defect instance segmentation dataset (6996 images @4800x3200, 62,187 instances of cracks/spalling) with 80+ models benchmarked and zero-shot transferability on two cross-domain datasets; deployment workflow registers defects to an as-is digital twin — integrates instance-level segmentation + photogrammetry-based reconstruction + GIS-oriented registration to project defect masks from image space onto the DT surface, converting to metric measures (crack width/length, spalling area) for standard-aligned severity (SI) assessment; validated on a multi-storey logistics building in HK. One-way inspection→DT for severity evaluation; no actuation and no learning loop. [Full-text source: Endnote]</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</si>
  <si>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Endnote]</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</si>
  <si>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Endnote]</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</si>
  <si>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Endnote]</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</si>
  <si>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Endnote]</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</si>
  <si>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88.35%; 9 fault types incl. construction joints, grouting, pouring sequence). One-way monitoring→fault diagnosis/safety; framework is partly conceptual (stage integration with BIM-DT model not described in detail — acknowledged), no actuation and no learning loop. [Full-text source: Endnote]</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</si>
  <si>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Endnote]</t>
  </si>
  <si>
    <t>Fills the gap between work zone safety DT research and real-world deployment: LiDAR+radar+camera fusion validated with RTK-GNSS at a real work zone achieving lane-level accuracy, feeding a predictive DT framework pairing a Digital Shadow and Digital Sibling with TTC/PET conflict metrics and C-V2X warnings for proactive safety.</t>
  </si>
  <si>
    <t>Deployment lessons rather than controlled validation: one real work zone, and the predictive framework (conflict metrics, C-V2X warnings) stays at framework level without demonstrated closed-loop actuation; no explicit future work is stated.</t>
  </si>
  <si>
    <t>A perspective paper defining next-generation CPS and DT through two-way dynamic mapping between virtual models and the physical facility, distinguishing passive (model-based) from active (actuator-based) control, and illustrating scenarios: a teleoperated drywall robot controlled via wearable IMU motion capture, postural tracking with AR avatars and color-coded ergonomic risk feedback, and near-miss prediction using case-based reasoning and K-nearest neighbor.</t>
  </si>
  <si>
    <t>Purely conceptual: none of the scenarios is implemented or validated, and the paper itself lists open challenges of a missing information model for DTs, missing version management guidelines, missing communication latency guidelines, and missing interoperability standards analogous to IFC.</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</si>
  <si>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</si>
  <si>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</si>
  <si>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</si>
  <si>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</si>
  <si>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A standardization position paper reviewing DT definitions and frameworks and reporting the creation of CEN/TC 442/WG 9, whose 34-use-case technical report CEN/TR 18077 and the resulting European standard aim to give the built environment a shared DT definition; it grounds its argument in two implemented management platforms, the Bidebieta-Basauri railway station and the UPM civil engineering school.</t>
  </si>
  <si>
    <t>The two DT cases are management and visualization platforms lacking AI or simulation protocols, which the authors state are still under research, and the paper proposes definitions rather than new empirical validation; the European standard was still pending publication and no quantitative evaluation is offered.</t>
  </si>
  <si>
    <t>Proposes a closed-loop conceptual model of DTs for construction sites, structured as three functional boxes: F1 data acquisition (IoT/RFID), F2 data analysis and simulation, and F3 BIM transformation into a web-based model; it is grounded in the empirical Smart Twins 4.0 system, which tracked 151 formwork panels with RFID and a web-based BIM, finding 100% external and 98% internal defects.</t>
  </si>
  <si>
    <t>Smart Twins 4.0 is limited to a single physical resource (formwork), has restricted data analysis capabilities and interoperability, and still requires manual steps in data collection; the model simplifies real-world complexity, omits human roles beyond decision-making, and the authors state it needs future testing in different contexts.</t>
  </si>
  <si>
    <t>Addresses fragmented inspection data by replacing desktop photogrammetry with a serverless spatial intelligence hub: timeout-resilient orchestration of SfM/MVS, PostGIS-anchored defect records linked to georeferenced 3D meshes via raycasting and frustum-based image retrieval, end-to-end reconstruction in under one hour, sub-25 ms query latency, and over 90% image retrieval accuracy on two real UAV inspection datasets.</t>
  </si>
  <si>
    <t>No automated defect detection: annotations are manually created by human inspectors, which the authors call the main bottleneck for scaling; validation covers only two UAV datasets, hyperparameters are not systematically optimized, and the system assumes reliable connectivity. Future work includes automated detection, temporal change monitoring, 3D Gaussian Splatting visualization, and offline capabilities.</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</si>
  <si>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</si>
  <si>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</si>
  <si>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</si>
  <si>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</si>
  <si>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Derives a comprehensive requirements analysis for critical infrastructure crisis management and resilience and maps it onto a Digital Twin Conceptual Framework with four guiding principles (human-in-the-loop control, parsimony with accepted uncertainty, preparedness for complexity and emergence, safe experiments and training) plus a conceptual model of virtual replica, clones, toolbox, and control center.</t>
  </si>
  <si>
    <t>Entirely conceptual: no implementation, prototype, or case evaluation is presented, so none of the requirements or tools is tested. The authors list open challenges of integrating uncertain data sources and heterogeneous models, evaluating intelligent tools for the resilience cycle, and IT scalability and reliability, proposing federated digital twins instead of monolithic implementations.</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</si>
  <si>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</si>
  <si>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</si>
  <si>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Provides a real ASHVIN H2020 pilot of digital twinning during construction of an RC office building in Barcelona: six independent information pipelines (crane hook IMU/GPS tracking with Random Forest activity recognition at 93.27% accuracy, slab post-tensioning strains, laser-scan deflection checks, concrete maturity temperatures, formwork vibration accelerations, mobile-app progress monitoring) feeding a knowledge-graph-based Unity dashboard.</t>
  </si>
  <si>
    <t>One-way digital shadow: the dashboard informs managers but does not control site operations, technology readiness did not permit acting weekly on extracted insights, and feedback came only after development. Bottlenecks include logistics, privacy, need for specialized crews, sensor fragility, and manual progress updates; automating data collection and treatment is future work.</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</si>
  <si>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</si>
  <si>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</si>
  <si>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Closes the automation gap between rebar reconstruction, segmentation, dimensional inspection and issue tracking: a GoPro-based SfM-MVS pipeline with AprilTag scale calibration builds a semantically enriched 3D model, Mask R-CNN plus DBSCAN segment rebars, and Scan-vs-BIM comparison identifies and tracks defects, reaching over 90 percent precision, over 97 percent recall, 95.5 percent diameter accuracy for large rebars and 0.98 percent mean relative spacing error.</t>
  </si>
  <si>
    <t>Offline, camera-based pipeline with manual image capture and fiducial marker attachment; 2D segmentation precision averages only 50.4 percent, small-diameter rebar inspection reaches only 77.8 percent, and registration fails on geometrically indistinct structures; future work points to more training data, augmentation, unsupervised techniques and Point Transformer based classification.</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</si>
  <si>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</si>
  <si>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</si>
  <si>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</si>
  <si>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</si>
  <si>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</si>
  <si>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</si>
  <si>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</si>
  <si>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</si>
  <si>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</si>
  <si>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</si>
  <si>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</si>
  <si>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</si>
  <si>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</si>
  <si>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</si>
  <si>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Addresses static, code-bound multi-robot scheduling: a closed-loop digital twin in Unity, synchronized with ROS and Gazebo, supports integer-programming task allocation whose constraints are updated by an LLM interpreting plain-language site narratives, achieving over 97 percent constraint and parameter extraction accuracy with GPT-4.1, optimal plans within about one second and 0.08-second replanning across 1024 scenarios of 27 tasks and 15 robots.</t>
  </si>
  <si>
    <t>Validated only in simulation: Gazebo idealizes robot-human collaboration and material handling, human worker actions are not modeled, and the LLM is limited to constraint extraction; extending to further construction scenarios, proactive conflict detection and pre-optimization reasoning are future work, with physical robot deployment still pending.</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</si>
  <si>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</si>
  <si>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</si>
  <si>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Diagnoses the standardization gap in AEC digital twins through a systematic review of 229 publications (2016 to 2021) from four databases, showing DTs remain application-driven and vendor-dependent, then proposes a conceptual DT development framework built on the ISO 19650 series: PIM and AIM information containers federated in a CDE, IoT and WSN monitoring, and machine learning for decisions and actuator actions.</t>
  </si>
  <si>
    <t>Conceptual only, with no implementation or validation; the framework is a recommendation that still awaits application, and the authors state it must be proven through multiple case studies with diverse asset uses and complexities, recommending energy efficiency and indoor environmental quality as neglected test fields.</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</si>
  <si>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</si>
  <si>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</si>
  <si>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</si>
  <si>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</si>
  <si>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</si>
  <si>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</si>
  <si>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</si>
  <si>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</si>
  <si>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</si>
  <si>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</si>
  <si>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</si>
  <si>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</si>
  <si>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Addresses the real-time human-robot communication gap in timber frame construction: a vision-based collaborative robot interprets the layout marks drawn by a carpenter as cutting operations, and a robot digital twin shown through HoloLens 2 mixed reality previews all motions, danger zones and collision warnings so the carpenter can safely time entry to the collaborative workspace under ISO/TS 15066.</t>
  </si>
  <si>
    <t>Only robot-operator collision risk is detected automatically; tracking of other workspace elements must still be added, and the system awaits calibration of assembly tools and tests with real carpenters. Future work includes defining shared human-robot spaces, optimizing auxiliary trajectories and tool orientations, and handling robot payload constraints.</t>
  </si>
  <si>
    <t>Combines deterministic and probabilistic methods into a four-stage holistic condition-assessment concept for fatigue-loaded railway noise barriers: standard fatigue calculations, visual condition classes linked with monitoring data, finite-element digital twin studies of bolt-post installation conditions, and Bayesian updating of reliability and remaining service life, grounded in large-scale fatigue tests with Austrian Federal Railways.</t>
  </si>
  <si>
    <t>No new data were created or analyzed in the study; the framework builds on prior experiments and model stages, and the digital twin stage remains offline without a live monitoring link. No explicit future work is stated, leaving integration into operator maintenance planning and validation on instrumented structures open.</t>
  </si>
  <si>
    <t>Builds a metaverse-based evacuation training system where a rainbow DQN agent learns dynamic guidance-sign strategies from a social-force crowd simulation of a teaching building; sensors such as cameras and smoke detectors would supply real-time crowd and disaster data to cloud servers. In two simulated scenes the agent balances exits and reduces evacuation time versus static signs and shortest-path guidance.</t>
  </si>
  <si>
    <t>Results come entirely from simulation of a 20.4 by 20.1 metre floor with 80 to 160 people; the system is not deployed with real sensors or a live building, and no quantitative accuracy beyond simulated evacuation times is reported. Future work extends to more complex layouts, wheelchair users and falling evacuees.</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</si>
  <si>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</si>
  <si>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</si>
  <si>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</si>
  <si>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</si>
  <si>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Brings crowdsourced visual data into a digital twin city for risk-informed decision-making: 135 smartphone photos from five participants localize distant vulnerable objects via mean-shift clustering, achieving average distance errors of 4.49 metres at ranges of 18.6 to 38.7 metres, and the updated Houston city model is shown in a CAVE for interactive visualization of hazard cascades.</t>
  </si>
  <si>
    <t>Geospatial information alone cannot support full risk-informed decisions, localization still relies on smartphone sensors without ranging instruments, and participation depends on citizens willingness to contribute data. Future work includes integrating textual, audio and IoT sources, incentive mechanisms for participation, and more case studies to evaluate spatiotemporal updating.</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</si>
  <si>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</si>
  <si>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</si>
  <si>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</si>
  <si>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</si>
  <si>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</si>
  <si>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</si>
  <si>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Brings bidirectional cyber-physical interaction to construction machinery where literature is scarce: a laboratory prototype of an AR and digital twin CPS using an Arduino Uno and Yun sensor and actuator net (HC-SR04 ultrasonic, MPU-6050 inertial) on a tower crane analogue, with a Unity3D server relaying serial data to a marker-based AR controller at 0.25 s command latency and a DT animation lag of 0.5 to 1.0 s.</t>
  </si>
  <si>
    <t>Validation is confined to a laboratory analogue of a stationary tower crane, so no quantitative on-site performance could be measured, and the MPU-6050 readings were excluded from the twin because of latency and twitching; the authors propose a proprietary MCU package and dedicated connections instead of open Wi-Fi as future work.</t>
  </si>
  <si>
    <t>Bridges the gap between deterministic block theory and hours-long high-fidelity simulations with the Universal Discontinuity Index, a probabilistic score fusing physical damage, effective stress intensity, active fracture ratio and kinematic feasibility; it reproduced progressive batch failure in milliseconds versus BPDEM and FDEM, and on 52 El Teniente faces with 5300 DFN-KBT realizations predicted unstable block counts at R2 of 0.93 and 95 percent accuracy, feeding a Poisson early-warning model.</t>
  </si>
  <si>
    <t>The closed-loop digital twin workflow remains a design proposal rather than a deployed system, and the field validation used simplified inputs: uniform friction angle of 32 degrees, tensile strength of 17 MPa, Kirsch-based stress and a kinematic-only weighting; the authors plan spatio-temporal point process and Bayesian hierarchical models for clustered failures.</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</si>
  <si>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</si>
  <si>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</si>
  <si>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</si>
  <si>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</si>
  <si>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Fills the absence of a construction-machinery-specific digital twin maturity model: five dimensions and 24 indicators across five levels, built from literature and expert interviews, assessed by Louvain expert grouping plus a penalty-weighted bi-objective opinion aggregation; applied to an automated construction system, the framework located the twin at Level 3, with continuous learning and real-time data processing scoring only Level 2.</t>
  </si>
  <si>
    <t>The assessment depends entirely on expert questionnaires (20 for indicator weighting, 15 valid in the case study), so results are subjective despite probability-based aggregation, and one ACS case limits generalizability; the authors propose update-frequency thresholds, sensor log data to replace expert judgment, and extension to other sectors.</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</si>
  <si>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</si>
  <si>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</si>
  <si>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</si>
  <si>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</si>
  <si>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</si>
  <si>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</si>
  <si>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</si>
  <si>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</si>
  <si>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</si>
  <si>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</si>
  <si>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</si>
  <si>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</si>
  <si>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</si>
  <si>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</si>
  <si>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</si>
  <si>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</si>
  <si>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</si>
  <si>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</si>
  <si>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</si>
  <si>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</si>
  <si>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</si>
  <si>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</si>
  <si>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</si>
  <si>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</si>
  <si>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Fills the gap for structures under simultaneous seismic and arbitrary loads: a 3D-printed MECOS benchmark pipe on a shaking table with an actuator, an updated ANSYS finite element model, and a Craig-Bampton reduced order model (62 DOFs, about one percent of the 7,428-DOF model) yield about 450 times faster calculation, enabling real-time estimation of unmeasured responses and loads with RMSE 0.0103 and 0.0266 versus sensors.</t>
  </si>
  <si>
    <t>Validated only on a small laboratory-scale 3D-printed pipe, with verification against the finite element model rather than in-service plant data; sensor noise, measurement uncertainty, and scale effects are not addressed, and no explicit future work is stated beyond the expectation that continuous development will transfer the system to ports, shipbuilding, power generation, and manufacturing.</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</si>
  <si>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</si>
  <si>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</si>
  <si>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</si>
  <si>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</si>
  <si>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</si>
  <si>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</si>
  <si>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</si>
  <si>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</si>
  <si>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</si>
  <si>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</si>
  <si>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Turns noisy laser point clouds of large-diameter pipelines into a geometric digital twin enabling quantitative condition assessment, closing the gap between raw scanning and deformation measurement: LMedS slice-center fitting, DBSCAN clustering with Gaussian fitting and density-based region growing achieve sub-millimeter mean error against total station truth, with ovality and blockage quantified via OI and VI indicators at only 7 percent of KDE runtime.</t>
  </si>
  <si>
    <t>Validation is limited to laboratory plexiglass pipe segments rather than in-service networks; the method cannot measure the underwater part of pipes and does not suit bends with curved axes. Future work includes fusing 3D sonar data, AI-based assessment of spalling, corrosion and open joints, and an in-pipe inspection robot to carry the laser scanner.</t>
  </si>
  <si>
    <t>Addresses the vulnerability of physical sensors in dredger construction safety control: a digital twin-driven virtual sensor trained on real SCADA data (793 dimensions) from the Tongcheng hopper dredger at Tianjin Port, using Lasso plus random forest feature selection and Savitzky-Golay filtering, with DBN (R2 0.987) outperforming LSTM, XGBoost and SVR, and residual-based warning within a 99 percent confidence interval to diagnose torsional vibration faults.</t>
  </si>
  <si>
    <t>Models are trained offline on historical data without stated online updating, only torsional vibration is validated as a fault type, and warning thresholds rely on statistical residuals rather than any closed-loop actuation of the dredger. Follow-up work should investigate internal relations and interaction mechanisms among different types of mechanical faults.</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</si>
  <si>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</si>
  <si>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</si>
  <si>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</si>
  <si>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</si>
  <si>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Fills the planning gap for WSN and BIM integration in garage environmental monitoring: a working digital twin system with Zigbee mesh nodes (MQ-7 CO and DHT-11 temperature and humidity) that react to simulated hazardous gas within 1 to 2 s, automatically switching on ventilator and flashing alarm, with 250 m direct and over 450 m relayed communication, color-coded BIM visualization via Navisworks API, and roughly 40 percent cost saving versus handheld detectors.</t>
  </si>
  <si>
    <t>Validation used only three sensor locations in one Taipei garage with simulated gas, standard-gas calibration is recommended for quantitative readings, and battery capacity limits node operation to about one week. Future work includes adopting more IoT technologies and integrating BIM with AI for smarter environment management in smart cities.</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</si>
  <si>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</si>
  <si>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</si>
  <si>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</si>
  <si>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</si>
  <si>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</si>
  <si>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</si>
  <si>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</si>
  <si>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</si>
  <si>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</si>
  <si>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</si>
  <si>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</si>
  <si>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</si>
  <si>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</si>
  <si>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</si>
  <si>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</si>
  <si>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</si>
  <si>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</si>
  <si>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</si>
  <si>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Bridges defect-based inspection classification and performance forecasting for tunnel lifecycle management: a 2D classified-cell grid converts visual inspection data into tunnel serviceability index values, inverse exponential limit analysis validated against stochastic literature models yields a 16-year target intervention time, and an inspection digital twin of railway tunnel TL 01 attaches metadata through EleFront with online photo links.</t>
  </si>
  <si>
    <t>The twin is an initial prototype with manual visual inspection input and no automated synchronization, initial post-construction inspection data were missing so the initial serviceability index could not be computed, and five-year single-point data produce wide eight-year intervention intervals; future work covers automating information input and model creation from point clouds and building performance databases.</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</si>
  <si>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</si>
  <si>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</si>
  <si>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Addresses fragmented document-based management of a diffused university asset: a BIM-GIS web platform integrates spatial and functional data from several directorates into a centralized relational database with a tailor-made space encoding, feeding an interactive 3D map with analytical dashboards for two University of Turin demonstrator buildings, plus crowd simulation to assess fire evacuation safety levels.</t>
  </si>
  <si>
    <t>No IoT sensors or live data feed the app yet, formats remain authoring-based rather than open standards, and no AI or ML processing exists, so the cognitive digital twin is aspirational; future work includes IoT networks, AI and AR/VR integration, whole-asset fire risk mapping and active wayfinding for evacuation.</t>
  </si>
  <si>
    <t>Fills the underexplored gap of hyperparameter optimization in serverless decentralized federated learning: local SMAC tuning with performance-weighted one-shot aggregation on six Raspberry Pi nodes cut worker-safety convergence rounds from 42 to 18 and MAE from 0.058 to 0.042, and MNIST rounds from 8 to 3 with 95.3 percent accuracy, while a digital twin layer provides observability without centralizing data.</t>
  </si>
  <si>
    <t>Validation is testbed-only with two datasets, energy consumption was not instrumented, one-shot HPO is sensitive to concept drift, and open adversarial environments are not covered; the authors plan drift-triggered re-tuning, Metropolis-Hastings consensus for ring topologies, multi-objective accuracy-latency-energy optimization and Byzantine-robust aggregation.</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</si>
  <si>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</si>
  <si>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</si>
  <si>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Reconceptualizes construction defects as latent energy and carbon drivers: the Quality-Sustainability Integration Index combines severity, carbon and repair frequency calibrated from 83 professionals, 14 Lagos buildings and 847 repair entries, showing waterproofing defects carry a 3.4x carbon multiplier and 82.3 tCO2e per 1000 m2 over five years, with a 44 percent lifecycle carbon gap between high and poor quality scenarios.</t>
  </si>
  <si>
    <t>Operational energy penalties are conceptually inferred rather than dynamically simulated, embodied carbon uses ICE v3.0 proxy factors without Nigerian EPDs, records span only five years, and the digital twin is a conceptual prototype not validated for operational control; the authors plan Nigerian EPDs, 15-20 year monitoring, climate-zone verification and gradual twin operationalization.</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</si>
  <si>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</si>
  <si>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</si>
  <si>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Fills the gap between geometric UAV reconstructions and semantically understood damage: the AEDT framework fuses multiview UAV imagery, SfM 3D reconstruction and a MobileNetV2-based CNN with 81 percent test accuracy and macro F1 0.81 into a GIS-compatible interactive twin of a Taiwan soil and water conservation structure, cutting on-site inspection time from 3.5 to 1.3 hours and linking anomalies to maintenance records.</t>
  </si>
  <si>
    <t>Detection relies on RGB imagery so vegetation-hidden or subsurface defects are missed, lighting variation and UAV motion degrade robustness, siltation-B and collapse-B classes reach only 0.60 accuracy with signs of overfitting, and validation covers a single site without live sensing; the authors plan multispectral and thermal sensors, LiDAR and edge AI inference.</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</si>
  <si>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</si>
  <si>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</si>
  <si>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</si>
  <si>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</si>
  <si>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Explains a satellite monitoring failure on the Ponte della Musica arch bridge in Rome using a 3D FEM digital twin in SAP2000 calibrated against ambient vibration tests (three experimental eigenfrequencies 0.92, 1.01 and 1.33 Hz reproduced within about 2% error); thermo-mechanical analyses show a most probable plus or minus 5 degrees C variation causes about 2 cm of deck displacement, exceeding the X-band line-of-sight measurement limit of roughly 0.8 cm.</t>
  </si>
  <si>
    <t>The model is linear and ignores solar radiation and nonlinear constraint effects, so real displacements may be underestimated; satellite and weather data are processed offline with no live monitoring link, and findings need generalization to other bridges. The authors suggest integrating L-band radar, GNSS, TInSAR, optical fibre and LiDAR measurements.</t>
  </si>
  <si>
    <t>Presents a LiDAR-simulated digital twin approach generating probabilistic 3D point clouds of rail fasteners in real time from grayscale and depth images via a Siamese self-supervised contrastive network (vision transformer, Fourier network, multilevel fusion) and a Bayesian neural network; trained on structured-light data from a 10 km/h track inspection vehicle, it reaches a Chamfer distance of 0.3926 and Hausdorff distance of 1063.79 with noise augmentation, followed by RANSAC segmentation and cubic interpolation.</t>
  </si>
  <si>
    <t>Evaluation rests on only 30 samples of one fastener type, with no comparison against real LiDAR scans, no long-term field tests and no validation of downstream anomaly detection; accuracy depends on input image and depth quality, and uncertainty remains for other fastener types and environments. Future work includes MiDaS-based depth estimation, anomaly detection algorithms and additional data sources.</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</si>
  <si>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</si>
  <si>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</si>
  <si>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</si>
  <si>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</si>
  <si>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</si>
  <si>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</si>
  <si>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Delivers a BIM-based digital twin framework for urban roads in Turin integrating MMS LiDAR point clouds, municipal GIS layers and authoritative geodatabases into IFC 4.3 models at LoD200 (city scale) and LoD400 (asset scale), covering about 45 km of network with over 2000 vertical elements and achieving RMSE 3 cm geometric accuracy validated by cloud-to-mesh deviation analysis, creating AI-ready, semantically enriched datasets for maintenance planning.</t>
  </si>
  <si>
    <t>The twin is a static information model without real-time IoT ingestion, bidirectional communication or automated updates, relying on periodic surveys and semi-automated processing with manual intervention; behavioral and performance indicators are absent and only one urban area was tested, with data governance and privacy unresolved. Future work covers sensor integration, deep learning automation and city-wide scaling.</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</si>
  <si>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</si>
  <si>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</si>
  <si>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</si>
  <si>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</si>
  <si>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</si>
  <si>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</si>
  <si>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</si>
  <si>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</si>
  <si>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</si>
  <si>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</si>
  <si>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</si>
  <si>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</si>
  <si>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</si>
  <si>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</si>
  <si>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Extends GIS-based heatwave vulnerability mapping into a graph-based urban digital twin: Google Solar API heat-index data, Vienna open population datasets and OpenStreetMap roads are fused into a dependency-risk graph whose centrality analysis identifies cumulative risk paths and critical blocks, including cold-spot node 683, and plans first-responder ambulance routes from cooling spots to high-risk populations, with sensitivity checks showing Spearman correlations near 0.8.</t>
  </si>
  <si>
    <t>The tool supports planning rather than real-time emergency operations, with no live sensor feeds, no actuation, and validation limited to Vienna city center; the authors plan alignment with EU regulations including NIS2, integration of Copernicus real-time streams, downscaled or locally calibrated solar data, and extension to compound events such as power outages and floods.</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</si>
  <si>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</si>
  <si>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</si>
  <si>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</si>
  <si>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</si>
  <si>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</si>
  <si>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</si>
  <si>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</si>
  <si>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</si>
  <si>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</si>
  <si>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</si>
  <si>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</si>
  <si>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</si>
  <si>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</si>
  <si>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</si>
  <si>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</si>
  <si>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</si>
  <si>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</si>
  <si>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</si>
  <si>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Encodes the asset-twin coupled system as a dynamic decision network so data assimilation, uncertainty tracking, prediction, and maintenance planning share one framework: convolution-based deep learning classifies damage location and magnitude from vibration recordings (93.61 percent beam, 91.39 percent bridge accuracy), sequential Bayesian updates track health, and a health-dependent control policy recommends do-nothing, repair, or operation-restriction actions on synthetic cantilever-beam and Hornefors railway bridge cases.</t>
  </si>
  <si>
    <t>Validated only on noise-corrupted synthetic data from reduced-order physics models, with no real sensing or field deployment; neural networks, transition dynamics, and the control policy are all learned offline, and the fixed transition models made bridge deterioration predictions too optimistic. Future work targets online learning of transition dynamics from past data and reinforcement-learning planning over a finite asset-life horizon.</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</si>
  <si>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</si>
  <si>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</si>
  <si>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Bridges the GIS-territorial to BIM-building scale divide for multi-hazard assessment: the TERIMAAS framework centralizes BIM, GIS, and real-time IoT streams in a PostGIS repository that dynamically updates hazard, vulnerability, and risk scores, demonstrated on a flood risk case study of a public building in northwest Italy, giving stakeholders near real-time territorial and building-level risk views.</t>
  </si>
  <si>
    <t>Demonstrates only flood risk on one public building, so transfer to other hazards and regions is unproven; the approach needs substantial data infrastructure and expertise, and the centralized repository raises privacy, security, and single-point-of-failure concerns. Future work includes decentralized storage, multi-hazard modules, open-source BIM tooling, and AI-based extreme-event forecasting.</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</si>
  <si>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</si>
  <si>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</si>
  <si>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</si>
  <si>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</si>
  <si>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</si>
  <si>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</si>
  <si>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</si>
  <si>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</si>
  <si>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Synthesizes digital twin applications for prefabricated construction into a structured framework: the review identifies critical physical-digital integration points and proposes a digital twin framework spanning hoisting management, safety monitoring, and predictive analytics, organizing data acquisition, multi-source data modeling, and an intelligent construction platform with virtual agents coordinated through web-service-based service architecture.</t>
  </si>
  <si>
    <t>Entirely conceptual with no implemented system, case study, or quantitative validation; the framework and its service-oriented construction platform remain unbuilt. Future work stated by the author targets scalable and interoperable digital twin systems, expansion of AI-driven learning models, and validation through large-scale pilot applications.</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</si>
  <si>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</si>
  <si>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</si>
  <si>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</si>
  <si>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</si>
  <si>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</si>
  <si>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</si>
  <si>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</si>
  <si>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</si>
  <si>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Addresses video fragmentation, subsystem data separation (AIS, smart bayonet) and untimely emergency response in inland waterway safety monitoring: drone tilt photography plus BIM build a static scene, multi-channel video is 3D-registered and fused with 25 cameras, and multi-source IoT data form a digital twin demonstrated on a Changhu-Shen Line segment with two- and three-dimensional linkage.</t>
  </si>
  <si>
    <t>The platform is a monitoring and visualization system without predictive analytics or actuation, validated on only one waterway segment; future work focuses on digital twin scene iteration driven by online data, simulation and fusion drawing of water traffic operation, and updating of the water environment from monitoring data.</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</si>
  <si>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</si>
  <si>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</si>
  <si>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</si>
  <si>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</si>
  <si>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</si>
  <si>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</si>
  <si>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Fills the gap of three-dimensional near-miss detection at construction sites: drone imagery builds a BIM-based static scene and binocular cameras feed YOLOv5 target recognition, DeepSORT tracking, and SGM stereo matching into an Unreal Engine digital twin with protective envelopes and early warnings, detecting 1181 of 1300 near-misses (93.80% precision, 96.64% recall) in a one-month Foshan steel-hoisting pilot.</t>
  </si>
  <si>
    <t>Overlapping personnel and machinery cause incomplete information capture, extreme lighting degrades stability (Type S3 precision fell to 73.97% under overexposure), and the vision system works only within about 20 meters, excluding high-rise and large buildings; future work adds multiple perspectives against occlusion and tests update frequencies.</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</si>
  <si>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</si>
  <si>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</si>
  <si>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</si>
  <si>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</si>
  <si>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</si>
  <si>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</si>
  <si>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</si>
  <si>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</si>
  <si>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</si>
  <si>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</si>
  <si>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</si>
  <si>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</si>
  <si>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</si>
  <si>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</si>
  <si>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</si>
  <si>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</si>
  <si>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Fills the gap of precise 2D-to-3D defect localization with semantic enrichment: a GeoBIM-assisted digital twin registers UAV-detected facade defects onto georeferenced BIM models through SfM pose correction and virtual camera depth rendering, achieving centimeter-level accuracy (mean errors 0.49-1.36 cm versus 1-3 meters for GPS-based methods) and over 80 percent mAP0.5 detection at 30 FPS on a Hong Kong high-rise, including curved and heritage facades.</t>
  </si>
  <si>
    <t>Operates near real time without continuous streaming or IoT data links, needs substantial computation and memory, and accuracy degrades under extreme occlusion or reflective surfaces. Authors plan to support diverse BIM standards and city-scale asset portfolios, integrate IoT live monitoring and automated UAV deployment, and enrich semantic defect reporting for maintenance scheduling.</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</si>
  <si>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</si>
  <si>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</si>
  <si>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</si>
  <si>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</si>
  <si>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</si>
  <si>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</si>
  <si>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Fills the gap between pixel-level defect recognition and physical severity quantification: CUBIT-InSeg provides 6996 high-resolution 4800x3200 UAV facade images with 62,187 crack and spalling instances, benchmarks over 80 models and zero-shot transfer on two cross-domain datasets, then converts masks into crack width, length and spalling area registered onto a digital twin with centimetre-level accuracy, graded per BS ISO 15686-7:2017 on a Hong Kong logistics building.</t>
  </si>
  <si>
    <t>Quantification depends on an approximately equal-distance imaging assumption that weakens in complex geometries with occlusion, the dataset covers only cracks and spalling from one regional context on concrete facades, and no temporal defect progression data exists. Future work will extend defect categories, facade materials and environments, reduce distance dependence and add repeated observations for deterioration analysis.</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</si>
  <si>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</si>
  <si>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</si>
  <si>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</si>
  <si>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</si>
  <si>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</si>
  <si>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</si>
  <si>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</si>
  <si>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</si>
  <si>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Demonstrates the digital twin as a forensic instrument for accident investigation: real-world information from a building collapse is mapped into virtual space to build highly realistic multistage BIM, finite-element and physics-engine models synchronized to the states before and after the collapse, allowing investigators to iteratively integrate, update and check the models until the collapse mechanism is revealed - welding-induced local buckling and plastic deformation driving the columns past their critical buckling stress.</t>
  </si>
  <si>
    <t>Retrospective and one-way: the twin is reconstructed after the event from investigation data rather than driven by live sensors, so it supports diagnosis rather than prevention, and there is no actuation back to the physical asset. Model fidelity depends entirely on the completeness of the recovered real-world information, no learning loop refines the models automatically, and evidence rests on a single collapse accident.</t>
  </si>
  <si>
    <t>Extends digital twins to prefabricated building construction: a DT plus prefabricated-BIM system with measuring sensors monitors and predicts component damage and deformation across production, transport and assembly, transfers the assembly BIM to a network cloud for display, and analyses risk indicators by factor analysis (Cronbach alpha 0.8-0.9, KMO test, 65.02% cumulative variance) to expose potential safety hazards during construction and feed them back to designers.</t>
  </si>
  <si>
    <t>Data collection is narrow, which the authors acknowledge as a limitation, and the factor analysis rests on a limited questionnaire sample; the system only guides designers, with no automated actuation on the physical process and no self-improvement of the prediction models. Validation is confined to a single modelling study, so transferability to other prefabrication contexts is untested.</t>
  </si>
  <si>
    <t>Couples a digital twin of the construction process with a BP neural network to predict prestressed steel structure construction safety: the network learns the relationship between design parameters and mechanical parameters, working conditions are set in the twin model to obtain the mechanical response, safety performance is then evaluated, and the method is applied to string beam construction with predicted results verified against on-site measured data.</t>
  </si>
  <si>
    <t>The BP network is trained offline and never updated from incoming site data, so the twin has no learning or convergence loop, and output stops at a safety assessment for engineers with no actuation on the construction process. Validation is a single string-beam case, leaving generalisation to other prestressed structures and to unseen working conditions unverified.</t>
  </si>
  <si>
    <t>Automates dam safety evaluation with a digital twin of the 131 m Jiangya gravity dam: an extended IFC schema (IfcDSMSystem, IfcMonitoringItem, IfcSensorAssembly) integrates deformation, seepage, stress and environmental monitoring data, HST statistical models establish baselines, and a multi-rule cloud-reasoning model with a multi-dimensional cloud model and improved CRITIC weighting (removing human-assigned weights) aggregates monitoring points into a five-grade dam safety status, applied continuously from January to September 2019 with a 'basically normal' result.</t>
  </si>
  <si>
    <t>The HST models are regression fits that are not retrained or self-corrected, and the twin ends at automated evaluation feeding human preventive-maintenance decisions with no actuation. Validation covers one dam over nine months producing only a 'basically normal' outcome, so behaviour under genuinely abnormal or extreme states, and sensitivity to sensor faults, remain unverified.</t>
  </si>
  <si>
    <t>Provides a digital twin construction method for monitoring the operation status of building machine jacking operation (BMJO): a layered DT architecture in which a Blender geometric node group generates the parametric virtual model, an artificial neural network gives online prediction of structural performance, and a motion model delivers real-time state mapping; a real building machine project validates quantitative monitoring, evaluation, early warning and real-time prediction of operational posture with high accuracy and fast analysis.</t>
  </si>
  <si>
    <t>One-way monitoring to early warning: alerts are issued to operators with no automated actuation on the jacking system, and the ANN is not updated from accumulated operating data, so there is no self-improvement. Validation is limited to a single building machine project, leaving transferability to other jacking systems and long-term robustness of the posture prediction untested.</t>
  </si>
  <si>
    <t>Proposes a whole-lifecycle building process optimization framework based on BIM-DT covering survey and design, construction preparation, construction, and operation and maintenance, integrating a data management system, a BIM modelling system and a digital twin model with real-time feedback; the empirical study implements the construction-phase data management system and applies a BP neural network to construction fault diagnosis, reaching about 99% average accuracy over nine fault types (construction joints, grouting, pouring sequence and others) against CNN 90.23%, SVM 89.19% and PSO 88.35%.</t>
  </si>
  <si>
    <t>Only partly realised: the integration of the lifecycle stages with the BIM-DT model is not described in detail, which the authors acknowledge, and only the construction phase is implemented. Fault diagnosis informs people rather than acting on the process, the BP network does not self-improve, and validation is one project restricted to nine predefined fault types.</t>
  </si>
  <si>
    <t>Delivers a multisensory and BIM-integrated digital twin for urban excavation safety: multi-sensors on the physical excavator drive 3D pose estimation through a kinematic model optimized with the social spider algorithm (24.61 mm bucket-tip error, 4.0 cm translation accuracy), while a BIM of buried utilities and a 3D excavator model form a dynamic virtual mirror of the excavation; the physical-virtual coupling enables real-time dynamic collision-risk assessment with 3D visual guidance and safety warning (the pipe model turns red when the bucket enters the risk area so the operator stops), prototype field-tested in two case studies at 0.05 s sampling.</t>
  </si>
  <si>
    <t>Safety control depends on the human operator reacting to the visual warning: no automated machine intervention is implemented and there is no learning loop. Accuracy relies on the assumed kinematic model and sensor placement, and on buried-utility BIM being accurate and current, while validation covers only two excavation cases on a single machine type.</t>
  </si>
  <si>
    <t>Shows how BIM and digital twins integrate in mechanized tunnelling: a design-science case study of a TBM tunnelling project in which a computational design algorithm automates the integration of TBM excavation data into a Digital Twin Construction (DTC) system, generating the real-time status of the tunnel physical state in short cycles, cutting DT modelling time by 90% and supporting lean design and construction such as bracketry design with reduced rework and uncertainty.</t>
  </si>
  <si>
    <t>Data interoperability and the absence of standardized modelling remain open challenges reported by the authors; the twin ends at decision support for lean workflows, with no actuation back to the TBM and no learning loop. Evidence comes from a single TBM tunnelling project, so the 90% modelling-time reduction is not corroborated across other projects, contractors or tunnelling methods.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</si>
  <si>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</si>
  <si>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</si>
  <si>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</si>
  <si>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</si>
  <si>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</si>
  <si>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</si>
  <si>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</si>
  <si>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</si>
  <si>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</si>
  <si>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</si>
  <si>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</si>
  <si>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</si>
  <si>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</si>
  <si>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</si>
  <si>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</si>
  <si>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</si>
  <si>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</si>
  <si>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Self-improvement / convergence (Gap 4 - core gap)</t>
  </si>
  <si>
    <t>PanelModality</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</si>
  <si>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</si>
  <si>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</si>
  <si>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</si>
  <si>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</si>
  <si>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</si>
  <si>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</si>
  <si>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</si>
  <si>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</si>
  <si>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t>
  </si>
  <si>
    <t>Single</t>
  </si>
  <si>
    <t>Co-present</t>
  </si>
  <si>
    <t>Aligned</t>
  </si>
  <si>
    <t>Fused</t>
  </si>
  <si>
    <t>Conf</t>
  </si>
  <si>
    <t>High</t>
  </si>
  <si>
    <t>Medium</t>
  </si>
  <si>
    <t>Low</t>
  </si>
  <si>
    <t>Deep-read: Fusion depth (AC1)</t>
  </si>
  <si>
    <t>Deep-read: Fusion evidence (AC2)</t>
  </si>
  <si>
    <t>Deep-read: Fusion confidence (AC3)</t>
  </si>
  <si>
    <t>Fusion coding flag (review)</t>
  </si>
  <si>
    <t>Deployed LiDAR+radar+camera fusion validated with RTK-GNSS at lane-level accuracy at a real work zone (joint multi-sensor deployment feeding conflict metrics).</t>
  </si>
  <si>
    <t>Perspective paper defining next-gen CPS/DT; the bidirectional-control scenarios are illustrative only and no data-integration mechanism is implemented.</t>
  </si>
  <si>
    <t>Four-layer fire-safety framework validated only through a thematic analysis and an FM-professional questionnaire; the layer integration mechanism is not implemented.</t>
  </si>
  <si>
    <t>Each video segment is timestamped and the custom Grafana plugin cross-references RTSP video streams with time-series sensor data stored in MySQL, giving video and beacon data a shared temporal frame (inference still runs on sensor series only).</t>
  </si>
  <si>
    <t>Standardisation position paper (CEN/TC 442/WG 9); the two illustrative DT cases are management/visualisation platforms and no data-integration mechanism is specified.</t>
  </si>
  <si>
    <t>Smart Twins 4.0 links physical formworks to their virtual BIM counterparts through automatic database integration (RFID UHF tags read on Android, Firebase, Web-based Revit/Dynamo BIM), i.e. a shared object identity between tag data and BIM elements.</t>
  </si>
  <si>
    <t>Defect records are anchored to georeferenced 3D meshes in PostGIS via raycasting and frustum-based image retrieval, putting imagery-derived geometry and defect annotations in one spatial reference frame.</t>
  </si>
  <si>
    <t>Only ambient-vibration time series from wireless accelerometers feed the analytics; FEM-calibrated synthetic damage is model-generated training data, not a second measured data type.</t>
  </si>
  <si>
    <t>The LiDAR point-cloud survey is converted into a BIM that is linked to the 3DEC/SAP2000 FEM models through an explicit BIM-FEM linking process, sharing one building geometry frame while each model analyses separately.</t>
  </si>
  <si>
    <t>Conceptual resilience framework for critical infrastructure; no implementation, prototype or case evaluation, so no integration mechanism can be identified.</t>
  </si>
  <si>
    <t>Only load-displacement curves generated by nonlinear ATENA finite-element sensitivity analyses feed the ANN surrogate; no measured sensor stream exists.</t>
  </si>
  <si>
    <t>Six independent information pipelines (crane-hook IMU/GPS, post-tensioning strains, laser-scan deflections, maturity temperatures, formwork-vibration accelerations, mobile-app progress) feed one knowledge-graph dashboard, each staying in its own pipeline.</t>
  </si>
  <si>
    <t>Ambient-vibration accelerometers and laser displacement sensing both feed and validate one Spacegass FE twin of the bridge, sharing the structural model frame, with each quantity analysed separately.</t>
  </si>
  <si>
    <t>SfM-MVS point clouds are registered to the BIM via Scan-vs-BIM comparison, and Mask R-CNN/DBSCAN segmentation and Hough-transform inspection run as separate stages on this shared model frame.</t>
  </si>
  <si>
    <t>The DF-STTN hybrid surrogate fuses Swin-Transformer spatial fields with TabTransformer non-spatial parameters via a dual-stage fusion module, and a GA model-updating procedure joins sparse laboratory test data with the FE-trained model.</t>
  </si>
  <si>
    <t>Settlement, TBM-operational and structural monitoring data are continuously integrated in the DT and jointly reasoned over by a knowledge graph with SWRL rules to infer hazards and mitigation.</t>
  </si>
  <si>
    <t>Live operational data and the TROA-ET/FEM surrogate coexist in the DT parallel-control architecture over bidirectional 4G/MQTT links, but the surrogate is offline-trained and no joint inference across streams is stated.</t>
  </si>
  <si>
    <t>Weigh-in-motion and multi-source machine-vision monitoring are fused to measure full-bridge traffic loads, which then drive the mechanical analysis models of a regional bridge group.</t>
  </si>
  <si>
    <t>Camera feeds drive YOLOv8 event detection while microphone and sensor streams support a separate voice-assistant pipeline in the same fog-computing platform, with no common representation stated.</t>
  </si>
  <si>
    <t>The five-layer DTCRAM risk model is built from a Delphi study and a case study in which sensor-fed simulation and feedback loops are described only conceptually, so no implemented integration mechanism can be identified.</t>
  </si>
  <si>
    <t>A review-based RtBDM framework proposes BIM/DT integration with sensors and AI for real-time bridge disaster management, but no system is built or validated, so no integration mechanism is demonstrated.</t>
  </si>
  <si>
    <t>An LLM interprets natural-language site narratives into integer-programming constraints that jointly determine task allocation together with the Unity DT state synchronised with ROS/Gazebo.</t>
  </si>
  <si>
    <t>Real-time data and dashboards monitor 13 KPIs across five domains (cost, schedule, quality, safety, environment) in one renovation DT platform, without a stated shared reference frame joining the domains.</t>
  </si>
  <si>
    <t>An SLR-based ISO 19650 DT development framework (PIM/AIM containers, CDE, IoT/WSN, ML) is proposed without any implementation, so no integration mechanism can be coded.</t>
  </si>
  <si>
    <t>Location-enabled twins georeference diverse data sources through CesiumJS and place them in Unreal Engine scenes, linking hazard boxes and asset inspection records to site coordinates.</t>
  </si>
  <si>
    <t>Only questionnaire-calibrated agent parameters (84 valid questionnaires, Cronbach alpha 0.868) feed the AnyLogic hybrid simulation; no second measured data type exists.</t>
  </si>
  <si>
    <t>RIEGL VZ-2000i laser-scanned geometry is converted to IFC 4.3 BIM, and the SCIA Engineer FE model is updated against DIC measurements, linking scan geometry and measurement data through the shared bridge model.</t>
  </si>
  <si>
    <t>Only twin-generated structural-state samples (numerical 48 m steel roof under five working conditions) train the PSO-BP predictor; no live measured data exists.</t>
  </si>
  <si>
    <t>WebGIS (Cesium), WebBIM (Xeokit) and Neo4j graph algorithms are integrated in a three-layer architecture with a common data environment, spatially linking GIS, BIM and defect data for the River Neath Swing Bridge.</t>
  </si>
  <si>
    <t>A Bayesian network fuses NBI inspection ratings, FDOT traffic monitoring and USGS river-gage data into one 6,478-node, 10,584-edge network that updates bridge failure risk through automated Bayesian inference.</t>
  </si>
  <si>
    <t>Vision-derived geometry of the cut shape and the robot digital twin share the robot kinematic frame for MR previsualisation, while mark interpretation and motion preview remain separate processes.</t>
  </si>
  <si>
    <t>The four-stage condition-assessment framework reuses prior test data and adds no new measurements, so no implemented multi-source integration can be examined.</t>
  </si>
  <si>
    <t>The metaverse evacuation system describes sensor collection (video cameras, smoke detectors) that would feed a cloud-trained DQN, but all experiments run in simulation without deployed sensors.</t>
  </si>
  <si>
    <t>Video, sensor, BIM and text streams are aligned at component level via Component-ID + timestamp and then jointly processed by a multimodal Transformer for operation-state recognition and short-horizon risk prediction.</t>
  </si>
  <si>
    <t>Multi-sensor data (monitoring LiDAR, automated robots, GNSS, drones, SBAS-InSAR) are linked to RBIM through GUID object mapping tables and combined by a cloud platform using weighted-average fusion and conflict detection.</t>
  </si>
  <si>
    <t>Only crowdsourced smartphone imagery drives the geospatial localisation of vulnerable objects (mean-shift clustering), so a single data type is used.</t>
  </si>
  <si>
    <t>Twenty-eight IoT sensing nodes (water pressure, gas leakage, surface temperature) are mapped into a lightweight BIM-GIS platform, and the AI risk model predicts per-asset (valve aging) rather than fusing streams.</t>
  </si>
  <si>
    <t>UAV detections are cross-referenced with GPS-enabled worker IDs to verify authorisation, so the decision output depends on visual detections and GPS identity data simultaneously.</t>
  </si>
  <si>
    <t>UWB and IMU sensing streams are fused inside the PosTraFormer spatio-temporal network (multi-layer GCNs over trajectory point relations) for 6-D pose estimation and trajectory prediction.</t>
  </si>
  <si>
    <t>Only the ultrasonic distance sensor stream is actually used in the twin; the MPU-6050 accelerometer/gyroscope readings were excluded because of latency and twitching.</t>
  </si>
  <si>
    <t>The Universal Discontinuity Index fuses physical damage, effective-stress intensity, active-fracture ratio and kinematic feasibility into one probabilistic score feeding a Poisson early-warning model.</t>
  </si>
  <si>
    <t>Multi-source sensing (MEMS, BOFDA distributed optical fibre, laser radar, UAV, machine vision) feeds four neural-network predictors on the BIM platform, which the paper itself calls a multi-source fusion platform.</t>
  </si>
  <si>
    <t>Only RTK-GNSS over LoRa position tracking (1.0 cm median, 2.3 cm 95th percentile) drives the right-time analysis; no second measured data type exists.</t>
  </si>
  <si>
    <t>Only expert-opinion data (20 indicator-weighting questionnaires, 15 valid case-study questionnaires) drive the maturity assessment; no sensor or operational data are used.</t>
  </si>
  <si>
    <t>Strain-gauge and laser-distance sensor readings are mapped onto BIM elements through Revit Dynamo interpolation, sharing the BIM frame while each sensor channel is processed separately.</t>
  </si>
  <si>
    <t>Multi-source risk assessment uses improved D-S evidence theory with conflict weakening and a validity factor to fuse personnel, pipe-sheet, shield and environmental data into one belief-level risk output.</t>
  </si>
  <si>
    <t>Online map layers (DSM, DEM and aerial photos) are jointly processed to reconstruct the existing road and underpass as one digital twin used for clearance checking.</t>
  </si>
  <si>
    <t>Settlement, stress and displacement sensors stream into IFC-extended Revit BIM models with parametric sensor attributes and time-history curves, linking sensors to BIM elements without joint inference.</t>
  </si>
  <si>
    <t>The BFP ontology fuses static BIM geometry with dynamic IoT sensing data into one DT data model, on which rule models trigger BPMN process models for fire-protection control.</t>
  </si>
  <si>
    <t>Twenty-Hz scale-model sensors (displacement, tilt etc.) stream through IoT into synchronous FEM/BIM/IDA virtual models that compute real-time dynamic stability analysis and collapse-probability levels.</t>
  </si>
  <si>
    <t>Real-time multi-sensor states mirrored in the DT are jointly reasoned over by a standards-derived knowledge graph to identify unsafe hoisting operations and trigger early warnings.</t>
  </si>
  <si>
    <t>BIM, schedule and automated safety-analysis results are integrated into one Prolog knowledge graph (about 3,800 nodes, 20,000 edges) whose cross-domain queries answer planning questions over all three data types simultaneously.</t>
  </si>
  <si>
    <t>SfM/MVS photogrammetry reconstructs jobsite point clouds, ResNet50 semantic segmentation runs in 2D and a depth-aware projection fuses the two into 3D semantic segmentations (97.85 to 99.8% accuracy).</t>
  </si>
  <si>
    <t>UAV photogrammetry, Street-View CNN segmentation and satellite terrain modelling are combined in one HAZUS-based reliability computation of nearby glazing systems under windborne-debris impact.</t>
  </si>
  <si>
    <t>Only high-precision LiDAR scans of the underground utility tunnel feed the Unreal digital twin; the 4-DoF motion platform adds haptic actuation, not a second data type.</t>
  </si>
  <si>
    <t>Advanced sensor packages (thermal, RGB, UV, motion) plus LiDAR-derived 3D models are combined with stated real-time data fusion for fire/anomaly detection in two 17-month deployments.</t>
  </si>
  <si>
    <t>Only vibration recordings (random-vibration FRF on a shaking-table pipe) drive the model-updating and real-time estimation; no second measured data type exists.</t>
  </si>
  <si>
    <t>Weather-station variables (temperature, humidity, irradiance, wind) and the UAV-photogrammetry geometric site twin are jointly consumed by SOLWEIG microclimate simulation to produce site-wide heat-risk maps.</t>
  </si>
  <si>
    <t>Live sensor data are compared against a pre-simulated virtual-sensor fire knowledge base via online DTW similarity measurement, so fire recognition depends on real and simulated data streams simultaneously.</t>
  </si>
  <si>
    <t>Low-fidelity and high-fidelity RBF surrogates are fused with live inclination and strain sensor inputs (18 test points) to predict stress and deformation in 0.035 s with Gaussian uncertainty quantification.</t>
  </si>
  <si>
    <t>BIM-guided UAV image selection, GrabCut pixel-to-component assignment (IoU 0.80-0.90) and pre/post 3D point-cloud change detection all operate on one shared BIM reference frame, with per-stage analyses.</t>
  </si>
  <si>
    <t>SfM photogrammetry and the building DT/BIM geometry are jointly used to generate occlusion-free metric orthophotos, on which deep-learning semantic segmentation then runs.</t>
  </si>
  <si>
    <t>Only FARO Focus-3D laser-scanned point clouds feed the geometric DT pipeline; the Leica total-station targets serve purely as a validation benchmark, and 3D-sonar fusion is stated as future work.</t>
  </si>
  <si>
    <t>CHECK: coded Multi in AC but fusion=Single</t>
  </si>
  <si>
    <t>The residual between the physical SCADA stream (793 dimensions) and the virtual-sensor (DBN) output is the diagnostic signal, so fault diagnosis depends on both streams simultaneously.</t>
  </si>
  <si>
    <t>Previous-stage FEM results, construction-progress data and temperature data are jointly interpolated with multi-stage laser scans to build one continuous dynamic IFC model between scan stages.</t>
  </si>
  <si>
    <t>Depth-camera 32-point skeletons, LiDAR/URDF robot models and ArUco/QR material tags are combined into geometric-solid virtual representations on which separation-distance and protective-separation-distance computation runs jointly.</t>
  </si>
  <si>
    <t>CO, temperature and humidity readings are dynamically mapped onto the corresponding spatial components of a 3D BIM model, linking each sensor channel to BIM elements while actuation stays in the WSN control node.</t>
  </si>
  <si>
    <t>RFID, IMU, crane black-box and LoRa sensing data jointly feed a DEMATEL-ISM hierarchical risk model and Bayesian-network reasoning that computes key degrees of indirect inducement factors.</t>
  </si>
  <si>
    <t>Twenty-six days of integrated multi-source site records are jointly mined by Apriori association rules and complex-network analysis to identify risk-factor coupling relationships.</t>
  </si>
  <si>
    <t>Sensor strain measurements correct the twin (cutting cable-force errors to within 3%) and a DBN predicts cable forces, so the safety-evaluation output depends on measured and model streams simultaneously.</t>
  </si>
  <si>
    <t>BIM, 3D laser scanning and ANSYS/LS-DYNA share one high-fidelity twin geometry, while the improved BP predictor is trained offline on FE working-condition samples and field data serve verification only.</t>
  </si>
  <si>
    <t>LoRa IoT terminals (oxygen, CO, smoke, temperature, door/window sensors, camera people-counting) are jointly classified by SVM models into fire, illegal-intrusion and overcrowding dangers with danger-level grading.</t>
  </si>
  <si>
    <t>Hydraulic-jack, temperature and stress sensor readings from the jacking process are fed together into an XGBoost model (with FE-guided sensor placement) predicting key-bar stress with 98% accuracy.</t>
  </si>
  <si>
    <t>Multi-channel overall-jacking monitoring data are jointly analysed by a random-forest model that ranks jacking height difference and jacking speed as the dominant factors for structural stress.</t>
  </si>
  <si>
    <t>Real-world topography, infrastructure, traffic, transit and disaster data are manually integrated into one georeferenced Cities:Skylines simulation scene, with no automated calibration or live link.</t>
  </si>
  <si>
    <t>Only Hong Kong territory-wide LiDAR survey data (up to 0.1 m resolution) are used; the DrainNet input images and the slope topography are both derived products of that single survey.</t>
  </si>
  <si>
    <t>Only visual-inspection campaign data (classified unit cells with photo links) feed the 2D grid-to-TSI mapping; the stochastic limit-analysis models are mathematical tools, not a second data type.</t>
  </si>
  <si>
    <t>Only Faro Focus 3D X330 point-cloud data feed the procedural modelling pipeline; parametric/procedural modelling are model-generation steps, not additional measured data types.</t>
  </si>
  <si>
    <t>BIM and GIS spatial/functional data are integrated into one centralized relational database with tailor-made space encoding, sharing a spatial frame, while fire-evacuation crowd simulation runs as a separate benchmark.</t>
  </si>
  <si>
    <t>Local SMAC-tuned models from six Raspberry Pi edge nodes are fused by performance-weighted one-shot aggregation into a global federated model, with the DT layer orchestrating nodes and topologies.</t>
  </si>
  <si>
    <t>Worker-status, weather and structural-parameter records (50,000 samples) are jointly trained into one DNN via federated learning with dynamic node selection, and the DT visualises the fused global model.</t>
  </si>
  <si>
    <t>Only record-based data (83 professional questionnaires and longitudinal maintenance records) calibrate the Quality-Sustainability Integration Index; the BIM-based LCA is model-generated.</t>
  </si>
  <si>
    <t>A systematic review of 52 papers on ontology/semantic-web integration in BIM-DT construction management; no system is built or tested, so no integration mechanism can be coded.</t>
  </si>
  <si>
    <t>Multiview UAV imagery, SfM 3D reconstruction and a MobileNetV2-based CNN are combined into one semantic twin in which anomalies are classified and embedded as GIS-compatible damage attributes.</t>
  </si>
  <si>
    <t>Laser scanning and photogrammetry are fused, and Mask-RCNN detections are mapped into point clouds via COLMAP, ICP alignment and voxel raycasting to enrich the geometric twin with semantic and text information.</t>
  </si>
  <si>
    <t>Six IoT sensor clusters (PM2.5, CO2, noise, vibration) stream via MQTT/Firebase into Node-RED threshold rules and a shared dashboard, with sensors linked to BIM assets while each rule acts per channel.</t>
  </si>
  <si>
    <t>Ambient-vibration modal parameters calibrate the SAP2000 FEM twin, and DInSAR-SBAS displacement observations are then interpreted against the twin thermo-mechanical output, with each stream used in its own stage.</t>
  </si>
  <si>
    <t>Depth and grayscale images are jointly encoded by a Siamese self-supervised contrastive network (vision transformer, Fourier network, multilevel fusion) with a Bayesian NN to generate probabilistic 3D point clouds.</t>
  </si>
  <si>
    <t>Live Wi-Fi RSSI localisation and the IFC-derived decision graph are jointly consumed by an extended Dijkstra algorithm whose dynamically updated route weights depend on both simultaneously.</t>
  </si>
  <si>
    <t>BIM and FEM share one digital replica via Parasolid export, and the September-2023 magnitude-6.8 earthquake monitoring records corroborate the FEM results, with analyses run per stage.</t>
  </si>
  <si>
    <t>A document-analysis-based risk systematisation for construction DTs proposes a ten-step risk-treatment procedure and custom risk matrix, with no implemented system or data integration.</t>
  </si>
  <si>
    <t>MMS-derived LiDAR point clouds, municipal GIS layers and authoritative geodatabases are integrated into IFC 4.3 semantic models (LoD200/LoD400) covering about 45 km of road network with 3 cm RMSE accuracy.</t>
  </si>
  <si>
    <t>An AHP + Bayesian-network underground-space planning model is presented with five-dimensional DT visualisation, but all evidence comes from simulations and assumed probabilities, with no deployed sensor network.</t>
  </si>
  <si>
    <t>Extensometers, load cells and prism-target measurements jointly feed the FEM models that trigger rock-support adjustments on the Neelum Jhelum powerhouse cavern.</t>
  </si>
  <si>
    <t>A graph attention network couples flood simulation with INRIX 5-minute traffic-speed data, so segment-level speed and accessibility predictions depend on both data types simultaneously.</t>
  </si>
  <si>
    <t>PCRNet fuses infrared imagery with point-cloud depth information, and a CNN detects anomalies on the fused representation, achieving 92% accuracy and 95.1% F1.</t>
  </si>
  <si>
    <t>Monitoring-point displacements are mapped onto the surrogate-model full-field predictions for the Donglingxin landslide, sharing the model frame, while the surrogate itself learns from simulation rather than live sensor feedback.</t>
  </si>
  <si>
    <t>RGB camera imagery, RTK-GNSS and IMU localisation are combined so skeletonization and PCA can convert segmentations into metric crack length and centre measurements on the building facade.</t>
  </si>
  <si>
    <t>Only vibration signals (plus auxiliary temperature on the test rig) drive the CycleGAN-augmented CNN-ResNet fault classifier; the gear-dynamics virtual entity generates training data, not a second measured type.</t>
  </si>
  <si>
    <t>Google Solar API heat-index data, Vienna population/vulnerability data and OpenStreetMap road infrastructure are fused into one dependency-risk graph whose centrality analysis plans responder routes.</t>
  </si>
  <si>
    <t>One hundred and twenty embedded strain gauges plus support-reaction, temperature and displacement sensors are mapped onto the web-BIM/Midas twin points, and three-level warnings fire on per-point deviations between measured and simulated stress.</t>
  </si>
  <si>
    <t>TEM, GPR and borehole data are converted into point-cloud models of water content, lithology and integrity and jointly classified by a fuzzy cloud probability model into surrounding-rock classes.</t>
  </si>
  <si>
    <t>RFID, displacement, soil-pressure and environmental sensing are fused into an 850,141-cell FLAC3D model updated after each excavation step, with Markov-chain risk prediction and a bow-tie model selecting control measures.</t>
  </si>
  <si>
    <t>YOLOv8 UAV imagery, PointNet LiDAR point clouds and LSTM-forecast sensor series are combined through a fuzzy-logic expert knowledge base whose rules assess structural health over all three outputs.</t>
  </si>
  <si>
    <t>The human-in-the-loop DT framework formalises human cognition, AI and engineering knowledge into a device-model-decision architecture, but validation is qualitative and conceptual only.</t>
  </si>
  <si>
    <t>Only orientation-sensor data (XSens MTw on boom, stick and bucket) drive the forward-kinematic DT updates; vision references in the text are background literature, not an implemented data source.</t>
  </si>
  <si>
    <t>Multisource heterogeneous data are semantically linked in an ontology-based four-layer model in GraphDB, and SPARQL iterative deviation computation reasons over the linked data to identify quality defect triggers.</t>
  </si>
  <si>
    <t>A scoping review plus Research-through-Design proposal outlines a BIM-DT-DSS safety framework, with no prototype, sensor integration or live data link.</t>
  </si>
  <si>
    <t>The BDTP architecture with BPMN workflows and digital/human agents connected via APIs is a Design-Science conceptual framework; implementation, KPIs and AI/ML are future work.</t>
  </si>
  <si>
    <t>A dynamic decision network couples convolutional DL damage diagnostics with sequential Bayesian state inference, so the health-tracking output depends on the measured (synthetic) vibration stream and the learned dynamics simultaneously.</t>
  </si>
  <si>
    <t>A review plus methodology proposal for physical digital twins of nuraghi masonry lists possible mechanical and multiphysical modelling roads, with no twin built or validated.</t>
  </si>
  <si>
    <t>BIM, GIS and real-time IoT streams are harmonised in a PostGIS repository where rule-based vulnerability and risk scores are computed jointly over the three sources for multi-hazard assessment.</t>
  </si>
  <si>
    <t>UAV and AMR measurements are geo-registered and merged via MQTT/Node-RED into ontology-based KPI dashboards, sharing a geospatial frame while KPI analytics run per asset type.</t>
  </si>
  <si>
    <t>The FE model and the photorealistic CG model share one imported building geometry (SAP2000 to Blender), so the two model types are aligned by component, while UAV flight-scheme evaluation runs on the coupled model.</t>
  </si>
  <si>
    <t>Human VR task plans and the robot status are synchronised bidirectionally in the process-level DT, sharing one robot-state frame, while sensing, motion planning and execution run in their own stages.</t>
  </si>
  <si>
    <t>BIM shop-drawing geometry, AprilTag vision localisation and sensed as-built data are combined in the robot motion-planning loop, whose adaptation output depends on all three simultaneously, with as-built data written back to BIM.</t>
  </si>
  <si>
    <t>A review plus conceptual prefabricated-building DT framework with a construction-service-bus architecture; no system is implemented or validated.</t>
  </si>
  <si>
    <t>YOLOv4-tiny + DeepSORT detections are anchored into the 4D BIM virtual construction site, so danger-zone computation and HoloLens overlays depend on live vision data and BIM geometry simultaneously.</t>
  </si>
  <si>
    <t>A BO-GCN-BiLSTM predictor with SHAP interpretation jointly consumes multi-parameter slurry-shield construction data and iteratively keeps slurry pressure within the warning range via bidirectional IoT/5G links.</t>
  </si>
  <si>
    <t>Bayesian-optimised CatBoost maps 19 construction parameters to six attitude targets as one multi-input model, with SHAP identifying dominant factors and MOEAD multi-objective optimisation on the predictions.</t>
  </si>
  <si>
    <t>Multi-channel surveillance video is fused into the BIM static scene through 3D registration and projection, and multi-source IoT sensing data are integrated into the same scene for tunnel operations management.</t>
  </si>
  <si>
    <t>Twenty-five surveillance-video channels are 3D-registered into the drone/BIM waterway scene, and multi-source IoT data (AIS, bayonet) are integrated into the same scene for water-safety management.</t>
  </si>
  <si>
    <t>The LoRa temperature-sensor array is mapped onto the spatiotemporal building-fire field learned by ADLSTM-Fire, so measured readings and the model field share one spatiotemporal frame while inference runs in the model.</t>
  </si>
  <si>
    <t>Wireless time-synchronised smart-sensor vibration data are mapped onto the cloud MDOF flexural-shear twin updated by SSI-COV and PSO, which then localises vibration sources by spectrum matching.</t>
  </si>
  <si>
    <t>BIM and the oblique-photogrammetry real-scene 3D model are fused by rigid-body SVD registration plus JSON semantic mapping, and 60 sensors (vibration, displacement, strain, temperature) are integrated into the fused model.</t>
  </si>
  <si>
    <t>Real-time worker trajectories, postures and interactions are integrated into the BIM-anchored Unreal twin, and a non-autoregressive transformer jointly predicts future movements and collision near-misses.</t>
  </si>
  <si>
    <t>Worker trajectories (YOLOv5/SGBM/DeepSORT/MediaPipe) and BIM scene geometry jointly feed a non-autoregressive transformer plus inverse-kinematics reconstruction for 3D near-miss prediction.</t>
  </si>
  <si>
    <t>SHAP-selected multi-parameter shield monitoring feeds the ABC-NSGA-III hybrid optimiser, whose six-objective output is fed back into the DT to guide tunnelling parameter adjustment.</t>
  </si>
  <si>
    <t>Vibration, tilt, light, air-quality and water-detection sensors are synchronised to a LOD 400 BIM model via Autodesk Forge API and WebSockets, with two-tier anomaly detection running per channel.</t>
  </si>
  <si>
    <t>Multi-source sensors (safety, environmental, construction, auxiliary) are integrated into an OpenGL virtual tunnel with four-level early warnings, linked to the tunnel model while warnings fire per parameter.</t>
  </si>
  <si>
    <t>Only electrical-resistivity-tomography data drive the TG-FNO forward model and leakage inversion; all validation uses synthetic ERT datasets.</t>
  </si>
  <si>
    <t>UAV photogrammetry models, radar obstacle detection, RTK/IMU attitude, force feedback and eye-tracking are all shown in one geolocated 5G teleoperation platform, sharing the scene frame while each stage processes its own data.</t>
  </si>
  <si>
    <t>Only point-cloud data drive the DS-gDT joint detection and topology reconstruction; no second measured data type exists.</t>
  </si>
  <si>
    <t>IoT sensors are mirrored into the four-layer DT virtual model (geometric/physical/behavioural/rule-based), and the edge intelligent control device issues navigation and alarms per signal threshold.</t>
  </si>
  <si>
    <t>UAV detections are projected onto the GeoBIM model through virtual-camera depth rendering and SfM pose correction, so defect localisation depends on imagery, camera geometry and BIM geometry simultaneously.</t>
  </si>
  <si>
    <t>A conceptual framework extending BIM LoDs to construction-site DTs is validated only through 31 questionnaires and 10 expert interviews; no DT is implemented or tested.</t>
  </si>
  <si>
    <t>Scale-model sensor feedback, a DNN-PID dynamic-error-compensation controller and RL-tuned parameters are combined in the closed-loop synchronous jacking control, whose command output depends on measured and model streams simultaneously.</t>
  </si>
  <si>
    <t>DHT11, MPU6050, wind and laser displacement sensors stream over MQTT to the Unreal prototype for dataflow verification and threshold alarms, sharing the twin frame while each channel is checked separately.</t>
  </si>
  <si>
    <t>UAV imagery, SfM photogrammetry reconstruction and GIS-oriented registration are combined to project instance-segmentation masks onto the DT surface and convert them into metric crack/spalling measures.</t>
  </si>
  <si>
    <t>RGB-D image+depth and IMU motion streams are fused and analysed by YOLOv5/Faster-RCNN/HRNet to drive the Unity virtual entity, whose rule model computes dangerous/warning/safe zones for collision warnings.</t>
  </si>
  <si>
    <t>Stochastic geology (Markov random field), AHP-DEMATEL vulnerability evaluation and delay probability densities are combined inside one discrete-event simulation model whose schedule/safety outputs depend on all inputs.</t>
  </si>
  <si>
    <t>WIM vehicle data (six million vehicles, Gaussian mixture + MCMC sampling) and structural responses jointly train Transformer encoder-decoder models that predict bridge responses across the regional network.</t>
  </si>
  <si>
    <t>IoT multi-sensor project data are fused into BIM+Midas+LSTM twin models with black/gray/white-box processing levels, and the LSTM predicts vault settlement for dynamic safety grading.</t>
  </si>
  <si>
    <t>Real-world records (drawings, photos, investigation data) are mapped into BIM, FE and physics-engine models that reconstruct the collapse in stages, sharing one building frame while each model analyses its own domain.</t>
  </si>
  <si>
    <t>A modelling study of prefabricated-construction DTs describes measuring sensors and factor-analysed risk indicators, but the authors state the work lacks a demonstrated live sensor-to-twin data link.</t>
  </si>
  <si>
    <t>BP-network training samples come from FE working-condition simulation, and predicted displacement/stress are verified against on-site measurements, sharing the structural model frame without joint inference.</t>
  </si>
  <si>
    <t>Deformation, seepage, stress and environmental monitoring information are aggregated by a multi-dimensional cloud model with improved CRITIC weighting into one five-grade dam safety status.</t>
  </si>
  <si>
    <t>Multi-sensor monitoring data and a Blender parametric twin feed an RBF neural network for online stress and deformation prediction, with a motion model for real-time state mapping.</t>
  </si>
  <si>
    <t>A BP neural network is trained on construction-phase data to diagnose nine fault types (construction joints, grouting, pouring sequence), so diagnosis depends on multiple input channels simultaneously.</t>
  </si>
  <si>
    <t>Four IMU sensors and two GNSS receivers are fused in an Euler-based kinematic model refined by social-spider-algorithm optimisation to estimate excavator pose, which then drives BIM-based collision-risk assessment.</t>
  </si>
  <si>
    <t>TBM excavation data (corrected TPC and VMT positioning, segment traceability, no-drill zones) are automatically mapped into the Dynamo as-built BIM model, sharing one tunnel-model frame with per-data processing.</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</si>
  <si>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</si>
  <si>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</si>
  <si>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</si>
  <si>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</si>
  <si>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</si>
  <si>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</si>
  <si>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</si>
  <si>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</si>
  <si>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PanelFusion</t>
  </si>
  <si>
    <t>FusionHeadline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</si>
</sst>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x14ac:knownFonts="1">
    <font>
      <sz val="11"/>
      <color theme="1"/>
      <name val="Calibri"/>
      <family val="2"/>
      <charset val="1"/>
    </font>
    <font>
      <b/>
      <sz val="14"/>
      <color rgb="FF1F4E5F"/>
      <name val="Arial"/>
      <family val="2"/>
    </font>
    <font>
      <i/>
      <sz val="10"/>
      <color rgb="FF595959"/>
      <name val="Arial"/>
      <family val="2"/>
    </font>
    <font>
      <b/>
      <sz val="12"/>
      <color rgb="FF1F4E5F"/>
      <name val="Arial"/>
      <family val="2"/>
    </font>
    <font>
      <b/>
      <sz val="10"/>
      <name val="Arial"/>
      <family val="2"/>
    </font>
    <font>
      <sz val="10"/>
      <name val="Arial"/>
      <family val="2"/>
    </font>
    <font>
      <b/>
      <sz val="9"/>
      <color rgb="FFFFFFFF"/>
      <name val="Arial"/>
      <family val="2"/>
    </font>
    <font>
      <sz val="9"/>
      <name val="Arial"/>
      <family val="2"/>
    </font>
    <font>
      <b/>
      <sz val="13"/>
      <color rgb="FF1F4E5F"/>
      <name val="Arial"/>
      <family val="2"/>
    </font>
    <font>
      <sz val="11"/>
      <name val="Arial"/>
      <family val="2"/>
    </font>
    <font>
      <b/>
      <sz val="11"/>
      <name val="Arial"/>
      <family val="2"/>
    </font>
    <font>
      <sz val="9"/>
      <name val="宋体"/>
      <family val="3"/>
      <charset val="134"/>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0"/>
      <color rgb="FF1F4E5F"/>
      <name val="Arial"/>
      <family val="2"/>
    </font>
    <font>
      <b/>
      <sz val="11"/>
      <color rgb="FF1F4E5F"/>
      <name val="Calibri"/>
      <family val="2"/>
      <charset val="1"/>
    </font>
    <font>
      <b/>
      <sz val="10"/>
      <color rgb="FFFFFFFF"/>
      <name val="Arial"/>
      <family val="2"/>
    </font>
    <font>
      <i/>
      <sz val="11"/>
      <color theme="1"/>
      <name val="Calibri"/>
      <family val="2"/>
      <charset val="1"/>
    </font>
    <font>
      <sz val="11"/>
      <color rgb="FFB04A4A"/>
      <name val="Calibri"/>
      <family val="2"/>
      <charset val="1"/>
    </font>
  </fonts>
  <fills count="11">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F2F2F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4" fillId="0" borderId="0" xfId="0" applyFont="1"/>
    <xf numFmtId="0" fontId="10" fillId="7" borderId="0" xfId="0" applyFont="1" applyFill="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2" fillId="2"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left" vertical="top" wrapText="1"/>
    </xf>
    <xf numFmtId="0" fontId="15" fillId="0" borderId="0" xfId="0" applyFont="1"/>
    <xf numFmtId="0" fontId="17" fillId="10" borderId="0" xfId="0" applyFont="1" applyFill="1"/>
    <xf numFmtId="0" fontId="16" fillId="0" borderId="0" xfId="0" applyFont="1" applyAlignment="1">
      <alignment vertical="center"/>
    </xf>
    <xf numFmtId="0" fontId="17" fillId="0" borderId="0" xfId="0" applyFont="1" applyAlignment="1">
      <alignment vertical="center"/>
    </xf>
    <xf numFmtId="0" fontId="18" fillId="10" borderId="0" xfId="0" applyFont="1" applyFill="1" applyAlignment="1">
      <alignment vertical="center"/>
    </xf>
    <xf numFmtId="0" fontId="17" fillId="10" borderId="0" xfId="0" applyFont="1" applyFill="1" applyAlignment="1">
      <alignment vertical="center"/>
    </xf>
    <xf numFmtId="0" fontId="19" fillId="0" borderId="0" xfId="0" applyFont="1"/>
    <xf numFmtId="0" fontId="20" fillId="0" borderId="0" xfId="0" applyFont="1"/>
    <xf numFmtId="0" fontId="13" fillId="8" borderId="0" xfId="0" applyFont="1" applyFill="1" applyAlignment="1">
      <alignment horizontal="center" vertical="center" wrapText="1"/>
    </xf>
    <xf numFmtId="176" fontId="0" fillId="0" borderId="0" xfId="0" applyNumberFormat="1"/>
    <xf numFmtId="0" fontId="22" fillId="0" borderId="0" xfId="0" applyFont="1"/>
    <xf numFmtId="0" fontId="0" fillId="0" borderId="3" xfId="0" applyBorder="1"/>
    <xf numFmtId="0" fontId="15" fillId="0" borderId="4" xfId="0" applyFont="1" applyBorder="1"/>
    <xf numFmtId="0" fontId="0" fillId="0" borderId="4" xfId="0" applyBorder="1"/>
    <xf numFmtId="0" fontId="20" fillId="0" borderId="4" xfId="0" applyFont="1" applyBorder="1"/>
    <xf numFmtId="0" fontId="15" fillId="0" borderId="2" xfId="0" applyFont="1" applyBorder="1"/>
    <xf numFmtId="0" fontId="0" fillId="0" borderId="2" xfId="0" applyBorder="1"/>
    <xf numFmtId="0" fontId="21"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5" fillId="0" borderId="5" xfId="0" applyFont="1" applyBorder="1"/>
    <xf numFmtId="0" fontId="0" fillId="0" borderId="6" xfId="0" applyBorder="1"/>
    <xf numFmtId="0" fontId="15" fillId="0" borderId="7" xfId="0" applyFont="1" applyBorder="1"/>
    <xf numFmtId="0" fontId="15" fillId="0" borderId="6" xfId="0" applyFont="1" applyBorder="1"/>
    <xf numFmtId="0" fontId="20" fillId="0" borderId="2" xfId="0" applyFont="1" applyBorder="1"/>
    <xf numFmtId="0" fontId="13" fillId="8" borderId="5" xfId="0" applyFont="1" applyFill="1" applyBorder="1" applyAlignment="1">
      <alignment horizontal="center" vertical="center" wrapText="1"/>
    </xf>
    <xf numFmtId="176" fontId="0" fillId="0" borderId="6" xfId="0" applyNumberFormat="1" applyBorder="1"/>
    <xf numFmtId="176" fontId="0" fillId="0" borderId="7" xfId="0" applyNumberFormat="1" applyBorder="1"/>
    <xf numFmtId="0" fontId="15" fillId="9" borderId="0" xfId="0" applyFont="1" applyFill="1" applyAlignment="1">
      <alignment wrapText="1"/>
    </xf>
    <xf numFmtId="0" fontId="23" fillId="0" borderId="0" xfId="0" applyFont="1"/>
    <xf numFmtId="176" fontId="15" fillId="0" borderId="0" xfId="0" applyNumberFormat="1" applyFont="1"/>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22223937526711635"/>
          <c:y val="0.16527917349711438"/>
          <c:w val="0.7425413568378153"/>
          <c:h val="0.62941020019761518"/>
        </c:manualLayout>
      </c:layout>
      <c:barChart>
        <c:barDir val="bar"/>
        <c:grouping val="stacked"/>
        <c:varyColors val="0"/>
        <c:ser>
          <c:idx val="0"/>
          <c:order val="0"/>
          <c:tx>
            <c:strRef>
              <c:f>Step3_Report!$B$68</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Step3_Report!$A$69:$A$70</c:f>
              <c:strCache>
                <c:ptCount val="2"/>
                <c:pt idx="0">
                  <c:v>Single (one data type)</c:v>
                </c:pt>
                <c:pt idx="1">
                  <c:v>Multi (two or more data types)</c:v>
                </c:pt>
              </c:strCache>
            </c:strRef>
          </c:cat>
          <c:val>
            <c:numRef>
              <c:f>Step3_Report!$B$69:$B$70</c:f>
              <c:numCache>
                <c:formatCode>0.0%</c:formatCode>
                <c:ptCount val="2"/>
                <c:pt idx="0">
                  <c:v>0.7857142857142857</c:v>
                </c:pt>
                <c:pt idx="1">
                  <c:v>0.89051094890510951</c:v>
                </c:pt>
              </c:numCache>
            </c:numRef>
          </c:val>
          <c:extLst>
            <c:ext xmlns:c16="http://schemas.microsoft.com/office/drawing/2014/chart" uri="{C3380CC4-5D6E-409C-BE32-E72D297353CC}">
              <c16:uniqueId val="{00000000-3200-45AD-8776-915277F1911C}"/>
            </c:ext>
          </c:extLst>
        </c:ser>
        <c:ser>
          <c:idx val="1"/>
          <c:order val="1"/>
          <c:tx>
            <c:strRef>
              <c:f>Step3_Report!$C$68</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Step3_Report!$A$69:$A$70</c:f>
              <c:strCache>
                <c:ptCount val="2"/>
                <c:pt idx="0">
                  <c:v>Single (one data type)</c:v>
                </c:pt>
                <c:pt idx="1">
                  <c:v>Multi (two or more data types)</c:v>
                </c:pt>
              </c:strCache>
            </c:strRef>
          </c:cat>
          <c:val>
            <c:numRef>
              <c:f>Step3_Report!$C$69:$C$70</c:f>
              <c:numCache>
                <c:formatCode>0.0%</c:formatCode>
                <c:ptCount val="2"/>
                <c:pt idx="0">
                  <c:v>7.1428571428571425E-2</c:v>
                </c:pt>
                <c:pt idx="1">
                  <c:v>5.1094890510948905E-2</c:v>
                </c:pt>
              </c:numCache>
            </c:numRef>
          </c:val>
          <c:extLst>
            <c:ext xmlns:c16="http://schemas.microsoft.com/office/drawing/2014/chart" uri="{C3380CC4-5D6E-409C-BE32-E72D297353CC}">
              <c16:uniqueId val="{00000001-3200-45AD-8776-915277F1911C}"/>
            </c:ext>
          </c:extLst>
        </c:ser>
        <c:ser>
          <c:idx val="2"/>
          <c:order val="2"/>
          <c:tx>
            <c:strRef>
              <c:f>Step3_Report!$D$68</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Step3_Report!$A$69:$A$70</c:f>
              <c:strCache>
                <c:ptCount val="2"/>
                <c:pt idx="0">
                  <c:v>Single (one data type)</c:v>
                </c:pt>
                <c:pt idx="1">
                  <c:v>Multi (two or more data types)</c:v>
                </c:pt>
              </c:strCache>
            </c:strRef>
          </c:cat>
          <c:val>
            <c:numRef>
              <c:f>Step3_Report!$D$69:$D$70</c:f>
              <c:numCache>
                <c:formatCode>0.0%</c:formatCode>
                <c:ptCount val="2"/>
                <c:pt idx="0">
                  <c:v>0.14285714285714285</c:v>
                </c:pt>
                <c:pt idx="1">
                  <c:v>5.8394160583941604E-2</c:v>
                </c:pt>
              </c:numCache>
            </c:numRef>
          </c:val>
          <c:extLst>
            <c:ext xmlns:c16="http://schemas.microsoft.com/office/drawing/2014/chart" uri="{C3380CC4-5D6E-409C-BE32-E72D297353CC}">
              <c16:uniqueId val="{00000002-3200-45AD-8776-915277F1911C}"/>
            </c:ext>
          </c:extLst>
        </c:ser>
        <c:ser>
          <c:idx val="3"/>
          <c:order val="3"/>
          <c:tx>
            <c:strRef>
              <c:f>Step3_Report!$E$68</c:f>
              <c:strCache>
                <c:ptCount val="1"/>
                <c:pt idx="0">
                  <c:v>Convergence-characterised</c:v>
                </c:pt>
              </c:strCache>
            </c:strRef>
          </c:tx>
          <c:spPr>
            <a:solidFill>
              <a:schemeClr val="accent4"/>
            </a:solidFill>
            <a:ln>
              <a:noFill/>
            </a:ln>
            <a:effectLst/>
          </c:spPr>
          <c:invertIfNegative val="0"/>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Step3_Report!$A$69:$A$70</c:f>
              <c:strCache>
                <c:ptCount val="2"/>
                <c:pt idx="0">
                  <c:v>Single (one data type)</c:v>
                </c:pt>
                <c:pt idx="1">
                  <c:v>Multi (two or more data types)</c:v>
                </c:pt>
              </c:strCache>
            </c:strRef>
          </c:cat>
          <c:val>
            <c:numRef>
              <c:f>Step3_Report!$E$69:$E$70</c:f>
              <c:numCache>
                <c:formatCode>0.0%</c:formatCode>
                <c:ptCount val="2"/>
                <c:pt idx="0">
                  <c:v>0</c:v>
                </c:pt>
                <c:pt idx="1">
                  <c:v>0</c:v>
                </c:pt>
              </c:numCache>
            </c:numRef>
          </c:val>
          <c:extLst>
            <c:ext xmlns:c16="http://schemas.microsoft.com/office/drawing/2014/chart" uri="{C3380CC4-5D6E-409C-BE32-E72D297353CC}">
              <c16:uniqueId val="{00000003-3200-45AD-8776-915277F1911C}"/>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Step3_Report!$B$62</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Step3_Report!$A$63:$A$64</c:f>
              <c:strCache>
                <c:ptCount val="2"/>
                <c:pt idx="0">
                  <c:v>Single (one data type)</c:v>
                </c:pt>
                <c:pt idx="1">
                  <c:v>Multi (two or more data types)</c:v>
                </c:pt>
              </c:strCache>
            </c:strRef>
          </c:cat>
          <c:val>
            <c:numRef>
              <c:f>Step3_Report!$B$63:$B$64</c:f>
              <c:numCache>
                <c:formatCode>General</c:formatCode>
                <c:ptCount val="2"/>
                <c:pt idx="0">
                  <c:v>11</c:v>
                </c:pt>
                <c:pt idx="1">
                  <c:v>122</c:v>
                </c:pt>
              </c:numCache>
            </c:numRef>
          </c:val>
          <c:extLst>
            <c:ext xmlns:c16="http://schemas.microsoft.com/office/drawing/2014/chart" uri="{C3380CC4-5D6E-409C-BE32-E72D297353CC}">
              <c16:uniqueId val="{00000000-61EC-4CBD-9D38-C857A0131F55}"/>
            </c:ext>
          </c:extLst>
        </c:ser>
        <c:ser>
          <c:idx val="1"/>
          <c:order val="1"/>
          <c:tx>
            <c:strRef>
              <c:f>Step3_Report!$C$62</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Step3_Report!$A$63:$A$64</c:f>
              <c:strCache>
                <c:ptCount val="2"/>
                <c:pt idx="0">
                  <c:v>Single (one data type)</c:v>
                </c:pt>
                <c:pt idx="1">
                  <c:v>Multi (two or more data types)</c:v>
                </c:pt>
              </c:strCache>
            </c:strRef>
          </c:cat>
          <c:val>
            <c:numRef>
              <c:f>Step3_Report!$C$63:$C$64</c:f>
              <c:numCache>
                <c:formatCode>General</c:formatCode>
                <c:ptCount val="2"/>
                <c:pt idx="0">
                  <c:v>1</c:v>
                </c:pt>
                <c:pt idx="1">
                  <c:v>7</c:v>
                </c:pt>
              </c:numCache>
            </c:numRef>
          </c:val>
          <c:extLst>
            <c:ext xmlns:c16="http://schemas.microsoft.com/office/drawing/2014/chart" uri="{C3380CC4-5D6E-409C-BE32-E72D297353CC}">
              <c16:uniqueId val="{00000001-61EC-4CBD-9D38-C857A0131F55}"/>
            </c:ext>
          </c:extLst>
        </c:ser>
        <c:ser>
          <c:idx val="2"/>
          <c:order val="2"/>
          <c:tx>
            <c:strRef>
              <c:f>Step3_Report!$D$62</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Step3_Report!$A$63:$A$64</c:f>
              <c:strCache>
                <c:ptCount val="2"/>
                <c:pt idx="0">
                  <c:v>Single (one data type)</c:v>
                </c:pt>
                <c:pt idx="1">
                  <c:v>Multi (two or more data types)</c:v>
                </c:pt>
              </c:strCache>
            </c:strRef>
          </c:cat>
          <c:val>
            <c:numRef>
              <c:f>Step3_Report!$D$63:$D$64</c:f>
              <c:numCache>
                <c:formatCode>General</c:formatCode>
                <c:ptCount val="2"/>
                <c:pt idx="0">
                  <c:v>2</c:v>
                </c:pt>
                <c:pt idx="1">
                  <c:v>8</c:v>
                </c:pt>
              </c:numCache>
            </c:numRef>
          </c:val>
          <c:extLst>
            <c:ext xmlns:c16="http://schemas.microsoft.com/office/drawing/2014/chart" uri="{C3380CC4-5D6E-409C-BE32-E72D297353CC}">
              <c16:uniqueId val="{00000002-61EC-4CBD-9D38-C857A0131F55}"/>
            </c:ext>
          </c:extLst>
        </c:ser>
        <c:ser>
          <c:idx val="3"/>
          <c:order val="3"/>
          <c:tx>
            <c:strRef>
              <c:f>Step3_Report!$E$62</c:f>
              <c:strCache>
                <c:ptCount val="1"/>
                <c:pt idx="0">
                  <c:v>Convergence-characterised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Step3_Report!$A$63:$A$64</c:f>
              <c:strCache>
                <c:ptCount val="2"/>
                <c:pt idx="0">
                  <c:v>Single (one data type)</c:v>
                </c:pt>
                <c:pt idx="1">
                  <c:v>Multi (two or more data types)</c:v>
                </c:pt>
              </c:strCache>
            </c:strRef>
          </c:cat>
          <c:val>
            <c:numRef>
              <c:f>Step3_Report!$E$63:$E$64</c:f>
              <c:numCache>
                <c:formatCode>General</c:formatCode>
                <c:ptCount val="2"/>
                <c:pt idx="0">
                  <c:v>0</c:v>
                </c:pt>
                <c:pt idx="1">
                  <c:v>0</c:v>
                </c:pt>
              </c:numCache>
            </c:numRef>
          </c:val>
          <c:extLst>
            <c:ext xmlns:c16="http://schemas.microsoft.com/office/drawing/2014/chart" uri="{C3380CC4-5D6E-409C-BE32-E72D297353CC}">
              <c16:uniqueId val="{00000003-61EC-4CBD-9D38-C857A0131F55}"/>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Step3_Report!$B$81</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Step3_Report!$A$82:$A$86</c:f>
              <c:strCache>
                <c:ptCount val="5"/>
                <c:pt idx="0">
                  <c:v>Single</c:v>
                </c:pt>
                <c:pt idx="1">
                  <c:v>Co-present</c:v>
                </c:pt>
                <c:pt idx="2">
                  <c:v>Aligned</c:v>
                </c:pt>
                <c:pt idx="3">
                  <c:v>Fused</c:v>
                </c:pt>
                <c:pt idx="4">
                  <c:v>Unclear</c:v>
                </c:pt>
              </c:strCache>
            </c:strRef>
          </c:cat>
          <c:val>
            <c:numRef>
              <c:f>Step3_Report!$B$82:$B$86</c:f>
              <c:numCache>
                <c:formatCode>General</c:formatCode>
                <c:ptCount val="5"/>
                <c:pt idx="0">
                  <c:v>19</c:v>
                </c:pt>
                <c:pt idx="1">
                  <c:v>3</c:v>
                </c:pt>
                <c:pt idx="2">
                  <c:v>39</c:v>
                </c:pt>
                <c:pt idx="3">
                  <c:v>71</c:v>
                </c:pt>
                <c:pt idx="4">
                  <c:v>19</c:v>
                </c:pt>
              </c:numCache>
            </c:numRef>
          </c:val>
          <c:extLst>
            <c:ext xmlns:c16="http://schemas.microsoft.com/office/drawing/2014/chart" uri="{C3380CC4-5D6E-409C-BE32-E72D297353CC}">
              <c16:uniqueId val="{00000000-4B0E-468E-A1D5-72263ED356D5}"/>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Step3_Report!$B$90</c:f>
              <c:strCache>
                <c:ptCount val="1"/>
                <c:pt idx="0">
                  <c:v>None</c:v>
                </c:pt>
              </c:strCache>
            </c:strRef>
          </c:tx>
          <c:spPr>
            <a:solidFill>
              <a:schemeClr val="accent1"/>
            </a:solidFill>
            <a:ln>
              <a:noFill/>
            </a:ln>
            <a:effectLst/>
          </c:spPr>
          <c:invertIfNegative val="0"/>
          <c:cat>
            <c:strRef>
              <c:f>Step3_Report!$A$91:$A$95</c:f>
              <c:strCache>
                <c:ptCount val="5"/>
                <c:pt idx="0">
                  <c:v>Single</c:v>
                </c:pt>
                <c:pt idx="1">
                  <c:v>Co-present</c:v>
                </c:pt>
                <c:pt idx="2">
                  <c:v>Aligned</c:v>
                </c:pt>
                <c:pt idx="3">
                  <c:v>Fused</c:v>
                </c:pt>
                <c:pt idx="4">
                  <c:v>Unclear</c:v>
                </c:pt>
              </c:strCache>
            </c:strRef>
          </c:cat>
          <c:val>
            <c:numRef>
              <c:f>Step3_Report!$B$91:$B$95</c:f>
              <c:numCache>
                <c:formatCode>General</c:formatCode>
                <c:ptCount val="5"/>
                <c:pt idx="0">
                  <c:v>16</c:v>
                </c:pt>
                <c:pt idx="1">
                  <c:v>3</c:v>
                </c:pt>
                <c:pt idx="2">
                  <c:v>35</c:v>
                </c:pt>
                <c:pt idx="3">
                  <c:v>64</c:v>
                </c:pt>
                <c:pt idx="4">
                  <c:v>15</c:v>
                </c:pt>
              </c:numCache>
            </c:numRef>
          </c:val>
          <c:extLst>
            <c:ext xmlns:c16="http://schemas.microsoft.com/office/drawing/2014/chart" uri="{C3380CC4-5D6E-409C-BE32-E72D297353CC}">
              <c16:uniqueId val="{00000000-C41C-4AF6-9A7B-51BE5569739A}"/>
            </c:ext>
          </c:extLst>
        </c:ser>
        <c:ser>
          <c:idx val="1"/>
          <c:order val="1"/>
          <c:tx>
            <c:strRef>
              <c:f>Step3_Report!$C$90</c:f>
              <c:strCache>
                <c:ptCount val="1"/>
                <c:pt idx="0">
                  <c:v>Mentioned only</c:v>
                </c:pt>
              </c:strCache>
            </c:strRef>
          </c:tx>
          <c:spPr>
            <a:solidFill>
              <a:schemeClr val="accent2"/>
            </a:solidFill>
            <a:ln>
              <a:noFill/>
            </a:ln>
            <a:effectLst/>
          </c:spPr>
          <c:invertIfNegative val="0"/>
          <c:cat>
            <c:strRef>
              <c:f>Step3_Report!$A$91:$A$95</c:f>
              <c:strCache>
                <c:ptCount val="5"/>
                <c:pt idx="0">
                  <c:v>Single</c:v>
                </c:pt>
                <c:pt idx="1">
                  <c:v>Co-present</c:v>
                </c:pt>
                <c:pt idx="2">
                  <c:v>Aligned</c:v>
                </c:pt>
                <c:pt idx="3">
                  <c:v>Fused</c:v>
                </c:pt>
                <c:pt idx="4">
                  <c:v>Unclear</c:v>
                </c:pt>
              </c:strCache>
            </c:strRef>
          </c:cat>
          <c:val>
            <c:numRef>
              <c:f>Step3_Report!$C$91:$C$95</c:f>
              <c:numCache>
                <c:formatCode>General</c:formatCode>
                <c:ptCount val="5"/>
                <c:pt idx="0">
                  <c:v>1</c:v>
                </c:pt>
                <c:pt idx="1">
                  <c:v>0</c:v>
                </c:pt>
                <c:pt idx="2">
                  <c:v>3</c:v>
                </c:pt>
                <c:pt idx="3">
                  <c:v>0</c:v>
                </c:pt>
                <c:pt idx="4">
                  <c:v>4</c:v>
                </c:pt>
              </c:numCache>
            </c:numRef>
          </c:val>
          <c:extLst>
            <c:ext xmlns:c16="http://schemas.microsoft.com/office/drawing/2014/chart" uri="{C3380CC4-5D6E-409C-BE32-E72D297353CC}">
              <c16:uniqueId val="{00000001-C41C-4AF6-9A7B-51BE5569739A}"/>
            </c:ext>
          </c:extLst>
        </c:ser>
        <c:ser>
          <c:idx val="2"/>
          <c:order val="2"/>
          <c:tx>
            <c:strRef>
              <c:f>Step3_Report!$D$90</c:f>
              <c:strCache>
                <c:ptCount val="1"/>
                <c:pt idx="0">
                  <c:v>Implemented</c:v>
                </c:pt>
              </c:strCache>
            </c:strRef>
          </c:tx>
          <c:spPr>
            <a:solidFill>
              <a:schemeClr val="accent3"/>
            </a:solidFill>
            <a:ln>
              <a:noFill/>
            </a:ln>
            <a:effectLst/>
          </c:spPr>
          <c:invertIfNegative val="0"/>
          <c:cat>
            <c:strRef>
              <c:f>Step3_Report!$A$91:$A$95</c:f>
              <c:strCache>
                <c:ptCount val="5"/>
                <c:pt idx="0">
                  <c:v>Single</c:v>
                </c:pt>
                <c:pt idx="1">
                  <c:v>Co-present</c:v>
                </c:pt>
                <c:pt idx="2">
                  <c:v>Aligned</c:v>
                </c:pt>
                <c:pt idx="3">
                  <c:v>Fused</c:v>
                </c:pt>
                <c:pt idx="4">
                  <c:v>Unclear</c:v>
                </c:pt>
              </c:strCache>
            </c:strRef>
          </c:cat>
          <c:val>
            <c:numRef>
              <c:f>Step3_Report!$D$91:$D$95</c:f>
              <c:numCache>
                <c:formatCode>General</c:formatCode>
                <c:ptCount val="5"/>
                <c:pt idx="0">
                  <c:v>2</c:v>
                </c:pt>
                <c:pt idx="1">
                  <c:v>0</c:v>
                </c:pt>
                <c:pt idx="2">
                  <c:v>1</c:v>
                </c:pt>
                <c:pt idx="3">
                  <c:v>7</c:v>
                </c:pt>
                <c:pt idx="4">
                  <c:v>0</c:v>
                </c:pt>
              </c:numCache>
            </c:numRef>
          </c:val>
          <c:extLst>
            <c:ext xmlns:c16="http://schemas.microsoft.com/office/drawing/2014/chart" uri="{C3380CC4-5D6E-409C-BE32-E72D297353CC}">
              <c16:uniqueId val="{00000002-C41C-4AF6-9A7B-51BE5569739A}"/>
            </c:ext>
          </c:extLst>
        </c:ser>
        <c:ser>
          <c:idx val="3"/>
          <c:order val="3"/>
          <c:tx>
            <c:strRef>
              <c:f>Step3_Report!$E$90</c:f>
              <c:strCache>
                <c:ptCount val="1"/>
                <c:pt idx="0">
                  <c:v>Convergence-characterised</c:v>
                </c:pt>
              </c:strCache>
            </c:strRef>
          </c:tx>
          <c:spPr>
            <a:solidFill>
              <a:schemeClr val="accent4"/>
            </a:solidFill>
            <a:ln>
              <a:noFill/>
            </a:ln>
            <a:effectLst/>
          </c:spPr>
          <c:invertIfNegative val="0"/>
          <c:cat>
            <c:strRef>
              <c:f>Step3_Report!$A$91:$A$95</c:f>
              <c:strCache>
                <c:ptCount val="5"/>
                <c:pt idx="0">
                  <c:v>Single</c:v>
                </c:pt>
                <c:pt idx="1">
                  <c:v>Co-present</c:v>
                </c:pt>
                <c:pt idx="2">
                  <c:v>Aligned</c:v>
                </c:pt>
                <c:pt idx="3">
                  <c:v>Fused</c:v>
                </c:pt>
                <c:pt idx="4">
                  <c:v>Unclear</c:v>
                </c:pt>
              </c:strCache>
            </c:strRef>
          </c:cat>
          <c:val>
            <c:numRef>
              <c:f>Step3_Report!$E$91:$E$95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1C-4AF6-9A7B-51BE5569739A}"/>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246185</xdr:colOff>
      <xdr:row>0</xdr:row>
      <xdr:rowOff>99645</xdr:rowOff>
    </xdr:from>
    <xdr:to>
      <xdr:col>1</xdr:col>
      <xdr:colOff>6383216</xdr:colOff>
      <xdr:row>2</xdr:row>
      <xdr:rowOff>164513</xdr:rowOff>
    </xdr:to>
    <xdr:sp macro="" textlink="">
      <xdr:nvSpPr>
        <xdr:cNvPr id="2" name="PR_Title">
          <a:extLst>
            <a:ext uri="{FF2B5EF4-FFF2-40B4-BE49-F238E27FC236}">
              <a16:creationId xmlns:a16="http://schemas.microsoft.com/office/drawing/2014/main" id="{F54AFED2-90F1-40D2-9D82-D4B0EDDC560B}"/>
            </a:ext>
          </a:extLst>
        </xdr:cNvPr>
        <xdr:cNvSpPr/>
      </xdr:nvSpPr>
      <xdr:spPr>
        <a:xfrm>
          <a:off x="246185" y="99645"/>
          <a:ext cx="7280031" cy="428283"/>
        </a:xfrm>
        <a:prstGeom prst="roundRect">
          <a:avLst/>
        </a:prstGeom>
        <a:solidFill>
          <a:srgbClr val="FFFFFF"/>
        </a:solidFill>
        <a:ln w="25400" cap="flat" cmpd="sng" algn="ctr">
          <a:solidFill>
            <a:srgbClr val="FFFF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300" b="1" i="0" u="none" strike="noStrike" kern="0" cap="none" spc="0" normalizeH="0" baseline="0" noProof="0">
              <a:ln>
                <a:noFill/>
              </a:ln>
              <a:solidFill>
                <a:srgbClr val="1F3864"/>
              </a:solidFill>
              <a:effectLst/>
              <a:uLnTx/>
              <a:uFillTx/>
              <a:latin typeface="Arial"/>
              <a:cs typeface="Arial"/>
            </a:rPr>
            <a:t>PRISMA 2020 flow diagram — Digital Twins for Design for Safety &amp; Quality in AECO</a:t>
          </a:r>
          <a:endParaRPr kumimoji="0" lang="zh-CN" altLang="en-US" sz="1300" b="1" i="0" u="none" strike="noStrike" kern="0" cap="none" spc="0" normalizeH="0" baseline="0" noProof="0">
            <a:ln>
              <a:noFill/>
            </a:ln>
            <a:solidFill>
              <a:srgbClr val="1F3864"/>
            </a:solidFill>
            <a:effectLst/>
            <a:uLnTx/>
            <a:uFillTx/>
            <a:latin typeface="Arial"/>
            <a:cs typeface="Arial"/>
          </a:endParaRPr>
        </a:p>
      </xdr:txBody>
    </xdr:sp>
    <xdr:clientData/>
  </xdr:twoCellAnchor>
  <xdr:twoCellAnchor>
    <xdr:from>
      <xdr:col>1</xdr:col>
      <xdr:colOff>152400</xdr:colOff>
      <xdr:row>4</xdr:row>
      <xdr:rowOff>55880</xdr:rowOff>
    </xdr:from>
    <xdr:to>
      <xdr:col>1</xdr:col>
      <xdr:colOff>2672400</xdr:colOff>
      <xdr:row>8</xdr:row>
      <xdr:rowOff>10160</xdr:rowOff>
    </xdr:to>
    <xdr:sp macro="" textlink="">
      <xdr:nvSpPr>
        <xdr:cNvPr id="3" name="PR_Identified">
          <a:extLst>
            <a:ext uri="{FF2B5EF4-FFF2-40B4-BE49-F238E27FC236}">
              <a16:creationId xmlns:a16="http://schemas.microsoft.com/office/drawing/2014/main" id="{B7DCA833-B023-46D3-B638-EFC6ED955FF8}"/>
            </a:ext>
          </a:extLst>
        </xdr:cNvPr>
        <xdr:cNvSpPr/>
      </xdr:nvSpPr>
      <xdr:spPr>
        <a:xfrm>
          <a:off x="1299882" y="773056"/>
          <a:ext cx="2520000" cy="671457"/>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1000" b="1" i="0" u="none" strike="noStrike" kern="0" cap="none" spc="0" normalizeH="0" baseline="0" noProof="0">
              <a:ln>
                <a:noFill/>
              </a:ln>
              <a:solidFill>
                <a:srgbClr val="000000"/>
              </a:solidFill>
              <a:effectLst/>
              <a:uLnTx/>
              <a:uFillTx/>
              <a:latin typeface="Arial"/>
              <a:cs typeface="Arial"/>
            </a:rPr>
            <a:t>Records identified (n = 562)</a:t>
          </a:r>
        </a:p>
        <a:p>
          <a:pPr algn="l"/>
          <a:r>
            <a:rPr kumimoji="0" lang="en-GB" altLang="zh-CN" sz="1000" b="1" i="0" u="none" strike="noStrike" kern="0" cap="none" spc="0" normalizeH="0" baseline="0" noProof="0">
              <a:ln>
                <a:noFill/>
              </a:ln>
              <a:solidFill>
                <a:srgbClr val="000000"/>
              </a:solidFill>
              <a:effectLst/>
              <a:uLnTx/>
              <a:uFillTx/>
              <a:latin typeface="Arial"/>
              <a:cs typeface="Arial"/>
            </a:rPr>
            <a:t>- Scopus = 381 </a:t>
          </a:r>
        </a:p>
        <a:p>
          <a:pPr algn="l"/>
          <a:r>
            <a:rPr kumimoji="0" lang="en-GB" altLang="zh-CN" sz="1000" b="1" i="0" u="none" strike="noStrike" kern="0" cap="none" spc="0" normalizeH="0" baseline="0" noProof="0">
              <a:ln>
                <a:noFill/>
              </a:ln>
              <a:solidFill>
                <a:srgbClr val="000000"/>
              </a:solidFill>
              <a:effectLst/>
              <a:uLnTx/>
              <a:uFillTx/>
              <a:latin typeface="Arial"/>
              <a:cs typeface="Arial"/>
            </a:rPr>
            <a:t>- Web of Science = 181</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12</xdr:row>
      <xdr:rowOff>18971</xdr:rowOff>
    </xdr:from>
    <xdr:to>
      <xdr:col>1</xdr:col>
      <xdr:colOff>2672400</xdr:colOff>
      <xdr:row>15</xdr:row>
      <xdr:rowOff>23447</xdr:rowOff>
    </xdr:to>
    <xdr:sp macro="" textlink="">
      <xdr:nvSpPr>
        <xdr:cNvPr id="4" name="PR_Screened">
          <a:extLst>
            <a:ext uri="{FF2B5EF4-FFF2-40B4-BE49-F238E27FC236}">
              <a16:creationId xmlns:a16="http://schemas.microsoft.com/office/drawing/2014/main" id="{71DF9909-26C3-4D29-9B32-12A7B5018837}"/>
            </a:ext>
          </a:extLst>
        </xdr:cNvPr>
        <xdr:cNvSpPr/>
      </xdr:nvSpPr>
      <xdr:spPr>
        <a:xfrm>
          <a:off x="1295400" y="2199463"/>
          <a:ext cx="2520000" cy="549599"/>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1</a:t>
          </a:r>
          <a:r>
            <a:rPr kumimoji="0" lang="en-GB" altLang="zh-CN" sz="1000" b="1" i="0" u="none" strike="noStrike" kern="0" cap="none" spc="0" normalizeH="0" baseline="30000" noProof="0">
              <a:ln>
                <a:noFill/>
              </a:ln>
              <a:solidFill>
                <a:srgbClr val="000000"/>
              </a:solidFill>
              <a:effectLst/>
              <a:uLnTx/>
              <a:uFillTx/>
              <a:latin typeface="Arial"/>
              <a:cs typeface="Arial"/>
            </a:rPr>
            <a:t>st</a:t>
          </a:r>
          <a:r>
            <a:rPr kumimoji="0" lang="en-GB" altLang="zh-CN" sz="1000" b="1" i="0" u="none" strike="noStrike" kern="0" cap="none" spc="0" normalizeH="0" baseline="0" noProof="0">
              <a:ln>
                <a:noFill/>
              </a:ln>
              <a:solidFill>
                <a:srgbClr val="000000"/>
              </a:solidFill>
              <a:effectLst/>
              <a:uLnTx/>
              <a:uFillTx/>
              <a:latin typeface="Arial"/>
              <a:cs typeface="Arial"/>
            </a:rPr>
            <a:t> screening by title &amp; abstract</a:t>
          </a:r>
        </a:p>
        <a:p>
          <a:pPr algn="ctr"/>
          <a:r>
            <a:rPr kumimoji="0" lang="en-GB" altLang="zh-CN" sz="1000" b="1" i="0" u="none" strike="noStrike" kern="0" cap="none" spc="0" normalizeH="0" baseline="0" noProof="0">
              <a:ln>
                <a:noFill/>
              </a:ln>
              <a:solidFill>
                <a:srgbClr val="000000"/>
              </a:solidFill>
              <a:effectLst/>
              <a:uLnTx/>
              <a:uFillTx/>
              <a:latin typeface="Arial"/>
              <a:cs typeface="Arial"/>
            </a:rPr>
            <a:t>n = 429</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18</xdr:row>
      <xdr:rowOff>25010</xdr:rowOff>
    </xdr:from>
    <xdr:to>
      <xdr:col>1</xdr:col>
      <xdr:colOff>2672400</xdr:colOff>
      <xdr:row>21</xdr:row>
      <xdr:rowOff>85969</xdr:rowOff>
    </xdr:to>
    <xdr:sp macro="" textlink="">
      <xdr:nvSpPr>
        <xdr:cNvPr id="5" name="PR_Sought">
          <a:extLst>
            <a:ext uri="{FF2B5EF4-FFF2-40B4-BE49-F238E27FC236}">
              <a16:creationId xmlns:a16="http://schemas.microsoft.com/office/drawing/2014/main" id="{113834DB-292F-4C09-9062-DBF69EA35E12}"/>
            </a:ext>
          </a:extLst>
        </xdr:cNvPr>
        <xdr:cNvSpPr/>
      </xdr:nvSpPr>
      <xdr:spPr>
        <a:xfrm>
          <a:off x="1295400" y="3295748"/>
          <a:ext cx="2520000" cy="606083"/>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sought for retrieval
n = 167</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164124</xdr:colOff>
      <xdr:row>23</xdr:row>
      <xdr:rowOff>4295</xdr:rowOff>
    </xdr:from>
    <xdr:to>
      <xdr:col>1</xdr:col>
      <xdr:colOff>2684124</xdr:colOff>
      <xdr:row>26</xdr:row>
      <xdr:rowOff>140283</xdr:rowOff>
    </xdr:to>
    <xdr:sp macro="" textlink="">
      <xdr:nvSpPr>
        <xdr:cNvPr id="6" name="PR_Assessed">
          <a:extLst>
            <a:ext uri="{FF2B5EF4-FFF2-40B4-BE49-F238E27FC236}">
              <a16:creationId xmlns:a16="http://schemas.microsoft.com/office/drawing/2014/main" id="{70C69FC0-E4EC-4912-8BEF-24FC89C4AFA4}"/>
            </a:ext>
          </a:extLst>
        </xdr:cNvPr>
        <xdr:cNvSpPr/>
      </xdr:nvSpPr>
      <xdr:spPr>
        <a:xfrm>
          <a:off x="1307124" y="4183572"/>
          <a:ext cx="2520000" cy="681111"/>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assessed for eligibility
n = 162</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153883</xdr:colOff>
      <xdr:row>27</xdr:row>
      <xdr:rowOff>179736</xdr:rowOff>
    </xdr:from>
    <xdr:to>
      <xdr:col>1</xdr:col>
      <xdr:colOff>5547510</xdr:colOff>
      <xdr:row>29</xdr:row>
      <xdr:rowOff>179737</xdr:rowOff>
    </xdr:to>
    <xdr:sp macro="" textlink="">
      <xdr:nvSpPr>
        <xdr:cNvPr id="7" name="PR_Included">
          <a:extLst>
            <a:ext uri="{FF2B5EF4-FFF2-40B4-BE49-F238E27FC236}">
              <a16:creationId xmlns:a16="http://schemas.microsoft.com/office/drawing/2014/main" id="{0809F1B0-65B2-4DFE-BB0B-343687A1CA9E}"/>
            </a:ext>
          </a:extLst>
        </xdr:cNvPr>
        <xdr:cNvSpPr/>
      </xdr:nvSpPr>
      <xdr:spPr>
        <a:xfrm>
          <a:off x="1299060" y="5117496"/>
          <a:ext cx="5393627" cy="365761"/>
        </a:xfrm>
        <a:prstGeom prst="roundRect">
          <a:avLst/>
        </a:prstGeom>
        <a:solidFill>
          <a:srgbClr val="2E5C8A"/>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100" b="1" i="0" u="none" strike="noStrike" kern="0" cap="none" spc="0" normalizeH="0" baseline="0" noProof="0">
              <a:ln>
                <a:noFill/>
              </a:ln>
              <a:solidFill>
                <a:srgbClr val="FFFFFF"/>
              </a:solidFill>
              <a:effectLst/>
              <a:uLnTx/>
              <a:uFillTx/>
              <a:latin typeface="Arial"/>
              <a:cs typeface="Arial"/>
            </a:rPr>
            <a:t>Studies Included In Synthesis (n = 151)</a:t>
          </a:r>
          <a:endParaRPr kumimoji="0" lang="zh-CN" altLang="en-US" sz="11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2973770</xdr:colOff>
      <xdr:row>11</xdr:row>
      <xdr:rowOff>5863</xdr:rowOff>
    </xdr:from>
    <xdr:to>
      <xdr:col>1</xdr:col>
      <xdr:colOff>5539152</xdr:colOff>
      <xdr:row>16</xdr:row>
      <xdr:rowOff>35172</xdr:rowOff>
    </xdr:to>
    <xdr:sp macro="" textlink="">
      <xdr:nvSpPr>
        <xdr:cNvPr id="8" name="PR_Excluded1">
          <a:extLst>
            <a:ext uri="{FF2B5EF4-FFF2-40B4-BE49-F238E27FC236}">
              <a16:creationId xmlns:a16="http://schemas.microsoft.com/office/drawing/2014/main" id="{54414F45-B2CF-4E7A-B0F6-118008958F1D}"/>
            </a:ext>
          </a:extLst>
        </xdr:cNvPr>
        <xdr:cNvSpPr/>
      </xdr:nvSpPr>
      <xdr:spPr>
        <a:xfrm>
          <a:off x="4116770" y="2004648"/>
          <a:ext cx="2565382" cy="937847"/>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excluded in 1st screening </a:t>
          </a:r>
          <a:r>
            <a:rPr kumimoji="0" lang="en-GB" altLang="zh-CN" sz="900" b="1" i="0" u="none" strike="noStrike" kern="0" cap="none" spc="0" normalizeH="0" baseline="0" noProof="0">
              <a:ln>
                <a:noFill/>
              </a:ln>
              <a:solidFill>
                <a:srgbClr val="000000"/>
              </a:solidFill>
              <a:effectLst/>
              <a:uLnTx/>
              <a:uFillTx/>
              <a:latin typeface="Arial"/>
              <a:cs typeface="Arial"/>
            </a:rPr>
            <a:t>(n = 262)</a:t>
          </a:r>
          <a:r>
            <a:rPr kumimoji="0" lang="en-GB" altLang="zh-CN" sz="900" b="0" i="0" u="none" strike="noStrike" kern="0" cap="none" spc="0" normalizeH="0" baseline="0" noProof="0">
              <a:ln>
                <a:noFill/>
              </a:ln>
              <a:solidFill>
                <a:srgbClr val="000000"/>
              </a:solidFill>
              <a:effectLst/>
              <a:uLnTx/>
              <a:uFillTx/>
              <a:latin typeface="Arial"/>
              <a:cs typeface="Arial"/>
            </a:rPr>
            <a:t>
1. Digital Twin not core / buzzword: a = 112
2. Wrong domain (non-AECO): b = 99
3. Non-English: c = 30
4. No DfS/DfQ: d = 21</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3089023</xdr:colOff>
      <xdr:row>17</xdr:row>
      <xdr:rowOff>164123</xdr:rowOff>
    </xdr:from>
    <xdr:to>
      <xdr:col>1</xdr:col>
      <xdr:colOff>5492262</xdr:colOff>
      <xdr:row>21</xdr:row>
      <xdr:rowOff>123092</xdr:rowOff>
    </xdr:to>
    <xdr:sp macro="" textlink="">
      <xdr:nvSpPr>
        <xdr:cNvPr id="9" name="PR_NotRetrieved">
          <a:extLst>
            <a:ext uri="{FF2B5EF4-FFF2-40B4-BE49-F238E27FC236}">
              <a16:creationId xmlns:a16="http://schemas.microsoft.com/office/drawing/2014/main" id="{2F786C16-B7BC-430C-A2CB-5E5E74BFD5BE}"/>
            </a:ext>
          </a:extLst>
        </xdr:cNvPr>
        <xdr:cNvSpPr/>
      </xdr:nvSpPr>
      <xdr:spPr>
        <a:xfrm>
          <a:off x="4232023" y="3253154"/>
          <a:ext cx="2403239" cy="685800"/>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2nd screening </a:t>
          </a:r>
          <a:r>
            <a:rPr kumimoji="0" lang="en-GB" altLang="zh-CN" sz="900" b="1" i="0" u="none" strike="noStrike" kern="0" cap="none" spc="0" normalizeH="0" baseline="0" noProof="0">
              <a:ln>
                <a:noFill/>
              </a:ln>
              <a:solidFill>
                <a:srgbClr val="000000"/>
              </a:solidFill>
              <a:effectLst/>
              <a:uLnTx/>
              <a:uFillTx/>
              <a:latin typeface="Arial"/>
              <a:cs typeface="Arial"/>
            </a:rPr>
            <a:t>(n = 5)</a:t>
          </a:r>
        </a:p>
        <a:p>
          <a:pPr algn="l"/>
          <a:r>
            <a:rPr kumimoji="0" lang="en-GB" altLang="zh-CN" sz="900" b="0" i="0" u="none" strike="noStrike" kern="0" cap="none" spc="0" normalizeH="0" baseline="0" noProof="0">
              <a:ln>
                <a:noFill/>
              </a:ln>
              <a:solidFill>
                <a:srgbClr val="000000"/>
              </a:solidFill>
              <a:effectLst/>
              <a:uLnTx/>
              <a:uFillTx/>
              <a:latin typeface="Arial"/>
              <a:cs typeface="Arial"/>
            </a:rPr>
            <a:t>1. full-text PDF not </a:t>
          </a:r>
          <a:r>
            <a:rPr kumimoji="0" lang="en-US" altLang="zh-CN" sz="900" b="0" i="0" u="none" strike="noStrike" kern="0" cap="none" spc="0" normalizeH="0" baseline="0" noProof="0">
              <a:ln>
                <a:noFill/>
              </a:ln>
              <a:solidFill>
                <a:srgbClr val="000000"/>
              </a:solidFill>
              <a:effectLst/>
              <a:uLnTx/>
              <a:uFillTx/>
              <a:latin typeface="Arial"/>
              <a:cs typeface="Arial"/>
            </a:rPr>
            <a:t>retrieved:</a:t>
          </a:r>
          <a:r>
            <a:rPr kumimoji="0" lang="en-GB" altLang="zh-CN" sz="900" b="0" i="0" u="none" strike="noStrike" kern="0" cap="none" spc="0" normalizeH="0" baseline="0" noProof="0">
              <a:ln>
                <a:noFill/>
              </a:ln>
              <a:solidFill>
                <a:srgbClr val="000000"/>
              </a:solidFill>
              <a:effectLst/>
              <a:uLnTx/>
              <a:uFillTx/>
              <a:latin typeface="Arial"/>
              <a:cs typeface="Arial"/>
            </a:rPr>
            <a:t> a = 3</a:t>
          </a:r>
        </a:p>
        <a:p>
          <a:pPr algn="l"/>
          <a:r>
            <a:rPr kumimoji="0" lang="en-GB" altLang="zh-CN" sz="900" b="0" i="0" u="none" strike="noStrike" kern="0" cap="none" spc="0" normalizeH="0" baseline="0" noProof="0">
              <a:ln>
                <a:noFill/>
              </a:ln>
              <a:solidFill>
                <a:srgbClr val="000000"/>
              </a:solidFill>
              <a:effectLst/>
              <a:uLnTx/>
              <a:uFillTx/>
              <a:latin typeface="Arial"/>
              <a:cs typeface="Arial"/>
            </a:rPr>
            <a:t>2. 2</a:t>
          </a:r>
          <a:r>
            <a:rPr kumimoji="0" lang="en-GB" altLang="zh-CN" sz="900" b="0" i="0" u="none" strike="noStrike" kern="0" cap="none" spc="0" normalizeH="0" baseline="30000" noProof="0">
              <a:ln>
                <a:noFill/>
              </a:ln>
              <a:solidFill>
                <a:srgbClr val="000000"/>
              </a:solidFill>
              <a:effectLst/>
              <a:uLnTx/>
              <a:uFillTx/>
              <a:latin typeface="Arial"/>
              <a:cs typeface="Arial"/>
            </a:rPr>
            <a:t>nd</a:t>
          </a:r>
          <a:r>
            <a:rPr kumimoji="0" lang="en-GB" altLang="zh-CN" sz="900" b="0" i="0" u="none" strike="noStrike" kern="0" cap="none" spc="0" normalizeH="0" baseline="0" noProof="0">
              <a:ln>
                <a:noFill/>
              </a:ln>
              <a:solidFill>
                <a:srgbClr val="000000"/>
              </a:solidFill>
              <a:effectLst/>
              <a:uLnTx/>
              <a:uFillTx/>
              <a:latin typeface="Arial"/>
              <a:cs typeface="Arial"/>
            </a:rPr>
            <a:t> deduplication: b = 2</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3054929</xdr:colOff>
      <xdr:row>23</xdr:row>
      <xdr:rowOff>23445</xdr:rowOff>
    </xdr:from>
    <xdr:to>
      <xdr:col>1</xdr:col>
      <xdr:colOff>5546083</xdr:colOff>
      <xdr:row>26</xdr:row>
      <xdr:rowOff>123091</xdr:rowOff>
    </xdr:to>
    <xdr:sp macro="" textlink="">
      <xdr:nvSpPr>
        <xdr:cNvPr id="10" name="PR_Excluded2">
          <a:extLst>
            <a:ext uri="{FF2B5EF4-FFF2-40B4-BE49-F238E27FC236}">
              <a16:creationId xmlns:a16="http://schemas.microsoft.com/office/drawing/2014/main" id="{621776A6-D9F6-4381-B637-1ED1453FFEF9}"/>
            </a:ext>
          </a:extLst>
        </xdr:cNvPr>
        <xdr:cNvSpPr/>
      </xdr:nvSpPr>
      <xdr:spPr>
        <a:xfrm>
          <a:off x="4197929" y="4245618"/>
          <a:ext cx="2491154" cy="650364"/>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Reports excluded at 2nd screening (</a:t>
          </a:r>
          <a:r>
            <a:rPr kumimoji="0" lang="en-GB" altLang="zh-CN" sz="900" b="1" i="0" u="none" strike="noStrike" kern="0" cap="none" spc="0" normalizeH="0" baseline="0" noProof="0">
              <a:ln>
                <a:noFill/>
              </a:ln>
              <a:solidFill>
                <a:srgbClr val="000000"/>
              </a:solidFill>
              <a:effectLst/>
              <a:uLnTx/>
              <a:uFillTx/>
              <a:latin typeface="Arial"/>
              <a:cs typeface="Arial"/>
            </a:rPr>
            <a:t>n = 11</a:t>
          </a:r>
          <a:r>
            <a:rPr kumimoji="0" lang="en-GB" altLang="zh-CN" sz="900" b="0" i="0" u="none" strike="noStrike" kern="0" cap="none" spc="0" normalizeH="0" baseline="0" noProof="0">
              <a:ln>
                <a:noFill/>
              </a:ln>
              <a:solidFill>
                <a:srgbClr val="000000"/>
              </a:solidFill>
              <a:effectLst/>
              <a:uLnTx/>
              <a:uFillTx/>
              <a:latin typeface="Arial"/>
              <a:cs typeface="Arial"/>
            </a:rPr>
            <a:t>)
1. Digital Twin not core / buzzword: a = 10
2. No DfS/DfQ: b = 1</a:t>
          </a:r>
        </a:p>
      </xdr:txBody>
    </xdr:sp>
    <xdr:clientData/>
  </xdr:twoCellAnchor>
  <xdr:twoCellAnchor editAs="oneCell">
    <xdr:from>
      <xdr:col>1</xdr:col>
      <xdr:colOff>134815</xdr:colOff>
      <xdr:row>32</xdr:row>
      <xdr:rowOff>132471</xdr:rowOff>
    </xdr:from>
    <xdr:to>
      <xdr:col>1</xdr:col>
      <xdr:colOff>2654815</xdr:colOff>
      <xdr:row>39</xdr:row>
      <xdr:rowOff>71510</xdr:rowOff>
    </xdr:to>
    <xdr:sp macro="" textlink="">
      <xdr:nvSpPr>
        <xdr:cNvPr id="19" name="PR_PanelTier">
          <a:extLst>
            <a:ext uri="{FF2B5EF4-FFF2-40B4-BE49-F238E27FC236}">
              <a16:creationId xmlns:a16="http://schemas.microsoft.com/office/drawing/2014/main" id="{68B1B8F9-02C9-4E39-9600-5673CE902036}"/>
            </a:ext>
          </a:extLst>
        </xdr:cNvPr>
        <xdr:cNvSpPr/>
      </xdr:nvSpPr>
      <xdr:spPr>
        <a:xfrm>
          <a:off x="1277815" y="5947117"/>
          <a:ext cx="2520000"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Digital Twin capability tier (Gap 1)
• Tier 1 – Digital Model: 31  (20.5%)
• Tier 2 – Digital Shadow: 91  (60.3%)
• Tier 3 – Digital Twin: 21  (13.9%)
• Tier 4 – Cognitive: 0  (0 %)
• Unclear: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32</xdr:row>
      <xdr:rowOff>110700</xdr:rowOff>
    </xdr:from>
    <xdr:to>
      <xdr:col>2</xdr:col>
      <xdr:colOff>194367</xdr:colOff>
      <xdr:row>39</xdr:row>
      <xdr:rowOff>49739</xdr:rowOff>
    </xdr:to>
    <xdr:sp macro="" textlink="">
      <xdr:nvSpPr>
        <xdr:cNvPr id="20" name="PR_PanelSelf">
          <a:extLst>
            <a:ext uri="{FF2B5EF4-FFF2-40B4-BE49-F238E27FC236}">
              <a16:creationId xmlns:a16="http://schemas.microsoft.com/office/drawing/2014/main" id="{4E94302C-EB3E-44E9-81E1-0D4D79BC0D4A}"/>
            </a:ext>
          </a:extLst>
        </xdr:cNvPr>
        <xdr:cNvSpPr/>
      </xdr:nvSpPr>
      <xdr:spPr>
        <a:xfrm>
          <a:off x="4134356" y="5925346"/>
          <a:ext cx="3808965"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Self-improvement / convergence (Gap 4 - core gap)
• None: 133  (88.1%)
• Mentioned only: 8  (5.3%)
• Implemented: 10  (6.6%)
• Convergence-characterised: 0  (0.0%)</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134815</xdr:colOff>
      <xdr:row>40</xdr:row>
      <xdr:rowOff>56661</xdr:rowOff>
    </xdr:from>
    <xdr:to>
      <xdr:col>1</xdr:col>
      <xdr:colOff>2654815</xdr:colOff>
      <xdr:row>46</xdr:row>
      <xdr:rowOff>178581</xdr:rowOff>
    </xdr:to>
    <xdr:sp macro="" textlink="">
      <xdr:nvSpPr>
        <xdr:cNvPr id="21" name="PR_PanelValid">
          <a:extLst>
            <a:ext uri="{FF2B5EF4-FFF2-40B4-BE49-F238E27FC236}">
              <a16:creationId xmlns:a16="http://schemas.microsoft.com/office/drawing/2014/main" id="{BE36953E-1673-4F53-A345-762FDA8EDA3D}"/>
            </a:ext>
          </a:extLst>
        </xdr:cNvPr>
        <xdr:cNvSpPr/>
      </xdr:nvSpPr>
      <xdr:spPr>
        <a:xfrm>
          <a:off x="1277815" y="7324969"/>
          <a:ext cx="2520000"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Validation level (Gap 5)
• Conceptual (no test): 19  (12.6%)
• Simulation: 19  (12.6%)
• Single case study: 106  (70.2%)
• Cross-project: 7  (4.6%)</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40</xdr:row>
      <xdr:rowOff>34890</xdr:rowOff>
    </xdr:from>
    <xdr:to>
      <xdr:col>2</xdr:col>
      <xdr:colOff>194367</xdr:colOff>
      <xdr:row>46</xdr:row>
      <xdr:rowOff>156810</xdr:rowOff>
    </xdr:to>
    <xdr:sp macro="" textlink="">
      <xdr:nvSpPr>
        <xdr:cNvPr id="22" name="PR_PanelPhase">
          <a:extLst>
            <a:ext uri="{FF2B5EF4-FFF2-40B4-BE49-F238E27FC236}">
              <a16:creationId xmlns:a16="http://schemas.microsoft.com/office/drawing/2014/main" id="{37C52BAE-B283-402D-A1EB-427525A2251B}"/>
            </a:ext>
          </a:extLst>
        </xdr:cNvPr>
        <xdr:cNvSpPr/>
      </xdr:nvSpPr>
      <xdr:spPr>
        <a:xfrm>
          <a:off x="4134356" y="7303198"/>
          <a:ext cx="3808965"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Lifecycle phase coverage (Gap 3)
• Design (any): 5
• Construction (any): 81
• Operation (any): 72
• Single-phase: 146
• Multi-phase (cross-phase): 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0</xdr:col>
      <xdr:colOff>880481</xdr:colOff>
      <xdr:row>3</xdr:row>
      <xdr:rowOff>110076</xdr:rowOff>
    </xdr:from>
    <xdr:to>
      <xdr:col>1</xdr:col>
      <xdr:colOff>7874</xdr:colOff>
      <xdr:row>9</xdr:row>
      <xdr:rowOff>173010</xdr:rowOff>
    </xdr:to>
    <xdr:sp macro="" textlink="">
      <xdr:nvSpPr>
        <xdr:cNvPr id="23" name="PR_Band_Identification">
          <a:extLst>
            <a:ext uri="{FF2B5EF4-FFF2-40B4-BE49-F238E27FC236}">
              <a16:creationId xmlns:a16="http://schemas.microsoft.com/office/drawing/2014/main" id="{80EE9228-6141-49F6-841B-53643421245E}"/>
            </a:ext>
          </a:extLst>
        </xdr:cNvPr>
        <xdr:cNvSpPr/>
      </xdr:nvSpPr>
      <xdr:spPr>
        <a:xfrm rot="16200000">
          <a:off x="439088" y="1096592"/>
          <a:ext cx="1153180" cy="270393"/>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IDENTIFICATION</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863601</xdr:colOff>
      <xdr:row>11</xdr:row>
      <xdr:rowOff>164123</xdr:rowOff>
    </xdr:from>
    <xdr:to>
      <xdr:col>1</xdr:col>
      <xdr:colOff>54707</xdr:colOff>
      <xdr:row>26</xdr:row>
      <xdr:rowOff>101599</xdr:rowOff>
    </xdr:to>
    <xdr:sp macro="" textlink="">
      <xdr:nvSpPr>
        <xdr:cNvPr id="24" name="PR_Band_Screening">
          <a:extLst>
            <a:ext uri="{FF2B5EF4-FFF2-40B4-BE49-F238E27FC236}">
              <a16:creationId xmlns:a16="http://schemas.microsoft.com/office/drawing/2014/main" id="{6CA82855-9A90-40E0-B1CC-1E0448CD840B}"/>
            </a:ext>
          </a:extLst>
        </xdr:cNvPr>
        <xdr:cNvSpPr/>
      </xdr:nvSpPr>
      <xdr:spPr>
        <a:xfrm rot="16200000">
          <a:off x="-300892" y="3327401"/>
          <a:ext cx="2663091" cy="334106"/>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SCREENING</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879231</xdr:colOff>
      <xdr:row>33</xdr:row>
      <xdr:rowOff>2342</xdr:rowOff>
    </xdr:from>
    <xdr:to>
      <xdr:col>0</xdr:col>
      <xdr:colOff>1131669</xdr:colOff>
      <xdr:row>46</xdr:row>
      <xdr:rowOff>152401</xdr:rowOff>
    </xdr:to>
    <xdr:sp macro="" textlink="">
      <xdr:nvSpPr>
        <xdr:cNvPr id="25" name="PR_Band_Included">
          <a:extLst>
            <a:ext uri="{FF2B5EF4-FFF2-40B4-BE49-F238E27FC236}">
              <a16:creationId xmlns:a16="http://schemas.microsoft.com/office/drawing/2014/main" id="{56FB721B-06FB-47A5-9AEA-144C6F204890}"/>
            </a:ext>
          </a:extLst>
        </xdr:cNvPr>
        <xdr:cNvSpPr/>
      </xdr:nvSpPr>
      <xdr:spPr>
        <a:xfrm rot="16200000">
          <a:off x="-250680" y="7128607"/>
          <a:ext cx="2512259" cy="252438"/>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INCLUDED</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2977563</xdr:colOff>
      <xdr:row>4</xdr:row>
      <xdr:rowOff>92266</xdr:rowOff>
    </xdr:from>
    <xdr:to>
      <xdr:col>1</xdr:col>
      <xdr:colOff>5159187</xdr:colOff>
      <xdr:row>7</xdr:row>
      <xdr:rowOff>147229</xdr:rowOff>
    </xdr:to>
    <xdr:sp macro="" textlink="">
      <xdr:nvSpPr>
        <xdr:cNvPr id="30" name="PR_Excluded1">
          <a:extLst>
            <a:ext uri="{FF2B5EF4-FFF2-40B4-BE49-F238E27FC236}">
              <a16:creationId xmlns:a16="http://schemas.microsoft.com/office/drawing/2014/main" id="{F7273F9C-40D0-4BD0-BF08-D0641C73B69B}"/>
            </a:ext>
          </a:extLst>
        </xdr:cNvPr>
        <xdr:cNvSpPr/>
      </xdr:nvSpPr>
      <xdr:spPr>
        <a:xfrm>
          <a:off x="4120563" y="819097"/>
          <a:ext cx="2181624" cy="600086"/>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removed before screening:</a:t>
          </a:r>
        </a:p>
        <a:p>
          <a:pPr algn="l"/>
          <a:r>
            <a:rPr kumimoji="0" lang="en-GB" altLang="zh-CN" sz="900" b="0" i="0" u="none" strike="noStrike" kern="0" cap="none" spc="0" normalizeH="0" baseline="0" noProof="0">
              <a:ln>
                <a:noFill/>
              </a:ln>
              <a:solidFill>
                <a:srgbClr val="000000"/>
              </a:solidFill>
              <a:effectLst/>
              <a:uLnTx/>
              <a:uFillTx/>
              <a:latin typeface="Arial"/>
              <a:cs typeface="Arial"/>
            </a:rPr>
            <a:t>1st Deduplication, removed </a:t>
          </a:r>
          <a:r>
            <a:rPr kumimoji="0" lang="en-GB" altLang="zh-CN" sz="900" b="1" i="0" u="none" strike="noStrike" kern="0" cap="none" spc="0" normalizeH="0" baseline="0" noProof="0">
              <a:ln>
                <a:noFill/>
              </a:ln>
              <a:solidFill>
                <a:srgbClr val="000000"/>
              </a:solidFill>
              <a:effectLst/>
              <a:uLnTx/>
              <a:uFillTx/>
              <a:latin typeface="Arial"/>
              <a:cs typeface="Arial"/>
            </a:rPr>
            <a:t>(n = 133)</a:t>
          </a:r>
        </a:p>
      </xdr:txBody>
    </xdr:sp>
    <xdr:clientData/>
  </xdr:twoCellAnchor>
  <xdr:twoCellAnchor>
    <xdr:from>
      <xdr:col>1</xdr:col>
      <xdr:colOff>1412400</xdr:colOff>
      <xdr:row>7</xdr:row>
      <xdr:rowOff>147230</xdr:rowOff>
    </xdr:from>
    <xdr:to>
      <xdr:col>1</xdr:col>
      <xdr:colOff>4068375</xdr:colOff>
      <xdr:row>12</xdr:row>
      <xdr:rowOff>18972</xdr:rowOff>
    </xdr:to>
    <xdr:cxnSp macro="">
      <xdr:nvCxnSpPr>
        <xdr:cNvPr id="37" name="连接符: 肘形 36">
          <a:extLst>
            <a:ext uri="{FF2B5EF4-FFF2-40B4-BE49-F238E27FC236}">
              <a16:creationId xmlns:a16="http://schemas.microsoft.com/office/drawing/2014/main" id="{D9F0DB39-8D81-020F-5E28-1DF76689E262}"/>
            </a:ext>
          </a:extLst>
        </xdr:cNvPr>
        <xdr:cNvCxnSpPr>
          <a:stCxn id="30" idx="2"/>
          <a:endCxn id="4" idx="0"/>
        </xdr:cNvCxnSpPr>
      </xdr:nvCxnSpPr>
      <xdr:spPr>
        <a:xfrm rot="5400000">
          <a:off x="3493248" y="481336"/>
          <a:ext cx="780280" cy="2655975"/>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1424124</xdr:colOff>
      <xdr:row>21</xdr:row>
      <xdr:rowOff>123093</xdr:rowOff>
    </xdr:from>
    <xdr:to>
      <xdr:col>1</xdr:col>
      <xdr:colOff>4290643</xdr:colOff>
      <xdr:row>23</xdr:row>
      <xdr:rowOff>4296</xdr:rowOff>
    </xdr:to>
    <xdr:cxnSp macro="">
      <xdr:nvCxnSpPr>
        <xdr:cNvPr id="40" name="连接符: 肘形 39">
          <a:extLst>
            <a:ext uri="{FF2B5EF4-FFF2-40B4-BE49-F238E27FC236}">
              <a16:creationId xmlns:a16="http://schemas.microsoft.com/office/drawing/2014/main" id="{3C4233E8-69B6-B21B-1FEE-D67A4C41635B}"/>
            </a:ext>
          </a:extLst>
        </xdr:cNvPr>
        <xdr:cNvCxnSpPr>
          <a:stCxn id="9" idx="2"/>
          <a:endCxn id="6" idx="0"/>
        </xdr:cNvCxnSpPr>
      </xdr:nvCxnSpPr>
      <xdr:spPr>
        <a:xfrm rot="5400000">
          <a:off x="3878075" y="2628004"/>
          <a:ext cx="244618" cy="286651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1412401</xdr:colOff>
      <xdr:row>16</xdr:row>
      <xdr:rowOff>35172</xdr:rowOff>
    </xdr:from>
    <xdr:to>
      <xdr:col>1</xdr:col>
      <xdr:colOff>4256462</xdr:colOff>
      <xdr:row>18</xdr:row>
      <xdr:rowOff>25010</xdr:rowOff>
    </xdr:to>
    <xdr:cxnSp macro="">
      <xdr:nvCxnSpPr>
        <xdr:cNvPr id="44" name="连接符: 肘形 43">
          <a:extLst>
            <a:ext uri="{FF2B5EF4-FFF2-40B4-BE49-F238E27FC236}">
              <a16:creationId xmlns:a16="http://schemas.microsoft.com/office/drawing/2014/main" id="{B99CC8DE-6BD2-ED4E-312D-53F21BE389CB}"/>
            </a:ext>
          </a:extLst>
        </xdr:cNvPr>
        <xdr:cNvCxnSpPr>
          <a:stCxn id="8" idx="2"/>
          <a:endCxn id="5" idx="0"/>
        </xdr:cNvCxnSpPr>
      </xdr:nvCxnSpPr>
      <xdr:spPr>
        <a:xfrm rot="5400000">
          <a:off x="3800805" y="1697091"/>
          <a:ext cx="353253" cy="2844061"/>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13</xdr:row>
      <xdr:rowOff>111372</xdr:rowOff>
    </xdr:from>
    <xdr:to>
      <xdr:col>1</xdr:col>
      <xdr:colOff>2973770</xdr:colOff>
      <xdr:row>13</xdr:row>
      <xdr:rowOff>112063</xdr:rowOff>
    </xdr:to>
    <xdr:cxnSp macro="">
      <xdr:nvCxnSpPr>
        <xdr:cNvPr id="55" name="直接箭头连接符 54">
          <a:extLst>
            <a:ext uri="{FF2B5EF4-FFF2-40B4-BE49-F238E27FC236}">
              <a16:creationId xmlns:a16="http://schemas.microsoft.com/office/drawing/2014/main" id="{B981999E-436A-DAD9-14AA-422588B89693}"/>
            </a:ext>
          </a:extLst>
        </xdr:cNvPr>
        <xdr:cNvCxnSpPr>
          <a:stCxn id="4" idx="3"/>
          <a:endCxn id="8" idx="1"/>
        </xdr:cNvCxnSpPr>
      </xdr:nvCxnSpPr>
      <xdr:spPr>
        <a:xfrm flipV="1">
          <a:off x="3815400" y="2473572"/>
          <a:ext cx="301370" cy="6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19</xdr:row>
      <xdr:rowOff>143608</xdr:rowOff>
    </xdr:from>
    <xdr:to>
      <xdr:col>1</xdr:col>
      <xdr:colOff>3089023</xdr:colOff>
      <xdr:row>19</xdr:row>
      <xdr:rowOff>146344</xdr:rowOff>
    </xdr:to>
    <xdr:cxnSp macro="">
      <xdr:nvCxnSpPr>
        <xdr:cNvPr id="56" name="直接箭头连接符 55">
          <a:extLst>
            <a:ext uri="{FF2B5EF4-FFF2-40B4-BE49-F238E27FC236}">
              <a16:creationId xmlns:a16="http://schemas.microsoft.com/office/drawing/2014/main" id="{8EAFFECC-E61D-4ECB-9922-EF3302C784C4}"/>
            </a:ext>
          </a:extLst>
        </xdr:cNvPr>
        <xdr:cNvCxnSpPr>
          <a:stCxn id="5" idx="3"/>
          <a:endCxn id="9" idx="1"/>
        </xdr:cNvCxnSpPr>
      </xdr:nvCxnSpPr>
      <xdr:spPr>
        <a:xfrm flipV="1">
          <a:off x="3815400" y="3596054"/>
          <a:ext cx="416623" cy="2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6</xdr:row>
      <xdr:rowOff>28894</xdr:rowOff>
    </xdr:from>
    <xdr:to>
      <xdr:col>1</xdr:col>
      <xdr:colOff>2977563</xdr:colOff>
      <xdr:row>6</xdr:row>
      <xdr:rowOff>33021</xdr:rowOff>
    </xdr:to>
    <xdr:cxnSp macro="">
      <xdr:nvCxnSpPr>
        <xdr:cNvPr id="64" name="直接箭头连接符 63">
          <a:extLst>
            <a:ext uri="{FF2B5EF4-FFF2-40B4-BE49-F238E27FC236}">
              <a16:creationId xmlns:a16="http://schemas.microsoft.com/office/drawing/2014/main" id="{F23673E8-4726-3D7B-62B1-0CB951B1E88E}"/>
            </a:ext>
          </a:extLst>
        </xdr:cNvPr>
        <xdr:cNvCxnSpPr>
          <a:stCxn id="3" idx="3"/>
          <a:endCxn id="30" idx="1"/>
        </xdr:cNvCxnSpPr>
      </xdr:nvCxnSpPr>
      <xdr:spPr>
        <a:xfrm flipV="1">
          <a:off x="3815400" y="1119140"/>
          <a:ext cx="305163" cy="412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2684124</xdr:colOff>
      <xdr:row>24</xdr:row>
      <xdr:rowOff>164076</xdr:rowOff>
    </xdr:from>
    <xdr:to>
      <xdr:col>1</xdr:col>
      <xdr:colOff>3054929</xdr:colOff>
      <xdr:row>24</xdr:row>
      <xdr:rowOff>165055</xdr:rowOff>
    </xdr:to>
    <xdr:cxnSp macro="">
      <xdr:nvCxnSpPr>
        <xdr:cNvPr id="72" name="直接箭头连接符 71">
          <a:extLst>
            <a:ext uri="{FF2B5EF4-FFF2-40B4-BE49-F238E27FC236}">
              <a16:creationId xmlns:a16="http://schemas.microsoft.com/office/drawing/2014/main" id="{1DAED0F7-4A97-F11A-BA1E-54FBA2AE80A5}"/>
            </a:ext>
          </a:extLst>
        </xdr:cNvPr>
        <xdr:cNvCxnSpPr>
          <a:stCxn id="6" idx="3"/>
          <a:endCxn id="10" idx="1"/>
        </xdr:cNvCxnSpPr>
      </xdr:nvCxnSpPr>
      <xdr:spPr>
        <a:xfrm>
          <a:off x="3827124" y="4569821"/>
          <a:ext cx="370805" cy="9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4300506</xdr:colOff>
      <xdr:row>26</xdr:row>
      <xdr:rowOff>123091</xdr:rowOff>
    </xdr:from>
    <xdr:to>
      <xdr:col>1</xdr:col>
      <xdr:colOff>4301836</xdr:colOff>
      <xdr:row>27</xdr:row>
      <xdr:rowOff>166254</xdr:rowOff>
    </xdr:to>
    <xdr:cxnSp macro="">
      <xdr:nvCxnSpPr>
        <xdr:cNvPr id="91" name="直接箭头连接符 90">
          <a:extLst>
            <a:ext uri="{FF2B5EF4-FFF2-40B4-BE49-F238E27FC236}">
              <a16:creationId xmlns:a16="http://schemas.microsoft.com/office/drawing/2014/main" id="{0A3E23A4-53C7-064D-2FB1-88430F719D25}"/>
            </a:ext>
          </a:extLst>
        </xdr:cNvPr>
        <xdr:cNvCxnSpPr>
          <a:stCxn id="10" idx="2"/>
        </xdr:cNvCxnSpPr>
      </xdr:nvCxnSpPr>
      <xdr:spPr>
        <a:xfrm>
          <a:off x="5443506" y="4895982"/>
          <a:ext cx="1330" cy="226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145562</xdr:colOff>
      <xdr:row>48</xdr:row>
      <xdr:rowOff>12700</xdr:rowOff>
    </xdr:from>
    <xdr:to>
      <xdr:col>1</xdr:col>
      <xdr:colOff>3955562</xdr:colOff>
      <xdr:row>51</xdr:row>
      <xdr:rowOff>158263</xdr:rowOff>
    </xdr:to>
    <xdr:sp macro="" textlink="">
      <xdr:nvSpPr>
        <xdr:cNvPr id="95" name="PR_PanelModality">
          <a:extLst>
            <a:ext uri="{FF2B5EF4-FFF2-40B4-BE49-F238E27FC236}">
              <a16:creationId xmlns:a16="http://schemas.microsoft.com/office/drawing/2014/main" id="{FCE77CA3-001A-40B1-8122-74ACD1E64036}"/>
            </a:ext>
          </a:extLst>
        </xdr:cNvPr>
        <xdr:cNvSpPr/>
      </xdr:nvSpPr>
      <xdr:spPr>
        <a:xfrm>
          <a:off x="1288562" y="8734669"/>
          <a:ext cx="3810000" cy="69068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Data modality (Gap 2)
• Single (one data type): 14  (9.3%)
• Multi (two or more data types): 137  (90.7%)</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3</xdr:col>
      <xdr:colOff>22859</xdr:colOff>
      <xdr:row>20</xdr:row>
      <xdr:rowOff>0</xdr:rowOff>
    </xdr:from>
    <xdr:to>
      <xdr:col>14</xdr:col>
      <xdr:colOff>373224</xdr:colOff>
      <xdr:row>35</xdr:row>
      <xdr:rowOff>50800</xdr:rowOff>
    </xdr:to>
    <xdr:graphicFrame macro="">
      <xdr:nvGraphicFramePr>
        <xdr:cNvPr id="97" name="Ch_CrossTab100">
          <a:extLst>
            <a:ext uri="{FF2B5EF4-FFF2-40B4-BE49-F238E27FC236}">
              <a16:creationId xmlns:a16="http://schemas.microsoft.com/office/drawing/2014/main" id="{DEEE50C8-6077-AFCD-8AFC-49FF8C71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36</xdr:row>
      <xdr:rowOff>121920</xdr:rowOff>
    </xdr:from>
    <xdr:to>
      <xdr:col>13</xdr:col>
      <xdr:colOff>276860</xdr:colOff>
      <xdr:row>51</xdr:row>
      <xdr:rowOff>172720</xdr:rowOff>
    </xdr:to>
    <xdr:graphicFrame macro="">
      <xdr:nvGraphicFramePr>
        <xdr:cNvPr id="98" name="Ch_CrossTabCounts">
          <a:extLst>
            <a:ext uri="{FF2B5EF4-FFF2-40B4-BE49-F238E27FC236}">
              <a16:creationId xmlns:a16="http://schemas.microsoft.com/office/drawing/2014/main" id="{6F0C730E-2FDB-D3B3-9047-2A7B50B9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4191000</xdr:colOff>
      <xdr:row>46</xdr:row>
      <xdr:rowOff>153437</xdr:rowOff>
    </xdr:from>
    <xdr:to>
      <xdr:col>4</xdr:col>
      <xdr:colOff>178837</xdr:colOff>
      <xdr:row>53</xdr:row>
      <xdr:rowOff>66351</xdr:rowOff>
    </xdr:to>
    <xdr:sp macro="" textlink="">
      <xdr:nvSpPr>
        <xdr:cNvPr id="102" name="PR_PanelFusion">
          <a:extLst>
            <a:ext uri="{FF2B5EF4-FFF2-40B4-BE49-F238E27FC236}">
              <a16:creationId xmlns:a16="http://schemas.microsoft.com/office/drawing/2014/main" id="{B975547C-CF5C-4EA7-889C-872D79C8E9ED}"/>
            </a:ext>
          </a:extLst>
        </xdr:cNvPr>
        <xdr:cNvSpPr/>
      </xdr:nvSpPr>
      <xdr:spPr>
        <a:xfrm>
          <a:off x="5334000" y="8737600"/>
          <a:ext cx="3810000" cy="1219200"/>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Fusion depth (Gap 2b - how deeply are the data types actually integrated?)
• Single: 19  (12.6%)
• Co-present: 3  (2.0%)
• Aligned: 39  (25.8%)
• Fused: 71  (47.0%)
• Unclear: 19  (12.6%)</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139700</xdr:colOff>
      <xdr:row>53</xdr:row>
      <xdr:rowOff>167951</xdr:rowOff>
    </xdr:from>
    <xdr:to>
      <xdr:col>4</xdr:col>
      <xdr:colOff>178837</xdr:colOff>
      <xdr:row>57</xdr:row>
      <xdr:rowOff>31102</xdr:rowOff>
    </xdr:to>
    <xdr:sp macro="" textlink="">
      <xdr:nvSpPr>
        <xdr:cNvPr id="103" name="PR_FusionHeadline">
          <a:extLst>
            <a:ext uri="{FF2B5EF4-FFF2-40B4-BE49-F238E27FC236}">
              <a16:creationId xmlns:a16="http://schemas.microsoft.com/office/drawing/2014/main" id="{B25ADE45-8356-4B1A-A0C6-117DC9B22D6C}"/>
            </a:ext>
          </a:extLst>
        </xdr:cNvPr>
        <xdr:cNvSpPr/>
      </xdr:nvSpPr>
      <xdr:spPr>
        <a:xfrm>
          <a:off x="1282700" y="10058400"/>
          <a:ext cx="7861300" cy="609600"/>
        </a:xfrm>
        <a:prstGeom prst="roundRect">
          <a:avLst/>
        </a:prstGeom>
        <a:solidFill>
          <a:srgbClr val="FFF2CC"/>
        </a:solidFill>
        <a:ln w="25400" cap="flat" cmpd="sng" algn="ctr">
          <a:solidFill>
            <a:srgbClr val="BF8F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0" tIns="50800" rIns="127000" bIns="50800" rtlCol="0" anchor="ctr">
          <a:noAutofit/>
        </a:bodyPr>
        <a:lstStyle/>
        <a:p>
          <a:pPr algn="l"/>
          <a:r>
            <a:rPr kumimoji="0" lang="en-GB" altLang="zh-CN" sz="900" b="1" i="0" u="none" strike="noStrike" kern="0" cap="none" spc="0" normalizeH="0" baseline="0" noProof="0">
              <a:ln>
                <a:noFill/>
              </a:ln>
              <a:solidFill>
                <a:srgbClr val="7F6000"/>
              </a:solidFill>
              <a:effectLst/>
              <a:uLnTx/>
              <a:uFillTx/>
              <a:latin typeface="Arial"/>
              <a:cs typeface="Arial"/>
            </a:rPr>
            <a:t>Even among the 71 Fused studies, 64 (90.1%) implement no self-improvement and 0 characterise convergence - deep data integration does NOT translate into adaptive capability.</a:t>
          </a:r>
          <a:endParaRPr kumimoji="0" lang="zh-CN" altLang="en-US" sz="900" b="1" i="0" u="none" strike="noStrike" kern="0" cap="none" spc="0" normalizeH="0" baseline="0" noProof="0">
            <a:ln>
              <a:noFill/>
            </a:ln>
            <a:solidFill>
              <a:srgbClr val="7F6000"/>
            </a:solidFill>
            <a:effectLst/>
            <a:uLnTx/>
            <a:uFillTx/>
            <a:latin typeface="Arial"/>
            <a:cs typeface="Arial"/>
          </a:endParaRPr>
        </a:p>
      </xdr:txBody>
    </xdr:sp>
    <xdr:clientData/>
  </xdr:twoCellAnchor>
  <xdr:twoCellAnchor>
    <xdr:from>
      <xdr:col>13</xdr:col>
      <xdr:colOff>530859</xdr:colOff>
      <xdr:row>3</xdr:row>
      <xdr:rowOff>60959</xdr:rowOff>
    </xdr:from>
    <xdr:to>
      <xdr:col>22</xdr:col>
      <xdr:colOff>99059</xdr:colOff>
      <xdr:row>19</xdr:row>
      <xdr:rowOff>182879</xdr:rowOff>
    </xdr:to>
    <xdr:graphicFrame macro="">
      <xdr:nvGraphicFramePr>
        <xdr:cNvPr id="104" name="Ch_FusionDepth">
          <a:extLst>
            <a:ext uri="{FF2B5EF4-FFF2-40B4-BE49-F238E27FC236}">
              <a16:creationId xmlns:a16="http://schemas.microsoft.com/office/drawing/2014/main" id="{039FFF28-BEBE-CB83-B92A-4FDE5C3A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530859</xdr:colOff>
      <xdr:row>21</xdr:row>
      <xdr:rowOff>71119</xdr:rowOff>
    </xdr:from>
    <xdr:to>
      <xdr:col>22</xdr:col>
      <xdr:colOff>99059</xdr:colOff>
      <xdr:row>38</xdr:row>
      <xdr:rowOff>10159</xdr:rowOff>
    </xdr:to>
    <xdr:graphicFrame macro="">
      <xdr:nvGraphicFramePr>
        <xdr:cNvPr id="105" name="Ch_FusionSelf">
          <a:extLst>
            <a:ext uri="{FF2B5EF4-FFF2-40B4-BE49-F238E27FC236}">
              <a16:creationId xmlns:a16="http://schemas.microsoft.com/office/drawing/2014/main" id="{242B382F-E962-5EE1-57FB-1A91A8E1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x14ac:dyDescent="0.3">
      <c r="B2" s="1" t="s">
        <v>0</v>
      </c>
    </row>
    <row r="3" spans="2:3" x14ac:dyDescent="0.3">
      <c r="B3" s="2" t="s">
        <v>1</v>
      </c>
    </row>
    <row r="5" spans="2:3" ht="15.6" x14ac:dyDescent="0.3">
      <c r="B5" s="3" t="s">
        <v>2</v>
      </c>
    </row>
    <row r="6" spans="2:3" ht="26.4" x14ac:dyDescent="0.3">
      <c r="B6" s="4" t="s">
        <v>3</v>
      </c>
      <c r="C6" s="5" t="s">
        <v>4</v>
      </c>
    </row>
    <row r="7" spans="2:3" ht="39.6" x14ac:dyDescent="0.3">
      <c r="B7" s="4" t="s">
        <v>5</v>
      </c>
      <c r="C7" s="5" t="s">
        <v>6</v>
      </c>
    </row>
    <row r="8" spans="2:3" ht="39.6" x14ac:dyDescent="0.3">
      <c r="B8" s="4" t="s">
        <v>7</v>
      </c>
      <c r="C8" s="5" t="s">
        <v>8</v>
      </c>
    </row>
    <row r="9" spans="2:3" ht="26.4" x14ac:dyDescent="0.3">
      <c r="B9" s="4" t="s">
        <v>9</v>
      </c>
      <c r="C9" s="5" t="s">
        <v>10</v>
      </c>
    </row>
    <row r="10" spans="2:3" x14ac:dyDescent="0.3">
      <c r="B10" s="4" t="s">
        <v>11</v>
      </c>
      <c r="C10" s="5" t="s">
        <v>12</v>
      </c>
    </row>
    <row r="11" spans="2:3" ht="26.4" x14ac:dyDescent="0.3">
      <c r="B11" s="4" t="s">
        <v>13</v>
      </c>
      <c r="C11" s="5" t="s">
        <v>14</v>
      </c>
    </row>
    <row r="12" spans="2:3" ht="26.4" x14ac:dyDescent="0.3">
      <c r="B12" s="4" t="s">
        <v>15</v>
      </c>
      <c r="C12" s="5" t="s">
        <v>16</v>
      </c>
    </row>
    <row r="13" spans="2:3" ht="26.4" x14ac:dyDescent="0.3">
      <c r="B13" s="4" t="s">
        <v>17</v>
      </c>
      <c r="C13" s="5" t="s">
        <v>18</v>
      </c>
    </row>
    <row r="14" spans="2:3" ht="26.4" x14ac:dyDescent="0.3">
      <c r="B14" s="4" t="s">
        <v>19</v>
      </c>
      <c r="C14" s="5" t="s">
        <v>20</v>
      </c>
    </row>
    <row r="15" spans="2:3" ht="26.4" x14ac:dyDescent="0.3">
      <c r="B15" s="4" t="s">
        <v>21</v>
      </c>
      <c r="C15" s="5" t="s">
        <v>22</v>
      </c>
    </row>
    <row r="17" spans="2:3" ht="15.6" x14ac:dyDescent="0.3">
      <c r="B17" s="3" t="s">
        <v>23</v>
      </c>
    </row>
    <row r="18" spans="2:3" ht="26.4" x14ac:dyDescent="0.3">
      <c r="B18" s="4" t="s">
        <v>24</v>
      </c>
      <c r="C18" s="5" t="s">
        <v>25</v>
      </c>
    </row>
    <row r="19" spans="2:3" x14ac:dyDescent="0.3">
      <c r="B19" s="4" t="s">
        <v>26</v>
      </c>
      <c r="C19" s="5" t="s">
        <v>27</v>
      </c>
    </row>
    <row r="20" spans="2:3" ht="39.6" x14ac:dyDescent="0.3">
      <c r="B20" s="4" t="s">
        <v>28</v>
      </c>
      <c r="C20" s="5" t="s">
        <v>29</v>
      </c>
    </row>
    <row r="21" spans="2:3" ht="26.4" x14ac:dyDescent="0.3">
      <c r="B21" s="4" t="s">
        <v>30</v>
      </c>
      <c r="C21" s="5" t="s">
        <v>31</v>
      </c>
    </row>
    <row r="22" spans="2:3" ht="26.4" x14ac:dyDescent="0.3">
      <c r="B22" s="4" t="s">
        <v>32</v>
      </c>
      <c r="C22" s="5" t="s">
        <v>33</v>
      </c>
    </row>
    <row r="24" spans="2:3" ht="15.6" x14ac:dyDescent="0.3">
      <c r="B24" s="3" t="s">
        <v>34</v>
      </c>
    </row>
    <row r="25" spans="2:3" ht="26.4" x14ac:dyDescent="0.3">
      <c r="B25" s="4" t="s">
        <v>35</v>
      </c>
      <c r="C25" s="5" t="s">
        <v>36</v>
      </c>
    </row>
    <row r="26" spans="2:3" ht="26.4" x14ac:dyDescent="0.3">
      <c r="B26" s="4" t="s">
        <v>37</v>
      </c>
      <c r="C26" s="5" t="s">
        <v>38</v>
      </c>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Normal="100" workbookViewId="0">
      <selection activeCell="E13" sqref="E13"/>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39</v>
      </c>
      <c r="B1" s="6" t="s">
        <v>40</v>
      </c>
      <c r="C1" s="6" t="s">
        <v>41</v>
      </c>
      <c r="D1" s="6" t="s">
        <v>42</v>
      </c>
      <c r="E1" s="6" t="s">
        <v>43</v>
      </c>
      <c r="F1" s="6" t="s">
        <v>44</v>
      </c>
      <c r="G1" s="6" t="s">
        <v>45</v>
      </c>
      <c r="H1" s="6" t="s">
        <v>46</v>
      </c>
      <c r="I1" s="6" t="s">
        <v>47</v>
      </c>
      <c r="J1" s="6" t="s">
        <v>48</v>
      </c>
      <c r="K1" s="40" t="s">
        <v>1493</v>
      </c>
      <c r="L1" s="40" t="s">
        <v>1498</v>
      </c>
    </row>
    <row r="2" spans="1:12" x14ac:dyDescent="0.3">
      <c r="A2" s="7" t="s">
        <v>49</v>
      </c>
      <c r="B2" s="7" t="s">
        <v>50</v>
      </c>
      <c r="C2" s="7" t="s">
        <v>51</v>
      </c>
      <c r="D2" s="7" t="s">
        <v>52</v>
      </c>
      <c r="E2" s="7" t="s">
        <v>9</v>
      </c>
      <c r="F2" s="7" t="s">
        <v>53</v>
      </c>
      <c r="G2" s="7" t="s">
        <v>54</v>
      </c>
      <c r="H2" s="7" t="s">
        <v>55</v>
      </c>
      <c r="I2" s="7" t="s">
        <v>56</v>
      </c>
      <c r="J2" s="7" t="s">
        <v>57</v>
      </c>
      <c r="K2" t="s">
        <v>1494</v>
      </c>
      <c r="L2" t="s">
        <v>1499</v>
      </c>
    </row>
    <row r="3" spans="1:12" x14ac:dyDescent="0.3">
      <c r="A3" s="7" t="s">
        <v>58</v>
      </c>
      <c r="B3" s="7" t="s">
        <v>59</v>
      </c>
      <c r="C3" s="7" t="s">
        <v>60</v>
      </c>
      <c r="D3" s="7" t="s">
        <v>61</v>
      </c>
      <c r="E3" s="7" t="s">
        <v>11</v>
      </c>
      <c r="F3" s="7" t="s">
        <v>62</v>
      </c>
      <c r="G3" s="7" t="s">
        <v>63</v>
      </c>
      <c r="H3" s="7" t="s">
        <v>64</v>
      </c>
      <c r="I3" s="7" t="s">
        <v>65</v>
      </c>
      <c r="J3" s="7" t="s">
        <v>66</v>
      </c>
      <c r="K3" t="s">
        <v>1495</v>
      </c>
      <c r="L3" t="s">
        <v>1500</v>
      </c>
    </row>
    <row r="4" spans="1:12" x14ac:dyDescent="0.3">
      <c r="B4" s="7" t="s">
        <v>67</v>
      </c>
      <c r="D4" s="7" t="s">
        <v>68</v>
      </c>
      <c r="E4" s="7" t="s">
        <v>69</v>
      </c>
      <c r="F4" s="7" t="s">
        <v>70</v>
      </c>
      <c r="G4" s="7" t="s">
        <v>71</v>
      </c>
      <c r="I4" s="7" t="s">
        <v>72</v>
      </c>
      <c r="J4" s="7" t="s">
        <v>73</v>
      </c>
      <c r="K4" t="s">
        <v>1496</v>
      </c>
      <c r="L4" t="s">
        <v>1501</v>
      </c>
    </row>
    <row r="5" spans="1:12" x14ac:dyDescent="0.3">
      <c r="B5" s="7" t="s">
        <v>74</v>
      </c>
      <c r="D5" s="7" t="s">
        <v>75</v>
      </c>
      <c r="E5" s="7" t="s">
        <v>76</v>
      </c>
      <c r="F5" s="7" t="s">
        <v>77</v>
      </c>
      <c r="G5" s="7" t="s">
        <v>78</v>
      </c>
      <c r="I5" s="7" t="s">
        <v>79</v>
      </c>
      <c r="J5" s="7" t="s">
        <v>80</v>
      </c>
      <c r="K5" t="s">
        <v>1497</v>
      </c>
    </row>
    <row r="6" spans="1:12" x14ac:dyDescent="0.3">
      <c r="B6" s="7" t="s">
        <v>81</v>
      </c>
      <c r="D6" s="7" t="s">
        <v>82</v>
      </c>
      <c r="G6" s="7" t="s">
        <v>83</v>
      </c>
      <c r="J6" s="7" t="s">
        <v>84</v>
      </c>
      <c r="K6" t="s">
        <v>82</v>
      </c>
    </row>
    <row r="7" spans="1:12" x14ac:dyDescent="0.3">
      <c r="G7" s="7" t="s">
        <v>85</v>
      </c>
      <c r="J7" s="7" t="s">
        <v>86</v>
      </c>
    </row>
    <row r="8" spans="1:12" x14ac:dyDescent="0.3">
      <c r="G8" s="7" t="s">
        <v>87</v>
      </c>
      <c r="J8" s="7" t="s">
        <v>76</v>
      </c>
    </row>
    <row r="9" spans="1:12" x14ac:dyDescent="0.3">
      <c r="G9" s="7" t="s">
        <v>88</v>
      </c>
    </row>
    <row r="10" spans="1:12" x14ac:dyDescent="0.3">
      <c r="G10" s="7" t="s">
        <v>89</v>
      </c>
    </row>
    <row r="11" spans="1:12" x14ac:dyDescent="0.3">
      <c r="G11" s="7" t="s">
        <v>90</v>
      </c>
    </row>
    <row r="12" spans="1:12" x14ac:dyDescent="0.3">
      <c r="G12" s="7" t="s">
        <v>91</v>
      </c>
    </row>
    <row r="13" spans="1:12" x14ac:dyDescent="0.3">
      <c r="G13" s="7" t="s">
        <v>92</v>
      </c>
    </row>
  </sheetData>
  <phoneticPr fontId="1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451"/>
  <sheetViews>
    <sheetView showGridLines="0" tabSelected="1" zoomScaleNormal="100" workbookViewId="0">
      <pane xSplit="6" ySplit="1" topLeftCell="Y43" activePane="bottomRight" state="frozen"/>
      <selection pane="topRight" activeCell="G1" sqref="G1"/>
      <selection pane="bottomLeft" activeCell="A2" sqref="A2"/>
      <selection pane="bottomRight" activeCell="F48" sqref="F48"/>
    </sheetView>
  </sheetViews>
  <sheetFormatPr defaultColWidth="8.6640625" defaultRowHeight="14.4" x14ac:dyDescent="0.3"/>
  <cols>
    <col min="1" max="1" width="7" customWidth="1"/>
    <col min="2" max="2" width="24.109375" customWidth="1"/>
    <col min="3" max="3" width="7" customWidth="1"/>
    <col min="4" max="4" width="12.77734375" customWidth="1"/>
    <col min="5" max="5" width="48.109375" customWidth="1"/>
    <col min="6" max="6" width="16"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24"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21875" customWidth="1"/>
    <col min="36" max="36" width="20.33203125" customWidth="1"/>
    <col min="37" max="37" width="55.5546875" customWidth="1"/>
    <col min="38" max="38" width="14.77734375" customWidth="1"/>
    <col min="39" max="39" width="33.33203125" customWidth="1"/>
  </cols>
  <sheetData>
    <row r="1" spans="1:39" ht="57.75" customHeight="1" x14ac:dyDescent="0.3">
      <c r="A1" s="6" t="s">
        <v>93</v>
      </c>
      <c r="B1" s="6" t="s">
        <v>94</v>
      </c>
      <c r="C1" s="6" t="s">
        <v>95</v>
      </c>
      <c r="D1" s="6" t="s">
        <v>96</v>
      </c>
      <c r="E1" s="6" t="s">
        <v>97</v>
      </c>
      <c r="F1" s="6" t="s">
        <v>98</v>
      </c>
      <c r="G1" s="6" t="s">
        <v>99</v>
      </c>
      <c r="H1" s="6" t="s">
        <v>100</v>
      </c>
      <c r="I1" s="6" t="s">
        <v>101</v>
      </c>
      <c r="J1" s="6" t="s">
        <v>102</v>
      </c>
      <c r="K1" s="6" t="s">
        <v>103</v>
      </c>
      <c r="L1" s="6" t="s">
        <v>104</v>
      </c>
      <c r="M1" s="6" t="s">
        <v>105</v>
      </c>
      <c r="N1" s="6" t="s">
        <v>106</v>
      </c>
      <c r="O1" s="6" t="s">
        <v>107</v>
      </c>
      <c r="P1" s="6" t="s">
        <v>108</v>
      </c>
      <c r="Q1" s="6" t="s">
        <v>109</v>
      </c>
      <c r="R1" s="6" t="s">
        <v>110</v>
      </c>
      <c r="S1" s="6" t="s">
        <v>111</v>
      </c>
      <c r="T1" s="6" t="s">
        <v>112</v>
      </c>
      <c r="U1" s="6" t="s">
        <v>113</v>
      </c>
      <c r="V1" s="6" t="s">
        <v>114</v>
      </c>
      <c r="W1" s="6" t="s">
        <v>115</v>
      </c>
      <c r="X1" s="6" t="s">
        <v>116</v>
      </c>
      <c r="Y1" s="6" t="s">
        <v>117</v>
      </c>
      <c r="Z1" s="6" t="s">
        <v>118</v>
      </c>
      <c r="AA1" s="6" t="s">
        <v>119</v>
      </c>
      <c r="AB1" s="37" t="s">
        <v>1008</v>
      </c>
      <c r="AC1" s="6" t="s">
        <v>120</v>
      </c>
      <c r="AD1" s="6" t="s">
        <v>121</v>
      </c>
      <c r="AE1" s="6" t="s">
        <v>122</v>
      </c>
      <c r="AF1" s="6" t="s">
        <v>123</v>
      </c>
      <c r="AG1" s="6" t="s">
        <v>124</v>
      </c>
      <c r="AH1" s="38" t="s">
        <v>1009</v>
      </c>
      <c r="AI1" s="38" t="s">
        <v>1010</v>
      </c>
      <c r="AJ1" s="68" t="s">
        <v>1502</v>
      </c>
      <c r="AK1" s="68" t="s">
        <v>1503</v>
      </c>
      <c r="AL1" s="68" t="s">
        <v>1504</v>
      </c>
      <c r="AM1" s="68" t="s">
        <v>1505</v>
      </c>
    </row>
    <row r="2" spans="1:39" ht="22.8" x14ac:dyDescent="0.3">
      <c r="A2" s="30">
        <v>3566</v>
      </c>
      <c r="B2" s="9"/>
      <c r="C2" s="36"/>
      <c r="D2" s="9"/>
      <c r="E2" s="9" t="s">
        <v>583</v>
      </c>
      <c r="F2" s="30" t="s">
        <v>313</v>
      </c>
      <c r="G2" s="31" t="s">
        <v>315</v>
      </c>
      <c r="H2" s="31" t="s">
        <v>316</v>
      </c>
      <c r="I2" s="31" t="s">
        <v>316</v>
      </c>
      <c r="J2" s="31" t="s">
        <v>315</v>
      </c>
      <c r="K2" s="31" t="s">
        <v>315</v>
      </c>
      <c r="L2" s="32" t="str">
        <f t="shared" ref="L2:L65" si="0">IF(COUNTBLANK(G2:K2)=5,"",IF(COUNTIF(G2:K2,"No")&gt;0,"EXCLUDE","INCLUDE"))</f>
        <v>EXCLUDE</v>
      </c>
      <c r="M2" s="32" t="str">
        <f t="shared" ref="M2:M65" si="1">IF(L2&lt;&gt;"EXCLUDE","",IF(G2="No","Wrong domain (non-AECO)",IF(H2="No","Digital Twin not core / buzzword",IF(I2="No","No Design for Safety/Quality/PtD",IF(J2="No","Wrong publication type",IF(K2="No","Non-English",""))))))</f>
        <v>Digital Twin not core / buzzword</v>
      </c>
      <c r="N2" s="33"/>
      <c r="O2" s="33"/>
      <c r="P2" s="34"/>
      <c r="Q2" s="34"/>
      <c r="R2" s="34"/>
      <c r="S2" s="32" t="str">
        <f t="shared" ref="S2:S65" si="2">IF(N2&lt;&gt;"Yes","",IF(COUNTBLANK(P2:R2)=3,"",IF(COUNTIF(P2:R2,"No")&gt;0,"EXCLUDE","INCLUDE")))</f>
        <v/>
      </c>
      <c r="T2" s="32" t="str">
        <f t="shared" ref="T2:T65" si="3">IF(S2&lt;&gt;"EXCLUDE","",IF(P2="No","Digital Twin mentioned only, not the subject",IF(Q2="No","No Design for Safety/Quality in full text",IF(R2="No","Methodology not codable",""))))</f>
        <v/>
      </c>
      <c r="U2" s="35"/>
      <c r="V2" s="35"/>
      <c r="W2" s="35"/>
      <c r="X2" s="35"/>
      <c r="Y2" s="32" t="str">
        <f t="shared" ref="Y2:Y65" si="4">IF(SUM(V2:X2)=0,"",IF(SUM(V2:X2)&gt;=2,"Multi","Single"))</f>
        <v/>
      </c>
      <c r="Z2" s="35"/>
      <c r="AA2" s="35"/>
      <c r="AB2" s="35"/>
      <c r="AC2" s="35"/>
      <c r="AD2" s="35"/>
      <c r="AE2" s="35"/>
      <c r="AF2" s="35"/>
      <c r="AG2" s="15" t="s">
        <v>317</v>
      </c>
      <c r="AH2" s="39"/>
      <c r="AI2" s="39"/>
      <c r="AM2" s="69"/>
    </row>
    <row r="3" spans="1:39" ht="22.8" x14ac:dyDescent="0.3">
      <c r="A3" s="30">
        <v>3741</v>
      </c>
      <c r="B3" s="9"/>
      <c r="C3" s="36"/>
      <c r="D3" s="9"/>
      <c r="E3" s="9" t="s">
        <v>584</v>
      </c>
      <c r="F3" s="30" t="s">
        <v>313</v>
      </c>
      <c r="G3" s="31" t="s">
        <v>315</v>
      </c>
      <c r="H3" s="31" t="s">
        <v>315</v>
      </c>
      <c r="I3" s="31" t="s">
        <v>316</v>
      </c>
      <c r="J3" s="31" t="s">
        <v>315</v>
      </c>
      <c r="K3" s="31" t="s">
        <v>315</v>
      </c>
      <c r="L3" s="32" t="str">
        <f t="shared" si="0"/>
        <v>EXCLUDE</v>
      </c>
      <c r="M3" s="32" t="str">
        <f t="shared" si="1"/>
        <v>No Design for Safety/Quality/PtD</v>
      </c>
      <c r="N3" s="33"/>
      <c r="O3" s="33"/>
      <c r="P3" s="34"/>
      <c r="Q3" s="34"/>
      <c r="R3" s="34"/>
      <c r="S3" s="32" t="str">
        <f t="shared" si="2"/>
        <v/>
      </c>
      <c r="T3" s="32" t="str">
        <f t="shared" si="3"/>
        <v/>
      </c>
      <c r="U3" s="35"/>
      <c r="V3" s="35"/>
      <c r="W3" s="35"/>
      <c r="X3" s="35"/>
      <c r="Y3" s="32" t="str">
        <f t="shared" si="4"/>
        <v/>
      </c>
      <c r="Z3" s="35"/>
      <c r="AA3" s="35"/>
      <c r="AB3" s="35"/>
      <c r="AC3" s="35"/>
      <c r="AD3" s="35"/>
      <c r="AE3" s="35"/>
      <c r="AF3" s="35"/>
      <c r="AG3" s="15" t="s">
        <v>318</v>
      </c>
      <c r="AH3" s="39"/>
      <c r="AI3" s="39"/>
      <c r="AM3" s="69"/>
    </row>
    <row r="4" spans="1:39" ht="22.8" x14ac:dyDescent="0.3">
      <c r="A4" s="30">
        <v>3665</v>
      </c>
      <c r="B4" s="9"/>
      <c r="C4" s="36"/>
      <c r="D4" s="9"/>
      <c r="E4" s="9" t="s">
        <v>585</v>
      </c>
      <c r="F4" s="30" t="s">
        <v>313</v>
      </c>
      <c r="G4" s="31" t="s">
        <v>316</v>
      </c>
      <c r="H4" s="31" t="s">
        <v>316</v>
      </c>
      <c r="I4" s="31" t="s">
        <v>316</v>
      </c>
      <c r="J4" s="31" t="s">
        <v>315</v>
      </c>
      <c r="K4" s="31" t="s">
        <v>315</v>
      </c>
      <c r="L4" s="32" t="str">
        <f t="shared" si="0"/>
        <v>EXCLUDE</v>
      </c>
      <c r="M4" s="32" t="str">
        <f t="shared" si="1"/>
        <v>Wrong domain (non-AECO)</v>
      </c>
      <c r="N4" s="33"/>
      <c r="O4" s="33"/>
      <c r="P4" s="34"/>
      <c r="Q4" s="34"/>
      <c r="R4" s="34"/>
      <c r="S4" s="32" t="str">
        <f t="shared" si="2"/>
        <v/>
      </c>
      <c r="T4" s="32" t="str">
        <f t="shared" si="3"/>
        <v/>
      </c>
      <c r="U4" s="35"/>
      <c r="V4" s="35"/>
      <c r="W4" s="35"/>
      <c r="X4" s="35"/>
      <c r="Y4" s="32" t="str">
        <f t="shared" si="4"/>
        <v/>
      </c>
      <c r="Z4" s="35"/>
      <c r="AA4" s="35"/>
      <c r="AB4" s="35"/>
      <c r="AC4" s="35"/>
      <c r="AD4" s="35"/>
      <c r="AE4" s="35"/>
      <c r="AF4" s="35"/>
      <c r="AG4" s="15" t="s">
        <v>319</v>
      </c>
      <c r="AH4" s="39"/>
      <c r="AI4" s="39"/>
      <c r="AM4" s="69"/>
    </row>
    <row r="5" spans="1:39" ht="22.8" x14ac:dyDescent="0.3">
      <c r="A5" s="30">
        <v>3657</v>
      </c>
      <c r="B5" s="9"/>
      <c r="C5" s="36"/>
      <c r="D5" s="9"/>
      <c r="E5" s="9" t="s">
        <v>586</v>
      </c>
      <c r="F5" s="30" t="s">
        <v>313</v>
      </c>
      <c r="G5" s="31" t="s">
        <v>316</v>
      </c>
      <c r="H5" s="31" t="s">
        <v>315</v>
      </c>
      <c r="I5" s="31" t="s">
        <v>316</v>
      </c>
      <c r="J5" s="31" t="s">
        <v>315</v>
      </c>
      <c r="K5" s="31" t="s">
        <v>315</v>
      </c>
      <c r="L5" s="32" t="str">
        <f t="shared" si="0"/>
        <v>EXCLUDE</v>
      </c>
      <c r="M5" s="32" t="str">
        <f t="shared" si="1"/>
        <v>Wrong domain (non-AECO)</v>
      </c>
      <c r="N5" s="33"/>
      <c r="O5" s="33"/>
      <c r="P5" s="34"/>
      <c r="Q5" s="34"/>
      <c r="R5" s="34"/>
      <c r="S5" s="32" t="str">
        <f t="shared" si="2"/>
        <v/>
      </c>
      <c r="T5" s="32" t="str">
        <f t="shared" si="3"/>
        <v/>
      </c>
      <c r="U5" s="35"/>
      <c r="V5" s="35"/>
      <c r="W5" s="35"/>
      <c r="X5" s="35"/>
      <c r="Y5" s="32" t="str">
        <f t="shared" si="4"/>
        <v/>
      </c>
      <c r="Z5" s="35"/>
      <c r="AA5" s="35"/>
      <c r="AB5" s="35"/>
      <c r="AC5" s="35"/>
      <c r="AD5" s="35"/>
      <c r="AE5" s="35"/>
      <c r="AF5" s="35"/>
      <c r="AG5" s="15" t="s">
        <v>320</v>
      </c>
      <c r="AH5" s="39"/>
      <c r="AI5" s="39"/>
      <c r="AM5" s="69"/>
    </row>
    <row r="6" spans="1:39" ht="22.8" x14ac:dyDescent="0.3">
      <c r="A6" s="30">
        <v>3685</v>
      </c>
      <c r="B6" s="9"/>
      <c r="C6" s="36"/>
      <c r="D6" s="9"/>
      <c r="E6" s="9" t="s">
        <v>587</v>
      </c>
      <c r="F6" s="30" t="s">
        <v>313</v>
      </c>
      <c r="G6" s="31" t="s">
        <v>316</v>
      </c>
      <c r="H6" s="31" t="s">
        <v>315</v>
      </c>
      <c r="I6" s="31" t="s">
        <v>316</v>
      </c>
      <c r="J6" s="31" t="s">
        <v>315</v>
      </c>
      <c r="K6" s="31" t="s">
        <v>315</v>
      </c>
      <c r="L6" s="32" t="str">
        <f t="shared" si="0"/>
        <v>EXCLUDE</v>
      </c>
      <c r="M6" s="32" t="str">
        <f t="shared" si="1"/>
        <v>Wrong domain (non-AECO)</v>
      </c>
      <c r="N6" s="33"/>
      <c r="O6" s="33"/>
      <c r="P6" s="34"/>
      <c r="Q6" s="34"/>
      <c r="R6" s="34"/>
      <c r="S6" s="32" t="str">
        <f t="shared" si="2"/>
        <v/>
      </c>
      <c r="T6" s="32" t="str">
        <f t="shared" si="3"/>
        <v/>
      </c>
      <c r="U6" s="35"/>
      <c r="V6" s="35"/>
      <c r="W6" s="35"/>
      <c r="X6" s="35"/>
      <c r="Y6" s="32" t="str">
        <f t="shared" si="4"/>
        <v/>
      </c>
      <c r="Z6" s="35"/>
      <c r="AA6" s="35"/>
      <c r="AB6" s="35"/>
      <c r="AC6" s="35"/>
      <c r="AD6" s="35"/>
      <c r="AE6" s="35"/>
      <c r="AF6" s="35"/>
      <c r="AG6" s="15" t="s">
        <v>321</v>
      </c>
      <c r="AH6" s="39"/>
      <c r="AI6" s="39"/>
      <c r="AM6" s="69"/>
    </row>
    <row r="7" spans="1:39" ht="57" x14ac:dyDescent="0.3">
      <c r="A7" s="30">
        <v>3756</v>
      </c>
      <c r="B7" s="9" t="s">
        <v>166</v>
      </c>
      <c r="C7" s="36">
        <v>2026</v>
      </c>
      <c r="D7" s="9"/>
      <c r="E7" s="9" t="s">
        <v>588</v>
      </c>
      <c r="F7" s="30" t="s">
        <v>313</v>
      </c>
      <c r="G7" s="31" t="s">
        <v>315</v>
      </c>
      <c r="H7" s="31" t="s">
        <v>315</v>
      </c>
      <c r="I7" s="31" t="s">
        <v>315</v>
      </c>
      <c r="J7" s="31" t="s">
        <v>315</v>
      </c>
      <c r="K7" s="31" t="s">
        <v>315</v>
      </c>
      <c r="L7" s="32" t="str">
        <f t="shared" si="0"/>
        <v>INCLUDE</v>
      </c>
      <c r="M7" s="32" t="str">
        <f t="shared" si="1"/>
        <v/>
      </c>
      <c r="N7" s="33" t="s">
        <v>49</v>
      </c>
      <c r="O7" s="33" t="s">
        <v>49</v>
      </c>
      <c r="P7" s="34" t="s">
        <v>49</v>
      </c>
      <c r="Q7" s="34" t="s">
        <v>49</v>
      </c>
      <c r="R7" s="34" t="s">
        <v>49</v>
      </c>
      <c r="S7" s="32" t="str">
        <f t="shared" si="2"/>
        <v>INCLUDE</v>
      </c>
      <c r="T7" s="32" t="str">
        <f t="shared" si="3"/>
        <v/>
      </c>
      <c r="U7" s="35" t="s">
        <v>61</v>
      </c>
      <c r="V7" s="35">
        <v>0</v>
      </c>
      <c r="W7" s="35">
        <v>1</v>
      </c>
      <c r="X7" s="35">
        <v>0</v>
      </c>
      <c r="Y7" s="32" t="str">
        <f t="shared" si="4"/>
        <v>Single</v>
      </c>
      <c r="Z7" s="35" t="s">
        <v>9</v>
      </c>
      <c r="AA7" s="35" t="s">
        <v>53</v>
      </c>
      <c r="AB7" s="35" t="s">
        <v>92</v>
      </c>
      <c r="AC7" s="35" t="s">
        <v>64</v>
      </c>
      <c r="AD7" s="35" t="s">
        <v>72</v>
      </c>
      <c r="AE7" s="35">
        <v>4</v>
      </c>
      <c r="AF7" s="35" t="s">
        <v>80</v>
      </c>
      <c r="AG7" s="15" t="s">
        <v>1091</v>
      </c>
      <c r="AH7" s="39" t="s">
        <v>1164</v>
      </c>
      <c r="AI7" s="39" t="s">
        <v>1165</v>
      </c>
      <c r="AJ7" t="s">
        <v>1497</v>
      </c>
      <c r="AK7" t="s">
        <v>1506</v>
      </c>
      <c r="AL7" t="s">
        <v>1500</v>
      </c>
      <c r="AM7" s="69"/>
    </row>
    <row r="8" spans="1:39" ht="79.8" x14ac:dyDescent="0.3">
      <c r="A8" s="30">
        <v>3978</v>
      </c>
      <c r="B8" s="9" t="s">
        <v>167</v>
      </c>
      <c r="C8" s="36">
        <v>2021</v>
      </c>
      <c r="D8" s="9"/>
      <c r="E8" s="9" t="s">
        <v>589</v>
      </c>
      <c r="F8" s="30" t="s">
        <v>314</v>
      </c>
      <c r="G8" s="31" t="s">
        <v>315</v>
      </c>
      <c r="H8" s="31" t="s">
        <v>315</v>
      </c>
      <c r="I8" s="31" t="s">
        <v>315</v>
      </c>
      <c r="J8" s="31" t="s">
        <v>315</v>
      </c>
      <c r="K8" s="31" t="s">
        <v>315</v>
      </c>
      <c r="L8" s="32" t="str">
        <f t="shared" si="0"/>
        <v>INCLUDE</v>
      </c>
      <c r="M8" s="32" t="str">
        <f t="shared" si="1"/>
        <v/>
      </c>
      <c r="N8" s="33" t="s">
        <v>49</v>
      </c>
      <c r="O8" s="33" t="s">
        <v>49</v>
      </c>
      <c r="P8" s="34" t="s">
        <v>49</v>
      </c>
      <c r="Q8" s="34" t="s">
        <v>49</v>
      </c>
      <c r="R8" s="34" t="s">
        <v>49</v>
      </c>
      <c r="S8" s="32" t="str">
        <f t="shared" si="2"/>
        <v>INCLUDE</v>
      </c>
      <c r="T8" s="32" t="str">
        <f t="shared" si="3"/>
        <v/>
      </c>
      <c r="U8" s="35" t="s">
        <v>68</v>
      </c>
      <c r="V8" s="35">
        <v>0</v>
      </c>
      <c r="W8" s="35">
        <v>1</v>
      </c>
      <c r="X8" s="35">
        <v>1</v>
      </c>
      <c r="Y8" s="32" t="str">
        <f t="shared" si="4"/>
        <v>Multi</v>
      </c>
      <c r="Z8" s="35" t="s">
        <v>9</v>
      </c>
      <c r="AA8" s="35" t="s">
        <v>62</v>
      </c>
      <c r="AB8" s="35" t="s">
        <v>91</v>
      </c>
      <c r="AC8" s="35" t="s">
        <v>64</v>
      </c>
      <c r="AD8" s="35" t="s">
        <v>56</v>
      </c>
      <c r="AE8" s="35">
        <v>3</v>
      </c>
      <c r="AF8" s="35" t="s">
        <v>57</v>
      </c>
      <c r="AG8" s="15" t="s">
        <v>1092</v>
      </c>
      <c r="AH8" s="39" t="s">
        <v>1166</v>
      </c>
      <c r="AI8" s="39" t="s">
        <v>1167</v>
      </c>
      <c r="AJ8" t="s">
        <v>82</v>
      </c>
      <c r="AK8" t="s">
        <v>1507</v>
      </c>
      <c r="AL8" t="s">
        <v>1499</v>
      </c>
      <c r="AM8" s="69"/>
    </row>
    <row r="9" spans="1:39" ht="22.8" x14ac:dyDescent="0.3">
      <c r="A9" s="30">
        <v>3527</v>
      </c>
      <c r="B9" s="9"/>
      <c r="C9" s="36"/>
      <c r="D9" s="9"/>
      <c r="E9" s="9" t="s">
        <v>590</v>
      </c>
      <c r="F9" s="30" t="s">
        <v>313</v>
      </c>
      <c r="G9" s="31" t="s">
        <v>315</v>
      </c>
      <c r="H9" s="31" t="s">
        <v>316</v>
      </c>
      <c r="I9" s="31" t="s">
        <v>315</v>
      </c>
      <c r="J9" s="31" t="s">
        <v>315</v>
      </c>
      <c r="K9" s="31" t="s">
        <v>315</v>
      </c>
      <c r="L9" s="32" t="str">
        <f t="shared" si="0"/>
        <v>EXCLUDE</v>
      </c>
      <c r="M9" s="32" t="str">
        <f t="shared" si="1"/>
        <v>Digital Twin not core / buzzword</v>
      </c>
      <c r="N9" s="33"/>
      <c r="O9" s="33"/>
      <c r="P9" s="34"/>
      <c r="Q9" s="34"/>
      <c r="R9" s="34"/>
      <c r="S9" s="32" t="str">
        <f t="shared" si="2"/>
        <v/>
      </c>
      <c r="T9" s="32" t="str">
        <f t="shared" si="3"/>
        <v/>
      </c>
      <c r="U9" s="35"/>
      <c r="V9" s="35"/>
      <c r="W9" s="35"/>
      <c r="X9" s="35"/>
      <c r="Y9" s="32" t="str">
        <f t="shared" si="4"/>
        <v/>
      </c>
      <c r="Z9" s="35"/>
      <c r="AA9" s="35"/>
      <c r="AB9" s="35"/>
      <c r="AC9" s="35"/>
      <c r="AD9" s="35"/>
      <c r="AE9" s="35"/>
      <c r="AF9" s="35"/>
      <c r="AG9" s="15" t="s">
        <v>322</v>
      </c>
      <c r="AH9" s="39"/>
      <c r="AI9" s="39"/>
      <c r="AM9" s="69"/>
    </row>
    <row r="10" spans="1:39" ht="22.8" x14ac:dyDescent="0.3">
      <c r="A10" s="30">
        <v>3963</v>
      </c>
      <c r="B10" s="9"/>
      <c r="C10" s="36"/>
      <c r="D10" s="9"/>
      <c r="E10" s="9" t="s">
        <v>591</v>
      </c>
      <c r="F10" s="30" t="s">
        <v>314</v>
      </c>
      <c r="G10" s="31" t="s">
        <v>315</v>
      </c>
      <c r="H10" s="31" t="s">
        <v>316</v>
      </c>
      <c r="I10" s="31" t="s">
        <v>315</v>
      </c>
      <c r="J10" s="31" t="s">
        <v>315</v>
      </c>
      <c r="K10" s="31" t="s">
        <v>315</v>
      </c>
      <c r="L10" s="32" t="str">
        <f t="shared" si="0"/>
        <v>EXCLUDE</v>
      </c>
      <c r="M10" s="32" t="str">
        <f t="shared" si="1"/>
        <v>Digital Twin not core / buzzword</v>
      </c>
      <c r="N10" s="33"/>
      <c r="O10" s="33"/>
      <c r="P10" s="34"/>
      <c r="Q10" s="34"/>
      <c r="R10" s="34"/>
      <c r="S10" s="32" t="str">
        <f t="shared" si="2"/>
        <v/>
      </c>
      <c r="T10" s="32" t="str">
        <f t="shared" si="3"/>
        <v/>
      </c>
      <c r="U10" s="35"/>
      <c r="V10" s="35"/>
      <c r="W10" s="35"/>
      <c r="X10" s="35"/>
      <c r="Y10" s="32" t="str">
        <f t="shared" si="4"/>
        <v/>
      </c>
      <c r="Z10" s="35"/>
      <c r="AA10" s="35"/>
      <c r="AB10" s="35"/>
      <c r="AC10" s="35"/>
      <c r="AD10" s="35"/>
      <c r="AE10" s="35"/>
      <c r="AF10" s="35"/>
      <c r="AG10" s="15" t="s">
        <v>323</v>
      </c>
      <c r="AH10" s="39"/>
      <c r="AI10" s="39"/>
      <c r="AM10" s="69"/>
    </row>
    <row r="11" spans="1:39" ht="22.8" x14ac:dyDescent="0.3">
      <c r="A11" s="30">
        <v>3917</v>
      </c>
      <c r="B11" s="9"/>
      <c r="C11" s="36"/>
      <c r="D11" s="9"/>
      <c r="E11" s="9" t="s">
        <v>592</v>
      </c>
      <c r="F11" s="30" t="s">
        <v>314</v>
      </c>
      <c r="G11" s="31" t="s">
        <v>315</v>
      </c>
      <c r="H11" s="31" t="s">
        <v>316</v>
      </c>
      <c r="I11" s="31" t="s">
        <v>316</v>
      </c>
      <c r="J11" s="31" t="s">
        <v>315</v>
      </c>
      <c r="K11" s="31" t="s">
        <v>315</v>
      </c>
      <c r="L11" s="32" t="str">
        <f t="shared" si="0"/>
        <v>EXCLUDE</v>
      </c>
      <c r="M11" s="32" t="str">
        <f t="shared" si="1"/>
        <v>Digital Twin not core / buzzword</v>
      </c>
      <c r="N11" s="33"/>
      <c r="O11" s="33"/>
      <c r="P11" s="34"/>
      <c r="Q11" s="34"/>
      <c r="R11" s="34"/>
      <c r="S11" s="32" t="str">
        <f t="shared" si="2"/>
        <v/>
      </c>
      <c r="T11" s="32" t="str">
        <f t="shared" si="3"/>
        <v/>
      </c>
      <c r="U11" s="35"/>
      <c r="V11" s="35"/>
      <c r="W11" s="35"/>
      <c r="X11" s="35"/>
      <c r="Y11" s="32" t="str">
        <f t="shared" si="4"/>
        <v/>
      </c>
      <c r="Z11" s="35"/>
      <c r="AA11" s="35"/>
      <c r="AB11" s="35"/>
      <c r="AC11" s="35"/>
      <c r="AD11" s="35"/>
      <c r="AE11" s="35"/>
      <c r="AF11" s="35"/>
      <c r="AG11" s="15" t="s">
        <v>324</v>
      </c>
      <c r="AH11" s="39"/>
      <c r="AI11" s="39"/>
      <c r="AM11" s="69"/>
    </row>
    <row r="12" spans="1:39" ht="22.8" x14ac:dyDescent="0.3">
      <c r="A12" s="30">
        <v>3541</v>
      </c>
      <c r="B12" s="9"/>
      <c r="C12" s="36"/>
      <c r="D12" s="9"/>
      <c r="E12" s="9" t="s">
        <v>593</v>
      </c>
      <c r="F12" s="30" t="s">
        <v>313</v>
      </c>
      <c r="G12" s="31" t="s">
        <v>316</v>
      </c>
      <c r="H12" s="31" t="s">
        <v>316</v>
      </c>
      <c r="I12" s="31" t="s">
        <v>316</v>
      </c>
      <c r="J12" s="31" t="s">
        <v>315</v>
      </c>
      <c r="K12" s="31" t="s">
        <v>315</v>
      </c>
      <c r="L12" s="32" t="str">
        <f t="shared" si="0"/>
        <v>EXCLUDE</v>
      </c>
      <c r="M12" s="32" t="str">
        <f t="shared" si="1"/>
        <v>Wrong domain (non-AECO)</v>
      </c>
      <c r="N12" s="33"/>
      <c r="O12" s="33"/>
      <c r="P12" s="34"/>
      <c r="Q12" s="34"/>
      <c r="R12" s="34"/>
      <c r="S12" s="32" t="str">
        <f t="shared" si="2"/>
        <v/>
      </c>
      <c r="T12" s="32" t="str">
        <f t="shared" si="3"/>
        <v/>
      </c>
      <c r="U12" s="35"/>
      <c r="V12" s="35"/>
      <c r="W12" s="35"/>
      <c r="X12" s="35"/>
      <c r="Y12" s="32" t="str">
        <f t="shared" si="4"/>
        <v/>
      </c>
      <c r="Z12" s="35"/>
      <c r="AA12" s="35"/>
      <c r="AB12" s="35"/>
      <c r="AC12" s="35"/>
      <c r="AD12" s="35"/>
      <c r="AE12" s="35"/>
      <c r="AF12" s="35"/>
      <c r="AG12" s="15" t="s">
        <v>325</v>
      </c>
      <c r="AH12" s="39"/>
      <c r="AI12" s="39"/>
      <c r="AM12" s="69"/>
    </row>
    <row r="13" spans="1:39" ht="22.8" x14ac:dyDescent="0.3">
      <c r="A13" s="30">
        <v>3903</v>
      </c>
      <c r="B13" s="9"/>
      <c r="C13" s="36"/>
      <c r="D13" s="9"/>
      <c r="E13" s="9" t="s">
        <v>594</v>
      </c>
      <c r="F13" s="30" t="s">
        <v>314</v>
      </c>
      <c r="G13" s="31" t="s">
        <v>315</v>
      </c>
      <c r="H13" s="31" t="s">
        <v>316</v>
      </c>
      <c r="I13" s="31" t="s">
        <v>315</v>
      </c>
      <c r="J13" s="31" t="s">
        <v>315</v>
      </c>
      <c r="K13" s="31" t="s">
        <v>315</v>
      </c>
      <c r="L13" s="32" t="str">
        <f t="shared" si="0"/>
        <v>EXCLUDE</v>
      </c>
      <c r="M13" s="32" t="str">
        <f t="shared" si="1"/>
        <v>Digital Twin not core / buzzword</v>
      </c>
      <c r="N13" s="33"/>
      <c r="O13" s="33"/>
      <c r="P13" s="34"/>
      <c r="Q13" s="34"/>
      <c r="R13" s="34"/>
      <c r="S13" s="32" t="str">
        <f t="shared" si="2"/>
        <v/>
      </c>
      <c r="T13" s="32" t="str">
        <f t="shared" si="3"/>
        <v/>
      </c>
      <c r="U13" s="35"/>
      <c r="V13" s="35"/>
      <c r="W13" s="35"/>
      <c r="X13" s="35"/>
      <c r="Y13" s="32" t="str">
        <f t="shared" si="4"/>
        <v/>
      </c>
      <c r="Z13" s="35"/>
      <c r="AA13" s="35"/>
      <c r="AB13" s="35"/>
      <c r="AC13" s="35"/>
      <c r="AD13" s="35"/>
      <c r="AE13" s="35"/>
      <c r="AF13" s="35"/>
      <c r="AG13" s="15" t="s">
        <v>326</v>
      </c>
      <c r="AH13" s="39"/>
      <c r="AI13" s="39"/>
      <c r="AM13" s="69"/>
    </row>
    <row r="14" spans="1:39" ht="57" x14ac:dyDescent="0.3">
      <c r="A14" s="30">
        <v>3915</v>
      </c>
      <c r="B14" s="9" t="s">
        <v>168</v>
      </c>
      <c r="C14" s="36">
        <v>2024</v>
      </c>
      <c r="D14" s="9"/>
      <c r="E14" s="9" t="s">
        <v>595</v>
      </c>
      <c r="F14" s="30" t="s">
        <v>314</v>
      </c>
      <c r="G14" s="31" t="s">
        <v>315</v>
      </c>
      <c r="H14" s="31" t="s">
        <v>315</v>
      </c>
      <c r="I14" s="31" t="s">
        <v>315</v>
      </c>
      <c r="J14" s="31" t="s">
        <v>315</v>
      </c>
      <c r="K14" s="31" t="s">
        <v>315</v>
      </c>
      <c r="L14" s="32" t="str">
        <f t="shared" si="0"/>
        <v>INCLUDE</v>
      </c>
      <c r="M14" s="32" t="str">
        <f t="shared" si="1"/>
        <v/>
      </c>
      <c r="N14" s="33" t="s">
        <v>49</v>
      </c>
      <c r="O14" s="33" t="s">
        <v>49</v>
      </c>
      <c r="P14" s="34" t="s">
        <v>49</v>
      </c>
      <c r="Q14" s="34" t="s">
        <v>49</v>
      </c>
      <c r="R14" s="34" t="s">
        <v>49</v>
      </c>
      <c r="S14" s="32" t="str">
        <f t="shared" si="2"/>
        <v>INCLUDE</v>
      </c>
      <c r="T14" s="32" t="str">
        <f t="shared" si="3"/>
        <v/>
      </c>
      <c r="U14" s="35" t="s">
        <v>68</v>
      </c>
      <c r="V14" s="35">
        <v>0</v>
      </c>
      <c r="W14" s="35">
        <v>0</v>
      </c>
      <c r="X14" s="35">
        <v>1</v>
      </c>
      <c r="Y14" s="32" t="str">
        <f t="shared" si="4"/>
        <v>Single</v>
      </c>
      <c r="Z14" s="35" t="s">
        <v>9</v>
      </c>
      <c r="AA14" s="35" t="s">
        <v>62</v>
      </c>
      <c r="AB14" s="35" t="s">
        <v>91</v>
      </c>
      <c r="AC14" s="35" t="s">
        <v>64</v>
      </c>
      <c r="AD14" s="35" t="s">
        <v>56</v>
      </c>
      <c r="AE14" s="35">
        <v>3</v>
      </c>
      <c r="AF14" s="35" t="s">
        <v>80</v>
      </c>
      <c r="AG14" s="15" t="s">
        <v>1093</v>
      </c>
      <c r="AH14" s="39" t="s">
        <v>1168</v>
      </c>
      <c r="AI14" s="39" t="s">
        <v>1169</v>
      </c>
      <c r="AJ14" t="s">
        <v>82</v>
      </c>
      <c r="AK14" t="s">
        <v>1508</v>
      </c>
      <c r="AL14" t="s">
        <v>1499</v>
      </c>
      <c r="AM14" s="69"/>
    </row>
    <row r="15" spans="1:39" ht="68.400000000000006" x14ac:dyDescent="0.3">
      <c r="A15" s="30">
        <v>3668</v>
      </c>
      <c r="B15" s="9" t="s">
        <v>169</v>
      </c>
      <c r="C15" s="36">
        <v>2025</v>
      </c>
      <c r="D15" s="9"/>
      <c r="E15" s="9" t="s">
        <v>596</v>
      </c>
      <c r="F15" s="30" t="s">
        <v>313</v>
      </c>
      <c r="G15" s="31" t="s">
        <v>315</v>
      </c>
      <c r="H15" s="31" t="s">
        <v>315</v>
      </c>
      <c r="I15" s="31" t="s">
        <v>315</v>
      </c>
      <c r="J15" s="31" t="s">
        <v>315</v>
      </c>
      <c r="K15" s="31" t="s">
        <v>315</v>
      </c>
      <c r="L15" s="32" t="str">
        <f t="shared" si="0"/>
        <v>INCLUDE</v>
      </c>
      <c r="M15" s="32" t="str">
        <f t="shared" si="1"/>
        <v/>
      </c>
      <c r="N15" s="33" t="s">
        <v>49</v>
      </c>
      <c r="O15" s="33" t="s">
        <v>49</v>
      </c>
      <c r="P15" s="34" t="s">
        <v>49</v>
      </c>
      <c r="Q15" s="34" t="s">
        <v>49</v>
      </c>
      <c r="R15" s="34" t="s">
        <v>49</v>
      </c>
      <c r="S15" s="32" t="str">
        <f t="shared" si="2"/>
        <v>INCLUDE</v>
      </c>
      <c r="T15" s="32" t="str">
        <f t="shared" si="3"/>
        <v/>
      </c>
      <c r="U15" s="35" t="s">
        <v>61</v>
      </c>
      <c r="V15" s="35">
        <v>0</v>
      </c>
      <c r="W15" s="35">
        <v>0</v>
      </c>
      <c r="X15" s="35">
        <v>1</v>
      </c>
      <c r="Y15" s="32" t="str">
        <f t="shared" si="4"/>
        <v>Single</v>
      </c>
      <c r="Z15" s="35" t="s">
        <v>9</v>
      </c>
      <c r="AA15" s="35" t="s">
        <v>53</v>
      </c>
      <c r="AB15" s="35" t="s">
        <v>92</v>
      </c>
      <c r="AC15" s="35" t="s">
        <v>64</v>
      </c>
      <c r="AD15" s="35" t="s">
        <v>72</v>
      </c>
      <c r="AE15" s="35">
        <v>4</v>
      </c>
      <c r="AF15" s="35" t="s">
        <v>80</v>
      </c>
      <c r="AG15" s="15" t="s">
        <v>1094</v>
      </c>
      <c r="AH15" s="39" t="s">
        <v>1170</v>
      </c>
      <c r="AI15" s="39" t="s">
        <v>1171</v>
      </c>
      <c r="AJ15" t="s">
        <v>1496</v>
      </c>
      <c r="AK15" t="s">
        <v>1509</v>
      </c>
      <c r="AL15" t="s">
        <v>1499</v>
      </c>
      <c r="AM15" s="69"/>
    </row>
    <row r="16" spans="1:39" ht="45.6" x14ac:dyDescent="0.3">
      <c r="A16" s="30">
        <v>4053</v>
      </c>
      <c r="B16" s="9" t="s">
        <v>170</v>
      </c>
      <c r="C16" s="36">
        <v>2024</v>
      </c>
      <c r="D16" s="9"/>
      <c r="E16" s="9" t="s">
        <v>597</v>
      </c>
      <c r="F16" s="30" t="s">
        <v>314</v>
      </c>
      <c r="G16" s="31" t="s">
        <v>315</v>
      </c>
      <c r="H16" s="31" t="s">
        <v>315</v>
      </c>
      <c r="I16" s="31" t="s">
        <v>315</v>
      </c>
      <c r="J16" s="31" t="s">
        <v>315</v>
      </c>
      <c r="K16" s="31" t="s">
        <v>315</v>
      </c>
      <c r="L16" s="32" t="str">
        <f t="shared" si="0"/>
        <v>INCLUDE</v>
      </c>
      <c r="M16" s="32" t="str">
        <f t="shared" si="1"/>
        <v/>
      </c>
      <c r="N16" s="33" t="s">
        <v>49</v>
      </c>
      <c r="O16" s="33" t="s">
        <v>49</v>
      </c>
      <c r="P16" s="34" t="s">
        <v>58</v>
      </c>
      <c r="Q16" s="34" t="s">
        <v>49</v>
      </c>
      <c r="R16" s="34" t="s">
        <v>49</v>
      </c>
      <c r="S16" s="32" t="str">
        <f t="shared" si="2"/>
        <v>EXCLUDE</v>
      </c>
      <c r="T16" s="32" t="str">
        <f t="shared" si="3"/>
        <v>Digital Twin mentioned only, not the subject</v>
      </c>
      <c r="U16" s="35" t="s">
        <v>82</v>
      </c>
      <c r="V16" s="35"/>
      <c r="W16" s="35"/>
      <c r="X16" s="35"/>
      <c r="Y16" s="32" t="str">
        <f t="shared" si="4"/>
        <v/>
      </c>
      <c r="Z16" s="35"/>
      <c r="AA16" s="35"/>
      <c r="AB16" s="35"/>
      <c r="AC16" s="35"/>
      <c r="AD16" s="35"/>
      <c r="AE16" s="35"/>
      <c r="AF16" s="35"/>
      <c r="AG16" s="15" t="s">
        <v>327</v>
      </c>
      <c r="AH16" s="39"/>
      <c r="AI16" s="39"/>
      <c r="AM16" s="69"/>
    </row>
    <row r="17" spans="1:39" ht="22.8" x14ac:dyDescent="0.3">
      <c r="A17" s="30">
        <v>3579</v>
      </c>
      <c r="B17" s="9"/>
      <c r="C17" s="36"/>
      <c r="D17" s="9"/>
      <c r="E17" s="9" t="s">
        <v>598</v>
      </c>
      <c r="F17" s="30" t="s">
        <v>313</v>
      </c>
      <c r="G17" s="31" t="s">
        <v>316</v>
      </c>
      <c r="H17" s="31" t="s">
        <v>316</v>
      </c>
      <c r="I17" s="31" t="s">
        <v>316</v>
      </c>
      <c r="J17" s="31" t="s">
        <v>315</v>
      </c>
      <c r="K17" s="31" t="s">
        <v>315</v>
      </c>
      <c r="L17" s="32" t="str">
        <f t="shared" si="0"/>
        <v>EXCLUDE</v>
      </c>
      <c r="M17" s="32" t="str">
        <f t="shared" si="1"/>
        <v>Wrong domain (non-AECO)</v>
      </c>
      <c r="N17" s="33"/>
      <c r="O17" s="33"/>
      <c r="P17" s="34"/>
      <c r="Q17" s="34"/>
      <c r="R17" s="34"/>
      <c r="S17" s="32" t="str">
        <f t="shared" si="2"/>
        <v/>
      </c>
      <c r="T17" s="32" t="str">
        <f t="shared" si="3"/>
        <v/>
      </c>
      <c r="U17" s="35"/>
      <c r="V17" s="35"/>
      <c r="W17" s="35"/>
      <c r="X17" s="35"/>
      <c r="Y17" s="32" t="str">
        <f t="shared" si="4"/>
        <v/>
      </c>
      <c r="Z17" s="35"/>
      <c r="AA17" s="35"/>
      <c r="AB17" s="35"/>
      <c r="AC17" s="35"/>
      <c r="AD17" s="35"/>
      <c r="AE17" s="35"/>
      <c r="AF17" s="35"/>
      <c r="AG17" s="15" t="s">
        <v>328</v>
      </c>
      <c r="AH17" s="39"/>
      <c r="AI17" s="39"/>
      <c r="AM17" s="69"/>
    </row>
    <row r="18" spans="1:39" ht="22.8" x14ac:dyDescent="0.3">
      <c r="A18" s="30">
        <v>3838</v>
      </c>
      <c r="B18" s="9"/>
      <c r="C18" s="36"/>
      <c r="D18" s="9"/>
      <c r="E18" s="9" t="s">
        <v>599</v>
      </c>
      <c r="F18" s="30" t="s">
        <v>313</v>
      </c>
      <c r="G18" s="31" t="s">
        <v>315</v>
      </c>
      <c r="H18" s="31" t="s">
        <v>316</v>
      </c>
      <c r="I18" s="31" t="s">
        <v>316</v>
      </c>
      <c r="J18" s="31" t="s">
        <v>315</v>
      </c>
      <c r="K18" s="31" t="s">
        <v>315</v>
      </c>
      <c r="L18" s="32" t="str">
        <f t="shared" si="0"/>
        <v>EXCLUDE</v>
      </c>
      <c r="M18" s="32" t="str">
        <f t="shared" si="1"/>
        <v>Digital Twin not core / buzzword</v>
      </c>
      <c r="N18" s="33"/>
      <c r="O18" s="33"/>
      <c r="P18" s="34"/>
      <c r="Q18" s="34"/>
      <c r="R18" s="34"/>
      <c r="S18" s="32" t="str">
        <f t="shared" si="2"/>
        <v/>
      </c>
      <c r="T18" s="32" t="str">
        <f t="shared" si="3"/>
        <v/>
      </c>
      <c r="U18" s="35"/>
      <c r="V18" s="35"/>
      <c r="W18" s="35"/>
      <c r="X18" s="35"/>
      <c r="Y18" s="32" t="str">
        <f t="shared" si="4"/>
        <v/>
      </c>
      <c r="Z18" s="35"/>
      <c r="AA18" s="35"/>
      <c r="AB18" s="35"/>
      <c r="AC18" s="35"/>
      <c r="AD18" s="35"/>
      <c r="AE18" s="35"/>
      <c r="AF18" s="35"/>
      <c r="AG18" s="15" t="s">
        <v>329</v>
      </c>
      <c r="AH18" s="39"/>
      <c r="AI18" s="39"/>
      <c r="AM18" s="69"/>
    </row>
    <row r="19" spans="1:39" ht="22.8" x14ac:dyDescent="0.3">
      <c r="A19" s="30">
        <v>4020</v>
      </c>
      <c r="B19" s="9"/>
      <c r="C19" s="36"/>
      <c r="D19" s="9"/>
      <c r="E19" s="9" t="s">
        <v>600</v>
      </c>
      <c r="F19" s="30" t="s">
        <v>314</v>
      </c>
      <c r="G19" s="31" t="s">
        <v>316</v>
      </c>
      <c r="H19" s="31" t="s">
        <v>315</v>
      </c>
      <c r="I19" s="31" t="s">
        <v>316</v>
      </c>
      <c r="J19" s="31" t="s">
        <v>315</v>
      </c>
      <c r="K19" s="31" t="s">
        <v>315</v>
      </c>
      <c r="L19" s="32" t="str">
        <f t="shared" si="0"/>
        <v>EXCLUDE</v>
      </c>
      <c r="M19" s="32" t="str">
        <f t="shared" si="1"/>
        <v>Wrong domain (non-AECO)</v>
      </c>
      <c r="N19" s="33"/>
      <c r="O19" s="33"/>
      <c r="P19" s="34"/>
      <c r="Q19" s="34"/>
      <c r="R19" s="34"/>
      <c r="S19" s="32" t="str">
        <f t="shared" si="2"/>
        <v/>
      </c>
      <c r="T19" s="32" t="str">
        <f t="shared" si="3"/>
        <v/>
      </c>
      <c r="U19" s="35"/>
      <c r="V19" s="35"/>
      <c r="W19" s="35"/>
      <c r="X19" s="35"/>
      <c r="Y19" s="32" t="str">
        <f t="shared" si="4"/>
        <v/>
      </c>
      <c r="Z19" s="35"/>
      <c r="AA19" s="35"/>
      <c r="AB19" s="35"/>
      <c r="AC19" s="35"/>
      <c r="AD19" s="35"/>
      <c r="AE19" s="35"/>
      <c r="AF19" s="35"/>
      <c r="AG19" s="15" t="s">
        <v>330</v>
      </c>
      <c r="AH19" s="39"/>
      <c r="AI19" s="39"/>
      <c r="AM19" s="69"/>
    </row>
    <row r="20" spans="1:39" ht="68.400000000000006" x14ac:dyDescent="0.3">
      <c r="A20" s="30">
        <v>3842</v>
      </c>
      <c r="B20" s="9" t="s">
        <v>171</v>
      </c>
      <c r="C20" s="36">
        <v>2025</v>
      </c>
      <c r="D20" s="9"/>
      <c r="E20" s="9" t="s">
        <v>601</v>
      </c>
      <c r="F20" s="30" t="s">
        <v>313</v>
      </c>
      <c r="G20" s="31" t="s">
        <v>315</v>
      </c>
      <c r="H20" s="31" t="s">
        <v>315</v>
      </c>
      <c r="I20" s="31" t="s">
        <v>315</v>
      </c>
      <c r="J20" s="31" t="s">
        <v>315</v>
      </c>
      <c r="K20" s="31" t="s">
        <v>315</v>
      </c>
      <c r="L20" s="32" t="str">
        <f t="shared" si="0"/>
        <v>INCLUDE</v>
      </c>
      <c r="M20" s="32" t="str">
        <f t="shared" si="1"/>
        <v/>
      </c>
      <c r="N20" s="33" t="s">
        <v>49</v>
      </c>
      <c r="O20" s="33" t="s">
        <v>49</v>
      </c>
      <c r="P20" s="34" t="s">
        <v>49</v>
      </c>
      <c r="Q20" s="34" t="s">
        <v>49</v>
      </c>
      <c r="R20" s="34" t="s">
        <v>49</v>
      </c>
      <c r="S20" s="32" t="str">
        <f t="shared" si="2"/>
        <v>INCLUDE</v>
      </c>
      <c r="T20" s="32" t="str">
        <f t="shared" si="3"/>
        <v/>
      </c>
      <c r="U20" s="35" t="s">
        <v>52</v>
      </c>
      <c r="V20" s="35">
        <v>0</v>
      </c>
      <c r="W20" s="35">
        <v>0</v>
      </c>
      <c r="X20" s="35">
        <v>1</v>
      </c>
      <c r="Y20" s="32" t="str">
        <f t="shared" si="4"/>
        <v>Single</v>
      </c>
      <c r="Z20" s="35" t="s">
        <v>9</v>
      </c>
      <c r="AA20" s="35" t="s">
        <v>53</v>
      </c>
      <c r="AB20" s="35" t="s">
        <v>91</v>
      </c>
      <c r="AC20" s="35" t="s">
        <v>64</v>
      </c>
      <c r="AD20" s="35" t="s">
        <v>79</v>
      </c>
      <c r="AE20" s="35">
        <v>3</v>
      </c>
      <c r="AF20" s="35" t="s">
        <v>86</v>
      </c>
      <c r="AG20" s="15" t="s">
        <v>1095</v>
      </c>
      <c r="AH20" s="39" t="s">
        <v>1172</v>
      </c>
      <c r="AI20" s="39" t="s">
        <v>1173</v>
      </c>
      <c r="AJ20" t="s">
        <v>82</v>
      </c>
      <c r="AK20" t="s">
        <v>1510</v>
      </c>
      <c r="AL20" t="s">
        <v>1499</v>
      </c>
      <c r="AM20" s="69"/>
    </row>
    <row r="21" spans="1:39" ht="79.8" x14ac:dyDescent="0.3">
      <c r="A21" s="30">
        <v>4028</v>
      </c>
      <c r="B21" s="9" t="s">
        <v>172</v>
      </c>
      <c r="C21" s="36">
        <v>2025</v>
      </c>
      <c r="D21" s="9"/>
      <c r="E21" s="9" t="s">
        <v>602</v>
      </c>
      <c r="F21" s="30" t="s">
        <v>314</v>
      </c>
      <c r="G21" s="31" t="s">
        <v>315</v>
      </c>
      <c r="H21" s="31" t="s">
        <v>315</v>
      </c>
      <c r="I21" s="31" t="s">
        <v>315</v>
      </c>
      <c r="J21" s="31" t="s">
        <v>315</v>
      </c>
      <c r="K21" s="31" t="s">
        <v>315</v>
      </c>
      <c r="L21" s="32" t="str">
        <f t="shared" si="0"/>
        <v>INCLUDE</v>
      </c>
      <c r="M21" s="32" t="str">
        <f t="shared" si="1"/>
        <v/>
      </c>
      <c r="N21" s="33" t="s">
        <v>49</v>
      </c>
      <c r="O21" s="33" t="s">
        <v>49</v>
      </c>
      <c r="P21" s="34" t="s">
        <v>49</v>
      </c>
      <c r="Q21" s="34" t="s">
        <v>49</v>
      </c>
      <c r="R21" s="34" t="s">
        <v>49</v>
      </c>
      <c r="S21" s="32" t="str">
        <f t="shared" si="2"/>
        <v>INCLUDE</v>
      </c>
      <c r="T21" s="32" t="str">
        <f t="shared" si="3"/>
        <v/>
      </c>
      <c r="U21" s="35" t="s">
        <v>61</v>
      </c>
      <c r="V21" s="35">
        <v>0</v>
      </c>
      <c r="W21" s="35">
        <v>1</v>
      </c>
      <c r="X21" s="35">
        <v>0</v>
      </c>
      <c r="Y21" s="32" t="str">
        <f t="shared" si="4"/>
        <v>Single</v>
      </c>
      <c r="Z21" s="35" t="s">
        <v>11</v>
      </c>
      <c r="AA21" s="35" t="s">
        <v>53</v>
      </c>
      <c r="AB21" s="35" t="s">
        <v>91</v>
      </c>
      <c r="AC21" s="35" t="s">
        <v>64</v>
      </c>
      <c r="AD21" s="35" t="s">
        <v>56</v>
      </c>
      <c r="AE21" s="35">
        <v>3</v>
      </c>
      <c r="AF21" s="35" t="s">
        <v>57</v>
      </c>
      <c r="AG21" s="15" t="s">
        <v>1096</v>
      </c>
      <c r="AH21" s="39" t="s">
        <v>1174</v>
      </c>
      <c r="AI21" s="39" t="s">
        <v>1175</v>
      </c>
      <c r="AJ21" t="s">
        <v>1496</v>
      </c>
      <c r="AK21" t="s">
        <v>1511</v>
      </c>
      <c r="AL21" t="s">
        <v>1500</v>
      </c>
      <c r="AM21" s="69"/>
    </row>
    <row r="22" spans="1:39" ht="68.400000000000006" x14ac:dyDescent="0.3">
      <c r="A22" s="30">
        <v>3828</v>
      </c>
      <c r="B22" s="9" t="s">
        <v>173</v>
      </c>
      <c r="C22" s="36">
        <v>2026</v>
      </c>
      <c r="D22" s="9"/>
      <c r="E22" s="9" t="s">
        <v>603</v>
      </c>
      <c r="F22" s="30" t="s">
        <v>313</v>
      </c>
      <c r="G22" s="31" t="s">
        <v>315</v>
      </c>
      <c r="H22" s="31" t="s">
        <v>315</v>
      </c>
      <c r="I22" s="31" t="s">
        <v>315</v>
      </c>
      <c r="J22" s="31" t="s">
        <v>315</v>
      </c>
      <c r="K22" s="31" t="s">
        <v>315</v>
      </c>
      <c r="L22" s="32" t="str">
        <f t="shared" si="0"/>
        <v>INCLUDE</v>
      </c>
      <c r="M22" s="32" t="str">
        <f t="shared" si="1"/>
        <v/>
      </c>
      <c r="N22" s="33" t="s">
        <v>49</v>
      </c>
      <c r="O22" s="33" t="s">
        <v>49</v>
      </c>
      <c r="P22" s="34" t="s">
        <v>49</v>
      </c>
      <c r="Q22" s="34" t="s">
        <v>49</v>
      </c>
      <c r="R22" s="34" t="s">
        <v>49</v>
      </c>
      <c r="S22" s="32" t="str">
        <f t="shared" si="2"/>
        <v>INCLUDE</v>
      </c>
      <c r="T22" s="32" t="str">
        <f t="shared" si="3"/>
        <v/>
      </c>
      <c r="U22" s="35" t="s">
        <v>52</v>
      </c>
      <c r="V22" s="35">
        <v>0</v>
      </c>
      <c r="W22" s="35">
        <v>0</v>
      </c>
      <c r="X22" s="35">
        <v>1</v>
      </c>
      <c r="Y22" s="32" t="str">
        <f t="shared" si="4"/>
        <v>Single</v>
      </c>
      <c r="Z22" s="35" t="s">
        <v>11</v>
      </c>
      <c r="AA22" s="35" t="s">
        <v>53</v>
      </c>
      <c r="AB22" s="35" t="s">
        <v>91</v>
      </c>
      <c r="AC22" s="35" t="s">
        <v>64</v>
      </c>
      <c r="AD22" s="35" t="s">
        <v>72</v>
      </c>
      <c r="AE22" s="35">
        <v>4</v>
      </c>
      <c r="AF22" s="35" t="s">
        <v>73</v>
      </c>
      <c r="AG22" s="15" t="s">
        <v>1097</v>
      </c>
      <c r="AH22" s="39" t="s">
        <v>1176</v>
      </c>
      <c r="AI22" s="39" t="s">
        <v>1177</v>
      </c>
      <c r="AJ22" t="s">
        <v>1496</v>
      </c>
      <c r="AK22" t="s">
        <v>1512</v>
      </c>
      <c r="AL22" t="s">
        <v>1499</v>
      </c>
      <c r="AM22" s="69"/>
    </row>
    <row r="23" spans="1:39" ht="57" x14ac:dyDescent="0.3">
      <c r="A23" s="30">
        <v>3662</v>
      </c>
      <c r="B23" s="9" t="s">
        <v>174</v>
      </c>
      <c r="C23" s="36">
        <v>2024</v>
      </c>
      <c r="D23" s="9"/>
      <c r="E23" s="9" t="s">
        <v>604</v>
      </c>
      <c r="F23" s="30" t="s">
        <v>313</v>
      </c>
      <c r="G23" s="31" t="s">
        <v>315</v>
      </c>
      <c r="H23" s="31" t="s">
        <v>315</v>
      </c>
      <c r="I23" s="31" t="s">
        <v>315</v>
      </c>
      <c r="J23" s="31" t="s">
        <v>315</v>
      </c>
      <c r="K23" s="31" t="s">
        <v>315</v>
      </c>
      <c r="L23" s="32" t="str">
        <f t="shared" si="0"/>
        <v>INCLUDE</v>
      </c>
      <c r="M23" s="32" t="str">
        <f t="shared" si="1"/>
        <v/>
      </c>
      <c r="N23" s="33" t="s">
        <v>49</v>
      </c>
      <c r="O23" s="33" t="s">
        <v>49</v>
      </c>
      <c r="P23" s="34" t="s">
        <v>49</v>
      </c>
      <c r="Q23" s="34" t="s">
        <v>49</v>
      </c>
      <c r="R23" s="34" t="s">
        <v>49</v>
      </c>
      <c r="S23" s="32" t="str">
        <f t="shared" si="2"/>
        <v>INCLUDE</v>
      </c>
      <c r="T23" s="32" t="str">
        <f t="shared" si="3"/>
        <v/>
      </c>
      <c r="U23" s="35" t="s">
        <v>61</v>
      </c>
      <c r="V23" s="35">
        <v>0</v>
      </c>
      <c r="W23" s="35">
        <v>0</v>
      </c>
      <c r="X23" s="35">
        <v>1</v>
      </c>
      <c r="Y23" s="32" t="str">
        <f t="shared" si="4"/>
        <v>Single</v>
      </c>
      <c r="Z23" s="35" t="s">
        <v>9</v>
      </c>
      <c r="AA23" s="35" t="s">
        <v>70</v>
      </c>
      <c r="AB23" s="35" t="s">
        <v>92</v>
      </c>
      <c r="AC23" s="35" t="s">
        <v>55</v>
      </c>
      <c r="AD23" s="35" t="s">
        <v>72</v>
      </c>
      <c r="AE23" s="35">
        <v>4</v>
      </c>
      <c r="AF23" s="35" t="s">
        <v>84</v>
      </c>
      <c r="AG23" s="15" t="s">
        <v>1098</v>
      </c>
      <c r="AH23" s="39" t="s">
        <v>1178</v>
      </c>
      <c r="AI23" s="39" t="s">
        <v>1179</v>
      </c>
      <c r="AJ23" t="s">
        <v>1494</v>
      </c>
      <c r="AK23" t="s">
        <v>1513</v>
      </c>
      <c r="AL23" t="s">
        <v>1499</v>
      </c>
      <c r="AM23" s="69"/>
    </row>
    <row r="24" spans="1:39" ht="79.8" x14ac:dyDescent="0.3">
      <c r="A24" s="30">
        <v>3975</v>
      </c>
      <c r="B24" s="9" t="s">
        <v>175</v>
      </c>
      <c r="C24" s="36">
        <v>2025</v>
      </c>
      <c r="D24" s="9"/>
      <c r="E24" s="9" t="s">
        <v>605</v>
      </c>
      <c r="F24" s="30" t="s">
        <v>314</v>
      </c>
      <c r="G24" s="31" t="s">
        <v>315</v>
      </c>
      <c r="H24" s="31" t="s">
        <v>315</v>
      </c>
      <c r="I24" s="31" t="s">
        <v>315</v>
      </c>
      <c r="J24" s="31" t="s">
        <v>315</v>
      </c>
      <c r="K24" s="31" t="s">
        <v>315</v>
      </c>
      <c r="L24" s="32" t="str">
        <f t="shared" si="0"/>
        <v>INCLUDE</v>
      </c>
      <c r="M24" s="32" t="str">
        <f t="shared" si="1"/>
        <v/>
      </c>
      <c r="N24" s="33" t="s">
        <v>49</v>
      </c>
      <c r="O24" s="33" t="s">
        <v>49</v>
      </c>
      <c r="P24" s="34" t="s">
        <v>49</v>
      </c>
      <c r="Q24" s="34" t="s">
        <v>49</v>
      </c>
      <c r="R24" s="34" t="s">
        <v>49</v>
      </c>
      <c r="S24" s="32" t="str">
        <f t="shared" si="2"/>
        <v>INCLUDE</v>
      </c>
      <c r="T24" s="32" t="str">
        <f t="shared" si="3"/>
        <v/>
      </c>
      <c r="U24" s="35" t="s">
        <v>52</v>
      </c>
      <c r="V24" s="35">
        <v>0</v>
      </c>
      <c r="W24" s="35">
        <v>0</v>
      </c>
      <c r="X24" s="35">
        <v>1</v>
      </c>
      <c r="Y24" s="32" t="str">
        <f t="shared" si="4"/>
        <v>Single</v>
      </c>
      <c r="Z24" s="35" t="s">
        <v>9</v>
      </c>
      <c r="AA24" s="35" t="s">
        <v>53</v>
      </c>
      <c r="AB24" s="35" t="s">
        <v>88</v>
      </c>
      <c r="AC24" s="35" t="s">
        <v>64</v>
      </c>
      <c r="AD24" s="35" t="s">
        <v>56</v>
      </c>
      <c r="AE24" s="35">
        <v>4</v>
      </c>
      <c r="AF24" s="35" t="s">
        <v>57</v>
      </c>
      <c r="AG24" s="15" t="s">
        <v>331</v>
      </c>
      <c r="AH24" s="39" t="s">
        <v>1180</v>
      </c>
      <c r="AI24" s="39" t="s">
        <v>1181</v>
      </c>
      <c r="AJ24" t="s">
        <v>1496</v>
      </c>
      <c r="AK24" t="s">
        <v>1514</v>
      </c>
      <c r="AL24" t="s">
        <v>1500</v>
      </c>
      <c r="AM24" s="69"/>
    </row>
    <row r="25" spans="1:39" ht="68.400000000000006" x14ac:dyDescent="0.3">
      <c r="A25" s="30">
        <v>3996</v>
      </c>
      <c r="B25" s="9" t="s">
        <v>176</v>
      </c>
      <c r="C25" s="36">
        <v>2024</v>
      </c>
      <c r="D25" s="9"/>
      <c r="E25" s="9" t="s">
        <v>606</v>
      </c>
      <c r="F25" s="30" t="s">
        <v>314</v>
      </c>
      <c r="G25" s="31" t="s">
        <v>315</v>
      </c>
      <c r="H25" s="31" t="s">
        <v>315</v>
      </c>
      <c r="I25" s="31" t="s">
        <v>315</v>
      </c>
      <c r="J25" s="31" t="s">
        <v>315</v>
      </c>
      <c r="K25" s="31" t="s">
        <v>315</v>
      </c>
      <c r="L25" s="32" t="str">
        <f t="shared" si="0"/>
        <v>INCLUDE</v>
      </c>
      <c r="M25" s="32" t="str">
        <f t="shared" si="1"/>
        <v/>
      </c>
      <c r="N25" s="33" t="s">
        <v>49</v>
      </c>
      <c r="O25" s="33" t="s">
        <v>49</v>
      </c>
      <c r="P25" s="34" t="s">
        <v>58</v>
      </c>
      <c r="Q25" s="34" t="s">
        <v>49</v>
      </c>
      <c r="R25" s="34" t="s">
        <v>49</v>
      </c>
      <c r="S25" s="32" t="str">
        <f t="shared" si="2"/>
        <v>EXCLUDE</v>
      </c>
      <c r="T25" s="32" t="str">
        <f t="shared" si="3"/>
        <v>Digital Twin mentioned only, not the subject</v>
      </c>
      <c r="U25" s="35" t="s">
        <v>82</v>
      </c>
      <c r="V25" s="35"/>
      <c r="W25" s="35"/>
      <c r="X25" s="35"/>
      <c r="Y25" s="32" t="str">
        <f t="shared" si="4"/>
        <v/>
      </c>
      <c r="Z25" s="35"/>
      <c r="AA25" s="35"/>
      <c r="AB25" s="35"/>
      <c r="AC25" s="35"/>
      <c r="AD25" s="35"/>
      <c r="AE25" s="35"/>
      <c r="AF25" s="35"/>
      <c r="AG25" s="15" t="s">
        <v>1099</v>
      </c>
      <c r="AH25" s="39"/>
      <c r="AI25" s="39"/>
      <c r="AM25" s="69"/>
    </row>
    <row r="26" spans="1:39" ht="22.8" x14ac:dyDescent="0.3">
      <c r="A26" s="30">
        <v>4030</v>
      </c>
      <c r="B26" s="9"/>
      <c r="C26" s="36"/>
      <c r="D26" s="9"/>
      <c r="E26" s="9" t="s">
        <v>607</v>
      </c>
      <c r="F26" s="30" t="s">
        <v>314</v>
      </c>
      <c r="G26" s="31" t="s">
        <v>315</v>
      </c>
      <c r="H26" s="31" t="s">
        <v>316</v>
      </c>
      <c r="I26" s="31" t="s">
        <v>315</v>
      </c>
      <c r="J26" s="31" t="s">
        <v>315</v>
      </c>
      <c r="K26" s="31" t="s">
        <v>315</v>
      </c>
      <c r="L26" s="32" t="str">
        <f t="shared" si="0"/>
        <v>EXCLUDE</v>
      </c>
      <c r="M26" s="32" t="str">
        <f t="shared" si="1"/>
        <v>Digital Twin not core / buzzword</v>
      </c>
      <c r="N26" s="33"/>
      <c r="O26" s="33"/>
      <c r="P26" s="34"/>
      <c r="Q26" s="34"/>
      <c r="R26" s="34"/>
      <c r="S26" s="32" t="str">
        <f t="shared" si="2"/>
        <v/>
      </c>
      <c r="T26" s="32" t="str">
        <f t="shared" si="3"/>
        <v/>
      </c>
      <c r="U26" s="35"/>
      <c r="V26" s="35"/>
      <c r="W26" s="35"/>
      <c r="X26" s="35"/>
      <c r="Y26" s="32" t="str">
        <f t="shared" si="4"/>
        <v/>
      </c>
      <c r="Z26" s="35"/>
      <c r="AA26" s="35"/>
      <c r="AB26" s="35"/>
      <c r="AC26" s="35"/>
      <c r="AD26" s="35"/>
      <c r="AE26" s="35"/>
      <c r="AF26" s="35"/>
      <c r="AG26" s="15" t="s">
        <v>332</v>
      </c>
      <c r="AH26" s="39"/>
      <c r="AI26" s="39"/>
      <c r="AM26" s="69"/>
    </row>
    <row r="27" spans="1:39" ht="22.8" x14ac:dyDescent="0.3">
      <c r="A27" s="30">
        <v>3982</v>
      </c>
      <c r="B27" s="9"/>
      <c r="C27" s="36"/>
      <c r="D27" s="9"/>
      <c r="E27" s="9" t="s">
        <v>608</v>
      </c>
      <c r="F27" s="30" t="s">
        <v>314</v>
      </c>
      <c r="G27" s="31" t="s">
        <v>315</v>
      </c>
      <c r="H27" s="31" t="s">
        <v>316</v>
      </c>
      <c r="I27" s="31" t="s">
        <v>315</v>
      </c>
      <c r="J27" s="31" t="s">
        <v>315</v>
      </c>
      <c r="K27" s="31" t="s">
        <v>315</v>
      </c>
      <c r="L27" s="32" t="str">
        <f t="shared" si="0"/>
        <v>EXCLUDE</v>
      </c>
      <c r="M27" s="32" t="str">
        <f t="shared" si="1"/>
        <v>Digital Twin not core / buzzword</v>
      </c>
      <c r="N27" s="33"/>
      <c r="O27" s="33"/>
      <c r="P27" s="34"/>
      <c r="Q27" s="34"/>
      <c r="R27" s="34"/>
      <c r="S27" s="32" t="str">
        <f t="shared" si="2"/>
        <v/>
      </c>
      <c r="T27" s="32" t="str">
        <f t="shared" si="3"/>
        <v/>
      </c>
      <c r="U27" s="35"/>
      <c r="V27" s="35"/>
      <c r="W27" s="35"/>
      <c r="X27" s="35"/>
      <c r="Y27" s="32" t="str">
        <f t="shared" si="4"/>
        <v/>
      </c>
      <c r="Z27" s="35"/>
      <c r="AA27" s="35"/>
      <c r="AB27" s="35"/>
      <c r="AC27" s="35"/>
      <c r="AD27" s="35"/>
      <c r="AE27" s="35"/>
      <c r="AF27" s="35"/>
      <c r="AG27" s="15" t="s">
        <v>333</v>
      </c>
      <c r="AH27" s="39"/>
      <c r="AI27" s="39"/>
      <c r="AM27" s="69"/>
    </row>
    <row r="28" spans="1:39" ht="22.8" x14ac:dyDescent="0.3">
      <c r="A28" s="30">
        <v>3940</v>
      </c>
      <c r="B28" s="9"/>
      <c r="C28" s="36"/>
      <c r="D28" s="9"/>
      <c r="E28" s="9" t="s">
        <v>609</v>
      </c>
      <c r="F28" s="30" t="s">
        <v>314</v>
      </c>
      <c r="G28" s="31" t="s">
        <v>315</v>
      </c>
      <c r="H28" s="31" t="s">
        <v>316</v>
      </c>
      <c r="I28" s="31" t="s">
        <v>316</v>
      </c>
      <c r="J28" s="31" t="s">
        <v>315</v>
      </c>
      <c r="K28" s="31" t="s">
        <v>315</v>
      </c>
      <c r="L28" s="32" t="str">
        <f t="shared" si="0"/>
        <v>EXCLUDE</v>
      </c>
      <c r="M28" s="32" t="str">
        <f t="shared" si="1"/>
        <v>Digital Twin not core / buzzword</v>
      </c>
      <c r="N28" s="33"/>
      <c r="O28" s="33"/>
      <c r="P28" s="34"/>
      <c r="Q28" s="34"/>
      <c r="R28" s="34"/>
      <c r="S28" s="32" t="str">
        <f t="shared" si="2"/>
        <v/>
      </c>
      <c r="T28" s="32" t="str">
        <f t="shared" si="3"/>
        <v/>
      </c>
      <c r="U28" s="35"/>
      <c r="V28" s="35"/>
      <c r="W28" s="35"/>
      <c r="X28" s="35"/>
      <c r="Y28" s="32" t="str">
        <f t="shared" si="4"/>
        <v/>
      </c>
      <c r="Z28" s="35"/>
      <c r="AA28" s="35"/>
      <c r="AB28" s="35"/>
      <c r="AC28" s="35"/>
      <c r="AD28" s="35"/>
      <c r="AE28" s="35"/>
      <c r="AF28" s="35"/>
      <c r="AG28" s="15" t="s">
        <v>334</v>
      </c>
      <c r="AH28" s="39"/>
      <c r="AI28" s="39"/>
      <c r="AM28" s="69"/>
    </row>
    <row r="29" spans="1:39" ht="57" x14ac:dyDescent="0.3">
      <c r="A29" s="30">
        <v>4037</v>
      </c>
      <c r="B29" s="9" t="s">
        <v>177</v>
      </c>
      <c r="C29" s="36">
        <v>2026</v>
      </c>
      <c r="D29" s="9"/>
      <c r="E29" s="9" t="s">
        <v>610</v>
      </c>
      <c r="F29" s="30" t="s">
        <v>314</v>
      </c>
      <c r="G29" s="31" t="s">
        <v>315</v>
      </c>
      <c r="H29" s="31" t="s">
        <v>315</v>
      </c>
      <c r="I29" s="31" t="s">
        <v>315</v>
      </c>
      <c r="J29" s="31" t="s">
        <v>315</v>
      </c>
      <c r="K29" s="31" t="s">
        <v>315</v>
      </c>
      <c r="L29" s="32" t="str">
        <f t="shared" si="0"/>
        <v>INCLUDE</v>
      </c>
      <c r="M29" s="32" t="str">
        <f t="shared" si="1"/>
        <v/>
      </c>
      <c r="N29" s="33" t="s">
        <v>49</v>
      </c>
      <c r="O29" s="33" t="s">
        <v>49</v>
      </c>
      <c r="P29" s="34" t="s">
        <v>58</v>
      </c>
      <c r="Q29" s="34" t="s">
        <v>49</v>
      </c>
      <c r="R29" s="34" t="s">
        <v>49</v>
      </c>
      <c r="S29" s="32" t="str">
        <f t="shared" si="2"/>
        <v>EXCLUDE</v>
      </c>
      <c r="T29" s="32" t="str">
        <f t="shared" si="3"/>
        <v>Digital Twin mentioned only, not the subject</v>
      </c>
      <c r="U29" s="35" t="s">
        <v>82</v>
      </c>
      <c r="V29" s="35"/>
      <c r="W29" s="35"/>
      <c r="X29" s="35"/>
      <c r="Y29" s="32" t="str">
        <f t="shared" si="4"/>
        <v/>
      </c>
      <c r="Z29" s="35"/>
      <c r="AA29" s="35"/>
      <c r="AB29" s="35"/>
      <c r="AC29" s="35"/>
      <c r="AD29" s="35"/>
      <c r="AE29" s="35"/>
      <c r="AF29" s="35"/>
      <c r="AG29" s="15" t="s">
        <v>1100</v>
      </c>
      <c r="AH29" s="39"/>
      <c r="AI29" s="39"/>
      <c r="AM29" s="69"/>
    </row>
    <row r="30" spans="1:39" ht="22.8" x14ac:dyDescent="0.3">
      <c r="A30" s="30">
        <v>3551</v>
      </c>
      <c r="B30" s="9"/>
      <c r="C30" s="36"/>
      <c r="D30" s="9"/>
      <c r="E30" s="9" t="s">
        <v>611</v>
      </c>
      <c r="F30" s="30" t="s">
        <v>313</v>
      </c>
      <c r="G30" s="31" t="s">
        <v>315</v>
      </c>
      <c r="H30" s="31" t="s">
        <v>316</v>
      </c>
      <c r="I30" s="31" t="s">
        <v>315</v>
      </c>
      <c r="J30" s="31" t="s">
        <v>315</v>
      </c>
      <c r="K30" s="31" t="s">
        <v>316</v>
      </c>
      <c r="L30" s="32" t="str">
        <f t="shared" si="0"/>
        <v>EXCLUDE</v>
      </c>
      <c r="M30" s="32" t="str">
        <f t="shared" si="1"/>
        <v>Digital Twin not core / buzzword</v>
      </c>
      <c r="N30" s="33"/>
      <c r="O30" s="33"/>
      <c r="P30" s="34"/>
      <c r="Q30" s="34"/>
      <c r="R30" s="34"/>
      <c r="S30" s="32" t="str">
        <f t="shared" si="2"/>
        <v/>
      </c>
      <c r="T30" s="32" t="str">
        <f t="shared" si="3"/>
        <v/>
      </c>
      <c r="U30" s="35"/>
      <c r="V30" s="35"/>
      <c r="W30" s="35"/>
      <c r="X30" s="35"/>
      <c r="Y30" s="32" t="str">
        <f t="shared" si="4"/>
        <v/>
      </c>
      <c r="Z30" s="35"/>
      <c r="AA30" s="35"/>
      <c r="AB30" s="35"/>
      <c r="AC30" s="35"/>
      <c r="AD30" s="35"/>
      <c r="AE30" s="35"/>
      <c r="AF30" s="35"/>
      <c r="AG30" s="15" t="s">
        <v>335</v>
      </c>
      <c r="AH30" s="39"/>
      <c r="AI30" s="39"/>
      <c r="AM30" s="69"/>
    </row>
    <row r="31" spans="1:39" ht="22.8" x14ac:dyDescent="0.3">
      <c r="A31" s="30">
        <v>3571</v>
      </c>
      <c r="B31" s="9"/>
      <c r="C31" s="36"/>
      <c r="D31" s="9"/>
      <c r="E31" s="9" t="s">
        <v>612</v>
      </c>
      <c r="F31" s="30" t="s">
        <v>313</v>
      </c>
      <c r="G31" s="31" t="s">
        <v>315</v>
      </c>
      <c r="H31" s="31" t="s">
        <v>316</v>
      </c>
      <c r="I31" s="31" t="s">
        <v>316</v>
      </c>
      <c r="J31" s="31" t="s">
        <v>315</v>
      </c>
      <c r="K31" s="31" t="s">
        <v>315</v>
      </c>
      <c r="L31" s="32" t="str">
        <f t="shared" si="0"/>
        <v>EXCLUDE</v>
      </c>
      <c r="M31" s="32" t="str">
        <f t="shared" si="1"/>
        <v>Digital Twin not core / buzzword</v>
      </c>
      <c r="N31" s="33"/>
      <c r="O31" s="33"/>
      <c r="P31" s="34"/>
      <c r="Q31" s="34"/>
      <c r="R31" s="34"/>
      <c r="S31" s="32" t="str">
        <f t="shared" si="2"/>
        <v/>
      </c>
      <c r="T31" s="32" t="str">
        <f t="shared" si="3"/>
        <v/>
      </c>
      <c r="U31" s="35"/>
      <c r="V31" s="35"/>
      <c r="W31" s="35"/>
      <c r="X31" s="35"/>
      <c r="Y31" s="32" t="str">
        <f t="shared" si="4"/>
        <v/>
      </c>
      <c r="Z31" s="35"/>
      <c r="AA31" s="35"/>
      <c r="AB31" s="35"/>
      <c r="AC31" s="35"/>
      <c r="AD31" s="35"/>
      <c r="AE31" s="35"/>
      <c r="AF31" s="35"/>
      <c r="AG31" s="15" t="s">
        <v>336</v>
      </c>
      <c r="AH31" s="39"/>
      <c r="AI31" s="39"/>
      <c r="AM31" s="69"/>
    </row>
    <row r="32" spans="1:39" x14ac:dyDescent="0.3">
      <c r="A32" s="30">
        <v>3707</v>
      </c>
      <c r="B32" s="9"/>
      <c r="C32" s="36"/>
      <c r="D32" s="9"/>
      <c r="E32" s="9" t="s">
        <v>613</v>
      </c>
      <c r="F32" s="30" t="s">
        <v>313</v>
      </c>
      <c r="G32" s="31" t="s">
        <v>316</v>
      </c>
      <c r="H32" s="31" t="s">
        <v>315</v>
      </c>
      <c r="I32" s="31" t="s">
        <v>315</v>
      </c>
      <c r="J32" s="31" t="s">
        <v>315</v>
      </c>
      <c r="K32" s="31" t="s">
        <v>316</v>
      </c>
      <c r="L32" s="32" t="str">
        <f t="shared" si="0"/>
        <v>EXCLUDE</v>
      </c>
      <c r="M32" s="32" t="str">
        <f t="shared" si="1"/>
        <v>Wrong domain (non-AECO)</v>
      </c>
      <c r="N32" s="33"/>
      <c r="O32" s="33"/>
      <c r="P32" s="34"/>
      <c r="Q32" s="34"/>
      <c r="R32" s="34"/>
      <c r="S32" s="32" t="str">
        <f t="shared" si="2"/>
        <v/>
      </c>
      <c r="T32" s="32" t="str">
        <f t="shared" si="3"/>
        <v/>
      </c>
      <c r="U32" s="35"/>
      <c r="V32" s="35"/>
      <c r="W32" s="35"/>
      <c r="X32" s="35"/>
      <c r="Y32" s="32" t="str">
        <f t="shared" si="4"/>
        <v/>
      </c>
      <c r="Z32" s="35"/>
      <c r="AA32" s="35"/>
      <c r="AB32" s="35"/>
      <c r="AC32" s="35"/>
      <c r="AD32" s="35"/>
      <c r="AE32" s="35"/>
      <c r="AF32" s="35"/>
      <c r="AG32" s="15" t="s">
        <v>337</v>
      </c>
      <c r="AH32" s="39"/>
      <c r="AI32" s="39"/>
      <c r="AM32" s="69"/>
    </row>
    <row r="33" spans="1:39" ht="22.8" x14ac:dyDescent="0.3">
      <c r="A33" s="30">
        <v>3613</v>
      </c>
      <c r="B33" s="9"/>
      <c r="C33" s="36"/>
      <c r="D33" s="9"/>
      <c r="E33" s="9" t="s">
        <v>614</v>
      </c>
      <c r="F33" s="30" t="s">
        <v>313</v>
      </c>
      <c r="G33" s="31" t="s">
        <v>315</v>
      </c>
      <c r="H33" s="31" t="s">
        <v>316</v>
      </c>
      <c r="I33" s="31" t="s">
        <v>315</v>
      </c>
      <c r="J33" s="31" t="s">
        <v>315</v>
      </c>
      <c r="K33" s="31" t="s">
        <v>315</v>
      </c>
      <c r="L33" s="32" t="str">
        <f t="shared" si="0"/>
        <v>EXCLUDE</v>
      </c>
      <c r="M33" s="32" t="str">
        <f t="shared" si="1"/>
        <v>Digital Twin not core / buzzword</v>
      </c>
      <c r="N33" s="33"/>
      <c r="O33" s="33"/>
      <c r="P33" s="34"/>
      <c r="Q33" s="34"/>
      <c r="R33" s="34"/>
      <c r="S33" s="32" t="str">
        <f t="shared" si="2"/>
        <v/>
      </c>
      <c r="T33" s="32" t="str">
        <f t="shared" si="3"/>
        <v/>
      </c>
      <c r="U33" s="35"/>
      <c r="V33" s="35"/>
      <c r="W33" s="35"/>
      <c r="X33" s="35"/>
      <c r="Y33" s="32" t="str">
        <f t="shared" si="4"/>
        <v/>
      </c>
      <c r="Z33" s="35"/>
      <c r="AA33" s="35"/>
      <c r="AB33" s="35"/>
      <c r="AC33" s="35"/>
      <c r="AD33" s="35"/>
      <c r="AE33" s="35"/>
      <c r="AF33" s="35"/>
      <c r="AG33" s="15" t="s">
        <v>338</v>
      </c>
      <c r="AH33" s="39"/>
      <c r="AI33" s="39"/>
      <c r="AM33" s="69"/>
    </row>
    <row r="34" spans="1:39" ht="22.8" x14ac:dyDescent="0.3">
      <c r="A34" s="30">
        <v>3645</v>
      </c>
      <c r="B34" s="9"/>
      <c r="C34" s="36"/>
      <c r="D34" s="9"/>
      <c r="E34" s="9" t="s">
        <v>615</v>
      </c>
      <c r="F34" s="30" t="s">
        <v>313</v>
      </c>
      <c r="G34" s="31" t="s">
        <v>315</v>
      </c>
      <c r="H34" s="31" t="s">
        <v>316</v>
      </c>
      <c r="I34" s="31" t="s">
        <v>316</v>
      </c>
      <c r="J34" s="31" t="s">
        <v>315</v>
      </c>
      <c r="K34" s="31" t="s">
        <v>315</v>
      </c>
      <c r="L34" s="32" t="str">
        <f t="shared" si="0"/>
        <v>EXCLUDE</v>
      </c>
      <c r="M34" s="32" t="str">
        <f t="shared" si="1"/>
        <v>Digital Twin not core / buzzword</v>
      </c>
      <c r="N34" s="33"/>
      <c r="O34" s="33"/>
      <c r="P34" s="34"/>
      <c r="Q34" s="34"/>
      <c r="R34" s="34"/>
      <c r="S34" s="32" t="str">
        <f t="shared" si="2"/>
        <v/>
      </c>
      <c r="T34" s="32" t="str">
        <f t="shared" si="3"/>
        <v/>
      </c>
      <c r="U34" s="35"/>
      <c r="V34" s="35"/>
      <c r="W34" s="35"/>
      <c r="X34" s="35"/>
      <c r="Y34" s="32" t="str">
        <f t="shared" si="4"/>
        <v/>
      </c>
      <c r="Z34" s="35"/>
      <c r="AA34" s="35"/>
      <c r="AB34" s="35"/>
      <c r="AC34" s="35"/>
      <c r="AD34" s="35"/>
      <c r="AE34" s="35"/>
      <c r="AF34" s="35"/>
      <c r="AG34" s="15" t="s">
        <v>339</v>
      </c>
      <c r="AH34" s="39"/>
      <c r="AI34" s="39"/>
      <c r="AM34" s="69"/>
    </row>
    <row r="35" spans="1:39" ht="22.8" x14ac:dyDescent="0.3">
      <c r="A35" s="30">
        <v>3807</v>
      </c>
      <c r="B35" s="9"/>
      <c r="C35" s="36"/>
      <c r="D35" s="9"/>
      <c r="E35" s="9" t="s">
        <v>616</v>
      </c>
      <c r="F35" s="30" t="s">
        <v>313</v>
      </c>
      <c r="G35" s="31" t="s">
        <v>315</v>
      </c>
      <c r="H35" s="31" t="s">
        <v>316</v>
      </c>
      <c r="I35" s="31" t="s">
        <v>315</v>
      </c>
      <c r="J35" s="31" t="s">
        <v>315</v>
      </c>
      <c r="K35" s="31" t="s">
        <v>315</v>
      </c>
      <c r="L35" s="32" t="str">
        <f t="shared" si="0"/>
        <v>EXCLUDE</v>
      </c>
      <c r="M35" s="32" t="str">
        <f t="shared" si="1"/>
        <v>Digital Twin not core / buzzword</v>
      </c>
      <c r="N35" s="33"/>
      <c r="O35" s="33"/>
      <c r="P35" s="34"/>
      <c r="Q35" s="34"/>
      <c r="R35" s="34"/>
      <c r="S35" s="32" t="str">
        <f t="shared" si="2"/>
        <v/>
      </c>
      <c r="T35" s="32" t="str">
        <f t="shared" si="3"/>
        <v/>
      </c>
      <c r="U35" s="35"/>
      <c r="V35" s="35"/>
      <c r="W35" s="35"/>
      <c r="X35" s="35"/>
      <c r="Y35" s="32" t="str">
        <f t="shared" si="4"/>
        <v/>
      </c>
      <c r="Z35" s="35"/>
      <c r="AA35" s="35"/>
      <c r="AB35" s="35"/>
      <c r="AC35" s="35"/>
      <c r="AD35" s="35"/>
      <c r="AE35" s="35"/>
      <c r="AF35" s="35"/>
      <c r="AG35" s="15" t="s">
        <v>340</v>
      </c>
      <c r="AH35" s="39"/>
      <c r="AI35" s="39"/>
      <c r="AM35" s="69"/>
    </row>
    <row r="36" spans="1:39" ht="79.8" x14ac:dyDescent="0.3">
      <c r="A36" s="30">
        <v>3595</v>
      </c>
      <c r="B36" s="9" t="s">
        <v>178</v>
      </c>
      <c r="C36" s="36">
        <v>2021</v>
      </c>
      <c r="D36" s="9"/>
      <c r="E36" s="9" t="s">
        <v>617</v>
      </c>
      <c r="F36" s="30" t="s">
        <v>313</v>
      </c>
      <c r="G36" s="31" t="s">
        <v>315</v>
      </c>
      <c r="H36" s="31" t="s">
        <v>315</v>
      </c>
      <c r="I36" s="31" t="s">
        <v>315</v>
      </c>
      <c r="J36" s="31" t="s">
        <v>315</v>
      </c>
      <c r="K36" s="31" t="s">
        <v>315</v>
      </c>
      <c r="L36" s="32" t="str">
        <f t="shared" si="0"/>
        <v>INCLUDE</v>
      </c>
      <c r="M36" s="32" t="str">
        <f t="shared" si="1"/>
        <v/>
      </c>
      <c r="N36" s="33" t="s">
        <v>49</v>
      </c>
      <c r="O36" s="33" t="s">
        <v>49</v>
      </c>
      <c r="P36" s="34" t="s">
        <v>49</v>
      </c>
      <c r="Q36" s="34" t="s">
        <v>49</v>
      </c>
      <c r="R36" s="34" t="s">
        <v>49</v>
      </c>
      <c r="S36" s="32" t="str">
        <f t="shared" si="2"/>
        <v>INCLUDE</v>
      </c>
      <c r="T36" s="32" t="str">
        <f t="shared" si="3"/>
        <v/>
      </c>
      <c r="U36" s="35" t="s">
        <v>52</v>
      </c>
      <c r="V36" s="35">
        <v>0</v>
      </c>
      <c r="W36" s="35">
        <v>0</v>
      </c>
      <c r="X36" s="35">
        <v>1</v>
      </c>
      <c r="Y36" s="32" t="str">
        <f t="shared" si="4"/>
        <v>Single</v>
      </c>
      <c r="Z36" s="35" t="s">
        <v>9</v>
      </c>
      <c r="AA36" s="35" t="s">
        <v>53</v>
      </c>
      <c r="AB36" s="35" t="s">
        <v>91</v>
      </c>
      <c r="AC36" s="35" t="s">
        <v>64</v>
      </c>
      <c r="AD36" s="35" t="s">
        <v>56</v>
      </c>
      <c r="AE36" s="35">
        <v>3</v>
      </c>
      <c r="AF36" s="35" t="s">
        <v>86</v>
      </c>
      <c r="AG36" s="15" t="s">
        <v>341</v>
      </c>
      <c r="AH36" s="39" t="s">
        <v>1182</v>
      </c>
      <c r="AI36" s="39" t="s">
        <v>1183</v>
      </c>
      <c r="AJ36" t="s">
        <v>82</v>
      </c>
      <c r="AK36" t="s">
        <v>1515</v>
      </c>
      <c r="AL36" t="s">
        <v>1499</v>
      </c>
      <c r="AM36" s="69"/>
    </row>
    <row r="37" spans="1:39" ht="22.8" x14ac:dyDescent="0.3">
      <c r="A37" s="30">
        <v>3888</v>
      </c>
      <c r="B37" s="9"/>
      <c r="C37" s="36"/>
      <c r="D37" s="9"/>
      <c r="E37" s="9" t="s">
        <v>618</v>
      </c>
      <c r="F37" s="30" t="s">
        <v>314</v>
      </c>
      <c r="G37" s="31" t="s">
        <v>315</v>
      </c>
      <c r="H37" s="31" t="s">
        <v>316</v>
      </c>
      <c r="I37" s="31" t="s">
        <v>316</v>
      </c>
      <c r="J37" s="31" t="s">
        <v>315</v>
      </c>
      <c r="K37" s="31" t="s">
        <v>315</v>
      </c>
      <c r="L37" s="32" t="str">
        <f t="shared" si="0"/>
        <v>EXCLUDE</v>
      </c>
      <c r="M37" s="32" t="str">
        <f t="shared" si="1"/>
        <v>Digital Twin not core / buzzword</v>
      </c>
      <c r="N37" s="33"/>
      <c r="O37" s="33"/>
      <c r="P37" s="34"/>
      <c r="Q37" s="34"/>
      <c r="R37" s="34"/>
      <c r="S37" s="32" t="str">
        <f t="shared" si="2"/>
        <v/>
      </c>
      <c r="T37" s="32" t="str">
        <f t="shared" si="3"/>
        <v/>
      </c>
      <c r="U37" s="35"/>
      <c r="V37" s="35"/>
      <c r="W37" s="35"/>
      <c r="X37" s="35"/>
      <c r="Y37" s="32" t="str">
        <f t="shared" si="4"/>
        <v/>
      </c>
      <c r="Z37" s="35"/>
      <c r="AA37" s="35"/>
      <c r="AB37" s="35"/>
      <c r="AC37" s="35"/>
      <c r="AD37" s="35"/>
      <c r="AE37" s="35"/>
      <c r="AF37" s="35"/>
      <c r="AG37" s="15" t="s">
        <v>342</v>
      </c>
      <c r="AH37" s="39"/>
      <c r="AI37" s="39"/>
      <c r="AM37" s="69"/>
    </row>
    <row r="38" spans="1:39" ht="22.8" x14ac:dyDescent="0.3">
      <c r="A38" s="30">
        <v>3869</v>
      </c>
      <c r="B38" s="9"/>
      <c r="C38" s="36"/>
      <c r="D38" s="9"/>
      <c r="E38" s="9" t="s">
        <v>619</v>
      </c>
      <c r="F38" s="30" t="s">
        <v>313</v>
      </c>
      <c r="G38" s="31" t="s">
        <v>316</v>
      </c>
      <c r="H38" s="31" t="s">
        <v>316</v>
      </c>
      <c r="I38" s="31" t="s">
        <v>316</v>
      </c>
      <c r="J38" s="31" t="s">
        <v>315</v>
      </c>
      <c r="K38" s="31" t="s">
        <v>315</v>
      </c>
      <c r="L38" s="32" t="str">
        <f t="shared" si="0"/>
        <v>EXCLUDE</v>
      </c>
      <c r="M38" s="32" t="str">
        <f t="shared" si="1"/>
        <v>Wrong domain (non-AECO)</v>
      </c>
      <c r="N38" s="33"/>
      <c r="O38" s="33"/>
      <c r="P38" s="34"/>
      <c r="Q38" s="34"/>
      <c r="R38" s="34"/>
      <c r="S38" s="32" t="str">
        <f t="shared" si="2"/>
        <v/>
      </c>
      <c r="T38" s="32" t="str">
        <f t="shared" si="3"/>
        <v/>
      </c>
      <c r="U38" s="35"/>
      <c r="V38" s="35"/>
      <c r="W38" s="35"/>
      <c r="X38" s="35"/>
      <c r="Y38" s="32" t="str">
        <f t="shared" si="4"/>
        <v/>
      </c>
      <c r="Z38" s="35"/>
      <c r="AA38" s="35"/>
      <c r="AB38" s="35"/>
      <c r="AC38" s="35"/>
      <c r="AD38" s="35"/>
      <c r="AE38" s="35"/>
      <c r="AF38" s="35"/>
      <c r="AG38" s="15" t="s">
        <v>343</v>
      </c>
      <c r="AH38" s="39"/>
      <c r="AI38" s="39"/>
      <c r="AM38" s="69"/>
    </row>
    <row r="39" spans="1:39" ht="22.8" x14ac:dyDescent="0.3">
      <c r="A39" s="30">
        <v>3702</v>
      </c>
      <c r="B39" s="9"/>
      <c r="C39" s="36"/>
      <c r="D39" s="9"/>
      <c r="E39" s="9" t="s">
        <v>620</v>
      </c>
      <c r="F39" s="30" t="s">
        <v>313</v>
      </c>
      <c r="G39" s="31" t="s">
        <v>315</v>
      </c>
      <c r="H39" s="31" t="s">
        <v>316</v>
      </c>
      <c r="I39" s="31" t="s">
        <v>315</v>
      </c>
      <c r="J39" s="31" t="s">
        <v>315</v>
      </c>
      <c r="K39" s="31" t="s">
        <v>315</v>
      </c>
      <c r="L39" s="32" t="str">
        <f t="shared" si="0"/>
        <v>EXCLUDE</v>
      </c>
      <c r="M39" s="32" t="str">
        <f t="shared" si="1"/>
        <v>Digital Twin not core / buzzword</v>
      </c>
      <c r="N39" s="33"/>
      <c r="O39" s="33"/>
      <c r="P39" s="34"/>
      <c r="Q39" s="34"/>
      <c r="R39" s="34"/>
      <c r="S39" s="32" t="str">
        <f t="shared" si="2"/>
        <v/>
      </c>
      <c r="T39" s="32" t="str">
        <f t="shared" si="3"/>
        <v/>
      </c>
      <c r="U39" s="35"/>
      <c r="V39" s="35"/>
      <c r="W39" s="35"/>
      <c r="X39" s="35"/>
      <c r="Y39" s="32" t="str">
        <f t="shared" si="4"/>
        <v/>
      </c>
      <c r="Z39" s="35"/>
      <c r="AA39" s="35"/>
      <c r="AB39" s="35"/>
      <c r="AC39" s="35"/>
      <c r="AD39" s="35"/>
      <c r="AE39" s="35"/>
      <c r="AF39" s="35"/>
      <c r="AG39" s="15" t="s">
        <v>344</v>
      </c>
      <c r="AH39" s="39"/>
      <c r="AI39" s="39"/>
      <c r="AM39" s="69"/>
    </row>
    <row r="40" spans="1:39" ht="22.8" x14ac:dyDescent="0.3">
      <c r="A40" s="30">
        <v>3901</v>
      </c>
      <c r="B40" s="9"/>
      <c r="C40" s="36"/>
      <c r="D40" s="9"/>
      <c r="E40" s="9" t="s">
        <v>621</v>
      </c>
      <c r="F40" s="30" t="s">
        <v>314</v>
      </c>
      <c r="G40" s="31" t="s">
        <v>315</v>
      </c>
      <c r="H40" s="31" t="s">
        <v>316</v>
      </c>
      <c r="I40" s="31" t="s">
        <v>316</v>
      </c>
      <c r="J40" s="31" t="s">
        <v>315</v>
      </c>
      <c r="K40" s="31" t="s">
        <v>315</v>
      </c>
      <c r="L40" s="32" t="str">
        <f t="shared" si="0"/>
        <v>EXCLUDE</v>
      </c>
      <c r="M40" s="32" t="str">
        <f t="shared" si="1"/>
        <v>Digital Twin not core / buzzword</v>
      </c>
      <c r="N40" s="33"/>
      <c r="O40" s="33"/>
      <c r="P40" s="34"/>
      <c r="Q40" s="34"/>
      <c r="R40" s="34"/>
      <c r="S40" s="32" t="str">
        <f t="shared" si="2"/>
        <v/>
      </c>
      <c r="T40" s="32" t="str">
        <f t="shared" si="3"/>
        <v/>
      </c>
      <c r="U40" s="35"/>
      <c r="V40" s="35"/>
      <c r="W40" s="35"/>
      <c r="X40" s="35"/>
      <c r="Y40" s="32" t="str">
        <f t="shared" si="4"/>
        <v/>
      </c>
      <c r="Z40" s="35"/>
      <c r="AA40" s="35"/>
      <c r="AB40" s="35"/>
      <c r="AC40" s="35"/>
      <c r="AD40" s="35"/>
      <c r="AE40" s="35"/>
      <c r="AF40" s="35"/>
      <c r="AG40" s="15" t="s">
        <v>345</v>
      </c>
      <c r="AH40" s="39"/>
      <c r="AI40" s="39"/>
      <c r="AM40" s="69"/>
    </row>
    <row r="41" spans="1:39" ht="22.8" x14ac:dyDescent="0.3">
      <c r="A41" s="30">
        <v>3889</v>
      </c>
      <c r="B41" s="9"/>
      <c r="C41" s="36"/>
      <c r="D41" s="9"/>
      <c r="E41" s="9" t="s">
        <v>622</v>
      </c>
      <c r="F41" s="30" t="s">
        <v>314</v>
      </c>
      <c r="G41" s="31" t="s">
        <v>315</v>
      </c>
      <c r="H41" s="31" t="s">
        <v>316</v>
      </c>
      <c r="I41" s="31" t="s">
        <v>315</v>
      </c>
      <c r="J41" s="31" t="s">
        <v>315</v>
      </c>
      <c r="K41" s="31" t="s">
        <v>315</v>
      </c>
      <c r="L41" s="32" t="str">
        <f t="shared" si="0"/>
        <v>EXCLUDE</v>
      </c>
      <c r="M41" s="32" t="str">
        <f t="shared" si="1"/>
        <v>Digital Twin not core / buzzword</v>
      </c>
      <c r="N41" s="33"/>
      <c r="O41" s="33"/>
      <c r="P41" s="34"/>
      <c r="Q41" s="34"/>
      <c r="R41" s="34"/>
      <c r="S41" s="32" t="str">
        <f t="shared" si="2"/>
        <v/>
      </c>
      <c r="T41" s="32" t="str">
        <f t="shared" si="3"/>
        <v/>
      </c>
      <c r="U41" s="35"/>
      <c r="V41" s="35"/>
      <c r="W41" s="35"/>
      <c r="X41" s="35"/>
      <c r="Y41" s="32" t="str">
        <f t="shared" si="4"/>
        <v/>
      </c>
      <c r="Z41" s="35"/>
      <c r="AA41" s="35"/>
      <c r="AB41" s="35"/>
      <c r="AC41" s="35"/>
      <c r="AD41" s="35"/>
      <c r="AE41" s="35"/>
      <c r="AF41" s="35"/>
      <c r="AG41" s="15" t="s">
        <v>346</v>
      </c>
      <c r="AH41" s="39"/>
      <c r="AI41" s="39"/>
      <c r="AM41" s="69"/>
    </row>
    <row r="42" spans="1:39" ht="22.8" x14ac:dyDescent="0.3">
      <c r="A42" s="30">
        <v>3555</v>
      </c>
      <c r="B42" s="9"/>
      <c r="C42" s="36"/>
      <c r="D42" s="9"/>
      <c r="E42" s="9" t="s">
        <v>623</v>
      </c>
      <c r="F42" s="30" t="s">
        <v>313</v>
      </c>
      <c r="G42" s="31" t="s">
        <v>315</v>
      </c>
      <c r="H42" s="31" t="s">
        <v>316</v>
      </c>
      <c r="I42" s="31" t="s">
        <v>316</v>
      </c>
      <c r="J42" s="31" t="s">
        <v>315</v>
      </c>
      <c r="K42" s="31" t="s">
        <v>315</v>
      </c>
      <c r="L42" s="32" t="str">
        <f t="shared" si="0"/>
        <v>EXCLUDE</v>
      </c>
      <c r="M42" s="32" t="str">
        <f t="shared" si="1"/>
        <v>Digital Twin not core / buzzword</v>
      </c>
      <c r="N42" s="33"/>
      <c r="O42" s="33"/>
      <c r="P42" s="34"/>
      <c r="Q42" s="34"/>
      <c r="R42" s="34"/>
      <c r="S42" s="32" t="str">
        <f t="shared" si="2"/>
        <v/>
      </c>
      <c r="T42" s="32" t="str">
        <f t="shared" si="3"/>
        <v/>
      </c>
      <c r="U42" s="35"/>
      <c r="V42" s="35"/>
      <c r="W42" s="35"/>
      <c r="X42" s="35"/>
      <c r="Y42" s="32" t="str">
        <f t="shared" si="4"/>
        <v/>
      </c>
      <c r="Z42" s="35"/>
      <c r="AA42" s="35"/>
      <c r="AB42" s="35"/>
      <c r="AC42" s="35"/>
      <c r="AD42" s="35"/>
      <c r="AE42" s="35"/>
      <c r="AF42" s="35"/>
      <c r="AG42" s="15" t="s">
        <v>347</v>
      </c>
      <c r="AH42" s="39"/>
      <c r="AI42" s="39"/>
      <c r="AM42" s="69"/>
    </row>
    <row r="43" spans="1:39" ht="102.6" x14ac:dyDescent="0.3">
      <c r="A43" s="30">
        <v>3658</v>
      </c>
      <c r="B43" s="9" t="s">
        <v>179</v>
      </c>
      <c r="C43" s="36">
        <v>2026</v>
      </c>
      <c r="D43" s="9"/>
      <c r="E43" s="9" t="s">
        <v>624</v>
      </c>
      <c r="F43" s="30" t="s">
        <v>313</v>
      </c>
      <c r="G43" s="31" t="s">
        <v>315</v>
      </c>
      <c r="H43" s="31" t="s">
        <v>315</v>
      </c>
      <c r="I43" s="31" t="s">
        <v>315</v>
      </c>
      <c r="J43" s="31" t="s">
        <v>315</v>
      </c>
      <c r="K43" s="31" t="s">
        <v>315</v>
      </c>
      <c r="L43" s="32" t="str">
        <f t="shared" si="0"/>
        <v>INCLUDE</v>
      </c>
      <c r="M43" s="32" t="str">
        <f t="shared" si="1"/>
        <v/>
      </c>
      <c r="N43" s="33" t="s">
        <v>315</v>
      </c>
      <c r="O43" s="33" t="s">
        <v>315</v>
      </c>
      <c r="P43" s="34" t="s">
        <v>315</v>
      </c>
      <c r="Q43" s="34" t="s">
        <v>315</v>
      </c>
      <c r="R43" s="34" t="s">
        <v>315</v>
      </c>
      <c r="S43" s="32" t="str">
        <f t="shared" si="2"/>
        <v>INCLUDE</v>
      </c>
      <c r="T43" s="32" t="str">
        <f t="shared" si="3"/>
        <v/>
      </c>
      <c r="U43" s="35" t="s">
        <v>52</v>
      </c>
      <c r="V43" s="35">
        <v>0</v>
      </c>
      <c r="W43" s="35">
        <v>0</v>
      </c>
      <c r="X43" s="35">
        <v>1</v>
      </c>
      <c r="Y43" s="32" t="str">
        <f t="shared" si="4"/>
        <v>Single</v>
      </c>
      <c r="Z43" s="35" t="s">
        <v>9</v>
      </c>
      <c r="AA43" s="35" t="s">
        <v>53</v>
      </c>
      <c r="AB43" s="35" t="s">
        <v>92</v>
      </c>
      <c r="AC43" s="35" t="s">
        <v>55</v>
      </c>
      <c r="AD43" s="35" t="s">
        <v>65</v>
      </c>
      <c r="AE43" s="35">
        <v>3</v>
      </c>
      <c r="AF43" s="35" t="s">
        <v>80</v>
      </c>
      <c r="AG43" s="15" t="s">
        <v>1011</v>
      </c>
      <c r="AH43" s="39" t="s">
        <v>1184</v>
      </c>
      <c r="AI43" s="39" t="s">
        <v>1185</v>
      </c>
      <c r="AJ43" t="s">
        <v>1494</v>
      </c>
      <c r="AK43" t="s">
        <v>1516</v>
      </c>
      <c r="AL43" t="s">
        <v>1499</v>
      </c>
      <c r="AM43" s="69"/>
    </row>
    <row r="44" spans="1:39" ht="22.8" x14ac:dyDescent="0.3">
      <c r="A44" s="30">
        <v>3958</v>
      </c>
      <c r="B44" s="9"/>
      <c r="C44" s="36"/>
      <c r="D44" s="9"/>
      <c r="E44" s="9" t="s">
        <v>625</v>
      </c>
      <c r="F44" s="30" t="s">
        <v>314</v>
      </c>
      <c r="G44" s="31" t="s">
        <v>315</v>
      </c>
      <c r="H44" s="31" t="s">
        <v>316</v>
      </c>
      <c r="I44" s="31" t="s">
        <v>316</v>
      </c>
      <c r="J44" s="31" t="s">
        <v>315</v>
      </c>
      <c r="K44" s="31" t="s">
        <v>315</v>
      </c>
      <c r="L44" s="32" t="str">
        <f t="shared" si="0"/>
        <v>EXCLUDE</v>
      </c>
      <c r="M44" s="32" t="str">
        <f t="shared" si="1"/>
        <v>Digital Twin not core / buzzword</v>
      </c>
      <c r="N44" s="33"/>
      <c r="O44" s="33"/>
      <c r="P44" s="34"/>
      <c r="Q44" s="34"/>
      <c r="R44" s="34"/>
      <c r="S44" s="32" t="str">
        <f t="shared" si="2"/>
        <v/>
      </c>
      <c r="T44" s="32" t="str">
        <f t="shared" si="3"/>
        <v/>
      </c>
      <c r="U44" s="35"/>
      <c r="V44" s="35"/>
      <c r="W44" s="35"/>
      <c r="X44" s="35"/>
      <c r="Y44" s="32" t="str">
        <f t="shared" si="4"/>
        <v/>
      </c>
      <c r="Z44" s="35"/>
      <c r="AA44" s="35"/>
      <c r="AB44" s="35"/>
      <c r="AC44" s="35"/>
      <c r="AD44" s="35"/>
      <c r="AE44" s="35"/>
      <c r="AF44" s="35"/>
      <c r="AG44" s="15" t="s">
        <v>348</v>
      </c>
      <c r="AH44" s="39"/>
      <c r="AI44" s="39"/>
      <c r="AM44" s="69"/>
    </row>
    <row r="45" spans="1:39" ht="79.8" x14ac:dyDescent="0.3">
      <c r="A45" s="30">
        <v>3936</v>
      </c>
      <c r="B45" s="9" t="s">
        <v>180</v>
      </c>
      <c r="C45" s="36">
        <v>2024</v>
      </c>
      <c r="D45" s="9"/>
      <c r="E45" s="9" t="s">
        <v>626</v>
      </c>
      <c r="F45" s="30" t="s">
        <v>314</v>
      </c>
      <c r="G45" s="31" t="s">
        <v>315</v>
      </c>
      <c r="H45" s="31" t="s">
        <v>315</v>
      </c>
      <c r="I45" s="31" t="s">
        <v>315</v>
      </c>
      <c r="J45" s="31" t="s">
        <v>315</v>
      </c>
      <c r="K45" s="31" t="s">
        <v>315</v>
      </c>
      <c r="L45" s="32" t="str">
        <f t="shared" si="0"/>
        <v>INCLUDE</v>
      </c>
      <c r="M45" s="32" t="str">
        <f t="shared" si="1"/>
        <v/>
      </c>
      <c r="N45" s="33" t="s">
        <v>49</v>
      </c>
      <c r="O45" s="33" t="s">
        <v>49</v>
      </c>
      <c r="P45" s="34" t="s">
        <v>49</v>
      </c>
      <c r="Q45" s="34" t="s">
        <v>49</v>
      </c>
      <c r="R45" s="34" t="s">
        <v>49</v>
      </c>
      <c r="S45" s="32" t="str">
        <f t="shared" si="2"/>
        <v>INCLUDE</v>
      </c>
      <c r="T45" s="32" t="str">
        <f t="shared" si="3"/>
        <v/>
      </c>
      <c r="U45" s="35" t="s">
        <v>61</v>
      </c>
      <c r="V45" s="35">
        <v>0</v>
      </c>
      <c r="W45" s="35">
        <v>1</v>
      </c>
      <c r="X45" s="35">
        <v>0</v>
      </c>
      <c r="Y45" s="32" t="str">
        <f t="shared" si="4"/>
        <v>Single</v>
      </c>
      <c r="Z45" s="35" t="s">
        <v>69</v>
      </c>
      <c r="AA45" s="35" t="s">
        <v>53</v>
      </c>
      <c r="AB45" s="35" t="s">
        <v>92</v>
      </c>
      <c r="AC45" s="35" t="s">
        <v>64</v>
      </c>
      <c r="AD45" s="35" t="s">
        <v>72</v>
      </c>
      <c r="AE45" s="35">
        <v>4</v>
      </c>
      <c r="AF45" s="35" t="s">
        <v>57</v>
      </c>
      <c r="AG45" s="15" t="s">
        <v>1101</v>
      </c>
      <c r="AH45" s="39" t="s">
        <v>1186</v>
      </c>
      <c r="AI45" s="39" t="s">
        <v>1187</v>
      </c>
      <c r="AJ45" t="s">
        <v>1495</v>
      </c>
      <c r="AK45" t="s">
        <v>1517</v>
      </c>
      <c r="AL45" t="s">
        <v>1499</v>
      </c>
      <c r="AM45" s="69"/>
    </row>
    <row r="46" spans="1:39" ht="68.400000000000006" x14ac:dyDescent="0.3">
      <c r="A46" s="30">
        <v>3795</v>
      </c>
      <c r="B46" s="9" t="s">
        <v>181</v>
      </c>
      <c r="C46" s="36">
        <v>2025</v>
      </c>
      <c r="D46" s="9"/>
      <c r="E46" s="9" t="s">
        <v>627</v>
      </c>
      <c r="F46" s="30" t="s">
        <v>313</v>
      </c>
      <c r="G46" s="31" t="s">
        <v>315</v>
      </c>
      <c r="H46" s="31" t="s">
        <v>315</v>
      </c>
      <c r="I46" s="31" t="s">
        <v>315</v>
      </c>
      <c r="J46" s="31" t="s">
        <v>315</v>
      </c>
      <c r="K46" s="31" t="s">
        <v>315</v>
      </c>
      <c r="L46" s="32" t="str">
        <f t="shared" si="0"/>
        <v>INCLUDE</v>
      </c>
      <c r="M46" s="32" t="str">
        <f t="shared" si="1"/>
        <v/>
      </c>
      <c r="N46" s="33" t="s">
        <v>49</v>
      </c>
      <c r="O46" s="33" t="s">
        <v>49</v>
      </c>
      <c r="P46" s="34" t="s">
        <v>49</v>
      </c>
      <c r="Q46" s="34" t="s">
        <v>49</v>
      </c>
      <c r="R46" s="34" t="s">
        <v>49</v>
      </c>
      <c r="S46" s="32" t="str">
        <f t="shared" si="2"/>
        <v>INCLUDE</v>
      </c>
      <c r="T46" s="32" t="str">
        <f t="shared" si="3"/>
        <v/>
      </c>
      <c r="U46" s="35" t="s">
        <v>61</v>
      </c>
      <c r="V46" s="35">
        <v>0</v>
      </c>
      <c r="W46" s="35">
        <v>0</v>
      </c>
      <c r="X46" s="35">
        <v>1</v>
      </c>
      <c r="Y46" s="32" t="str">
        <f t="shared" si="4"/>
        <v>Single</v>
      </c>
      <c r="Z46" s="35" t="s">
        <v>9</v>
      </c>
      <c r="AA46" s="35" t="s">
        <v>53</v>
      </c>
      <c r="AB46" s="35" t="s">
        <v>88</v>
      </c>
      <c r="AC46" s="35" t="s">
        <v>64</v>
      </c>
      <c r="AD46" s="35" t="s">
        <v>72</v>
      </c>
      <c r="AE46" s="35">
        <v>4</v>
      </c>
      <c r="AF46" s="35" t="s">
        <v>80</v>
      </c>
      <c r="AG46" s="15" t="s">
        <v>1102</v>
      </c>
      <c r="AH46" s="39" t="s">
        <v>1188</v>
      </c>
      <c r="AI46" s="39" t="s">
        <v>1189</v>
      </c>
      <c r="AJ46" t="s">
        <v>1496</v>
      </c>
      <c r="AK46" t="s">
        <v>1518</v>
      </c>
      <c r="AL46" t="s">
        <v>1500</v>
      </c>
      <c r="AM46" s="69"/>
    </row>
    <row r="47" spans="1:39" ht="102.6" x14ac:dyDescent="0.3">
      <c r="A47" s="30">
        <v>3998</v>
      </c>
      <c r="B47" s="9" t="s">
        <v>182</v>
      </c>
      <c r="C47" s="36">
        <v>2024</v>
      </c>
      <c r="D47" s="9"/>
      <c r="E47" s="9" t="s">
        <v>628</v>
      </c>
      <c r="F47" s="30" t="s">
        <v>314</v>
      </c>
      <c r="G47" s="31" t="s">
        <v>315</v>
      </c>
      <c r="H47" s="31" t="s">
        <v>315</v>
      </c>
      <c r="I47" s="31" t="s">
        <v>315</v>
      </c>
      <c r="J47" s="31" t="s">
        <v>315</v>
      </c>
      <c r="K47" s="31" t="s">
        <v>315</v>
      </c>
      <c r="L47" s="32" t="str">
        <f t="shared" si="0"/>
        <v>INCLUDE</v>
      </c>
      <c r="M47" s="32" t="str">
        <f t="shared" si="1"/>
        <v/>
      </c>
      <c r="N47" s="33" t="s">
        <v>49</v>
      </c>
      <c r="O47" s="33" t="s">
        <v>49</v>
      </c>
      <c r="P47" s="34" t="s">
        <v>49</v>
      </c>
      <c r="Q47" s="34" t="s">
        <v>49</v>
      </c>
      <c r="R47" s="34" t="s">
        <v>49</v>
      </c>
      <c r="S47" s="32" t="str">
        <f t="shared" si="2"/>
        <v>INCLUDE</v>
      </c>
      <c r="T47" s="32" t="str">
        <f t="shared" si="3"/>
        <v/>
      </c>
      <c r="U47" s="35" t="s">
        <v>52</v>
      </c>
      <c r="V47" s="35">
        <v>0</v>
      </c>
      <c r="W47" s="35">
        <v>1</v>
      </c>
      <c r="X47" s="35">
        <v>0</v>
      </c>
      <c r="Y47" s="32" t="str">
        <f t="shared" si="4"/>
        <v>Single</v>
      </c>
      <c r="Z47" s="35" t="s">
        <v>11</v>
      </c>
      <c r="AA47" s="35" t="s">
        <v>53</v>
      </c>
      <c r="AB47" s="35" t="s">
        <v>73</v>
      </c>
      <c r="AC47" s="35" t="s">
        <v>64</v>
      </c>
      <c r="AD47" s="35" t="s">
        <v>72</v>
      </c>
      <c r="AE47" s="35">
        <v>4</v>
      </c>
      <c r="AF47" s="35" t="s">
        <v>73</v>
      </c>
      <c r="AG47" s="15" t="s">
        <v>349</v>
      </c>
      <c r="AH47" s="39" t="s">
        <v>1190</v>
      </c>
      <c r="AI47" s="39" t="s">
        <v>1191</v>
      </c>
      <c r="AJ47" t="s">
        <v>1496</v>
      </c>
      <c r="AK47" t="s">
        <v>1519</v>
      </c>
      <c r="AL47" t="s">
        <v>1499</v>
      </c>
      <c r="AM47" s="69"/>
    </row>
    <row r="48" spans="1:39" ht="114" x14ac:dyDescent="0.3">
      <c r="A48" s="30">
        <v>3984</v>
      </c>
      <c r="B48" s="9" t="s">
        <v>183</v>
      </c>
      <c r="C48" s="36">
        <v>2026</v>
      </c>
      <c r="D48" s="9"/>
      <c r="E48" s="9" t="s">
        <v>629</v>
      </c>
      <c r="F48" s="30" t="s">
        <v>314</v>
      </c>
      <c r="G48" s="31" t="s">
        <v>315</v>
      </c>
      <c r="H48" s="31" t="s">
        <v>315</v>
      </c>
      <c r="I48" s="31" t="s">
        <v>315</v>
      </c>
      <c r="J48" s="31" t="s">
        <v>315</v>
      </c>
      <c r="K48" s="31" t="s">
        <v>315</v>
      </c>
      <c r="L48" s="32" t="str">
        <f t="shared" si="0"/>
        <v>INCLUDE</v>
      </c>
      <c r="M48" s="32" t="str">
        <f t="shared" si="1"/>
        <v/>
      </c>
      <c r="N48" s="33" t="s">
        <v>49</v>
      </c>
      <c r="O48" s="33" t="s">
        <v>49</v>
      </c>
      <c r="P48" s="34" t="s">
        <v>49</v>
      </c>
      <c r="Q48" s="34" t="s">
        <v>49</v>
      </c>
      <c r="R48" s="34" t="s">
        <v>49</v>
      </c>
      <c r="S48" s="32" t="str">
        <f t="shared" si="2"/>
        <v>INCLUDE</v>
      </c>
      <c r="T48" s="32" t="str">
        <f t="shared" si="3"/>
        <v/>
      </c>
      <c r="U48" s="35" t="s">
        <v>61</v>
      </c>
      <c r="V48" s="35">
        <v>0</v>
      </c>
      <c r="W48" s="35">
        <v>1</v>
      </c>
      <c r="X48" s="35">
        <v>0</v>
      </c>
      <c r="Y48" s="32" t="str">
        <f t="shared" si="4"/>
        <v>Single</v>
      </c>
      <c r="Z48" s="35" t="s">
        <v>9</v>
      </c>
      <c r="AA48" s="35" t="s">
        <v>70</v>
      </c>
      <c r="AB48" s="35" t="s">
        <v>78</v>
      </c>
      <c r="AC48" s="35" t="s">
        <v>64</v>
      </c>
      <c r="AD48" s="35" t="s">
        <v>72</v>
      </c>
      <c r="AE48" s="35">
        <v>4</v>
      </c>
      <c r="AF48" s="35" t="s">
        <v>84</v>
      </c>
      <c r="AG48" s="15" t="s">
        <v>350</v>
      </c>
      <c r="AH48" s="39" t="s">
        <v>1192</v>
      </c>
      <c r="AI48" s="39" t="s">
        <v>1193</v>
      </c>
      <c r="AJ48" t="s">
        <v>1497</v>
      </c>
      <c r="AK48" t="s">
        <v>1520</v>
      </c>
      <c r="AL48" t="s">
        <v>1499</v>
      </c>
      <c r="AM48" s="69"/>
    </row>
    <row r="49" spans="1:39" ht="22.8" x14ac:dyDescent="0.3">
      <c r="A49" s="30">
        <v>3601</v>
      </c>
      <c r="B49" s="9"/>
      <c r="C49" s="36"/>
      <c r="D49" s="9"/>
      <c r="E49" s="9" t="s">
        <v>630</v>
      </c>
      <c r="F49" s="30" t="s">
        <v>313</v>
      </c>
      <c r="G49" s="31" t="s">
        <v>315</v>
      </c>
      <c r="H49" s="31" t="s">
        <v>315</v>
      </c>
      <c r="I49" s="31" t="s">
        <v>315</v>
      </c>
      <c r="J49" s="31" t="s">
        <v>315</v>
      </c>
      <c r="K49" s="31" t="s">
        <v>316</v>
      </c>
      <c r="L49" s="32" t="str">
        <f t="shared" si="0"/>
        <v>EXCLUDE</v>
      </c>
      <c r="M49" s="32" t="str">
        <f t="shared" si="1"/>
        <v>Non-English</v>
      </c>
      <c r="N49" s="33"/>
      <c r="O49" s="33"/>
      <c r="P49" s="34"/>
      <c r="Q49" s="34"/>
      <c r="R49" s="34"/>
      <c r="S49" s="32" t="str">
        <f t="shared" si="2"/>
        <v/>
      </c>
      <c r="T49" s="32" t="str">
        <f t="shared" si="3"/>
        <v/>
      </c>
      <c r="U49" s="35"/>
      <c r="V49" s="35"/>
      <c r="W49" s="35"/>
      <c r="X49" s="35"/>
      <c r="Y49" s="32" t="str">
        <f t="shared" si="4"/>
        <v/>
      </c>
      <c r="Z49" s="35"/>
      <c r="AA49" s="35"/>
      <c r="AB49" s="35"/>
      <c r="AC49" s="35"/>
      <c r="AD49" s="35"/>
      <c r="AE49" s="35"/>
      <c r="AF49" s="35"/>
      <c r="AG49" s="15" t="s">
        <v>351</v>
      </c>
      <c r="AH49" s="39"/>
      <c r="AI49" s="39"/>
      <c r="AM49" s="69"/>
    </row>
    <row r="50" spans="1:39" ht="68.400000000000006" x14ac:dyDescent="0.3">
      <c r="A50" s="30">
        <v>3911</v>
      </c>
      <c r="B50" s="9" t="s">
        <v>184</v>
      </c>
      <c r="C50" s="36">
        <v>2025</v>
      </c>
      <c r="D50" s="9"/>
      <c r="E50" s="9" t="s">
        <v>631</v>
      </c>
      <c r="F50" s="30" t="s">
        <v>314</v>
      </c>
      <c r="G50" s="31" t="s">
        <v>315</v>
      </c>
      <c r="H50" s="31" t="s">
        <v>315</v>
      </c>
      <c r="I50" s="31" t="s">
        <v>315</v>
      </c>
      <c r="J50" s="31" t="s">
        <v>315</v>
      </c>
      <c r="K50" s="31" t="s">
        <v>315</v>
      </c>
      <c r="L50" s="32" t="str">
        <f t="shared" si="0"/>
        <v>INCLUDE</v>
      </c>
      <c r="M50" s="32" t="str">
        <f t="shared" si="1"/>
        <v/>
      </c>
      <c r="N50" s="33" t="s">
        <v>49</v>
      </c>
      <c r="O50" s="33" t="s">
        <v>49</v>
      </c>
      <c r="P50" s="34" t="s">
        <v>49</v>
      </c>
      <c r="Q50" s="34" t="s">
        <v>49</v>
      </c>
      <c r="R50" s="34" t="s">
        <v>49</v>
      </c>
      <c r="S50" s="32" t="str">
        <f t="shared" si="2"/>
        <v>INCLUDE</v>
      </c>
      <c r="T50" s="32" t="str">
        <f t="shared" si="3"/>
        <v/>
      </c>
      <c r="U50" s="35" t="s">
        <v>68</v>
      </c>
      <c r="V50" s="35">
        <v>0</v>
      </c>
      <c r="W50" s="35">
        <v>1</v>
      </c>
      <c r="X50" s="35">
        <v>0</v>
      </c>
      <c r="Y50" s="32" t="str">
        <f t="shared" si="4"/>
        <v>Single</v>
      </c>
      <c r="Z50" s="35" t="s">
        <v>9</v>
      </c>
      <c r="AA50" s="35" t="s">
        <v>53</v>
      </c>
      <c r="AB50" s="35" t="s">
        <v>89</v>
      </c>
      <c r="AC50" s="35" t="s">
        <v>64</v>
      </c>
      <c r="AD50" s="35" t="s">
        <v>72</v>
      </c>
      <c r="AE50" s="35">
        <v>4</v>
      </c>
      <c r="AF50" s="35" t="s">
        <v>84</v>
      </c>
      <c r="AG50" s="15" t="s">
        <v>1103</v>
      </c>
      <c r="AH50" s="39" t="s">
        <v>1194</v>
      </c>
      <c r="AI50" s="39" t="s">
        <v>1195</v>
      </c>
      <c r="AJ50" t="s">
        <v>1497</v>
      </c>
      <c r="AK50" t="s">
        <v>1521</v>
      </c>
      <c r="AL50" t="s">
        <v>1499</v>
      </c>
      <c r="AM50" s="69"/>
    </row>
    <row r="51" spans="1:39" ht="57" x14ac:dyDescent="0.3">
      <c r="A51" s="30">
        <v>3953</v>
      </c>
      <c r="B51" s="9" t="s">
        <v>185</v>
      </c>
      <c r="C51" s="36">
        <v>2026</v>
      </c>
      <c r="D51" s="9"/>
      <c r="E51" s="9" t="s">
        <v>632</v>
      </c>
      <c r="F51" s="30" t="s">
        <v>314</v>
      </c>
      <c r="G51" s="31" t="s">
        <v>315</v>
      </c>
      <c r="H51" s="31" t="s">
        <v>315</v>
      </c>
      <c r="I51" s="31" t="s">
        <v>315</v>
      </c>
      <c r="J51" s="31" t="s">
        <v>315</v>
      </c>
      <c r="K51" s="31" t="s">
        <v>315</v>
      </c>
      <c r="L51" s="32" t="str">
        <f t="shared" si="0"/>
        <v>INCLUDE</v>
      </c>
      <c r="M51" s="32" t="str">
        <f t="shared" si="1"/>
        <v/>
      </c>
      <c r="N51" s="33" t="s">
        <v>49</v>
      </c>
      <c r="O51" s="33" t="s">
        <v>49</v>
      </c>
      <c r="P51" s="34" t="s">
        <v>49</v>
      </c>
      <c r="Q51" s="34" t="s">
        <v>49</v>
      </c>
      <c r="R51" s="34" t="s">
        <v>49</v>
      </c>
      <c r="S51" s="32" t="str">
        <f t="shared" si="2"/>
        <v>INCLUDE</v>
      </c>
      <c r="T51" s="32" t="str">
        <f t="shared" si="3"/>
        <v/>
      </c>
      <c r="U51" s="35" t="s">
        <v>68</v>
      </c>
      <c r="V51" s="35">
        <v>0</v>
      </c>
      <c r="W51" s="35">
        <v>1</v>
      </c>
      <c r="X51" s="35">
        <v>0</v>
      </c>
      <c r="Y51" s="32" t="str">
        <f t="shared" si="4"/>
        <v>Single</v>
      </c>
      <c r="Z51" s="35" t="s">
        <v>9</v>
      </c>
      <c r="AA51" s="35" t="s">
        <v>62</v>
      </c>
      <c r="AB51" s="35" t="s">
        <v>92</v>
      </c>
      <c r="AC51" s="35" t="s">
        <v>64</v>
      </c>
      <c r="AD51" s="35" t="s">
        <v>72</v>
      </c>
      <c r="AE51" s="35">
        <v>4</v>
      </c>
      <c r="AF51" s="35" t="s">
        <v>80</v>
      </c>
      <c r="AG51" s="15" t="s">
        <v>1104</v>
      </c>
      <c r="AH51" s="39" t="s">
        <v>1196</v>
      </c>
      <c r="AI51" s="39" t="s">
        <v>1197</v>
      </c>
      <c r="AJ51" t="s">
        <v>1496</v>
      </c>
      <c r="AK51" t="s">
        <v>1522</v>
      </c>
      <c r="AL51" t="s">
        <v>1500</v>
      </c>
      <c r="AM51" s="69"/>
    </row>
    <row r="52" spans="1:39" x14ac:dyDescent="0.3">
      <c r="A52" s="30">
        <v>3873</v>
      </c>
      <c r="B52" s="9"/>
      <c r="C52" s="36"/>
      <c r="D52" s="9"/>
      <c r="E52" s="9" t="s">
        <v>633</v>
      </c>
      <c r="F52" s="30" t="s">
        <v>313</v>
      </c>
      <c r="G52" s="31" t="s">
        <v>316</v>
      </c>
      <c r="H52" s="31" t="s">
        <v>315</v>
      </c>
      <c r="I52" s="31" t="s">
        <v>315</v>
      </c>
      <c r="J52" s="31" t="s">
        <v>315</v>
      </c>
      <c r="K52" s="31" t="s">
        <v>316</v>
      </c>
      <c r="L52" s="32" t="str">
        <f t="shared" si="0"/>
        <v>EXCLUDE</v>
      </c>
      <c r="M52" s="32" t="str">
        <f t="shared" si="1"/>
        <v>Wrong domain (non-AECO)</v>
      </c>
      <c r="N52" s="33"/>
      <c r="O52" s="33"/>
      <c r="P52" s="34"/>
      <c r="Q52" s="34"/>
      <c r="R52" s="34"/>
      <c r="S52" s="32" t="str">
        <f t="shared" si="2"/>
        <v/>
      </c>
      <c r="T52" s="32" t="str">
        <f t="shared" si="3"/>
        <v/>
      </c>
      <c r="U52" s="35"/>
      <c r="V52" s="35"/>
      <c r="W52" s="35"/>
      <c r="X52" s="35"/>
      <c r="Y52" s="32" t="str">
        <f t="shared" si="4"/>
        <v/>
      </c>
      <c r="Z52" s="35"/>
      <c r="AA52" s="35"/>
      <c r="AB52" s="35"/>
      <c r="AC52" s="35"/>
      <c r="AD52" s="35"/>
      <c r="AE52" s="35"/>
      <c r="AF52" s="35"/>
      <c r="AG52" s="15" t="s">
        <v>352</v>
      </c>
      <c r="AH52" s="39"/>
      <c r="AI52" s="39"/>
      <c r="AM52" s="69"/>
    </row>
    <row r="53" spans="1:39" ht="22.8" x14ac:dyDescent="0.3">
      <c r="A53" s="30">
        <v>3745</v>
      </c>
      <c r="B53" s="9"/>
      <c r="C53" s="36"/>
      <c r="D53" s="9"/>
      <c r="E53" s="9" t="s">
        <v>634</v>
      </c>
      <c r="F53" s="30" t="s">
        <v>313</v>
      </c>
      <c r="G53" s="31" t="s">
        <v>315</v>
      </c>
      <c r="H53" s="31" t="s">
        <v>315</v>
      </c>
      <c r="I53" s="31" t="s">
        <v>315</v>
      </c>
      <c r="J53" s="31" t="s">
        <v>315</v>
      </c>
      <c r="K53" s="31" t="s">
        <v>316</v>
      </c>
      <c r="L53" s="32" t="str">
        <f t="shared" si="0"/>
        <v>EXCLUDE</v>
      </c>
      <c r="M53" s="32" t="str">
        <f t="shared" si="1"/>
        <v>Non-English</v>
      </c>
      <c r="N53" s="33"/>
      <c r="O53" s="33"/>
      <c r="P53" s="34"/>
      <c r="Q53" s="34"/>
      <c r="R53" s="34"/>
      <c r="S53" s="32" t="str">
        <f t="shared" si="2"/>
        <v/>
      </c>
      <c r="T53" s="32" t="str">
        <f t="shared" si="3"/>
        <v/>
      </c>
      <c r="U53" s="35"/>
      <c r="V53" s="35"/>
      <c r="W53" s="35"/>
      <c r="X53" s="35"/>
      <c r="Y53" s="32" t="str">
        <f t="shared" si="4"/>
        <v/>
      </c>
      <c r="Z53" s="35"/>
      <c r="AA53" s="35"/>
      <c r="AB53" s="35"/>
      <c r="AC53" s="35"/>
      <c r="AD53" s="35"/>
      <c r="AE53" s="35"/>
      <c r="AF53" s="35"/>
      <c r="AG53" s="15" t="s">
        <v>353</v>
      </c>
      <c r="AH53" s="39"/>
      <c r="AI53" s="39"/>
      <c r="AM53" s="69"/>
    </row>
    <row r="54" spans="1:39" ht="22.8" x14ac:dyDescent="0.3">
      <c r="A54" s="30">
        <v>3509</v>
      </c>
      <c r="B54" s="9"/>
      <c r="C54" s="36"/>
      <c r="D54" s="9"/>
      <c r="E54" s="9" t="s">
        <v>635</v>
      </c>
      <c r="F54" s="30" t="s">
        <v>313</v>
      </c>
      <c r="G54" s="31" t="s">
        <v>315</v>
      </c>
      <c r="H54" s="31" t="s">
        <v>316</v>
      </c>
      <c r="I54" s="31" t="s">
        <v>315</v>
      </c>
      <c r="J54" s="31" t="s">
        <v>315</v>
      </c>
      <c r="K54" s="31" t="s">
        <v>315</v>
      </c>
      <c r="L54" s="32" t="str">
        <f t="shared" si="0"/>
        <v>EXCLUDE</v>
      </c>
      <c r="M54" s="32" t="str">
        <f t="shared" si="1"/>
        <v>Digital Twin not core / buzzword</v>
      </c>
      <c r="N54" s="33"/>
      <c r="O54" s="33"/>
      <c r="P54" s="34"/>
      <c r="Q54" s="34"/>
      <c r="R54" s="34"/>
      <c r="S54" s="32" t="str">
        <f t="shared" si="2"/>
        <v/>
      </c>
      <c r="T54" s="32" t="str">
        <f t="shared" si="3"/>
        <v/>
      </c>
      <c r="U54" s="35"/>
      <c r="V54" s="35"/>
      <c r="W54" s="35"/>
      <c r="X54" s="35"/>
      <c r="Y54" s="32" t="str">
        <f t="shared" si="4"/>
        <v/>
      </c>
      <c r="Z54" s="35"/>
      <c r="AA54" s="35"/>
      <c r="AB54" s="35"/>
      <c r="AC54" s="35"/>
      <c r="AD54" s="35"/>
      <c r="AE54" s="35"/>
      <c r="AF54" s="35"/>
      <c r="AG54" s="15" t="s">
        <v>354</v>
      </c>
      <c r="AH54" s="39"/>
      <c r="AI54" s="39"/>
      <c r="AM54" s="69"/>
    </row>
    <row r="55" spans="1:39" x14ac:dyDescent="0.3">
      <c r="A55" s="30">
        <v>3529</v>
      </c>
      <c r="B55" s="9"/>
      <c r="C55" s="36"/>
      <c r="D55" s="9"/>
      <c r="E55" s="9" t="s">
        <v>636</v>
      </c>
      <c r="F55" s="30" t="s">
        <v>313</v>
      </c>
      <c r="G55" s="31" t="s">
        <v>316</v>
      </c>
      <c r="H55" s="31" t="s">
        <v>315</v>
      </c>
      <c r="I55" s="31" t="s">
        <v>316</v>
      </c>
      <c r="J55" s="31" t="s">
        <v>315</v>
      </c>
      <c r="K55" s="31" t="s">
        <v>315</v>
      </c>
      <c r="L55" s="32" t="str">
        <f t="shared" si="0"/>
        <v>EXCLUDE</v>
      </c>
      <c r="M55" s="32" t="str">
        <f t="shared" si="1"/>
        <v>Wrong domain (non-AECO)</v>
      </c>
      <c r="N55" s="33"/>
      <c r="O55" s="33"/>
      <c r="P55" s="34"/>
      <c r="Q55" s="34"/>
      <c r="R55" s="34"/>
      <c r="S55" s="32" t="str">
        <f t="shared" si="2"/>
        <v/>
      </c>
      <c r="T55" s="32" t="str">
        <f t="shared" si="3"/>
        <v/>
      </c>
      <c r="U55" s="35"/>
      <c r="V55" s="35"/>
      <c r="W55" s="35"/>
      <c r="X55" s="35"/>
      <c r="Y55" s="32" t="str">
        <f t="shared" si="4"/>
        <v/>
      </c>
      <c r="Z55" s="35"/>
      <c r="AA55" s="35"/>
      <c r="AB55" s="35"/>
      <c r="AC55" s="35"/>
      <c r="AD55" s="35"/>
      <c r="AE55" s="35"/>
      <c r="AF55" s="35"/>
      <c r="AG55" s="15" t="s">
        <v>355</v>
      </c>
      <c r="AH55" s="39"/>
      <c r="AI55" s="39"/>
      <c r="AM55" s="69"/>
    </row>
    <row r="56" spans="1:39" ht="22.8" x14ac:dyDescent="0.3">
      <c r="A56" s="30">
        <v>3660</v>
      </c>
      <c r="B56" s="9"/>
      <c r="C56" s="36"/>
      <c r="D56" s="9"/>
      <c r="E56" s="9" t="s">
        <v>637</v>
      </c>
      <c r="F56" s="30" t="s">
        <v>313</v>
      </c>
      <c r="G56" s="31" t="s">
        <v>315</v>
      </c>
      <c r="H56" s="31" t="s">
        <v>316</v>
      </c>
      <c r="I56" s="31" t="s">
        <v>315</v>
      </c>
      <c r="J56" s="31" t="s">
        <v>315</v>
      </c>
      <c r="K56" s="31" t="s">
        <v>315</v>
      </c>
      <c r="L56" s="32" t="str">
        <f t="shared" si="0"/>
        <v>EXCLUDE</v>
      </c>
      <c r="M56" s="32" t="str">
        <f t="shared" si="1"/>
        <v>Digital Twin not core / buzzword</v>
      </c>
      <c r="N56" s="33"/>
      <c r="O56" s="33"/>
      <c r="P56" s="34"/>
      <c r="Q56" s="34"/>
      <c r="R56" s="34"/>
      <c r="S56" s="32" t="str">
        <f t="shared" si="2"/>
        <v/>
      </c>
      <c r="T56" s="32" t="str">
        <f t="shared" si="3"/>
        <v/>
      </c>
      <c r="U56" s="35"/>
      <c r="V56" s="35"/>
      <c r="W56" s="35"/>
      <c r="X56" s="35"/>
      <c r="Y56" s="32" t="str">
        <f t="shared" si="4"/>
        <v/>
      </c>
      <c r="Z56" s="35"/>
      <c r="AA56" s="35"/>
      <c r="AB56" s="35"/>
      <c r="AC56" s="35"/>
      <c r="AD56" s="35"/>
      <c r="AE56" s="35"/>
      <c r="AF56" s="35"/>
      <c r="AG56" s="15" t="s">
        <v>356</v>
      </c>
      <c r="AH56" s="39"/>
      <c r="AI56" s="39"/>
      <c r="AM56" s="69"/>
    </row>
    <row r="57" spans="1:39" ht="22.8" x14ac:dyDescent="0.3">
      <c r="A57" s="30">
        <v>3931</v>
      </c>
      <c r="B57" s="9"/>
      <c r="C57" s="36"/>
      <c r="D57" s="9"/>
      <c r="E57" s="9" t="s">
        <v>637</v>
      </c>
      <c r="F57" s="30" t="s">
        <v>314</v>
      </c>
      <c r="G57" s="31" t="s">
        <v>315</v>
      </c>
      <c r="H57" s="31" t="s">
        <v>316</v>
      </c>
      <c r="I57" s="31" t="s">
        <v>315</v>
      </c>
      <c r="J57" s="31" t="s">
        <v>315</v>
      </c>
      <c r="K57" s="31" t="s">
        <v>315</v>
      </c>
      <c r="L57" s="32" t="str">
        <f t="shared" si="0"/>
        <v>EXCLUDE</v>
      </c>
      <c r="M57" s="32" t="str">
        <f t="shared" si="1"/>
        <v>Digital Twin not core / buzzword</v>
      </c>
      <c r="N57" s="33"/>
      <c r="O57" s="33"/>
      <c r="P57" s="34"/>
      <c r="Q57" s="34"/>
      <c r="R57" s="34"/>
      <c r="S57" s="32" t="str">
        <f t="shared" si="2"/>
        <v/>
      </c>
      <c r="T57" s="32" t="str">
        <f t="shared" si="3"/>
        <v/>
      </c>
      <c r="U57" s="35"/>
      <c r="V57" s="35"/>
      <c r="W57" s="35"/>
      <c r="X57" s="35"/>
      <c r="Y57" s="32" t="str">
        <f t="shared" si="4"/>
        <v/>
      </c>
      <c r="Z57" s="35"/>
      <c r="AA57" s="35"/>
      <c r="AB57" s="35"/>
      <c r="AC57" s="35"/>
      <c r="AD57" s="35"/>
      <c r="AE57" s="35"/>
      <c r="AF57" s="35"/>
      <c r="AG57" s="15" t="s">
        <v>357</v>
      </c>
      <c r="AH57" s="39"/>
      <c r="AI57" s="39"/>
      <c r="AM57" s="69"/>
    </row>
    <row r="58" spans="1:39" ht="22.8" x14ac:dyDescent="0.3">
      <c r="A58" s="30">
        <v>3679</v>
      </c>
      <c r="B58" s="9"/>
      <c r="C58" s="36"/>
      <c r="D58" s="9"/>
      <c r="E58" s="9" t="s">
        <v>638</v>
      </c>
      <c r="F58" s="30" t="s">
        <v>313</v>
      </c>
      <c r="G58" s="31" t="s">
        <v>316</v>
      </c>
      <c r="H58" s="31" t="s">
        <v>316</v>
      </c>
      <c r="I58" s="31" t="s">
        <v>316</v>
      </c>
      <c r="J58" s="31" t="s">
        <v>315</v>
      </c>
      <c r="K58" s="31" t="s">
        <v>315</v>
      </c>
      <c r="L58" s="32" t="str">
        <f t="shared" si="0"/>
        <v>EXCLUDE</v>
      </c>
      <c r="M58" s="32" t="str">
        <f t="shared" si="1"/>
        <v>Wrong domain (non-AECO)</v>
      </c>
      <c r="N58" s="33"/>
      <c r="O58" s="33"/>
      <c r="P58" s="34"/>
      <c r="Q58" s="34"/>
      <c r="R58" s="34"/>
      <c r="S58" s="32" t="str">
        <f t="shared" si="2"/>
        <v/>
      </c>
      <c r="T58" s="32" t="str">
        <f t="shared" si="3"/>
        <v/>
      </c>
      <c r="U58" s="35"/>
      <c r="V58" s="35"/>
      <c r="W58" s="35"/>
      <c r="X58" s="35"/>
      <c r="Y58" s="32" t="str">
        <f t="shared" si="4"/>
        <v/>
      </c>
      <c r="Z58" s="35"/>
      <c r="AA58" s="35"/>
      <c r="AB58" s="35"/>
      <c r="AC58" s="35"/>
      <c r="AD58" s="35"/>
      <c r="AE58" s="35"/>
      <c r="AF58" s="35"/>
      <c r="AG58" s="15" t="s">
        <v>358</v>
      </c>
      <c r="AH58" s="39"/>
      <c r="AI58" s="39"/>
      <c r="AM58" s="69"/>
    </row>
    <row r="59" spans="1:39" ht="22.8" x14ac:dyDescent="0.3">
      <c r="A59" s="30">
        <v>3651</v>
      </c>
      <c r="B59" s="9"/>
      <c r="C59" s="36"/>
      <c r="D59" s="9"/>
      <c r="E59" s="9" t="s">
        <v>639</v>
      </c>
      <c r="F59" s="30" t="s">
        <v>313</v>
      </c>
      <c r="G59" s="31" t="s">
        <v>315</v>
      </c>
      <c r="H59" s="31" t="s">
        <v>316</v>
      </c>
      <c r="I59" s="31" t="s">
        <v>315</v>
      </c>
      <c r="J59" s="31" t="s">
        <v>315</v>
      </c>
      <c r="K59" s="31" t="s">
        <v>315</v>
      </c>
      <c r="L59" s="32" t="str">
        <f t="shared" si="0"/>
        <v>EXCLUDE</v>
      </c>
      <c r="M59" s="32" t="str">
        <f t="shared" si="1"/>
        <v>Digital Twin not core / buzzword</v>
      </c>
      <c r="N59" s="33"/>
      <c r="O59" s="33"/>
      <c r="P59" s="34"/>
      <c r="Q59" s="34"/>
      <c r="R59" s="34"/>
      <c r="S59" s="32" t="str">
        <f t="shared" si="2"/>
        <v/>
      </c>
      <c r="T59" s="32" t="str">
        <f t="shared" si="3"/>
        <v/>
      </c>
      <c r="U59" s="35"/>
      <c r="V59" s="35"/>
      <c r="W59" s="35"/>
      <c r="X59" s="35"/>
      <c r="Y59" s="32" t="str">
        <f t="shared" si="4"/>
        <v/>
      </c>
      <c r="Z59" s="35"/>
      <c r="AA59" s="35"/>
      <c r="AB59" s="35"/>
      <c r="AC59" s="35"/>
      <c r="AD59" s="35"/>
      <c r="AE59" s="35"/>
      <c r="AF59" s="35"/>
      <c r="AG59" s="15" t="s">
        <v>359</v>
      </c>
      <c r="AH59" s="39"/>
      <c r="AI59" s="39"/>
      <c r="AM59" s="69"/>
    </row>
    <row r="60" spans="1:39" ht="22.8" x14ac:dyDescent="0.3">
      <c r="A60" s="30">
        <v>3830</v>
      </c>
      <c r="B60" s="9"/>
      <c r="C60" s="36"/>
      <c r="D60" s="9"/>
      <c r="E60" s="9" t="s">
        <v>640</v>
      </c>
      <c r="F60" s="30" t="s">
        <v>313</v>
      </c>
      <c r="G60" s="31" t="s">
        <v>315</v>
      </c>
      <c r="H60" s="31" t="s">
        <v>316</v>
      </c>
      <c r="I60" s="31" t="s">
        <v>315</v>
      </c>
      <c r="J60" s="31" t="s">
        <v>315</v>
      </c>
      <c r="K60" s="31" t="s">
        <v>315</v>
      </c>
      <c r="L60" s="32" t="str">
        <f t="shared" si="0"/>
        <v>EXCLUDE</v>
      </c>
      <c r="M60" s="32" t="str">
        <f t="shared" si="1"/>
        <v>Digital Twin not core / buzzword</v>
      </c>
      <c r="N60" s="33"/>
      <c r="O60" s="33"/>
      <c r="P60" s="34"/>
      <c r="Q60" s="34"/>
      <c r="R60" s="34"/>
      <c r="S60" s="32" t="str">
        <f t="shared" si="2"/>
        <v/>
      </c>
      <c r="T60" s="32" t="str">
        <f t="shared" si="3"/>
        <v/>
      </c>
      <c r="U60" s="35"/>
      <c r="V60" s="35"/>
      <c r="W60" s="35"/>
      <c r="X60" s="35"/>
      <c r="Y60" s="32" t="str">
        <f t="shared" si="4"/>
        <v/>
      </c>
      <c r="Z60" s="35"/>
      <c r="AA60" s="35"/>
      <c r="AB60" s="35"/>
      <c r="AC60" s="35"/>
      <c r="AD60" s="35"/>
      <c r="AE60" s="35"/>
      <c r="AF60" s="35"/>
      <c r="AG60" s="15" t="s">
        <v>360</v>
      </c>
      <c r="AH60" s="39"/>
      <c r="AI60" s="39"/>
      <c r="AM60" s="69"/>
    </row>
    <row r="61" spans="1:39" ht="22.8" x14ac:dyDescent="0.3">
      <c r="A61" s="30">
        <v>3793</v>
      </c>
      <c r="B61" s="9"/>
      <c r="C61" s="36"/>
      <c r="D61" s="9"/>
      <c r="E61" s="9" t="s">
        <v>641</v>
      </c>
      <c r="F61" s="30" t="s">
        <v>313</v>
      </c>
      <c r="G61" s="31" t="s">
        <v>315</v>
      </c>
      <c r="H61" s="31" t="s">
        <v>316</v>
      </c>
      <c r="I61" s="31" t="s">
        <v>315</v>
      </c>
      <c r="J61" s="31" t="s">
        <v>315</v>
      </c>
      <c r="K61" s="31" t="s">
        <v>315</v>
      </c>
      <c r="L61" s="32" t="str">
        <f t="shared" si="0"/>
        <v>EXCLUDE</v>
      </c>
      <c r="M61" s="32" t="str">
        <f t="shared" si="1"/>
        <v>Digital Twin not core / buzzword</v>
      </c>
      <c r="N61" s="33"/>
      <c r="O61" s="33"/>
      <c r="P61" s="34"/>
      <c r="Q61" s="34"/>
      <c r="R61" s="34"/>
      <c r="S61" s="32" t="str">
        <f t="shared" si="2"/>
        <v/>
      </c>
      <c r="T61" s="32" t="str">
        <f t="shared" si="3"/>
        <v/>
      </c>
      <c r="U61" s="35"/>
      <c r="V61" s="35"/>
      <c r="W61" s="35"/>
      <c r="X61" s="35"/>
      <c r="Y61" s="32" t="str">
        <f t="shared" si="4"/>
        <v/>
      </c>
      <c r="Z61" s="35"/>
      <c r="AA61" s="35"/>
      <c r="AB61" s="35"/>
      <c r="AC61" s="35"/>
      <c r="AD61" s="35"/>
      <c r="AE61" s="35"/>
      <c r="AF61" s="35"/>
      <c r="AG61" s="15" t="s">
        <v>361</v>
      </c>
      <c r="AH61" s="39"/>
      <c r="AI61" s="39"/>
      <c r="AM61" s="69"/>
    </row>
    <row r="62" spans="1:39" ht="91.2" x14ac:dyDescent="0.3">
      <c r="A62" s="30">
        <v>3802</v>
      </c>
      <c r="B62" s="9" t="s">
        <v>186</v>
      </c>
      <c r="C62" s="36">
        <v>2022</v>
      </c>
      <c r="D62" s="9"/>
      <c r="E62" s="9" t="s">
        <v>642</v>
      </c>
      <c r="F62" s="30" t="s">
        <v>313</v>
      </c>
      <c r="G62" s="31" t="s">
        <v>315</v>
      </c>
      <c r="H62" s="31" t="s">
        <v>315</v>
      </c>
      <c r="I62" s="31" t="s">
        <v>315</v>
      </c>
      <c r="J62" s="31" t="s">
        <v>315</v>
      </c>
      <c r="K62" s="31" t="s">
        <v>315</v>
      </c>
      <c r="L62" s="32" t="str">
        <f t="shared" si="0"/>
        <v>INCLUDE</v>
      </c>
      <c r="M62" s="32" t="str">
        <f t="shared" si="1"/>
        <v/>
      </c>
      <c r="N62" s="33" t="s">
        <v>49</v>
      </c>
      <c r="O62" s="33" t="s">
        <v>49</v>
      </c>
      <c r="P62" s="34" t="s">
        <v>49</v>
      </c>
      <c r="Q62" s="34" t="s">
        <v>49</v>
      </c>
      <c r="R62" s="34" t="s">
        <v>49</v>
      </c>
      <c r="S62" s="32" t="str">
        <f t="shared" si="2"/>
        <v>INCLUDE</v>
      </c>
      <c r="T62" s="32" t="str">
        <f t="shared" si="3"/>
        <v/>
      </c>
      <c r="U62" s="35" t="s">
        <v>61</v>
      </c>
      <c r="V62" s="35">
        <v>0</v>
      </c>
      <c r="W62" s="35">
        <v>0</v>
      </c>
      <c r="X62" s="35">
        <v>1</v>
      </c>
      <c r="Y62" s="32" t="str">
        <f t="shared" si="4"/>
        <v>Single</v>
      </c>
      <c r="Z62" s="35" t="s">
        <v>9</v>
      </c>
      <c r="AA62" s="35" t="s">
        <v>53</v>
      </c>
      <c r="AB62" s="35" t="s">
        <v>73</v>
      </c>
      <c r="AC62" s="35" t="s">
        <v>64</v>
      </c>
      <c r="AD62" s="35" t="s">
        <v>72</v>
      </c>
      <c r="AE62" s="35">
        <v>4</v>
      </c>
      <c r="AF62" s="35" t="s">
        <v>84</v>
      </c>
      <c r="AG62" s="15" t="s">
        <v>362</v>
      </c>
      <c r="AH62" s="39" t="s">
        <v>1198</v>
      </c>
      <c r="AI62" s="39" t="s">
        <v>1199</v>
      </c>
      <c r="AJ62" t="s">
        <v>1497</v>
      </c>
      <c r="AK62" t="s">
        <v>1523</v>
      </c>
      <c r="AL62" t="s">
        <v>1499</v>
      </c>
      <c r="AM62" s="69"/>
    </row>
    <row r="63" spans="1:39" ht="22.8" x14ac:dyDescent="0.3">
      <c r="A63" s="30">
        <v>4007</v>
      </c>
      <c r="B63" s="9"/>
      <c r="C63" s="36"/>
      <c r="D63" s="9"/>
      <c r="E63" s="9" t="s">
        <v>643</v>
      </c>
      <c r="F63" s="30" t="s">
        <v>314</v>
      </c>
      <c r="G63" s="31" t="s">
        <v>315</v>
      </c>
      <c r="H63" s="31" t="s">
        <v>316</v>
      </c>
      <c r="I63" s="31" t="s">
        <v>315</v>
      </c>
      <c r="J63" s="31" t="s">
        <v>315</v>
      </c>
      <c r="K63" s="31" t="s">
        <v>315</v>
      </c>
      <c r="L63" s="32" t="str">
        <f t="shared" si="0"/>
        <v>EXCLUDE</v>
      </c>
      <c r="M63" s="32" t="str">
        <f t="shared" si="1"/>
        <v>Digital Twin not core / buzzword</v>
      </c>
      <c r="N63" s="33"/>
      <c r="O63" s="33"/>
      <c r="P63" s="34"/>
      <c r="Q63" s="34"/>
      <c r="R63" s="34"/>
      <c r="S63" s="32" t="str">
        <f t="shared" si="2"/>
        <v/>
      </c>
      <c r="T63" s="32" t="str">
        <f t="shared" si="3"/>
        <v/>
      </c>
      <c r="U63" s="35"/>
      <c r="V63" s="35"/>
      <c r="W63" s="35"/>
      <c r="X63" s="35"/>
      <c r="Y63" s="32" t="str">
        <f t="shared" si="4"/>
        <v/>
      </c>
      <c r="Z63" s="35"/>
      <c r="AA63" s="35"/>
      <c r="AB63" s="35"/>
      <c r="AC63" s="35"/>
      <c r="AD63" s="35"/>
      <c r="AE63" s="35"/>
      <c r="AF63" s="35"/>
      <c r="AG63" s="15" t="s">
        <v>363</v>
      </c>
      <c r="AH63" s="39"/>
      <c r="AI63" s="39"/>
      <c r="AM63" s="69"/>
    </row>
    <row r="64" spans="1:39" ht="22.8" x14ac:dyDescent="0.3">
      <c r="A64" s="30">
        <v>3708</v>
      </c>
      <c r="B64" s="9"/>
      <c r="C64" s="36"/>
      <c r="D64" s="9"/>
      <c r="E64" s="9" t="s">
        <v>644</v>
      </c>
      <c r="F64" s="30" t="s">
        <v>313</v>
      </c>
      <c r="G64" s="31" t="s">
        <v>316</v>
      </c>
      <c r="H64" s="31" t="s">
        <v>316</v>
      </c>
      <c r="I64" s="31" t="s">
        <v>316</v>
      </c>
      <c r="J64" s="31" t="s">
        <v>315</v>
      </c>
      <c r="K64" s="31" t="s">
        <v>315</v>
      </c>
      <c r="L64" s="32" t="str">
        <f t="shared" si="0"/>
        <v>EXCLUDE</v>
      </c>
      <c r="M64" s="32" t="str">
        <f t="shared" si="1"/>
        <v>Wrong domain (non-AECO)</v>
      </c>
      <c r="N64" s="33"/>
      <c r="O64" s="33"/>
      <c r="P64" s="34"/>
      <c r="Q64" s="34"/>
      <c r="R64" s="34"/>
      <c r="S64" s="32" t="str">
        <f t="shared" si="2"/>
        <v/>
      </c>
      <c r="T64" s="32" t="str">
        <f t="shared" si="3"/>
        <v/>
      </c>
      <c r="U64" s="35"/>
      <c r="V64" s="35"/>
      <c r="W64" s="35"/>
      <c r="X64" s="35"/>
      <c r="Y64" s="32" t="str">
        <f t="shared" si="4"/>
        <v/>
      </c>
      <c r="Z64" s="35"/>
      <c r="AA64" s="35"/>
      <c r="AB64" s="35"/>
      <c r="AC64" s="35"/>
      <c r="AD64" s="35"/>
      <c r="AE64" s="35"/>
      <c r="AF64" s="35"/>
      <c r="AG64" s="15" t="s">
        <v>364</v>
      </c>
      <c r="AH64" s="39"/>
      <c r="AI64" s="39"/>
      <c r="AM64" s="69"/>
    </row>
    <row r="65" spans="1:39" ht="22.8" x14ac:dyDescent="0.3">
      <c r="A65" s="30">
        <v>3631</v>
      </c>
      <c r="B65" s="9"/>
      <c r="C65" s="36"/>
      <c r="D65" s="9"/>
      <c r="E65" s="9" t="s">
        <v>645</v>
      </c>
      <c r="F65" s="30" t="s">
        <v>313</v>
      </c>
      <c r="G65" s="31" t="s">
        <v>316</v>
      </c>
      <c r="H65" s="31" t="s">
        <v>315</v>
      </c>
      <c r="I65" s="31" t="s">
        <v>316</v>
      </c>
      <c r="J65" s="31" t="s">
        <v>315</v>
      </c>
      <c r="K65" s="31" t="s">
        <v>315</v>
      </c>
      <c r="L65" s="32" t="str">
        <f t="shared" si="0"/>
        <v>EXCLUDE</v>
      </c>
      <c r="M65" s="32" t="str">
        <f t="shared" si="1"/>
        <v>Wrong domain (non-AECO)</v>
      </c>
      <c r="N65" s="33"/>
      <c r="O65" s="33"/>
      <c r="P65" s="34"/>
      <c r="Q65" s="34"/>
      <c r="R65" s="34"/>
      <c r="S65" s="32" t="str">
        <f t="shared" si="2"/>
        <v/>
      </c>
      <c r="T65" s="32" t="str">
        <f t="shared" si="3"/>
        <v/>
      </c>
      <c r="U65" s="35"/>
      <c r="V65" s="35"/>
      <c r="W65" s="35"/>
      <c r="X65" s="35"/>
      <c r="Y65" s="32" t="str">
        <f t="shared" si="4"/>
        <v/>
      </c>
      <c r="Z65" s="35"/>
      <c r="AA65" s="35"/>
      <c r="AB65" s="35"/>
      <c r="AC65" s="35"/>
      <c r="AD65" s="35"/>
      <c r="AE65" s="35"/>
      <c r="AF65" s="35"/>
      <c r="AG65" s="15" t="s">
        <v>365</v>
      </c>
      <c r="AH65" s="39"/>
      <c r="AI65" s="39"/>
      <c r="AM65" s="69"/>
    </row>
    <row r="66" spans="1:39" ht="91.2" x14ac:dyDescent="0.3">
      <c r="A66" s="30">
        <v>3626</v>
      </c>
      <c r="B66" s="9" t="s">
        <v>187</v>
      </c>
      <c r="C66" s="36">
        <v>2026</v>
      </c>
      <c r="D66" s="9"/>
      <c r="E66" s="9" t="s">
        <v>646</v>
      </c>
      <c r="F66" s="30" t="s">
        <v>313</v>
      </c>
      <c r="G66" s="31" t="s">
        <v>315</v>
      </c>
      <c r="H66" s="31" t="s">
        <v>315</v>
      </c>
      <c r="I66" s="31" t="s">
        <v>315</v>
      </c>
      <c r="J66" s="31" t="s">
        <v>315</v>
      </c>
      <c r="K66" s="31" t="s">
        <v>315</v>
      </c>
      <c r="L66" s="32" t="str">
        <f t="shared" ref="L66:L129" si="5">IF(COUNTBLANK(G66:K66)=5,"",IF(COUNTIF(G66:K66,"No")&gt;0,"EXCLUDE","INCLUDE"))</f>
        <v>INCLUDE</v>
      </c>
      <c r="M66" s="32" t="str">
        <f t="shared" ref="M66:M129" si="6">IF(L66&lt;&gt;"EXCLUDE","",IF(G66="No","Wrong domain (non-AECO)",IF(H66="No","Digital Twin not core / buzzword",IF(I66="No","No Design for Safety/Quality/PtD",IF(J66="No","Wrong publication type",IF(K66="No","Non-English",""))))))</f>
        <v/>
      </c>
      <c r="N66" s="33" t="s">
        <v>49</v>
      </c>
      <c r="O66" s="33" t="s">
        <v>49</v>
      </c>
      <c r="P66" s="34" t="s">
        <v>49</v>
      </c>
      <c r="Q66" s="34" t="s">
        <v>49</v>
      </c>
      <c r="R66" s="34" t="s">
        <v>49</v>
      </c>
      <c r="S66" s="32" t="str">
        <f t="shared" ref="S66:S129" si="7">IF(N66&lt;&gt;"Yes","",IF(COUNTBLANK(P66:R66)=3,"",IF(COUNTIF(P66:R66,"No")&gt;0,"EXCLUDE","INCLUDE")))</f>
        <v>INCLUDE</v>
      </c>
      <c r="T66" s="32" t="str">
        <f t="shared" ref="T66:T129" si="8">IF(S66&lt;&gt;"EXCLUDE","",IF(P66="No","Digital Twin mentioned only, not the subject",IF(Q66="No","No Design for Safety/Quality in full text",IF(R66="No","Methodology not codable",""))))</f>
        <v/>
      </c>
      <c r="U66" s="35" t="s">
        <v>61</v>
      </c>
      <c r="V66" s="35">
        <v>0</v>
      </c>
      <c r="W66" s="35">
        <v>0</v>
      </c>
      <c r="X66" s="35">
        <v>1</v>
      </c>
      <c r="Y66" s="32" t="str">
        <f t="shared" ref="Y66:Y129" si="9">IF(SUM(V66:X66)=0,"",IF(SUM(V66:X66)&gt;=2,"Multi","Single"))</f>
        <v>Single</v>
      </c>
      <c r="Z66" s="35" t="s">
        <v>9</v>
      </c>
      <c r="AA66" s="35" t="s">
        <v>53</v>
      </c>
      <c r="AB66" s="35" t="s">
        <v>73</v>
      </c>
      <c r="AC66" s="35" t="s">
        <v>64</v>
      </c>
      <c r="AD66" s="35" t="s">
        <v>72</v>
      </c>
      <c r="AE66" s="35">
        <v>4</v>
      </c>
      <c r="AF66" s="35" t="s">
        <v>84</v>
      </c>
      <c r="AG66" s="15" t="s">
        <v>366</v>
      </c>
      <c r="AH66" s="39" t="s">
        <v>1200</v>
      </c>
      <c r="AI66" s="39" t="s">
        <v>1201</v>
      </c>
      <c r="AJ66" t="s">
        <v>1495</v>
      </c>
      <c r="AK66" t="s">
        <v>1524</v>
      </c>
      <c r="AL66" t="s">
        <v>1500</v>
      </c>
      <c r="AM66" s="69"/>
    </row>
    <row r="67" spans="1:39" ht="91.2" x14ac:dyDescent="0.3">
      <c r="A67" s="30">
        <v>3967</v>
      </c>
      <c r="B67" s="9" t="s">
        <v>188</v>
      </c>
      <c r="C67" s="36">
        <v>2025</v>
      </c>
      <c r="D67" s="9"/>
      <c r="E67" s="9" t="s">
        <v>647</v>
      </c>
      <c r="F67" s="30" t="s">
        <v>314</v>
      </c>
      <c r="G67" s="31" t="s">
        <v>315</v>
      </c>
      <c r="H67" s="31" t="s">
        <v>315</v>
      </c>
      <c r="I67" s="31" t="s">
        <v>315</v>
      </c>
      <c r="J67" s="31" t="s">
        <v>315</v>
      </c>
      <c r="K67" s="31" t="s">
        <v>315</v>
      </c>
      <c r="L67" s="32" t="str">
        <f t="shared" si="5"/>
        <v>INCLUDE</v>
      </c>
      <c r="M67" s="32" t="str">
        <f t="shared" si="6"/>
        <v/>
      </c>
      <c r="N67" s="33" t="s">
        <v>49</v>
      </c>
      <c r="O67" s="33" t="s">
        <v>49</v>
      </c>
      <c r="P67" s="34" t="s">
        <v>49</v>
      </c>
      <c r="Q67" s="34" t="s">
        <v>49</v>
      </c>
      <c r="R67" s="34" t="s">
        <v>49</v>
      </c>
      <c r="S67" s="32" t="str">
        <f t="shared" si="7"/>
        <v>INCLUDE</v>
      </c>
      <c r="T67" s="32" t="str">
        <f t="shared" si="8"/>
        <v/>
      </c>
      <c r="U67" s="35" t="s">
        <v>61</v>
      </c>
      <c r="V67" s="35">
        <v>0</v>
      </c>
      <c r="W67" s="35">
        <v>1</v>
      </c>
      <c r="X67" s="35">
        <v>0</v>
      </c>
      <c r="Y67" s="32" t="str">
        <f t="shared" si="9"/>
        <v>Single</v>
      </c>
      <c r="Z67" s="35" t="s">
        <v>69</v>
      </c>
      <c r="AA67" s="35" t="s">
        <v>53</v>
      </c>
      <c r="AB67" s="35" t="s">
        <v>92</v>
      </c>
      <c r="AC67" s="35" t="s">
        <v>64</v>
      </c>
      <c r="AD67" s="35" t="s">
        <v>72</v>
      </c>
      <c r="AE67" s="35">
        <v>3</v>
      </c>
      <c r="AF67" s="35" t="s">
        <v>84</v>
      </c>
      <c r="AG67" s="15" t="s">
        <v>1105</v>
      </c>
      <c r="AH67" s="39" t="s">
        <v>1202</v>
      </c>
      <c r="AI67" s="39" t="s">
        <v>1203</v>
      </c>
      <c r="AJ67" t="s">
        <v>82</v>
      </c>
      <c r="AK67" t="s">
        <v>1525</v>
      </c>
      <c r="AL67" t="s">
        <v>1499</v>
      </c>
      <c r="AM67" s="69"/>
    </row>
    <row r="68" spans="1:39" ht="79.8" x14ac:dyDescent="0.3">
      <c r="A68" s="30">
        <v>4036</v>
      </c>
      <c r="B68" s="9" t="s">
        <v>188</v>
      </c>
      <c r="C68" s="36">
        <v>2025</v>
      </c>
      <c r="D68" s="9"/>
      <c r="E68" s="9" t="s">
        <v>648</v>
      </c>
      <c r="F68" s="30" t="s">
        <v>314</v>
      </c>
      <c r="G68" s="31" t="s">
        <v>315</v>
      </c>
      <c r="H68" s="31" t="s">
        <v>315</v>
      </c>
      <c r="I68" s="31" t="s">
        <v>315</v>
      </c>
      <c r="J68" s="31" t="s">
        <v>315</v>
      </c>
      <c r="K68" s="31" t="s">
        <v>315</v>
      </c>
      <c r="L68" s="32" t="str">
        <f t="shared" si="5"/>
        <v>INCLUDE</v>
      </c>
      <c r="M68" s="32" t="str">
        <f t="shared" si="6"/>
        <v/>
      </c>
      <c r="N68" s="33" t="s">
        <v>49</v>
      </c>
      <c r="O68" s="33" t="s">
        <v>49</v>
      </c>
      <c r="P68" s="34" t="s">
        <v>49</v>
      </c>
      <c r="Q68" s="34" t="s">
        <v>49</v>
      </c>
      <c r="R68" s="34" t="s">
        <v>49</v>
      </c>
      <c r="S68" s="32" t="str">
        <f t="shared" si="7"/>
        <v>INCLUDE</v>
      </c>
      <c r="T68" s="32" t="str">
        <f t="shared" si="8"/>
        <v/>
      </c>
      <c r="U68" s="35" t="s">
        <v>52</v>
      </c>
      <c r="V68" s="35">
        <v>0</v>
      </c>
      <c r="W68" s="35">
        <v>0</v>
      </c>
      <c r="X68" s="35">
        <v>1</v>
      </c>
      <c r="Y68" s="32" t="str">
        <f t="shared" si="9"/>
        <v>Single</v>
      </c>
      <c r="Z68" s="35" t="s">
        <v>9</v>
      </c>
      <c r="AA68" s="35" t="s">
        <v>53</v>
      </c>
      <c r="AB68" s="35" t="s">
        <v>91</v>
      </c>
      <c r="AC68" s="35" t="s">
        <v>64</v>
      </c>
      <c r="AD68" s="35" t="s">
        <v>56</v>
      </c>
      <c r="AE68" s="35">
        <v>3</v>
      </c>
      <c r="AF68" s="35" t="s">
        <v>57</v>
      </c>
      <c r="AG68" s="15" t="s">
        <v>367</v>
      </c>
      <c r="AH68" s="39" t="s">
        <v>1204</v>
      </c>
      <c r="AI68" s="39" t="s">
        <v>1205</v>
      </c>
      <c r="AJ68" t="s">
        <v>82</v>
      </c>
      <c r="AK68" t="s">
        <v>1526</v>
      </c>
      <c r="AL68" t="s">
        <v>1499</v>
      </c>
      <c r="AM68" s="69"/>
    </row>
    <row r="69" spans="1:39" ht="114" x14ac:dyDescent="0.3">
      <c r="A69" s="30">
        <v>3760</v>
      </c>
      <c r="B69" s="9" t="s">
        <v>189</v>
      </c>
      <c r="C69" s="36">
        <v>2026</v>
      </c>
      <c r="D69" s="9"/>
      <c r="E69" s="9" t="s">
        <v>649</v>
      </c>
      <c r="F69" s="30" t="s">
        <v>313</v>
      </c>
      <c r="G69" s="31" t="s">
        <v>315</v>
      </c>
      <c r="H69" s="31" t="s">
        <v>315</v>
      </c>
      <c r="I69" s="31" t="s">
        <v>315</v>
      </c>
      <c r="J69" s="31" t="s">
        <v>315</v>
      </c>
      <c r="K69" s="31" t="s">
        <v>315</v>
      </c>
      <c r="L69" s="32" t="str">
        <f t="shared" si="5"/>
        <v>INCLUDE</v>
      </c>
      <c r="M69" s="32" t="str">
        <f t="shared" si="6"/>
        <v/>
      </c>
      <c r="N69" s="33" t="s">
        <v>49</v>
      </c>
      <c r="O69" s="33" t="s">
        <v>49</v>
      </c>
      <c r="P69" s="34" t="s">
        <v>49</v>
      </c>
      <c r="Q69" s="34" t="s">
        <v>49</v>
      </c>
      <c r="R69" s="34" t="s">
        <v>49</v>
      </c>
      <c r="S69" s="32" t="str">
        <f t="shared" si="7"/>
        <v>INCLUDE</v>
      </c>
      <c r="T69" s="32" t="str">
        <f t="shared" si="8"/>
        <v/>
      </c>
      <c r="U69" s="35" t="s">
        <v>68</v>
      </c>
      <c r="V69" s="35">
        <v>0</v>
      </c>
      <c r="W69" s="35">
        <v>1</v>
      </c>
      <c r="X69" s="35">
        <v>0</v>
      </c>
      <c r="Y69" s="32" t="str">
        <f t="shared" si="9"/>
        <v>Single</v>
      </c>
      <c r="Z69" s="35" t="s">
        <v>9</v>
      </c>
      <c r="AA69" s="35" t="s">
        <v>53</v>
      </c>
      <c r="AB69" s="35" t="s">
        <v>78</v>
      </c>
      <c r="AC69" s="35" t="s">
        <v>64</v>
      </c>
      <c r="AD69" s="35" t="s">
        <v>72</v>
      </c>
      <c r="AE69" s="35">
        <v>4</v>
      </c>
      <c r="AF69" s="35" t="s">
        <v>84</v>
      </c>
      <c r="AG69" s="15" t="s">
        <v>368</v>
      </c>
      <c r="AH69" s="39" t="s">
        <v>1206</v>
      </c>
      <c r="AI69" s="39" t="s">
        <v>1207</v>
      </c>
      <c r="AJ69" t="s">
        <v>1497</v>
      </c>
      <c r="AK69" t="s">
        <v>1527</v>
      </c>
      <c r="AL69" t="s">
        <v>1499</v>
      </c>
      <c r="AM69" s="69"/>
    </row>
    <row r="70" spans="1:39" ht="22.8" x14ac:dyDescent="0.3">
      <c r="A70" s="30">
        <v>3521</v>
      </c>
      <c r="B70" s="9"/>
      <c r="C70" s="36"/>
      <c r="D70" s="9"/>
      <c r="E70" s="9" t="s">
        <v>650</v>
      </c>
      <c r="F70" s="30" t="s">
        <v>313</v>
      </c>
      <c r="G70" s="31" t="s">
        <v>315</v>
      </c>
      <c r="H70" s="31" t="s">
        <v>315</v>
      </c>
      <c r="I70" s="31" t="s">
        <v>315</v>
      </c>
      <c r="J70" s="31" t="s">
        <v>315</v>
      </c>
      <c r="K70" s="31" t="s">
        <v>316</v>
      </c>
      <c r="L70" s="32" t="str">
        <f t="shared" si="5"/>
        <v>EXCLUDE</v>
      </c>
      <c r="M70" s="32" t="str">
        <f t="shared" si="6"/>
        <v>Non-English</v>
      </c>
      <c r="N70" s="33"/>
      <c r="O70" s="33"/>
      <c r="P70" s="34"/>
      <c r="Q70" s="34"/>
      <c r="R70" s="34"/>
      <c r="S70" s="32" t="str">
        <f t="shared" si="7"/>
        <v/>
      </c>
      <c r="T70" s="32" t="str">
        <f t="shared" si="8"/>
        <v/>
      </c>
      <c r="U70" s="35"/>
      <c r="V70" s="35"/>
      <c r="W70" s="35"/>
      <c r="X70" s="35"/>
      <c r="Y70" s="32" t="str">
        <f t="shared" si="9"/>
        <v/>
      </c>
      <c r="Z70" s="35"/>
      <c r="AA70" s="35"/>
      <c r="AB70" s="35"/>
      <c r="AC70" s="35"/>
      <c r="AD70" s="35"/>
      <c r="AE70" s="35"/>
      <c r="AF70" s="35"/>
      <c r="AG70" s="15" t="s">
        <v>369</v>
      </c>
      <c r="AH70" s="39"/>
      <c r="AI70" s="39"/>
      <c r="AM70" s="69"/>
    </row>
    <row r="71" spans="1:39" ht="22.8" x14ac:dyDescent="0.3">
      <c r="A71" s="30">
        <v>4002</v>
      </c>
      <c r="B71" s="9"/>
      <c r="C71" s="36"/>
      <c r="D71" s="9"/>
      <c r="E71" s="9" t="s">
        <v>651</v>
      </c>
      <c r="F71" s="30" t="s">
        <v>314</v>
      </c>
      <c r="G71" s="31" t="s">
        <v>315</v>
      </c>
      <c r="H71" s="31" t="s">
        <v>316</v>
      </c>
      <c r="I71" s="31" t="s">
        <v>315</v>
      </c>
      <c r="J71" s="31" t="s">
        <v>315</v>
      </c>
      <c r="K71" s="31" t="s">
        <v>315</v>
      </c>
      <c r="L71" s="32" t="str">
        <f t="shared" si="5"/>
        <v>EXCLUDE</v>
      </c>
      <c r="M71" s="32" t="str">
        <f t="shared" si="6"/>
        <v>Digital Twin not core / buzzword</v>
      </c>
      <c r="N71" s="33"/>
      <c r="O71" s="33"/>
      <c r="P71" s="34"/>
      <c r="Q71" s="34"/>
      <c r="R71" s="34"/>
      <c r="S71" s="32" t="str">
        <f t="shared" si="7"/>
        <v/>
      </c>
      <c r="T71" s="32" t="str">
        <f t="shared" si="8"/>
        <v/>
      </c>
      <c r="U71" s="35"/>
      <c r="V71" s="35"/>
      <c r="W71" s="35"/>
      <c r="X71" s="35"/>
      <c r="Y71" s="32" t="str">
        <f t="shared" si="9"/>
        <v/>
      </c>
      <c r="Z71" s="35"/>
      <c r="AA71" s="35"/>
      <c r="AB71" s="35"/>
      <c r="AC71" s="35"/>
      <c r="AD71" s="35"/>
      <c r="AE71" s="35"/>
      <c r="AF71" s="35"/>
      <c r="AG71" s="15" t="s">
        <v>370</v>
      </c>
      <c r="AH71" s="39"/>
      <c r="AI71" s="39"/>
      <c r="AM71" s="69"/>
    </row>
    <row r="72" spans="1:39" ht="22.8" x14ac:dyDescent="0.3">
      <c r="A72" s="30">
        <v>3528</v>
      </c>
      <c r="B72" s="9"/>
      <c r="C72" s="36"/>
      <c r="D72" s="9"/>
      <c r="E72" s="9" t="s">
        <v>652</v>
      </c>
      <c r="F72" s="30" t="s">
        <v>313</v>
      </c>
      <c r="G72" s="31" t="s">
        <v>315</v>
      </c>
      <c r="H72" s="31" t="s">
        <v>315</v>
      </c>
      <c r="I72" s="31" t="s">
        <v>315</v>
      </c>
      <c r="J72" s="31" t="s">
        <v>315</v>
      </c>
      <c r="K72" s="31" t="s">
        <v>316</v>
      </c>
      <c r="L72" s="32" t="str">
        <f t="shared" si="5"/>
        <v>EXCLUDE</v>
      </c>
      <c r="M72" s="32" t="str">
        <f t="shared" si="6"/>
        <v>Non-English</v>
      </c>
      <c r="N72" s="33"/>
      <c r="O72" s="33"/>
      <c r="P72" s="34"/>
      <c r="Q72" s="34"/>
      <c r="R72" s="34"/>
      <c r="S72" s="32" t="str">
        <f t="shared" si="7"/>
        <v/>
      </c>
      <c r="T72" s="32" t="str">
        <f t="shared" si="8"/>
        <v/>
      </c>
      <c r="U72" s="35"/>
      <c r="V72" s="35"/>
      <c r="W72" s="35"/>
      <c r="X72" s="35"/>
      <c r="Y72" s="32" t="str">
        <f t="shared" si="9"/>
        <v/>
      </c>
      <c r="Z72" s="35"/>
      <c r="AA72" s="35"/>
      <c r="AB72" s="35"/>
      <c r="AC72" s="35"/>
      <c r="AD72" s="35"/>
      <c r="AE72" s="35"/>
      <c r="AF72" s="35"/>
      <c r="AG72" s="15" t="s">
        <v>371</v>
      </c>
      <c r="AH72" s="39"/>
      <c r="AI72" s="39"/>
      <c r="AM72" s="69"/>
    </row>
    <row r="73" spans="1:39" ht="79.8" x14ac:dyDescent="0.3">
      <c r="A73" s="30">
        <v>3736</v>
      </c>
      <c r="B73" s="9" t="s">
        <v>190</v>
      </c>
      <c r="C73" s="36">
        <v>2026</v>
      </c>
      <c r="D73" s="9"/>
      <c r="E73" s="9" t="s">
        <v>653</v>
      </c>
      <c r="F73" s="30" t="s">
        <v>313</v>
      </c>
      <c r="G73" s="31" t="s">
        <v>315</v>
      </c>
      <c r="H73" s="31" t="s">
        <v>315</v>
      </c>
      <c r="I73" s="31" t="s">
        <v>315</v>
      </c>
      <c r="J73" s="31" t="s">
        <v>315</v>
      </c>
      <c r="K73" s="31" t="s">
        <v>315</v>
      </c>
      <c r="L73" s="32" t="str">
        <f t="shared" si="5"/>
        <v>INCLUDE</v>
      </c>
      <c r="M73" s="32" t="str">
        <f t="shared" si="6"/>
        <v/>
      </c>
      <c r="N73" s="33" t="s">
        <v>315</v>
      </c>
      <c r="O73" s="33" t="s">
        <v>315</v>
      </c>
      <c r="P73" s="34" t="s">
        <v>315</v>
      </c>
      <c r="Q73" s="34" t="s">
        <v>315</v>
      </c>
      <c r="R73" s="34" t="s">
        <v>315</v>
      </c>
      <c r="S73" s="32" t="str">
        <f t="shared" si="7"/>
        <v>INCLUDE</v>
      </c>
      <c r="T73" s="32" t="str">
        <f t="shared" si="8"/>
        <v/>
      </c>
      <c r="U73" s="35" t="s">
        <v>61</v>
      </c>
      <c r="V73" s="35">
        <v>0</v>
      </c>
      <c r="W73" s="35">
        <v>1</v>
      </c>
      <c r="X73" s="35">
        <v>0</v>
      </c>
      <c r="Y73" s="32" t="str">
        <f t="shared" si="9"/>
        <v>Single</v>
      </c>
      <c r="Z73" s="35" t="s">
        <v>69</v>
      </c>
      <c r="AA73" s="35" t="s">
        <v>53</v>
      </c>
      <c r="AB73" s="35" t="s">
        <v>91</v>
      </c>
      <c r="AC73" s="35" t="s">
        <v>64</v>
      </c>
      <c r="AD73" s="35" t="s">
        <v>72</v>
      </c>
      <c r="AE73" s="35">
        <v>4</v>
      </c>
      <c r="AF73" s="35" t="s">
        <v>86</v>
      </c>
      <c r="AG73" s="15" t="s">
        <v>1012</v>
      </c>
      <c r="AH73" s="39" t="s">
        <v>1208</v>
      </c>
      <c r="AI73" s="39" t="s">
        <v>1209</v>
      </c>
      <c r="AJ73" t="s">
        <v>1495</v>
      </c>
      <c r="AK73" t="s">
        <v>1528</v>
      </c>
      <c r="AL73" t="s">
        <v>1500</v>
      </c>
      <c r="AM73" s="69"/>
    </row>
    <row r="74" spans="1:39" ht="22.8" x14ac:dyDescent="0.3">
      <c r="A74" s="30">
        <v>3625</v>
      </c>
      <c r="B74" s="9"/>
      <c r="C74" s="36"/>
      <c r="D74" s="9"/>
      <c r="E74" s="9" t="s">
        <v>654</v>
      </c>
      <c r="F74" s="30" t="s">
        <v>313</v>
      </c>
      <c r="G74" s="31" t="s">
        <v>316</v>
      </c>
      <c r="H74" s="31" t="s">
        <v>315</v>
      </c>
      <c r="I74" s="31" t="s">
        <v>315</v>
      </c>
      <c r="J74" s="31" t="s">
        <v>315</v>
      </c>
      <c r="K74" s="31" t="s">
        <v>316</v>
      </c>
      <c r="L74" s="32" t="str">
        <f t="shared" si="5"/>
        <v>EXCLUDE</v>
      </c>
      <c r="M74" s="32" t="str">
        <f t="shared" si="6"/>
        <v>Wrong domain (non-AECO)</v>
      </c>
      <c r="N74" s="33"/>
      <c r="O74" s="33"/>
      <c r="P74" s="34"/>
      <c r="Q74" s="34"/>
      <c r="R74" s="34"/>
      <c r="S74" s="32" t="str">
        <f t="shared" si="7"/>
        <v/>
      </c>
      <c r="T74" s="32" t="str">
        <f t="shared" si="8"/>
        <v/>
      </c>
      <c r="U74" s="35"/>
      <c r="V74" s="35"/>
      <c r="W74" s="35"/>
      <c r="X74" s="35"/>
      <c r="Y74" s="32" t="str">
        <f t="shared" si="9"/>
        <v/>
      </c>
      <c r="Z74" s="35"/>
      <c r="AA74" s="35"/>
      <c r="AB74" s="35"/>
      <c r="AC74" s="35"/>
      <c r="AD74" s="35"/>
      <c r="AE74" s="35"/>
      <c r="AF74" s="35"/>
      <c r="AG74" s="15" t="s">
        <v>372</v>
      </c>
      <c r="AH74" s="39"/>
      <c r="AI74" s="39"/>
      <c r="AM74" s="69"/>
    </row>
    <row r="75" spans="1:39" ht="68.400000000000006" x14ac:dyDescent="0.3">
      <c r="A75" s="30">
        <v>3906</v>
      </c>
      <c r="B75" s="9" t="s">
        <v>191</v>
      </c>
      <c r="C75" s="36">
        <v>2022</v>
      </c>
      <c r="D75" s="9"/>
      <c r="E75" s="9" t="s">
        <v>655</v>
      </c>
      <c r="F75" s="30" t="s">
        <v>314</v>
      </c>
      <c r="G75" s="31" t="s">
        <v>315</v>
      </c>
      <c r="H75" s="31" t="s">
        <v>315</v>
      </c>
      <c r="I75" s="31" t="s">
        <v>315</v>
      </c>
      <c r="J75" s="31" t="s">
        <v>315</v>
      </c>
      <c r="K75" s="31" t="s">
        <v>315</v>
      </c>
      <c r="L75" s="32" t="str">
        <f t="shared" si="5"/>
        <v>INCLUDE</v>
      </c>
      <c r="M75" s="32" t="str">
        <f t="shared" si="6"/>
        <v/>
      </c>
      <c r="N75" s="33" t="s">
        <v>49</v>
      </c>
      <c r="O75" s="33" t="s">
        <v>49</v>
      </c>
      <c r="P75" s="34" t="s">
        <v>49</v>
      </c>
      <c r="Q75" s="34" t="s">
        <v>49</v>
      </c>
      <c r="R75" s="34" t="s">
        <v>49</v>
      </c>
      <c r="S75" s="32" t="str">
        <f t="shared" si="7"/>
        <v>INCLUDE</v>
      </c>
      <c r="T75" s="32" t="str">
        <f t="shared" si="8"/>
        <v/>
      </c>
      <c r="U75" s="35" t="s">
        <v>82</v>
      </c>
      <c r="V75" s="35">
        <v>1</v>
      </c>
      <c r="W75" s="35">
        <v>1</v>
      </c>
      <c r="X75" s="35">
        <v>1</v>
      </c>
      <c r="Y75" s="32" t="str">
        <f t="shared" si="9"/>
        <v>Multi</v>
      </c>
      <c r="Z75" s="35" t="s">
        <v>69</v>
      </c>
      <c r="AA75" s="35" t="s">
        <v>53</v>
      </c>
      <c r="AB75" s="35" t="s">
        <v>91</v>
      </c>
      <c r="AC75" s="35" t="s">
        <v>64</v>
      </c>
      <c r="AD75" s="35" t="s">
        <v>56</v>
      </c>
      <c r="AE75" s="35">
        <v>3</v>
      </c>
      <c r="AF75" s="35" t="s">
        <v>57</v>
      </c>
      <c r="AG75" s="15" t="s">
        <v>1106</v>
      </c>
      <c r="AH75" s="39" t="s">
        <v>1210</v>
      </c>
      <c r="AI75" s="39" t="s">
        <v>1211</v>
      </c>
      <c r="AJ75" t="s">
        <v>82</v>
      </c>
      <c r="AK75" t="s">
        <v>1529</v>
      </c>
      <c r="AL75" t="s">
        <v>1499</v>
      </c>
      <c r="AM75" s="69"/>
    </row>
    <row r="76" spans="1:39" ht="22.8" x14ac:dyDescent="0.3">
      <c r="A76" s="30">
        <v>3921</v>
      </c>
      <c r="B76" s="9"/>
      <c r="C76" s="36"/>
      <c r="D76" s="9"/>
      <c r="E76" s="9" t="s">
        <v>656</v>
      </c>
      <c r="F76" s="30" t="s">
        <v>314</v>
      </c>
      <c r="G76" s="31" t="s">
        <v>315</v>
      </c>
      <c r="H76" s="31" t="s">
        <v>315</v>
      </c>
      <c r="I76" s="31" t="s">
        <v>316</v>
      </c>
      <c r="J76" s="31" t="s">
        <v>315</v>
      </c>
      <c r="K76" s="31" t="s">
        <v>315</v>
      </c>
      <c r="L76" s="32" t="str">
        <f t="shared" si="5"/>
        <v>EXCLUDE</v>
      </c>
      <c r="M76" s="32" t="str">
        <f t="shared" si="6"/>
        <v>No Design for Safety/Quality/PtD</v>
      </c>
      <c r="N76" s="33"/>
      <c r="O76" s="33"/>
      <c r="P76" s="34"/>
      <c r="Q76" s="34"/>
      <c r="R76" s="34"/>
      <c r="S76" s="32" t="str">
        <f t="shared" si="7"/>
        <v/>
      </c>
      <c r="T76" s="32" t="str">
        <f t="shared" si="8"/>
        <v/>
      </c>
      <c r="U76" s="35"/>
      <c r="V76" s="35"/>
      <c r="W76" s="35"/>
      <c r="X76" s="35"/>
      <c r="Y76" s="32" t="str">
        <f t="shared" si="9"/>
        <v/>
      </c>
      <c r="Z76" s="35"/>
      <c r="AA76" s="35"/>
      <c r="AB76" s="35"/>
      <c r="AC76" s="35"/>
      <c r="AD76" s="35"/>
      <c r="AE76" s="35"/>
      <c r="AF76" s="35"/>
      <c r="AG76" s="15" t="s">
        <v>373</v>
      </c>
      <c r="AH76" s="39"/>
      <c r="AI76" s="39"/>
      <c r="AM76" s="69"/>
    </row>
    <row r="77" spans="1:39" ht="91.2" x14ac:dyDescent="0.3">
      <c r="A77" s="30">
        <v>4046</v>
      </c>
      <c r="B77" s="9" t="s">
        <v>192</v>
      </c>
      <c r="C77" s="36">
        <v>2024</v>
      </c>
      <c r="D77" s="9"/>
      <c r="E77" s="9" t="s">
        <v>657</v>
      </c>
      <c r="F77" s="30" t="s">
        <v>314</v>
      </c>
      <c r="G77" s="31" t="s">
        <v>315</v>
      </c>
      <c r="H77" s="31" t="s">
        <v>315</v>
      </c>
      <c r="I77" s="31" t="s">
        <v>315</v>
      </c>
      <c r="J77" s="31" t="s">
        <v>315</v>
      </c>
      <c r="K77" s="31" t="s">
        <v>315</v>
      </c>
      <c r="L77" s="32" t="str">
        <f t="shared" si="5"/>
        <v>INCLUDE</v>
      </c>
      <c r="M77" s="32" t="str">
        <f t="shared" si="6"/>
        <v/>
      </c>
      <c r="N77" s="33" t="s">
        <v>315</v>
      </c>
      <c r="O77" s="33" t="s">
        <v>315</v>
      </c>
      <c r="P77" s="34" t="s">
        <v>315</v>
      </c>
      <c r="Q77" s="34" t="s">
        <v>315</v>
      </c>
      <c r="R77" s="34" t="s">
        <v>315</v>
      </c>
      <c r="S77" s="32" t="str">
        <f t="shared" si="7"/>
        <v>INCLUDE</v>
      </c>
      <c r="T77" s="32" t="str">
        <f t="shared" si="8"/>
        <v/>
      </c>
      <c r="U77" s="35" t="s">
        <v>68</v>
      </c>
      <c r="V77" s="35">
        <v>0</v>
      </c>
      <c r="W77" s="35">
        <v>1</v>
      </c>
      <c r="X77" s="35">
        <v>0</v>
      </c>
      <c r="Y77" s="32" t="str">
        <f t="shared" si="9"/>
        <v>Single</v>
      </c>
      <c r="Z77" s="35" t="s">
        <v>9</v>
      </c>
      <c r="AA77" s="35" t="s">
        <v>53</v>
      </c>
      <c r="AB77" s="35" t="s">
        <v>91</v>
      </c>
      <c r="AC77" s="35" t="s">
        <v>64</v>
      </c>
      <c r="AD77" s="35" t="s">
        <v>79</v>
      </c>
      <c r="AE77" s="35">
        <v>3</v>
      </c>
      <c r="AF77" s="35" t="s">
        <v>57</v>
      </c>
      <c r="AG77" s="15" t="s">
        <v>1013</v>
      </c>
      <c r="AH77" s="39" t="s">
        <v>1212</v>
      </c>
      <c r="AI77" s="39" t="s">
        <v>1213</v>
      </c>
      <c r="AJ77" t="s">
        <v>1496</v>
      </c>
      <c r="AK77" t="s">
        <v>1530</v>
      </c>
      <c r="AL77" t="s">
        <v>1499</v>
      </c>
      <c r="AM77" s="69"/>
    </row>
    <row r="78" spans="1:39" ht="22.8" x14ac:dyDescent="0.3">
      <c r="A78" s="30">
        <v>3912</v>
      </c>
      <c r="B78" s="9"/>
      <c r="C78" s="36"/>
      <c r="D78" s="9"/>
      <c r="E78" s="9" t="s">
        <v>658</v>
      </c>
      <c r="F78" s="30" t="s">
        <v>314</v>
      </c>
      <c r="G78" s="31" t="s">
        <v>315</v>
      </c>
      <c r="H78" s="31" t="s">
        <v>316</v>
      </c>
      <c r="I78" s="31" t="s">
        <v>315</v>
      </c>
      <c r="J78" s="31" t="s">
        <v>315</v>
      </c>
      <c r="K78" s="31" t="s">
        <v>315</v>
      </c>
      <c r="L78" s="32" t="str">
        <f t="shared" si="5"/>
        <v>EXCLUDE</v>
      </c>
      <c r="M78" s="32" t="str">
        <f t="shared" si="6"/>
        <v>Digital Twin not core / buzzword</v>
      </c>
      <c r="N78" s="33"/>
      <c r="O78" s="33"/>
      <c r="P78" s="34"/>
      <c r="Q78" s="34"/>
      <c r="R78" s="34"/>
      <c r="S78" s="32" t="str">
        <f t="shared" si="7"/>
        <v/>
      </c>
      <c r="T78" s="32" t="str">
        <f t="shared" si="8"/>
        <v/>
      </c>
      <c r="U78" s="35"/>
      <c r="V78" s="35"/>
      <c r="W78" s="35"/>
      <c r="X78" s="35"/>
      <c r="Y78" s="32" t="str">
        <f t="shared" si="9"/>
        <v/>
      </c>
      <c r="Z78" s="35"/>
      <c r="AA78" s="35"/>
      <c r="AB78" s="35"/>
      <c r="AC78" s="35"/>
      <c r="AD78" s="35"/>
      <c r="AE78" s="35"/>
      <c r="AF78" s="35"/>
      <c r="AG78" s="15" t="s">
        <v>374</v>
      </c>
      <c r="AH78" s="39"/>
      <c r="AI78" s="39"/>
      <c r="AM78" s="69"/>
    </row>
    <row r="79" spans="1:39" ht="79.8" x14ac:dyDescent="0.3">
      <c r="A79" s="30">
        <v>4029</v>
      </c>
      <c r="B79" s="9" t="s">
        <v>193</v>
      </c>
      <c r="C79" s="36">
        <v>2023</v>
      </c>
      <c r="D79" s="9"/>
      <c r="E79" s="9" t="s">
        <v>659</v>
      </c>
      <c r="F79" s="30" t="s">
        <v>314</v>
      </c>
      <c r="G79" s="31" t="s">
        <v>315</v>
      </c>
      <c r="H79" s="31" t="s">
        <v>315</v>
      </c>
      <c r="I79" s="31" t="s">
        <v>315</v>
      </c>
      <c r="J79" s="31" t="s">
        <v>315</v>
      </c>
      <c r="K79" s="31" t="s">
        <v>315</v>
      </c>
      <c r="L79" s="32" t="str">
        <f t="shared" si="5"/>
        <v>INCLUDE</v>
      </c>
      <c r="M79" s="32" t="str">
        <f t="shared" si="6"/>
        <v/>
      </c>
      <c r="N79" s="33" t="s">
        <v>315</v>
      </c>
      <c r="O79" s="33" t="s">
        <v>315</v>
      </c>
      <c r="P79" s="34" t="s">
        <v>315</v>
      </c>
      <c r="Q79" s="34" t="s">
        <v>315</v>
      </c>
      <c r="R79" s="34" t="s">
        <v>315</v>
      </c>
      <c r="S79" s="32" t="str">
        <f t="shared" si="7"/>
        <v>INCLUDE</v>
      </c>
      <c r="T79" s="32" t="str">
        <f t="shared" si="8"/>
        <v/>
      </c>
      <c r="U79" s="35" t="s">
        <v>52</v>
      </c>
      <c r="V79" s="35">
        <v>0</v>
      </c>
      <c r="W79" s="35">
        <v>1</v>
      </c>
      <c r="X79" s="35">
        <v>0</v>
      </c>
      <c r="Y79" s="32" t="str">
        <f t="shared" si="9"/>
        <v>Single</v>
      </c>
      <c r="Z79" s="35" t="s">
        <v>9</v>
      </c>
      <c r="AA79" s="35" t="s">
        <v>53</v>
      </c>
      <c r="AB79" s="35" t="s">
        <v>87</v>
      </c>
      <c r="AC79" s="35" t="s">
        <v>55</v>
      </c>
      <c r="AD79" s="35" t="s">
        <v>65</v>
      </c>
      <c r="AE79" s="35">
        <v>4</v>
      </c>
      <c r="AF79" s="35" t="s">
        <v>84</v>
      </c>
      <c r="AG79" s="15" t="s">
        <v>1014</v>
      </c>
      <c r="AH79" s="39" t="s">
        <v>1214</v>
      </c>
      <c r="AI79" s="39" t="s">
        <v>1215</v>
      </c>
      <c r="AJ79" t="s">
        <v>1494</v>
      </c>
      <c r="AK79" t="s">
        <v>1531</v>
      </c>
      <c r="AL79" t="s">
        <v>1499</v>
      </c>
      <c r="AM79" s="69"/>
    </row>
    <row r="80" spans="1:39" ht="22.8" x14ac:dyDescent="0.3">
      <c r="A80" s="30">
        <v>3782</v>
      </c>
      <c r="B80" s="9"/>
      <c r="C80" s="36"/>
      <c r="D80" s="9"/>
      <c r="E80" s="9" t="s">
        <v>660</v>
      </c>
      <c r="F80" s="30" t="s">
        <v>313</v>
      </c>
      <c r="G80" s="31" t="s">
        <v>315</v>
      </c>
      <c r="H80" s="31" t="s">
        <v>316</v>
      </c>
      <c r="I80" s="31" t="s">
        <v>315</v>
      </c>
      <c r="J80" s="31" t="s">
        <v>315</v>
      </c>
      <c r="K80" s="31" t="s">
        <v>315</v>
      </c>
      <c r="L80" s="32" t="str">
        <f t="shared" si="5"/>
        <v>EXCLUDE</v>
      </c>
      <c r="M80" s="32" t="str">
        <f t="shared" si="6"/>
        <v>Digital Twin not core / buzzword</v>
      </c>
      <c r="N80" s="33"/>
      <c r="O80" s="33"/>
      <c r="P80" s="34"/>
      <c r="Q80" s="34"/>
      <c r="R80" s="34"/>
      <c r="S80" s="32" t="str">
        <f t="shared" si="7"/>
        <v/>
      </c>
      <c r="T80" s="32" t="str">
        <f t="shared" si="8"/>
        <v/>
      </c>
      <c r="U80" s="35"/>
      <c r="V80" s="35"/>
      <c r="W80" s="35"/>
      <c r="X80" s="35"/>
      <c r="Y80" s="32" t="str">
        <f t="shared" si="9"/>
        <v/>
      </c>
      <c r="Z80" s="35"/>
      <c r="AA80" s="35"/>
      <c r="AB80" s="35"/>
      <c r="AC80" s="35"/>
      <c r="AD80" s="35"/>
      <c r="AE80" s="35"/>
      <c r="AF80" s="35"/>
      <c r="AG80" s="15" t="s">
        <v>375</v>
      </c>
      <c r="AH80" s="39"/>
      <c r="AI80" s="39"/>
      <c r="AM80" s="69"/>
    </row>
    <row r="81" spans="1:39" ht="22.8" x14ac:dyDescent="0.3">
      <c r="A81" s="30">
        <v>3955</v>
      </c>
      <c r="B81" s="9"/>
      <c r="C81" s="36"/>
      <c r="D81" s="9"/>
      <c r="E81" s="9" t="s">
        <v>661</v>
      </c>
      <c r="F81" s="30" t="s">
        <v>314</v>
      </c>
      <c r="G81" s="31" t="s">
        <v>315</v>
      </c>
      <c r="H81" s="31" t="s">
        <v>315</v>
      </c>
      <c r="I81" s="31" t="s">
        <v>316</v>
      </c>
      <c r="J81" s="31" t="s">
        <v>315</v>
      </c>
      <c r="K81" s="31" t="s">
        <v>315</v>
      </c>
      <c r="L81" s="32" t="str">
        <f t="shared" si="5"/>
        <v>EXCLUDE</v>
      </c>
      <c r="M81" s="32" t="str">
        <f t="shared" si="6"/>
        <v>No Design for Safety/Quality/PtD</v>
      </c>
      <c r="N81" s="33"/>
      <c r="O81" s="33"/>
      <c r="P81" s="34"/>
      <c r="Q81" s="34"/>
      <c r="R81" s="34"/>
      <c r="S81" s="32" t="str">
        <f t="shared" si="7"/>
        <v/>
      </c>
      <c r="T81" s="32" t="str">
        <f t="shared" si="8"/>
        <v/>
      </c>
      <c r="U81" s="35"/>
      <c r="V81" s="35"/>
      <c r="W81" s="35"/>
      <c r="X81" s="35"/>
      <c r="Y81" s="32" t="str">
        <f t="shared" si="9"/>
        <v/>
      </c>
      <c r="Z81" s="35"/>
      <c r="AA81" s="35"/>
      <c r="AB81" s="35"/>
      <c r="AC81" s="35"/>
      <c r="AD81" s="35"/>
      <c r="AE81" s="35"/>
      <c r="AF81" s="35"/>
      <c r="AG81" s="15" t="s">
        <v>376</v>
      </c>
      <c r="AH81" s="39"/>
      <c r="AI81" s="39"/>
      <c r="AM81" s="69"/>
    </row>
    <row r="82" spans="1:39" x14ac:dyDescent="0.3">
      <c r="A82" s="30">
        <v>3632</v>
      </c>
      <c r="B82" s="9"/>
      <c r="C82" s="36"/>
      <c r="D82" s="9"/>
      <c r="E82" s="9" t="s">
        <v>662</v>
      </c>
      <c r="F82" s="30" t="s">
        <v>313</v>
      </c>
      <c r="G82" s="31" t="s">
        <v>315</v>
      </c>
      <c r="H82" s="31" t="s">
        <v>316</v>
      </c>
      <c r="I82" s="31" t="s">
        <v>316</v>
      </c>
      <c r="J82" s="31" t="s">
        <v>315</v>
      </c>
      <c r="K82" s="31" t="s">
        <v>315</v>
      </c>
      <c r="L82" s="32" t="str">
        <f t="shared" si="5"/>
        <v>EXCLUDE</v>
      </c>
      <c r="M82" s="32" t="str">
        <f t="shared" si="6"/>
        <v>Digital Twin not core / buzzword</v>
      </c>
      <c r="N82" s="33"/>
      <c r="O82" s="33"/>
      <c r="P82" s="34"/>
      <c r="Q82" s="34"/>
      <c r="R82" s="34"/>
      <c r="S82" s="32" t="str">
        <f t="shared" si="7"/>
        <v/>
      </c>
      <c r="T82" s="32" t="str">
        <f t="shared" si="8"/>
        <v/>
      </c>
      <c r="U82" s="35"/>
      <c r="V82" s="35"/>
      <c r="W82" s="35"/>
      <c r="X82" s="35"/>
      <c r="Y82" s="32" t="str">
        <f t="shared" si="9"/>
        <v/>
      </c>
      <c r="Z82" s="35"/>
      <c r="AA82" s="35"/>
      <c r="AB82" s="35"/>
      <c r="AC82" s="35"/>
      <c r="AD82" s="35"/>
      <c r="AE82" s="35"/>
      <c r="AF82" s="35"/>
      <c r="AG82" s="15" t="s">
        <v>377</v>
      </c>
      <c r="AH82" s="39"/>
      <c r="AI82" s="39"/>
      <c r="AM82" s="69"/>
    </row>
    <row r="83" spans="1:39" ht="22.8" x14ac:dyDescent="0.3">
      <c r="A83" s="30">
        <v>4048</v>
      </c>
      <c r="B83" s="9"/>
      <c r="C83" s="36"/>
      <c r="D83" s="9"/>
      <c r="E83" s="9" t="s">
        <v>663</v>
      </c>
      <c r="F83" s="30" t="s">
        <v>314</v>
      </c>
      <c r="G83" s="31" t="s">
        <v>315</v>
      </c>
      <c r="H83" s="31" t="s">
        <v>316</v>
      </c>
      <c r="I83" s="31" t="s">
        <v>316</v>
      </c>
      <c r="J83" s="31" t="s">
        <v>315</v>
      </c>
      <c r="K83" s="31" t="s">
        <v>316</v>
      </c>
      <c r="L83" s="32" t="str">
        <f t="shared" si="5"/>
        <v>EXCLUDE</v>
      </c>
      <c r="M83" s="32" t="str">
        <f t="shared" si="6"/>
        <v>Digital Twin not core / buzzword</v>
      </c>
      <c r="N83" s="33"/>
      <c r="O83" s="33"/>
      <c r="P83" s="34"/>
      <c r="Q83" s="34"/>
      <c r="R83" s="34"/>
      <c r="S83" s="32" t="str">
        <f t="shared" si="7"/>
        <v/>
      </c>
      <c r="T83" s="32" t="str">
        <f t="shared" si="8"/>
        <v/>
      </c>
      <c r="U83" s="35"/>
      <c r="V83" s="35"/>
      <c r="W83" s="35"/>
      <c r="X83" s="35"/>
      <c r="Y83" s="32" t="str">
        <f t="shared" si="9"/>
        <v/>
      </c>
      <c r="Z83" s="35"/>
      <c r="AA83" s="35"/>
      <c r="AB83" s="35"/>
      <c r="AC83" s="35"/>
      <c r="AD83" s="35"/>
      <c r="AE83" s="35"/>
      <c r="AF83" s="35"/>
      <c r="AG83" s="15" t="s">
        <v>378</v>
      </c>
      <c r="AH83" s="39"/>
      <c r="AI83" s="39"/>
      <c r="AM83" s="69"/>
    </row>
    <row r="84" spans="1:39" ht="22.8" x14ac:dyDescent="0.3">
      <c r="A84" s="30">
        <v>3824</v>
      </c>
      <c r="B84" s="9"/>
      <c r="C84" s="36"/>
      <c r="D84" s="9"/>
      <c r="E84" s="9" t="s">
        <v>664</v>
      </c>
      <c r="F84" s="30" t="s">
        <v>313</v>
      </c>
      <c r="G84" s="31" t="s">
        <v>316</v>
      </c>
      <c r="H84" s="31" t="s">
        <v>315</v>
      </c>
      <c r="I84" s="31" t="s">
        <v>316</v>
      </c>
      <c r="J84" s="31" t="s">
        <v>315</v>
      </c>
      <c r="K84" s="31" t="s">
        <v>315</v>
      </c>
      <c r="L84" s="32" t="str">
        <f t="shared" si="5"/>
        <v>EXCLUDE</v>
      </c>
      <c r="M84" s="32" t="str">
        <f t="shared" si="6"/>
        <v>Wrong domain (non-AECO)</v>
      </c>
      <c r="N84" s="33"/>
      <c r="O84" s="33"/>
      <c r="P84" s="34"/>
      <c r="Q84" s="34"/>
      <c r="R84" s="34"/>
      <c r="S84" s="32" t="str">
        <f t="shared" si="7"/>
        <v/>
      </c>
      <c r="T84" s="32" t="str">
        <f t="shared" si="8"/>
        <v/>
      </c>
      <c r="U84" s="35"/>
      <c r="V84" s="35"/>
      <c r="W84" s="35"/>
      <c r="X84" s="35"/>
      <c r="Y84" s="32" t="str">
        <f t="shared" si="9"/>
        <v/>
      </c>
      <c r="Z84" s="35"/>
      <c r="AA84" s="35"/>
      <c r="AB84" s="35"/>
      <c r="AC84" s="35"/>
      <c r="AD84" s="35"/>
      <c r="AE84" s="35"/>
      <c r="AF84" s="35"/>
      <c r="AG84" s="15" t="s">
        <v>379</v>
      </c>
      <c r="AH84" s="39"/>
      <c r="AI84" s="39"/>
      <c r="AM84" s="69"/>
    </row>
    <row r="85" spans="1:39" ht="91.2" x14ac:dyDescent="0.3">
      <c r="A85" s="30">
        <v>3493</v>
      </c>
      <c r="B85" s="9" t="s">
        <v>194</v>
      </c>
      <c r="C85" s="36">
        <v>2024</v>
      </c>
      <c r="D85" s="9"/>
      <c r="E85" s="9" t="s">
        <v>665</v>
      </c>
      <c r="F85" s="30" t="s">
        <v>313</v>
      </c>
      <c r="G85" s="31" t="s">
        <v>315</v>
      </c>
      <c r="H85" s="31" t="s">
        <v>315</v>
      </c>
      <c r="I85" s="31" t="s">
        <v>315</v>
      </c>
      <c r="J85" s="31" t="s">
        <v>315</v>
      </c>
      <c r="K85" s="31" t="s">
        <v>315</v>
      </c>
      <c r="L85" s="32" t="str">
        <f t="shared" si="5"/>
        <v>INCLUDE</v>
      </c>
      <c r="M85" s="32" t="str">
        <f t="shared" si="6"/>
        <v/>
      </c>
      <c r="N85" s="33" t="s">
        <v>315</v>
      </c>
      <c r="O85" s="33" t="s">
        <v>315</v>
      </c>
      <c r="P85" s="34" t="s">
        <v>315</v>
      </c>
      <c r="Q85" s="34" t="s">
        <v>315</v>
      </c>
      <c r="R85" s="34" t="s">
        <v>315</v>
      </c>
      <c r="S85" s="32" t="str">
        <f t="shared" si="7"/>
        <v>INCLUDE</v>
      </c>
      <c r="T85" s="32" t="str">
        <f t="shared" si="8"/>
        <v/>
      </c>
      <c r="U85" s="35" t="s">
        <v>61</v>
      </c>
      <c r="V85" s="35">
        <v>0</v>
      </c>
      <c r="W85" s="35">
        <v>0</v>
      </c>
      <c r="X85" s="35">
        <v>1</v>
      </c>
      <c r="Y85" s="32" t="str">
        <f t="shared" si="9"/>
        <v>Single</v>
      </c>
      <c r="Z85" s="35" t="s">
        <v>9</v>
      </c>
      <c r="AA85" s="35" t="s">
        <v>53</v>
      </c>
      <c r="AB85" s="35" t="s">
        <v>88</v>
      </c>
      <c r="AC85" s="35" t="s">
        <v>64</v>
      </c>
      <c r="AD85" s="35" t="s">
        <v>72</v>
      </c>
      <c r="AE85" s="35">
        <v>4</v>
      </c>
      <c r="AF85" s="35" t="s">
        <v>86</v>
      </c>
      <c r="AG85" s="15" t="s">
        <v>1015</v>
      </c>
      <c r="AH85" s="39" t="s">
        <v>1216</v>
      </c>
      <c r="AI85" s="39" t="s">
        <v>1217</v>
      </c>
      <c r="AJ85" t="s">
        <v>1496</v>
      </c>
      <c r="AK85" t="s">
        <v>1532</v>
      </c>
      <c r="AL85" t="s">
        <v>1499</v>
      </c>
      <c r="AM85" s="69"/>
    </row>
    <row r="86" spans="1:39" ht="22.8" x14ac:dyDescent="0.3">
      <c r="A86" s="30">
        <v>4032</v>
      </c>
      <c r="B86" s="9"/>
      <c r="C86" s="36"/>
      <c r="D86" s="9"/>
      <c r="E86" s="9" t="s">
        <v>666</v>
      </c>
      <c r="F86" s="30" t="s">
        <v>314</v>
      </c>
      <c r="G86" s="31" t="s">
        <v>316</v>
      </c>
      <c r="H86" s="31" t="s">
        <v>315</v>
      </c>
      <c r="I86" s="31" t="s">
        <v>315</v>
      </c>
      <c r="J86" s="31" t="s">
        <v>315</v>
      </c>
      <c r="K86" s="31" t="s">
        <v>315</v>
      </c>
      <c r="L86" s="32" t="str">
        <f t="shared" si="5"/>
        <v>EXCLUDE</v>
      </c>
      <c r="M86" s="32" t="str">
        <f t="shared" si="6"/>
        <v>Wrong domain (non-AECO)</v>
      </c>
      <c r="N86" s="33"/>
      <c r="O86" s="33"/>
      <c r="P86" s="34"/>
      <c r="Q86" s="34"/>
      <c r="R86" s="34"/>
      <c r="S86" s="32" t="str">
        <f t="shared" si="7"/>
        <v/>
      </c>
      <c r="T86" s="32" t="str">
        <f t="shared" si="8"/>
        <v/>
      </c>
      <c r="U86" s="35"/>
      <c r="V86" s="35"/>
      <c r="W86" s="35"/>
      <c r="X86" s="35"/>
      <c r="Y86" s="32" t="str">
        <f t="shared" si="9"/>
        <v/>
      </c>
      <c r="Z86" s="35"/>
      <c r="AA86" s="35"/>
      <c r="AB86" s="35"/>
      <c r="AC86" s="35"/>
      <c r="AD86" s="35"/>
      <c r="AE86" s="35"/>
      <c r="AF86" s="35"/>
      <c r="AG86" s="15" t="s">
        <v>380</v>
      </c>
      <c r="AH86" s="39"/>
      <c r="AI86" s="39"/>
      <c r="AM86" s="69"/>
    </row>
    <row r="87" spans="1:39" ht="79.8" x14ac:dyDescent="0.3">
      <c r="A87" s="30">
        <v>3775</v>
      </c>
      <c r="B87" s="9" t="s">
        <v>195</v>
      </c>
      <c r="C87" s="36">
        <v>2025</v>
      </c>
      <c r="D87" s="9"/>
      <c r="E87" s="9" t="s">
        <v>667</v>
      </c>
      <c r="F87" s="30" t="s">
        <v>313</v>
      </c>
      <c r="G87" s="31" t="s">
        <v>315</v>
      </c>
      <c r="H87" s="31" t="s">
        <v>315</v>
      </c>
      <c r="I87" s="31" t="s">
        <v>315</v>
      </c>
      <c r="J87" s="31" t="s">
        <v>315</v>
      </c>
      <c r="K87" s="31" t="s">
        <v>315</v>
      </c>
      <c r="L87" s="32" t="str">
        <f t="shared" si="5"/>
        <v>INCLUDE</v>
      </c>
      <c r="M87" s="32" t="str">
        <f t="shared" si="6"/>
        <v/>
      </c>
      <c r="N87" s="33" t="s">
        <v>49</v>
      </c>
      <c r="O87" s="33" t="s">
        <v>49</v>
      </c>
      <c r="P87" s="34" t="s">
        <v>49</v>
      </c>
      <c r="Q87" s="34" t="s">
        <v>49</v>
      </c>
      <c r="R87" s="34" t="s">
        <v>49</v>
      </c>
      <c r="S87" s="32" t="str">
        <f t="shared" si="7"/>
        <v>INCLUDE</v>
      </c>
      <c r="T87" s="32" t="str">
        <f t="shared" si="8"/>
        <v/>
      </c>
      <c r="U87" s="35" t="s">
        <v>61</v>
      </c>
      <c r="V87" s="35">
        <v>0</v>
      </c>
      <c r="W87" s="35">
        <v>1</v>
      </c>
      <c r="X87" s="35">
        <v>0</v>
      </c>
      <c r="Y87" s="32" t="str">
        <f t="shared" si="9"/>
        <v>Single</v>
      </c>
      <c r="Z87" s="35" t="s">
        <v>9</v>
      </c>
      <c r="AA87" s="35" t="s">
        <v>53</v>
      </c>
      <c r="AB87" s="35" t="s">
        <v>92</v>
      </c>
      <c r="AC87" s="35" t="s">
        <v>55</v>
      </c>
      <c r="AD87" s="35" t="s">
        <v>65</v>
      </c>
      <c r="AE87" s="35">
        <v>3</v>
      </c>
      <c r="AF87" s="35" t="s">
        <v>84</v>
      </c>
      <c r="AG87" s="15" t="s">
        <v>1107</v>
      </c>
      <c r="AH87" s="39" t="s">
        <v>1218</v>
      </c>
      <c r="AI87" s="39" t="s">
        <v>1219</v>
      </c>
      <c r="AJ87" t="s">
        <v>1494</v>
      </c>
      <c r="AK87" t="s">
        <v>1533</v>
      </c>
      <c r="AL87" t="s">
        <v>1499</v>
      </c>
      <c r="AM87" s="69"/>
    </row>
    <row r="88" spans="1:39" x14ac:dyDescent="0.3">
      <c r="A88" s="30">
        <v>3826</v>
      </c>
      <c r="B88" s="9"/>
      <c r="C88" s="36"/>
      <c r="D88" s="9"/>
      <c r="E88" s="9" t="s">
        <v>668</v>
      </c>
      <c r="F88" s="30" t="s">
        <v>313</v>
      </c>
      <c r="G88" s="31" t="s">
        <v>316</v>
      </c>
      <c r="H88" s="31" t="s">
        <v>316</v>
      </c>
      <c r="I88" s="31" t="s">
        <v>316</v>
      </c>
      <c r="J88" s="31" t="s">
        <v>315</v>
      </c>
      <c r="K88" s="31" t="s">
        <v>315</v>
      </c>
      <c r="L88" s="32" t="str">
        <f t="shared" si="5"/>
        <v>EXCLUDE</v>
      </c>
      <c r="M88" s="32" t="str">
        <f t="shared" si="6"/>
        <v>Wrong domain (non-AECO)</v>
      </c>
      <c r="N88" s="33"/>
      <c r="O88" s="33"/>
      <c r="P88" s="34"/>
      <c r="Q88" s="34"/>
      <c r="R88" s="34"/>
      <c r="S88" s="32" t="str">
        <f t="shared" si="7"/>
        <v/>
      </c>
      <c r="T88" s="32" t="str">
        <f t="shared" si="8"/>
        <v/>
      </c>
      <c r="U88" s="35"/>
      <c r="V88" s="35"/>
      <c r="W88" s="35"/>
      <c r="X88" s="35"/>
      <c r="Y88" s="32" t="str">
        <f t="shared" si="9"/>
        <v/>
      </c>
      <c r="Z88" s="35"/>
      <c r="AA88" s="35"/>
      <c r="AB88" s="35"/>
      <c r="AC88" s="35"/>
      <c r="AD88" s="35"/>
      <c r="AE88" s="35"/>
      <c r="AF88" s="35"/>
      <c r="AG88" s="15" t="s">
        <v>381</v>
      </c>
      <c r="AH88" s="39"/>
      <c r="AI88" s="39"/>
      <c r="AM88" s="69"/>
    </row>
    <row r="89" spans="1:39" ht="102.6" x14ac:dyDescent="0.3">
      <c r="A89" s="30">
        <v>3876</v>
      </c>
      <c r="B89" s="9" t="s">
        <v>196</v>
      </c>
      <c r="C89" s="36">
        <v>2024</v>
      </c>
      <c r="D89" s="9"/>
      <c r="E89" s="9" t="s">
        <v>669</v>
      </c>
      <c r="F89" s="30" t="s">
        <v>314</v>
      </c>
      <c r="G89" s="31" t="s">
        <v>315</v>
      </c>
      <c r="H89" s="31" t="s">
        <v>315</v>
      </c>
      <c r="I89" s="31" t="s">
        <v>315</v>
      </c>
      <c r="J89" s="31" t="s">
        <v>315</v>
      </c>
      <c r="K89" s="31" t="s">
        <v>315</v>
      </c>
      <c r="L89" s="32" t="str">
        <f t="shared" si="5"/>
        <v>INCLUDE</v>
      </c>
      <c r="M89" s="32" t="str">
        <f t="shared" si="6"/>
        <v/>
      </c>
      <c r="N89" s="33" t="s">
        <v>315</v>
      </c>
      <c r="O89" s="33" t="s">
        <v>315</v>
      </c>
      <c r="P89" s="34" t="s">
        <v>315</v>
      </c>
      <c r="Q89" s="34" t="s">
        <v>315</v>
      </c>
      <c r="R89" s="34" t="s">
        <v>315</v>
      </c>
      <c r="S89" s="32" t="str">
        <f t="shared" si="7"/>
        <v>INCLUDE</v>
      </c>
      <c r="T89" s="32" t="str">
        <f t="shared" si="8"/>
        <v/>
      </c>
      <c r="U89" s="35" t="s">
        <v>61</v>
      </c>
      <c r="V89" s="35">
        <v>0</v>
      </c>
      <c r="W89" s="35">
        <v>0</v>
      </c>
      <c r="X89" s="35">
        <v>1</v>
      </c>
      <c r="Y89" s="32" t="str">
        <f t="shared" si="9"/>
        <v>Single</v>
      </c>
      <c r="Z89" s="35" t="s">
        <v>9</v>
      </c>
      <c r="AA89" s="35" t="s">
        <v>53</v>
      </c>
      <c r="AB89" s="35" t="s">
        <v>91</v>
      </c>
      <c r="AC89" s="35" t="s">
        <v>64</v>
      </c>
      <c r="AD89" s="35" t="s">
        <v>72</v>
      </c>
      <c r="AE89" s="35">
        <v>4</v>
      </c>
      <c r="AF89" s="35" t="s">
        <v>86</v>
      </c>
      <c r="AG89" s="15" t="s">
        <v>1016</v>
      </c>
      <c r="AH89" s="39" t="s">
        <v>1220</v>
      </c>
      <c r="AI89" s="39" t="s">
        <v>1221</v>
      </c>
      <c r="AJ89" t="s">
        <v>1496</v>
      </c>
      <c r="AK89" t="s">
        <v>1534</v>
      </c>
      <c r="AL89" t="s">
        <v>1499</v>
      </c>
      <c r="AM89" s="69"/>
    </row>
    <row r="90" spans="1:39" ht="22.8" x14ac:dyDescent="0.3">
      <c r="A90" s="30">
        <v>3786</v>
      </c>
      <c r="B90" s="9"/>
      <c r="C90" s="36"/>
      <c r="D90" s="9"/>
      <c r="E90" s="9" t="s">
        <v>670</v>
      </c>
      <c r="F90" s="30" t="s">
        <v>313</v>
      </c>
      <c r="G90" s="31" t="s">
        <v>316</v>
      </c>
      <c r="H90" s="31" t="s">
        <v>316</v>
      </c>
      <c r="I90" s="31" t="s">
        <v>316</v>
      </c>
      <c r="J90" s="31" t="s">
        <v>315</v>
      </c>
      <c r="K90" s="31" t="s">
        <v>315</v>
      </c>
      <c r="L90" s="32" t="str">
        <f t="shared" si="5"/>
        <v>EXCLUDE</v>
      </c>
      <c r="M90" s="32" t="str">
        <f t="shared" si="6"/>
        <v>Wrong domain (non-AECO)</v>
      </c>
      <c r="N90" s="33"/>
      <c r="O90" s="33"/>
      <c r="P90" s="34"/>
      <c r="Q90" s="34"/>
      <c r="R90" s="34"/>
      <c r="S90" s="32" t="str">
        <f t="shared" si="7"/>
        <v/>
      </c>
      <c r="T90" s="32" t="str">
        <f t="shared" si="8"/>
        <v/>
      </c>
      <c r="U90" s="35"/>
      <c r="V90" s="35"/>
      <c r="W90" s="35"/>
      <c r="X90" s="35"/>
      <c r="Y90" s="32" t="str">
        <f t="shared" si="9"/>
        <v/>
      </c>
      <c r="Z90" s="35"/>
      <c r="AA90" s="35"/>
      <c r="AB90" s="35"/>
      <c r="AC90" s="35"/>
      <c r="AD90" s="35"/>
      <c r="AE90" s="35"/>
      <c r="AF90" s="35"/>
      <c r="AG90" s="15" t="s">
        <v>382</v>
      </c>
      <c r="AH90" s="39"/>
      <c r="AI90" s="39"/>
      <c r="AM90" s="69"/>
    </row>
    <row r="91" spans="1:39" ht="22.8" x14ac:dyDescent="0.3">
      <c r="A91" s="30">
        <v>3778</v>
      </c>
      <c r="B91" s="9"/>
      <c r="C91" s="36"/>
      <c r="D91" s="9"/>
      <c r="E91" s="9" t="s">
        <v>671</v>
      </c>
      <c r="F91" s="30" t="s">
        <v>313</v>
      </c>
      <c r="G91" s="31" t="s">
        <v>316</v>
      </c>
      <c r="H91" s="31" t="s">
        <v>315</v>
      </c>
      <c r="I91" s="31" t="s">
        <v>315</v>
      </c>
      <c r="J91" s="31" t="s">
        <v>315</v>
      </c>
      <c r="K91" s="31" t="s">
        <v>316</v>
      </c>
      <c r="L91" s="32" t="str">
        <f t="shared" si="5"/>
        <v>EXCLUDE</v>
      </c>
      <c r="M91" s="32" t="str">
        <f t="shared" si="6"/>
        <v>Wrong domain (non-AECO)</v>
      </c>
      <c r="N91" s="33"/>
      <c r="O91" s="33"/>
      <c r="P91" s="34"/>
      <c r="Q91" s="34"/>
      <c r="R91" s="34"/>
      <c r="S91" s="32" t="str">
        <f t="shared" si="7"/>
        <v/>
      </c>
      <c r="T91" s="32" t="str">
        <f t="shared" si="8"/>
        <v/>
      </c>
      <c r="U91" s="35"/>
      <c r="V91" s="35"/>
      <c r="W91" s="35"/>
      <c r="X91" s="35"/>
      <c r="Y91" s="32" t="str">
        <f t="shared" si="9"/>
        <v/>
      </c>
      <c r="Z91" s="35"/>
      <c r="AA91" s="35"/>
      <c r="AB91" s="35"/>
      <c r="AC91" s="35"/>
      <c r="AD91" s="35"/>
      <c r="AE91" s="35"/>
      <c r="AF91" s="35"/>
      <c r="AG91" s="15" t="s">
        <v>383</v>
      </c>
      <c r="AH91" s="39"/>
      <c r="AI91" s="39"/>
      <c r="AM91" s="69"/>
    </row>
    <row r="92" spans="1:39" ht="22.8" x14ac:dyDescent="0.3">
      <c r="A92" s="30">
        <v>3797</v>
      </c>
      <c r="B92" s="9"/>
      <c r="C92" s="36"/>
      <c r="D92" s="9"/>
      <c r="E92" s="9" t="s">
        <v>672</v>
      </c>
      <c r="F92" s="30" t="s">
        <v>313</v>
      </c>
      <c r="G92" s="31" t="s">
        <v>316</v>
      </c>
      <c r="H92" s="31" t="s">
        <v>315</v>
      </c>
      <c r="I92" s="31" t="s">
        <v>316</v>
      </c>
      <c r="J92" s="31" t="s">
        <v>315</v>
      </c>
      <c r="K92" s="31" t="s">
        <v>315</v>
      </c>
      <c r="L92" s="32" t="str">
        <f t="shared" si="5"/>
        <v>EXCLUDE</v>
      </c>
      <c r="M92" s="32" t="str">
        <f t="shared" si="6"/>
        <v>Wrong domain (non-AECO)</v>
      </c>
      <c r="N92" s="33"/>
      <c r="O92" s="33"/>
      <c r="P92" s="34"/>
      <c r="Q92" s="34"/>
      <c r="R92" s="34"/>
      <c r="S92" s="32" t="str">
        <f t="shared" si="7"/>
        <v/>
      </c>
      <c r="T92" s="32" t="str">
        <f t="shared" si="8"/>
        <v/>
      </c>
      <c r="U92" s="35"/>
      <c r="V92" s="35"/>
      <c r="W92" s="35"/>
      <c r="X92" s="35"/>
      <c r="Y92" s="32" t="str">
        <f t="shared" si="9"/>
        <v/>
      </c>
      <c r="Z92" s="35"/>
      <c r="AA92" s="35"/>
      <c r="AB92" s="35"/>
      <c r="AC92" s="35"/>
      <c r="AD92" s="35"/>
      <c r="AE92" s="35"/>
      <c r="AF92" s="35"/>
      <c r="AG92" s="15" t="s">
        <v>384</v>
      </c>
      <c r="AH92" s="39"/>
      <c r="AI92" s="39"/>
      <c r="AM92" s="69"/>
    </row>
    <row r="93" spans="1:39" ht="114" x14ac:dyDescent="0.3">
      <c r="A93" s="30">
        <v>3979</v>
      </c>
      <c r="B93" s="9" t="s">
        <v>197</v>
      </c>
      <c r="C93" s="36">
        <v>2025</v>
      </c>
      <c r="D93" s="9"/>
      <c r="E93" s="9" t="s">
        <v>673</v>
      </c>
      <c r="F93" s="30" t="s">
        <v>314</v>
      </c>
      <c r="G93" s="31" t="s">
        <v>315</v>
      </c>
      <c r="H93" s="31" t="s">
        <v>315</v>
      </c>
      <c r="I93" s="31" t="s">
        <v>315</v>
      </c>
      <c r="J93" s="31" t="s">
        <v>315</v>
      </c>
      <c r="K93" s="31" t="s">
        <v>315</v>
      </c>
      <c r="L93" s="32" t="str">
        <f t="shared" si="5"/>
        <v>INCLUDE</v>
      </c>
      <c r="M93" s="32" t="str">
        <f t="shared" si="6"/>
        <v/>
      </c>
      <c r="N93" s="33" t="s">
        <v>49</v>
      </c>
      <c r="O93" s="33" t="s">
        <v>49</v>
      </c>
      <c r="P93" s="34" t="s">
        <v>49</v>
      </c>
      <c r="Q93" s="34" t="s">
        <v>49</v>
      </c>
      <c r="R93" s="34" t="s">
        <v>49</v>
      </c>
      <c r="S93" s="32" t="str">
        <f t="shared" si="7"/>
        <v>INCLUDE</v>
      </c>
      <c r="T93" s="32" t="str">
        <f t="shared" si="8"/>
        <v/>
      </c>
      <c r="U93" s="35" t="s">
        <v>61</v>
      </c>
      <c r="V93" s="35">
        <v>0</v>
      </c>
      <c r="W93" s="35">
        <v>0</v>
      </c>
      <c r="X93" s="35">
        <v>1</v>
      </c>
      <c r="Y93" s="32" t="str">
        <f t="shared" si="9"/>
        <v>Single</v>
      </c>
      <c r="Z93" s="35" t="s">
        <v>9</v>
      </c>
      <c r="AA93" s="35" t="s">
        <v>70</v>
      </c>
      <c r="AB93" s="35" t="s">
        <v>85</v>
      </c>
      <c r="AC93" s="35" t="s">
        <v>64</v>
      </c>
      <c r="AD93" s="35" t="s">
        <v>72</v>
      </c>
      <c r="AE93" s="35">
        <v>4</v>
      </c>
      <c r="AF93" s="35" t="s">
        <v>84</v>
      </c>
      <c r="AG93" s="15" t="s">
        <v>1108</v>
      </c>
      <c r="AH93" s="39" t="s">
        <v>1222</v>
      </c>
      <c r="AI93" s="39" t="s">
        <v>1223</v>
      </c>
      <c r="AJ93" t="s">
        <v>1497</v>
      </c>
      <c r="AK93" t="s">
        <v>1535</v>
      </c>
      <c r="AL93" t="s">
        <v>1499</v>
      </c>
      <c r="AM93" s="69"/>
    </row>
    <row r="94" spans="1:39" ht="22.8" x14ac:dyDescent="0.3">
      <c r="A94" s="30">
        <v>3962</v>
      </c>
      <c r="B94" s="9"/>
      <c r="C94" s="36"/>
      <c r="D94" s="9"/>
      <c r="E94" s="9" t="s">
        <v>674</v>
      </c>
      <c r="F94" s="30" t="s">
        <v>314</v>
      </c>
      <c r="G94" s="31" t="s">
        <v>315</v>
      </c>
      <c r="H94" s="31" t="s">
        <v>316</v>
      </c>
      <c r="I94" s="31" t="s">
        <v>315</v>
      </c>
      <c r="J94" s="31" t="s">
        <v>315</v>
      </c>
      <c r="K94" s="31" t="s">
        <v>315</v>
      </c>
      <c r="L94" s="32" t="str">
        <f t="shared" si="5"/>
        <v>EXCLUDE</v>
      </c>
      <c r="M94" s="32" t="str">
        <f t="shared" si="6"/>
        <v>Digital Twin not core / buzzword</v>
      </c>
      <c r="N94" s="33"/>
      <c r="O94" s="33"/>
      <c r="P94" s="34"/>
      <c r="Q94" s="34"/>
      <c r="R94" s="34"/>
      <c r="S94" s="32" t="str">
        <f t="shared" si="7"/>
        <v/>
      </c>
      <c r="T94" s="32" t="str">
        <f t="shared" si="8"/>
        <v/>
      </c>
      <c r="U94" s="35"/>
      <c r="V94" s="35"/>
      <c r="W94" s="35"/>
      <c r="X94" s="35"/>
      <c r="Y94" s="32" t="str">
        <f t="shared" si="9"/>
        <v/>
      </c>
      <c r="Z94" s="35"/>
      <c r="AA94" s="35"/>
      <c r="AB94" s="35"/>
      <c r="AC94" s="35"/>
      <c r="AD94" s="35"/>
      <c r="AE94" s="35"/>
      <c r="AF94" s="35"/>
      <c r="AG94" s="15" t="s">
        <v>385</v>
      </c>
      <c r="AH94" s="39"/>
      <c r="AI94" s="39"/>
      <c r="AM94" s="69"/>
    </row>
    <row r="95" spans="1:39" ht="22.8" x14ac:dyDescent="0.3">
      <c r="A95" s="30">
        <v>3542</v>
      </c>
      <c r="B95" s="9"/>
      <c r="C95" s="36"/>
      <c r="D95" s="9"/>
      <c r="E95" s="9" t="s">
        <v>675</v>
      </c>
      <c r="F95" s="30" t="s">
        <v>313</v>
      </c>
      <c r="G95" s="31" t="s">
        <v>316</v>
      </c>
      <c r="H95" s="31" t="s">
        <v>315</v>
      </c>
      <c r="I95" s="31" t="s">
        <v>316</v>
      </c>
      <c r="J95" s="31" t="s">
        <v>315</v>
      </c>
      <c r="K95" s="31" t="s">
        <v>315</v>
      </c>
      <c r="L95" s="32" t="str">
        <f t="shared" si="5"/>
        <v>EXCLUDE</v>
      </c>
      <c r="M95" s="32" t="str">
        <f t="shared" si="6"/>
        <v>Wrong domain (non-AECO)</v>
      </c>
      <c r="N95" s="33"/>
      <c r="O95" s="33"/>
      <c r="P95" s="34"/>
      <c r="Q95" s="34"/>
      <c r="R95" s="34"/>
      <c r="S95" s="32" t="str">
        <f t="shared" si="7"/>
        <v/>
      </c>
      <c r="T95" s="32" t="str">
        <f t="shared" si="8"/>
        <v/>
      </c>
      <c r="U95" s="35"/>
      <c r="V95" s="35"/>
      <c r="W95" s="35"/>
      <c r="X95" s="35"/>
      <c r="Y95" s="32" t="str">
        <f t="shared" si="9"/>
        <v/>
      </c>
      <c r="Z95" s="35"/>
      <c r="AA95" s="35"/>
      <c r="AB95" s="35"/>
      <c r="AC95" s="35"/>
      <c r="AD95" s="35"/>
      <c r="AE95" s="35"/>
      <c r="AF95" s="35"/>
      <c r="AG95" s="15" t="s">
        <v>386</v>
      </c>
      <c r="AH95" s="39"/>
      <c r="AI95" s="39"/>
      <c r="AM95" s="69"/>
    </row>
    <row r="96" spans="1:39" ht="22.8" x14ac:dyDescent="0.3">
      <c r="A96" s="30">
        <v>3580</v>
      </c>
      <c r="B96" s="9"/>
      <c r="C96" s="36"/>
      <c r="D96" s="9"/>
      <c r="E96" s="9" t="s">
        <v>676</v>
      </c>
      <c r="F96" s="30" t="s">
        <v>313</v>
      </c>
      <c r="G96" s="31" t="s">
        <v>315</v>
      </c>
      <c r="H96" s="31" t="s">
        <v>316</v>
      </c>
      <c r="I96" s="31" t="s">
        <v>316</v>
      </c>
      <c r="J96" s="31" t="s">
        <v>315</v>
      </c>
      <c r="K96" s="31" t="s">
        <v>315</v>
      </c>
      <c r="L96" s="32" t="str">
        <f t="shared" si="5"/>
        <v>EXCLUDE</v>
      </c>
      <c r="M96" s="32" t="str">
        <f t="shared" si="6"/>
        <v>Digital Twin not core / buzzword</v>
      </c>
      <c r="N96" s="33"/>
      <c r="O96" s="33"/>
      <c r="P96" s="34"/>
      <c r="Q96" s="34"/>
      <c r="R96" s="34"/>
      <c r="S96" s="32" t="str">
        <f t="shared" si="7"/>
        <v/>
      </c>
      <c r="T96" s="32" t="str">
        <f t="shared" si="8"/>
        <v/>
      </c>
      <c r="U96" s="35"/>
      <c r="V96" s="35"/>
      <c r="W96" s="35"/>
      <c r="X96" s="35"/>
      <c r="Y96" s="32" t="str">
        <f t="shared" si="9"/>
        <v/>
      </c>
      <c r="Z96" s="35"/>
      <c r="AA96" s="35"/>
      <c r="AB96" s="35"/>
      <c r="AC96" s="35"/>
      <c r="AD96" s="35"/>
      <c r="AE96" s="35"/>
      <c r="AF96" s="35"/>
      <c r="AG96" s="15" t="s">
        <v>387</v>
      </c>
      <c r="AH96" s="39"/>
      <c r="AI96" s="39"/>
      <c r="AM96" s="69"/>
    </row>
    <row r="97" spans="1:39" x14ac:dyDescent="0.3">
      <c r="A97" s="30">
        <v>3611</v>
      </c>
      <c r="B97" s="9"/>
      <c r="C97" s="36"/>
      <c r="D97" s="9"/>
      <c r="E97" s="9" t="s">
        <v>677</v>
      </c>
      <c r="F97" s="30" t="s">
        <v>313</v>
      </c>
      <c r="G97" s="31" t="s">
        <v>316</v>
      </c>
      <c r="H97" s="31" t="s">
        <v>315</v>
      </c>
      <c r="I97" s="31" t="s">
        <v>315</v>
      </c>
      <c r="J97" s="31" t="s">
        <v>315</v>
      </c>
      <c r="K97" s="31" t="s">
        <v>316</v>
      </c>
      <c r="L97" s="32" t="str">
        <f t="shared" si="5"/>
        <v>EXCLUDE</v>
      </c>
      <c r="M97" s="32" t="str">
        <f t="shared" si="6"/>
        <v>Wrong domain (non-AECO)</v>
      </c>
      <c r="N97" s="33"/>
      <c r="O97" s="33"/>
      <c r="P97" s="34"/>
      <c r="Q97" s="34"/>
      <c r="R97" s="34"/>
      <c r="S97" s="32" t="str">
        <f t="shared" si="7"/>
        <v/>
      </c>
      <c r="T97" s="32" t="str">
        <f t="shared" si="8"/>
        <v/>
      </c>
      <c r="U97" s="35"/>
      <c r="V97" s="35"/>
      <c r="W97" s="35"/>
      <c r="X97" s="35"/>
      <c r="Y97" s="32" t="str">
        <f t="shared" si="9"/>
        <v/>
      </c>
      <c r="Z97" s="35"/>
      <c r="AA97" s="35"/>
      <c r="AB97" s="35"/>
      <c r="AC97" s="35"/>
      <c r="AD97" s="35"/>
      <c r="AE97" s="35"/>
      <c r="AF97" s="35"/>
      <c r="AG97" s="15" t="s">
        <v>388</v>
      </c>
      <c r="AH97" s="39"/>
      <c r="AI97" s="39"/>
      <c r="AM97" s="69"/>
    </row>
    <row r="98" spans="1:39" ht="102.6" x14ac:dyDescent="0.3">
      <c r="A98" s="30">
        <v>4005</v>
      </c>
      <c r="B98" s="9" t="s">
        <v>198</v>
      </c>
      <c r="C98" s="36">
        <v>2023</v>
      </c>
      <c r="D98" s="9"/>
      <c r="E98" s="9" t="s">
        <v>678</v>
      </c>
      <c r="F98" s="30" t="s">
        <v>314</v>
      </c>
      <c r="G98" s="31" t="s">
        <v>315</v>
      </c>
      <c r="H98" s="31" t="s">
        <v>315</v>
      </c>
      <c r="I98" s="31" t="s">
        <v>315</v>
      </c>
      <c r="J98" s="31" t="s">
        <v>315</v>
      </c>
      <c r="K98" s="31" t="s">
        <v>315</v>
      </c>
      <c r="L98" s="32" t="str">
        <f t="shared" si="5"/>
        <v>INCLUDE</v>
      </c>
      <c r="M98" s="32" t="str">
        <f t="shared" si="6"/>
        <v/>
      </c>
      <c r="N98" s="33" t="s">
        <v>315</v>
      </c>
      <c r="O98" s="33" t="s">
        <v>315</v>
      </c>
      <c r="P98" s="34" t="s">
        <v>315</v>
      </c>
      <c r="Q98" s="34" t="s">
        <v>315</v>
      </c>
      <c r="R98" s="34" t="s">
        <v>315</v>
      </c>
      <c r="S98" s="32" t="str">
        <f t="shared" si="7"/>
        <v>INCLUDE</v>
      </c>
      <c r="T98" s="32" t="str">
        <f t="shared" si="8"/>
        <v/>
      </c>
      <c r="U98" s="35" t="s">
        <v>68</v>
      </c>
      <c r="V98" s="35">
        <v>0</v>
      </c>
      <c r="W98" s="35">
        <v>1</v>
      </c>
      <c r="X98" s="35">
        <v>0</v>
      </c>
      <c r="Y98" s="32" t="str">
        <f t="shared" si="9"/>
        <v>Single</v>
      </c>
      <c r="Z98" s="35" t="s">
        <v>9</v>
      </c>
      <c r="AA98" s="35" t="s">
        <v>53</v>
      </c>
      <c r="AB98" s="35" t="s">
        <v>73</v>
      </c>
      <c r="AC98" s="35" t="s">
        <v>64</v>
      </c>
      <c r="AD98" s="35" t="s">
        <v>72</v>
      </c>
      <c r="AE98" s="35">
        <v>4</v>
      </c>
      <c r="AF98" s="35" t="s">
        <v>80</v>
      </c>
      <c r="AG98" s="15" t="s">
        <v>1017</v>
      </c>
      <c r="AH98" s="39" t="s">
        <v>1224</v>
      </c>
      <c r="AI98" s="39" t="s">
        <v>1225</v>
      </c>
      <c r="AJ98" t="s">
        <v>1496</v>
      </c>
      <c r="AK98" t="s">
        <v>1536</v>
      </c>
      <c r="AL98" t="s">
        <v>1499</v>
      </c>
      <c r="AM98" s="69"/>
    </row>
    <row r="99" spans="1:39" ht="22.8" x14ac:dyDescent="0.3">
      <c r="A99" s="30">
        <v>3652</v>
      </c>
      <c r="B99" s="9"/>
      <c r="C99" s="36"/>
      <c r="D99" s="9"/>
      <c r="E99" s="9" t="s">
        <v>679</v>
      </c>
      <c r="F99" s="30" t="s">
        <v>313</v>
      </c>
      <c r="G99" s="31" t="s">
        <v>316</v>
      </c>
      <c r="H99" s="31" t="s">
        <v>315</v>
      </c>
      <c r="I99" s="31" t="s">
        <v>316</v>
      </c>
      <c r="J99" s="31" t="s">
        <v>315</v>
      </c>
      <c r="K99" s="31" t="s">
        <v>315</v>
      </c>
      <c r="L99" s="32" t="str">
        <f t="shared" si="5"/>
        <v>EXCLUDE</v>
      </c>
      <c r="M99" s="32" t="str">
        <f t="shared" si="6"/>
        <v>Wrong domain (non-AECO)</v>
      </c>
      <c r="N99" s="33"/>
      <c r="O99" s="33"/>
      <c r="P99" s="34"/>
      <c r="Q99" s="34"/>
      <c r="R99" s="34"/>
      <c r="S99" s="32" t="str">
        <f t="shared" si="7"/>
        <v/>
      </c>
      <c r="T99" s="32" t="str">
        <f t="shared" si="8"/>
        <v/>
      </c>
      <c r="U99" s="35"/>
      <c r="V99" s="35"/>
      <c r="W99" s="35"/>
      <c r="X99" s="35"/>
      <c r="Y99" s="32" t="str">
        <f t="shared" si="9"/>
        <v/>
      </c>
      <c r="Z99" s="35"/>
      <c r="AA99" s="35"/>
      <c r="AB99" s="35"/>
      <c r="AC99" s="35"/>
      <c r="AD99" s="35"/>
      <c r="AE99" s="35"/>
      <c r="AF99" s="35"/>
      <c r="AG99" s="15" t="s">
        <v>389</v>
      </c>
      <c r="AH99" s="39"/>
      <c r="AI99" s="39"/>
      <c r="AM99" s="69"/>
    </row>
    <row r="100" spans="1:39" x14ac:dyDescent="0.3">
      <c r="A100" s="30">
        <v>3942</v>
      </c>
      <c r="B100" s="9"/>
      <c r="C100" s="36"/>
      <c r="D100" s="9"/>
      <c r="E100" s="9" t="s">
        <v>680</v>
      </c>
      <c r="F100" s="30" t="s">
        <v>314</v>
      </c>
      <c r="G100" s="31" t="s">
        <v>315</v>
      </c>
      <c r="H100" s="31" t="s">
        <v>316</v>
      </c>
      <c r="I100" s="31" t="s">
        <v>315</v>
      </c>
      <c r="J100" s="31" t="s">
        <v>315</v>
      </c>
      <c r="K100" s="31" t="s">
        <v>315</v>
      </c>
      <c r="L100" s="32" t="str">
        <f t="shared" si="5"/>
        <v>EXCLUDE</v>
      </c>
      <c r="M100" s="32" t="str">
        <f t="shared" si="6"/>
        <v>Digital Twin not core / buzzword</v>
      </c>
      <c r="N100" s="33"/>
      <c r="O100" s="33"/>
      <c r="P100" s="34"/>
      <c r="Q100" s="34"/>
      <c r="R100" s="34"/>
      <c r="S100" s="32" t="str">
        <f t="shared" si="7"/>
        <v/>
      </c>
      <c r="T100" s="32" t="str">
        <f t="shared" si="8"/>
        <v/>
      </c>
      <c r="U100" s="35"/>
      <c r="V100" s="35"/>
      <c r="W100" s="35"/>
      <c r="X100" s="35"/>
      <c r="Y100" s="32" t="str">
        <f t="shared" si="9"/>
        <v/>
      </c>
      <c r="Z100" s="35"/>
      <c r="AA100" s="35"/>
      <c r="AB100" s="35"/>
      <c r="AC100" s="35"/>
      <c r="AD100" s="35"/>
      <c r="AE100" s="35"/>
      <c r="AF100" s="35"/>
      <c r="AG100" s="15" t="s">
        <v>390</v>
      </c>
      <c r="AH100" s="39"/>
      <c r="AI100" s="39"/>
      <c r="AM100" s="69"/>
    </row>
    <row r="101" spans="1:39" ht="114" x14ac:dyDescent="0.3">
      <c r="A101" s="30">
        <v>4026</v>
      </c>
      <c r="B101" s="9" t="s">
        <v>199</v>
      </c>
      <c r="C101" s="36">
        <v>2023</v>
      </c>
      <c r="D101" s="9"/>
      <c r="E101" s="9" t="s">
        <v>681</v>
      </c>
      <c r="F101" s="30" t="s">
        <v>314</v>
      </c>
      <c r="G101" s="31" t="s">
        <v>315</v>
      </c>
      <c r="H101" s="31" t="s">
        <v>315</v>
      </c>
      <c r="I101" s="31" t="s">
        <v>315</v>
      </c>
      <c r="J101" s="31" t="s">
        <v>315</v>
      </c>
      <c r="K101" s="31" t="s">
        <v>315</v>
      </c>
      <c r="L101" s="32" t="str">
        <f t="shared" si="5"/>
        <v>INCLUDE</v>
      </c>
      <c r="M101" s="32" t="str">
        <f t="shared" si="6"/>
        <v/>
      </c>
      <c r="N101" s="33" t="s">
        <v>49</v>
      </c>
      <c r="O101" s="33" t="s">
        <v>49</v>
      </c>
      <c r="P101" s="34" t="s">
        <v>49</v>
      </c>
      <c r="Q101" s="34" t="s">
        <v>49</v>
      </c>
      <c r="R101" s="34" t="s">
        <v>49</v>
      </c>
      <c r="S101" s="32" t="str">
        <f t="shared" si="7"/>
        <v>INCLUDE</v>
      </c>
      <c r="T101" s="32" t="str">
        <f t="shared" si="8"/>
        <v/>
      </c>
      <c r="U101" s="35" t="s">
        <v>52</v>
      </c>
      <c r="V101" s="35">
        <v>0</v>
      </c>
      <c r="W101" s="35">
        <v>0</v>
      </c>
      <c r="X101" s="35">
        <v>1</v>
      </c>
      <c r="Y101" s="32" t="str">
        <f t="shared" si="9"/>
        <v>Single</v>
      </c>
      <c r="Z101" s="35" t="s">
        <v>9</v>
      </c>
      <c r="AA101" s="35" t="s">
        <v>62</v>
      </c>
      <c r="AB101" s="35" t="s">
        <v>88</v>
      </c>
      <c r="AC101" s="35" t="s">
        <v>64</v>
      </c>
      <c r="AD101" s="35" t="s">
        <v>65</v>
      </c>
      <c r="AE101" s="35">
        <v>4</v>
      </c>
      <c r="AF101" s="35" t="s">
        <v>84</v>
      </c>
      <c r="AG101" s="15" t="s">
        <v>1109</v>
      </c>
      <c r="AH101" s="39" t="s">
        <v>1226</v>
      </c>
      <c r="AI101" s="39" t="s">
        <v>1227</v>
      </c>
      <c r="AJ101" t="s">
        <v>82</v>
      </c>
      <c r="AK101" t="s">
        <v>1537</v>
      </c>
      <c r="AL101" t="s">
        <v>1499</v>
      </c>
      <c r="AM101" s="69"/>
    </row>
    <row r="102" spans="1:39" ht="22.8" x14ac:dyDescent="0.3">
      <c r="A102" s="30">
        <v>4031</v>
      </c>
      <c r="B102" s="9"/>
      <c r="C102" s="36"/>
      <c r="D102" s="9"/>
      <c r="E102" s="9" t="s">
        <v>682</v>
      </c>
      <c r="F102" s="30" t="s">
        <v>314</v>
      </c>
      <c r="G102" s="31" t="s">
        <v>315</v>
      </c>
      <c r="H102" s="31" t="s">
        <v>316</v>
      </c>
      <c r="I102" s="31" t="s">
        <v>315</v>
      </c>
      <c r="J102" s="31" t="s">
        <v>315</v>
      </c>
      <c r="K102" s="31" t="s">
        <v>315</v>
      </c>
      <c r="L102" s="32" t="str">
        <f t="shared" si="5"/>
        <v>EXCLUDE</v>
      </c>
      <c r="M102" s="32" t="str">
        <f t="shared" si="6"/>
        <v>Digital Twin not core / buzzword</v>
      </c>
      <c r="N102" s="33"/>
      <c r="O102" s="33"/>
      <c r="P102" s="34"/>
      <c r="Q102" s="34"/>
      <c r="R102" s="34"/>
      <c r="S102" s="32" t="str">
        <f t="shared" si="7"/>
        <v/>
      </c>
      <c r="T102" s="32" t="str">
        <f t="shared" si="8"/>
        <v/>
      </c>
      <c r="U102" s="35"/>
      <c r="V102" s="35"/>
      <c r="W102" s="35"/>
      <c r="X102" s="35"/>
      <c r="Y102" s="32" t="str">
        <f t="shared" si="9"/>
        <v/>
      </c>
      <c r="Z102" s="35"/>
      <c r="AA102" s="35"/>
      <c r="AB102" s="35"/>
      <c r="AC102" s="35"/>
      <c r="AD102" s="35"/>
      <c r="AE102" s="35"/>
      <c r="AF102" s="35"/>
      <c r="AG102" s="15" t="s">
        <v>391</v>
      </c>
      <c r="AH102" s="39"/>
      <c r="AI102" s="39"/>
      <c r="AM102" s="69"/>
    </row>
    <row r="103" spans="1:39" ht="91.2" x14ac:dyDescent="0.3">
      <c r="A103" s="30">
        <v>3577</v>
      </c>
      <c r="B103" s="9" t="s">
        <v>200</v>
      </c>
      <c r="C103" s="36">
        <v>2023</v>
      </c>
      <c r="D103" s="9"/>
      <c r="E103" s="9" t="s">
        <v>683</v>
      </c>
      <c r="F103" s="30" t="s">
        <v>313</v>
      </c>
      <c r="G103" s="31" t="s">
        <v>315</v>
      </c>
      <c r="H103" s="31" t="s">
        <v>315</v>
      </c>
      <c r="I103" s="31" t="s">
        <v>315</v>
      </c>
      <c r="J103" s="31" t="s">
        <v>315</v>
      </c>
      <c r="K103" s="31" t="s">
        <v>315</v>
      </c>
      <c r="L103" s="32" t="str">
        <f t="shared" si="5"/>
        <v>INCLUDE</v>
      </c>
      <c r="M103" s="32" t="str">
        <f t="shared" si="6"/>
        <v/>
      </c>
      <c r="N103" s="33" t="s">
        <v>315</v>
      </c>
      <c r="O103" s="33" t="s">
        <v>315</v>
      </c>
      <c r="P103" s="34" t="s">
        <v>315</v>
      </c>
      <c r="Q103" s="34" t="s">
        <v>315</v>
      </c>
      <c r="R103" s="34" t="s">
        <v>315</v>
      </c>
      <c r="S103" s="32" t="str">
        <f t="shared" si="7"/>
        <v>INCLUDE</v>
      </c>
      <c r="T103" s="32" t="str">
        <f t="shared" si="8"/>
        <v/>
      </c>
      <c r="U103" s="35" t="s">
        <v>61</v>
      </c>
      <c r="V103" s="35">
        <v>0</v>
      </c>
      <c r="W103" s="35">
        <v>0</v>
      </c>
      <c r="X103" s="35">
        <v>1</v>
      </c>
      <c r="Y103" s="32" t="str">
        <f t="shared" si="9"/>
        <v>Single</v>
      </c>
      <c r="Z103" s="35" t="s">
        <v>9</v>
      </c>
      <c r="AA103" s="35" t="s">
        <v>53</v>
      </c>
      <c r="AB103" s="35" t="s">
        <v>83</v>
      </c>
      <c r="AC103" s="35" t="s">
        <v>64</v>
      </c>
      <c r="AD103" s="35" t="s">
        <v>65</v>
      </c>
      <c r="AE103" s="35">
        <v>4</v>
      </c>
      <c r="AF103" s="35" t="s">
        <v>80</v>
      </c>
      <c r="AG103" s="15" t="s">
        <v>1018</v>
      </c>
      <c r="AH103" s="39" t="s">
        <v>1228</v>
      </c>
      <c r="AI103" s="39" t="s">
        <v>1229</v>
      </c>
      <c r="AJ103" t="s">
        <v>82</v>
      </c>
      <c r="AK103" t="s">
        <v>1538</v>
      </c>
      <c r="AL103" t="s">
        <v>1499</v>
      </c>
      <c r="AM103" s="69"/>
    </row>
    <row r="104" spans="1:39" ht="22.8" x14ac:dyDescent="0.3">
      <c r="A104" s="30">
        <v>3908</v>
      </c>
      <c r="B104" s="9"/>
      <c r="C104" s="36"/>
      <c r="D104" s="9"/>
      <c r="E104" s="9" t="s">
        <v>684</v>
      </c>
      <c r="F104" s="30" t="s">
        <v>314</v>
      </c>
      <c r="G104" s="31" t="s">
        <v>315</v>
      </c>
      <c r="H104" s="31" t="s">
        <v>315</v>
      </c>
      <c r="I104" s="31" t="s">
        <v>316</v>
      </c>
      <c r="J104" s="31" t="s">
        <v>315</v>
      </c>
      <c r="K104" s="31" t="s">
        <v>315</v>
      </c>
      <c r="L104" s="32" t="str">
        <f t="shared" si="5"/>
        <v>EXCLUDE</v>
      </c>
      <c r="M104" s="32" t="str">
        <f t="shared" si="6"/>
        <v>No Design for Safety/Quality/PtD</v>
      </c>
      <c r="N104" s="33"/>
      <c r="O104" s="33"/>
      <c r="P104" s="34"/>
      <c r="Q104" s="34"/>
      <c r="R104" s="34"/>
      <c r="S104" s="32" t="str">
        <f t="shared" si="7"/>
        <v/>
      </c>
      <c r="T104" s="32" t="str">
        <f t="shared" si="8"/>
        <v/>
      </c>
      <c r="U104" s="35"/>
      <c r="V104" s="35"/>
      <c r="W104" s="35"/>
      <c r="X104" s="35"/>
      <c r="Y104" s="32" t="str">
        <f t="shared" si="9"/>
        <v/>
      </c>
      <c r="Z104" s="35"/>
      <c r="AA104" s="35"/>
      <c r="AB104" s="35"/>
      <c r="AC104" s="35"/>
      <c r="AD104" s="35"/>
      <c r="AE104" s="35"/>
      <c r="AF104" s="35"/>
      <c r="AG104" s="15" t="s">
        <v>392</v>
      </c>
      <c r="AH104" s="39"/>
      <c r="AI104" s="39"/>
      <c r="AM104" s="69"/>
    </row>
    <row r="105" spans="1:39" ht="102.6" x14ac:dyDescent="0.3">
      <c r="A105" s="30">
        <v>3977</v>
      </c>
      <c r="B105" s="9" t="s">
        <v>201</v>
      </c>
      <c r="C105" s="36">
        <v>2026</v>
      </c>
      <c r="D105" s="9"/>
      <c r="E105" s="9" t="s">
        <v>685</v>
      </c>
      <c r="F105" s="30" t="s">
        <v>314</v>
      </c>
      <c r="G105" s="31" t="s">
        <v>315</v>
      </c>
      <c r="H105" s="31" t="s">
        <v>315</v>
      </c>
      <c r="I105" s="31" t="s">
        <v>315</v>
      </c>
      <c r="J105" s="31" t="s">
        <v>315</v>
      </c>
      <c r="K105" s="31" t="s">
        <v>315</v>
      </c>
      <c r="L105" s="32" t="str">
        <f t="shared" si="5"/>
        <v>INCLUDE</v>
      </c>
      <c r="M105" s="32" t="str">
        <f t="shared" si="6"/>
        <v/>
      </c>
      <c r="N105" s="33" t="s">
        <v>315</v>
      </c>
      <c r="O105" s="33" t="s">
        <v>315</v>
      </c>
      <c r="P105" s="34" t="s">
        <v>315</v>
      </c>
      <c r="Q105" s="34" t="s">
        <v>315</v>
      </c>
      <c r="R105" s="34" t="s">
        <v>315</v>
      </c>
      <c r="S105" s="32" t="str">
        <f t="shared" si="7"/>
        <v>INCLUDE</v>
      </c>
      <c r="T105" s="32" t="str">
        <f t="shared" si="8"/>
        <v/>
      </c>
      <c r="U105" s="35" t="s">
        <v>68</v>
      </c>
      <c r="V105" s="35">
        <v>0</v>
      </c>
      <c r="W105" s="35">
        <v>1</v>
      </c>
      <c r="X105" s="35">
        <v>0</v>
      </c>
      <c r="Y105" s="32" t="str">
        <f t="shared" si="9"/>
        <v>Single</v>
      </c>
      <c r="Z105" s="35" t="s">
        <v>9</v>
      </c>
      <c r="AA105" s="35" t="s">
        <v>53</v>
      </c>
      <c r="AB105" s="35" t="s">
        <v>78</v>
      </c>
      <c r="AC105" s="35" t="s">
        <v>64</v>
      </c>
      <c r="AD105" s="35" t="s">
        <v>72</v>
      </c>
      <c r="AE105" s="35">
        <v>4</v>
      </c>
      <c r="AF105" s="35" t="s">
        <v>80</v>
      </c>
      <c r="AG105" s="15" t="s">
        <v>1019</v>
      </c>
      <c r="AH105" s="39" t="s">
        <v>1230</v>
      </c>
      <c r="AI105" s="39" t="s">
        <v>1231</v>
      </c>
      <c r="AJ105" t="s">
        <v>1497</v>
      </c>
      <c r="AK105" t="s">
        <v>1539</v>
      </c>
      <c r="AL105" t="s">
        <v>1499</v>
      </c>
      <c r="AM105" s="69"/>
    </row>
    <row r="106" spans="1:39" ht="22.8" x14ac:dyDescent="0.3">
      <c r="A106" s="30">
        <v>3609</v>
      </c>
      <c r="B106" s="9"/>
      <c r="C106" s="36"/>
      <c r="D106" s="9"/>
      <c r="E106" s="9" t="s">
        <v>686</v>
      </c>
      <c r="F106" s="30" t="s">
        <v>313</v>
      </c>
      <c r="G106" s="31" t="s">
        <v>316</v>
      </c>
      <c r="H106" s="31" t="s">
        <v>315</v>
      </c>
      <c r="I106" s="31" t="s">
        <v>315</v>
      </c>
      <c r="J106" s="31" t="s">
        <v>315</v>
      </c>
      <c r="K106" s="31" t="s">
        <v>315</v>
      </c>
      <c r="L106" s="32" t="str">
        <f t="shared" si="5"/>
        <v>EXCLUDE</v>
      </c>
      <c r="M106" s="32" t="str">
        <f t="shared" si="6"/>
        <v>Wrong domain (non-AECO)</v>
      </c>
      <c r="N106" s="33"/>
      <c r="O106" s="33"/>
      <c r="P106" s="34"/>
      <c r="Q106" s="34"/>
      <c r="R106" s="34"/>
      <c r="S106" s="32" t="str">
        <f t="shared" si="7"/>
        <v/>
      </c>
      <c r="T106" s="32" t="str">
        <f t="shared" si="8"/>
        <v/>
      </c>
      <c r="U106" s="35"/>
      <c r="V106" s="35"/>
      <c r="W106" s="35"/>
      <c r="X106" s="35"/>
      <c r="Y106" s="32" t="str">
        <f t="shared" si="9"/>
        <v/>
      </c>
      <c r="Z106" s="35"/>
      <c r="AA106" s="35"/>
      <c r="AB106" s="35"/>
      <c r="AC106" s="35"/>
      <c r="AD106" s="35"/>
      <c r="AE106" s="35"/>
      <c r="AF106" s="35"/>
      <c r="AG106" s="15" t="s">
        <v>393</v>
      </c>
      <c r="AH106" s="39"/>
      <c r="AI106" s="39"/>
      <c r="AM106" s="69"/>
    </row>
    <row r="107" spans="1:39" ht="148.19999999999999" x14ac:dyDescent="0.3">
      <c r="A107" s="30">
        <v>3924</v>
      </c>
      <c r="B107" s="9" t="s">
        <v>202</v>
      </c>
      <c r="C107" s="36">
        <v>2025</v>
      </c>
      <c r="D107" s="9"/>
      <c r="E107" s="9" t="s">
        <v>687</v>
      </c>
      <c r="F107" s="30" t="s">
        <v>314</v>
      </c>
      <c r="G107" s="31" t="s">
        <v>315</v>
      </c>
      <c r="H107" s="31" t="s">
        <v>315</v>
      </c>
      <c r="I107" s="31" t="s">
        <v>315</v>
      </c>
      <c r="J107" s="31" t="s">
        <v>315</v>
      </c>
      <c r="K107" s="31" t="s">
        <v>315</v>
      </c>
      <c r="L107" s="32" t="str">
        <f t="shared" si="5"/>
        <v>INCLUDE</v>
      </c>
      <c r="M107" s="32" t="str">
        <f t="shared" si="6"/>
        <v/>
      </c>
      <c r="N107" s="33" t="s">
        <v>315</v>
      </c>
      <c r="O107" s="33" t="s">
        <v>315</v>
      </c>
      <c r="P107" s="34" t="s">
        <v>315</v>
      </c>
      <c r="Q107" s="34" t="s">
        <v>315</v>
      </c>
      <c r="R107" s="34" t="s">
        <v>315</v>
      </c>
      <c r="S107" s="32" t="str">
        <f t="shared" si="7"/>
        <v>INCLUDE</v>
      </c>
      <c r="T107" s="32" t="str">
        <f t="shared" si="8"/>
        <v/>
      </c>
      <c r="U107" s="35" t="s">
        <v>61</v>
      </c>
      <c r="V107" s="35">
        <v>0</v>
      </c>
      <c r="W107" s="35">
        <v>0</v>
      </c>
      <c r="X107" s="35">
        <v>1</v>
      </c>
      <c r="Y107" s="32" t="str">
        <f t="shared" si="9"/>
        <v>Single</v>
      </c>
      <c r="Z107" s="35" t="s">
        <v>11</v>
      </c>
      <c r="AA107" s="35" t="s">
        <v>53</v>
      </c>
      <c r="AB107" s="35" t="s">
        <v>91</v>
      </c>
      <c r="AC107" s="35" t="s">
        <v>64</v>
      </c>
      <c r="AD107" s="35" t="s">
        <v>72</v>
      </c>
      <c r="AE107" s="35">
        <v>4</v>
      </c>
      <c r="AF107" s="35" t="s">
        <v>57</v>
      </c>
      <c r="AG107" s="15" t="s">
        <v>1020</v>
      </c>
      <c r="AH107" s="39" t="s">
        <v>1232</v>
      </c>
      <c r="AI107" s="39" t="s">
        <v>1233</v>
      </c>
      <c r="AJ107" t="s">
        <v>1497</v>
      </c>
      <c r="AK107" t="s">
        <v>1540</v>
      </c>
      <c r="AL107" t="s">
        <v>1499</v>
      </c>
      <c r="AM107" s="69"/>
    </row>
    <row r="108" spans="1:39" ht="22.8" x14ac:dyDescent="0.3">
      <c r="A108" s="30">
        <v>3980</v>
      </c>
      <c r="B108" s="9"/>
      <c r="C108" s="36"/>
      <c r="D108" s="9"/>
      <c r="E108" s="9" t="s">
        <v>688</v>
      </c>
      <c r="F108" s="30" t="s">
        <v>314</v>
      </c>
      <c r="G108" s="31" t="s">
        <v>316</v>
      </c>
      <c r="H108" s="31" t="s">
        <v>315</v>
      </c>
      <c r="I108" s="31" t="s">
        <v>316</v>
      </c>
      <c r="J108" s="31" t="s">
        <v>315</v>
      </c>
      <c r="K108" s="31" t="s">
        <v>315</v>
      </c>
      <c r="L108" s="32" t="str">
        <f t="shared" si="5"/>
        <v>EXCLUDE</v>
      </c>
      <c r="M108" s="32" t="str">
        <f t="shared" si="6"/>
        <v>Wrong domain (non-AECO)</v>
      </c>
      <c r="N108" s="33"/>
      <c r="O108" s="33"/>
      <c r="P108" s="34"/>
      <c r="Q108" s="34"/>
      <c r="R108" s="34"/>
      <c r="S108" s="32" t="str">
        <f t="shared" si="7"/>
        <v/>
      </c>
      <c r="T108" s="32" t="str">
        <f t="shared" si="8"/>
        <v/>
      </c>
      <c r="U108" s="35"/>
      <c r="V108" s="35"/>
      <c r="W108" s="35"/>
      <c r="X108" s="35"/>
      <c r="Y108" s="32" t="str">
        <f t="shared" si="9"/>
        <v/>
      </c>
      <c r="Z108" s="35"/>
      <c r="AA108" s="35"/>
      <c r="AB108" s="35"/>
      <c r="AC108" s="35"/>
      <c r="AD108" s="35"/>
      <c r="AE108" s="35"/>
      <c r="AF108" s="35"/>
      <c r="AG108" s="15" t="s">
        <v>394</v>
      </c>
      <c r="AH108" s="39"/>
      <c r="AI108" s="39"/>
      <c r="AM108" s="69"/>
    </row>
    <row r="109" spans="1:39" ht="22.8" x14ac:dyDescent="0.3">
      <c r="A109" s="30">
        <v>4045</v>
      </c>
      <c r="B109" s="9"/>
      <c r="C109" s="36"/>
      <c r="D109" s="9"/>
      <c r="E109" s="9" t="s">
        <v>689</v>
      </c>
      <c r="F109" s="30" t="s">
        <v>314</v>
      </c>
      <c r="G109" s="31" t="s">
        <v>315</v>
      </c>
      <c r="H109" s="31" t="s">
        <v>316</v>
      </c>
      <c r="I109" s="31" t="s">
        <v>316</v>
      </c>
      <c r="J109" s="31" t="s">
        <v>315</v>
      </c>
      <c r="K109" s="31" t="s">
        <v>315</v>
      </c>
      <c r="L109" s="32" t="str">
        <f t="shared" si="5"/>
        <v>EXCLUDE</v>
      </c>
      <c r="M109" s="32" t="str">
        <f t="shared" si="6"/>
        <v>Digital Twin not core / buzzword</v>
      </c>
      <c r="N109" s="33"/>
      <c r="O109" s="33"/>
      <c r="P109" s="34"/>
      <c r="Q109" s="34"/>
      <c r="R109" s="34"/>
      <c r="S109" s="32" t="str">
        <f t="shared" si="7"/>
        <v/>
      </c>
      <c r="T109" s="32" t="str">
        <f t="shared" si="8"/>
        <v/>
      </c>
      <c r="U109" s="35"/>
      <c r="V109" s="35"/>
      <c r="W109" s="35"/>
      <c r="X109" s="35"/>
      <c r="Y109" s="32" t="str">
        <f t="shared" si="9"/>
        <v/>
      </c>
      <c r="Z109" s="35"/>
      <c r="AA109" s="35"/>
      <c r="AB109" s="35"/>
      <c r="AC109" s="35"/>
      <c r="AD109" s="35"/>
      <c r="AE109" s="35"/>
      <c r="AF109" s="35"/>
      <c r="AG109" s="15" t="s">
        <v>395</v>
      </c>
      <c r="AH109" s="39"/>
      <c r="AI109" s="39"/>
      <c r="AM109" s="69"/>
    </row>
    <row r="110" spans="1:39" ht="79.8" x14ac:dyDescent="0.3">
      <c r="A110" s="30">
        <v>3770</v>
      </c>
      <c r="B110" s="9" t="s">
        <v>203</v>
      </c>
      <c r="C110" s="36">
        <v>2020</v>
      </c>
      <c r="D110" s="9"/>
      <c r="E110" s="9" t="s">
        <v>690</v>
      </c>
      <c r="F110" s="30" t="s">
        <v>313</v>
      </c>
      <c r="G110" s="31" t="s">
        <v>315</v>
      </c>
      <c r="H110" s="31" t="s">
        <v>315</v>
      </c>
      <c r="I110" s="31" t="s">
        <v>315</v>
      </c>
      <c r="J110" s="31" t="s">
        <v>315</v>
      </c>
      <c r="K110" s="31" t="s">
        <v>315</v>
      </c>
      <c r="L110" s="32" t="str">
        <f t="shared" si="5"/>
        <v>INCLUDE</v>
      </c>
      <c r="M110" s="32" t="str">
        <f t="shared" si="6"/>
        <v/>
      </c>
      <c r="N110" s="33" t="s">
        <v>49</v>
      </c>
      <c r="O110" s="33" t="s">
        <v>49</v>
      </c>
      <c r="P110" s="34" t="s">
        <v>49</v>
      </c>
      <c r="Q110" s="34" t="s">
        <v>49</v>
      </c>
      <c r="R110" s="34" t="s">
        <v>49</v>
      </c>
      <c r="S110" s="32" t="str">
        <f t="shared" si="7"/>
        <v>INCLUDE</v>
      </c>
      <c r="T110" s="32" t="str">
        <f t="shared" si="8"/>
        <v/>
      </c>
      <c r="U110" s="35" t="s">
        <v>61</v>
      </c>
      <c r="V110" s="35">
        <v>0</v>
      </c>
      <c r="W110" s="35">
        <v>0</v>
      </c>
      <c r="X110" s="35">
        <v>1</v>
      </c>
      <c r="Y110" s="32" t="str">
        <f t="shared" si="9"/>
        <v>Single</v>
      </c>
      <c r="Z110" s="35" t="s">
        <v>9</v>
      </c>
      <c r="AA110" s="35" t="s">
        <v>53</v>
      </c>
      <c r="AB110" s="35" t="s">
        <v>73</v>
      </c>
      <c r="AC110" s="35" t="s">
        <v>55</v>
      </c>
      <c r="AD110" s="35" t="s">
        <v>72</v>
      </c>
      <c r="AE110" s="35">
        <v>3</v>
      </c>
      <c r="AF110" s="35" t="s">
        <v>73</v>
      </c>
      <c r="AG110" s="15" t="s">
        <v>1110</v>
      </c>
      <c r="AH110" s="39" t="s">
        <v>1234</v>
      </c>
      <c r="AI110" s="39" t="s">
        <v>1235</v>
      </c>
      <c r="AJ110" t="s">
        <v>1494</v>
      </c>
      <c r="AK110" t="s">
        <v>1541</v>
      </c>
      <c r="AL110" t="s">
        <v>1499</v>
      </c>
      <c r="AM110" s="69"/>
    </row>
    <row r="111" spans="1:39" ht="79.8" x14ac:dyDescent="0.3">
      <c r="A111" s="30">
        <v>3926</v>
      </c>
      <c r="B111" s="9" t="s">
        <v>204</v>
      </c>
      <c r="C111" s="36">
        <v>2026</v>
      </c>
      <c r="D111" s="9"/>
      <c r="E111" s="9" t="s">
        <v>691</v>
      </c>
      <c r="F111" s="30" t="s">
        <v>314</v>
      </c>
      <c r="G111" s="31" t="s">
        <v>315</v>
      </c>
      <c r="H111" s="31" t="s">
        <v>315</v>
      </c>
      <c r="I111" s="31" t="s">
        <v>315</v>
      </c>
      <c r="J111" s="31" t="s">
        <v>315</v>
      </c>
      <c r="K111" s="31" t="s">
        <v>315</v>
      </c>
      <c r="L111" s="32" t="str">
        <f t="shared" si="5"/>
        <v>INCLUDE</v>
      </c>
      <c r="M111" s="32" t="str">
        <f t="shared" si="6"/>
        <v/>
      </c>
      <c r="N111" s="33" t="s">
        <v>49</v>
      </c>
      <c r="O111" s="33" t="s">
        <v>49</v>
      </c>
      <c r="P111" s="34" t="s">
        <v>49</v>
      </c>
      <c r="Q111" s="34" t="s">
        <v>49</v>
      </c>
      <c r="R111" s="34" t="s">
        <v>49</v>
      </c>
      <c r="S111" s="32" t="str">
        <f t="shared" si="7"/>
        <v>INCLUDE</v>
      </c>
      <c r="T111" s="32" t="str">
        <f t="shared" si="8"/>
        <v/>
      </c>
      <c r="U111" s="35" t="s">
        <v>61</v>
      </c>
      <c r="V111" s="35">
        <v>1</v>
      </c>
      <c r="W111" s="35">
        <v>1</v>
      </c>
      <c r="X111" s="35">
        <v>1</v>
      </c>
      <c r="Y111" s="32" t="str">
        <f t="shared" si="9"/>
        <v>Multi</v>
      </c>
      <c r="Z111" s="35" t="s">
        <v>69</v>
      </c>
      <c r="AA111" s="35" t="s">
        <v>53</v>
      </c>
      <c r="AB111" s="35" t="s">
        <v>92</v>
      </c>
      <c r="AC111" s="35" t="s">
        <v>64</v>
      </c>
      <c r="AD111" s="35" t="s">
        <v>72</v>
      </c>
      <c r="AE111" s="35">
        <v>4</v>
      </c>
      <c r="AF111" s="35" t="s">
        <v>86</v>
      </c>
      <c r="AG111" s="15" t="s">
        <v>1111</v>
      </c>
      <c r="AH111" s="39" t="s">
        <v>1236</v>
      </c>
      <c r="AI111" s="39" t="s">
        <v>1237</v>
      </c>
      <c r="AJ111" t="s">
        <v>1496</v>
      </c>
      <c r="AK111" t="s">
        <v>1542</v>
      </c>
      <c r="AL111" t="s">
        <v>1500</v>
      </c>
      <c r="AM111" s="69"/>
    </row>
    <row r="112" spans="1:39" ht="102.6" x14ac:dyDescent="0.3">
      <c r="A112" s="30">
        <v>3959</v>
      </c>
      <c r="B112" s="9" t="s">
        <v>205</v>
      </c>
      <c r="C112" s="36">
        <v>2025</v>
      </c>
      <c r="D112" s="9"/>
      <c r="E112" s="9" t="s">
        <v>692</v>
      </c>
      <c r="F112" s="30" t="s">
        <v>314</v>
      </c>
      <c r="G112" s="31" t="s">
        <v>315</v>
      </c>
      <c r="H112" s="31" t="s">
        <v>315</v>
      </c>
      <c r="I112" s="31" t="s">
        <v>315</v>
      </c>
      <c r="J112" s="31" t="s">
        <v>315</v>
      </c>
      <c r="K112" s="31" t="s">
        <v>315</v>
      </c>
      <c r="L112" s="32" t="str">
        <f t="shared" si="5"/>
        <v>INCLUDE</v>
      </c>
      <c r="M112" s="32" t="str">
        <f t="shared" si="6"/>
        <v/>
      </c>
      <c r="N112" s="33" t="s">
        <v>315</v>
      </c>
      <c r="O112" s="33" t="s">
        <v>315</v>
      </c>
      <c r="P112" s="34" t="s">
        <v>315</v>
      </c>
      <c r="Q112" s="34" t="s">
        <v>315</v>
      </c>
      <c r="R112" s="34" t="s">
        <v>315</v>
      </c>
      <c r="S112" s="32" t="str">
        <f t="shared" si="7"/>
        <v>INCLUDE</v>
      </c>
      <c r="T112" s="32" t="str">
        <f t="shared" si="8"/>
        <v/>
      </c>
      <c r="U112" s="35" t="s">
        <v>61</v>
      </c>
      <c r="V112" s="35">
        <v>0</v>
      </c>
      <c r="W112" s="35">
        <v>1</v>
      </c>
      <c r="X112" s="35">
        <v>0</v>
      </c>
      <c r="Y112" s="32" t="str">
        <f t="shared" si="9"/>
        <v>Single</v>
      </c>
      <c r="Z112" s="35" t="s">
        <v>9</v>
      </c>
      <c r="AA112" s="35" t="s">
        <v>70</v>
      </c>
      <c r="AB112" s="35" t="s">
        <v>73</v>
      </c>
      <c r="AC112" s="35" t="s">
        <v>64</v>
      </c>
      <c r="AD112" s="35" t="s">
        <v>72</v>
      </c>
      <c r="AE112" s="35">
        <v>4</v>
      </c>
      <c r="AF112" s="35" t="s">
        <v>80</v>
      </c>
      <c r="AG112" s="15" t="s">
        <v>1021</v>
      </c>
      <c r="AH112" s="39" t="s">
        <v>1238</v>
      </c>
      <c r="AI112" s="39" t="s">
        <v>1239</v>
      </c>
      <c r="AJ112" t="s">
        <v>1497</v>
      </c>
      <c r="AK112" t="s">
        <v>1543</v>
      </c>
      <c r="AL112" t="s">
        <v>1499</v>
      </c>
      <c r="AM112" s="69"/>
    </row>
    <row r="113" spans="1:39" ht="114" x14ac:dyDescent="0.3">
      <c r="A113" s="30">
        <v>3765</v>
      </c>
      <c r="B113" s="9" t="s">
        <v>204</v>
      </c>
      <c r="C113" s="36">
        <v>2026</v>
      </c>
      <c r="D113" s="9"/>
      <c r="E113" s="9" t="s">
        <v>693</v>
      </c>
      <c r="F113" s="30" t="s">
        <v>313</v>
      </c>
      <c r="G113" s="31" t="s">
        <v>315</v>
      </c>
      <c r="H113" s="31" t="s">
        <v>315</v>
      </c>
      <c r="I113" s="31" t="s">
        <v>315</v>
      </c>
      <c r="J113" s="31" t="s">
        <v>315</v>
      </c>
      <c r="K113" s="31" t="s">
        <v>315</v>
      </c>
      <c r="L113" s="32" t="str">
        <f t="shared" si="5"/>
        <v>INCLUDE</v>
      </c>
      <c r="M113" s="32" t="str">
        <f t="shared" si="6"/>
        <v/>
      </c>
      <c r="N113" s="33" t="s">
        <v>315</v>
      </c>
      <c r="O113" s="33" t="s">
        <v>315</v>
      </c>
      <c r="P113" s="34" t="s">
        <v>315</v>
      </c>
      <c r="Q113" s="34" t="s">
        <v>315</v>
      </c>
      <c r="R113" s="34" t="s">
        <v>315</v>
      </c>
      <c r="S113" s="32" t="str">
        <f t="shared" si="7"/>
        <v>INCLUDE</v>
      </c>
      <c r="T113" s="32" t="str">
        <f t="shared" si="8"/>
        <v/>
      </c>
      <c r="U113" s="35" t="s">
        <v>61</v>
      </c>
      <c r="V113" s="35">
        <v>0</v>
      </c>
      <c r="W113" s="35">
        <v>1</v>
      </c>
      <c r="X113" s="35">
        <v>0</v>
      </c>
      <c r="Y113" s="32" t="str">
        <f t="shared" si="9"/>
        <v>Single</v>
      </c>
      <c r="Z113" s="35" t="s">
        <v>9</v>
      </c>
      <c r="AA113" s="35" t="s">
        <v>53</v>
      </c>
      <c r="AB113" s="35" t="s">
        <v>78</v>
      </c>
      <c r="AC113" s="35" t="s">
        <v>64</v>
      </c>
      <c r="AD113" s="35" t="s">
        <v>72</v>
      </c>
      <c r="AE113" s="35">
        <v>4</v>
      </c>
      <c r="AF113" s="35" t="s">
        <v>84</v>
      </c>
      <c r="AG113" s="15" t="s">
        <v>1022</v>
      </c>
      <c r="AH113" s="39" t="s">
        <v>1240</v>
      </c>
      <c r="AI113" s="39" t="s">
        <v>1241</v>
      </c>
      <c r="AJ113" t="s">
        <v>1497</v>
      </c>
      <c r="AK113" t="s">
        <v>1544</v>
      </c>
      <c r="AL113" t="s">
        <v>1499</v>
      </c>
      <c r="AM113" s="69"/>
    </row>
    <row r="114" spans="1:39" ht="22.8" x14ac:dyDescent="0.3">
      <c r="A114" s="30">
        <v>3913</v>
      </c>
      <c r="B114" s="9"/>
      <c r="C114" s="36"/>
      <c r="D114" s="9"/>
      <c r="E114" s="9" t="s">
        <v>694</v>
      </c>
      <c r="F114" s="30" t="s">
        <v>314</v>
      </c>
      <c r="G114" s="31" t="s">
        <v>316</v>
      </c>
      <c r="H114" s="31" t="s">
        <v>315</v>
      </c>
      <c r="I114" s="31" t="s">
        <v>315</v>
      </c>
      <c r="J114" s="31" t="s">
        <v>315</v>
      </c>
      <c r="K114" s="31" t="s">
        <v>315</v>
      </c>
      <c r="L114" s="32" t="str">
        <f t="shared" si="5"/>
        <v>EXCLUDE</v>
      </c>
      <c r="M114" s="32" t="str">
        <f t="shared" si="6"/>
        <v>Wrong domain (non-AECO)</v>
      </c>
      <c r="N114" s="33"/>
      <c r="O114" s="33"/>
      <c r="P114" s="34"/>
      <c r="Q114" s="34"/>
      <c r="R114" s="34"/>
      <c r="S114" s="32" t="str">
        <f t="shared" si="7"/>
        <v/>
      </c>
      <c r="T114" s="32" t="str">
        <f t="shared" si="8"/>
        <v/>
      </c>
      <c r="U114" s="35"/>
      <c r="V114" s="35"/>
      <c r="W114" s="35"/>
      <c r="X114" s="35"/>
      <c r="Y114" s="32" t="str">
        <f t="shared" si="9"/>
        <v/>
      </c>
      <c r="Z114" s="35"/>
      <c r="AA114" s="35"/>
      <c r="AB114" s="35"/>
      <c r="AC114" s="35"/>
      <c r="AD114" s="35"/>
      <c r="AE114" s="35"/>
      <c r="AF114" s="35"/>
      <c r="AG114" s="15" t="s">
        <v>396</v>
      </c>
      <c r="AH114" s="39"/>
      <c r="AI114" s="39"/>
      <c r="AM114" s="69"/>
    </row>
    <row r="115" spans="1:39" ht="22.8" x14ac:dyDescent="0.3">
      <c r="A115" s="30">
        <v>3636</v>
      </c>
      <c r="B115" s="9"/>
      <c r="C115" s="36"/>
      <c r="D115" s="9"/>
      <c r="E115" s="9" t="s">
        <v>695</v>
      </c>
      <c r="F115" s="30" t="s">
        <v>313</v>
      </c>
      <c r="G115" s="31" t="s">
        <v>315</v>
      </c>
      <c r="H115" s="31" t="s">
        <v>315</v>
      </c>
      <c r="I115" s="31" t="s">
        <v>316</v>
      </c>
      <c r="J115" s="31" t="s">
        <v>315</v>
      </c>
      <c r="K115" s="31" t="s">
        <v>315</v>
      </c>
      <c r="L115" s="32" t="str">
        <f t="shared" si="5"/>
        <v>EXCLUDE</v>
      </c>
      <c r="M115" s="32" t="str">
        <f t="shared" si="6"/>
        <v>No Design for Safety/Quality/PtD</v>
      </c>
      <c r="N115" s="33"/>
      <c r="O115" s="33"/>
      <c r="P115" s="34"/>
      <c r="Q115" s="34"/>
      <c r="R115" s="34"/>
      <c r="S115" s="32" t="str">
        <f t="shared" si="7"/>
        <v/>
      </c>
      <c r="T115" s="32" t="str">
        <f t="shared" si="8"/>
        <v/>
      </c>
      <c r="U115" s="35"/>
      <c r="V115" s="35"/>
      <c r="W115" s="35"/>
      <c r="X115" s="35"/>
      <c r="Y115" s="32" t="str">
        <f t="shared" si="9"/>
        <v/>
      </c>
      <c r="Z115" s="35"/>
      <c r="AA115" s="35"/>
      <c r="AB115" s="35"/>
      <c r="AC115" s="35"/>
      <c r="AD115" s="35"/>
      <c r="AE115" s="35"/>
      <c r="AF115" s="35"/>
      <c r="AG115" s="15" t="s">
        <v>397</v>
      </c>
      <c r="AH115" s="39"/>
      <c r="AI115" s="39"/>
      <c r="AM115" s="69"/>
    </row>
    <row r="116" spans="1:39" ht="79.8" x14ac:dyDescent="0.3">
      <c r="A116" s="30">
        <v>3973</v>
      </c>
      <c r="B116" s="9" t="s">
        <v>206</v>
      </c>
      <c r="C116" s="36">
        <v>2022</v>
      </c>
      <c r="D116" s="9"/>
      <c r="E116" s="9" t="s">
        <v>696</v>
      </c>
      <c r="F116" s="30" t="s">
        <v>314</v>
      </c>
      <c r="G116" s="31" t="s">
        <v>315</v>
      </c>
      <c r="H116" s="31" t="s">
        <v>315</v>
      </c>
      <c r="I116" s="31" t="s">
        <v>315</v>
      </c>
      <c r="J116" s="31" t="s">
        <v>315</v>
      </c>
      <c r="K116" s="31" t="s">
        <v>315</v>
      </c>
      <c r="L116" s="32" t="str">
        <f t="shared" si="5"/>
        <v>INCLUDE</v>
      </c>
      <c r="M116" s="32" t="str">
        <f t="shared" si="6"/>
        <v/>
      </c>
      <c r="N116" s="33" t="s">
        <v>49</v>
      </c>
      <c r="O116" s="33" t="s">
        <v>49</v>
      </c>
      <c r="P116" s="34" t="s">
        <v>49</v>
      </c>
      <c r="Q116" s="34" t="s">
        <v>49</v>
      </c>
      <c r="R116" s="34" t="s">
        <v>49</v>
      </c>
      <c r="S116" s="32" t="str">
        <f t="shared" si="7"/>
        <v>INCLUDE</v>
      </c>
      <c r="T116" s="32" t="str">
        <f t="shared" si="8"/>
        <v/>
      </c>
      <c r="U116" s="35" t="s">
        <v>68</v>
      </c>
      <c r="V116" s="35">
        <v>0</v>
      </c>
      <c r="W116" s="35">
        <v>1</v>
      </c>
      <c r="X116" s="35">
        <v>0</v>
      </c>
      <c r="Y116" s="32" t="str">
        <f t="shared" si="9"/>
        <v>Single</v>
      </c>
      <c r="Z116" s="35" t="s">
        <v>9</v>
      </c>
      <c r="AA116" s="35" t="s">
        <v>53</v>
      </c>
      <c r="AB116" s="35" t="s">
        <v>91</v>
      </c>
      <c r="AC116" s="35" t="s">
        <v>55</v>
      </c>
      <c r="AD116" s="35" t="s">
        <v>65</v>
      </c>
      <c r="AE116" s="35">
        <v>3</v>
      </c>
      <c r="AF116" s="35" t="s">
        <v>57</v>
      </c>
      <c r="AG116" s="15" t="s">
        <v>1112</v>
      </c>
      <c r="AH116" s="39" t="s">
        <v>1242</v>
      </c>
      <c r="AI116" s="39" t="s">
        <v>1243</v>
      </c>
      <c r="AJ116" t="s">
        <v>1494</v>
      </c>
      <c r="AK116" t="s">
        <v>1545</v>
      </c>
      <c r="AL116" t="s">
        <v>1499</v>
      </c>
      <c r="AM116" s="69"/>
    </row>
    <row r="117" spans="1:39" ht="22.8" x14ac:dyDescent="0.3">
      <c r="A117" s="30">
        <v>3735</v>
      </c>
      <c r="B117" s="9"/>
      <c r="C117" s="36"/>
      <c r="D117" s="9"/>
      <c r="E117" s="9" t="s">
        <v>697</v>
      </c>
      <c r="F117" s="30" t="s">
        <v>313</v>
      </c>
      <c r="G117" s="31" t="s">
        <v>316</v>
      </c>
      <c r="H117" s="31" t="s">
        <v>315</v>
      </c>
      <c r="I117" s="31" t="s">
        <v>316</v>
      </c>
      <c r="J117" s="31" t="s">
        <v>315</v>
      </c>
      <c r="K117" s="31" t="s">
        <v>315</v>
      </c>
      <c r="L117" s="32" t="str">
        <f t="shared" si="5"/>
        <v>EXCLUDE</v>
      </c>
      <c r="M117" s="32" t="str">
        <f t="shared" si="6"/>
        <v>Wrong domain (non-AECO)</v>
      </c>
      <c r="N117" s="33"/>
      <c r="O117" s="33"/>
      <c r="P117" s="34"/>
      <c r="Q117" s="34"/>
      <c r="R117" s="34"/>
      <c r="S117" s="32" t="str">
        <f t="shared" si="7"/>
        <v/>
      </c>
      <c r="T117" s="32" t="str">
        <f t="shared" si="8"/>
        <v/>
      </c>
      <c r="U117" s="35"/>
      <c r="V117" s="35"/>
      <c r="W117" s="35"/>
      <c r="X117" s="35"/>
      <c r="Y117" s="32" t="str">
        <f t="shared" si="9"/>
        <v/>
      </c>
      <c r="Z117" s="35"/>
      <c r="AA117" s="35"/>
      <c r="AB117" s="35"/>
      <c r="AC117" s="35"/>
      <c r="AD117" s="35"/>
      <c r="AE117" s="35"/>
      <c r="AF117" s="35"/>
      <c r="AG117" s="15" t="s">
        <v>398</v>
      </c>
      <c r="AH117" s="39"/>
      <c r="AI117" s="39"/>
      <c r="AM117" s="69"/>
    </row>
    <row r="118" spans="1:39" ht="22.8" x14ac:dyDescent="0.3">
      <c r="A118" s="30">
        <v>3537</v>
      </c>
      <c r="B118" s="9"/>
      <c r="C118" s="36"/>
      <c r="D118" s="9"/>
      <c r="E118" s="9" t="s">
        <v>698</v>
      </c>
      <c r="F118" s="30" t="s">
        <v>313</v>
      </c>
      <c r="G118" s="31" t="s">
        <v>316</v>
      </c>
      <c r="H118" s="31" t="s">
        <v>315</v>
      </c>
      <c r="I118" s="31" t="s">
        <v>315</v>
      </c>
      <c r="J118" s="31" t="s">
        <v>315</v>
      </c>
      <c r="K118" s="31" t="s">
        <v>315</v>
      </c>
      <c r="L118" s="32" t="str">
        <f t="shared" si="5"/>
        <v>EXCLUDE</v>
      </c>
      <c r="M118" s="32" t="str">
        <f t="shared" si="6"/>
        <v>Wrong domain (non-AECO)</v>
      </c>
      <c r="N118" s="33"/>
      <c r="O118" s="33"/>
      <c r="P118" s="34"/>
      <c r="Q118" s="34"/>
      <c r="R118" s="34"/>
      <c r="S118" s="32" t="str">
        <f t="shared" si="7"/>
        <v/>
      </c>
      <c r="T118" s="32" t="str">
        <f t="shared" si="8"/>
        <v/>
      </c>
      <c r="U118" s="35"/>
      <c r="V118" s="35"/>
      <c r="W118" s="35"/>
      <c r="X118" s="35"/>
      <c r="Y118" s="32" t="str">
        <f t="shared" si="9"/>
        <v/>
      </c>
      <c r="Z118" s="35"/>
      <c r="AA118" s="35"/>
      <c r="AB118" s="35"/>
      <c r="AC118" s="35"/>
      <c r="AD118" s="35"/>
      <c r="AE118" s="35"/>
      <c r="AF118" s="35"/>
      <c r="AG118" s="15" t="s">
        <v>399</v>
      </c>
      <c r="AH118" s="39"/>
      <c r="AI118" s="39"/>
      <c r="AM118" s="69"/>
    </row>
    <row r="119" spans="1:39" ht="102.6" x14ac:dyDescent="0.3">
      <c r="A119" s="30">
        <v>3813</v>
      </c>
      <c r="B119" s="9" t="s">
        <v>207</v>
      </c>
      <c r="C119" s="36">
        <v>2025</v>
      </c>
      <c r="D119" s="9"/>
      <c r="E119" s="9" t="s">
        <v>699</v>
      </c>
      <c r="F119" s="30" t="s">
        <v>313</v>
      </c>
      <c r="G119" s="31" t="s">
        <v>315</v>
      </c>
      <c r="H119" s="31" t="s">
        <v>315</v>
      </c>
      <c r="I119" s="31" t="s">
        <v>315</v>
      </c>
      <c r="J119" s="31" t="s">
        <v>315</v>
      </c>
      <c r="K119" s="31" t="s">
        <v>315</v>
      </c>
      <c r="L119" s="32" t="str">
        <f t="shared" si="5"/>
        <v>INCLUDE</v>
      </c>
      <c r="M119" s="32" t="str">
        <f t="shared" si="6"/>
        <v/>
      </c>
      <c r="N119" s="33" t="s">
        <v>315</v>
      </c>
      <c r="O119" s="33" t="s">
        <v>315</v>
      </c>
      <c r="P119" s="34" t="s">
        <v>315</v>
      </c>
      <c r="Q119" s="34" t="s">
        <v>315</v>
      </c>
      <c r="R119" s="34" t="s">
        <v>315</v>
      </c>
      <c r="S119" s="32" t="str">
        <f t="shared" si="7"/>
        <v>INCLUDE</v>
      </c>
      <c r="T119" s="32" t="str">
        <f t="shared" si="8"/>
        <v/>
      </c>
      <c r="U119" s="35" t="s">
        <v>61</v>
      </c>
      <c r="V119" s="35">
        <v>0</v>
      </c>
      <c r="W119" s="35">
        <v>1</v>
      </c>
      <c r="X119" s="35">
        <v>0</v>
      </c>
      <c r="Y119" s="32" t="str">
        <f t="shared" si="9"/>
        <v>Single</v>
      </c>
      <c r="Z119" s="35" t="s">
        <v>9</v>
      </c>
      <c r="AA119" s="35" t="s">
        <v>53</v>
      </c>
      <c r="AB119" s="35" t="s">
        <v>90</v>
      </c>
      <c r="AC119" s="35" t="s">
        <v>64</v>
      </c>
      <c r="AD119" s="35" t="s">
        <v>79</v>
      </c>
      <c r="AE119" s="35">
        <v>4</v>
      </c>
      <c r="AF119" s="35" t="s">
        <v>84</v>
      </c>
      <c r="AG119" s="15" t="s">
        <v>1023</v>
      </c>
      <c r="AH119" s="39" t="s">
        <v>1244</v>
      </c>
      <c r="AI119" s="39" t="s">
        <v>1245</v>
      </c>
      <c r="AJ119" t="s">
        <v>1497</v>
      </c>
      <c r="AK119" t="s">
        <v>1546</v>
      </c>
      <c r="AL119" t="s">
        <v>1499</v>
      </c>
      <c r="AM119" s="69"/>
    </row>
    <row r="120" spans="1:39" ht="22.8" x14ac:dyDescent="0.3">
      <c r="A120" s="30">
        <v>4018</v>
      </c>
      <c r="B120" s="9"/>
      <c r="C120" s="36"/>
      <c r="D120" s="9"/>
      <c r="E120" s="9" t="s">
        <v>699</v>
      </c>
      <c r="F120" s="30" t="s">
        <v>314</v>
      </c>
      <c r="G120" s="31" t="s">
        <v>315</v>
      </c>
      <c r="H120" s="31" t="s">
        <v>315</v>
      </c>
      <c r="I120" s="31" t="s">
        <v>315</v>
      </c>
      <c r="J120" s="31" t="s">
        <v>315</v>
      </c>
      <c r="K120" s="31" t="s">
        <v>315</v>
      </c>
      <c r="L120" s="32" t="str">
        <f t="shared" si="5"/>
        <v>INCLUDE</v>
      </c>
      <c r="M120" s="32" t="str">
        <f t="shared" si="6"/>
        <v/>
      </c>
      <c r="N120" s="33"/>
      <c r="O120" s="33"/>
      <c r="P120" s="34"/>
      <c r="Q120" s="34"/>
      <c r="R120" s="34"/>
      <c r="S120" s="32" t="str">
        <f t="shared" si="7"/>
        <v/>
      </c>
      <c r="T120" s="32" t="str">
        <f t="shared" si="8"/>
        <v/>
      </c>
      <c r="U120" s="35"/>
      <c r="V120" s="35"/>
      <c r="W120" s="35"/>
      <c r="X120" s="35"/>
      <c r="Y120" s="32" t="str">
        <f t="shared" si="9"/>
        <v/>
      </c>
      <c r="Z120" s="35"/>
      <c r="AA120" s="35"/>
      <c r="AB120" s="35"/>
      <c r="AC120" s="35"/>
      <c r="AD120" s="35"/>
      <c r="AE120" s="35"/>
      <c r="AF120" s="35"/>
      <c r="AG120" s="15" t="s">
        <v>400</v>
      </c>
      <c r="AH120" s="39"/>
      <c r="AI120" s="39"/>
      <c r="AM120" s="69"/>
    </row>
    <row r="121" spans="1:39" ht="22.8" x14ac:dyDescent="0.3">
      <c r="A121" s="30">
        <v>3556</v>
      </c>
      <c r="B121" s="9"/>
      <c r="C121" s="36"/>
      <c r="D121" s="9"/>
      <c r="E121" s="9" t="s">
        <v>700</v>
      </c>
      <c r="F121" s="30" t="s">
        <v>313</v>
      </c>
      <c r="G121" s="31" t="s">
        <v>315</v>
      </c>
      <c r="H121" s="31" t="s">
        <v>315</v>
      </c>
      <c r="I121" s="31" t="s">
        <v>315</v>
      </c>
      <c r="J121" s="31" t="s">
        <v>315</v>
      </c>
      <c r="K121" s="31" t="s">
        <v>316</v>
      </c>
      <c r="L121" s="32" t="str">
        <f t="shared" si="5"/>
        <v>EXCLUDE</v>
      </c>
      <c r="M121" s="32" t="str">
        <f t="shared" si="6"/>
        <v>Non-English</v>
      </c>
      <c r="N121" s="33"/>
      <c r="O121" s="33"/>
      <c r="P121" s="34"/>
      <c r="Q121" s="34"/>
      <c r="R121" s="34"/>
      <c r="S121" s="32" t="str">
        <f t="shared" si="7"/>
        <v/>
      </c>
      <c r="T121" s="32" t="str">
        <f t="shared" si="8"/>
        <v/>
      </c>
      <c r="U121" s="35"/>
      <c r="V121" s="35"/>
      <c r="W121" s="35"/>
      <c r="X121" s="35"/>
      <c r="Y121" s="32" t="str">
        <f t="shared" si="9"/>
        <v/>
      </c>
      <c r="Z121" s="35"/>
      <c r="AA121" s="35"/>
      <c r="AB121" s="35"/>
      <c r="AC121" s="35"/>
      <c r="AD121" s="35"/>
      <c r="AE121" s="35"/>
      <c r="AF121" s="35"/>
      <c r="AG121" s="15" t="s">
        <v>401</v>
      </c>
      <c r="AH121" s="39"/>
      <c r="AI121" s="39"/>
      <c r="AM121" s="69"/>
    </row>
    <row r="122" spans="1:39" ht="125.4" x14ac:dyDescent="0.3">
      <c r="A122" s="30">
        <v>3558</v>
      </c>
      <c r="B122" s="9" t="s">
        <v>208</v>
      </c>
      <c r="C122" s="36">
        <v>2022</v>
      </c>
      <c r="D122" s="9"/>
      <c r="E122" s="9" t="s">
        <v>701</v>
      </c>
      <c r="F122" s="30" t="s">
        <v>313</v>
      </c>
      <c r="G122" s="31" t="s">
        <v>315</v>
      </c>
      <c r="H122" s="31" t="s">
        <v>315</v>
      </c>
      <c r="I122" s="31" t="s">
        <v>315</v>
      </c>
      <c r="J122" s="31" t="s">
        <v>315</v>
      </c>
      <c r="K122" s="31" t="s">
        <v>315</v>
      </c>
      <c r="L122" s="32" t="str">
        <f t="shared" si="5"/>
        <v>INCLUDE</v>
      </c>
      <c r="M122" s="32" t="str">
        <f t="shared" si="6"/>
        <v/>
      </c>
      <c r="N122" s="33" t="s">
        <v>315</v>
      </c>
      <c r="O122" s="33" t="s">
        <v>315</v>
      </c>
      <c r="P122" s="34" t="s">
        <v>315</v>
      </c>
      <c r="Q122" s="34" t="s">
        <v>315</v>
      </c>
      <c r="R122" s="34" t="s">
        <v>315</v>
      </c>
      <c r="S122" s="32" t="str">
        <f t="shared" si="7"/>
        <v>INCLUDE</v>
      </c>
      <c r="T122" s="32" t="str">
        <f t="shared" si="8"/>
        <v/>
      </c>
      <c r="U122" s="35" t="s">
        <v>61</v>
      </c>
      <c r="V122" s="35">
        <v>0</v>
      </c>
      <c r="W122" s="35">
        <v>1</v>
      </c>
      <c r="X122" s="35">
        <v>0</v>
      </c>
      <c r="Y122" s="32" t="str">
        <f t="shared" si="9"/>
        <v>Single</v>
      </c>
      <c r="Z122" s="35" t="s">
        <v>9</v>
      </c>
      <c r="AA122" s="35" t="s">
        <v>53</v>
      </c>
      <c r="AB122" s="35" t="s">
        <v>92</v>
      </c>
      <c r="AC122" s="35" t="s">
        <v>64</v>
      </c>
      <c r="AD122" s="35" t="s">
        <v>72</v>
      </c>
      <c r="AE122" s="35">
        <v>4</v>
      </c>
      <c r="AF122" s="35" t="s">
        <v>57</v>
      </c>
      <c r="AG122" s="15" t="s">
        <v>1024</v>
      </c>
      <c r="AH122" s="39" t="s">
        <v>1246</v>
      </c>
      <c r="AI122" s="39" t="s">
        <v>1247</v>
      </c>
      <c r="AJ122" t="s">
        <v>1497</v>
      </c>
      <c r="AK122" t="s">
        <v>1547</v>
      </c>
      <c r="AL122" t="s">
        <v>1499</v>
      </c>
      <c r="AM122" s="69"/>
    </row>
    <row r="123" spans="1:39" ht="159.6" x14ac:dyDescent="0.3">
      <c r="A123" s="30">
        <v>3886</v>
      </c>
      <c r="B123" s="9" t="s">
        <v>209</v>
      </c>
      <c r="C123" s="36">
        <v>2025</v>
      </c>
      <c r="D123" s="9"/>
      <c r="E123" s="9" t="s">
        <v>702</v>
      </c>
      <c r="F123" s="30" t="s">
        <v>314</v>
      </c>
      <c r="G123" s="31" t="s">
        <v>315</v>
      </c>
      <c r="H123" s="31" t="s">
        <v>315</v>
      </c>
      <c r="I123" s="31" t="s">
        <v>315</v>
      </c>
      <c r="J123" s="31" t="s">
        <v>315</v>
      </c>
      <c r="K123" s="31" t="s">
        <v>315</v>
      </c>
      <c r="L123" s="32" t="str">
        <f t="shared" si="5"/>
        <v>INCLUDE</v>
      </c>
      <c r="M123" s="32" t="str">
        <f t="shared" si="6"/>
        <v/>
      </c>
      <c r="N123" s="33" t="s">
        <v>315</v>
      </c>
      <c r="O123" s="33" t="s">
        <v>315</v>
      </c>
      <c r="P123" s="34" t="s">
        <v>315</v>
      </c>
      <c r="Q123" s="34" t="s">
        <v>315</v>
      </c>
      <c r="R123" s="34" t="s">
        <v>315</v>
      </c>
      <c r="S123" s="32" t="str">
        <f t="shared" si="7"/>
        <v>INCLUDE</v>
      </c>
      <c r="T123" s="32" t="str">
        <f t="shared" si="8"/>
        <v/>
      </c>
      <c r="U123" s="35" t="s">
        <v>61</v>
      </c>
      <c r="V123" s="35">
        <v>0</v>
      </c>
      <c r="W123" s="35">
        <v>1</v>
      </c>
      <c r="X123" s="35">
        <v>0</v>
      </c>
      <c r="Y123" s="32" t="str">
        <f t="shared" si="9"/>
        <v>Single</v>
      </c>
      <c r="Z123" s="35" t="s">
        <v>9</v>
      </c>
      <c r="AA123" s="35" t="s">
        <v>53</v>
      </c>
      <c r="AB123" s="35" t="s">
        <v>91</v>
      </c>
      <c r="AC123" s="35" t="s">
        <v>55</v>
      </c>
      <c r="AD123" s="35" t="s">
        <v>72</v>
      </c>
      <c r="AE123" s="35">
        <v>4</v>
      </c>
      <c r="AF123" s="35" t="s">
        <v>80</v>
      </c>
      <c r="AG123" s="15" t="s">
        <v>1025</v>
      </c>
      <c r="AH123" s="39" t="s">
        <v>1248</v>
      </c>
      <c r="AI123" s="39" t="s">
        <v>1249</v>
      </c>
      <c r="AJ123" t="s">
        <v>1494</v>
      </c>
      <c r="AK123" t="s">
        <v>1548</v>
      </c>
      <c r="AL123" t="s">
        <v>1499</v>
      </c>
      <c r="AM123" s="69"/>
    </row>
    <row r="124" spans="1:39" ht="22.8" x14ac:dyDescent="0.3">
      <c r="A124" s="30">
        <v>3949</v>
      </c>
      <c r="B124" s="9" t="s">
        <v>210</v>
      </c>
      <c r="C124" s="36">
        <v>2026</v>
      </c>
      <c r="D124" s="9"/>
      <c r="E124" s="9" t="s">
        <v>703</v>
      </c>
      <c r="F124" s="30" t="s">
        <v>314</v>
      </c>
      <c r="G124" s="31" t="s">
        <v>315</v>
      </c>
      <c r="H124" s="31" t="s">
        <v>315</v>
      </c>
      <c r="I124" s="31" t="s">
        <v>315</v>
      </c>
      <c r="J124" s="31" t="s">
        <v>315</v>
      </c>
      <c r="K124" s="31" t="s">
        <v>315</v>
      </c>
      <c r="L124" s="32" t="str">
        <f t="shared" si="5"/>
        <v>INCLUDE</v>
      </c>
      <c r="M124" s="32" t="str">
        <f t="shared" si="6"/>
        <v/>
      </c>
      <c r="N124" s="33" t="s">
        <v>58</v>
      </c>
      <c r="O124" s="33" t="s">
        <v>58</v>
      </c>
      <c r="P124" s="34"/>
      <c r="Q124" s="34"/>
      <c r="R124" s="34"/>
      <c r="S124" s="32" t="str">
        <f t="shared" si="7"/>
        <v/>
      </c>
      <c r="T124" s="32" t="str">
        <f t="shared" si="8"/>
        <v/>
      </c>
      <c r="U124" s="35"/>
      <c r="V124" s="35"/>
      <c r="W124" s="35"/>
      <c r="X124" s="35"/>
      <c r="Y124" s="32" t="str">
        <f t="shared" si="9"/>
        <v/>
      </c>
      <c r="Z124" s="35"/>
      <c r="AA124" s="35"/>
      <c r="AB124" s="35"/>
      <c r="AC124" s="35"/>
      <c r="AD124" s="35"/>
      <c r="AE124" s="35"/>
      <c r="AF124" s="35"/>
      <c r="AG124" s="15" t="s">
        <v>402</v>
      </c>
      <c r="AH124" s="39"/>
      <c r="AI124" s="39"/>
      <c r="AM124" s="69"/>
    </row>
    <row r="125" spans="1:39" ht="22.8" x14ac:dyDescent="0.3">
      <c r="A125" s="30">
        <v>3501</v>
      </c>
      <c r="B125" s="9"/>
      <c r="C125" s="36"/>
      <c r="D125" s="9"/>
      <c r="E125" s="9" t="s">
        <v>704</v>
      </c>
      <c r="F125" s="30" t="s">
        <v>313</v>
      </c>
      <c r="G125" s="31" t="s">
        <v>316</v>
      </c>
      <c r="H125" s="31" t="s">
        <v>315</v>
      </c>
      <c r="I125" s="31" t="s">
        <v>315</v>
      </c>
      <c r="J125" s="31" t="s">
        <v>315</v>
      </c>
      <c r="K125" s="31" t="s">
        <v>315</v>
      </c>
      <c r="L125" s="32" t="str">
        <f t="shared" si="5"/>
        <v>EXCLUDE</v>
      </c>
      <c r="M125" s="32" t="str">
        <f t="shared" si="6"/>
        <v>Wrong domain (non-AECO)</v>
      </c>
      <c r="N125" s="33"/>
      <c r="O125" s="33"/>
      <c r="P125" s="34"/>
      <c r="Q125" s="34"/>
      <c r="R125" s="34"/>
      <c r="S125" s="32" t="str">
        <f t="shared" si="7"/>
        <v/>
      </c>
      <c r="T125" s="32" t="str">
        <f t="shared" si="8"/>
        <v/>
      </c>
      <c r="U125" s="35"/>
      <c r="V125" s="35"/>
      <c r="W125" s="35"/>
      <c r="X125" s="35"/>
      <c r="Y125" s="32" t="str">
        <f t="shared" si="9"/>
        <v/>
      </c>
      <c r="Z125" s="35"/>
      <c r="AA125" s="35"/>
      <c r="AB125" s="35"/>
      <c r="AC125" s="35"/>
      <c r="AD125" s="35"/>
      <c r="AE125" s="35"/>
      <c r="AF125" s="35"/>
      <c r="AG125" s="15" t="s">
        <v>403</v>
      </c>
      <c r="AH125" s="39"/>
      <c r="AI125" s="39"/>
      <c r="AM125" s="69"/>
    </row>
    <row r="126" spans="1:39" ht="136.80000000000001" x14ac:dyDescent="0.3">
      <c r="A126" s="30">
        <v>3956</v>
      </c>
      <c r="B126" s="9" t="s">
        <v>211</v>
      </c>
      <c r="C126" s="36">
        <v>2026</v>
      </c>
      <c r="D126" s="9"/>
      <c r="E126" s="9" t="s">
        <v>705</v>
      </c>
      <c r="F126" s="30" t="s">
        <v>314</v>
      </c>
      <c r="G126" s="31" t="s">
        <v>315</v>
      </c>
      <c r="H126" s="31" t="s">
        <v>315</v>
      </c>
      <c r="I126" s="31" t="s">
        <v>315</v>
      </c>
      <c r="J126" s="31" t="s">
        <v>315</v>
      </c>
      <c r="K126" s="31" t="s">
        <v>315</v>
      </c>
      <c r="L126" s="32" t="str">
        <f t="shared" si="5"/>
        <v>INCLUDE</v>
      </c>
      <c r="M126" s="32" t="str">
        <f t="shared" si="6"/>
        <v/>
      </c>
      <c r="N126" s="33" t="s">
        <v>315</v>
      </c>
      <c r="O126" s="33" t="s">
        <v>315</v>
      </c>
      <c r="P126" s="34" t="s">
        <v>315</v>
      </c>
      <c r="Q126" s="34" t="s">
        <v>315</v>
      </c>
      <c r="R126" s="34" t="s">
        <v>315</v>
      </c>
      <c r="S126" s="32" t="str">
        <f t="shared" si="7"/>
        <v>INCLUDE</v>
      </c>
      <c r="T126" s="32" t="str">
        <f t="shared" si="8"/>
        <v/>
      </c>
      <c r="U126" s="35" t="s">
        <v>82</v>
      </c>
      <c r="V126" s="35">
        <v>0</v>
      </c>
      <c r="W126" s="35">
        <v>1</v>
      </c>
      <c r="X126" s="35">
        <v>0</v>
      </c>
      <c r="Y126" s="32" t="str">
        <f t="shared" si="9"/>
        <v>Single</v>
      </c>
      <c r="Z126" s="35" t="s">
        <v>9</v>
      </c>
      <c r="AA126" s="35" t="s">
        <v>53</v>
      </c>
      <c r="AB126" s="35" t="s">
        <v>92</v>
      </c>
      <c r="AC126" s="35" t="s">
        <v>55</v>
      </c>
      <c r="AD126" s="35" t="s">
        <v>72</v>
      </c>
      <c r="AE126" s="35">
        <v>4</v>
      </c>
      <c r="AF126" s="35" t="s">
        <v>86</v>
      </c>
      <c r="AG126" s="15" t="s">
        <v>1026</v>
      </c>
      <c r="AH126" s="39" t="s">
        <v>1250</v>
      </c>
      <c r="AI126" s="39" t="s">
        <v>1251</v>
      </c>
      <c r="AJ126" t="s">
        <v>1494</v>
      </c>
      <c r="AK126" t="s">
        <v>1549</v>
      </c>
      <c r="AL126" t="s">
        <v>1499</v>
      </c>
      <c r="AM126" s="69"/>
    </row>
    <row r="127" spans="1:39" ht="22.8" x14ac:dyDescent="0.3">
      <c r="A127" s="30">
        <v>3971</v>
      </c>
      <c r="B127" s="9"/>
      <c r="C127" s="36"/>
      <c r="D127" s="9"/>
      <c r="E127" s="9" t="s">
        <v>706</v>
      </c>
      <c r="F127" s="30" t="s">
        <v>314</v>
      </c>
      <c r="G127" s="31" t="s">
        <v>316</v>
      </c>
      <c r="H127" s="31" t="s">
        <v>315</v>
      </c>
      <c r="I127" s="31" t="s">
        <v>316</v>
      </c>
      <c r="J127" s="31" t="s">
        <v>315</v>
      </c>
      <c r="K127" s="31" t="s">
        <v>315</v>
      </c>
      <c r="L127" s="32" t="str">
        <f t="shared" si="5"/>
        <v>EXCLUDE</v>
      </c>
      <c r="M127" s="32" t="str">
        <f t="shared" si="6"/>
        <v>Wrong domain (non-AECO)</v>
      </c>
      <c r="N127" s="33"/>
      <c r="O127" s="33"/>
      <c r="P127" s="34"/>
      <c r="Q127" s="34"/>
      <c r="R127" s="34"/>
      <c r="S127" s="32" t="str">
        <f t="shared" si="7"/>
        <v/>
      </c>
      <c r="T127" s="32" t="str">
        <f t="shared" si="8"/>
        <v/>
      </c>
      <c r="U127" s="35"/>
      <c r="V127" s="35"/>
      <c r="W127" s="35"/>
      <c r="X127" s="35"/>
      <c r="Y127" s="32" t="str">
        <f t="shared" si="9"/>
        <v/>
      </c>
      <c r="Z127" s="35"/>
      <c r="AA127" s="35"/>
      <c r="AB127" s="35"/>
      <c r="AC127" s="35"/>
      <c r="AD127" s="35"/>
      <c r="AE127" s="35"/>
      <c r="AF127" s="35"/>
      <c r="AG127" s="15" t="s">
        <v>404</v>
      </c>
      <c r="AH127" s="39"/>
      <c r="AI127" s="39"/>
      <c r="AM127" s="69"/>
    </row>
    <row r="128" spans="1:39" ht="22.8" x14ac:dyDescent="0.3">
      <c r="A128" s="30">
        <v>3642</v>
      </c>
      <c r="B128" s="9"/>
      <c r="C128" s="36"/>
      <c r="D128" s="9"/>
      <c r="E128" s="9" t="s">
        <v>707</v>
      </c>
      <c r="F128" s="30" t="s">
        <v>313</v>
      </c>
      <c r="G128" s="31" t="s">
        <v>315</v>
      </c>
      <c r="H128" s="31" t="s">
        <v>315</v>
      </c>
      <c r="I128" s="31" t="s">
        <v>315</v>
      </c>
      <c r="J128" s="31" t="s">
        <v>315</v>
      </c>
      <c r="K128" s="31" t="s">
        <v>316</v>
      </c>
      <c r="L128" s="32" t="str">
        <f t="shared" si="5"/>
        <v>EXCLUDE</v>
      </c>
      <c r="M128" s="32" t="str">
        <f t="shared" si="6"/>
        <v>Non-English</v>
      </c>
      <c r="N128" s="33"/>
      <c r="O128" s="33"/>
      <c r="P128" s="34"/>
      <c r="Q128" s="34"/>
      <c r="R128" s="34"/>
      <c r="S128" s="32" t="str">
        <f t="shared" si="7"/>
        <v/>
      </c>
      <c r="T128" s="32" t="str">
        <f t="shared" si="8"/>
        <v/>
      </c>
      <c r="U128" s="35"/>
      <c r="V128" s="35"/>
      <c r="W128" s="35"/>
      <c r="X128" s="35"/>
      <c r="Y128" s="32" t="str">
        <f t="shared" si="9"/>
        <v/>
      </c>
      <c r="Z128" s="35"/>
      <c r="AA128" s="35"/>
      <c r="AB128" s="35"/>
      <c r="AC128" s="35"/>
      <c r="AD128" s="35"/>
      <c r="AE128" s="35"/>
      <c r="AF128" s="35"/>
      <c r="AG128" s="15" t="s">
        <v>405</v>
      </c>
      <c r="AH128" s="39"/>
      <c r="AI128" s="39"/>
      <c r="AM128" s="69"/>
    </row>
    <row r="129" spans="1:39" ht="91.2" x14ac:dyDescent="0.3">
      <c r="A129" s="30">
        <v>3575</v>
      </c>
      <c r="B129" s="9" t="s">
        <v>212</v>
      </c>
      <c r="C129" s="36">
        <v>2024</v>
      </c>
      <c r="D129" s="9"/>
      <c r="E129" s="9" t="s">
        <v>708</v>
      </c>
      <c r="F129" s="30" t="s">
        <v>313</v>
      </c>
      <c r="G129" s="31" t="s">
        <v>315</v>
      </c>
      <c r="H129" s="31" t="s">
        <v>315</v>
      </c>
      <c r="I129" s="31" t="s">
        <v>315</v>
      </c>
      <c r="J129" s="31" t="s">
        <v>315</v>
      </c>
      <c r="K129" s="31" t="s">
        <v>315</v>
      </c>
      <c r="L129" s="32" t="str">
        <f t="shared" si="5"/>
        <v>INCLUDE</v>
      </c>
      <c r="M129" s="32" t="str">
        <f t="shared" si="6"/>
        <v/>
      </c>
      <c r="N129" s="33" t="s">
        <v>315</v>
      </c>
      <c r="O129" s="33" t="s">
        <v>315</v>
      </c>
      <c r="P129" s="34" t="s">
        <v>315</v>
      </c>
      <c r="Q129" s="34" t="s">
        <v>315</v>
      </c>
      <c r="R129" s="34" t="s">
        <v>315</v>
      </c>
      <c r="S129" s="32" t="str">
        <f t="shared" si="7"/>
        <v>INCLUDE</v>
      </c>
      <c r="T129" s="32" t="str">
        <f t="shared" si="8"/>
        <v/>
      </c>
      <c r="U129" s="35" t="s">
        <v>61</v>
      </c>
      <c r="V129" s="35">
        <v>0</v>
      </c>
      <c r="W129" s="35">
        <v>0</v>
      </c>
      <c r="X129" s="35">
        <v>1</v>
      </c>
      <c r="Y129" s="32" t="str">
        <f t="shared" si="9"/>
        <v>Single</v>
      </c>
      <c r="Z129" s="35" t="s">
        <v>9</v>
      </c>
      <c r="AA129" s="35" t="s">
        <v>53</v>
      </c>
      <c r="AB129" s="35" t="s">
        <v>91</v>
      </c>
      <c r="AC129" s="35" t="s">
        <v>64</v>
      </c>
      <c r="AD129" s="35" t="s">
        <v>72</v>
      </c>
      <c r="AE129" s="35">
        <v>4</v>
      </c>
      <c r="AF129" s="35" t="s">
        <v>80</v>
      </c>
      <c r="AG129" s="15" t="s">
        <v>1027</v>
      </c>
      <c r="AH129" s="39" t="s">
        <v>1252</v>
      </c>
      <c r="AI129" s="39" t="s">
        <v>1253</v>
      </c>
      <c r="AJ129" t="s">
        <v>1496</v>
      </c>
      <c r="AK129" t="s">
        <v>1550</v>
      </c>
      <c r="AL129" t="s">
        <v>1499</v>
      </c>
      <c r="AM129" s="69"/>
    </row>
    <row r="130" spans="1:39" ht="102.6" x14ac:dyDescent="0.3">
      <c r="A130" s="30">
        <v>3666</v>
      </c>
      <c r="B130" s="9" t="s">
        <v>213</v>
      </c>
      <c r="C130" s="36">
        <v>2026</v>
      </c>
      <c r="D130" s="9"/>
      <c r="E130" s="9" t="s">
        <v>709</v>
      </c>
      <c r="F130" s="30" t="s">
        <v>313</v>
      </c>
      <c r="G130" s="31" t="s">
        <v>315</v>
      </c>
      <c r="H130" s="31" t="s">
        <v>315</v>
      </c>
      <c r="I130" s="31" t="s">
        <v>315</v>
      </c>
      <c r="J130" s="31" t="s">
        <v>315</v>
      </c>
      <c r="K130" s="31" t="s">
        <v>315</v>
      </c>
      <c r="L130" s="32" t="str">
        <f t="shared" ref="L130:L193" si="10">IF(COUNTBLANK(G130:K130)=5,"",IF(COUNTIF(G130:K130,"No")&gt;0,"EXCLUDE","INCLUDE"))</f>
        <v>INCLUDE</v>
      </c>
      <c r="M130" s="32" t="str">
        <f t="shared" ref="M130:M193" si="11">IF(L130&lt;&gt;"EXCLUDE","",IF(G130="No","Wrong domain (non-AECO)",IF(H130="No","Digital Twin not core / buzzword",IF(I130="No","No Design for Safety/Quality/PtD",IF(J130="No","Wrong publication type",IF(K130="No","Non-English",""))))))</f>
        <v/>
      </c>
      <c r="N130" s="33" t="s">
        <v>315</v>
      </c>
      <c r="O130" s="33" t="s">
        <v>315</v>
      </c>
      <c r="P130" s="34" t="s">
        <v>315</v>
      </c>
      <c r="Q130" s="34" t="s">
        <v>315</v>
      </c>
      <c r="R130" s="34" t="s">
        <v>315</v>
      </c>
      <c r="S130" s="32" t="str">
        <f t="shared" ref="S130:S193" si="12">IF(N130&lt;&gt;"Yes","",IF(COUNTBLANK(P130:R130)=3,"",IF(COUNTIF(P130:R130,"No")&gt;0,"EXCLUDE","INCLUDE")))</f>
        <v>INCLUDE</v>
      </c>
      <c r="T130" s="32" t="str">
        <f t="shared" ref="T130:T193" si="13">IF(S130&lt;&gt;"EXCLUDE","",IF(P130="No","Digital Twin mentioned only, not the subject",IF(Q130="No","No Design for Safety/Quality in full text",IF(R130="No","Methodology not codable",""))))</f>
        <v/>
      </c>
      <c r="U130" s="35" t="s">
        <v>61</v>
      </c>
      <c r="V130" s="35">
        <v>0</v>
      </c>
      <c r="W130" s="35">
        <v>1</v>
      </c>
      <c r="X130" s="35">
        <v>0</v>
      </c>
      <c r="Y130" s="32" t="str">
        <f t="shared" ref="Y130:Y193" si="14">IF(SUM(V130:X130)=0,"",IF(SUM(V130:X130)&gt;=2,"Multi","Single"))</f>
        <v>Single</v>
      </c>
      <c r="Z130" s="35" t="s">
        <v>9</v>
      </c>
      <c r="AA130" s="35" t="s">
        <v>53</v>
      </c>
      <c r="AB130" s="35" t="s">
        <v>91</v>
      </c>
      <c r="AC130" s="35" t="s">
        <v>64</v>
      </c>
      <c r="AD130" s="35" t="s">
        <v>72</v>
      </c>
      <c r="AE130" s="35">
        <v>4</v>
      </c>
      <c r="AF130" s="35" t="s">
        <v>80</v>
      </c>
      <c r="AG130" s="15" t="s">
        <v>1028</v>
      </c>
      <c r="AH130" s="39" t="s">
        <v>1254</v>
      </c>
      <c r="AI130" s="39" t="s">
        <v>1255</v>
      </c>
      <c r="AJ130" t="s">
        <v>1497</v>
      </c>
      <c r="AK130" t="s">
        <v>1551</v>
      </c>
      <c r="AL130" t="s">
        <v>1499</v>
      </c>
      <c r="AM130" s="69"/>
    </row>
    <row r="131" spans="1:39" ht="22.8" x14ac:dyDescent="0.3">
      <c r="A131" s="30">
        <v>3976</v>
      </c>
      <c r="B131" s="9"/>
      <c r="C131" s="36"/>
      <c r="D131" s="9"/>
      <c r="E131" s="9" t="s">
        <v>710</v>
      </c>
      <c r="F131" s="30" t="s">
        <v>314</v>
      </c>
      <c r="G131" s="31" t="s">
        <v>315</v>
      </c>
      <c r="H131" s="31" t="s">
        <v>316</v>
      </c>
      <c r="I131" s="31" t="s">
        <v>315</v>
      </c>
      <c r="J131" s="31" t="s">
        <v>315</v>
      </c>
      <c r="K131" s="31" t="s">
        <v>315</v>
      </c>
      <c r="L131" s="32" t="str">
        <f t="shared" si="10"/>
        <v>EXCLUDE</v>
      </c>
      <c r="M131" s="32" t="str">
        <f t="shared" si="11"/>
        <v>Digital Twin not core / buzzword</v>
      </c>
      <c r="N131" s="33"/>
      <c r="O131" s="33"/>
      <c r="P131" s="34"/>
      <c r="Q131" s="34"/>
      <c r="R131" s="34"/>
      <c r="S131" s="32" t="str">
        <f t="shared" si="12"/>
        <v/>
      </c>
      <c r="T131" s="32" t="str">
        <f t="shared" si="13"/>
        <v/>
      </c>
      <c r="U131" s="35"/>
      <c r="V131" s="35"/>
      <c r="W131" s="35"/>
      <c r="X131" s="35"/>
      <c r="Y131" s="32" t="str">
        <f t="shared" si="14"/>
        <v/>
      </c>
      <c r="Z131" s="35"/>
      <c r="AA131" s="35"/>
      <c r="AB131" s="35"/>
      <c r="AC131" s="35"/>
      <c r="AD131" s="35"/>
      <c r="AE131" s="35"/>
      <c r="AF131" s="35"/>
      <c r="AG131" s="15" t="s">
        <v>406</v>
      </c>
      <c r="AH131" s="39"/>
      <c r="AI131" s="39"/>
      <c r="AM131" s="69"/>
    </row>
    <row r="132" spans="1:39" ht="22.8" x14ac:dyDescent="0.3">
      <c r="A132" s="30">
        <v>3790</v>
      </c>
      <c r="B132" s="9"/>
      <c r="C132" s="36"/>
      <c r="D132" s="9"/>
      <c r="E132" s="9" t="s">
        <v>711</v>
      </c>
      <c r="F132" s="30" t="s">
        <v>313</v>
      </c>
      <c r="G132" s="31" t="s">
        <v>316</v>
      </c>
      <c r="H132" s="31" t="s">
        <v>316</v>
      </c>
      <c r="I132" s="31" t="s">
        <v>315</v>
      </c>
      <c r="J132" s="31" t="s">
        <v>315</v>
      </c>
      <c r="K132" s="31" t="s">
        <v>315</v>
      </c>
      <c r="L132" s="32" t="str">
        <f t="shared" si="10"/>
        <v>EXCLUDE</v>
      </c>
      <c r="M132" s="32" t="str">
        <f t="shared" si="11"/>
        <v>Wrong domain (non-AECO)</v>
      </c>
      <c r="N132" s="33"/>
      <c r="O132" s="33"/>
      <c r="P132" s="34"/>
      <c r="Q132" s="34"/>
      <c r="R132" s="34"/>
      <c r="S132" s="32" t="str">
        <f t="shared" si="12"/>
        <v/>
      </c>
      <c r="T132" s="32" t="str">
        <f t="shared" si="13"/>
        <v/>
      </c>
      <c r="U132" s="35"/>
      <c r="V132" s="35"/>
      <c r="W132" s="35"/>
      <c r="X132" s="35"/>
      <c r="Y132" s="32" t="str">
        <f t="shared" si="14"/>
        <v/>
      </c>
      <c r="Z132" s="35"/>
      <c r="AA132" s="35"/>
      <c r="AB132" s="35"/>
      <c r="AC132" s="35"/>
      <c r="AD132" s="35"/>
      <c r="AE132" s="35"/>
      <c r="AF132" s="35"/>
      <c r="AG132" s="15" t="s">
        <v>407</v>
      </c>
      <c r="AH132" s="39"/>
      <c r="AI132" s="39"/>
      <c r="AM132" s="69"/>
    </row>
    <row r="133" spans="1:39" ht="22.8" x14ac:dyDescent="0.3">
      <c r="A133" s="30">
        <v>3821</v>
      </c>
      <c r="B133" s="9"/>
      <c r="C133" s="36"/>
      <c r="D133" s="9"/>
      <c r="E133" s="9" t="s">
        <v>712</v>
      </c>
      <c r="F133" s="30" t="s">
        <v>313</v>
      </c>
      <c r="G133" s="31" t="s">
        <v>315</v>
      </c>
      <c r="H133" s="31" t="s">
        <v>315</v>
      </c>
      <c r="I133" s="31" t="s">
        <v>315</v>
      </c>
      <c r="J133" s="31" t="s">
        <v>315</v>
      </c>
      <c r="K133" s="31" t="s">
        <v>316</v>
      </c>
      <c r="L133" s="32" t="str">
        <f t="shared" si="10"/>
        <v>EXCLUDE</v>
      </c>
      <c r="M133" s="32" t="str">
        <f t="shared" si="11"/>
        <v>Non-English</v>
      </c>
      <c r="N133" s="33"/>
      <c r="O133" s="33"/>
      <c r="P133" s="34"/>
      <c r="Q133" s="34"/>
      <c r="R133" s="34"/>
      <c r="S133" s="32" t="str">
        <f t="shared" si="12"/>
        <v/>
      </c>
      <c r="T133" s="32" t="str">
        <f t="shared" si="13"/>
        <v/>
      </c>
      <c r="U133" s="35"/>
      <c r="V133" s="35"/>
      <c r="W133" s="35"/>
      <c r="X133" s="35"/>
      <c r="Y133" s="32" t="str">
        <f t="shared" si="14"/>
        <v/>
      </c>
      <c r="Z133" s="35"/>
      <c r="AA133" s="35"/>
      <c r="AB133" s="35"/>
      <c r="AC133" s="35"/>
      <c r="AD133" s="35"/>
      <c r="AE133" s="35"/>
      <c r="AF133" s="35"/>
      <c r="AG133" s="15" t="s">
        <v>408</v>
      </c>
      <c r="AH133" s="39"/>
      <c r="AI133" s="39"/>
      <c r="AM133" s="69"/>
    </row>
    <row r="134" spans="1:39" ht="22.8" x14ac:dyDescent="0.3">
      <c r="A134" s="30">
        <v>3987</v>
      </c>
      <c r="B134" s="9"/>
      <c r="C134" s="36"/>
      <c r="D134" s="9"/>
      <c r="E134" s="9" t="s">
        <v>713</v>
      </c>
      <c r="F134" s="30" t="s">
        <v>314</v>
      </c>
      <c r="G134" s="31" t="s">
        <v>315</v>
      </c>
      <c r="H134" s="31" t="s">
        <v>315</v>
      </c>
      <c r="I134" s="31" t="s">
        <v>316</v>
      </c>
      <c r="J134" s="31" t="s">
        <v>315</v>
      </c>
      <c r="K134" s="31" t="s">
        <v>315</v>
      </c>
      <c r="L134" s="32" t="str">
        <f t="shared" si="10"/>
        <v>EXCLUDE</v>
      </c>
      <c r="M134" s="32" t="str">
        <f t="shared" si="11"/>
        <v>No Design for Safety/Quality/PtD</v>
      </c>
      <c r="N134" s="33"/>
      <c r="O134" s="33"/>
      <c r="P134" s="34"/>
      <c r="Q134" s="34"/>
      <c r="R134" s="34"/>
      <c r="S134" s="32" t="str">
        <f t="shared" si="12"/>
        <v/>
      </c>
      <c r="T134" s="32" t="str">
        <f t="shared" si="13"/>
        <v/>
      </c>
      <c r="U134" s="35"/>
      <c r="V134" s="35"/>
      <c r="W134" s="35"/>
      <c r="X134" s="35"/>
      <c r="Y134" s="32" t="str">
        <f t="shared" si="14"/>
        <v/>
      </c>
      <c r="Z134" s="35"/>
      <c r="AA134" s="35"/>
      <c r="AB134" s="35"/>
      <c r="AC134" s="35"/>
      <c r="AD134" s="35"/>
      <c r="AE134" s="35"/>
      <c r="AF134" s="35"/>
      <c r="AG134" s="15" t="s">
        <v>409</v>
      </c>
      <c r="AH134" s="39"/>
      <c r="AI134" s="39"/>
      <c r="AM134" s="69"/>
    </row>
    <row r="135" spans="1:39" ht="22.8" x14ac:dyDescent="0.3">
      <c r="A135" s="30">
        <v>4050</v>
      </c>
      <c r="B135" s="9"/>
      <c r="C135" s="36"/>
      <c r="D135" s="9"/>
      <c r="E135" s="9" t="s">
        <v>714</v>
      </c>
      <c r="F135" s="30" t="s">
        <v>314</v>
      </c>
      <c r="G135" s="31" t="s">
        <v>315</v>
      </c>
      <c r="H135" s="31" t="s">
        <v>316</v>
      </c>
      <c r="I135" s="31" t="s">
        <v>316</v>
      </c>
      <c r="J135" s="31" t="s">
        <v>315</v>
      </c>
      <c r="K135" s="31" t="s">
        <v>315</v>
      </c>
      <c r="L135" s="32" t="str">
        <f t="shared" si="10"/>
        <v>EXCLUDE</v>
      </c>
      <c r="M135" s="32" t="str">
        <f t="shared" si="11"/>
        <v>Digital Twin not core / buzzword</v>
      </c>
      <c r="N135" s="33"/>
      <c r="O135" s="33"/>
      <c r="P135" s="34"/>
      <c r="Q135" s="34"/>
      <c r="R135" s="34"/>
      <c r="S135" s="32" t="str">
        <f t="shared" si="12"/>
        <v/>
      </c>
      <c r="T135" s="32" t="str">
        <f t="shared" si="13"/>
        <v/>
      </c>
      <c r="U135" s="35"/>
      <c r="V135" s="35"/>
      <c r="W135" s="35"/>
      <c r="X135" s="35"/>
      <c r="Y135" s="32" t="str">
        <f t="shared" si="14"/>
        <v/>
      </c>
      <c r="Z135" s="35"/>
      <c r="AA135" s="35"/>
      <c r="AB135" s="35"/>
      <c r="AC135" s="35"/>
      <c r="AD135" s="35"/>
      <c r="AE135" s="35"/>
      <c r="AF135" s="35"/>
      <c r="AG135" s="15" t="s">
        <v>410</v>
      </c>
      <c r="AH135" s="39"/>
      <c r="AI135" s="39"/>
      <c r="AM135" s="69"/>
    </row>
    <row r="136" spans="1:39" ht="22.8" x14ac:dyDescent="0.3">
      <c r="A136" s="30">
        <v>3563</v>
      </c>
      <c r="B136" s="9"/>
      <c r="C136" s="36"/>
      <c r="D136" s="9"/>
      <c r="E136" s="9" t="s">
        <v>715</v>
      </c>
      <c r="F136" s="30" t="s">
        <v>313</v>
      </c>
      <c r="G136" s="31" t="s">
        <v>316</v>
      </c>
      <c r="H136" s="31" t="s">
        <v>315</v>
      </c>
      <c r="I136" s="31" t="s">
        <v>315</v>
      </c>
      <c r="J136" s="31" t="s">
        <v>315</v>
      </c>
      <c r="K136" s="31" t="s">
        <v>315</v>
      </c>
      <c r="L136" s="32" t="str">
        <f t="shared" si="10"/>
        <v>EXCLUDE</v>
      </c>
      <c r="M136" s="32" t="str">
        <f t="shared" si="11"/>
        <v>Wrong domain (non-AECO)</v>
      </c>
      <c r="N136" s="33"/>
      <c r="O136" s="33"/>
      <c r="P136" s="34"/>
      <c r="Q136" s="34"/>
      <c r="R136" s="34"/>
      <c r="S136" s="32" t="str">
        <f t="shared" si="12"/>
        <v/>
      </c>
      <c r="T136" s="32" t="str">
        <f t="shared" si="13"/>
        <v/>
      </c>
      <c r="U136" s="35"/>
      <c r="V136" s="35"/>
      <c r="W136" s="35"/>
      <c r="X136" s="35"/>
      <c r="Y136" s="32" t="str">
        <f t="shared" si="14"/>
        <v/>
      </c>
      <c r="Z136" s="35"/>
      <c r="AA136" s="35"/>
      <c r="AB136" s="35"/>
      <c r="AC136" s="35"/>
      <c r="AD136" s="35"/>
      <c r="AE136" s="35"/>
      <c r="AF136" s="35"/>
      <c r="AG136" s="15" t="s">
        <v>411</v>
      </c>
      <c r="AH136" s="39"/>
      <c r="AI136" s="39"/>
      <c r="AM136" s="69"/>
    </row>
    <row r="137" spans="1:39" ht="22.8" x14ac:dyDescent="0.3">
      <c r="A137" s="30">
        <v>3592</v>
      </c>
      <c r="B137" s="9"/>
      <c r="C137" s="36"/>
      <c r="D137" s="9"/>
      <c r="E137" s="9" t="s">
        <v>716</v>
      </c>
      <c r="F137" s="30" t="s">
        <v>313</v>
      </c>
      <c r="G137" s="31" t="s">
        <v>315</v>
      </c>
      <c r="H137" s="31" t="s">
        <v>315</v>
      </c>
      <c r="I137" s="31" t="s">
        <v>316</v>
      </c>
      <c r="J137" s="31" t="s">
        <v>315</v>
      </c>
      <c r="K137" s="31" t="s">
        <v>315</v>
      </c>
      <c r="L137" s="32" t="str">
        <f t="shared" si="10"/>
        <v>EXCLUDE</v>
      </c>
      <c r="M137" s="32" t="str">
        <f t="shared" si="11"/>
        <v>No Design for Safety/Quality/PtD</v>
      </c>
      <c r="N137" s="33"/>
      <c r="O137" s="33"/>
      <c r="P137" s="34"/>
      <c r="Q137" s="34"/>
      <c r="R137" s="34"/>
      <c r="S137" s="32" t="str">
        <f t="shared" si="12"/>
        <v/>
      </c>
      <c r="T137" s="32" t="str">
        <f t="shared" si="13"/>
        <v/>
      </c>
      <c r="U137" s="35"/>
      <c r="V137" s="35"/>
      <c r="W137" s="35"/>
      <c r="X137" s="35"/>
      <c r="Y137" s="32" t="str">
        <f t="shared" si="14"/>
        <v/>
      </c>
      <c r="Z137" s="35"/>
      <c r="AA137" s="35"/>
      <c r="AB137" s="35"/>
      <c r="AC137" s="35"/>
      <c r="AD137" s="35"/>
      <c r="AE137" s="35"/>
      <c r="AF137" s="35"/>
      <c r="AG137" s="15" t="s">
        <v>412</v>
      </c>
      <c r="AH137" s="39"/>
      <c r="AI137" s="39"/>
      <c r="AM137" s="69"/>
    </row>
    <row r="138" spans="1:39" ht="79.8" x14ac:dyDescent="0.3">
      <c r="A138" s="30">
        <v>3930</v>
      </c>
      <c r="B138" s="9" t="s">
        <v>214</v>
      </c>
      <c r="C138" s="36">
        <v>2022</v>
      </c>
      <c r="D138" s="9"/>
      <c r="E138" s="9" t="s">
        <v>717</v>
      </c>
      <c r="F138" s="30" t="s">
        <v>314</v>
      </c>
      <c r="G138" s="31" t="s">
        <v>315</v>
      </c>
      <c r="H138" s="31" t="s">
        <v>315</v>
      </c>
      <c r="I138" s="31" t="s">
        <v>315</v>
      </c>
      <c r="J138" s="31" t="s">
        <v>315</v>
      </c>
      <c r="K138" s="31" t="s">
        <v>315</v>
      </c>
      <c r="L138" s="32" t="str">
        <f t="shared" si="10"/>
        <v>INCLUDE</v>
      </c>
      <c r="M138" s="32" t="str">
        <f t="shared" si="11"/>
        <v/>
      </c>
      <c r="N138" s="33" t="s">
        <v>315</v>
      </c>
      <c r="O138" s="33" t="s">
        <v>315</v>
      </c>
      <c r="P138" s="34" t="s">
        <v>315</v>
      </c>
      <c r="Q138" s="34" t="s">
        <v>315</v>
      </c>
      <c r="R138" s="34" t="s">
        <v>315</v>
      </c>
      <c r="S138" s="32" t="str">
        <f t="shared" si="12"/>
        <v>INCLUDE</v>
      </c>
      <c r="T138" s="32" t="str">
        <f t="shared" si="13"/>
        <v/>
      </c>
      <c r="U138" s="35" t="s">
        <v>52</v>
      </c>
      <c r="V138" s="35">
        <v>1</v>
      </c>
      <c r="W138" s="35">
        <v>0</v>
      </c>
      <c r="X138" s="35">
        <v>0</v>
      </c>
      <c r="Y138" s="32" t="str">
        <f t="shared" si="14"/>
        <v>Single</v>
      </c>
      <c r="Z138" s="35" t="s">
        <v>9</v>
      </c>
      <c r="AA138" s="35" t="s">
        <v>53</v>
      </c>
      <c r="AB138" s="35" t="s">
        <v>91</v>
      </c>
      <c r="AC138" s="35" t="s">
        <v>64</v>
      </c>
      <c r="AD138" s="35" t="s">
        <v>72</v>
      </c>
      <c r="AE138" s="35">
        <v>3</v>
      </c>
      <c r="AF138" s="35" t="s">
        <v>80</v>
      </c>
      <c r="AG138" s="15" t="s">
        <v>1029</v>
      </c>
      <c r="AH138" s="39" t="s">
        <v>1256</v>
      </c>
      <c r="AI138" s="39" t="s">
        <v>1257</v>
      </c>
      <c r="AJ138" t="s">
        <v>1497</v>
      </c>
      <c r="AK138" t="s">
        <v>1552</v>
      </c>
      <c r="AL138" t="s">
        <v>1500</v>
      </c>
      <c r="AM138" s="69"/>
    </row>
    <row r="139" spans="1:39" ht="91.2" x14ac:dyDescent="0.3">
      <c r="A139" s="30">
        <v>3784</v>
      </c>
      <c r="B139" s="9" t="s">
        <v>214</v>
      </c>
      <c r="C139" s="36">
        <v>2022</v>
      </c>
      <c r="D139" s="9"/>
      <c r="E139" s="9" t="s">
        <v>718</v>
      </c>
      <c r="F139" s="30" t="s">
        <v>313</v>
      </c>
      <c r="G139" s="31" t="s">
        <v>315</v>
      </c>
      <c r="H139" s="31" t="s">
        <v>315</v>
      </c>
      <c r="I139" s="31" t="s">
        <v>315</v>
      </c>
      <c r="J139" s="31" t="s">
        <v>315</v>
      </c>
      <c r="K139" s="31" t="s">
        <v>315</v>
      </c>
      <c r="L139" s="32" t="str">
        <f t="shared" si="10"/>
        <v>INCLUDE</v>
      </c>
      <c r="M139" s="32" t="str">
        <f t="shared" si="11"/>
        <v/>
      </c>
      <c r="N139" s="33" t="s">
        <v>49</v>
      </c>
      <c r="O139" s="33" t="s">
        <v>49</v>
      </c>
      <c r="P139" s="34" t="s">
        <v>49</v>
      </c>
      <c r="Q139" s="34" t="s">
        <v>49</v>
      </c>
      <c r="R139" s="34" t="s">
        <v>49</v>
      </c>
      <c r="S139" s="32" t="str">
        <f t="shared" si="12"/>
        <v>INCLUDE</v>
      </c>
      <c r="T139" s="32" t="str">
        <f t="shared" si="13"/>
        <v/>
      </c>
      <c r="U139" s="35" t="s">
        <v>61</v>
      </c>
      <c r="V139" s="35">
        <v>0</v>
      </c>
      <c r="W139" s="35">
        <v>1</v>
      </c>
      <c r="X139" s="35">
        <v>0</v>
      </c>
      <c r="Y139" s="32" t="str">
        <f t="shared" si="14"/>
        <v>Single</v>
      </c>
      <c r="Z139" s="35" t="s">
        <v>9</v>
      </c>
      <c r="AA139" s="35" t="s">
        <v>53</v>
      </c>
      <c r="AB139" s="35" t="s">
        <v>91</v>
      </c>
      <c r="AC139" s="35" t="s">
        <v>64</v>
      </c>
      <c r="AD139" s="35" t="s">
        <v>72</v>
      </c>
      <c r="AE139" s="35">
        <v>3</v>
      </c>
      <c r="AF139" s="35" t="s">
        <v>80</v>
      </c>
      <c r="AG139" s="15" t="s">
        <v>1113</v>
      </c>
      <c r="AH139" s="39" t="s">
        <v>1258</v>
      </c>
      <c r="AI139" s="39" t="s">
        <v>1259</v>
      </c>
      <c r="AJ139" t="s">
        <v>1496</v>
      </c>
      <c r="AK139" t="s">
        <v>1553</v>
      </c>
      <c r="AL139" t="s">
        <v>1499</v>
      </c>
      <c r="AM139" s="69"/>
    </row>
    <row r="140" spans="1:39" ht="22.8" x14ac:dyDescent="0.3">
      <c r="A140" s="30">
        <v>3630</v>
      </c>
      <c r="B140" s="9"/>
      <c r="C140" s="36"/>
      <c r="D140" s="9"/>
      <c r="E140" s="9" t="s">
        <v>719</v>
      </c>
      <c r="F140" s="30" t="s">
        <v>313</v>
      </c>
      <c r="G140" s="31" t="s">
        <v>315</v>
      </c>
      <c r="H140" s="31" t="s">
        <v>315</v>
      </c>
      <c r="I140" s="31" t="s">
        <v>315</v>
      </c>
      <c r="J140" s="31" t="s">
        <v>315</v>
      </c>
      <c r="K140" s="31" t="s">
        <v>316</v>
      </c>
      <c r="L140" s="32" t="str">
        <f t="shared" si="10"/>
        <v>EXCLUDE</v>
      </c>
      <c r="M140" s="32" t="str">
        <f t="shared" si="11"/>
        <v>Non-English</v>
      </c>
      <c r="N140" s="33"/>
      <c r="O140" s="33"/>
      <c r="P140" s="34"/>
      <c r="Q140" s="34"/>
      <c r="R140" s="34"/>
      <c r="S140" s="32" t="str">
        <f t="shared" si="12"/>
        <v/>
      </c>
      <c r="T140" s="32" t="str">
        <f t="shared" si="13"/>
        <v/>
      </c>
      <c r="U140" s="35"/>
      <c r="V140" s="35"/>
      <c r="W140" s="35"/>
      <c r="X140" s="35"/>
      <c r="Y140" s="32" t="str">
        <f t="shared" si="14"/>
        <v/>
      </c>
      <c r="Z140" s="35"/>
      <c r="AA140" s="35"/>
      <c r="AB140" s="35"/>
      <c r="AC140" s="35"/>
      <c r="AD140" s="35"/>
      <c r="AE140" s="35"/>
      <c r="AF140" s="35"/>
      <c r="AG140" s="15" t="s">
        <v>413</v>
      </c>
      <c r="AH140" s="39"/>
      <c r="AI140" s="39"/>
      <c r="AM140" s="69"/>
    </row>
    <row r="141" spans="1:39" ht="22.8" x14ac:dyDescent="0.3">
      <c r="A141" s="30">
        <v>4054</v>
      </c>
      <c r="B141" s="9"/>
      <c r="C141" s="36"/>
      <c r="D141" s="9"/>
      <c r="E141" s="9" t="s">
        <v>720</v>
      </c>
      <c r="F141" s="30" t="s">
        <v>314</v>
      </c>
      <c r="G141" s="31" t="s">
        <v>315</v>
      </c>
      <c r="H141" s="31" t="s">
        <v>316</v>
      </c>
      <c r="I141" s="31" t="s">
        <v>315</v>
      </c>
      <c r="J141" s="31" t="s">
        <v>315</v>
      </c>
      <c r="K141" s="31" t="s">
        <v>315</v>
      </c>
      <c r="L141" s="32" t="str">
        <f t="shared" si="10"/>
        <v>EXCLUDE</v>
      </c>
      <c r="M141" s="32" t="str">
        <f t="shared" si="11"/>
        <v>Digital Twin not core / buzzword</v>
      </c>
      <c r="N141" s="33"/>
      <c r="O141" s="33"/>
      <c r="P141" s="34"/>
      <c r="Q141" s="34"/>
      <c r="R141" s="34"/>
      <c r="S141" s="32" t="str">
        <f t="shared" si="12"/>
        <v/>
      </c>
      <c r="T141" s="32" t="str">
        <f t="shared" si="13"/>
        <v/>
      </c>
      <c r="U141" s="35"/>
      <c r="V141" s="35"/>
      <c r="W141" s="35"/>
      <c r="X141" s="35"/>
      <c r="Y141" s="32" t="str">
        <f t="shared" si="14"/>
        <v/>
      </c>
      <c r="Z141" s="35"/>
      <c r="AA141" s="35"/>
      <c r="AB141" s="35"/>
      <c r="AC141" s="35"/>
      <c r="AD141" s="35"/>
      <c r="AE141" s="35"/>
      <c r="AF141" s="35"/>
      <c r="AG141" s="15" t="s">
        <v>414</v>
      </c>
      <c r="AH141" s="39"/>
      <c r="AI141" s="39"/>
      <c r="AM141" s="69"/>
    </row>
    <row r="142" spans="1:39" ht="102.6" x14ac:dyDescent="0.3">
      <c r="A142" s="30">
        <v>3605</v>
      </c>
      <c r="B142" s="9" t="s">
        <v>215</v>
      </c>
      <c r="C142" s="36">
        <v>2023</v>
      </c>
      <c r="D142" s="9"/>
      <c r="E142" s="9" t="s">
        <v>721</v>
      </c>
      <c r="F142" s="30" t="s">
        <v>313</v>
      </c>
      <c r="G142" s="31" t="s">
        <v>315</v>
      </c>
      <c r="H142" s="31" t="s">
        <v>315</v>
      </c>
      <c r="I142" s="31" t="s">
        <v>315</v>
      </c>
      <c r="J142" s="31" t="s">
        <v>315</v>
      </c>
      <c r="K142" s="31" t="s">
        <v>315</v>
      </c>
      <c r="L142" s="32" t="str">
        <f t="shared" si="10"/>
        <v>INCLUDE</v>
      </c>
      <c r="M142" s="32" t="str">
        <f t="shared" si="11"/>
        <v/>
      </c>
      <c r="N142" s="33" t="s">
        <v>315</v>
      </c>
      <c r="O142" s="33" t="s">
        <v>315</v>
      </c>
      <c r="P142" s="34" t="s">
        <v>315</v>
      </c>
      <c r="Q142" s="34" t="s">
        <v>315</v>
      </c>
      <c r="R142" s="34" t="s">
        <v>315</v>
      </c>
      <c r="S142" s="32" t="str">
        <f t="shared" si="12"/>
        <v>INCLUDE</v>
      </c>
      <c r="T142" s="32" t="str">
        <f t="shared" si="13"/>
        <v/>
      </c>
      <c r="U142" s="35" t="s">
        <v>68</v>
      </c>
      <c r="V142" s="35">
        <v>0</v>
      </c>
      <c r="W142" s="35">
        <v>0</v>
      </c>
      <c r="X142" s="35">
        <v>1</v>
      </c>
      <c r="Y142" s="32" t="str">
        <f t="shared" si="14"/>
        <v>Single</v>
      </c>
      <c r="Z142" s="35" t="s">
        <v>9</v>
      </c>
      <c r="AA142" s="35" t="s">
        <v>53</v>
      </c>
      <c r="AB142" s="35" t="s">
        <v>89</v>
      </c>
      <c r="AC142" s="35" t="s">
        <v>64</v>
      </c>
      <c r="AD142" s="35" t="s">
        <v>65</v>
      </c>
      <c r="AE142" s="35">
        <v>4</v>
      </c>
      <c r="AF142" s="35" t="s">
        <v>80</v>
      </c>
      <c r="AG142" s="15" t="s">
        <v>1030</v>
      </c>
      <c r="AH142" s="39" t="s">
        <v>1260</v>
      </c>
      <c r="AI142" s="39" t="s">
        <v>1261</v>
      </c>
      <c r="AJ142" t="s">
        <v>1497</v>
      </c>
      <c r="AK142" t="s">
        <v>1554</v>
      </c>
      <c r="AL142" t="s">
        <v>1500</v>
      </c>
      <c r="AM142" s="69"/>
    </row>
    <row r="143" spans="1:39" ht="22.8" x14ac:dyDescent="0.3">
      <c r="A143" s="30">
        <v>3794</v>
      </c>
      <c r="B143" s="9"/>
      <c r="C143" s="36"/>
      <c r="D143" s="9"/>
      <c r="E143" s="9" t="s">
        <v>722</v>
      </c>
      <c r="F143" s="30" t="s">
        <v>313</v>
      </c>
      <c r="G143" s="31" t="s">
        <v>315</v>
      </c>
      <c r="H143" s="31" t="s">
        <v>315</v>
      </c>
      <c r="I143" s="31" t="s">
        <v>315</v>
      </c>
      <c r="J143" s="31" t="s">
        <v>315</v>
      </c>
      <c r="K143" s="31" t="s">
        <v>316</v>
      </c>
      <c r="L143" s="32" t="str">
        <f t="shared" si="10"/>
        <v>EXCLUDE</v>
      </c>
      <c r="M143" s="32" t="str">
        <f t="shared" si="11"/>
        <v>Non-English</v>
      </c>
      <c r="N143" s="33"/>
      <c r="O143" s="33"/>
      <c r="P143" s="34"/>
      <c r="Q143" s="34"/>
      <c r="R143" s="34"/>
      <c r="S143" s="32" t="str">
        <f t="shared" si="12"/>
        <v/>
      </c>
      <c r="T143" s="32" t="str">
        <f t="shared" si="13"/>
        <v/>
      </c>
      <c r="U143" s="35"/>
      <c r="V143" s="35"/>
      <c r="W143" s="35"/>
      <c r="X143" s="35"/>
      <c r="Y143" s="32" t="str">
        <f t="shared" si="14"/>
        <v/>
      </c>
      <c r="Z143" s="35"/>
      <c r="AA143" s="35"/>
      <c r="AB143" s="35"/>
      <c r="AC143" s="35"/>
      <c r="AD143" s="35"/>
      <c r="AE143" s="35"/>
      <c r="AF143" s="35"/>
      <c r="AG143" s="15" t="s">
        <v>415</v>
      </c>
      <c r="AH143" s="39"/>
      <c r="AI143" s="39"/>
      <c r="AM143" s="69"/>
    </row>
    <row r="144" spans="1:39" ht="102.6" x14ac:dyDescent="0.3">
      <c r="A144" s="30">
        <v>3572</v>
      </c>
      <c r="B144" s="9" t="s">
        <v>214</v>
      </c>
      <c r="C144" s="36">
        <v>2022</v>
      </c>
      <c r="D144" s="9"/>
      <c r="E144" s="9" t="s">
        <v>723</v>
      </c>
      <c r="F144" s="30" t="s">
        <v>313</v>
      </c>
      <c r="G144" s="31" t="s">
        <v>315</v>
      </c>
      <c r="H144" s="31" t="s">
        <v>315</v>
      </c>
      <c r="I144" s="31" t="s">
        <v>315</v>
      </c>
      <c r="J144" s="31" t="s">
        <v>315</v>
      </c>
      <c r="K144" s="31" t="s">
        <v>315</v>
      </c>
      <c r="L144" s="32" t="str">
        <f t="shared" si="10"/>
        <v>INCLUDE</v>
      </c>
      <c r="M144" s="32" t="str">
        <f t="shared" si="11"/>
        <v/>
      </c>
      <c r="N144" s="33" t="s">
        <v>49</v>
      </c>
      <c r="O144" s="33" t="s">
        <v>49</v>
      </c>
      <c r="P144" s="34" t="s">
        <v>49</v>
      </c>
      <c r="Q144" s="34" t="s">
        <v>49</v>
      </c>
      <c r="R144" s="34" t="s">
        <v>49</v>
      </c>
      <c r="S144" s="32" t="str">
        <f t="shared" si="12"/>
        <v>INCLUDE</v>
      </c>
      <c r="T144" s="32" t="str">
        <f t="shared" si="13"/>
        <v/>
      </c>
      <c r="U144" s="35" t="s">
        <v>61</v>
      </c>
      <c r="V144" s="35">
        <v>0</v>
      </c>
      <c r="W144" s="35">
        <v>1</v>
      </c>
      <c r="X144" s="35">
        <v>0</v>
      </c>
      <c r="Y144" s="32" t="str">
        <f t="shared" si="14"/>
        <v>Single</v>
      </c>
      <c r="Z144" s="35" t="s">
        <v>9</v>
      </c>
      <c r="AA144" s="35" t="s">
        <v>53</v>
      </c>
      <c r="AB144" s="35" t="s">
        <v>88</v>
      </c>
      <c r="AC144" s="35" t="s">
        <v>64</v>
      </c>
      <c r="AD144" s="35" t="s">
        <v>65</v>
      </c>
      <c r="AE144" s="35">
        <v>4</v>
      </c>
      <c r="AF144" s="35" t="s">
        <v>80</v>
      </c>
      <c r="AG144" s="15" t="s">
        <v>1114</v>
      </c>
      <c r="AH144" s="39" t="s">
        <v>1262</v>
      </c>
      <c r="AI144" s="39" t="s">
        <v>1263</v>
      </c>
      <c r="AJ144" t="s">
        <v>1497</v>
      </c>
      <c r="AK144" t="s">
        <v>1555</v>
      </c>
      <c r="AL144" t="s">
        <v>1500</v>
      </c>
      <c r="AM144" s="69"/>
    </row>
    <row r="145" spans="1:39" ht="68.400000000000006" x14ac:dyDescent="0.3">
      <c r="A145" s="30">
        <v>3872</v>
      </c>
      <c r="B145" s="9" t="s">
        <v>216</v>
      </c>
      <c r="C145" s="36">
        <v>2024</v>
      </c>
      <c r="D145" s="9"/>
      <c r="E145" s="9" t="s">
        <v>724</v>
      </c>
      <c r="F145" s="30" t="s">
        <v>313</v>
      </c>
      <c r="G145" s="31" t="s">
        <v>315</v>
      </c>
      <c r="H145" s="31" t="s">
        <v>315</v>
      </c>
      <c r="I145" s="31" t="s">
        <v>315</v>
      </c>
      <c r="J145" s="31" t="s">
        <v>315</v>
      </c>
      <c r="K145" s="31" t="s">
        <v>315</v>
      </c>
      <c r="L145" s="32" t="str">
        <f t="shared" si="10"/>
        <v>INCLUDE</v>
      </c>
      <c r="M145" s="32" t="str">
        <f t="shared" si="11"/>
        <v/>
      </c>
      <c r="N145" s="33" t="s">
        <v>315</v>
      </c>
      <c r="O145" s="33" t="s">
        <v>315</v>
      </c>
      <c r="P145" s="34" t="s">
        <v>315</v>
      </c>
      <c r="Q145" s="34" t="s">
        <v>315</v>
      </c>
      <c r="R145" s="34" t="s">
        <v>315</v>
      </c>
      <c r="S145" s="32" t="str">
        <f t="shared" si="12"/>
        <v>INCLUDE</v>
      </c>
      <c r="T145" s="32" t="str">
        <f t="shared" si="13"/>
        <v/>
      </c>
      <c r="U145" s="35" t="s">
        <v>61</v>
      </c>
      <c r="V145" s="35">
        <v>0</v>
      </c>
      <c r="W145" s="35">
        <v>1</v>
      </c>
      <c r="X145" s="35">
        <v>0</v>
      </c>
      <c r="Y145" s="32" t="str">
        <f t="shared" si="14"/>
        <v>Single</v>
      </c>
      <c r="Z145" s="35" t="s">
        <v>9</v>
      </c>
      <c r="AA145" s="35" t="s">
        <v>53</v>
      </c>
      <c r="AB145" s="35" t="s">
        <v>89</v>
      </c>
      <c r="AC145" s="35" t="s">
        <v>64</v>
      </c>
      <c r="AD145" s="35" t="s">
        <v>65</v>
      </c>
      <c r="AE145" s="35">
        <v>4</v>
      </c>
      <c r="AF145" s="35" t="s">
        <v>80</v>
      </c>
      <c r="AG145" s="15" t="s">
        <v>1031</v>
      </c>
      <c r="AH145" s="39" t="s">
        <v>1264</v>
      </c>
      <c r="AI145" s="39" t="s">
        <v>1265</v>
      </c>
      <c r="AJ145" t="s">
        <v>1497</v>
      </c>
      <c r="AK145" t="s">
        <v>1556</v>
      </c>
      <c r="AL145" t="s">
        <v>1500</v>
      </c>
      <c r="AM145" s="69"/>
    </row>
    <row r="146" spans="1:39" ht="22.8" x14ac:dyDescent="0.3">
      <c r="A146" s="30">
        <v>3599</v>
      </c>
      <c r="B146" s="9"/>
      <c r="C146" s="36"/>
      <c r="D146" s="9"/>
      <c r="E146" s="9" t="s">
        <v>725</v>
      </c>
      <c r="F146" s="30" t="s">
        <v>313</v>
      </c>
      <c r="G146" s="31" t="s">
        <v>316</v>
      </c>
      <c r="H146" s="31" t="s">
        <v>316</v>
      </c>
      <c r="I146" s="31" t="s">
        <v>316</v>
      </c>
      <c r="J146" s="31" t="s">
        <v>315</v>
      </c>
      <c r="K146" s="31" t="s">
        <v>315</v>
      </c>
      <c r="L146" s="32" t="str">
        <f t="shared" si="10"/>
        <v>EXCLUDE</v>
      </c>
      <c r="M146" s="32" t="str">
        <f t="shared" si="11"/>
        <v>Wrong domain (non-AECO)</v>
      </c>
      <c r="N146" s="33"/>
      <c r="O146" s="33"/>
      <c r="P146" s="34"/>
      <c r="Q146" s="34"/>
      <c r="R146" s="34"/>
      <c r="S146" s="32" t="str">
        <f t="shared" si="12"/>
        <v/>
      </c>
      <c r="T146" s="32" t="str">
        <f t="shared" si="13"/>
        <v/>
      </c>
      <c r="U146" s="35"/>
      <c r="V146" s="35"/>
      <c r="W146" s="35"/>
      <c r="X146" s="35"/>
      <c r="Y146" s="32" t="str">
        <f t="shared" si="14"/>
        <v/>
      </c>
      <c r="Z146" s="35"/>
      <c r="AA146" s="35"/>
      <c r="AB146" s="35"/>
      <c r="AC146" s="35"/>
      <c r="AD146" s="35"/>
      <c r="AE146" s="35"/>
      <c r="AF146" s="35"/>
      <c r="AG146" s="15" t="s">
        <v>416</v>
      </c>
      <c r="AH146" s="39"/>
      <c r="AI146" s="39"/>
      <c r="AM146" s="69"/>
    </row>
    <row r="147" spans="1:39" ht="22.8" x14ac:dyDescent="0.3">
      <c r="A147" s="30">
        <v>3832</v>
      </c>
      <c r="B147" s="9"/>
      <c r="C147" s="36"/>
      <c r="D147" s="9"/>
      <c r="E147" s="9" t="s">
        <v>726</v>
      </c>
      <c r="F147" s="30" t="s">
        <v>313</v>
      </c>
      <c r="G147" s="31" t="s">
        <v>316</v>
      </c>
      <c r="H147" s="31" t="s">
        <v>315</v>
      </c>
      <c r="I147" s="31" t="s">
        <v>316</v>
      </c>
      <c r="J147" s="31" t="s">
        <v>315</v>
      </c>
      <c r="K147" s="31" t="s">
        <v>316</v>
      </c>
      <c r="L147" s="32" t="str">
        <f t="shared" si="10"/>
        <v>EXCLUDE</v>
      </c>
      <c r="M147" s="32" t="str">
        <f t="shared" si="11"/>
        <v>Wrong domain (non-AECO)</v>
      </c>
      <c r="N147" s="33"/>
      <c r="O147" s="33"/>
      <c r="P147" s="34"/>
      <c r="Q147" s="34"/>
      <c r="R147" s="34"/>
      <c r="S147" s="32" t="str">
        <f t="shared" si="12"/>
        <v/>
      </c>
      <c r="T147" s="32" t="str">
        <f t="shared" si="13"/>
        <v/>
      </c>
      <c r="U147" s="35"/>
      <c r="V147" s="35"/>
      <c r="W147" s="35"/>
      <c r="X147" s="35"/>
      <c r="Y147" s="32" t="str">
        <f t="shared" si="14"/>
        <v/>
      </c>
      <c r="Z147" s="35"/>
      <c r="AA147" s="35"/>
      <c r="AB147" s="35"/>
      <c r="AC147" s="35"/>
      <c r="AD147" s="35"/>
      <c r="AE147" s="35"/>
      <c r="AF147" s="35"/>
      <c r="AG147" s="15" t="s">
        <v>417</v>
      </c>
      <c r="AH147" s="39"/>
      <c r="AI147" s="39"/>
      <c r="AM147" s="69"/>
    </row>
    <row r="148" spans="1:39" ht="22.8" x14ac:dyDescent="0.3">
      <c r="A148" s="30">
        <v>3789</v>
      </c>
      <c r="B148" s="9"/>
      <c r="C148" s="36"/>
      <c r="D148" s="9"/>
      <c r="E148" s="9" t="s">
        <v>727</v>
      </c>
      <c r="F148" s="30" t="s">
        <v>313</v>
      </c>
      <c r="G148" s="31" t="s">
        <v>315</v>
      </c>
      <c r="H148" s="31" t="s">
        <v>316</v>
      </c>
      <c r="I148" s="31" t="s">
        <v>315</v>
      </c>
      <c r="J148" s="31" t="s">
        <v>315</v>
      </c>
      <c r="K148" s="31" t="s">
        <v>315</v>
      </c>
      <c r="L148" s="32" t="str">
        <f t="shared" si="10"/>
        <v>EXCLUDE</v>
      </c>
      <c r="M148" s="32" t="str">
        <f t="shared" si="11"/>
        <v>Digital Twin not core / buzzword</v>
      </c>
      <c r="N148" s="33"/>
      <c r="O148" s="33"/>
      <c r="P148" s="34"/>
      <c r="Q148" s="34"/>
      <c r="R148" s="34"/>
      <c r="S148" s="32" t="str">
        <f t="shared" si="12"/>
        <v/>
      </c>
      <c r="T148" s="32" t="str">
        <f t="shared" si="13"/>
        <v/>
      </c>
      <c r="U148" s="35"/>
      <c r="V148" s="35"/>
      <c r="W148" s="35"/>
      <c r="X148" s="35"/>
      <c r="Y148" s="32" t="str">
        <f t="shared" si="14"/>
        <v/>
      </c>
      <c r="Z148" s="35"/>
      <c r="AA148" s="35"/>
      <c r="AB148" s="35"/>
      <c r="AC148" s="35"/>
      <c r="AD148" s="35"/>
      <c r="AE148" s="35"/>
      <c r="AF148" s="35"/>
      <c r="AG148" s="15" t="s">
        <v>418</v>
      </c>
      <c r="AH148" s="39"/>
      <c r="AI148" s="39"/>
      <c r="AM148" s="69"/>
    </row>
    <row r="149" spans="1:39" ht="79.8" x14ac:dyDescent="0.3">
      <c r="A149" s="30">
        <v>4027</v>
      </c>
      <c r="B149" s="9" t="s">
        <v>217</v>
      </c>
      <c r="C149" s="36">
        <v>2025</v>
      </c>
      <c r="D149" s="9"/>
      <c r="E149" s="9" t="s">
        <v>728</v>
      </c>
      <c r="F149" s="30" t="s">
        <v>314</v>
      </c>
      <c r="G149" s="31" t="s">
        <v>315</v>
      </c>
      <c r="H149" s="31" t="s">
        <v>315</v>
      </c>
      <c r="I149" s="31" t="s">
        <v>315</v>
      </c>
      <c r="J149" s="31" t="s">
        <v>315</v>
      </c>
      <c r="K149" s="31" t="s">
        <v>315</v>
      </c>
      <c r="L149" s="32" t="str">
        <f t="shared" si="10"/>
        <v>INCLUDE</v>
      </c>
      <c r="M149" s="32" t="str">
        <f t="shared" si="11"/>
        <v/>
      </c>
      <c r="N149" s="33" t="s">
        <v>315</v>
      </c>
      <c r="O149" s="33" t="s">
        <v>315</v>
      </c>
      <c r="P149" s="34" t="s">
        <v>315</v>
      </c>
      <c r="Q149" s="34" t="s">
        <v>315</v>
      </c>
      <c r="R149" s="34" t="s">
        <v>315</v>
      </c>
      <c r="S149" s="32" t="str">
        <f t="shared" si="12"/>
        <v>INCLUDE</v>
      </c>
      <c r="T149" s="32" t="str">
        <f t="shared" si="13"/>
        <v/>
      </c>
      <c r="U149" s="35" t="s">
        <v>52</v>
      </c>
      <c r="V149" s="35">
        <v>1</v>
      </c>
      <c r="W149" s="35">
        <v>0</v>
      </c>
      <c r="X149" s="35">
        <v>0</v>
      </c>
      <c r="Y149" s="32" t="str">
        <f t="shared" si="14"/>
        <v>Single</v>
      </c>
      <c r="Z149" s="35" t="s">
        <v>9</v>
      </c>
      <c r="AA149" s="35" t="s">
        <v>53</v>
      </c>
      <c r="AB149" s="35" t="s">
        <v>89</v>
      </c>
      <c r="AC149" s="35" t="s">
        <v>64</v>
      </c>
      <c r="AD149" s="35" t="s">
        <v>56</v>
      </c>
      <c r="AE149" s="35">
        <v>3</v>
      </c>
      <c r="AF149" s="35" t="s">
        <v>66</v>
      </c>
      <c r="AG149" s="15" t="s">
        <v>1032</v>
      </c>
      <c r="AH149" s="39" t="s">
        <v>1266</v>
      </c>
      <c r="AI149" s="39" t="s">
        <v>1267</v>
      </c>
      <c r="AJ149" t="s">
        <v>1497</v>
      </c>
      <c r="AK149" t="s">
        <v>1557</v>
      </c>
      <c r="AL149" t="s">
        <v>1500</v>
      </c>
      <c r="AM149" s="69"/>
    </row>
    <row r="150" spans="1:39" ht="22.8" x14ac:dyDescent="0.3">
      <c r="A150" s="30">
        <v>4023</v>
      </c>
      <c r="B150" s="9"/>
      <c r="C150" s="36"/>
      <c r="D150" s="9"/>
      <c r="E150" s="9" t="s">
        <v>729</v>
      </c>
      <c r="F150" s="30" t="s">
        <v>314</v>
      </c>
      <c r="G150" s="31" t="s">
        <v>315</v>
      </c>
      <c r="H150" s="31" t="s">
        <v>316</v>
      </c>
      <c r="I150" s="31" t="s">
        <v>315</v>
      </c>
      <c r="J150" s="31" t="s">
        <v>315</v>
      </c>
      <c r="K150" s="31" t="s">
        <v>315</v>
      </c>
      <c r="L150" s="32" t="str">
        <f t="shared" si="10"/>
        <v>EXCLUDE</v>
      </c>
      <c r="M150" s="32" t="str">
        <f t="shared" si="11"/>
        <v>Digital Twin not core / buzzword</v>
      </c>
      <c r="N150" s="33"/>
      <c r="O150" s="33"/>
      <c r="P150" s="34"/>
      <c r="Q150" s="34"/>
      <c r="R150" s="34"/>
      <c r="S150" s="32" t="str">
        <f t="shared" si="12"/>
        <v/>
      </c>
      <c r="T150" s="32" t="str">
        <f t="shared" si="13"/>
        <v/>
      </c>
      <c r="U150" s="35"/>
      <c r="V150" s="35"/>
      <c r="W150" s="35"/>
      <c r="X150" s="35"/>
      <c r="Y150" s="32" t="str">
        <f t="shared" si="14"/>
        <v/>
      </c>
      <c r="Z150" s="35"/>
      <c r="AA150" s="35"/>
      <c r="AB150" s="35"/>
      <c r="AC150" s="35"/>
      <c r="AD150" s="35"/>
      <c r="AE150" s="35"/>
      <c r="AF150" s="35"/>
      <c r="AG150" s="15" t="s">
        <v>419</v>
      </c>
      <c r="AH150" s="39"/>
      <c r="AI150" s="39"/>
      <c r="AM150" s="69"/>
    </row>
    <row r="151" spans="1:39" ht="22.8" x14ac:dyDescent="0.3">
      <c r="A151" s="30">
        <v>3854</v>
      </c>
      <c r="B151" s="9"/>
      <c r="C151" s="36"/>
      <c r="D151" s="9"/>
      <c r="E151" s="9" t="s">
        <v>730</v>
      </c>
      <c r="F151" s="30" t="s">
        <v>313</v>
      </c>
      <c r="G151" s="31" t="s">
        <v>316</v>
      </c>
      <c r="H151" s="31" t="s">
        <v>315</v>
      </c>
      <c r="I151" s="31" t="s">
        <v>316</v>
      </c>
      <c r="J151" s="31" t="s">
        <v>315</v>
      </c>
      <c r="K151" s="31" t="s">
        <v>315</v>
      </c>
      <c r="L151" s="32" t="str">
        <f t="shared" si="10"/>
        <v>EXCLUDE</v>
      </c>
      <c r="M151" s="32" t="str">
        <f t="shared" si="11"/>
        <v>Wrong domain (non-AECO)</v>
      </c>
      <c r="N151" s="33"/>
      <c r="O151" s="33"/>
      <c r="P151" s="34"/>
      <c r="Q151" s="34"/>
      <c r="R151" s="34"/>
      <c r="S151" s="32" t="str">
        <f t="shared" si="12"/>
        <v/>
      </c>
      <c r="T151" s="32" t="str">
        <f t="shared" si="13"/>
        <v/>
      </c>
      <c r="U151" s="35"/>
      <c r="V151" s="35"/>
      <c r="W151" s="35"/>
      <c r="X151" s="35"/>
      <c r="Y151" s="32" t="str">
        <f t="shared" si="14"/>
        <v/>
      </c>
      <c r="Z151" s="35"/>
      <c r="AA151" s="35"/>
      <c r="AB151" s="35"/>
      <c r="AC151" s="35"/>
      <c r="AD151" s="35"/>
      <c r="AE151" s="35"/>
      <c r="AF151" s="35"/>
      <c r="AG151" s="15" t="s">
        <v>420</v>
      </c>
      <c r="AH151" s="39"/>
      <c r="AI151" s="39"/>
      <c r="AM151" s="69"/>
    </row>
    <row r="152" spans="1:39" ht="22.8" x14ac:dyDescent="0.3">
      <c r="A152" s="30">
        <v>4012</v>
      </c>
      <c r="B152" s="9"/>
      <c r="C152" s="36"/>
      <c r="D152" s="9"/>
      <c r="E152" s="9" t="s">
        <v>731</v>
      </c>
      <c r="F152" s="30" t="s">
        <v>314</v>
      </c>
      <c r="G152" s="31" t="s">
        <v>316</v>
      </c>
      <c r="H152" s="31" t="s">
        <v>316</v>
      </c>
      <c r="I152" s="31" t="s">
        <v>316</v>
      </c>
      <c r="J152" s="31" t="s">
        <v>315</v>
      </c>
      <c r="K152" s="31" t="s">
        <v>315</v>
      </c>
      <c r="L152" s="32" t="str">
        <f t="shared" si="10"/>
        <v>EXCLUDE</v>
      </c>
      <c r="M152" s="32" t="str">
        <f t="shared" si="11"/>
        <v>Wrong domain (non-AECO)</v>
      </c>
      <c r="N152" s="33"/>
      <c r="O152" s="33"/>
      <c r="P152" s="34"/>
      <c r="Q152" s="34"/>
      <c r="R152" s="34"/>
      <c r="S152" s="32" t="str">
        <f t="shared" si="12"/>
        <v/>
      </c>
      <c r="T152" s="32" t="str">
        <f t="shared" si="13"/>
        <v/>
      </c>
      <c r="U152" s="35"/>
      <c r="V152" s="35"/>
      <c r="W152" s="35"/>
      <c r="X152" s="35"/>
      <c r="Y152" s="32" t="str">
        <f t="shared" si="14"/>
        <v/>
      </c>
      <c r="Z152" s="35"/>
      <c r="AA152" s="35"/>
      <c r="AB152" s="35"/>
      <c r="AC152" s="35"/>
      <c r="AD152" s="35"/>
      <c r="AE152" s="35"/>
      <c r="AF152" s="35"/>
      <c r="AG152" s="15" t="s">
        <v>421</v>
      </c>
      <c r="AH152" s="39"/>
      <c r="AI152" s="39"/>
      <c r="AM152" s="69"/>
    </row>
    <row r="153" spans="1:39" ht="22.8" x14ac:dyDescent="0.3">
      <c r="A153" s="30">
        <v>3731</v>
      </c>
      <c r="B153" s="9"/>
      <c r="C153" s="36"/>
      <c r="D153" s="9"/>
      <c r="E153" s="9" t="s">
        <v>732</v>
      </c>
      <c r="F153" s="30" t="s">
        <v>313</v>
      </c>
      <c r="G153" s="31" t="s">
        <v>315</v>
      </c>
      <c r="H153" s="31" t="s">
        <v>316</v>
      </c>
      <c r="I153" s="31" t="s">
        <v>316</v>
      </c>
      <c r="J153" s="31" t="s">
        <v>315</v>
      </c>
      <c r="K153" s="31" t="s">
        <v>315</v>
      </c>
      <c r="L153" s="32" t="str">
        <f t="shared" si="10"/>
        <v>EXCLUDE</v>
      </c>
      <c r="M153" s="32" t="str">
        <f t="shared" si="11"/>
        <v>Digital Twin not core / buzzword</v>
      </c>
      <c r="N153" s="33"/>
      <c r="O153" s="33"/>
      <c r="P153" s="34"/>
      <c r="Q153" s="34"/>
      <c r="R153" s="34"/>
      <c r="S153" s="32" t="str">
        <f t="shared" si="12"/>
        <v/>
      </c>
      <c r="T153" s="32" t="str">
        <f t="shared" si="13"/>
        <v/>
      </c>
      <c r="U153" s="35"/>
      <c r="V153" s="35"/>
      <c r="W153" s="35"/>
      <c r="X153" s="35"/>
      <c r="Y153" s="32" t="str">
        <f t="shared" si="14"/>
        <v/>
      </c>
      <c r="Z153" s="35"/>
      <c r="AA153" s="35"/>
      <c r="AB153" s="35"/>
      <c r="AC153" s="35"/>
      <c r="AD153" s="35"/>
      <c r="AE153" s="35"/>
      <c r="AF153" s="35"/>
      <c r="AG153" s="15" t="s">
        <v>422</v>
      </c>
      <c r="AH153" s="39"/>
      <c r="AI153" s="39"/>
      <c r="AM153" s="69"/>
    </row>
    <row r="154" spans="1:39" ht="22.8" x14ac:dyDescent="0.3">
      <c r="A154" s="30">
        <v>3584</v>
      </c>
      <c r="B154" s="9"/>
      <c r="C154" s="36"/>
      <c r="D154" s="9"/>
      <c r="E154" s="9" t="s">
        <v>733</v>
      </c>
      <c r="F154" s="30" t="s">
        <v>313</v>
      </c>
      <c r="G154" s="31" t="s">
        <v>315</v>
      </c>
      <c r="H154" s="31" t="s">
        <v>315</v>
      </c>
      <c r="I154" s="31" t="s">
        <v>316</v>
      </c>
      <c r="J154" s="31" t="s">
        <v>315</v>
      </c>
      <c r="K154" s="31" t="s">
        <v>315</v>
      </c>
      <c r="L154" s="32" t="str">
        <f t="shared" si="10"/>
        <v>EXCLUDE</v>
      </c>
      <c r="M154" s="32" t="str">
        <f t="shared" si="11"/>
        <v>No Design for Safety/Quality/PtD</v>
      </c>
      <c r="N154" s="33"/>
      <c r="O154" s="33"/>
      <c r="P154" s="34"/>
      <c r="Q154" s="34"/>
      <c r="R154" s="34"/>
      <c r="S154" s="32" t="str">
        <f t="shared" si="12"/>
        <v/>
      </c>
      <c r="T154" s="32" t="str">
        <f t="shared" si="13"/>
        <v/>
      </c>
      <c r="U154" s="35"/>
      <c r="V154" s="35"/>
      <c r="W154" s="35"/>
      <c r="X154" s="35"/>
      <c r="Y154" s="32" t="str">
        <f t="shared" si="14"/>
        <v/>
      </c>
      <c r="Z154" s="35"/>
      <c r="AA154" s="35"/>
      <c r="AB154" s="35"/>
      <c r="AC154" s="35"/>
      <c r="AD154" s="35"/>
      <c r="AE154" s="35"/>
      <c r="AF154" s="35"/>
      <c r="AG154" s="15" t="s">
        <v>423</v>
      </c>
      <c r="AH154" s="39"/>
      <c r="AI154" s="39"/>
      <c r="AM154" s="69"/>
    </row>
    <row r="155" spans="1:39" ht="79.8" x14ac:dyDescent="0.3">
      <c r="A155" s="30">
        <v>4024</v>
      </c>
      <c r="B155" s="9" t="s">
        <v>218</v>
      </c>
      <c r="C155" s="36">
        <v>2022</v>
      </c>
      <c r="D155" s="9"/>
      <c r="E155" s="9" t="s">
        <v>734</v>
      </c>
      <c r="F155" s="30" t="s">
        <v>314</v>
      </c>
      <c r="G155" s="31" t="s">
        <v>315</v>
      </c>
      <c r="H155" s="31" t="s">
        <v>315</v>
      </c>
      <c r="I155" s="31" t="s">
        <v>315</v>
      </c>
      <c r="J155" s="31" t="s">
        <v>315</v>
      </c>
      <c r="K155" s="31" t="s">
        <v>315</v>
      </c>
      <c r="L155" s="32" t="str">
        <f t="shared" si="10"/>
        <v>INCLUDE</v>
      </c>
      <c r="M155" s="32" t="str">
        <f t="shared" si="11"/>
        <v/>
      </c>
      <c r="N155" s="33" t="s">
        <v>315</v>
      </c>
      <c r="O155" s="33" t="s">
        <v>315</v>
      </c>
      <c r="P155" s="34" t="s">
        <v>315</v>
      </c>
      <c r="Q155" s="34" t="s">
        <v>315</v>
      </c>
      <c r="R155" s="34" t="s">
        <v>315</v>
      </c>
      <c r="S155" s="32" t="str">
        <f t="shared" si="12"/>
        <v>INCLUDE</v>
      </c>
      <c r="T155" s="32" t="str">
        <f t="shared" si="13"/>
        <v/>
      </c>
      <c r="U155" s="35" t="s">
        <v>52</v>
      </c>
      <c r="V155" s="35">
        <v>0</v>
      </c>
      <c r="W155" s="35">
        <v>1</v>
      </c>
      <c r="X155" s="35">
        <v>0</v>
      </c>
      <c r="Y155" s="32" t="str">
        <f t="shared" si="14"/>
        <v>Single</v>
      </c>
      <c r="Z155" s="35" t="s">
        <v>9</v>
      </c>
      <c r="AA155" s="35" t="s">
        <v>53</v>
      </c>
      <c r="AB155" s="35" t="s">
        <v>73</v>
      </c>
      <c r="AC155" s="35" t="s">
        <v>64</v>
      </c>
      <c r="AD155" s="35" t="s">
        <v>72</v>
      </c>
      <c r="AE155" s="35">
        <v>4</v>
      </c>
      <c r="AF155" s="35" t="s">
        <v>80</v>
      </c>
      <c r="AG155" s="15" t="s">
        <v>1033</v>
      </c>
      <c r="AH155" s="39" t="s">
        <v>1268</v>
      </c>
      <c r="AI155" s="39" t="s">
        <v>1269</v>
      </c>
      <c r="AJ155" t="s">
        <v>1497</v>
      </c>
      <c r="AK155" t="s">
        <v>1558</v>
      </c>
      <c r="AL155" t="s">
        <v>1499</v>
      </c>
      <c r="AM155" s="69"/>
    </row>
    <row r="156" spans="1:39" ht="91.2" x14ac:dyDescent="0.3">
      <c r="A156" s="30">
        <v>3644</v>
      </c>
      <c r="B156" s="9" t="s">
        <v>218</v>
      </c>
      <c r="C156" s="36">
        <v>2022</v>
      </c>
      <c r="D156" s="9"/>
      <c r="E156" s="9" t="s">
        <v>735</v>
      </c>
      <c r="F156" s="30" t="s">
        <v>313</v>
      </c>
      <c r="G156" s="31" t="s">
        <v>315</v>
      </c>
      <c r="H156" s="31" t="s">
        <v>315</v>
      </c>
      <c r="I156" s="31" t="s">
        <v>315</v>
      </c>
      <c r="J156" s="31" t="s">
        <v>315</v>
      </c>
      <c r="K156" s="31" t="s">
        <v>315</v>
      </c>
      <c r="L156" s="32" t="str">
        <f t="shared" si="10"/>
        <v>INCLUDE</v>
      </c>
      <c r="M156" s="32" t="str">
        <f t="shared" si="11"/>
        <v/>
      </c>
      <c r="N156" s="33" t="s">
        <v>49</v>
      </c>
      <c r="O156" s="33" t="s">
        <v>49</v>
      </c>
      <c r="P156" s="34" t="s">
        <v>49</v>
      </c>
      <c r="Q156" s="34" t="s">
        <v>49</v>
      </c>
      <c r="R156" s="34" t="s">
        <v>49</v>
      </c>
      <c r="S156" s="32" t="str">
        <f t="shared" si="12"/>
        <v>INCLUDE</v>
      </c>
      <c r="T156" s="32" t="str">
        <f t="shared" si="13"/>
        <v/>
      </c>
      <c r="U156" s="35" t="s">
        <v>52</v>
      </c>
      <c r="V156" s="35">
        <v>0</v>
      </c>
      <c r="W156" s="35">
        <v>1</v>
      </c>
      <c r="X156" s="35">
        <v>0</v>
      </c>
      <c r="Y156" s="32" t="str">
        <f t="shared" si="14"/>
        <v>Single</v>
      </c>
      <c r="Z156" s="35" t="s">
        <v>9</v>
      </c>
      <c r="AA156" s="35" t="s">
        <v>53</v>
      </c>
      <c r="AB156" s="35" t="s">
        <v>73</v>
      </c>
      <c r="AC156" s="35" t="s">
        <v>64</v>
      </c>
      <c r="AD156" s="35" t="s">
        <v>72</v>
      </c>
      <c r="AE156" s="35">
        <v>4</v>
      </c>
      <c r="AF156" s="35" t="s">
        <v>80</v>
      </c>
      <c r="AG156" s="15" t="s">
        <v>1115</v>
      </c>
      <c r="AH156" s="39" t="s">
        <v>1270</v>
      </c>
      <c r="AI156" s="39" t="s">
        <v>1271</v>
      </c>
      <c r="AJ156" t="s">
        <v>1497</v>
      </c>
      <c r="AK156" t="s">
        <v>1559</v>
      </c>
      <c r="AL156" t="s">
        <v>1499</v>
      </c>
      <c r="AM156" s="69"/>
    </row>
    <row r="157" spans="1:39" ht="22.8" x14ac:dyDescent="0.3">
      <c r="A157" s="30">
        <v>3643</v>
      </c>
      <c r="B157" s="9"/>
      <c r="C157" s="36"/>
      <c r="D157" s="9"/>
      <c r="E157" s="9" t="s">
        <v>736</v>
      </c>
      <c r="F157" s="30" t="s">
        <v>313</v>
      </c>
      <c r="G157" s="31" t="s">
        <v>316</v>
      </c>
      <c r="H157" s="31" t="s">
        <v>315</v>
      </c>
      <c r="I157" s="31" t="s">
        <v>316</v>
      </c>
      <c r="J157" s="31" t="s">
        <v>315</v>
      </c>
      <c r="K157" s="31" t="s">
        <v>315</v>
      </c>
      <c r="L157" s="32" t="str">
        <f t="shared" si="10"/>
        <v>EXCLUDE</v>
      </c>
      <c r="M157" s="32" t="str">
        <f t="shared" si="11"/>
        <v>Wrong domain (non-AECO)</v>
      </c>
      <c r="N157" s="33"/>
      <c r="O157" s="33"/>
      <c r="P157" s="34"/>
      <c r="Q157" s="34"/>
      <c r="R157" s="34"/>
      <c r="S157" s="32" t="str">
        <f t="shared" si="12"/>
        <v/>
      </c>
      <c r="T157" s="32" t="str">
        <f t="shared" si="13"/>
        <v/>
      </c>
      <c r="U157" s="35"/>
      <c r="V157" s="35"/>
      <c r="W157" s="35"/>
      <c r="X157" s="35"/>
      <c r="Y157" s="32" t="str">
        <f t="shared" si="14"/>
        <v/>
      </c>
      <c r="Z157" s="35"/>
      <c r="AA157" s="35"/>
      <c r="AB157" s="35"/>
      <c r="AC157" s="35"/>
      <c r="AD157" s="35"/>
      <c r="AE157" s="35"/>
      <c r="AF157" s="35"/>
      <c r="AG157" s="15" t="s">
        <v>424</v>
      </c>
      <c r="AH157" s="39"/>
      <c r="AI157" s="39"/>
      <c r="AM157" s="69"/>
    </row>
    <row r="158" spans="1:39" ht="22.8" x14ac:dyDescent="0.3">
      <c r="A158" s="30">
        <v>3523</v>
      </c>
      <c r="B158" s="9"/>
      <c r="C158" s="36"/>
      <c r="D158" s="9"/>
      <c r="E158" s="9" t="s">
        <v>737</v>
      </c>
      <c r="F158" s="30" t="s">
        <v>313</v>
      </c>
      <c r="G158" s="31" t="s">
        <v>315</v>
      </c>
      <c r="H158" s="31" t="s">
        <v>316</v>
      </c>
      <c r="I158" s="31" t="s">
        <v>315</v>
      </c>
      <c r="J158" s="31" t="s">
        <v>315</v>
      </c>
      <c r="K158" s="31" t="s">
        <v>316</v>
      </c>
      <c r="L158" s="32" t="str">
        <f t="shared" si="10"/>
        <v>EXCLUDE</v>
      </c>
      <c r="M158" s="32" t="str">
        <f t="shared" si="11"/>
        <v>Digital Twin not core / buzzword</v>
      </c>
      <c r="N158" s="33"/>
      <c r="O158" s="33"/>
      <c r="P158" s="34"/>
      <c r="Q158" s="34"/>
      <c r="R158" s="34"/>
      <c r="S158" s="32" t="str">
        <f t="shared" si="12"/>
        <v/>
      </c>
      <c r="T158" s="32" t="str">
        <f t="shared" si="13"/>
        <v/>
      </c>
      <c r="U158" s="35"/>
      <c r="V158" s="35"/>
      <c r="W158" s="35"/>
      <c r="X158" s="35"/>
      <c r="Y158" s="32" t="str">
        <f t="shared" si="14"/>
        <v/>
      </c>
      <c r="Z158" s="35"/>
      <c r="AA158" s="35"/>
      <c r="AB158" s="35"/>
      <c r="AC158" s="35"/>
      <c r="AD158" s="35"/>
      <c r="AE158" s="35"/>
      <c r="AF158" s="35"/>
      <c r="AG158" s="15" t="s">
        <v>425</v>
      </c>
      <c r="AH158" s="39"/>
      <c r="AI158" s="39"/>
      <c r="AM158" s="69"/>
    </row>
    <row r="159" spans="1:39" ht="91.2" x14ac:dyDescent="0.3">
      <c r="A159" s="30">
        <v>3792</v>
      </c>
      <c r="B159" s="9" t="s">
        <v>219</v>
      </c>
      <c r="C159" s="36">
        <v>2025</v>
      </c>
      <c r="D159" s="9"/>
      <c r="E159" s="9" t="s">
        <v>738</v>
      </c>
      <c r="F159" s="30" t="s">
        <v>313</v>
      </c>
      <c r="G159" s="31" t="s">
        <v>315</v>
      </c>
      <c r="H159" s="31" t="s">
        <v>315</v>
      </c>
      <c r="I159" s="31" t="s">
        <v>315</v>
      </c>
      <c r="J159" s="31" t="s">
        <v>315</v>
      </c>
      <c r="K159" s="31" t="s">
        <v>315</v>
      </c>
      <c r="L159" s="32" t="str">
        <f t="shared" si="10"/>
        <v>INCLUDE</v>
      </c>
      <c r="M159" s="32" t="str">
        <f t="shared" si="11"/>
        <v/>
      </c>
      <c r="N159" s="33" t="s">
        <v>49</v>
      </c>
      <c r="O159" s="33" t="s">
        <v>49</v>
      </c>
      <c r="P159" s="34" t="s">
        <v>49</v>
      </c>
      <c r="Q159" s="34" t="s">
        <v>49</v>
      </c>
      <c r="R159" s="34" t="s">
        <v>49</v>
      </c>
      <c r="S159" s="32" t="str">
        <f t="shared" si="12"/>
        <v>INCLUDE</v>
      </c>
      <c r="T159" s="32" t="str">
        <f t="shared" si="13"/>
        <v/>
      </c>
      <c r="U159" s="35" t="s">
        <v>52</v>
      </c>
      <c r="V159" s="35">
        <v>0</v>
      </c>
      <c r="W159" s="35">
        <v>0</v>
      </c>
      <c r="X159" s="35">
        <v>1</v>
      </c>
      <c r="Y159" s="32" t="str">
        <f t="shared" si="14"/>
        <v>Single</v>
      </c>
      <c r="Z159" s="35" t="s">
        <v>9</v>
      </c>
      <c r="AA159" s="35" t="s">
        <v>53</v>
      </c>
      <c r="AB159" s="35" t="s">
        <v>91</v>
      </c>
      <c r="AC159" s="35" t="s">
        <v>55</v>
      </c>
      <c r="AD159" s="35" t="s">
        <v>72</v>
      </c>
      <c r="AE159" s="35">
        <v>3</v>
      </c>
      <c r="AF159" s="35" t="s">
        <v>80</v>
      </c>
      <c r="AG159" s="15" t="s">
        <v>1116</v>
      </c>
      <c r="AH159" s="39" t="s">
        <v>1272</v>
      </c>
      <c r="AI159" s="39" t="s">
        <v>1273</v>
      </c>
      <c r="AJ159" t="s">
        <v>1494</v>
      </c>
      <c r="AK159" t="s">
        <v>1560</v>
      </c>
      <c r="AL159" t="s">
        <v>1499</v>
      </c>
      <c r="AM159" s="69"/>
    </row>
    <row r="160" spans="1:39" ht="22.8" x14ac:dyDescent="0.3">
      <c r="A160" s="30">
        <v>3608</v>
      </c>
      <c r="B160" s="9"/>
      <c r="C160" s="36"/>
      <c r="D160" s="9"/>
      <c r="E160" s="9" t="s">
        <v>739</v>
      </c>
      <c r="F160" s="30" t="s">
        <v>313</v>
      </c>
      <c r="G160" s="31" t="s">
        <v>316</v>
      </c>
      <c r="H160" s="31" t="s">
        <v>315</v>
      </c>
      <c r="I160" s="31" t="s">
        <v>315</v>
      </c>
      <c r="J160" s="31" t="s">
        <v>315</v>
      </c>
      <c r="K160" s="31" t="s">
        <v>316</v>
      </c>
      <c r="L160" s="32" t="str">
        <f t="shared" si="10"/>
        <v>EXCLUDE</v>
      </c>
      <c r="M160" s="32" t="str">
        <f t="shared" si="11"/>
        <v>Wrong domain (non-AECO)</v>
      </c>
      <c r="N160" s="33"/>
      <c r="O160" s="33"/>
      <c r="P160" s="34"/>
      <c r="Q160" s="34"/>
      <c r="R160" s="34"/>
      <c r="S160" s="32" t="str">
        <f t="shared" si="12"/>
        <v/>
      </c>
      <c r="T160" s="32" t="str">
        <f t="shared" si="13"/>
        <v/>
      </c>
      <c r="U160" s="35"/>
      <c r="V160" s="35"/>
      <c r="W160" s="35"/>
      <c r="X160" s="35"/>
      <c r="Y160" s="32" t="str">
        <f t="shared" si="14"/>
        <v/>
      </c>
      <c r="Z160" s="35"/>
      <c r="AA160" s="35"/>
      <c r="AB160" s="35"/>
      <c r="AC160" s="35"/>
      <c r="AD160" s="35"/>
      <c r="AE160" s="35"/>
      <c r="AF160" s="35"/>
      <c r="AG160" s="15" t="s">
        <v>426</v>
      </c>
      <c r="AH160" s="39"/>
      <c r="AI160" s="39"/>
      <c r="AM160" s="69"/>
    </row>
    <row r="161" spans="1:39" ht="22.8" x14ac:dyDescent="0.3">
      <c r="A161" s="30">
        <v>4008</v>
      </c>
      <c r="B161" s="9"/>
      <c r="C161" s="36"/>
      <c r="D161" s="9"/>
      <c r="E161" s="9" t="s">
        <v>740</v>
      </c>
      <c r="F161" s="30" t="s">
        <v>314</v>
      </c>
      <c r="G161" s="31" t="s">
        <v>315</v>
      </c>
      <c r="H161" s="31" t="s">
        <v>316</v>
      </c>
      <c r="I161" s="31" t="s">
        <v>316</v>
      </c>
      <c r="J161" s="31" t="s">
        <v>315</v>
      </c>
      <c r="K161" s="31" t="s">
        <v>315</v>
      </c>
      <c r="L161" s="32" t="str">
        <f t="shared" si="10"/>
        <v>EXCLUDE</v>
      </c>
      <c r="M161" s="32" t="str">
        <f t="shared" si="11"/>
        <v>Digital Twin not core / buzzword</v>
      </c>
      <c r="N161" s="33"/>
      <c r="O161" s="33"/>
      <c r="P161" s="34"/>
      <c r="Q161" s="34"/>
      <c r="R161" s="34"/>
      <c r="S161" s="32" t="str">
        <f t="shared" si="12"/>
        <v/>
      </c>
      <c r="T161" s="32" t="str">
        <f t="shared" si="13"/>
        <v/>
      </c>
      <c r="U161" s="35"/>
      <c r="V161" s="35"/>
      <c r="W161" s="35"/>
      <c r="X161" s="35"/>
      <c r="Y161" s="32" t="str">
        <f t="shared" si="14"/>
        <v/>
      </c>
      <c r="Z161" s="35"/>
      <c r="AA161" s="35"/>
      <c r="AB161" s="35"/>
      <c r="AC161" s="35"/>
      <c r="AD161" s="35"/>
      <c r="AE161" s="35"/>
      <c r="AF161" s="35"/>
      <c r="AG161" s="15" t="s">
        <v>427</v>
      </c>
      <c r="AH161" s="39"/>
      <c r="AI161" s="39"/>
      <c r="AM161" s="69"/>
    </row>
    <row r="162" spans="1:39" ht="22.8" x14ac:dyDescent="0.3">
      <c r="A162" s="30">
        <v>3750</v>
      </c>
      <c r="B162" s="9"/>
      <c r="C162" s="36"/>
      <c r="D162" s="9"/>
      <c r="E162" s="9" t="s">
        <v>741</v>
      </c>
      <c r="F162" s="30" t="s">
        <v>313</v>
      </c>
      <c r="G162" s="31" t="s">
        <v>316</v>
      </c>
      <c r="H162" s="31" t="s">
        <v>315</v>
      </c>
      <c r="I162" s="31" t="s">
        <v>315</v>
      </c>
      <c r="J162" s="31" t="s">
        <v>315</v>
      </c>
      <c r="K162" s="31" t="s">
        <v>315</v>
      </c>
      <c r="L162" s="32" t="str">
        <f t="shared" si="10"/>
        <v>EXCLUDE</v>
      </c>
      <c r="M162" s="32" t="str">
        <f t="shared" si="11"/>
        <v>Wrong domain (non-AECO)</v>
      </c>
      <c r="N162" s="33"/>
      <c r="O162" s="33"/>
      <c r="P162" s="34"/>
      <c r="Q162" s="34"/>
      <c r="R162" s="34"/>
      <c r="S162" s="32" t="str">
        <f t="shared" si="12"/>
        <v/>
      </c>
      <c r="T162" s="32" t="str">
        <f t="shared" si="13"/>
        <v/>
      </c>
      <c r="U162" s="35"/>
      <c r="V162" s="35"/>
      <c r="W162" s="35"/>
      <c r="X162" s="35"/>
      <c r="Y162" s="32" t="str">
        <f t="shared" si="14"/>
        <v/>
      </c>
      <c r="Z162" s="35"/>
      <c r="AA162" s="35"/>
      <c r="AB162" s="35"/>
      <c r="AC162" s="35"/>
      <c r="AD162" s="35"/>
      <c r="AE162" s="35"/>
      <c r="AF162" s="35"/>
      <c r="AG162" s="15" t="s">
        <v>428</v>
      </c>
      <c r="AH162" s="39"/>
      <c r="AI162" s="39"/>
      <c r="AM162" s="69"/>
    </row>
    <row r="163" spans="1:39" ht="68.400000000000006" x14ac:dyDescent="0.3">
      <c r="A163" s="30">
        <v>3604</v>
      </c>
      <c r="B163" s="9" t="s">
        <v>220</v>
      </c>
      <c r="C163" s="36">
        <v>2025</v>
      </c>
      <c r="D163" s="9"/>
      <c r="E163" s="9" t="s">
        <v>742</v>
      </c>
      <c r="F163" s="30" t="s">
        <v>313</v>
      </c>
      <c r="G163" s="31" t="s">
        <v>315</v>
      </c>
      <c r="H163" s="31" t="s">
        <v>315</v>
      </c>
      <c r="I163" s="31" t="s">
        <v>315</v>
      </c>
      <c r="J163" s="31" t="s">
        <v>315</v>
      </c>
      <c r="K163" s="31" t="s">
        <v>315</v>
      </c>
      <c r="L163" s="32" t="str">
        <f t="shared" si="10"/>
        <v>INCLUDE</v>
      </c>
      <c r="M163" s="32" t="str">
        <f t="shared" si="11"/>
        <v/>
      </c>
      <c r="N163" s="33" t="s">
        <v>49</v>
      </c>
      <c r="O163" s="33" t="s">
        <v>49</v>
      </c>
      <c r="P163" s="34" t="s">
        <v>58</v>
      </c>
      <c r="Q163" s="34" t="s">
        <v>49</v>
      </c>
      <c r="R163" s="34" t="s">
        <v>58</v>
      </c>
      <c r="S163" s="32" t="str">
        <f t="shared" si="12"/>
        <v>EXCLUDE</v>
      </c>
      <c r="T163" s="32" t="str">
        <f t="shared" si="13"/>
        <v>Digital Twin mentioned only, not the subject</v>
      </c>
      <c r="U163" s="35" t="s">
        <v>82</v>
      </c>
      <c r="V163" s="35"/>
      <c r="W163" s="35"/>
      <c r="X163" s="35"/>
      <c r="Y163" s="32" t="str">
        <f t="shared" si="14"/>
        <v/>
      </c>
      <c r="Z163" s="35"/>
      <c r="AA163" s="35"/>
      <c r="AB163" s="35"/>
      <c r="AC163" s="35"/>
      <c r="AD163" s="35"/>
      <c r="AE163" s="35"/>
      <c r="AF163" s="35"/>
      <c r="AG163" s="15" t="s">
        <v>1117</v>
      </c>
      <c r="AH163" s="39"/>
      <c r="AI163" s="39"/>
      <c r="AM163" s="69"/>
    </row>
    <row r="164" spans="1:39" ht="91.2" x14ac:dyDescent="0.3">
      <c r="A164" s="30">
        <v>3517</v>
      </c>
      <c r="B164" s="9" t="s">
        <v>221</v>
      </c>
      <c r="C164" s="36">
        <v>2023</v>
      </c>
      <c r="D164" s="9"/>
      <c r="E164" s="9" t="s">
        <v>743</v>
      </c>
      <c r="F164" s="30" t="s">
        <v>313</v>
      </c>
      <c r="G164" s="31" t="s">
        <v>315</v>
      </c>
      <c r="H164" s="31" t="s">
        <v>315</v>
      </c>
      <c r="I164" s="31" t="s">
        <v>315</v>
      </c>
      <c r="J164" s="31" t="s">
        <v>315</v>
      </c>
      <c r="K164" s="31" t="s">
        <v>315</v>
      </c>
      <c r="L164" s="32" t="str">
        <f t="shared" si="10"/>
        <v>INCLUDE</v>
      </c>
      <c r="M164" s="32" t="str">
        <f t="shared" si="11"/>
        <v/>
      </c>
      <c r="N164" s="33" t="s">
        <v>49</v>
      </c>
      <c r="O164" s="33" t="s">
        <v>49</v>
      </c>
      <c r="P164" s="34" t="s">
        <v>49</v>
      </c>
      <c r="Q164" s="34" t="s">
        <v>49</v>
      </c>
      <c r="R164" s="34" t="s">
        <v>49</v>
      </c>
      <c r="S164" s="32" t="str">
        <f t="shared" si="12"/>
        <v>INCLUDE</v>
      </c>
      <c r="T164" s="32" t="str">
        <f t="shared" si="13"/>
        <v/>
      </c>
      <c r="U164" s="35" t="s">
        <v>61</v>
      </c>
      <c r="V164" s="35">
        <v>0</v>
      </c>
      <c r="W164" s="35">
        <v>0</v>
      </c>
      <c r="X164" s="35">
        <v>1</v>
      </c>
      <c r="Y164" s="32" t="str">
        <f t="shared" si="14"/>
        <v>Single</v>
      </c>
      <c r="Z164" s="35" t="s">
        <v>9</v>
      </c>
      <c r="AA164" s="35" t="s">
        <v>53</v>
      </c>
      <c r="AB164" s="35" t="s">
        <v>91</v>
      </c>
      <c r="AC164" s="35" t="s">
        <v>64</v>
      </c>
      <c r="AD164" s="35" t="s">
        <v>72</v>
      </c>
      <c r="AE164" s="35">
        <v>4</v>
      </c>
      <c r="AF164" s="35" t="s">
        <v>80</v>
      </c>
      <c r="AG164" s="15" t="s">
        <v>1118</v>
      </c>
      <c r="AH164" s="39" t="s">
        <v>1274</v>
      </c>
      <c r="AI164" s="39" t="s">
        <v>1275</v>
      </c>
      <c r="AJ164" t="s">
        <v>1497</v>
      </c>
      <c r="AK164" t="s">
        <v>1561</v>
      </c>
      <c r="AL164" t="s">
        <v>1499</v>
      </c>
      <c r="AM164" s="69"/>
    </row>
    <row r="165" spans="1:39" ht="22.8" x14ac:dyDescent="0.3">
      <c r="A165" s="30">
        <v>3883</v>
      </c>
      <c r="B165" s="9"/>
      <c r="C165" s="36"/>
      <c r="D165" s="9"/>
      <c r="E165" s="9" t="s">
        <v>744</v>
      </c>
      <c r="F165" s="30" t="s">
        <v>314</v>
      </c>
      <c r="G165" s="31" t="s">
        <v>315</v>
      </c>
      <c r="H165" s="31" t="s">
        <v>316</v>
      </c>
      <c r="I165" s="31" t="s">
        <v>315</v>
      </c>
      <c r="J165" s="31" t="s">
        <v>315</v>
      </c>
      <c r="K165" s="31" t="s">
        <v>315</v>
      </c>
      <c r="L165" s="32" t="str">
        <f t="shared" si="10"/>
        <v>EXCLUDE</v>
      </c>
      <c r="M165" s="32" t="str">
        <f t="shared" si="11"/>
        <v>Digital Twin not core / buzzword</v>
      </c>
      <c r="N165" s="33"/>
      <c r="O165" s="33"/>
      <c r="P165" s="34"/>
      <c r="Q165" s="34"/>
      <c r="R165" s="34"/>
      <c r="S165" s="32" t="str">
        <f t="shared" si="12"/>
        <v/>
      </c>
      <c r="T165" s="32" t="str">
        <f t="shared" si="13"/>
        <v/>
      </c>
      <c r="U165" s="35"/>
      <c r="V165" s="35"/>
      <c r="W165" s="35"/>
      <c r="X165" s="35"/>
      <c r="Y165" s="32" t="str">
        <f t="shared" si="14"/>
        <v/>
      </c>
      <c r="Z165" s="35"/>
      <c r="AA165" s="35"/>
      <c r="AB165" s="35"/>
      <c r="AC165" s="35"/>
      <c r="AD165" s="35"/>
      <c r="AE165" s="35"/>
      <c r="AF165" s="35"/>
      <c r="AG165" s="15" t="s">
        <v>429</v>
      </c>
      <c r="AH165" s="39"/>
      <c r="AI165" s="39"/>
      <c r="AM165" s="69"/>
    </row>
    <row r="166" spans="1:39" ht="91.2" x14ac:dyDescent="0.3">
      <c r="A166" s="30">
        <v>3916</v>
      </c>
      <c r="B166" s="9" t="s">
        <v>222</v>
      </c>
      <c r="C166" s="36">
        <v>2023</v>
      </c>
      <c r="D166" s="9"/>
      <c r="E166" s="9" t="s">
        <v>745</v>
      </c>
      <c r="F166" s="30" t="s">
        <v>314</v>
      </c>
      <c r="G166" s="31" t="s">
        <v>315</v>
      </c>
      <c r="H166" s="31" t="s">
        <v>315</v>
      </c>
      <c r="I166" s="31" t="s">
        <v>315</v>
      </c>
      <c r="J166" s="31" t="s">
        <v>315</v>
      </c>
      <c r="K166" s="31" t="s">
        <v>315</v>
      </c>
      <c r="L166" s="32" t="str">
        <f t="shared" si="10"/>
        <v>INCLUDE</v>
      </c>
      <c r="M166" s="32" t="str">
        <f t="shared" si="11"/>
        <v/>
      </c>
      <c r="N166" s="33" t="s">
        <v>49</v>
      </c>
      <c r="O166" s="33" t="s">
        <v>49</v>
      </c>
      <c r="P166" s="34" t="s">
        <v>49</v>
      </c>
      <c r="Q166" s="34" t="s">
        <v>49</v>
      </c>
      <c r="R166" s="34" t="s">
        <v>49</v>
      </c>
      <c r="S166" s="32" t="str">
        <f t="shared" si="12"/>
        <v>INCLUDE</v>
      </c>
      <c r="T166" s="32" t="str">
        <f t="shared" si="13"/>
        <v/>
      </c>
      <c r="U166" s="35" t="s">
        <v>61</v>
      </c>
      <c r="V166" s="35">
        <v>0</v>
      </c>
      <c r="W166" s="35">
        <v>0</v>
      </c>
      <c r="X166" s="35">
        <v>1</v>
      </c>
      <c r="Y166" s="32" t="str">
        <f t="shared" si="14"/>
        <v>Single</v>
      </c>
      <c r="Z166" s="35" t="s">
        <v>9</v>
      </c>
      <c r="AA166" s="35" t="s">
        <v>62</v>
      </c>
      <c r="AB166" s="35" t="s">
        <v>88</v>
      </c>
      <c r="AC166" s="35" t="s">
        <v>55</v>
      </c>
      <c r="AD166" s="35" t="s">
        <v>65</v>
      </c>
      <c r="AE166" s="35">
        <v>4</v>
      </c>
      <c r="AF166" s="35" t="s">
        <v>84</v>
      </c>
      <c r="AG166" s="15" t="s">
        <v>1119</v>
      </c>
      <c r="AH166" s="39" t="s">
        <v>1276</v>
      </c>
      <c r="AI166" s="39" t="s">
        <v>1277</v>
      </c>
      <c r="AJ166" t="s">
        <v>1494</v>
      </c>
      <c r="AK166" t="s">
        <v>1562</v>
      </c>
      <c r="AL166" t="s">
        <v>1499</v>
      </c>
      <c r="AM166" s="69"/>
    </row>
    <row r="167" spans="1:39" ht="22.8" x14ac:dyDescent="0.3">
      <c r="A167" s="30">
        <v>3548</v>
      </c>
      <c r="B167" s="9"/>
      <c r="C167" s="36"/>
      <c r="D167" s="9"/>
      <c r="E167" s="9" t="s">
        <v>746</v>
      </c>
      <c r="F167" s="30" t="s">
        <v>313</v>
      </c>
      <c r="G167" s="31" t="s">
        <v>315</v>
      </c>
      <c r="H167" s="31" t="s">
        <v>316</v>
      </c>
      <c r="I167" s="31" t="s">
        <v>315</v>
      </c>
      <c r="J167" s="31" t="s">
        <v>315</v>
      </c>
      <c r="K167" s="31" t="s">
        <v>315</v>
      </c>
      <c r="L167" s="32" t="str">
        <f t="shared" si="10"/>
        <v>EXCLUDE</v>
      </c>
      <c r="M167" s="32" t="str">
        <f t="shared" si="11"/>
        <v>Digital Twin not core / buzzword</v>
      </c>
      <c r="N167" s="33"/>
      <c r="O167" s="33"/>
      <c r="P167" s="34"/>
      <c r="Q167" s="34"/>
      <c r="R167" s="34"/>
      <c r="S167" s="32" t="str">
        <f t="shared" si="12"/>
        <v/>
      </c>
      <c r="T167" s="32" t="str">
        <f t="shared" si="13"/>
        <v/>
      </c>
      <c r="U167" s="35"/>
      <c r="V167" s="35"/>
      <c r="W167" s="35"/>
      <c r="X167" s="35"/>
      <c r="Y167" s="32" t="str">
        <f t="shared" si="14"/>
        <v/>
      </c>
      <c r="Z167" s="35"/>
      <c r="AA167" s="35"/>
      <c r="AB167" s="35"/>
      <c r="AC167" s="35"/>
      <c r="AD167" s="35"/>
      <c r="AE167" s="35"/>
      <c r="AF167" s="35"/>
      <c r="AG167" s="15" t="s">
        <v>430</v>
      </c>
      <c r="AH167" s="39"/>
      <c r="AI167" s="39"/>
      <c r="AM167" s="69"/>
    </row>
    <row r="168" spans="1:39" ht="79.8" x14ac:dyDescent="0.3">
      <c r="A168" s="30">
        <v>3938</v>
      </c>
      <c r="B168" s="9" t="s">
        <v>223</v>
      </c>
      <c r="C168" s="36">
        <v>2024</v>
      </c>
      <c r="D168" s="9"/>
      <c r="E168" s="9" t="s">
        <v>747</v>
      </c>
      <c r="F168" s="30" t="s">
        <v>314</v>
      </c>
      <c r="G168" s="31" t="s">
        <v>315</v>
      </c>
      <c r="H168" s="31" t="s">
        <v>315</v>
      </c>
      <c r="I168" s="31" t="s">
        <v>315</v>
      </c>
      <c r="J168" s="31" t="s">
        <v>315</v>
      </c>
      <c r="K168" s="31" t="s">
        <v>315</v>
      </c>
      <c r="L168" s="32" t="str">
        <f t="shared" si="10"/>
        <v>INCLUDE</v>
      </c>
      <c r="M168" s="32" t="str">
        <f t="shared" si="11"/>
        <v/>
      </c>
      <c r="N168" s="33" t="s">
        <v>315</v>
      </c>
      <c r="O168" s="33" t="s">
        <v>315</v>
      </c>
      <c r="P168" s="34" t="s">
        <v>315</v>
      </c>
      <c r="Q168" s="34" t="s">
        <v>315</v>
      </c>
      <c r="R168" s="34" t="s">
        <v>315</v>
      </c>
      <c r="S168" s="32" t="str">
        <f t="shared" si="12"/>
        <v>INCLUDE</v>
      </c>
      <c r="T168" s="32" t="str">
        <f t="shared" si="13"/>
        <v/>
      </c>
      <c r="U168" s="35" t="s">
        <v>61</v>
      </c>
      <c r="V168" s="35">
        <v>0</v>
      </c>
      <c r="W168" s="35">
        <v>1</v>
      </c>
      <c r="X168" s="35">
        <v>0</v>
      </c>
      <c r="Y168" s="32" t="str">
        <f t="shared" si="14"/>
        <v>Single</v>
      </c>
      <c r="Z168" s="35" t="s">
        <v>9</v>
      </c>
      <c r="AA168" s="35" t="s">
        <v>53</v>
      </c>
      <c r="AB168" s="35" t="s">
        <v>92</v>
      </c>
      <c r="AC168" s="35" t="s">
        <v>64</v>
      </c>
      <c r="AD168" s="35" t="s">
        <v>72</v>
      </c>
      <c r="AE168" s="35">
        <v>4</v>
      </c>
      <c r="AF168" s="35" t="s">
        <v>80</v>
      </c>
      <c r="AG168" s="15" t="s">
        <v>1034</v>
      </c>
      <c r="AH168" s="39" t="s">
        <v>1278</v>
      </c>
      <c r="AI168" s="39" t="s">
        <v>1279</v>
      </c>
      <c r="AJ168" t="s">
        <v>1497</v>
      </c>
      <c r="AK168" t="s">
        <v>1563</v>
      </c>
      <c r="AL168" t="s">
        <v>1499</v>
      </c>
      <c r="AM168" s="69"/>
    </row>
    <row r="169" spans="1:39" ht="91.2" x14ac:dyDescent="0.3">
      <c r="A169" s="30">
        <v>3999</v>
      </c>
      <c r="B169" s="9" t="s">
        <v>223</v>
      </c>
      <c r="C169" s="36">
        <v>2024</v>
      </c>
      <c r="D169" s="9"/>
      <c r="E169" s="9" t="s">
        <v>748</v>
      </c>
      <c r="F169" s="30" t="s">
        <v>314</v>
      </c>
      <c r="G169" s="31" t="s">
        <v>315</v>
      </c>
      <c r="H169" s="31" t="s">
        <v>315</v>
      </c>
      <c r="I169" s="31" t="s">
        <v>315</v>
      </c>
      <c r="J169" s="31" t="s">
        <v>315</v>
      </c>
      <c r="K169" s="31" t="s">
        <v>315</v>
      </c>
      <c r="L169" s="32" t="str">
        <f t="shared" si="10"/>
        <v>INCLUDE</v>
      </c>
      <c r="M169" s="32" t="str">
        <f t="shared" si="11"/>
        <v/>
      </c>
      <c r="N169" s="33" t="s">
        <v>315</v>
      </c>
      <c r="O169" s="33" t="s">
        <v>315</v>
      </c>
      <c r="P169" s="34" t="s">
        <v>315</v>
      </c>
      <c r="Q169" s="34" t="s">
        <v>315</v>
      </c>
      <c r="R169" s="34" t="s">
        <v>315</v>
      </c>
      <c r="S169" s="32" t="str">
        <f t="shared" si="12"/>
        <v>INCLUDE</v>
      </c>
      <c r="T169" s="32" t="str">
        <f t="shared" si="13"/>
        <v/>
      </c>
      <c r="U169" s="35" t="s">
        <v>61</v>
      </c>
      <c r="V169" s="35">
        <v>0</v>
      </c>
      <c r="W169" s="35">
        <v>0</v>
      </c>
      <c r="X169" s="35">
        <v>1</v>
      </c>
      <c r="Y169" s="32" t="str">
        <f t="shared" si="14"/>
        <v>Single</v>
      </c>
      <c r="Z169" s="35" t="s">
        <v>9</v>
      </c>
      <c r="AA169" s="35" t="s">
        <v>53</v>
      </c>
      <c r="AB169" s="35" t="s">
        <v>90</v>
      </c>
      <c r="AC169" s="35" t="s">
        <v>64</v>
      </c>
      <c r="AD169" s="35" t="s">
        <v>72</v>
      </c>
      <c r="AE169" s="35">
        <v>4</v>
      </c>
      <c r="AF169" s="35" t="s">
        <v>80</v>
      </c>
      <c r="AG169" s="15" t="s">
        <v>1035</v>
      </c>
      <c r="AH169" s="39" t="s">
        <v>1280</v>
      </c>
      <c r="AI169" s="39" t="s">
        <v>1281</v>
      </c>
      <c r="AJ169" t="s">
        <v>1497</v>
      </c>
      <c r="AK169" t="s">
        <v>1564</v>
      </c>
      <c r="AL169" t="s">
        <v>1500</v>
      </c>
      <c r="AM169" s="69"/>
    </row>
    <row r="170" spans="1:39" ht="22.8" x14ac:dyDescent="0.3">
      <c r="A170" s="30">
        <v>3808</v>
      </c>
      <c r="B170" s="9"/>
      <c r="C170" s="36"/>
      <c r="D170" s="9"/>
      <c r="E170" s="9" t="s">
        <v>749</v>
      </c>
      <c r="F170" s="30" t="s">
        <v>313</v>
      </c>
      <c r="G170" s="31" t="s">
        <v>316</v>
      </c>
      <c r="H170" s="31" t="s">
        <v>315</v>
      </c>
      <c r="I170" s="31" t="s">
        <v>315</v>
      </c>
      <c r="J170" s="31" t="s">
        <v>315</v>
      </c>
      <c r="K170" s="31" t="s">
        <v>315</v>
      </c>
      <c r="L170" s="32" t="str">
        <f t="shared" si="10"/>
        <v>EXCLUDE</v>
      </c>
      <c r="M170" s="32" t="str">
        <f t="shared" si="11"/>
        <v>Wrong domain (non-AECO)</v>
      </c>
      <c r="N170" s="33"/>
      <c r="O170" s="33"/>
      <c r="P170" s="34"/>
      <c r="Q170" s="34"/>
      <c r="R170" s="34"/>
      <c r="S170" s="32" t="str">
        <f t="shared" si="12"/>
        <v/>
      </c>
      <c r="T170" s="32" t="str">
        <f t="shared" si="13"/>
        <v/>
      </c>
      <c r="U170" s="35"/>
      <c r="V170" s="35"/>
      <c r="W170" s="35"/>
      <c r="X170" s="35"/>
      <c r="Y170" s="32" t="str">
        <f t="shared" si="14"/>
        <v/>
      </c>
      <c r="Z170" s="35"/>
      <c r="AA170" s="35"/>
      <c r="AB170" s="35"/>
      <c r="AC170" s="35"/>
      <c r="AD170" s="35"/>
      <c r="AE170" s="35"/>
      <c r="AF170" s="35"/>
      <c r="AG170" s="15" t="s">
        <v>431</v>
      </c>
      <c r="AH170" s="39"/>
      <c r="AI170" s="39"/>
      <c r="AM170" s="69"/>
    </row>
    <row r="171" spans="1:39" ht="22.8" x14ac:dyDescent="0.3">
      <c r="A171" s="30">
        <v>3827</v>
      </c>
      <c r="B171" s="9"/>
      <c r="C171" s="36"/>
      <c r="D171" s="9"/>
      <c r="E171" s="9" t="s">
        <v>750</v>
      </c>
      <c r="F171" s="30" t="s">
        <v>313</v>
      </c>
      <c r="G171" s="31" t="s">
        <v>315</v>
      </c>
      <c r="H171" s="31" t="s">
        <v>315</v>
      </c>
      <c r="I171" s="31" t="s">
        <v>316</v>
      </c>
      <c r="J171" s="31" t="s">
        <v>315</v>
      </c>
      <c r="K171" s="31" t="s">
        <v>316</v>
      </c>
      <c r="L171" s="32" t="str">
        <f t="shared" si="10"/>
        <v>EXCLUDE</v>
      </c>
      <c r="M171" s="32" t="str">
        <f t="shared" si="11"/>
        <v>No Design for Safety/Quality/PtD</v>
      </c>
      <c r="N171" s="33"/>
      <c r="O171" s="33"/>
      <c r="P171" s="34"/>
      <c r="Q171" s="34"/>
      <c r="R171" s="34"/>
      <c r="S171" s="32" t="str">
        <f t="shared" si="12"/>
        <v/>
      </c>
      <c r="T171" s="32" t="str">
        <f t="shared" si="13"/>
        <v/>
      </c>
      <c r="U171" s="35"/>
      <c r="V171" s="35"/>
      <c r="W171" s="35"/>
      <c r="X171" s="35"/>
      <c r="Y171" s="32" t="str">
        <f t="shared" si="14"/>
        <v/>
      </c>
      <c r="Z171" s="35"/>
      <c r="AA171" s="35"/>
      <c r="AB171" s="35"/>
      <c r="AC171" s="35"/>
      <c r="AD171" s="35"/>
      <c r="AE171" s="35"/>
      <c r="AF171" s="35"/>
      <c r="AG171" s="15" t="s">
        <v>432</v>
      </c>
      <c r="AH171" s="39"/>
      <c r="AI171" s="39"/>
      <c r="AM171" s="69"/>
    </row>
    <row r="172" spans="1:39" ht="22.8" x14ac:dyDescent="0.3">
      <c r="A172" s="30">
        <v>3738</v>
      </c>
      <c r="B172" s="9"/>
      <c r="C172" s="36"/>
      <c r="D172" s="9"/>
      <c r="E172" s="9" t="s">
        <v>751</v>
      </c>
      <c r="F172" s="30" t="s">
        <v>313</v>
      </c>
      <c r="G172" s="31" t="s">
        <v>316</v>
      </c>
      <c r="H172" s="31" t="s">
        <v>316</v>
      </c>
      <c r="I172" s="31" t="s">
        <v>315</v>
      </c>
      <c r="J172" s="31" t="s">
        <v>315</v>
      </c>
      <c r="K172" s="31" t="s">
        <v>315</v>
      </c>
      <c r="L172" s="32" t="str">
        <f t="shared" si="10"/>
        <v>EXCLUDE</v>
      </c>
      <c r="M172" s="32" t="str">
        <f t="shared" si="11"/>
        <v>Wrong domain (non-AECO)</v>
      </c>
      <c r="N172" s="33"/>
      <c r="O172" s="33"/>
      <c r="P172" s="34"/>
      <c r="Q172" s="34"/>
      <c r="R172" s="34"/>
      <c r="S172" s="32" t="str">
        <f t="shared" si="12"/>
        <v/>
      </c>
      <c r="T172" s="32" t="str">
        <f t="shared" si="13"/>
        <v/>
      </c>
      <c r="U172" s="35"/>
      <c r="V172" s="35"/>
      <c r="W172" s="35"/>
      <c r="X172" s="35"/>
      <c r="Y172" s="32" t="str">
        <f t="shared" si="14"/>
        <v/>
      </c>
      <c r="Z172" s="35"/>
      <c r="AA172" s="35"/>
      <c r="AB172" s="35"/>
      <c r="AC172" s="35"/>
      <c r="AD172" s="35"/>
      <c r="AE172" s="35"/>
      <c r="AF172" s="35"/>
      <c r="AG172" s="15" t="s">
        <v>433</v>
      </c>
      <c r="AH172" s="39"/>
      <c r="AI172" s="39"/>
      <c r="AM172" s="69"/>
    </row>
    <row r="173" spans="1:39" ht="22.8" x14ac:dyDescent="0.3">
      <c r="A173" s="30">
        <v>3897</v>
      </c>
      <c r="B173" s="9"/>
      <c r="C173" s="36"/>
      <c r="D173" s="9"/>
      <c r="E173" s="9" t="s">
        <v>752</v>
      </c>
      <c r="F173" s="30" t="s">
        <v>314</v>
      </c>
      <c r="G173" s="31" t="s">
        <v>315</v>
      </c>
      <c r="H173" s="31" t="s">
        <v>315</v>
      </c>
      <c r="I173" s="31" t="s">
        <v>316</v>
      </c>
      <c r="J173" s="31" t="s">
        <v>315</v>
      </c>
      <c r="K173" s="31" t="s">
        <v>315</v>
      </c>
      <c r="L173" s="32" t="str">
        <f t="shared" si="10"/>
        <v>EXCLUDE</v>
      </c>
      <c r="M173" s="32" t="str">
        <f t="shared" si="11"/>
        <v>No Design for Safety/Quality/PtD</v>
      </c>
      <c r="N173" s="33"/>
      <c r="O173" s="33"/>
      <c r="P173" s="34"/>
      <c r="Q173" s="34"/>
      <c r="R173" s="34"/>
      <c r="S173" s="32" t="str">
        <f t="shared" si="12"/>
        <v/>
      </c>
      <c r="T173" s="32" t="str">
        <f t="shared" si="13"/>
        <v/>
      </c>
      <c r="U173" s="35"/>
      <c r="V173" s="35"/>
      <c r="W173" s="35"/>
      <c r="X173" s="35"/>
      <c r="Y173" s="32" t="str">
        <f t="shared" si="14"/>
        <v/>
      </c>
      <c r="Z173" s="35"/>
      <c r="AA173" s="35"/>
      <c r="AB173" s="35"/>
      <c r="AC173" s="35"/>
      <c r="AD173" s="35"/>
      <c r="AE173" s="35"/>
      <c r="AF173" s="35"/>
      <c r="AG173" s="15" t="s">
        <v>434</v>
      </c>
      <c r="AH173" s="39"/>
      <c r="AI173" s="39"/>
      <c r="AM173" s="69"/>
    </row>
    <row r="174" spans="1:39" ht="22.8" x14ac:dyDescent="0.3">
      <c r="A174" s="30">
        <v>3859</v>
      </c>
      <c r="B174" s="9"/>
      <c r="C174" s="36"/>
      <c r="D174" s="9"/>
      <c r="E174" s="9" t="s">
        <v>753</v>
      </c>
      <c r="F174" s="30" t="s">
        <v>313</v>
      </c>
      <c r="G174" s="31" t="s">
        <v>315</v>
      </c>
      <c r="H174" s="31" t="s">
        <v>316</v>
      </c>
      <c r="I174" s="31" t="s">
        <v>315</v>
      </c>
      <c r="J174" s="31" t="s">
        <v>315</v>
      </c>
      <c r="K174" s="31" t="s">
        <v>316</v>
      </c>
      <c r="L174" s="32" t="str">
        <f t="shared" si="10"/>
        <v>EXCLUDE</v>
      </c>
      <c r="M174" s="32" t="str">
        <f t="shared" si="11"/>
        <v>Digital Twin not core / buzzword</v>
      </c>
      <c r="N174" s="33"/>
      <c r="O174" s="33"/>
      <c r="P174" s="34"/>
      <c r="Q174" s="34"/>
      <c r="R174" s="34"/>
      <c r="S174" s="32" t="str">
        <f t="shared" si="12"/>
        <v/>
      </c>
      <c r="T174" s="32" t="str">
        <f t="shared" si="13"/>
        <v/>
      </c>
      <c r="U174" s="35"/>
      <c r="V174" s="35"/>
      <c r="W174" s="35"/>
      <c r="X174" s="35"/>
      <c r="Y174" s="32" t="str">
        <f t="shared" si="14"/>
        <v/>
      </c>
      <c r="Z174" s="35"/>
      <c r="AA174" s="35"/>
      <c r="AB174" s="35"/>
      <c r="AC174" s="35"/>
      <c r="AD174" s="35"/>
      <c r="AE174" s="35"/>
      <c r="AF174" s="35"/>
      <c r="AG174" s="15" t="s">
        <v>435</v>
      </c>
      <c r="AH174" s="39"/>
      <c r="AI174" s="39"/>
      <c r="AM174" s="69"/>
    </row>
    <row r="175" spans="1:39" x14ac:dyDescent="0.3">
      <c r="A175" s="30">
        <v>3507</v>
      </c>
      <c r="B175" s="9"/>
      <c r="C175" s="36"/>
      <c r="D175" s="9"/>
      <c r="E175" s="9" t="s">
        <v>754</v>
      </c>
      <c r="F175" s="30" t="s">
        <v>313</v>
      </c>
      <c r="G175" s="31" t="s">
        <v>315</v>
      </c>
      <c r="H175" s="31" t="s">
        <v>316</v>
      </c>
      <c r="I175" s="31" t="s">
        <v>315</v>
      </c>
      <c r="J175" s="31" t="s">
        <v>315</v>
      </c>
      <c r="K175" s="31" t="s">
        <v>315</v>
      </c>
      <c r="L175" s="32" t="str">
        <f t="shared" si="10"/>
        <v>EXCLUDE</v>
      </c>
      <c r="M175" s="32" t="str">
        <f t="shared" si="11"/>
        <v>Digital Twin not core / buzzword</v>
      </c>
      <c r="N175" s="33"/>
      <c r="O175" s="33"/>
      <c r="P175" s="34"/>
      <c r="Q175" s="34"/>
      <c r="R175" s="34"/>
      <c r="S175" s="32" t="str">
        <f t="shared" si="12"/>
        <v/>
      </c>
      <c r="T175" s="32" t="str">
        <f t="shared" si="13"/>
        <v/>
      </c>
      <c r="U175" s="35"/>
      <c r="V175" s="35"/>
      <c r="W175" s="35"/>
      <c r="X175" s="35"/>
      <c r="Y175" s="32" t="str">
        <f t="shared" si="14"/>
        <v/>
      </c>
      <c r="Z175" s="35"/>
      <c r="AA175" s="35"/>
      <c r="AB175" s="35"/>
      <c r="AC175" s="35"/>
      <c r="AD175" s="35"/>
      <c r="AE175" s="35"/>
      <c r="AF175" s="35"/>
      <c r="AG175" s="15" t="s">
        <v>436</v>
      </c>
      <c r="AH175" s="39"/>
      <c r="AI175" s="39"/>
      <c r="AM175" s="69"/>
    </row>
    <row r="176" spans="1:39" ht="22.8" x14ac:dyDescent="0.3">
      <c r="A176" s="30">
        <v>4051</v>
      </c>
      <c r="B176" s="9"/>
      <c r="C176" s="36"/>
      <c r="D176" s="9"/>
      <c r="E176" s="9" t="s">
        <v>755</v>
      </c>
      <c r="F176" s="30" t="s">
        <v>314</v>
      </c>
      <c r="G176" s="31" t="s">
        <v>315</v>
      </c>
      <c r="H176" s="31" t="s">
        <v>316</v>
      </c>
      <c r="I176" s="31" t="s">
        <v>315</v>
      </c>
      <c r="J176" s="31" t="s">
        <v>315</v>
      </c>
      <c r="K176" s="31" t="s">
        <v>315</v>
      </c>
      <c r="L176" s="32" t="str">
        <f t="shared" si="10"/>
        <v>EXCLUDE</v>
      </c>
      <c r="M176" s="32" t="str">
        <f t="shared" si="11"/>
        <v>Digital Twin not core / buzzword</v>
      </c>
      <c r="N176" s="33"/>
      <c r="O176" s="33"/>
      <c r="P176" s="34"/>
      <c r="Q176" s="34"/>
      <c r="R176" s="34"/>
      <c r="S176" s="32" t="str">
        <f t="shared" si="12"/>
        <v/>
      </c>
      <c r="T176" s="32" t="str">
        <f t="shared" si="13"/>
        <v/>
      </c>
      <c r="U176" s="35"/>
      <c r="V176" s="35"/>
      <c r="W176" s="35"/>
      <c r="X176" s="35"/>
      <c r="Y176" s="32" t="str">
        <f t="shared" si="14"/>
        <v/>
      </c>
      <c r="Z176" s="35"/>
      <c r="AA176" s="35"/>
      <c r="AB176" s="35"/>
      <c r="AC176" s="35"/>
      <c r="AD176" s="35"/>
      <c r="AE176" s="35"/>
      <c r="AF176" s="35"/>
      <c r="AG176" s="15" t="s">
        <v>437</v>
      </c>
      <c r="AH176" s="39"/>
      <c r="AI176" s="39"/>
      <c r="AM176" s="69"/>
    </row>
    <row r="177" spans="1:39" ht="102.6" x14ac:dyDescent="0.3">
      <c r="A177" s="30">
        <v>3591</v>
      </c>
      <c r="B177" s="9" t="s">
        <v>224</v>
      </c>
      <c r="C177" s="36">
        <v>2022</v>
      </c>
      <c r="D177" s="9"/>
      <c r="E177" s="9" t="s">
        <v>756</v>
      </c>
      <c r="F177" s="30" t="s">
        <v>313</v>
      </c>
      <c r="G177" s="31" t="s">
        <v>315</v>
      </c>
      <c r="H177" s="31" t="s">
        <v>315</v>
      </c>
      <c r="I177" s="31" t="s">
        <v>315</v>
      </c>
      <c r="J177" s="31" t="s">
        <v>315</v>
      </c>
      <c r="K177" s="31" t="s">
        <v>315</v>
      </c>
      <c r="L177" s="32" t="str">
        <f t="shared" si="10"/>
        <v>INCLUDE</v>
      </c>
      <c r="M177" s="32" t="str">
        <f t="shared" si="11"/>
        <v/>
      </c>
      <c r="N177" s="33" t="s">
        <v>49</v>
      </c>
      <c r="O177" s="33" t="s">
        <v>49</v>
      </c>
      <c r="P177" s="34" t="s">
        <v>49</v>
      </c>
      <c r="Q177" s="34" t="s">
        <v>49</v>
      </c>
      <c r="R177" s="34" t="s">
        <v>49</v>
      </c>
      <c r="S177" s="32" t="str">
        <f t="shared" si="12"/>
        <v>INCLUDE</v>
      </c>
      <c r="T177" s="32" t="str">
        <f t="shared" si="13"/>
        <v/>
      </c>
      <c r="U177" s="35" t="s">
        <v>61</v>
      </c>
      <c r="V177" s="35">
        <v>1</v>
      </c>
      <c r="W177" s="35">
        <v>0</v>
      </c>
      <c r="X177" s="35">
        <v>1</v>
      </c>
      <c r="Y177" s="32" t="str">
        <f t="shared" si="14"/>
        <v>Multi</v>
      </c>
      <c r="Z177" s="35" t="s">
        <v>9</v>
      </c>
      <c r="AA177" s="35" t="s">
        <v>53</v>
      </c>
      <c r="AB177" s="35" t="s">
        <v>92</v>
      </c>
      <c r="AC177" s="35" t="s">
        <v>64</v>
      </c>
      <c r="AD177" s="35" t="s">
        <v>65</v>
      </c>
      <c r="AE177" s="35">
        <v>4</v>
      </c>
      <c r="AF177" s="35" t="s">
        <v>80</v>
      </c>
      <c r="AG177" s="15" t="s">
        <v>1120</v>
      </c>
      <c r="AH177" s="39" t="s">
        <v>1282</v>
      </c>
      <c r="AI177" s="39" t="s">
        <v>1283</v>
      </c>
      <c r="AJ177" t="s">
        <v>1497</v>
      </c>
      <c r="AK177" t="s">
        <v>1565</v>
      </c>
      <c r="AL177" t="s">
        <v>1499</v>
      </c>
      <c r="AM177" s="69"/>
    </row>
    <row r="178" spans="1:39" ht="22.8" x14ac:dyDescent="0.3">
      <c r="A178" s="30">
        <v>3748</v>
      </c>
      <c r="B178" s="9"/>
      <c r="C178" s="36"/>
      <c r="D178" s="9"/>
      <c r="E178" s="9" t="s">
        <v>757</v>
      </c>
      <c r="F178" s="30" t="s">
        <v>313</v>
      </c>
      <c r="G178" s="31" t="s">
        <v>315</v>
      </c>
      <c r="H178" s="31" t="s">
        <v>316</v>
      </c>
      <c r="I178" s="31" t="s">
        <v>315</v>
      </c>
      <c r="J178" s="31" t="s">
        <v>315</v>
      </c>
      <c r="K178" s="31" t="s">
        <v>315</v>
      </c>
      <c r="L178" s="32" t="str">
        <f t="shared" si="10"/>
        <v>EXCLUDE</v>
      </c>
      <c r="M178" s="32" t="str">
        <f t="shared" si="11"/>
        <v>Digital Twin not core / buzzword</v>
      </c>
      <c r="N178" s="33"/>
      <c r="O178" s="33"/>
      <c r="P178" s="34"/>
      <c r="Q178" s="34"/>
      <c r="R178" s="34"/>
      <c r="S178" s="32" t="str">
        <f t="shared" si="12"/>
        <v/>
      </c>
      <c r="T178" s="32" t="str">
        <f t="shared" si="13"/>
        <v/>
      </c>
      <c r="U178" s="35"/>
      <c r="V178" s="35"/>
      <c r="W178" s="35"/>
      <c r="X178" s="35"/>
      <c r="Y178" s="32" t="str">
        <f t="shared" si="14"/>
        <v/>
      </c>
      <c r="Z178" s="35"/>
      <c r="AA178" s="35"/>
      <c r="AB178" s="35"/>
      <c r="AC178" s="35"/>
      <c r="AD178" s="35"/>
      <c r="AE178" s="35"/>
      <c r="AF178" s="35"/>
      <c r="AG178" s="15" t="s">
        <v>438</v>
      </c>
      <c r="AH178" s="39"/>
      <c r="AI178" s="39"/>
      <c r="AM178" s="69"/>
    </row>
    <row r="179" spans="1:39" ht="114" x14ac:dyDescent="0.3">
      <c r="A179" s="30">
        <v>3712</v>
      </c>
      <c r="B179" s="9" t="s">
        <v>225</v>
      </c>
      <c r="C179" s="36">
        <v>2022</v>
      </c>
      <c r="D179" s="9"/>
      <c r="E179" s="9" t="s">
        <v>758</v>
      </c>
      <c r="F179" s="30" t="s">
        <v>313</v>
      </c>
      <c r="G179" s="31" t="s">
        <v>315</v>
      </c>
      <c r="H179" s="31" t="s">
        <v>315</v>
      </c>
      <c r="I179" s="31" t="s">
        <v>315</v>
      </c>
      <c r="J179" s="31" t="s">
        <v>315</v>
      </c>
      <c r="K179" s="31" t="s">
        <v>315</v>
      </c>
      <c r="L179" s="32" t="str">
        <f t="shared" si="10"/>
        <v>INCLUDE</v>
      </c>
      <c r="M179" s="32" t="str">
        <f t="shared" si="11"/>
        <v/>
      </c>
      <c r="N179" s="33" t="s">
        <v>49</v>
      </c>
      <c r="O179" s="33" t="s">
        <v>49</v>
      </c>
      <c r="P179" s="34" t="s">
        <v>49</v>
      </c>
      <c r="Q179" s="34" t="s">
        <v>49</v>
      </c>
      <c r="R179" s="34" t="s">
        <v>49</v>
      </c>
      <c r="S179" s="32" t="str">
        <f t="shared" si="12"/>
        <v>INCLUDE</v>
      </c>
      <c r="T179" s="32" t="str">
        <f t="shared" si="13"/>
        <v/>
      </c>
      <c r="U179" s="35" t="s">
        <v>61</v>
      </c>
      <c r="V179" s="35">
        <v>0</v>
      </c>
      <c r="W179" s="35">
        <v>0</v>
      </c>
      <c r="X179" s="35">
        <v>1</v>
      </c>
      <c r="Y179" s="32" t="str">
        <f t="shared" si="14"/>
        <v>Single</v>
      </c>
      <c r="Z179" s="35" t="s">
        <v>9</v>
      </c>
      <c r="AA179" s="35" t="s">
        <v>53</v>
      </c>
      <c r="AB179" s="35" t="s">
        <v>54</v>
      </c>
      <c r="AC179" s="35" t="s">
        <v>64</v>
      </c>
      <c r="AD179" s="35" t="s">
        <v>72</v>
      </c>
      <c r="AE179" s="35">
        <v>4</v>
      </c>
      <c r="AF179" s="35" t="s">
        <v>73</v>
      </c>
      <c r="AG179" s="15" t="s">
        <v>1121</v>
      </c>
      <c r="AH179" s="39" t="s">
        <v>1284</v>
      </c>
      <c r="AI179" s="39" t="s">
        <v>1285</v>
      </c>
      <c r="AJ179" t="s">
        <v>1496</v>
      </c>
      <c r="AK179" t="s">
        <v>1566</v>
      </c>
      <c r="AL179" t="s">
        <v>1499</v>
      </c>
      <c r="AM179" s="69"/>
    </row>
    <row r="180" spans="1:39" ht="22.8" x14ac:dyDescent="0.3">
      <c r="A180" s="30">
        <v>3612</v>
      </c>
      <c r="B180" s="9"/>
      <c r="C180" s="36"/>
      <c r="D180" s="9"/>
      <c r="E180" s="9" t="s">
        <v>759</v>
      </c>
      <c r="F180" s="30" t="s">
        <v>313</v>
      </c>
      <c r="G180" s="31" t="s">
        <v>315</v>
      </c>
      <c r="H180" s="31" t="s">
        <v>315</v>
      </c>
      <c r="I180" s="31" t="s">
        <v>316</v>
      </c>
      <c r="J180" s="31" t="s">
        <v>315</v>
      </c>
      <c r="K180" s="31" t="s">
        <v>315</v>
      </c>
      <c r="L180" s="32" t="str">
        <f t="shared" si="10"/>
        <v>EXCLUDE</v>
      </c>
      <c r="M180" s="32" t="str">
        <f t="shared" si="11"/>
        <v>No Design for Safety/Quality/PtD</v>
      </c>
      <c r="N180" s="33"/>
      <c r="O180" s="33"/>
      <c r="P180" s="34"/>
      <c r="Q180" s="34"/>
      <c r="R180" s="34"/>
      <c r="S180" s="32" t="str">
        <f t="shared" si="12"/>
        <v/>
      </c>
      <c r="T180" s="32" t="str">
        <f t="shared" si="13"/>
        <v/>
      </c>
      <c r="U180" s="35"/>
      <c r="V180" s="35"/>
      <c r="W180" s="35"/>
      <c r="X180" s="35"/>
      <c r="Y180" s="32" t="str">
        <f t="shared" si="14"/>
        <v/>
      </c>
      <c r="Z180" s="35"/>
      <c r="AA180" s="35"/>
      <c r="AB180" s="35"/>
      <c r="AC180" s="35"/>
      <c r="AD180" s="35"/>
      <c r="AE180" s="35"/>
      <c r="AF180" s="35"/>
      <c r="AG180" s="15" t="s">
        <v>439</v>
      </c>
      <c r="AH180" s="39"/>
      <c r="AI180" s="39"/>
      <c r="AM180" s="69"/>
    </row>
    <row r="181" spans="1:39" ht="22.8" x14ac:dyDescent="0.3">
      <c r="A181" s="30">
        <v>3728</v>
      </c>
      <c r="B181" s="9"/>
      <c r="C181" s="36"/>
      <c r="D181" s="9"/>
      <c r="E181" s="9" t="s">
        <v>760</v>
      </c>
      <c r="F181" s="30" t="s">
        <v>313</v>
      </c>
      <c r="G181" s="31" t="s">
        <v>315</v>
      </c>
      <c r="H181" s="31" t="s">
        <v>316</v>
      </c>
      <c r="I181" s="31" t="s">
        <v>316</v>
      </c>
      <c r="J181" s="31" t="s">
        <v>315</v>
      </c>
      <c r="K181" s="31" t="s">
        <v>315</v>
      </c>
      <c r="L181" s="32" t="str">
        <f t="shared" si="10"/>
        <v>EXCLUDE</v>
      </c>
      <c r="M181" s="32" t="str">
        <f t="shared" si="11"/>
        <v>Digital Twin not core / buzzword</v>
      </c>
      <c r="N181" s="33"/>
      <c r="O181" s="33"/>
      <c r="P181" s="34"/>
      <c r="Q181" s="34"/>
      <c r="R181" s="34"/>
      <c r="S181" s="32" t="str">
        <f t="shared" si="12"/>
        <v/>
      </c>
      <c r="T181" s="32" t="str">
        <f t="shared" si="13"/>
        <v/>
      </c>
      <c r="U181" s="35"/>
      <c r="V181" s="35"/>
      <c r="W181" s="35"/>
      <c r="X181" s="35"/>
      <c r="Y181" s="32" t="str">
        <f t="shared" si="14"/>
        <v/>
      </c>
      <c r="Z181" s="35"/>
      <c r="AA181" s="35"/>
      <c r="AB181" s="35"/>
      <c r="AC181" s="35"/>
      <c r="AD181" s="35"/>
      <c r="AE181" s="35"/>
      <c r="AF181" s="35"/>
      <c r="AG181" s="15" t="s">
        <v>440</v>
      </c>
      <c r="AH181" s="39"/>
      <c r="AI181" s="39"/>
      <c r="AM181" s="69"/>
    </row>
    <row r="182" spans="1:39" ht="102.6" x14ac:dyDescent="0.3">
      <c r="A182" s="30">
        <v>3661</v>
      </c>
      <c r="B182" s="9" t="s">
        <v>226</v>
      </c>
      <c r="C182" s="36">
        <v>2024</v>
      </c>
      <c r="D182" s="9"/>
      <c r="E182" s="9" t="s">
        <v>761</v>
      </c>
      <c r="F182" s="30" t="s">
        <v>313</v>
      </c>
      <c r="G182" s="31" t="s">
        <v>315</v>
      </c>
      <c r="H182" s="31" t="s">
        <v>315</v>
      </c>
      <c r="I182" s="31" t="s">
        <v>315</v>
      </c>
      <c r="J182" s="31" t="s">
        <v>315</v>
      </c>
      <c r="K182" s="31" t="s">
        <v>315</v>
      </c>
      <c r="L182" s="32" t="str">
        <f t="shared" si="10"/>
        <v>INCLUDE</v>
      </c>
      <c r="M182" s="32" t="str">
        <f t="shared" si="11"/>
        <v/>
      </c>
      <c r="N182" s="33" t="s">
        <v>49</v>
      </c>
      <c r="O182" s="33" t="s">
        <v>49</v>
      </c>
      <c r="P182" s="34" t="s">
        <v>49</v>
      </c>
      <c r="Q182" s="34" t="s">
        <v>49</v>
      </c>
      <c r="R182" s="34" t="s">
        <v>49</v>
      </c>
      <c r="S182" s="32" t="str">
        <f t="shared" si="12"/>
        <v>INCLUDE</v>
      </c>
      <c r="T182" s="32" t="str">
        <f t="shared" si="13"/>
        <v/>
      </c>
      <c r="U182" s="35" t="s">
        <v>52</v>
      </c>
      <c r="V182" s="35">
        <v>0</v>
      </c>
      <c r="W182" s="35">
        <v>0</v>
      </c>
      <c r="X182" s="35">
        <v>1</v>
      </c>
      <c r="Y182" s="32" t="str">
        <f t="shared" si="14"/>
        <v>Single</v>
      </c>
      <c r="Z182" s="35" t="s">
        <v>11</v>
      </c>
      <c r="AA182" s="35" t="s">
        <v>53</v>
      </c>
      <c r="AB182" s="35" t="s">
        <v>73</v>
      </c>
      <c r="AC182" s="35" t="s">
        <v>64</v>
      </c>
      <c r="AD182" s="35" t="s">
        <v>79</v>
      </c>
      <c r="AE182" s="35">
        <v>4</v>
      </c>
      <c r="AF182" s="35" t="s">
        <v>73</v>
      </c>
      <c r="AG182" s="15" t="s">
        <v>1122</v>
      </c>
      <c r="AH182" s="39" t="s">
        <v>1286</v>
      </c>
      <c r="AI182" s="39" t="s">
        <v>1287</v>
      </c>
      <c r="AJ182" t="s">
        <v>1497</v>
      </c>
      <c r="AK182" t="s">
        <v>1567</v>
      </c>
      <c r="AL182" t="s">
        <v>1500</v>
      </c>
      <c r="AM182" s="69"/>
    </row>
    <row r="183" spans="1:39" ht="22.8" x14ac:dyDescent="0.3">
      <c r="A183" s="30">
        <v>3937</v>
      </c>
      <c r="B183" s="9"/>
      <c r="C183" s="36"/>
      <c r="D183" s="9"/>
      <c r="E183" s="9" t="s">
        <v>762</v>
      </c>
      <c r="F183" s="30" t="s">
        <v>314</v>
      </c>
      <c r="G183" s="31" t="s">
        <v>315</v>
      </c>
      <c r="H183" s="31" t="s">
        <v>316</v>
      </c>
      <c r="I183" s="31" t="s">
        <v>316</v>
      </c>
      <c r="J183" s="31" t="s">
        <v>315</v>
      </c>
      <c r="K183" s="31" t="s">
        <v>315</v>
      </c>
      <c r="L183" s="32" t="str">
        <f t="shared" si="10"/>
        <v>EXCLUDE</v>
      </c>
      <c r="M183" s="32" t="str">
        <f t="shared" si="11"/>
        <v>Digital Twin not core / buzzword</v>
      </c>
      <c r="N183" s="33"/>
      <c r="O183" s="33"/>
      <c r="P183" s="34"/>
      <c r="Q183" s="34"/>
      <c r="R183" s="34"/>
      <c r="S183" s="32" t="str">
        <f t="shared" si="12"/>
        <v/>
      </c>
      <c r="T183" s="32" t="str">
        <f t="shared" si="13"/>
        <v/>
      </c>
      <c r="U183" s="35"/>
      <c r="V183" s="35"/>
      <c r="W183" s="35"/>
      <c r="X183" s="35"/>
      <c r="Y183" s="32" t="str">
        <f t="shared" si="14"/>
        <v/>
      </c>
      <c r="Z183" s="35"/>
      <c r="AA183" s="35"/>
      <c r="AB183" s="35"/>
      <c r="AC183" s="35"/>
      <c r="AD183" s="35"/>
      <c r="AE183" s="35"/>
      <c r="AF183" s="35"/>
      <c r="AG183" s="15" t="s">
        <v>441</v>
      </c>
      <c r="AH183" s="39"/>
      <c r="AI183" s="39"/>
      <c r="AM183" s="69"/>
    </row>
    <row r="184" spans="1:39" ht="79.8" x14ac:dyDescent="0.3">
      <c r="A184" s="30">
        <v>3839</v>
      </c>
      <c r="B184" s="9" t="s">
        <v>227</v>
      </c>
      <c r="C184" s="36">
        <v>2023</v>
      </c>
      <c r="D184" s="9"/>
      <c r="E184" s="9" t="s">
        <v>763</v>
      </c>
      <c r="F184" s="30" t="s">
        <v>313</v>
      </c>
      <c r="G184" s="31" t="s">
        <v>315</v>
      </c>
      <c r="H184" s="31" t="s">
        <v>315</v>
      </c>
      <c r="I184" s="31" t="s">
        <v>315</v>
      </c>
      <c r="J184" s="31" t="s">
        <v>315</v>
      </c>
      <c r="K184" s="31" t="s">
        <v>315</v>
      </c>
      <c r="L184" s="32" t="str">
        <f t="shared" si="10"/>
        <v>INCLUDE</v>
      </c>
      <c r="M184" s="32" t="str">
        <f t="shared" si="11"/>
        <v/>
      </c>
      <c r="N184" s="33" t="s">
        <v>315</v>
      </c>
      <c r="O184" s="33" t="s">
        <v>315</v>
      </c>
      <c r="P184" s="34" t="s">
        <v>315</v>
      </c>
      <c r="Q184" s="34" t="s">
        <v>315</v>
      </c>
      <c r="R184" s="34" t="s">
        <v>315</v>
      </c>
      <c r="S184" s="32" t="str">
        <f t="shared" si="12"/>
        <v>INCLUDE</v>
      </c>
      <c r="T184" s="32" t="str">
        <f t="shared" si="13"/>
        <v/>
      </c>
      <c r="U184" s="35" t="s">
        <v>52</v>
      </c>
      <c r="V184" s="35">
        <v>0</v>
      </c>
      <c r="W184" s="35">
        <v>0</v>
      </c>
      <c r="X184" s="35">
        <v>1</v>
      </c>
      <c r="Y184" s="32" t="str">
        <f t="shared" si="14"/>
        <v>Single</v>
      </c>
      <c r="Z184" s="35" t="s">
        <v>9</v>
      </c>
      <c r="AA184" s="35" t="s">
        <v>53</v>
      </c>
      <c r="AB184" s="35" t="s">
        <v>92</v>
      </c>
      <c r="AC184" s="35" t="s">
        <v>64</v>
      </c>
      <c r="AD184" s="35" t="s">
        <v>72</v>
      </c>
      <c r="AE184" s="35">
        <v>4</v>
      </c>
      <c r="AF184" s="35" t="s">
        <v>73</v>
      </c>
      <c r="AG184" s="15" t="s">
        <v>1036</v>
      </c>
      <c r="AH184" s="39" t="s">
        <v>1288</v>
      </c>
      <c r="AI184" s="39" t="s">
        <v>1289</v>
      </c>
      <c r="AJ184" t="s">
        <v>1494</v>
      </c>
      <c r="AK184" t="s">
        <v>1568</v>
      </c>
      <c r="AL184" t="s">
        <v>1499</v>
      </c>
      <c r="AM184" s="69" t="s">
        <v>1569</v>
      </c>
    </row>
    <row r="185" spans="1:39" ht="22.8" x14ac:dyDescent="0.3">
      <c r="A185" s="30">
        <v>3581</v>
      </c>
      <c r="B185" s="9"/>
      <c r="C185" s="36"/>
      <c r="D185" s="9"/>
      <c r="E185" s="9" t="s">
        <v>764</v>
      </c>
      <c r="F185" s="30" t="s">
        <v>313</v>
      </c>
      <c r="G185" s="31" t="s">
        <v>316</v>
      </c>
      <c r="H185" s="31" t="s">
        <v>315</v>
      </c>
      <c r="I185" s="31" t="s">
        <v>316</v>
      </c>
      <c r="J185" s="31" t="s">
        <v>315</v>
      </c>
      <c r="K185" s="31" t="s">
        <v>315</v>
      </c>
      <c r="L185" s="32" t="str">
        <f t="shared" si="10"/>
        <v>EXCLUDE</v>
      </c>
      <c r="M185" s="32" t="str">
        <f t="shared" si="11"/>
        <v>Wrong domain (non-AECO)</v>
      </c>
      <c r="N185" s="33"/>
      <c r="O185" s="33"/>
      <c r="P185" s="34"/>
      <c r="Q185" s="34"/>
      <c r="R185" s="34"/>
      <c r="S185" s="32" t="str">
        <f t="shared" si="12"/>
        <v/>
      </c>
      <c r="T185" s="32" t="str">
        <f t="shared" si="13"/>
        <v/>
      </c>
      <c r="U185" s="35"/>
      <c r="V185" s="35"/>
      <c r="W185" s="35"/>
      <c r="X185" s="35"/>
      <c r="Y185" s="32" t="str">
        <f t="shared" si="14"/>
        <v/>
      </c>
      <c r="Z185" s="35"/>
      <c r="AA185" s="35"/>
      <c r="AB185" s="35"/>
      <c r="AC185" s="35"/>
      <c r="AD185" s="35"/>
      <c r="AE185" s="35"/>
      <c r="AF185" s="35"/>
      <c r="AG185" s="15" t="s">
        <v>442</v>
      </c>
      <c r="AH185" s="39"/>
      <c r="AI185" s="39"/>
      <c r="AM185" s="69"/>
    </row>
    <row r="186" spans="1:39" ht="114" x14ac:dyDescent="0.3">
      <c r="A186" s="30">
        <v>3947</v>
      </c>
      <c r="B186" s="9" t="s">
        <v>228</v>
      </c>
      <c r="C186" s="36">
        <v>2021</v>
      </c>
      <c r="D186" s="9"/>
      <c r="E186" s="9" t="s">
        <v>765</v>
      </c>
      <c r="F186" s="30" t="s">
        <v>314</v>
      </c>
      <c r="G186" s="31" t="s">
        <v>315</v>
      </c>
      <c r="H186" s="31" t="s">
        <v>315</v>
      </c>
      <c r="I186" s="31" t="s">
        <v>315</v>
      </c>
      <c r="J186" s="31" t="s">
        <v>315</v>
      </c>
      <c r="K186" s="31" t="s">
        <v>315</v>
      </c>
      <c r="L186" s="32" t="str">
        <f t="shared" si="10"/>
        <v>INCLUDE</v>
      </c>
      <c r="M186" s="32" t="str">
        <f t="shared" si="11"/>
        <v/>
      </c>
      <c r="N186" s="33" t="s">
        <v>49</v>
      </c>
      <c r="O186" s="33" t="s">
        <v>49</v>
      </c>
      <c r="P186" s="34" t="s">
        <v>49</v>
      </c>
      <c r="Q186" s="34" t="s">
        <v>49</v>
      </c>
      <c r="R186" s="34" t="s">
        <v>49</v>
      </c>
      <c r="S186" s="32" t="str">
        <f t="shared" si="12"/>
        <v>INCLUDE</v>
      </c>
      <c r="T186" s="32" t="str">
        <f t="shared" si="13"/>
        <v/>
      </c>
      <c r="U186" s="35" t="s">
        <v>61</v>
      </c>
      <c r="V186" s="35">
        <v>0</v>
      </c>
      <c r="W186" s="35">
        <v>1</v>
      </c>
      <c r="X186" s="35">
        <v>1</v>
      </c>
      <c r="Y186" s="32" t="str">
        <f t="shared" si="14"/>
        <v>Multi</v>
      </c>
      <c r="Z186" s="35" t="s">
        <v>9</v>
      </c>
      <c r="AA186" s="35" t="s">
        <v>53</v>
      </c>
      <c r="AB186" s="35" t="s">
        <v>92</v>
      </c>
      <c r="AC186" s="35" t="s">
        <v>64</v>
      </c>
      <c r="AD186" s="35" t="s">
        <v>72</v>
      </c>
      <c r="AE186" s="35">
        <v>4</v>
      </c>
      <c r="AF186" s="35" t="s">
        <v>84</v>
      </c>
      <c r="AG186" s="15" t="s">
        <v>1123</v>
      </c>
      <c r="AH186" s="39" t="s">
        <v>1290</v>
      </c>
      <c r="AI186" s="39" t="s">
        <v>1291</v>
      </c>
      <c r="AJ186" t="s">
        <v>1497</v>
      </c>
      <c r="AK186" t="s">
        <v>1570</v>
      </c>
      <c r="AL186" t="s">
        <v>1500</v>
      </c>
      <c r="AM186" s="69"/>
    </row>
    <row r="187" spans="1:39" ht="22.8" x14ac:dyDescent="0.3">
      <c r="A187" s="30">
        <v>3610</v>
      </c>
      <c r="B187" s="9"/>
      <c r="C187" s="36"/>
      <c r="D187" s="9"/>
      <c r="E187" s="9" t="s">
        <v>766</v>
      </c>
      <c r="F187" s="30" t="s">
        <v>313</v>
      </c>
      <c r="G187" s="31" t="s">
        <v>316</v>
      </c>
      <c r="H187" s="31" t="s">
        <v>316</v>
      </c>
      <c r="I187" s="31" t="s">
        <v>315</v>
      </c>
      <c r="J187" s="31" t="s">
        <v>315</v>
      </c>
      <c r="K187" s="31" t="s">
        <v>315</v>
      </c>
      <c r="L187" s="32" t="str">
        <f t="shared" si="10"/>
        <v>EXCLUDE</v>
      </c>
      <c r="M187" s="32" t="str">
        <f t="shared" si="11"/>
        <v>Wrong domain (non-AECO)</v>
      </c>
      <c r="N187" s="33"/>
      <c r="O187" s="33"/>
      <c r="P187" s="34"/>
      <c r="Q187" s="34"/>
      <c r="R187" s="34"/>
      <c r="S187" s="32" t="str">
        <f t="shared" si="12"/>
        <v/>
      </c>
      <c r="T187" s="32" t="str">
        <f t="shared" si="13"/>
        <v/>
      </c>
      <c r="U187" s="35"/>
      <c r="V187" s="35"/>
      <c r="W187" s="35"/>
      <c r="X187" s="35"/>
      <c r="Y187" s="32" t="str">
        <f t="shared" si="14"/>
        <v/>
      </c>
      <c r="Z187" s="35"/>
      <c r="AA187" s="35"/>
      <c r="AB187" s="35"/>
      <c r="AC187" s="35"/>
      <c r="AD187" s="35"/>
      <c r="AE187" s="35"/>
      <c r="AF187" s="35"/>
      <c r="AG187" s="15" t="s">
        <v>443</v>
      </c>
      <c r="AH187" s="39"/>
      <c r="AI187" s="39"/>
      <c r="AM187" s="69"/>
    </row>
    <row r="188" spans="1:39" ht="22.8" x14ac:dyDescent="0.3">
      <c r="A188" s="30">
        <v>3587</v>
      </c>
      <c r="B188" s="9"/>
      <c r="C188" s="36"/>
      <c r="D188" s="9"/>
      <c r="E188" s="9" t="s">
        <v>767</v>
      </c>
      <c r="F188" s="30" t="s">
        <v>313</v>
      </c>
      <c r="G188" s="31" t="s">
        <v>316</v>
      </c>
      <c r="H188" s="31" t="s">
        <v>315</v>
      </c>
      <c r="I188" s="31" t="s">
        <v>316</v>
      </c>
      <c r="J188" s="31" t="s">
        <v>315</v>
      </c>
      <c r="K188" s="31" t="s">
        <v>316</v>
      </c>
      <c r="L188" s="32" t="str">
        <f t="shared" si="10"/>
        <v>EXCLUDE</v>
      </c>
      <c r="M188" s="32" t="str">
        <f t="shared" si="11"/>
        <v>Wrong domain (non-AECO)</v>
      </c>
      <c r="N188" s="33"/>
      <c r="O188" s="33"/>
      <c r="P188" s="34"/>
      <c r="Q188" s="34"/>
      <c r="R188" s="34"/>
      <c r="S188" s="32" t="str">
        <f t="shared" si="12"/>
        <v/>
      </c>
      <c r="T188" s="32" t="str">
        <f t="shared" si="13"/>
        <v/>
      </c>
      <c r="U188" s="35"/>
      <c r="V188" s="35"/>
      <c r="W188" s="35"/>
      <c r="X188" s="35"/>
      <c r="Y188" s="32" t="str">
        <f t="shared" si="14"/>
        <v/>
      </c>
      <c r="Z188" s="35"/>
      <c r="AA188" s="35"/>
      <c r="AB188" s="35"/>
      <c r="AC188" s="35"/>
      <c r="AD188" s="35"/>
      <c r="AE188" s="35"/>
      <c r="AF188" s="35"/>
      <c r="AG188" s="15" t="s">
        <v>444</v>
      </c>
      <c r="AH188" s="39"/>
      <c r="AI188" s="39"/>
      <c r="AM188" s="69"/>
    </row>
    <row r="189" spans="1:39" ht="22.8" x14ac:dyDescent="0.3">
      <c r="A189" s="30">
        <v>3554</v>
      </c>
      <c r="B189" s="9"/>
      <c r="C189" s="36"/>
      <c r="D189" s="9"/>
      <c r="E189" s="9" t="s">
        <v>768</v>
      </c>
      <c r="F189" s="30" t="s">
        <v>313</v>
      </c>
      <c r="G189" s="31" t="s">
        <v>316</v>
      </c>
      <c r="H189" s="31" t="s">
        <v>315</v>
      </c>
      <c r="I189" s="31" t="s">
        <v>315</v>
      </c>
      <c r="J189" s="31" t="s">
        <v>315</v>
      </c>
      <c r="K189" s="31" t="s">
        <v>316</v>
      </c>
      <c r="L189" s="32" t="str">
        <f t="shared" si="10"/>
        <v>EXCLUDE</v>
      </c>
      <c r="M189" s="32" t="str">
        <f t="shared" si="11"/>
        <v>Wrong domain (non-AECO)</v>
      </c>
      <c r="N189" s="33"/>
      <c r="O189" s="33"/>
      <c r="P189" s="34"/>
      <c r="Q189" s="34"/>
      <c r="R189" s="34"/>
      <c r="S189" s="32" t="str">
        <f t="shared" si="12"/>
        <v/>
      </c>
      <c r="T189" s="32" t="str">
        <f t="shared" si="13"/>
        <v/>
      </c>
      <c r="U189" s="35"/>
      <c r="V189" s="35"/>
      <c r="W189" s="35"/>
      <c r="X189" s="35"/>
      <c r="Y189" s="32" t="str">
        <f t="shared" si="14"/>
        <v/>
      </c>
      <c r="Z189" s="35"/>
      <c r="AA189" s="35"/>
      <c r="AB189" s="35"/>
      <c r="AC189" s="35"/>
      <c r="AD189" s="35"/>
      <c r="AE189" s="35"/>
      <c r="AF189" s="35"/>
      <c r="AG189" s="15" t="s">
        <v>445</v>
      </c>
      <c r="AH189" s="39"/>
      <c r="AI189" s="39"/>
      <c r="AM189" s="69"/>
    </row>
    <row r="190" spans="1:39" ht="22.8" x14ac:dyDescent="0.3">
      <c r="A190" s="30">
        <v>3767</v>
      </c>
      <c r="B190" s="9"/>
      <c r="C190" s="36"/>
      <c r="D190" s="9"/>
      <c r="E190" s="9" t="s">
        <v>769</v>
      </c>
      <c r="F190" s="30" t="s">
        <v>313</v>
      </c>
      <c r="G190" s="31" t="s">
        <v>315</v>
      </c>
      <c r="H190" s="31" t="s">
        <v>316</v>
      </c>
      <c r="I190" s="31" t="s">
        <v>315</v>
      </c>
      <c r="J190" s="31" t="s">
        <v>315</v>
      </c>
      <c r="K190" s="31" t="s">
        <v>315</v>
      </c>
      <c r="L190" s="32" t="str">
        <f t="shared" si="10"/>
        <v>EXCLUDE</v>
      </c>
      <c r="M190" s="32" t="str">
        <f t="shared" si="11"/>
        <v>Digital Twin not core / buzzword</v>
      </c>
      <c r="N190" s="33"/>
      <c r="O190" s="33"/>
      <c r="P190" s="34"/>
      <c r="Q190" s="34"/>
      <c r="R190" s="34"/>
      <c r="S190" s="32" t="str">
        <f t="shared" si="12"/>
        <v/>
      </c>
      <c r="T190" s="32" t="str">
        <f t="shared" si="13"/>
        <v/>
      </c>
      <c r="U190" s="35"/>
      <c r="V190" s="35"/>
      <c r="W190" s="35"/>
      <c r="X190" s="35"/>
      <c r="Y190" s="32" t="str">
        <f t="shared" si="14"/>
        <v/>
      </c>
      <c r="Z190" s="35"/>
      <c r="AA190" s="35"/>
      <c r="AB190" s="35"/>
      <c r="AC190" s="35"/>
      <c r="AD190" s="35"/>
      <c r="AE190" s="35"/>
      <c r="AF190" s="35"/>
      <c r="AG190" s="15" t="s">
        <v>446</v>
      </c>
      <c r="AH190" s="39"/>
      <c r="AI190" s="39"/>
      <c r="AM190" s="69"/>
    </row>
    <row r="191" spans="1:39" ht="22.8" x14ac:dyDescent="0.3">
      <c r="A191" s="30">
        <v>4016</v>
      </c>
      <c r="B191" s="9"/>
      <c r="C191" s="36"/>
      <c r="D191" s="9"/>
      <c r="E191" s="9" t="s">
        <v>770</v>
      </c>
      <c r="F191" s="30" t="s">
        <v>314</v>
      </c>
      <c r="G191" s="31" t="s">
        <v>315</v>
      </c>
      <c r="H191" s="31" t="s">
        <v>316</v>
      </c>
      <c r="I191" s="31" t="s">
        <v>316</v>
      </c>
      <c r="J191" s="31" t="s">
        <v>315</v>
      </c>
      <c r="K191" s="31" t="s">
        <v>315</v>
      </c>
      <c r="L191" s="32" t="str">
        <f t="shared" si="10"/>
        <v>EXCLUDE</v>
      </c>
      <c r="M191" s="32" t="str">
        <f t="shared" si="11"/>
        <v>Digital Twin not core / buzzword</v>
      </c>
      <c r="N191" s="33"/>
      <c r="O191" s="33"/>
      <c r="P191" s="34"/>
      <c r="Q191" s="34"/>
      <c r="R191" s="34"/>
      <c r="S191" s="32" t="str">
        <f t="shared" si="12"/>
        <v/>
      </c>
      <c r="T191" s="32" t="str">
        <f t="shared" si="13"/>
        <v/>
      </c>
      <c r="U191" s="35"/>
      <c r="V191" s="35"/>
      <c r="W191" s="35"/>
      <c r="X191" s="35"/>
      <c r="Y191" s="32" t="str">
        <f t="shared" si="14"/>
        <v/>
      </c>
      <c r="Z191" s="35"/>
      <c r="AA191" s="35"/>
      <c r="AB191" s="35"/>
      <c r="AC191" s="35"/>
      <c r="AD191" s="35"/>
      <c r="AE191" s="35"/>
      <c r="AF191" s="35"/>
      <c r="AG191" s="15" t="s">
        <v>447</v>
      </c>
      <c r="AH191" s="39"/>
      <c r="AI191" s="39"/>
      <c r="AM191" s="69"/>
    </row>
    <row r="192" spans="1:39" ht="22.8" x14ac:dyDescent="0.3">
      <c r="A192" s="30">
        <v>4011</v>
      </c>
      <c r="B192" s="9"/>
      <c r="C192" s="36"/>
      <c r="D192" s="9"/>
      <c r="E192" s="9" t="s">
        <v>771</v>
      </c>
      <c r="F192" s="30" t="s">
        <v>314</v>
      </c>
      <c r="G192" s="31" t="s">
        <v>316</v>
      </c>
      <c r="H192" s="31" t="s">
        <v>315</v>
      </c>
      <c r="I192" s="31" t="s">
        <v>315</v>
      </c>
      <c r="J192" s="31" t="s">
        <v>315</v>
      </c>
      <c r="K192" s="31" t="s">
        <v>315</v>
      </c>
      <c r="L192" s="32" t="str">
        <f t="shared" si="10"/>
        <v>EXCLUDE</v>
      </c>
      <c r="M192" s="32" t="str">
        <f t="shared" si="11"/>
        <v>Wrong domain (non-AECO)</v>
      </c>
      <c r="N192" s="33"/>
      <c r="O192" s="33"/>
      <c r="P192" s="34"/>
      <c r="Q192" s="34"/>
      <c r="R192" s="34"/>
      <c r="S192" s="32" t="str">
        <f t="shared" si="12"/>
        <v/>
      </c>
      <c r="T192" s="32" t="str">
        <f t="shared" si="13"/>
        <v/>
      </c>
      <c r="U192" s="35"/>
      <c r="V192" s="35"/>
      <c r="W192" s="35"/>
      <c r="X192" s="35"/>
      <c r="Y192" s="32" t="str">
        <f t="shared" si="14"/>
        <v/>
      </c>
      <c r="Z192" s="35"/>
      <c r="AA192" s="35"/>
      <c r="AB192" s="35"/>
      <c r="AC192" s="35"/>
      <c r="AD192" s="35"/>
      <c r="AE192" s="35"/>
      <c r="AF192" s="35"/>
      <c r="AG192" s="15" t="s">
        <v>448</v>
      </c>
      <c r="AH192" s="39"/>
      <c r="AI192" s="39"/>
      <c r="AM192" s="69"/>
    </row>
    <row r="193" spans="1:39" ht="22.8" x14ac:dyDescent="0.3">
      <c r="A193" s="30">
        <v>3617</v>
      </c>
      <c r="B193" s="9"/>
      <c r="C193" s="36"/>
      <c r="D193" s="9"/>
      <c r="E193" s="9" t="s">
        <v>772</v>
      </c>
      <c r="F193" s="30" t="s">
        <v>313</v>
      </c>
      <c r="G193" s="31" t="s">
        <v>315</v>
      </c>
      <c r="H193" s="31" t="s">
        <v>316</v>
      </c>
      <c r="I193" s="31" t="s">
        <v>315</v>
      </c>
      <c r="J193" s="31" t="s">
        <v>315</v>
      </c>
      <c r="K193" s="31" t="s">
        <v>315</v>
      </c>
      <c r="L193" s="32" t="str">
        <f t="shared" si="10"/>
        <v>EXCLUDE</v>
      </c>
      <c r="M193" s="32" t="str">
        <f t="shared" si="11"/>
        <v>Digital Twin not core / buzzword</v>
      </c>
      <c r="N193" s="33"/>
      <c r="O193" s="33"/>
      <c r="P193" s="34"/>
      <c r="Q193" s="34"/>
      <c r="R193" s="34"/>
      <c r="S193" s="32" t="str">
        <f t="shared" si="12"/>
        <v/>
      </c>
      <c r="T193" s="32" t="str">
        <f t="shared" si="13"/>
        <v/>
      </c>
      <c r="U193" s="35"/>
      <c r="V193" s="35"/>
      <c r="W193" s="35"/>
      <c r="X193" s="35"/>
      <c r="Y193" s="32" t="str">
        <f t="shared" si="14"/>
        <v/>
      </c>
      <c r="Z193" s="35"/>
      <c r="AA193" s="35"/>
      <c r="AB193" s="35"/>
      <c r="AC193" s="35"/>
      <c r="AD193" s="35"/>
      <c r="AE193" s="35"/>
      <c r="AF193" s="35"/>
      <c r="AG193" s="15" t="s">
        <v>449</v>
      </c>
      <c r="AH193" s="39"/>
      <c r="AI193" s="39"/>
      <c r="AM193" s="69"/>
    </row>
    <row r="194" spans="1:39" ht="22.8" x14ac:dyDescent="0.3">
      <c r="A194" s="30">
        <v>3510</v>
      </c>
      <c r="B194" s="9"/>
      <c r="C194" s="36"/>
      <c r="D194" s="9"/>
      <c r="E194" s="9" t="s">
        <v>773</v>
      </c>
      <c r="F194" s="30" t="s">
        <v>313</v>
      </c>
      <c r="G194" s="31" t="s">
        <v>316</v>
      </c>
      <c r="H194" s="31" t="s">
        <v>316</v>
      </c>
      <c r="I194" s="31" t="s">
        <v>315</v>
      </c>
      <c r="J194" s="31" t="s">
        <v>315</v>
      </c>
      <c r="K194" s="31" t="s">
        <v>316</v>
      </c>
      <c r="L194" s="32" t="str">
        <f t="shared" ref="L194:L257" si="15">IF(COUNTBLANK(G194:K194)=5,"",IF(COUNTIF(G194:K194,"No")&gt;0,"EXCLUDE","INCLUDE"))</f>
        <v>EXCLUDE</v>
      </c>
      <c r="M194" s="32" t="str">
        <f t="shared" ref="M194:M257" si="16">IF(L194&lt;&gt;"EXCLUDE","",IF(G194="No","Wrong domain (non-AECO)",IF(H194="No","Digital Twin not core / buzzword",IF(I194="No","No Design for Safety/Quality/PtD",IF(J194="No","Wrong publication type",IF(K194="No","Non-English",""))))))</f>
        <v>Wrong domain (non-AECO)</v>
      </c>
      <c r="N194" s="33"/>
      <c r="O194" s="33"/>
      <c r="P194" s="34"/>
      <c r="Q194" s="34"/>
      <c r="R194" s="34"/>
      <c r="S194" s="32" t="str">
        <f t="shared" ref="S194:S257" si="17">IF(N194&lt;&gt;"Yes","",IF(COUNTBLANK(P194:R194)=3,"",IF(COUNTIF(P194:R194,"No")&gt;0,"EXCLUDE","INCLUDE")))</f>
        <v/>
      </c>
      <c r="T194" s="32" t="str">
        <f t="shared" ref="T194:T257" si="18">IF(S194&lt;&gt;"EXCLUDE","",IF(P194="No","Digital Twin mentioned only, not the subject",IF(Q194="No","No Design for Safety/Quality in full text",IF(R194="No","Methodology not codable",""))))</f>
        <v/>
      </c>
      <c r="U194" s="35"/>
      <c r="V194" s="35"/>
      <c r="W194" s="35"/>
      <c r="X194" s="35"/>
      <c r="Y194" s="32" t="str">
        <f t="shared" ref="Y194:Y257" si="19">IF(SUM(V194:X194)=0,"",IF(SUM(V194:X194)&gt;=2,"Multi","Single"))</f>
        <v/>
      </c>
      <c r="Z194" s="35"/>
      <c r="AA194" s="35"/>
      <c r="AB194" s="35"/>
      <c r="AC194" s="35"/>
      <c r="AD194" s="35"/>
      <c r="AE194" s="35"/>
      <c r="AF194" s="35"/>
      <c r="AG194" s="15" t="s">
        <v>450</v>
      </c>
      <c r="AH194" s="39"/>
      <c r="AI194" s="39"/>
      <c r="AM194" s="69"/>
    </row>
    <row r="195" spans="1:39" ht="102.6" x14ac:dyDescent="0.3">
      <c r="A195" s="30">
        <v>3899</v>
      </c>
      <c r="B195" s="9" t="s">
        <v>229</v>
      </c>
      <c r="C195" s="36">
        <v>2026</v>
      </c>
      <c r="D195" s="9"/>
      <c r="E195" s="9" t="s">
        <v>774</v>
      </c>
      <c r="F195" s="30" t="s">
        <v>314</v>
      </c>
      <c r="G195" s="31" t="s">
        <v>315</v>
      </c>
      <c r="H195" s="31" t="s">
        <v>315</v>
      </c>
      <c r="I195" s="31" t="s">
        <v>315</v>
      </c>
      <c r="J195" s="31" t="s">
        <v>315</v>
      </c>
      <c r="K195" s="31" t="s">
        <v>315</v>
      </c>
      <c r="L195" s="32" t="str">
        <f t="shared" si="15"/>
        <v>INCLUDE</v>
      </c>
      <c r="M195" s="32" t="str">
        <f t="shared" si="16"/>
        <v/>
      </c>
      <c r="N195" s="33" t="s">
        <v>49</v>
      </c>
      <c r="O195" s="33" t="s">
        <v>49</v>
      </c>
      <c r="P195" s="34" t="s">
        <v>49</v>
      </c>
      <c r="Q195" s="34" t="s">
        <v>49</v>
      </c>
      <c r="R195" s="34" t="s">
        <v>49</v>
      </c>
      <c r="S195" s="32" t="str">
        <f t="shared" si="17"/>
        <v>INCLUDE</v>
      </c>
      <c r="T195" s="32" t="str">
        <f t="shared" si="18"/>
        <v/>
      </c>
      <c r="U195" s="35" t="s">
        <v>61</v>
      </c>
      <c r="V195" s="35">
        <v>0</v>
      </c>
      <c r="W195" s="35">
        <v>1</v>
      </c>
      <c r="X195" s="35">
        <v>0</v>
      </c>
      <c r="Y195" s="32" t="str">
        <f t="shared" si="19"/>
        <v>Single</v>
      </c>
      <c r="Z195" s="35" t="s">
        <v>9</v>
      </c>
      <c r="AA195" s="35" t="s">
        <v>53</v>
      </c>
      <c r="AB195" s="35" t="s">
        <v>88</v>
      </c>
      <c r="AC195" s="35" t="s">
        <v>64</v>
      </c>
      <c r="AD195" s="35" t="s">
        <v>72</v>
      </c>
      <c r="AE195" s="35">
        <v>4</v>
      </c>
      <c r="AF195" s="35" t="s">
        <v>57</v>
      </c>
      <c r="AG195" s="15" t="s">
        <v>1124</v>
      </c>
      <c r="AH195" s="39" t="s">
        <v>1292</v>
      </c>
      <c r="AI195" s="39" t="s">
        <v>1293</v>
      </c>
      <c r="AJ195" t="s">
        <v>1497</v>
      </c>
      <c r="AK195" t="s">
        <v>1571</v>
      </c>
      <c r="AL195" t="s">
        <v>1500</v>
      </c>
      <c r="AM195" s="69"/>
    </row>
    <row r="196" spans="1:39" ht="102.6" x14ac:dyDescent="0.3">
      <c r="A196" s="30">
        <v>3974</v>
      </c>
      <c r="B196" s="9" t="s">
        <v>230</v>
      </c>
      <c r="C196" s="36">
        <v>2025</v>
      </c>
      <c r="D196" s="9"/>
      <c r="E196" s="9" t="s">
        <v>775</v>
      </c>
      <c r="F196" s="30" t="s">
        <v>314</v>
      </c>
      <c r="G196" s="31" t="s">
        <v>315</v>
      </c>
      <c r="H196" s="31" t="s">
        <v>315</v>
      </c>
      <c r="I196" s="31" t="s">
        <v>315</v>
      </c>
      <c r="J196" s="31" t="s">
        <v>315</v>
      </c>
      <c r="K196" s="31" t="s">
        <v>315</v>
      </c>
      <c r="L196" s="32" t="str">
        <f t="shared" si="15"/>
        <v>INCLUDE</v>
      </c>
      <c r="M196" s="32" t="str">
        <f t="shared" si="16"/>
        <v/>
      </c>
      <c r="N196" s="33" t="s">
        <v>49</v>
      </c>
      <c r="O196" s="33" t="s">
        <v>49</v>
      </c>
      <c r="P196" s="34" t="s">
        <v>49</v>
      </c>
      <c r="Q196" s="34" t="s">
        <v>49</v>
      </c>
      <c r="R196" s="34" t="s">
        <v>49</v>
      </c>
      <c r="S196" s="32" t="str">
        <f t="shared" si="17"/>
        <v>INCLUDE</v>
      </c>
      <c r="T196" s="32" t="str">
        <f t="shared" si="18"/>
        <v/>
      </c>
      <c r="U196" s="35" t="s">
        <v>68</v>
      </c>
      <c r="V196" s="35">
        <v>0</v>
      </c>
      <c r="W196" s="35">
        <v>1</v>
      </c>
      <c r="X196" s="35">
        <v>0</v>
      </c>
      <c r="Y196" s="32" t="str">
        <f t="shared" si="19"/>
        <v>Single</v>
      </c>
      <c r="Z196" s="35" t="s">
        <v>9</v>
      </c>
      <c r="AA196" s="35" t="s">
        <v>53</v>
      </c>
      <c r="AB196" s="35" t="s">
        <v>73</v>
      </c>
      <c r="AC196" s="35" t="s">
        <v>64</v>
      </c>
      <c r="AD196" s="35" t="s">
        <v>72</v>
      </c>
      <c r="AE196" s="35">
        <v>4</v>
      </c>
      <c r="AF196" s="35" t="s">
        <v>80</v>
      </c>
      <c r="AG196" s="15" t="s">
        <v>1125</v>
      </c>
      <c r="AH196" s="39" t="s">
        <v>1294</v>
      </c>
      <c r="AI196" s="39" t="s">
        <v>1295</v>
      </c>
      <c r="AJ196" t="s">
        <v>1497</v>
      </c>
      <c r="AK196" t="s">
        <v>1572</v>
      </c>
      <c r="AL196" t="s">
        <v>1499</v>
      </c>
      <c r="AM196" s="69"/>
    </row>
    <row r="197" spans="1:39" ht="102.6" x14ac:dyDescent="0.3">
      <c r="A197" s="30">
        <v>3945</v>
      </c>
      <c r="B197" s="9" t="s">
        <v>231</v>
      </c>
      <c r="C197" s="36">
        <v>2020</v>
      </c>
      <c r="D197" s="9"/>
      <c r="E197" s="9" t="s">
        <v>776</v>
      </c>
      <c r="F197" s="30" t="s">
        <v>314</v>
      </c>
      <c r="G197" s="31" t="s">
        <v>315</v>
      </c>
      <c r="H197" s="31" t="s">
        <v>315</v>
      </c>
      <c r="I197" s="31" t="s">
        <v>315</v>
      </c>
      <c r="J197" s="31" t="s">
        <v>315</v>
      </c>
      <c r="K197" s="31" t="s">
        <v>315</v>
      </c>
      <c r="L197" s="32" t="str">
        <f t="shared" si="15"/>
        <v>INCLUDE</v>
      </c>
      <c r="M197" s="32" t="str">
        <f t="shared" si="16"/>
        <v/>
      </c>
      <c r="N197" s="33" t="s">
        <v>49</v>
      </c>
      <c r="O197" s="33" t="s">
        <v>49</v>
      </c>
      <c r="P197" s="34" t="s">
        <v>49</v>
      </c>
      <c r="Q197" s="34" t="s">
        <v>49</v>
      </c>
      <c r="R197" s="34" t="s">
        <v>49</v>
      </c>
      <c r="S197" s="32" t="str">
        <f t="shared" si="17"/>
        <v>INCLUDE</v>
      </c>
      <c r="T197" s="32" t="str">
        <f t="shared" si="18"/>
        <v/>
      </c>
      <c r="U197" s="35" t="s">
        <v>61</v>
      </c>
      <c r="V197" s="35">
        <v>0</v>
      </c>
      <c r="W197" s="35">
        <v>0</v>
      </c>
      <c r="X197" s="35">
        <v>1</v>
      </c>
      <c r="Y197" s="32" t="str">
        <f t="shared" si="19"/>
        <v>Single</v>
      </c>
      <c r="Z197" s="35" t="s">
        <v>9</v>
      </c>
      <c r="AA197" s="35" t="s">
        <v>53</v>
      </c>
      <c r="AB197" s="35" t="s">
        <v>91</v>
      </c>
      <c r="AC197" s="35" t="s">
        <v>64</v>
      </c>
      <c r="AD197" s="35" t="s">
        <v>72</v>
      </c>
      <c r="AE197" s="35">
        <v>3</v>
      </c>
      <c r="AF197" s="35" t="s">
        <v>66</v>
      </c>
      <c r="AG197" s="15" t="s">
        <v>1126</v>
      </c>
      <c r="AH197" s="39" t="s">
        <v>1296</v>
      </c>
      <c r="AI197" s="39" t="s">
        <v>1297</v>
      </c>
      <c r="AJ197" t="s">
        <v>1496</v>
      </c>
      <c r="AK197" t="s">
        <v>1573</v>
      </c>
      <c r="AL197" t="s">
        <v>1499</v>
      </c>
      <c r="AM197" s="69"/>
    </row>
    <row r="198" spans="1:39" ht="22.8" x14ac:dyDescent="0.3">
      <c r="A198" s="30">
        <v>3990</v>
      </c>
      <c r="B198" s="9"/>
      <c r="C198" s="36"/>
      <c r="D198" s="9"/>
      <c r="E198" s="9" t="s">
        <v>777</v>
      </c>
      <c r="F198" s="30" t="s">
        <v>314</v>
      </c>
      <c r="G198" s="31" t="s">
        <v>315</v>
      </c>
      <c r="H198" s="31" t="s">
        <v>316</v>
      </c>
      <c r="I198" s="31" t="s">
        <v>315</v>
      </c>
      <c r="J198" s="31" t="s">
        <v>315</v>
      </c>
      <c r="K198" s="31" t="s">
        <v>315</v>
      </c>
      <c r="L198" s="32" t="str">
        <f t="shared" si="15"/>
        <v>EXCLUDE</v>
      </c>
      <c r="M198" s="32" t="str">
        <f t="shared" si="16"/>
        <v>Digital Twin not core / buzzword</v>
      </c>
      <c r="N198" s="33"/>
      <c r="O198" s="33"/>
      <c r="P198" s="34"/>
      <c r="Q198" s="34"/>
      <c r="R198" s="34"/>
      <c r="S198" s="32" t="str">
        <f t="shared" si="17"/>
        <v/>
      </c>
      <c r="T198" s="32" t="str">
        <f t="shared" si="18"/>
        <v/>
      </c>
      <c r="U198" s="35"/>
      <c r="V198" s="35"/>
      <c r="W198" s="35"/>
      <c r="X198" s="35"/>
      <c r="Y198" s="32" t="str">
        <f t="shared" si="19"/>
        <v/>
      </c>
      <c r="Z198" s="35"/>
      <c r="AA198" s="35"/>
      <c r="AB198" s="35"/>
      <c r="AC198" s="35"/>
      <c r="AD198" s="35"/>
      <c r="AE198" s="35"/>
      <c r="AF198" s="35"/>
      <c r="AG198" s="15" t="s">
        <v>451</v>
      </c>
      <c r="AH198" s="39"/>
      <c r="AI198" s="39"/>
      <c r="AM198" s="69"/>
    </row>
    <row r="199" spans="1:39" ht="22.8" x14ac:dyDescent="0.3">
      <c r="A199" s="30">
        <v>3729</v>
      </c>
      <c r="B199" s="9"/>
      <c r="C199" s="36"/>
      <c r="D199" s="9"/>
      <c r="E199" s="9" t="s">
        <v>778</v>
      </c>
      <c r="F199" s="30" t="s">
        <v>313</v>
      </c>
      <c r="G199" s="31" t="s">
        <v>316</v>
      </c>
      <c r="H199" s="31" t="s">
        <v>315</v>
      </c>
      <c r="I199" s="31" t="s">
        <v>315</v>
      </c>
      <c r="J199" s="31" t="s">
        <v>315</v>
      </c>
      <c r="K199" s="31" t="s">
        <v>315</v>
      </c>
      <c r="L199" s="32" t="str">
        <f t="shared" si="15"/>
        <v>EXCLUDE</v>
      </c>
      <c r="M199" s="32" t="str">
        <f t="shared" si="16"/>
        <v>Wrong domain (non-AECO)</v>
      </c>
      <c r="N199" s="33"/>
      <c r="O199" s="33"/>
      <c r="P199" s="34"/>
      <c r="Q199" s="34"/>
      <c r="R199" s="34"/>
      <c r="S199" s="32" t="str">
        <f t="shared" si="17"/>
        <v/>
      </c>
      <c r="T199" s="32" t="str">
        <f t="shared" si="18"/>
        <v/>
      </c>
      <c r="U199" s="35"/>
      <c r="V199" s="35"/>
      <c r="W199" s="35"/>
      <c r="X199" s="35"/>
      <c r="Y199" s="32" t="str">
        <f t="shared" si="19"/>
        <v/>
      </c>
      <c r="Z199" s="35"/>
      <c r="AA199" s="35"/>
      <c r="AB199" s="35"/>
      <c r="AC199" s="35"/>
      <c r="AD199" s="35"/>
      <c r="AE199" s="35"/>
      <c r="AF199" s="35"/>
      <c r="AG199" s="15" t="s">
        <v>452</v>
      </c>
      <c r="AH199" s="39"/>
      <c r="AI199" s="39"/>
      <c r="AM199" s="69"/>
    </row>
    <row r="200" spans="1:39" ht="22.8" x14ac:dyDescent="0.3">
      <c r="A200" s="30">
        <v>3898</v>
      </c>
      <c r="B200" s="9"/>
      <c r="C200" s="36"/>
      <c r="D200" s="9"/>
      <c r="E200" s="9" t="s">
        <v>779</v>
      </c>
      <c r="F200" s="30" t="s">
        <v>314</v>
      </c>
      <c r="G200" s="31" t="s">
        <v>315</v>
      </c>
      <c r="H200" s="31" t="s">
        <v>315</v>
      </c>
      <c r="I200" s="31" t="s">
        <v>316</v>
      </c>
      <c r="J200" s="31" t="s">
        <v>315</v>
      </c>
      <c r="K200" s="31" t="s">
        <v>315</v>
      </c>
      <c r="L200" s="32" t="str">
        <f t="shared" si="15"/>
        <v>EXCLUDE</v>
      </c>
      <c r="M200" s="32" t="str">
        <f t="shared" si="16"/>
        <v>No Design for Safety/Quality/PtD</v>
      </c>
      <c r="N200" s="33"/>
      <c r="O200" s="33"/>
      <c r="P200" s="34"/>
      <c r="Q200" s="34"/>
      <c r="R200" s="34"/>
      <c r="S200" s="32" t="str">
        <f t="shared" si="17"/>
        <v/>
      </c>
      <c r="T200" s="32" t="str">
        <f t="shared" si="18"/>
        <v/>
      </c>
      <c r="U200" s="35"/>
      <c r="V200" s="35"/>
      <c r="W200" s="35"/>
      <c r="X200" s="35"/>
      <c r="Y200" s="32" t="str">
        <f t="shared" si="19"/>
        <v/>
      </c>
      <c r="Z200" s="35"/>
      <c r="AA200" s="35"/>
      <c r="AB200" s="35"/>
      <c r="AC200" s="35"/>
      <c r="AD200" s="35"/>
      <c r="AE200" s="35"/>
      <c r="AF200" s="35"/>
      <c r="AG200" s="15" t="s">
        <v>453</v>
      </c>
      <c r="AH200" s="39"/>
      <c r="AI200" s="39"/>
      <c r="AM200" s="69"/>
    </row>
    <row r="201" spans="1:39" ht="22.8" x14ac:dyDescent="0.3">
      <c r="A201" s="30">
        <v>3514</v>
      </c>
      <c r="B201" s="9"/>
      <c r="C201" s="36"/>
      <c r="D201" s="9"/>
      <c r="E201" s="9" t="s">
        <v>780</v>
      </c>
      <c r="F201" s="30" t="s">
        <v>313</v>
      </c>
      <c r="G201" s="31" t="s">
        <v>315</v>
      </c>
      <c r="H201" s="31" t="s">
        <v>315</v>
      </c>
      <c r="I201" s="31" t="s">
        <v>315</v>
      </c>
      <c r="J201" s="31" t="s">
        <v>315</v>
      </c>
      <c r="K201" s="31" t="s">
        <v>316</v>
      </c>
      <c r="L201" s="32" t="str">
        <f t="shared" si="15"/>
        <v>EXCLUDE</v>
      </c>
      <c r="M201" s="32" t="str">
        <f t="shared" si="16"/>
        <v>Non-English</v>
      </c>
      <c r="N201" s="33"/>
      <c r="O201" s="33"/>
      <c r="P201" s="34"/>
      <c r="Q201" s="34"/>
      <c r="R201" s="34"/>
      <c r="S201" s="32" t="str">
        <f t="shared" si="17"/>
        <v/>
      </c>
      <c r="T201" s="32" t="str">
        <f t="shared" si="18"/>
        <v/>
      </c>
      <c r="U201" s="35"/>
      <c r="V201" s="35"/>
      <c r="W201" s="35"/>
      <c r="X201" s="35"/>
      <c r="Y201" s="32" t="str">
        <f t="shared" si="19"/>
        <v/>
      </c>
      <c r="Z201" s="35"/>
      <c r="AA201" s="35"/>
      <c r="AB201" s="35"/>
      <c r="AC201" s="35"/>
      <c r="AD201" s="35"/>
      <c r="AE201" s="35"/>
      <c r="AF201" s="35"/>
      <c r="AG201" s="15" t="s">
        <v>454</v>
      </c>
      <c r="AH201" s="39"/>
      <c r="AI201" s="39"/>
      <c r="AM201" s="69"/>
    </row>
    <row r="202" spans="1:39" ht="22.8" x14ac:dyDescent="0.3">
      <c r="A202" s="30">
        <v>3672</v>
      </c>
      <c r="B202" s="9"/>
      <c r="C202" s="36"/>
      <c r="D202" s="9"/>
      <c r="E202" s="9" t="s">
        <v>781</v>
      </c>
      <c r="F202" s="30" t="s">
        <v>313</v>
      </c>
      <c r="G202" s="31" t="s">
        <v>316</v>
      </c>
      <c r="H202" s="31" t="s">
        <v>315</v>
      </c>
      <c r="I202" s="31" t="s">
        <v>315</v>
      </c>
      <c r="J202" s="31" t="s">
        <v>315</v>
      </c>
      <c r="K202" s="31" t="s">
        <v>315</v>
      </c>
      <c r="L202" s="32" t="str">
        <f t="shared" si="15"/>
        <v>EXCLUDE</v>
      </c>
      <c r="M202" s="32" t="str">
        <f t="shared" si="16"/>
        <v>Wrong domain (non-AECO)</v>
      </c>
      <c r="N202" s="33"/>
      <c r="O202" s="33"/>
      <c r="P202" s="34"/>
      <c r="Q202" s="34"/>
      <c r="R202" s="34"/>
      <c r="S202" s="32" t="str">
        <f t="shared" si="17"/>
        <v/>
      </c>
      <c r="T202" s="32" t="str">
        <f t="shared" si="18"/>
        <v/>
      </c>
      <c r="U202" s="35"/>
      <c r="V202" s="35"/>
      <c r="W202" s="35"/>
      <c r="X202" s="35"/>
      <c r="Y202" s="32" t="str">
        <f t="shared" si="19"/>
        <v/>
      </c>
      <c r="Z202" s="35"/>
      <c r="AA202" s="35"/>
      <c r="AB202" s="35"/>
      <c r="AC202" s="35"/>
      <c r="AD202" s="35"/>
      <c r="AE202" s="35"/>
      <c r="AF202" s="35"/>
      <c r="AG202" s="15" t="s">
        <v>455</v>
      </c>
      <c r="AH202" s="39"/>
      <c r="AI202" s="39"/>
      <c r="AM202" s="69"/>
    </row>
    <row r="203" spans="1:39" ht="22.8" x14ac:dyDescent="0.3">
      <c r="A203" s="30">
        <v>3879</v>
      </c>
      <c r="B203" s="9"/>
      <c r="C203" s="36"/>
      <c r="D203" s="9"/>
      <c r="E203" s="9" t="s">
        <v>782</v>
      </c>
      <c r="F203" s="30" t="s">
        <v>314</v>
      </c>
      <c r="G203" s="31" t="s">
        <v>315</v>
      </c>
      <c r="H203" s="31" t="s">
        <v>316</v>
      </c>
      <c r="I203" s="31" t="s">
        <v>316</v>
      </c>
      <c r="J203" s="31" t="s">
        <v>315</v>
      </c>
      <c r="K203" s="31" t="s">
        <v>315</v>
      </c>
      <c r="L203" s="32" t="str">
        <f t="shared" si="15"/>
        <v>EXCLUDE</v>
      </c>
      <c r="M203" s="32" t="str">
        <f t="shared" si="16"/>
        <v>Digital Twin not core / buzzword</v>
      </c>
      <c r="N203" s="33"/>
      <c r="O203" s="33"/>
      <c r="P203" s="34"/>
      <c r="Q203" s="34"/>
      <c r="R203" s="34"/>
      <c r="S203" s="32" t="str">
        <f t="shared" si="17"/>
        <v/>
      </c>
      <c r="T203" s="32" t="str">
        <f t="shared" si="18"/>
        <v/>
      </c>
      <c r="U203" s="35"/>
      <c r="V203" s="35"/>
      <c r="W203" s="35"/>
      <c r="X203" s="35"/>
      <c r="Y203" s="32" t="str">
        <f t="shared" si="19"/>
        <v/>
      </c>
      <c r="Z203" s="35"/>
      <c r="AA203" s="35"/>
      <c r="AB203" s="35"/>
      <c r="AC203" s="35"/>
      <c r="AD203" s="35"/>
      <c r="AE203" s="35"/>
      <c r="AF203" s="35"/>
      <c r="AG203" s="15" t="s">
        <v>456</v>
      </c>
      <c r="AH203" s="39"/>
      <c r="AI203" s="39"/>
      <c r="AM203" s="69"/>
    </row>
    <row r="204" spans="1:39" ht="91.2" x14ac:dyDescent="0.3">
      <c r="A204" s="30">
        <v>3560</v>
      </c>
      <c r="B204" s="9" t="s">
        <v>232</v>
      </c>
      <c r="C204" s="36">
        <v>2022</v>
      </c>
      <c r="D204" s="9"/>
      <c r="E204" s="9" t="s">
        <v>783</v>
      </c>
      <c r="F204" s="30" t="s">
        <v>313</v>
      </c>
      <c r="G204" s="31" t="s">
        <v>315</v>
      </c>
      <c r="H204" s="31" t="s">
        <v>315</v>
      </c>
      <c r="I204" s="31" t="s">
        <v>315</v>
      </c>
      <c r="J204" s="31" t="s">
        <v>315</v>
      </c>
      <c r="K204" s="31" t="s">
        <v>315</v>
      </c>
      <c r="L204" s="32" t="str">
        <f t="shared" si="15"/>
        <v>INCLUDE</v>
      </c>
      <c r="M204" s="32" t="str">
        <f t="shared" si="16"/>
        <v/>
      </c>
      <c r="N204" s="33" t="s">
        <v>315</v>
      </c>
      <c r="O204" s="33" t="s">
        <v>315</v>
      </c>
      <c r="P204" s="34" t="s">
        <v>315</v>
      </c>
      <c r="Q204" s="34" t="s">
        <v>315</v>
      </c>
      <c r="R204" s="34" t="s">
        <v>315</v>
      </c>
      <c r="S204" s="32" t="str">
        <f t="shared" si="17"/>
        <v>INCLUDE</v>
      </c>
      <c r="T204" s="32" t="str">
        <f t="shared" si="18"/>
        <v/>
      </c>
      <c r="U204" s="35" t="s">
        <v>61</v>
      </c>
      <c r="V204" s="35">
        <v>0</v>
      </c>
      <c r="W204" s="35">
        <v>1</v>
      </c>
      <c r="X204" s="35">
        <v>0</v>
      </c>
      <c r="Y204" s="32" t="str">
        <f t="shared" si="19"/>
        <v>Single</v>
      </c>
      <c r="Z204" s="35" t="s">
        <v>9</v>
      </c>
      <c r="AA204" s="35" t="s">
        <v>53</v>
      </c>
      <c r="AB204" s="35" t="s">
        <v>85</v>
      </c>
      <c r="AC204" s="35" t="s">
        <v>64</v>
      </c>
      <c r="AD204" s="35" t="s">
        <v>72</v>
      </c>
      <c r="AE204" s="35">
        <v>4</v>
      </c>
      <c r="AF204" s="35" t="s">
        <v>84</v>
      </c>
      <c r="AG204" s="15" t="s">
        <v>1037</v>
      </c>
      <c r="AH204" s="39" t="s">
        <v>1298</v>
      </c>
      <c r="AI204" s="39" t="s">
        <v>1299</v>
      </c>
      <c r="AJ204" t="s">
        <v>1497</v>
      </c>
      <c r="AK204" t="s">
        <v>1574</v>
      </c>
      <c r="AL204" t="s">
        <v>1500</v>
      </c>
      <c r="AM204" s="69"/>
    </row>
    <row r="205" spans="1:39" ht="102.6" x14ac:dyDescent="0.3">
      <c r="A205" s="30">
        <v>3602</v>
      </c>
      <c r="B205" s="9" t="s">
        <v>233</v>
      </c>
      <c r="C205" s="36">
        <v>2021</v>
      </c>
      <c r="D205" s="9"/>
      <c r="E205" s="9" t="s">
        <v>784</v>
      </c>
      <c r="F205" s="30" t="s">
        <v>313</v>
      </c>
      <c r="G205" s="31" t="s">
        <v>315</v>
      </c>
      <c r="H205" s="31" t="s">
        <v>315</v>
      </c>
      <c r="I205" s="31" t="s">
        <v>315</v>
      </c>
      <c r="J205" s="31" t="s">
        <v>315</v>
      </c>
      <c r="K205" s="31" t="s">
        <v>315</v>
      </c>
      <c r="L205" s="32" t="str">
        <f t="shared" si="15"/>
        <v>INCLUDE</v>
      </c>
      <c r="M205" s="32" t="str">
        <f t="shared" si="16"/>
        <v/>
      </c>
      <c r="N205" s="33" t="s">
        <v>49</v>
      </c>
      <c r="O205" s="33" t="s">
        <v>49</v>
      </c>
      <c r="P205" s="34" t="s">
        <v>49</v>
      </c>
      <c r="Q205" s="34" t="s">
        <v>49</v>
      </c>
      <c r="R205" s="34" t="s">
        <v>49</v>
      </c>
      <c r="S205" s="32" t="str">
        <f t="shared" si="17"/>
        <v>INCLUDE</v>
      </c>
      <c r="T205" s="32" t="str">
        <f t="shared" si="18"/>
        <v/>
      </c>
      <c r="U205" s="35" t="s">
        <v>61</v>
      </c>
      <c r="V205" s="35">
        <v>0</v>
      </c>
      <c r="W205" s="35">
        <v>1</v>
      </c>
      <c r="X205" s="35">
        <v>0</v>
      </c>
      <c r="Y205" s="32" t="str">
        <f t="shared" si="19"/>
        <v>Single</v>
      </c>
      <c r="Z205" s="35" t="s">
        <v>9</v>
      </c>
      <c r="AA205" s="35" t="s">
        <v>53</v>
      </c>
      <c r="AB205" s="35" t="s">
        <v>90</v>
      </c>
      <c r="AC205" s="35" t="s">
        <v>64</v>
      </c>
      <c r="AD205" s="35" t="s">
        <v>72</v>
      </c>
      <c r="AE205" s="35">
        <v>4</v>
      </c>
      <c r="AF205" s="35" t="s">
        <v>84</v>
      </c>
      <c r="AG205" s="15" t="s">
        <v>1127</v>
      </c>
      <c r="AH205" s="39" t="s">
        <v>1300</v>
      </c>
      <c r="AI205" s="39" t="s">
        <v>1301</v>
      </c>
      <c r="AJ205" t="s">
        <v>1497</v>
      </c>
      <c r="AK205" t="s">
        <v>1575</v>
      </c>
      <c r="AL205" t="s">
        <v>1500</v>
      </c>
      <c r="AM205" s="69"/>
    </row>
    <row r="206" spans="1:39" ht="91.2" x14ac:dyDescent="0.3">
      <c r="A206" s="30">
        <v>3573</v>
      </c>
      <c r="B206" s="9" t="s">
        <v>234</v>
      </c>
      <c r="C206" s="36">
        <v>2020</v>
      </c>
      <c r="D206" s="9"/>
      <c r="E206" s="9" t="s">
        <v>785</v>
      </c>
      <c r="F206" s="30" t="s">
        <v>313</v>
      </c>
      <c r="G206" s="31" t="s">
        <v>315</v>
      </c>
      <c r="H206" s="31" t="s">
        <v>315</v>
      </c>
      <c r="I206" s="31" t="s">
        <v>315</v>
      </c>
      <c r="J206" s="31" t="s">
        <v>315</v>
      </c>
      <c r="K206" s="31" t="s">
        <v>315</v>
      </c>
      <c r="L206" s="32" t="str">
        <f t="shared" si="15"/>
        <v>INCLUDE</v>
      </c>
      <c r="M206" s="32" t="str">
        <f t="shared" si="16"/>
        <v/>
      </c>
      <c r="N206" s="33" t="s">
        <v>315</v>
      </c>
      <c r="O206" s="33" t="s">
        <v>315</v>
      </c>
      <c r="P206" s="34" t="s">
        <v>315</v>
      </c>
      <c r="Q206" s="34" t="s">
        <v>315</v>
      </c>
      <c r="R206" s="34" t="s">
        <v>315</v>
      </c>
      <c r="S206" s="32" t="str">
        <f t="shared" si="17"/>
        <v>INCLUDE</v>
      </c>
      <c r="T206" s="32" t="str">
        <f t="shared" si="18"/>
        <v/>
      </c>
      <c r="U206" s="35" t="s">
        <v>68</v>
      </c>
      <c r="V206" s="35">
        <v>0</v>
      </c>
      <c r="W206" s="35">
        <v>1</v>
      </c>
      <c r="X206" s="35">
        <v>0</v>
      </c>
      <c r="Y206" s="32" t="str">
        <f t="shared" si="19"/>
        <v>Single</v>
      </c>
      <c r="Z206" s="35" t="s">
        <v>9</v>
      </c>
      <c r="AA206" s="35" t="s">
        <v>53</v>
      </c>
      <c r="AB206" s="35" t="s">
        <v>92</v>
      </c>
      <c r="AC206" s="35" t="s">
        <v>64</v>
      </c>
      <c r="AD206" s="35" t="s">
        <v>72</v>
      </c>
      <c r="AE206" s="35">
        <v>4</v>
      </c>
      <c r="AF206" s="35" t="s">
        <v>80</v>
      </c>
      <c r="AG206" s="15" t="s">
        <v>1038</v>
      </c>
      <c r="AH206" s="39" t="s">
        <v>1302</v>
      </c>
      <c r="AI206" s="39" t="s">
        <v>1303</v>
      </c>
      <c r="AJ206" t="s">
        <v>1497</v>
      </c>
      <c r="AK206" t="s">
        <v>1576</v>
      </c>
      <c r="AL206" t="s">
        <v>1500</v>
      </c>
      <c r="AM206" s="69"/>
    </row>
    <row r="207" spans="1:39" ht="22.8" x14ac:dyDescent="0.3">
      <c r="A207" s="30">
        <v>3749</v>
      </c>
      <c r="B207" s="9"/>
      <c r="C207" s="36"/>
      <c r="D207" s="9"/>
      <c r="E207" s="9" t="s">
        <v>786</v>
      </c>
      <c r="F207" s="30" t="s">
        <v>313</v>
      </c>
      <c r="G207" s="31" t="s">
        <v>315</v>
      </c>
      <c r="H207" s="31" t="s">
        <v>315</v>
      </c>
      <c r="I207" s="31" t="s">
        <v>315</v>
      </c>
      <c r="J207" s="31" t="s">
        <v>315</v>
      </c>
      <c r="K207" s="31" t="s">
        <v>316</v>
      </c>
      <c r="L207" s="32" t="str">
        <f t="shared" si="15"/>
        <v>EXCLUDE</v>
      </c>
      <c r="M207" s="32" t="str">
        <f t="shared" si="16"/>
        <v>Non-English</v>
      </c>
      <c r="N207" s="33"/>
      <c r="O207" s="33"/>
      <c r="P207" s="34"/>
      <c r="Q207" s="34"/>
      <c r="R207" s="34"/>
      <c r="S207" s="32" t="str">
        <f t="shared" si="17"/>
        <v/>
      </c>
      <c r="T207" s="32" t="str">
        <f t="shared" si="18"/>
        <v/>
      </c>
      <c r="U207" s="35"/>
      <c r="V207" s="35"/>
      <c r="W207" s="35"/>
      <c r="X207" s="35"/>
      <c r="Y207" s="32" t="str">
        <f t="shared" si="19"/>
        <v/>
      </c>
      <c r="Z207" s="35"/>
      <c r="AA207" s="35"/>
      <c r="AB207" s="35"/>
      <c r="AC207" s="35"/>
      <c r="AD207" s="35"/>
      <c r="AE207" s="35"/>
      <c r="AF207" s="35"/>
      <c r="AG207" s="15" t="s">
        <v>457</v>
      </c>
      <c r="AH207" s="39"/>
      <c r="AI207" s="39"/>
      <c r="AM207" s="69"/>
    </row>
    <row r="208" spans="1:39" ht="68.400000000000006" x14ac:dyDescent="0.3">
      <c r="A208" s="30">
        <v>3669</v>
      </c>
      <c r="B208" s="9" t="s">
        <v>232</v>
      </c>
      <c r="C208" s="36">
        <v>2022</v>
      </c>
      <c r="D208" s="9"/>
      <c r="E208" s="9" t="s">
        <v>787</v>
      </c>
      <c r="F208" s="30" t="s">
        <v>313</v>
      </c>
      <c r="G208" s="31" t="s">
        <v>315</v>
      </c>
      <c r="H208" s="31" t="s">
        <v>315</v>
      </c>
      <c r="I208" s="31" t="s">
        <v>315</v>
      </c>
      <c r="J208" s="31" t="s">
        <v>315</v>
      </c>
      <c r="K208" s="31" t="s">
        <v>315</v>
      </c>
      <c r="L208" s="32" t="str">
        <f t="shared" si="15"/>
        <v>INCLUDE</v>
      </c>
      <c r="M208" s="32" t="str">
        <f t="shared" si="16"/>
        <v/>
      </c>
      <c r="N208" s="33" t="s">
        <v>315</v>
      </c>
      <c r="O208" s="33" t="s">
        <v>315</v>
      </c>
      <c r="P208" s="34" t="s">
        <v>315</v>
      </c>
      <c r="Q208" s="34" t="s">
        <v>315</v>
      </c>
      <c r="R208" s="34" t="s">
        <v>315</v>
      </c>
      <c r="S208" s="32" t="str">
        <f t="shared" si="17"/>
        <v>INCLUDE</v>
      </c>
      <c r="T208" s="32" t="str">
        <f t="shared" si="18"/>
        <v/>
      </c>
      <c r="U208" s="35" t="s">
        <v>61</v>
      </c>
      <c r="V208" s="35">
        <v>0</v>
      </c>
      <c r="W208" s="35">
        <v>0</v>
      </c>
      <c r="X208" s="35">
        <v>1</v>
      </c>
      <c r="Y208" s="32" t="str">
        <f t="shared" si="19"/>
        <v>Single</v>
      </c>
      <c r="Z208" s="35" t="s">
        <v>9</v>
      </c>
      <c r="AA208" s="35" t="s">
        <v>53</v>
      </c>
      <c r="AB208" s="35" t="s">
        <v>92</v>
      </c>
      <c r="AC208" s="35" t="s">
        <v>64</v>
      </c>
      <c r="AD208" s="35" t="s">
        <v>72</v>
      </c>
      <c r="AE208" s="35">
        <v>4</v>
      </c>
      <c r="AF208" s="35" t="s">
        <v>84</v>
      </c>
      <c r="AG208" s="15" t="s">
        <v>1039</v>
      </c>
      <c r="AH208" s="39" t="s">
        <v>1304</v>
      </c>
      <c r="AI208" s="39" t="s">
        <v>1305</v>
      </c>
      <c r="AJ208" t="s">
        <v>1496</v>
      </c>
      <c r="AK208" t="s">
        <v>1577</v>
      </c>
      <c r="AL208" t="s">
        <v>1500</v>
      </c>
      <c r="AM208" s="69"/>
    </row>
    <row r="209" spans="1:39" ht="102.6" x14ac:dyDescent="0.3">
      <c r="A209" s="30">
        <v>3641</v>
      </c>
      <c r="B209" s="9" t="s">
        <v>234</v>
      </c>
      <c r="C209" s="36">
        <v>2020</v>
      </c>
      <c r="D209" s="9"/>
      <c r="E209" s="9" t="s">
        <v>788</v>
      </c>
      <c r="F209" s="30" t="s">
        <v>313</v>
      </c>
      <c r="G209" s="31" t="s">
        <v>315</v>
      </c>
      <c r="H209" s="31" t="s">
        <v>315</v>
      </c>
      <c r="I209" s="31" t="s">
        <v>315</v>
      </c>
      <c r="J209" s="31" t="s">
        <v>315</v>
      </c>
      <c r="K209" s="31" t="s">
        <v>315</v>
      </c>
      <c r="L209" s="32" t="str">
        <f t="shared" si="15"/>
        <v>INCLUDE</v>
      </c>
      <c r="M209" s="32" t="str">
        <f t="shared" si="16"/>
        <v/>
      </c>
      <c r="N209" s="33" t="s">
        <v>49</v>
      </c>
      <c r="O209" s="33" t="s">
        <v>49</v>
      </c>
      <c r="P209" s="34" t="s">
        <v>49</v>
      </c>
      <c r="Q209" s="34" t="s">
        <v>49</v>
      </c>
      <c r="R209" s="34" t="s">
        <v>49</v>
      </c>
      <c r="S209" s="32" t="str">
        <f t="shared" si="17"/>
        <v>INCLUDE</v>
      </c>
      <c r="T209" s="32" t="str">
        <f t="shared" si="18"/>
        <v/>
      </c>
      <c r="U209" s="35" t="s">
        <v>61</v>
      </c>
      <c r="V209" s="35">
        <v>0</v>
      </c>
      <c r="W209" s="35">
        <v>0</v>
      </c>
      <c r="X209" s="35">
        <v>1</v>
      </c>
      <c r="Y209" s="32" t="str">
        <f t="shared" si="19"/>
        <v>Single</v>
      </c>
      <c r="Z209" s="35" t="s">
        <v>9</v>
      </c>
      <c r="AA209" s="35" t="s">
        <v>53</v>
      </c>
      <c r="AB209" s="35" t="s">
        <v>92</v>
      </c>
      <c r="AC209" s="35" t="s">
        <v>64</v>
      </c>
      <c r="AD209" s="35" t="s">
        <v>72</v>
      </c>
      <c r="AE209" s="35">
        <v>4</v>
      </c>
      <c r="AF209" s="35" t="s">
        <v>84</v>
      </c>
      <c r="AG209" s="15" t="s">
        <v>1128</v>
      </c>
      <c r="AH209" s="39" t="s">
        <v>1306</v>
      </c>
      <c r="AI209" s="39" t="s">
        <v>1307</v>
      </c>
      <c r="AJ209" t="s">
        <v>1497</v>
      </c>
      <c r="AK209" t="s">
        <v>1578</v>
      </c>
      <c r="AL209" t="s">
        <v>1499</v>
      </c>
      <c r="AM209" s="69"/>
    </row>
    <row r="210" spans="1:39" ht="22.8" x14ac:dyDescent="0.3">
      <c r="A210" s="30">
        <v>3676</v>
      </c>
      <c r="B210" s="9"/>
      <c r="C210" s="36"/>
      <c r="D210" s="9"/>
      <c r="E210" s="9" t="s">
        <v>789</v>
      </c>
      <c r="F210" s="30" t="s">
        <v>313</v>
      </c>
      <c r="G210" s="31" t="s">
        <v>315</v>
      </c>
      <c r="H210" s="31" t="s">
        <v>315</v>
      </c>
      <c r="I210" s="31" t="s">
        <v>315</v>
      </c>
      <c r="J210" s="31" t="s">
        <v>315</v>
      </c>
      <c r="K210" s="31" t="s">
        <v>316</v>
      </c>
      <c r="L210" s="32" t="str">
        <f t="shared" si="15"/>
        <v>EXCLUDE</v>
      </c>
      <c r="M210" s="32" t="str">
        <f t="shared" si="16"/>
        <v>Non-English</v>
      </c>
      <c r="N210" s="33"/>
      <c r="O210" s="33"/>
      <c r="P210" s="34"/>
      <c r="Q210" s="34"/>
      <c r="R210" s="34"/>
      <c r="S210" s="32" t="str">
        <f t="shared" si="17"/>
        <v/>
      </c>
      <c r="T210" s="32" t="str">
        <f t="shared" si="18"/>
        <v/>
      </c>
      <c r="U210" s="35"/>
      <c r="V210" s="35"/>
      <c r="W210" s="35"/>
      <c r="X210" s="35"/>
      <c r="Y210" s="32" t="str">
        <f t="shared" si="19"/>
        <v/>
      </c>
      <c r="Z210" s="35"/>
      <c r="AA210" s="35"/>
      <c r="AB210" s="35"/>
      <c r="AC210" s="35"/>
      <c r="AD210" s="35"/>
      <c r="AE210" s="35"/>
      <c r="AF210" s="35"/>
      <c r="AG210" s="15" t="s">
        <v>458</v>
      </c>
      <c r="AH210" s="39"/>
      <c r="AI210" s="39"/>
      <c r="AM210" s="69"/>
    </row>
    <row r="211" spans="1:39" ht="79.8" x14ac:dyDescent="0.3">
      <c r="A211" s="30">
        <v>3969</v>
      </c>
      <c r="B211" s="9" t="s">
        <v>235</v>
      </c>
      <c r="C211" s="36">
        <v>2025</v>
      </c>
      <c r="D211" s="9"/>
      <c r="E211" s="9" t="s">
        <v>790</v>
      </c>
      <c r="F211" s="30" t="s">
        <v>314</v>
      </c>
      <c r="G211" s="31" t="s">
        <v>315</v>
      </c>
      <c r="H211" s="31" t="s">
        <v>315</v>
      </c>
      <c r="I211" s="31" t="s">
        <v>315</v>
      </c>
      <c r="J211" s="31" t="s">
        <v>315</v>
      </c>
      <c r="K211" s="31" t="s">
        <v>315</v>
      </c>
      <c r="L211" s="32" t="str">
        <f t="shared" si="15"/>
        <v>INCLUDE</v>
      </c>
      <c r="M211" s="32" t="str">
        <f t="shared" si="16"/>
        <v/>
      </c>
      <c r="N211" s="33" t="s">
        <v>315</v>
      </c>
      <c r="O211" s="33" t="s">
        <v>315</v>
      </c>
      <c r="P211" s="34" t="s">
        <v>315</v>
      </c>
      <c r="Q211" s="34" t="s">
        <v>315</v>
      </c>
      <c r="R211" s="34" t="s">
        <v>315</v>
      </c>
      <c r="S211" s="32" t="str">
        <f t="shared" si="17"/>
        <v>INCLUDE</v>
      </c>
      <c r="T211" s="32" t="str">
        <f t="shared" si="18"/>
        <v/>
      </c>
      <c r="U211" s="35" t="s">
        <v>61</v>
      </c>
      <c r="V211" s="35">
        <v>0</v>
      </c>
      <c r="W211" s="35">
        <v>1</v>
      </c>
      <c r="X211" s="35">
        <v>0</v>
      </c>
      <c r="Y211" s="32" t="str">
        <f t="shared" si="19"/>
        <v>Single</v>
      </c>
      <c r="Z211" s="35" t="s">
        <v>9</v>
      </c>
      <c r="AA211" s="35" t="s">
        <v>53</v>
      </c>
      <c r="AB211" s="35" t="s">
        <v>92</v>
      </c>
      <c r="AC211" s="35" t="s">
        <v>64</v>
      </c>
      <c r="AD211" s="35" t="s">
        <v>72</v>
      </c>
      <c r="AE211" s="35">
        <v>4</v>
      </c>
      <c r="AF211" s="35" t="s">
        <v>84</v>
      </c>
      <c r="AG211" s="15" t="s">
        <v>1040</v>
      </c>
      <c r="AH211" s="39" t="s">
        <v>1308</v>
      </c>
      <c r="AI211" s="39" t="s">
        <v>1309</v>
      </c>
      <c r="AJ211" t="s">
        <v>1497</v>
      </c>
      <c r="AK211" t="s">
        <v>1579</v>
      </c>
      <c r="AL211" t="s">
        <v>1499</v>
      </c>
      <c r="AM211" s="69"/>
    </row>
    <row r="212" spans="1:39" ht="91.2" x14ac:dyDescent="0.3">
      <c r="A212" s="30">
        <v>3952</v>
      </c>
      <c r="B212" s="9" t="s">
        <v>235</v>
      </c>
      <c r="C212" s="36">
        <v>2025</v>
      </c>
      <c r="D212" s="9"/>
      <c r="E212" s="9" t="s">
        <v>791</v>
      </c>
      <c r="F212" s="30" t="s">
        <v>314</v>
      </c>
      <c r="G212" s="31" t="s">
        <v>315</v>
      </c>
      <c r="H212" s="31" t="s">
        <v>315</v>
      </c>
      <c r="I212" s="31" t="s">
        <v>315</v>
      </c>
      <c r="J212" s="31" t="s">
        <v>315</v>
      </c>
      <c r="K212" s="31" t="s">
        <v>315</v>
      </c>
      <c r="L212" s="32" t="str">
        <f t="shared" si="15"/>
        <v>INCLUDE</v>
      </c>
      <c r="M212" s="32" t="str">
        <f t="shared" si="16"/>
        <v/>
      </c>
      <c r="N212" s="33" t="s">
        <v>315</v>
      </c>
      <c r="O212" s="33" t="s">
        <v>315</v>
      </c>
      <c r="P212" s="34" t="s">
        <v>315</v>
      </c>
      <c r="Q212" s="34" t="s">
        <v>315</v>
      </c>
      <c r="R212" s="34" t="s">
        <v>315</v>
      </c>
      <c r="S212" s="32" t="str">
        <f t="shared" si="17"/>
        <v>INCLUDE</v>
      </c>
      <c r="T212" s="32" t="str">
        <f t="shared" si="18"/>
        <v/>
      </c>
      <c r="U212" s="35" t="s">
        <v>61</v>
      </c>
      <c r="V212" s="35">
        <v>0</v>
      </c>
      <c r="W212" s="35">
        <v>1</v>
      </c>
      <c r="X212" s="35">
        <v>0</v>
      </c>
      <c r="Y212" s="32" t="str">
        <f t="shared" si="19"/>
        <v>Single</v>
      </c>
      <c r="Z212" s="35" t="s">
        <v>9</v>
      </c>
      <c r="AA212" s="35" t="s">
        <v>53</v>
      </c>
      <c r="AB212" s="35" t="s">
        <v>92</v>
      </c>
      <c r="AC212" s="35" t="s">
        <v>64</v>
      </c>
      <c r="AD212" s="35" t="s">
        <v>72</v>
      </c>
      <c r="AE212" s="35">
        <v>4</v>
      </c>
      <c r="AF212" s="35" t="s">
        <v>84</v>
      </c>
      <c r="AG212" s="15" t="s">
        <v>1041</v>
      </c>
      <c r="AH212" s="39" t="s">
        <v>1310</v>
      </c>
      <c r="AI212" s="39" t="s">
        <v>1311</v>
      </c>
      <c r="AJ212" t="s">
        <v>1497</v>
      </c>
      <c r="AK212" t="s">
        <v>1580</v>
      </c>
      <c r="AL212" t="s">
        <v>1499</v>
      </c>
      <c r="AM212" s="69"/>
    </row>
    <row r="213" spans="1:39" ht="22.8" x14ac:dyDescent="0.3">
      <c r="A213" s="30">
        <v>4013</v>
      </c>
      <c r="B213" s="9"/>
      <c r="C213" s="36"/>
      <c r="D213" s="9"/>
      <c r="E213" s="9" t="s">
        <v>792</v>
      </c>
      <c r="F213" s="30" t="s">
        <v>314</v>
      </c>
      <c r="G213" s="31" t="s">
        <v>315</v>
      </c>
      <c r="H213" s="31" t="s">
        <v>316</v>
      </c>
      <c r="I213" s="31" t="s">
        <v>316</v>
      </c>
      <c r="J213" s="31" t="s">
        <v>315</v>
      </c>
      <c r="K213" s="31" t="s">
        <v>315</v>
      </c>
      <c r="L213" s="32" t="str">
        <f t="shared" si="15"/>
        <v>EXCLUDE</v>
      </c>
      <c r="M213" s="32" t="str">
        <f t="shared" si="16"/>
        <v>Digital Twin not core / buzzword</v>
      </c>
      <c r="N213" s="33"/>
      <c r="O213" s="33"/>
      <c r="P213" s="34"/>
      <c r="Q213" s="34"/>
      <c r="R213" s="34"/>
      <c r="S213" s="32" t="str">
        <f t="shared" si="17"/>
        <v/>
      </c>
      <c r="T213" s="32" t="str">
        <f t="shared" si="18"/>
        <v/>
      </c>
      <c r="U213" s="35"/>
      <c r="V213" s="35"/>
      <c r="W213" s="35"/>
      <c r="X213" s="35"/>
      <c r="Y213" s="32" t="str">
        <f t="shared" si="19"/>
        <v/>
      </c>
      <c r="Z213" s="35"/>
      <c r="AA213" s="35"/>
      <c r="AB213" s="35"/>
      <c r="AC213" s="35"/>
      <c r="AD213" s="35"/>
      <c r="AE213" s="35"/>
      <c r="AF213" s="35"/>
      <c r="AG213" s="15" t="s">
        <v>459</v>
      </c>
      <c r="AH213" s="39"/>
      <c r="AI213" s="39"/>
      <c r="AM213" s="69"/>
    </row>
    <row r="214" spans="1:39" ht="22.8" x14ac:dyDescent="0.3">
      <c r="A214" s="30">
        <v>3597</v>
      </c>
      <c r="B214" s="9"/>
      <c r="C214" s="36"/>
      <c r="D214" s="9"/>
      <c r="E214" s="9" t="s">
        <v>793</v>
      </c>
      <c r="F214" s="30" t="s">
        <v>313</v>
      </c>
      <c r="G214" s="31" t="s">
        <v>315</v>
      </c>
      <c r="H214" s="31" t="s">
        <v>315</v>
      </c>
      <c r="I214" s="31" t="s">
        <v>315</v>
      </c>
      <c r="J214" s="31" t="s">
        <v>315</v>
      </c>
      <c r="K214" s="31" t="s">
        <v>316</v>
      </c>
      <c r="L214" s="32" t="str">
        <f t="shared" si="15"/>
        <v>EXCLUDE</v>
      </c>
      <c r="M214" s="32" t="str">
        <f t="shared" si="16"/>
        <v>Non-English</v>
      </c>
      <c r="N214" s="33"/>
      <c r="O214" s="33"/>
      <c r="P214" s="34"/>
      <c r="Q214" s="34"/>
      <c r="R214" s="34"/>
      <c r="S214" s="32" t="str">
        <f t="shared" si="17"/>
        <v/>
      </c>
      <c r="T214" s="32" t="str">
        <f t="shared" si="18"/>
        <v/>
      </c>
      <c r="U214" s="35"/>
      <c r="V214" s="35"/>
      <c r="W214" s="35"/>
      <c r="X214" s="35"/>
      <c r="Y214" s="32" t="str">
        <f t="shared" si="19"/>
        <v/>
      </c>
      <c r="Z214" s="35"/>
      <c r="AA214" s="35"/>
      <c r="AB214" s="35"/>
      <c r="AC214" s="35"/>
      <c r="AD214" s="35"/>
      <c r="AE214" s="35"/>
      <c r="AF214" s="35"/>
      <c r="AG214" s="15" t="s">
        <v>458</v>
      </c>
      <c r="AH214" s="39"/>
      <c r="AI214" s="39"/>
      <c r="AM214" s="69"/>
    </row>
    <row r="215" spans="1:39" ht="22.8" x14ac:dyDescent="0.3">
      <c r="A215" s="30">
        <v>3887</v>
      </c>
      <c r="B215" s="9"/>
      <c r="C215" s="36"/>
      <c r="D215" s="9"/>
      <c r="E215" s="9" t="s">
        <v>794</v>
      </c>
      <c r="F215" s="30" t="s">
        <v>314</v>
      </c>
      <c r="G215" s="31" t="s">
        <v>316</v>
      </c>
      <c r="H215" s="31" t="s">
        <v>315</v>
      </c>
      <c r="I215" s="31" t="s">
        <v>315</v>
      </c>
      <c r="J215" s="31" t="s">
        <v>315</v>
      </c>
      <c r="K215" s="31" t="s">
        <v>315</v>
      </c>
      <c r="L215" s="32" t="str">
        <f t="shared" si="15"/>
        <v>EXCLUDE</v>
      </c>
      <c r="M215" s="32" t="str">
        <f t="shared" si="16"/>
        <v>Wrong domain (non-AECO)</v>
      </c>
      <c r="N215" s="33"/>
      <c r="O215" s="33"/>
      <c r="P215" s="34"/>
      <c r="Q215" s="34"/>
      <c r="R215" s="34"/>
      <c r="S215" s="32" t="str">
        <f t="shared" si="17"/>
        <v/>
      </c>
      <c r="T215" s="32" t="str">
        <f t="shared" si="18"/>
        <v/>
      </c>
      <c r="U215" s="35"/>
      <c r="V215" s="35"/>
      <c r="W215" s="35"/>
      <c r="X215" s="35"/>
      <c r="Y215" s="32" t="str">
        <f t="shared" si="19"/>
        <v/>
      </c>
      <c r="Z215" s="35"/>
      <c r="AA215" s="35"/>
      <c r="AB215" s="35"/>
      <c r="AC215" s="35"/>
      <c r="AD215" s="35"/>
      <c r="AE215" s="35"/>
      <c r="AF215" s="35"/>
      <c r="AG215" s="15" t="s">
        <v>460</v>
      </c>
      <c r="AH215" s="39"/>
      <c r="AI215" s="39"/>
      <c r="AM215" s="69"/>
    </row>
    <row r="216" spans="1:39" ht="22.8" x14ac:dyDescent="0.3">
      <c r="A216" s="30">
        <v>3992</v>
      </c>
      <c r="B216" s="9"/>
      <c r="C216" s="36"/>
      <c r="D216" s="9"/>
      <c r="E216" s="9" t="s">
        <v>795</v>
      </c>
      <c r="F216" s="30" t="s">
        <v>314</v>
      </c>
      <c r="G216" s="31" t="s">
        <v>315</v>
      </c>
      <c r="H216" s="31" t="s">
        <v>315</v>
      </c>
      <c r="I216" s="31" t="s">
        <v>316</v>
      </c>
      <c r="J216" s="31" t="s">
        <v>315</v>
      </c>
      <c r="K216" s="31" t="s">
        <v>315</v>
      </c>
      <c r="L216" s="32" t="str">
        <f t="shared" si="15"/>
        <v>EXCLUDE</v>
      </c>
      <c r="M216" s="32" t="str">
        <f t="shared" si="16"/>
        <v>No Design for Safety/Quality/PtD</v>
      </c>
      <c r="N216" s="33"/>
      <c r="O216" s="33"/>
      <c r="P216" s="34"/>
      <c r="Q216" s="34"/>
      <c r="R216" s="34"/>
      <c r="S216" s="32" t="str">
        <f t="shared" si="17"/>
        <v/>
      </c>
      <c r="T216" s="32" t="str">
        <f t="shared" si="18"/>
        <v/>
      </c>
      <c r="U216" s="35"/>
      <c r="V216" s="35"/>
      <c r="W216" s="35"/>
      <c r="X216" s="35"/>
      <c r="Y216" s="32" t="str">
        <f t="shared" si="19"/>
        <v/>
      </c>
      <c r="Z216" s="35"/>
      <c r="AA216" s="35"/>
      <c r="AB216" s="35"/>
      <c r="AC216" s="35"/>
      <c r="AD216" s="35"/>
      <c r="AE216" s="35"/>
      <c r="AF216" s="35"/>
      <c r="AG216" s="15" t="s">
        <v>461</v>
      </c>
      <c r="AH216" s="39"/>
      <c r="AI216" s="39"/>
      <c r="AM216" s="69"/>
    </row>
    <row r="217" spans="1:39" ht="22.8" x14ac:dyDescent="0.3">
      <c r="A217" s="30">
        <v>3766</v>
      </c>
      <c r="B217" s="9"/>
      <c r="C217" s="36"/>
      <c r="D217" s="9"/>
      <c r="E217" s="9" t="s">
        <v>796</v>
      </c>
      <c r="F217" s="30" t="s">
        <v>313</v>
      </c>
      <c r="G217" s="31" t="s">
        <v>315</v>
      </c>
      <c r="H217" s="31" t="s">
        <v>316</v>
      </c>
      <c r="I217" s="31" t="s">
        <v>315</v>
      </c>
      <c r="J217" s="31" t="s">
        <v>315</v>
      </c>
      <c r="K217" s="31" t="s">
        <v>315</v>
      </c>
      <c r="L217" s="32" t="str">
        <f t="shared" si="15"/>
        <v>EXCLUDE</v>
      </c>
      <c r="M217" s="32" t="str">
        <f t="shared" si="16"/>
        <v>Digital Twin not core / buzzword</v>
      </c>
      <c r="N217" s="33"/>
      <c r="O217" s="33"/>
      <c r="P217" s="34"/>
      <c r="Q217" s="34"/>
      <c r="R217" s="34"/>
      <c r="S217" s="32" t="str">
        <f t="shared" si="17"/>
        <v/>
      </c>
      <c r="T217" s="32" t="str">
        <f t="shared" si="18"/>
        <v/>
      </c>
      <c r="U217" s="35"/>
      <c r="V217" s="35"/>
      <c r="W217" s="35"/>
      <c r="X217" s="35"/>
      <c r="Y217" s="32" t="str">
        <f t="shared" si="19"/>
        <v/>
      </c>
      <c r="Z217" s="35"/>
      <c r="AA217" s="35"/>
      <c r="AB217" s="35"/>
      <c r="AC217" s="35"/>
      <c r="AD217" s="35"/>
      <c r="AE217" s="35"/>
      <c r="AF217" s="35"/>
      <c r="AG217" s="15" t="s">
        <v>462</v>
      </c>
      <c r="AH217" s="39"/>
      <c r="AI217" s="39"/>
      <c r="AM217" s="69"/>
    </row>
    <row r="218" spans="1:39" ht="22.8" x14ac:dyDescent="0.3">
      <c r="A218" s="30">
        <v>4006</v>
      </c>
      <c r="B218" s="9"/>
      <c r="C218" s="36"/>
      <c r="D218" s="9"/>
      <c r="E218" s="9" t="s">
        <v>797</v>
      </c>
      <c r="F218" s="30" t="s">
        <v>314</v>
      </c>
      <c r="G218" s="31" t="s">
        <v>315</v>
      </c>
      <c r="H218" s="31" t="s">
        <v>316</v>
      </c>
      <c r="I218" s="31" t="s">
        <v>315</v>
      </c>
      <c r="J218" s="31" t="s">
        <v>315</v>
      </c>
      <c r="K218" s="31" t="s">
        <v>315</v>
      </c>
      <c r="L218" s="32" t="str">
        <f t="shared" si="15"/>
        <v>EXCLUDE</v>
      </c>
      <c r="M218" s="32" t="str">
        <f t="shared" si="16"/>
        <v>Digital Twin not core / buzzword</v>
      </c>
      <c r="N218" s="33"/>
      <c r="O218" s="33"/>
      <c r="P218" s="34"/>
      <c r="Q218" s="34"/>
      <c r="R218" s="34"/>
      <c r="S218" s="32" t="str">
        <f t="shared" si="17"/>
        <v/>
      </c>
      <c r="T218" s="32" t="str">
        <f t="shared" si="18"/>
        <v/>
      </c>
      <c r="U218" s="35"/>
      <c r="V218" s="35"/>
      <c r="W218" s="35"/>
      <c r="X218" s="35"/>
      <c r="Y218" s="32" t="str">
        <f t="shared" si="19"/>
        <v/>
      </c>
      <c r="Z218" s="35"/>
      <c r="AA218" s="35"/>
      <c r="AB218" s="35"/>
      <c r="AC218" s="35"/>
      <c r="AD218" s="35"/>
      <c r="AE218" s="35"/>
      <c r="AF218" s="35"/>
      <c r="AG218" s="15" t="s">
        <v>463</v>
      </c>
      <c r="AH218" s="39"/>
      <c r="AI218" s="39"/>
      <c r="AM218" s="69"/>
    </row>
    <row r="219" spans="1:39" ht="22.8" x14ac:dyDescent="0.3">
      <c r="A219" s="30">
        <v>3925</v>
      </c>
      <c r="B219" s="9"/>
      <c r="C219" s="36"/>
      <c r="D219" s="9"/>
      <c r="E219" s="9" t="s">
        <v>798</v>
      </c>
      <c r="F219" s="30" t="s">
        <v>314</v>
      </c>
      <c r="G219" s="31" t="s">
        <v>315</v>
      </c>
      <c r="H219" s="31" t="s">
        <v>316</v>
      </c>
      <c r="I219" s="31" t="s">
        <v>315</v>
      </c>
      <c r="J219" s="31" t="s">
        <v>315</v>
      </c>
      <c r="K219" s="31" t="s">
        <v>315</v>
      </c>
      <c r="L219" s="32" t="str">
        <f t="shared" si="15"/>
        <v>EXCLUDE</v>
      </c>
      <c r="M219" s="32" t="str">
        <f t="shared" si="16"/>
        <v>Digital Twin not core / buzzword</v>
      </c>
      <c r="N219" s="33"/>
      <c r="O219" s="33"/>
      <c r="P219" s="34"/>
      <c r="Q219" s="34"/>
      <c r="R219" s="34"/>
      <c r="S219" s="32" t="str">
        <f t="shared" si="17"/>
        <v/>
      </c>
      <c r="T219" s="32" t="str">
        <f t="shared" si="18"/>
        <v/>
      </c>
      <c r="U219" s="35"/>
      <c r="V219" s="35"/>
      <c r="W219" s="35"/>
      <c r="X219" s="35"/>
      <c r="Y219" s="32" t="str">
        <f t="shared" si="19"/>
        <v/>
      </c>
      <c r="Z219" s="35"/>
      <c r="AA219" s="35"/>
      <c r="AB219" s="35"/>
      <c r="AC219" s="35"/>
      <c r="AD219" s="35"/>
      <c r="AE219" s="35"/>
      <c r="AF219" s="35"/>
      <c r="AG219" s="15" t="s">
        <v>464</v>
      </c>
      <c r="AH219" s="39"/>
      <c r="AI219" s="39"/>
      <c r="AM219" s="69"/>
    </row>
    <row r="220" spans="1:39" ht="102.6" x14ac:dyDescent="0.3">
      <c r="A220" s="30">
        <v>3606</v>
      </c>
      <c r="B220" s="9" t="s">
        <v>236</v>
      </c>
      <c r="C220" s="36">
        <v>2024</v>
      </c>
      <c r="D220" s="9"/>
      <c r="E220" s="9" t="s">
        <v>799</v>
      </c>
      <c r="F220" s="30" t="s">
        <v>313</v>
      </c>
      <c r="G220" s="31" t="s">
        <v>315</v>
      </c>
      <c r="H220" s="31" t="s">
        <v>315</v>
      </c>
      <c r="I220" s="31" t="s">
        <v>315</v>
      </c>
      <c r="J220" s="31" t="s">
        <v>315</v>
      </c>
      <c r="K220" s="31" t="s">
        <v>315</v>
      </c>
      <c r="L220" s="32" t="str">
        <f t="shared" si="15"/>
        <v>INCLUDE</v>
      </c>
      <c r="M220" s="32" t="str">
        <f t="shared" si="16"/>
        <v/>
      </c>
      <c r="N220" s="33" t="s">
        <v>49</v>
      </c>
      <c r="O220" s="33" t="s">
        <v>49</v>
      </c>
      <c r="P220" s="34" t="s">
        <v>49</v>
      </c>
      <c r="Q220" s="34" t="s">
        <v>49</v>
      </c>
      <c r="R220" s="34" t="s">
        <v>49</v>
      </c>
      <c r="S220" s="32" t="str">
        <f t="shared" si="17"/>
        <v>INCLUDE</v>
      </c>
      <c r="T220" s="32" t="str">
        <f t="shared" si="18"/>
        <v/>
      </c>
      <c r="U220" s="35" t="s">
        <v>52</v>
      </c>
      <c r="V220" s="35">
        <v>0</v>
      </c>
      <c r="W220" s="35">
        <v>0</v>
      </c>
      <c r="X220" s="35">
        <v>1</v>
      </c>
      <c r="Y220" s="32" t="str">
        <f t="shared" si="19"/>
        <v>Single</v>
      </c>
      <c r="Z220" s="35" t="s">
        <v>9</v>
      </c>
      <c r="AA220" s="35" t="s">
        <v>53</v>
      </c>
      <c r="AB220" s="35" t="s">
        <v>91</v>
      </c>
      <c r="AC220" s="35" t="s">
        <v>64</v>
      </c>
      <c r="AD220" s="35" t="s">
        <v>72</v>
      </c>
      <c r="AE220" s="35">
        <v>3</v>
      </c>
      <c r="AF220" s="35" t="s">
        <v>76</v>
      </c>
      <c r="AG220" s="15" t="s">
        <v>1129</v>
      </c>
      <c r="AH220" s="39" t="s">
        <v>1312</v>
      </c>
      <c r="AI220" s="39" t="s">
        <v>1313</v>
      </c>
      <c r="AJ220" t="s">
        <v>1496</v>
      </c>
      <c r="AK220" t="s">
        <v>1581</v>
      </c>
      <c r="AL220" t="s">
        <v>1500</v>
      </c>
      <c r="AM220" s="69"/>
    </row>
    <row r="221" spans="1:39" ht="22.8" x14ac:dyDescent="0.3">
      <c r="A221" s="30">
        <v>3698</v>
      </c>
      <c r="B221" s="9"/>
      <c r="C221" s="36"/>
      <c r="D221" s="9"/>
      <c r="E221" s="9" t="s">
        <v>800</v>
      </c>
      <c r="F221" s="30" t="s">
        <v>313</v>
      </c>
      <c r="G221" s="31" t="s">
        <v>315</v>
      </c>
      <c r="H221" s="31" t="s">
        <v>315</v>
      </c>
      <c r="I221" s="31" t="s">
        <v>315</v>
      </c>
      <c r="J221" s="31" t="s">
        <v>315</v>
      </c>
      <c r="K221" s="31" t="s">
        <v>316</v>
      </c>
      <c r="L221" s="32" t="str">
        <f t="shared" si="15"/>
        <v>EXCLUDE</v>
      </c>
      <c r="M221" s="32" t="str">
        <f t="shared" si="16"/>
        <v>Non-English</v>
      </c>
      <c r="N221" s="33"/>
      <c r="O221" s="33"/>
      <c r="P221" s="34"/>
      <c r="Q221" s="34"/>
      <c r="R221" s="34"/>
      <c r="S221" s="32" t="str">
        <f t="shared" si="17"/>
        <v/>
      </c>
      <c r="T221" s="32" t="str">
        <f t="shared" si="18"/>
        <v/>
      </c>
      <c r="U221" s="35"/>
      <c r="V221" s="35"/>
      <c r="W221" s="35"/>
      <c r="X221" s="35"/>
      <c r="Y221" s="32" t="str">
        <f t="shared" si="19"/>
        <v/>
      </c>
      <c r="Z221" s="35"/>
      <c r="AA221" s="35"/>
      <c r="AB221" s="35"/>
      <c r="AC221" s="35"/>
      <c r="AD221" s="35"/>
      <c r="AE221" s="35"/>
      <c r="AF221" s="35"/>
      <c r="AG221" s="15" t="s">
        <v>465</v>
      </c>
      <c r="AH221" s="39"/>
      <c r="AI221" s="39"/>
      <c r="AM221" s="69"/>
    </row>
    <row r="222" spans="1:39" ht="79.8" x14ac:dyDescent="0.3">
      <c r="A222" s="30">
        <v>3894</v>
      </c>
      <c r="B222" s="9" t="s">
        <v>237</v>
      </c>
      <c r="C222" s="36">
        <v>2026</v>
      </c>
      <c r="D222" s="9"/>
      <c r="E222" s="9" t="s">
        <v>801</v>
      </c>
      <c r="F222" s="30" t="s">
        <v>314</v>
      </c>
      <c r="G222" s="31" t="s">
        <v>315</v>
      </c>
      <c r="H222" s="31" t="s">
        <v>315</v>
      </c>
      <c r="I222" s="31" t="s">
        <v>315</v>
      </c>
      <c r="J222" s="31" t="s">
        <v>315</v>
      </c>
      <c r="K222" s="31" t="s">
        <v>315</v>
      </c>
      <c r="L222" s="32" t="str">
        <f t="shared" si="15"/>
        <v>INCLUDE</v>
      </c>
      <c r="M222" s="32" t="str">
        <f t="shared" si="16"/>
        <v/>
      </c>
      <c r="N222" s="33" t="s">
        <v>315</v>
      </c>
      <c r="O222" s="33" t="s">
        <v>315</v>
      </c>
      <c r="P222" s="34" t="s">
        <v>315</v>
      </c>
      <c r="Q222" s="34" t="s">
        <v>315</v>
      </c>
      <c r="R222" s="34" t="s">
        <v>315</v>
      </c>
      <c r="S222" s="32" t="str">
        <f t="shared" si="17"/>
        <v>INCLUDE</v>
      </c>
      <c r="T222" s="32" t="str">
        <f t="shared" si="18"/>
        <v/>
      </c>
      <c r="U222" s="35" t="s">
        <v>52</v>
      </c>
      <c r="V222" s="35">
        <v>0</v>
      </c>
      <c r="W222" s="35">
        <v>0</v>
      </c>
      <c r="X222" s="35">
        <v>1</v>
      </c>
      <c r="Y222" s="32" t="str">
        <f t="shared" si="19"/>
        <v>Single</v>
      </c>
      <c r="Z222" s="35" t="s">
        <v>9</v>
      </c>
      <c r="AA222" s="35" t="s">
        <v>53</v>
      </c>
      <c r="AB222" s="35" t="s">
        <v>73</v>
      </c>
      <c r="AC222" s="35" t="s">
        <v>64</v>
      </c>
      <c r="AD222" s="35" t="s">
        <v>72</v>
      </c>
      <c r="AE222" s="35">
        <v>4</v>
      </c>
      <c r="AF222" s="35" t="s">
        <v>57</v>
      </c>
      <c r="AG222" s="15" t="s">
        <v>1042</v>
      </c>
      <c r="AH222" s="39" t="s">
        <v>1314</v>
      </c>
      <c r="AI222" s="39" t="s">
        <v>1315</v>
      </c>
      <c r="AJ222" t="s">
        <v>1494</v>
      </c>
      <c r="AK222" t="s">
        <v>1582</v>
      </c>
      <c r="AL222" t="s">
        <v>1499</v>
      </c>
      <c r="AM222" s="69" t="s">
        <v>1569</v>
      </c>
    </row>
    <row r="223" spans="1:39" ht="22.8" x14ac:dyDescent="0.3">
      <c r="A223" s="30">
        <v>3638</v>
      </c>
      <c r="B223" s="9"/>
      <c r="C223" s="36"/>
      <c r="D223" s="9"/>
      <c r="E223" s="9" t="s">
        <v>802</v>
      </c>
      <c r="F223" s="30" t="s">
        <v>313</v>
      </c>
      <c r="G223" s="31" t="s">
        <v>315</v>
      </c>
      <c r="H223" s="31" t="s">
        <v>315</v>
      </c>
      <c r="I223" s="31" t="s">
        <v>316</v>
      </c>
      <c r="J223" s="31" t="s">
        <v>315</v>
      </c>
      <c r="K223" s="31" t="s">
        <v>315</v>
      </c>
      <c r="L223" s="32" t="str">
        <f t="shared" si="15"/>
        <v>EXCLUDE</v>
      </c>
      <c r="M223" s="32" t="str">
        <f t="shared" si="16"/>
        <v>No Design for Safety/Quality/PtD</v>
      </c>
      <c r="N223" s="33"/>
      <c r="O223" s="33"/>
      <c r="P223" s="34"/>
      <c r="Q223" s="34"/>
      <c r="R223" s="34"/>
      <c r="S223" s="32" t="str">
        <f t="shared" si="17"/>
        <v/>
      </c>
      <c r="T223" s="32" t="str">
        <f t="shared" si="18"/>
        <v/>
      </c>
      <c r="U223" s="35"/>
      <c r="V223" s="35"/>
      <c r="W223" s="35"/>
      <c r="X223" s="35"/>
      <c r="Y223" s="32" t="str">
        <f t="shared" si="19"/>
        <v/>
      </c>
      <c r="Z223" s="35"/>
      <c r="AA223" s="35"/>
      <c r="AB223" s="35"/>
      <c r="AC223" s="35"/>
      <c r="AD223" s="35"/>
      <c r="AE223" s="35"/>
      <c r="AF223" s="35"/>
      <c r="AG223" s="15" t="s">
        <v>466</v>
      </c>
      <c r="AH223" s="39"/>
      <c r="AI223" s="39"/>
      <c r="AM223" s="69"/>
    </row>
    <row r="224" spans="1:39" ht="22.8" x14ac:dyDescent="0.3">
      <c r="A224" s="30">
        <v>3688</v>
      </c>
      <c r="B224" s="9"/>
      <c r="C224" s="36"/>
      <c r="D224" s="9"/>
      <c r="E224" s="9" t="s">
        <v>803</v>
      </c>
      <c r="F224" s="30" t="s">
        <v>313</v>
      </c>
      <c r="G224" s="31" t="s">
        <v>315</v>
      </c>
      <c r="H224" s="31" t="s">
        <v>316</v>
      </c>
      <c r="I224" s="31" t="s">
        <v>315</v>
      </c>
      <c r="J224" s="31" t="s">
        <v>315</v>
      </c>
      <c r="K224" s="31" t="s">
        <v>315</v>
      </c>
      <c r="L224" s="32" t="str">
        <f t="shared" si="15"/>
        <v>EXCLUDE</v>
      </c>
      <c r="M224" s="32" t="str">
        <f t="shared" si="16"/>
        <v>Digital Twin not core / buzzword</v>
      </c>
      <c r="N224" s="33"/>
      <c r="O224" s="33"/>
      <c r="P224" s="34"/>
      <c r="Q224" s="34"/>
      <c r="R224" s="34"/>
      <c r="S224" s="32" t="str">
        <f t="shared" si="17"/>
        <v/>
      </c>
      <c r="T224" s="32" t="str">
        <f t="shared" si="18"/>
        <v/>
      </c>
      <c r="U224" s="35"/>
      <c r="V224" s="35"/>
      <c r="W224" s="35"/>
      <c r="X224" s="35"/>
      <c r="Y224" s="32" t="str">
        <f t="shared" si="19"/>
        <v/>
      </c>
      <c r="Z224" s="35"/>
      <c r="AA224" s="35"/>
      <c r="AB224" s="35"/>
      <c r="AC224" s="35"/>
      <c r="AD224" s="35"/>
      <c r="AE224" s="35"/>
      <c r="AF224" s="35"/>
      <c r="AG224" s="15" t="s">
        <v>467</v>
      </c>
      <c r="AH224" s="39"/>
      <c r="AI224" s="39"/>
      <c r="AM224" s="69"/>
    </row>
    <row r="225" spans="1:39" ht="22.8" x14ac:dyDescent="0.3">
      <c r="A225" s="30">
        <v>3995</v>
      </c>
      <c r="B225" s="9"/>
      <c r="C225" s="36"/>
      <c r="D225" s="9"/>
      <c r="E225" s="9" t="s">
        <v>803</v>
      </c>
      <c r="F225" s="30" t="s">
        <v>314</v>
      </c>
      <c r="G225" s="31" t="s">
        <v>315</v>
      </c>
      <c r="H225" s="31" t="s">
        <v>316</v>
      </c>
      <c r="I225" s="31" t="s">
        <v>315</v>
      </c>
      <c r="J225" s="31" t="s">
        <v>315</v>
      </c>
      <c r="K225" s="31" t="s">
        <v>315</v>
      </c>
      <c r="L225" s="32" t="str">
        <f t="shared" si="15"/>
        <v>EXCLUDE</v>
      </c>
      <c r="M225" s="32" t="str">
        <f t="shared" si="16"/>
        <v>Digital Twin not core / buzzword</v>
      </c>
      <c r="N225" s="33"/>
      <c r="O225" s="33"/>
      <c r="P225" s="34"/>
      <c r="Q225" s="34"/>
      <c r="R225" s="34"/>
      <c r="S225" s="32" t="str">
        <f t="shared" si="17"/>
        <v/>
      </c>
      <c r="T225" s="32" t="str">
        <f t="shared" si="18"/>
        <v/>
      </c>
      <c r="U225" s="35"/>
      <c r="V225" s="35"/>
      <c r="W225" s="35"/>
      <c r="X225" s="35"/>
      <c r="Y225" s="32" t="str">
        <f t="shared" si="19"/>
        <v/>
      </c>
      <c r="Z225" s="35"/>
      <c r="AA225" s="35"/>
      <c r="AB225" s="35"/>
      <c r="AC225" s="35"/>
      <c r="AD225" s="35"/>
      <c r="AE225" s="35"/>
      <c r="AF225" s="35"/>
      <c r="AG225" s="15" t="s">
        <v>468</v>
      </c>
      <c r="AH225" s="39"/>
      <c r="AI225" s="39"/>
      <c r="AM225" s="69"/>
    </row>
    <row r="226" spans="1:39" ht="102.6" x14ac:dyDescent="0.3">
      <c r="A226" s="30">
        <v>3986</v>
      </c>
      <c r="B226" s="9" t="s">
        <v>238</v>
      </c>
      <c r="C226" s="36">
        <v>2024</v>
      </c>
      <c r="D226" s="9"/>
      <c r="E226" s="9" t="s">
        <v>804</v>
      </c>
      <c r="F226" s="30" t="s">
        <v>314</v>
      </c>
      <c r="G226" s="31" t="s">
        <v>315</v>
      </c>
      <c r="H226" s="31" t="s">
        <v>315</v>
      </c>
      <c r="I226" s="31" t="s">
        <v>315</v>
      </c>
      <c r="J226" s="31" t="s">
        <v>315</v>
      </c>
      <c r="K226" s="31" t="s">
        <v>315</v>
      </c>
      <c r="L226" s="32" t="str">
        <f t="shared" si="15"/>
        <v>INCLUDE</v>
      </c>
      <c r="M226" s="32" t="str">
        <f t="shared" si="16"/>
        <v/>
      </c>
      <c r="N226" s="33" t="s">
        <v>315</v>
      </c>
      <c r="O226" s="33" t="s">
        <v>315</v>
      </c>
      <c r="P226" s="34" t="s">
        <v>315</v>
      </c>
      <c r="Q226" s="34" t="s">
        <v>315</v>
      </c>
      <c r="R226" s="34" t="s">
        <v>315</v>
      </c>
      <c r="S226" s="32" t="str">
        <f t="shared" si="17"/>
        <v>INCLUDE</v>
      </c>
      <c r="T226" s="32" t="str">
        <f t="shared" si="18"/>
        <v/>
      </c>
      <c r="U226" s="35" t="s">
        <v>61</v>
      </c>
      <c r="V226" s="35">
        <v>0</v>
      </c>
      <c r="W226" s="35">
        <v>0</v>
      </c>
      <c r="X226" s="35">
        <v>1</v>
      </c>
      <c r="Y226" s="32" t="str">
        <f t="shared" si="19"/>
        <v>Single</v>
      </c>
      <c r="Z226" s="35" t="s">
        <v>9</v>
      </c>
      <c r="AA226" s="35" t="s">
        <v>53</v>
      </c>
      <c r="AB226" s="35" t="s">
        <v>90</v>
      </c>
      <c r="AC226" s="35" t="s">
        <v>64</v>
      </c>
      <c r="AD226" s="35" t="s">
        <v>72</v>
      </c>
      <c r="AE226" s="35">
        <v>4</v>
      </c>
      <c r="AF226" s="35" t="s">
        <v>86</v>
      </c>
      <c r="AG226" s="15" t="s">
        <v>1043</v>
      </c>
      <c r="AH226" s="39" t="s">
        <v>1316</v>
      </c>
      <c r="AI226" s="39" t="s">
        <v>1317</v>
      </c>
      <c r="AJ226" t="s">
        <v>1494</v>
      </c>
      <c r="AK226" t="s">
        <v>1583</v>
      </c>
      <c r="AL226" t="s">
        <v>1499</v>
      </c>
      <c r="AM226" s="69" t="s">
        <v>1569</v>
      </c>
    </row>
    <row r="227" spans="1:39" ht="79.8" x14ac:dyDescent="0.3">
      <c r="A227" s="30">
        <v>3965</v>
      </c>
      <c r="B227" s="9" t="s">
        <v>239</v>
      </c>
      <c r="C227" s="36">
        <v>2025</v>
      </c>
      <c r="D227" s="9"/>
      <c r="E227" s="9" t="s">
        <v>805</v>
      </c>
      <c r="F227" s="30" t="s">
        <v>314</v>
      </c>
      <c r="G227" s="31" t="s">
        <v>315</v>
      </c>
      <c r="H227" s="31" t="s">
        <v>315</v>
      </c>
      <c r="I227" s="31" t="s">
        <v>315</v>
      </c>
      <c r="J227" s="31" t="s">
        <v>315</v>
      </c>
      <c r="K227" s="31" t="s">
        <v>315</v>
      </c>
      <c r="L227" s="32" t="str">
        <f t="shared" si="15"/>
        <v>INCLUDE</v>
      </c>
      <c r="M227" s="32" t="str">
        <f t="shared" si="16"/>
        <v/>
      </c>
      <c r="N227" s="33" t="s">
        <v>315</v>
      </c>
      <c r="O227" s="33" t="s">
        <v>315</v>
      </c>
      <c r="P227" s="34" t="s">
        <v>315</v>
      </c>
      <c r="Q227" s="34" t="s">
        <v>315</v>
      </c>
      <c r="R227" s="34" t="s">
        <v>315</v>
      </c>
      <c r="S227" s="32" t="str">
        <f t="shared" si="17"/>
        <v>INCLUDE</v>
      </c>
      <c r="T227" s="32" t="str">
        <f t="shared" si="18"/>
        <v/>
      </c>
      <c r="U227" s="35" t="s">
        <v>52</v>
      </c>
      <c r="V227" s="35">
        <v>0</v>
      </c>
      <c r="W227" s="35">
        <v>0</v>
      </c>
      <c r="X227" s="35">
        <v>1</v>
      </c>
      <c r="Y227" s="32" t="str">
        <f t="shared" si="19"/>
        <v>Single</v>
      </c>
      <c r="Z227" s="35" t="s">
        <v>9</v>
      </c>
      <c r="AA227" s="35" t="s">
        <v>53</v>
      </c>
      <c r="AB227" s="35" t="s">
        <v>92</v>
      </c>
      <c r="AC227" s="35" t="s">
        <v>64</v>
      </c>
      <c r="AD227" s="35" t="s">
        <v>72</v>
      </c>
      <c r="AE227" s="35">
        <v>4</v>
      </c>
      <c r="AF227" s="35" t="s">
        <v>73</v>
      </c>
      <c r="AG227" s="15" t="s">
        <v>1044</v>
      </c>
      <c r="AH227" s="39" t="s">
        <v>1318</v>
      </c>
      <c r="AI227" s="39" t="s">
        <v>1319</v>
      </c>
      <c r="AJ227" t="s">
        <v>1494</v>
      </c>
      <c r="AK227" t="s">
        <v>1584</v>
      </c>
      <c r="AL227" t="s">
        <v>1499</v>
      </c>
      <c r="AM227" s="69" t="s">
        <v>1569</v>
      </c>
    </row>
    <row r="228" spans="1:39" ht="22.8" x14ac:dyDescent="0.3">
      <c r="A228" s="30">
        <v>3805</v>
      </c>
      <c r="B228" s="9"/>
      <c r="C228" s="36"/>
      <c r="D228" s="9"/>
      <c r="E228" s="9" t="s">
        <v>806</v>
      </c>
      <c r="F228" s="30" t="s">
        <v>313</v>
      </c>
      <c r="G228" s="31" t="s">
        <v>316</v>
      </c>
      <c r="H228" s="31" t="s">
        <v>315</v>
      </c>
      <c r="I228" s="31" t="s">
        <v>316</v>
      </c>
      <c r="J228" s="31" t="s">
        <v>315</v>
      </c>
      <c r="K228" s="31" t="s">
        <v>315</v>
      </c>
      <c r="L228" s="32" t="str">
        <f t="shared" si="15"/>
        <v>EXCLUDE</v>
      </c>
      <c r="M228" s="32" t="str">
        <f t="shared" si="16"/>
        <v>Wrong domain (non-AECO)</v>
      </c>
      <c r="N228" s="33"/>
      <c r="O228" s="33"/>
      <c r="P228" s="34"/>
      <c r="Q228" s="34"/>
      <c r="R228" s="34"/>
      <c r="S228" s="32" t="str">
        <f t="shared" si="17"/>
        <v/>
      </c>
      <c r="T228" s="32" t="str">
        <f t="shared" si="18"/>
        <v/>
      </c>
      <c r="U228" s="35"/>
      <c r="V228" s="35"/>
      <c r="W228" s="35"/>
      <c r="X228" s="35"/>
      <c r="Y228" s="32" t="str">
        <f t="shared" si="19"/>
        <v/>
      </c>
      <c r="Z228" s="35"/>
      <c r="AA228" s="35"/>
      <c r="AB228" s="35"/>
      <c r="AC228" s="35"/>
      <c r="AD228" s="35"/>
      <c r="AE228" s="35"/>
      <c r="AF228" s="35"/>
      <c r="AG228" s="15" t="s">
        <v>469</v>
      </c>
      <c r="AH228" s="39"/>
      <c r="AI228" s="39"/>
      <c r="AM228" s="69"/>
    </row>
    <row r="229" spans="1:39" ht="22.8" x14ac:dyDescent="0.3">
      <c r="A229" s="30">
        <v>3715</v>
      </c>
      <c r="B229" s="9"/>
      <c r="C229" s="36"/>
      <c r="D229" s="9"/>
      <c r="E229" s="9" t="s">
        <v>807</v>
      </c>
      <c r="F229" s="30" t="s">
        <v>313</v>
      </c>
      <c r="G229" s="31" t="s">
        <v>316</v>
      </c>
      <c r="H229" s="31" t="s">
        <v>315</v>
      </c>
      <c r="I229" s="31" t="s">
        <v>315</v>
      </c>
      <c r="J229" s="31" t="s">
        <v>315</v>
      </c>
      <c r="K229" s="31" t="s">
        <v>315</v>
      </c>
      <c r="L229" s="32" t="str">
        <f t="shared" si="15"/>
        <v>EXCLUDE</v>
      </c>
      <c r="M229" s="32" t="str">
        <f t="shared" si="16"/>
        <v>Wrong domain (non-AECO)</v>
      </c>
      <c r="N229" s="33"/>
      <c r="O229" s="33"/>
      <c r="P229" s="34"/>
      <c r="Q229" s="34"/>
      <c r="R229" s="34"/>
      <c r="S229" s="32" t="str">
        <f t="shared" si="17"/>
        <v/>
      </c>
      <c r="T229" s="32" t="str">
        <f t="shared" si="18"/>
        <v/>
      </c>
      <c r="U229" s="35"/>
      <c r="V229" s="35"/>
      <c r="W229" s="35"/>
      <c r="X229" s="35"/>
      <c r="Y229" s="32" t="str">
        <f t="shared" si="19"/>
        <v/>
      </c>
      <c r="Z229" s="35"/>
      <c r="AA229" s="35"/>
      <c r="AB229" s="35"/>
      <c r="AC229" s="35"/>
      <c r="AD229" s="35"/>
      <c r="AE229" s="35"/>
      <c r="AF229" s="35"/>
      <c r="AG229" s="15" t="s">
        <v>470</v>
      </c>
      <c r="AH229" s="39"/>
      <c r="AI229" s="39"/>
      <c r="AM229" s="69"/>
    </row>
    <row r="230" spans="1:39" ht="22.8" x14ac:dyDescent="0.3">
      <c r="A230" s="30">
        <v>3785</v>
      </c>
      <c r="B230" s="9"/>
      <c r="C230" s="36"/>
      <c r="D230" s="9"/>
      <c r="E230" s="9" t="s">
        <v>808</v>
      </c>
      <c r="F230" s="30" t="s">
        <v>313</v>
      </c>
      <c r="G230" s="31" t="s">
        <v>316</v>
      </c>
      <c r="H230" s="31" t="s">
        <v>315</v>
      </c>
      <c r="I230" s="31" t="s">
        <v>315</v>
      </c>
      <c r="J230" s="31" t="s">
        <v>315</v>
      </c>
      <c r="K230" s="31" t="s">
        <v>315</v>
      </c>
      <c r="L230" s="32" t="str">
        <f t="shared" si="15"/>
        <v>EXCLUDE</v>
      </c>
      <c r="M230" s="32" t="str">
        <f t="shared" si="16"/>
        <v>Wrong domain (non-AECO)</v>
      </c>
      <c r="N230" s="33"/>
      <c r="O230" s="33"/>
      <c r="P230" s="34"/>
      <c r="Q230" s="34"/>
      <c r="R230" s="34"/>
      <c r="S230" s="32" t="str">
        <f t="shared" si="17"/>
        <v/>
      </c>
      <c r="T230" s="32" t="str">
        <f t="shared" si="18"/>
        <v/>
      </c>
      <c r="U230" s="35"/>
      <c r="V230" s="35"/>
      <c r="W230" s="35"/>
      <c r="X230" s="35"/>
      <c r="Y230" s="32" t="str">
        <f t="shared" si="19"/>
        <v/>
      </c>
      <c r="Z230" s="35"/>
      <c r="AA230" s="35"/>
      <c r="AB230" s="35"/>
      <c r="AC230" s="35"/>
      <c r="AD230" s="35"/>
      <c r="AE230" s="35"/>
      <c r="AF230" s="35"/>
      <c r="AG230" s="15" t="s">
        <v>471</v>
      </c>
      <c r="AH230" s="39"/>
      <c r="AI230" s="39"/>
      <c r="AM230" s="69"/>
    </row>
    <row r="231" spans="1:39" ht="22.8" x14ac:dyDescent="0.3">
      <c r="A231" s="30">
        <v>3574</v>
      </c>
      <c r="B231" s="9"/>
      <c r="C231" s="36"/>
      <c r="D231" s="9"/>
      <c r="E231" s="9" t="s">
        <v>809</v>
      </c>
      <c r="F231" s="30" t="s">
        <v>313</v>
      </c>
      <c r="G231" s="31" t="s">
        <v>315</v>
      </c>
      <c r="H231" s="31" t="s">
        <v>316</v>
      </c>
      <c r="I231" s="31" t="s">
        <v>315</v>
      </c>
      <c r="J231" s="31" t="s">
        <v>315</v>
      </c>
      <c r="K231" s="31" t="s">
        <v>315</v>
      </c>
      <c r="L231" s="32" t="str">
        <f t="shared" si="15"/>
        <v>EXCLUDE</v>
      </c>
      <c r="M231" s="32" t="str">
        <f t="shared" si="16"/>
        <v>Digital Twin not core / buzzword</v>
      </c>
      <c r="N231" s="33"/>
      <c r="O231" s="33"/>
      <c r="P231" s="34"/>
      <c r="Q231" s="34"/>
      <c r="R231" s="34"/>
      <c r="S231" s="32" t="str">
        <f t="shared" si="17"/>
        <v/>
      </c>
      <c r="T231" s="32" t="str">
        <f t="shared" si="18"/>
        <v/>
      </c>
      <c r="U231" s="35"/>
      <c r="V231" s="35"/>
      <c r="W231" s="35"/>
      <c r="X231" s="35"/>
      <c r="Y231" s="32" t="str">
        <f t="shared" si="19"/>
        <v/>
      </c>
      <c r="Z231" s="35"/>
      <c r="AA231" s="35"/>
      <c r="AB231" s="35"/>
      <c r="AC231" s="35"/>
      <c r="AD231" s="35"/>
      <c r="AE231" s="35"/>
      <c r="AF231" s="35"/>
      <c r="AG231" s="15" t="s">
        <v>472</v>
      </c>
      <c r="AH231" s="39"/>
      <c r="AI231" s="39"/>
      <c r="AM231" s="69"/>
    </row>
    <row r="232" spans="1:39" ht="22.8" x14ac:dyDescent="0.3">
      <c r="A232" s="30">
        <v>3496</v>
      </c>
      <c r="B232" s="9"/>
      <c r="C232" s="36"/>
      <c r="D232" s="9"/>
      <c r="E232" s="9" t="s">
        <v>810</v>
      </c>
      <c r="F232" s="30" t="s">
        <v>313</v>
      </c>
      <c r="G232" s="31" t="s">
        <v>316</v>
      </c>
      <c r="H232" s="31" t="s">
        <v>315</v>
      </c>
      <c r="I232" s="31" t="s">
        <v>316</v>
      </c>
      <c r="J232" s="31" t="s">
        <v>315</v>
      </c>
      <c r="K232" s="31" t="s">
        <v>315</v>
      </c>
      <c r="L232" s="32" t="str">
        <f t="shared" si="15"/>
        <v>EXCLUDE</v>
      </c>
      <c r="M232" s="32" t="str">
        <f t="shared" si="16"/>
        <v>Wrong domain (non-AECO)</v>
      </c>
      <c r="N232" s="33"/>
      <c r="O232" s="33"/>
      <c r="P232" s="34"/>
      <c r="Q232" s="34"/>
      <c r="R232" s="34"/>
      <c r="S232" s="32" t="str">
        <f t="shared" si="17"/>
        <v/>
      </c>
      <c r="T232" s="32" t="str">
        <f t="shared" si="18"/>
        <v/>
      </c>
      <c r="U232" s="35"/>
      <c r="V232" s="35"/>
      <c r="W232" s="35"/>
      <c r="X232" s="35"/>
      <c r="Y232" s="32" t="str">
        <f t="shared" si="19"/>
        <v/>
      </c>
      <c r="Z232" s="35"/>
      <c r="AA232" s="35"/>
      <c r="AB232" s="35"/>
      <c r="AC232" s="35"/>
      <c r="AD232" s="35"/>
      <c r="AE232" s="35"/>
      <c r="AF232" s="35"/>
      <c r="AG232" s="15" t="s">
        <v>473</v>
      </c>
      <c r="AH232" s="39"/>
      <c r="AI232" s="39"/>
      <c r="AM232" s="69"/>
    </row>
    <row r="233" spans="1:39" ht="22.8" x14ac:dyDescent="0.3">
      <c r="A233" s="30">
        <v>3799</v>
      </c>
      <c r="B233" s="9"/>
      <c r="C233" s="36"/>
      <c r="D233" s="9"/>
      <c r="E233" s="9" t="s">
        <v>811</v>
      </c>
      <c r="F233" s="30" t="s">
        <v>313</v>
      </c>
      <c r="G233" s="31" t="s">
        <v>316</v>
      </c>
      <c r="H233" s="31" t="s">
        <v>315</v>
      </c>
      <c r="I233" s="31" t="s">
        <v>315</v>
      </c>
      <c r="J233" s="31" t="s">
        <v>315</v>
      </c>
      <c r="K233" s="31" t="s">
        <v>315</v>
      </c>
      <c r="L233" s="32" t="str">
        <f t="shared" si="15"/>
        <v>EXCLUDE</v>
      </c>
      <c r="M233" s="32" t="str">
        <f t="shared" si="16"/>
        <v>Wrong domain (non-AECO)</v>
      </c>
      <c r="N233" s="33"/>
      <c r="O233" s="33"/>
      <c r="P233" s="34"/>
      <c r="Q233" s="34"/>
      <c r="R233" s="34"/>
      <c r="S233" s="32" t="str">
        <f t="shared" si="17"/>
        <v/>
      </c>
      <c r="T233" s="32" t="str">
        <f t="shared" si="18"/>
        <v/>
      </c>
      <c r="U233" s="35"/>
      <c r="V233" s="35"/>
      <c r="W233" s="35"/>
      <c r="X233" s="35"/>
      <c r="Y233" s="32" t="str">
        <f t="shared" si="19"/>
        <v/>
      </c>
      <c r="Z233" s="35"/>
      <c r="AA233" s="35"/>
      <c r="AB233" s="35"/>
      <c r="AC233" s="35"/>
      <c r="AD233" s="35"/>
      <c r="AE233" s="35"/>
      <c r="AF233" s="35"/>
      <c r="AG233" s="15" t="s">
        <v>474</v>
      </c>
      <c r="AH233" s="39"/>
      <c r="AI233" s="39"/>
      <c r="AM233" s="69"/>
    </row>
    <row r="234" spans="1:39" ht="22.8" x14ac:dyDescent="0.3">
      <c r="A234" s="30">
        <v>3847</v>
      </c>
      <c r="B234" s="9"/>
      <c r="C234" s="36"/>
      <c r="D234" s="9"/>
      <c r="E234" s="9" t="s">
        <v>812</v>
      </c>
      <c r="F234" s="30" t="s">
        <v>313</v>
      </c>
      <c r="G234" s="31" t="s">
        <v>316</v>
      </c>
      <c r="H234" s="31" t="s">
        <v>315</v>
      </c>
      <c r="I234" s="31" t="s">
        <v>316</v>
      </c>
      <c r="J234" s="31" t="s">
        <v>315</v>
      </c>
      <c r="K234" s="31" t="s">
        <v>315</v>
      </c>
      <c r="L234" s="32" t="str">
        <f t="shared" si="15"/>
        <v>EXCLUDE</v>
      </c>
      <c r="M234" s="32" t="str">
        <f t="shared" si="16"/>
        <v>Wrong domain (non-AECO)</v>
      </c>
      <c r="N234" s="33"/>
      <c r="O234" s="33"/>
      <c r="P234" s="34"/>
      <c r="Q234" s="34"/>
      <c r="R234" s="34"/>
      <c r="S234" s="32" t="str">
        <f t="shared" si="17"/>
        <v/>
      </c>
      <c r="T234" s="32" t="str">
        <f t="shared" si="18"/>
        <v/>
      </c>
      <c r="U234" s="35"/>
      <c r="V234" s="35"/>
      <c r="W234" s="35"/>
      <c r="X234" s="35"/>
      <c r="Y234" s="32" t="str">
        <f t="shared" si="19"/>
        <v/>
      </c>
      <c r="Z234" s="35"/>
      <c r="AA234" s="35"/>
      <c r="AB234" s="35"/>
      <c r="AC234" s="35"/>
      <c r="AD234" s="35"/>
      <c r="AE234" s="35"/>
      <c r="AF234" s="35"/>
      <c r="AG234" s="15" t="s">
        <v>475</v>
      </c>
      <c r="AH234" s="39"/>
      <c r="AI234" s="39"/>
      <c r="AM234" s="69"/>
    </row>
    <row r="235" spans="1:39" ht="22.8" x14ac:dyDescent="0.3">
      <c r="A235" s="30">
        <v>3862</v>
      </c>
      <c r="B235" s="9"/>
      <c r="C235" s="36"/>
      <c r="D235" s="9"/>
      <c r="E235" s="9" t="s">
        <v>813</v>
      </c>
      <c r="F235" s="30" t="s">
        <v>313</v>
      </c>
      <c r="G235" s="31" t="s">
        <v>315</v>
      </c>
      <c r="H235" s="31" t="s">
        <v>316</v>
      </c>
      <c r="I235" s="31" t="s">
        <v>315</v>
      </c>
      <c r="J235" s="31" t="s">
        <v>315</v>
      </c>
      <c r="K235" s="31" t="s">
        <v>315</v>
      </c>
      <c r="L235" s="32" t="str">
        <f t="shared" si="15"/>
        <v>EXCLUDE</v>
      </c>
      <c r="M235" s="32" t="str">
        <f t="shared" si="16"/>
        <v>Digital Twin not core / buzzword</v>
      </c>
      <c r="N235" s="33"/>
      <c r="O235" s="33"/>
      <c r="P235" s="34"/>
      <c r="Q235" s="34"/>
      <c r="R235" s="34"/>
      <c r="S235" s="32" t="str">
        <f t="shared" si="17"/>
        <v/>
      </c>
      <c r="T235" s="32" t="str">
        <f t="shared" si="18"/>
        <v/>
      </c>
      <c r="U235" s="35"/>
      <c r="V235" s="35"/>
      <c r="W235" s="35"/>
      <c r="X235" s="35"/>
      <c r="Y235" s="32" t="str">
        <f t="shared" si="19"/>
        <v/>
      </c>
      <c r="Z235" s="35"/>
      <c r="AA235" s="35"/>
      <c r="AB235" s="35"/>
      <c r="AC235" s="35"/>
      <c r="AD235" s="35"/>
      <c r="AE235" s="35"/>
      <c r="AF235" s="35"/>
      <c r="AG235" s="15" t="s">
        <v>476</v>
      </c>
      <c r="AH235" s="39"/>
      <c r="AI235" s="39"/>
      <c r="AM235" s="69"/>
    </row>
    <row r="236" spans="1:39" ht="102.6" x14ac:dyDescent="0.3">
      <c r="A236" s="30">
        <v>3720</v>
      </c>
      <c r="B236" s="9" t="s">
        <v>240</v>
      </c>
      <c r="C236" s="36">
        <v>2022</v>
      </c>
      <c r="D236" s="9"/>
      <c r="E236" s="9" t="s">
        <v>814</v>
      </c>
      <c r="F236" s="30" t="s">
        <v>313</v>
      </c>
      <c r="G236" s="31" t="s">
        <v>315</v>
      </c>
      <c r="H236" s="31" t="s">
        <v>315</v>
      </c>
      <c r="I236" s="31" t="s">
        <v>315</v>
      </c>
      <c r="J236" s="31" t="s">
        <v>315</v>
      </c>
      <c r="K236" s="31" t="s">
        <v>315</v>
      </c>
      <c r="L236" s="32" t="str">
        <f t="shared" si="15"/>
        <v>INCLUDE</v>
      </c>
      <c r="M236" s="32" t="str">
        <f t="shared" si="16"/>
        <v/>
      </c>
      <c r="N236" s="33" t="s">
        <v>49</v>
      </c>
      <c r="O236" s="33" t="s">
        <v>49</v>
      </c>
      <c r="P236" s="34" t="s">
        <v>49</v>
      </c>
      <c r="Q236" s="34" t="s">
        <v>49</v>
      </c>
      <c r="R236" s="34" t="s">
        <v>49</v>
      </c>
      <c r="S236" s="32" t="str">
        <f t="shared" si="17"/>
        <v>INCLUDE</v>
      </c>
      <c r="T236" s="32" t="str">
        <f t="shared" si="18"/>
        <v/>
      </c>
      <c r="U236" s="35" t="s">
        <v>52</v>
      </c>
      <c r="V236" s="35">
        <v>0</v>
      </c>
      <c r="W236" s="35">
        <v>0</v>
      </c>
      <c r="X236" s="35">
        <v>1</v>
      </c>
      <c r="Y236" s="32" t="str">
        <f t="shared" si="19"/>
        <v>Single</v>
      </c>
      <c r="Z236" s="35" t="s">
        <v>9</v>
      </c>
      <c r="AA236" s="35" t="s">
        <v>62</v>
      </c>
      <c r="AB236" s="35" t="s">
        <v>91</v>
      </c>
      <c r="AC236" s="35" t="s">
        <v>64</v>
      </c>
      <c r="AD236" s="35" t="s">
        <v>79</v>
      </c>
      <c r="AE236" s="35">
        <v>3</v>
      </c>
      <c r="AF236" s="35" t="s">
        <v>57</v>
      </c>
      <c r="AG236" s="15" t="s">
        <v>1130</v>
      </c>
      <c r="AH236" s="39" t="s">
        <v>1320</v>
      </c>
      <c r="AI236" s="39" t="s">
        <v>1321</v>
      </c>
      <c r="AJ236" t="s">
        <v>1496</v>
      </c>
      <c r="AK236" t="s">
        <v>1585</v>
      </c>
      <c r="AL236" t="s">
        <v>1499</v>
      </c>
      <c r="AM236" s="69"/>
    </row>
    <row r="237" spans="1:39" ht="22.8" x14ac:dyDescent="0.3">
      <c r="A237" s="30">
        <v>3812</v>
      </c>
      <c r="B237" s="9"/>
      <c r="C237" s="36"/>
      <c r="D237" s="9"/>
      <c r="E237" s="9" t="s">
        <v>815</v>
      </c>
      <c r="F237" s="30" t="s">
        <v>313</v>
      </c>
      <c r="G237" s="31" t="s">
        <v>315</v>
      </c>
      <c r="H237" s="31" t="s">
        <v>315</v>
      </c>
      <c r="I237" s="31" t="s">
        <v>316</v>
      </c>
      <c r="J237" s="31" t="s">
        <v>315</v>
      </c>
      <c r="K237" s="31" t="s">
        <v>315</v>
      </c>
      <c r="L237" s="32" t="str">
        <f t="shared" si="15"/>
        <v>EXCLUDE</v>
      </c>
      <c r="M237" s="32" t="str">
        <f t="shared" si="16"/>
        <v>No Design for Safety/Quality/PtD</v>
      </c>
      <c r="N237" s="33"/>
      <c r="O237" s="33"/>
      <c r="P237" s="34"/>
      <c r="Q237" s="34"/>
      <c r="R237" s="34"/>
      <c r="S237" s="32" t="str">
        <f t="shared" si="17"/>
        <v/>
      </c>
      <c r="T237" s="32" t="str">
        <f t="shared" si="18"/>
        <v/>
      </c>
      <c r="U237" s="35"/>
      <c r="V237" s="35"/>
      <c r="W237" s="35"/>
      <c r="X237" s="35"/>
      <c r="Y237" s="32" t="str">
        <f t="shared" si="19"/>
        <v/>
      </c>
      <c r="Z237" s="35"/>
      <c r="AA237" s="35"/>
      <c r="AB237" s="35"/>
      <c r="AC237" s="35"/>
      <c r="AD237" s="35"/>
      <c r="AE237" s="35"/>
      <c r="AF237" s="35"/>
      <c r="AG237" s="15" t="s">
        <v>477</v>
      </c>
      <c r="AH237" s="39"/>
      <c r="AI237" s="39"/>
      <c r="AM237" s="69"/>
    </row>
    <row r="238" spans="1:39" ht="22.8" x14ac:dyDescent="0.3">
      <c r="A238" s="30">
        <v>3622</v>
      </c>
      <c r="B238" s="9"/>
      <c r="C238" s="36"/>
      <c r="D238" s="9"/>
      <c r="E238" s="9" t="s">
        <v>816</v>
      </c>
      <c r="F238" s="30" t="s">
        <v>313</v>
      </c>
      <c r="G238" s="31" t="s">
        <v>315</v>
      </c>
      <c r="H238" s="31" t="s">
        <v>315</v>
      </c>
      <c r="I238" s="31" t="s">
        <v>315</v>
      </c>
      <c r="J238" s="31" t="s">
        <v>315</v>
      </c>
      <c r="K238" s="31" t="s">
        <v>316</v>
      </c>
      <c r="L238" s="32" t="str">
        <f t="shared" si="15"/>
        <v>EXCLUDE</v>
      </c>
      <c r="M238" s="32" t="str">
        <f t="shared" si="16"/>
        <v>Non-English</v>
      </c>
      <c r="N238" s="33"/>
      <c r="O238" s="33"/>
      <c r="P238" s="34"/>
      <c r="Q238" s="34"/>
      <c r="R238" s="34"/>
      <c r="S238" s="32" t="str">
        <f t="shared" si="17"/>
        <v/>
      </c>
      <c r="T238" s="32" t="str">
        <f t="shared" si="18"/>
        <v/>
      </c>
      <c r="U238" s="35"/>
      <c r="V238" s="35"/>
      <c r="W238" s="35"/>
      <c r="X238" s="35"/>
      <c r="Y238" s="32" t="str">
        <f t="shared" si="19"/>
        <v/>
      </c>
      <c r="Z238" s="35"/>
      <c r="AA238" s="35"/>
      <c r="AB238" s="35"/>
      <c r="AC238" s="35"/>
      <c r="AD238" s="35"/>
      <c r="AE238" s="35"/>
      <c r="AF238" s="35"/>
      <c r="AG238" s="15" t="s">
        <v>478</v>
      </c>
      <c r="AH238" s="39"/>
      <c r="AI238" s="39"/>
      <c r="AM238" s="69"/>
    </row>
    <row r="239" spans="1:39" ht="102.6" x14ac:dyDescent="0.3">
      <c r="A239" s="30">
        <v>4004</v>
      </c>
      <c r="B239" s="9" t="s">
        <v>241</v>
      </c>
      <c r="C239" s="36">
        <v>2026</v>
      </c>
      <c r="D239" s="9"/>
      <c r="E239" s="9" t="s">
        <v>817</v>
      </c>
      <c r="F239" s="30" t="s">
        <v>314</v>
      </c>
      <c r="G239" s="31" t="s">
        <v>315</v>
      </c>
      <c r="H239" s="31" t="s">
        <v>315</v>
      </c>
      <c r="I239" s="31" t="s">
        <v>315</v>
      </c>
      <c r="J239" s="31" t="s">
        <v>315</v>
      </c>
      <c r="K239" s="31" t="s">
        <v>315</v>
      </c>
      <c r="L239" s="32" t="str">
        <f t="shared" si="15"/>
        <v>INCLUDE</v>
      </c>
      <c r="M239" s="32" t="str">
        <f t="shared" si="16"/>
        <v/>
      </c>
      <c r="N239" s="33" t="s">
        <v>315</v>
      </c>
      <c r="O239" s="33" t="s">
        <v>315</v>
      </c>
      <c r="P239" s="34" t="s">
        <v>315</v>
      </c>
      <c r="Q239" s="34" t="s">
        <v>315</v>
      </c>
      <c r="R239" s="34" t="s">
        <v>315</v>
      </c>
      <c r="S239" s="32" t="str">
        <f t="shared" si="17"/>
        <v>INCLUDE</v>
      </c>
      <c r="T239" s="32" t="str">
        <f t="shared" si="18"/>
        <v/>
      </c>
      <c r="U239" s="35" t="s">
        <v>61</v>
      </c>
      <c r="V239" s="35">
        <v>0</v>
      </c>
      <c r="W239" s="35">
        <v>1</v>
      </c>
      <c r="X239" s="35">
        <v>0</v>
      </c>
      <c r="Y239" s="32" t="str">
        <f t="shared" si="19"/>
        <v>Single</v>
      </c>
      <c r="Z239" s="35" t="s">
        <v>9</v>
      </c>
      <c r="AA239" s="35" t="s">
        <v>53</v>
      </c>
      <c r="AB239" s="35" t="s">
        <v>92</v>
      </c>
      <c r="AC239" s="35" t="s">
        <v>64</v>
      </c>
      <c r="AD239" s="35" t="s">
        <v>72</v>
      </c>
      <c r="AE239" s="35">
        <v>4</v>
      </c>
      <c r="AF239" s="35" t="s">
        <v>84</v>
      </c>
      <c r="AG239" s="15" t="s">
        <v>1045</v>
      </c>
      <c r="AH239" s="39" t="s">
        <v>1322</v>
      </c>
      <c r="AI239" s="39" t="s">
        <v>1323</v>
      </c>
      <c r="AJ239" t="s">
        <v>1497</v>
      </c>
      <c r="AK239" t="s">
        <v>1586</v>
      </c>
      <c r="AL239" t="s">
        <v>1499</v>
      </c>
      <c r="AM239" s="69"/>
    </row>
    <row r="240" spans="1:39" ht="102.6" x14ac:dyDescent="0.3">
      <c r="A240" s="30">
        <v>3944</v>
      </c>
      <c r="B240" s="9" t="s">
        <v>242</v>
      </c>
      <c r="C240" s="36">
        <v>2025</v>
      </c>
      <c r="D240" s="9"/>
      <c r="E240" s="9" t="s">
        <v>818</v>
      </c>
      <c r="F240" s="30" t="s">
        <v>314</v>
      </c>
      <c r="G240" s="31" t="s">
        <v>315</v>
      </c>
      <c r="H240" s="31" t="s">
        <v>315</v>
      </c>
      <c r="I240" s="31" t="s">
        <v>315</v>
      </c>
      <c r="J240" s="31" t="s">
        <v>315</v>
      </c>
      <c r="K240" s="31" t="s">
        <v>315</v>
      </c>
      <c r="L240" s="32" t="str">
        <f t="shared" si="15"/>
        <v>INCLUDE</v>
      </c>
      <c r="M240" s="32" t="str">
        <f t="shared" si="16"/>
        <v/>
      </c>
      <c r="N240" s="33" t="s">
        <v>315</v>
      </c>
      <c r="O240" s="33" t="s">
        <v>315</v>
      </c>
      <c r="P240" s="34" t="s">
        <v>315</v>
      </c>
      <c r="Q240" s="34" t="s">
        <v>315</v>
      </c>
      <c r="R240" s="34" t="s">
        <v>315</v>
      </c>
      <c r="S240" s="32" t="str">
        <f t="shared" si="17"/>
        <v>INCLUDE</v>
      </c>
      <c r="T240" s="32" t="str">
        <f t="shared" si="18"/>
        <v/>
      </c>
      <c r="U240" s="35" t="s">
        <v>61</v>
      </c>
      <c r="V240" s="35">
        <v>0</v>
      </c>
      <c r="W240" s="35">
        <v>1</v>
      </c>
      <c r="X240" s="35">
        <v>0</v>
      </c>
      <c r="Y240" s="32" t="str">
        <f t="shared" si="19"/>
        <v>Single</v>
      </c>
      <c r="Z240" s="35" t="s">
        <v>9</v>
      </c>
      <c r="AA240" s="35" t="s">
        <v>70</v>
      </c>
      <c r="AB240" s="35" t="s">
        <v>92</v>
      </c>
      <c r="AC240" s="35" t="s">
        <v>64</v>
      </c>
      <c r="AD240" s="35" t="s">
        <v>72</v>
      </c>
      <c r="AE240" s="35">
        <v>4</v>
      </c>
      <c r="AF240" s="35" t="s">
        <v>84</v>
      </c>
      <c r="AG240" s="15" t="s">
        <v>1046</v>
      </c>
      <c r="AH240" s="39" t="s">
        <v>1324</v>
      </c>
      <c r="AI240" s="39" t="s">
        <v>1325</v>
      </c>
      <c r="AJ240" t="s">
        <v>1497</v>
      </c>
      <c r="AK240" t="s">
        <v>1587</v>
      </c>
      <c r="AL240" t="s">
        <v>1499</v>
      </c>
      <c r="AM240" s="69"/>
    </row>
    <row r="241" spans="1:39" ht="22.8" x14ac:dyDescent="0.3">
      <c r="A241" s="30">
        <v>4049</v>
      </c>
      <c r="B241" s="9"/>
      <c r="C241" s="36"/>
      <c r="D241" s="9"/>
      <c r="E241" s="9" t="s">
        <v>819</v>
      </c>
      <c r="F241" s="30" t="s">
        <v>314</v>
      </c>
      <c r="G241" s="31" t="s">
        <v>315</v>
      </c>
      <c r="H241" s="31" t="s">
        <v>315</v>
      </c>
      <c r="I241" s="31" t="s">
        <v>316</v>
      </c>
      <c r="J241" s="31" t="s">
        <v>315</v>
      </c>
      <c r="K241" s="31" t="s">
        <v>315</v>
      </c>
      <c r="L241" s="32" t="str">
        <f t="shared" si="15"/>
        <v>EXCLUDE</v>
      </c>
      <c r="M241" s="32" t="str">
        <f t="shared" si="16"/>
        <v>No Design for Safety/Quality/PtD</v>
      </c>
      <c r="N241" s="33"/>
      <c r="O241" s="33"/>
      <c r="P241" s="34"/>
      <c r="Q241" s="34"/>
      <c r="R241" s="34"/>
      <c r="S241" s="32" t="str">
        <f t="shared" si="17"/>
        <v/>
      </c>
      <c r="T241" s="32" t="str">
        <f t="shared" si="18"/>
        <v/>
      </c>
      <c r="U241" s="35"/>
      <c r="V241" s="35"/>
      <c r="W241" s="35"/>
      <c r="X241" s="35"/>
      <c r="Y241" s="32" t="str">
        <f t="shared" si="19"/>
        <v/>
      </c>
      <c r="Z241" s="35"/>
      <c r="AA241" s="35"/>
      <c r="AB241" s="35"/>
      <c r="AC241" s="35"/>
      <c r="AD241" s="35"/>
      <c r="AE241" s="35"/>
      <c r="AF241" s="35"/>
      <c r="AG241" s="15" t="s">
        <v>479</v>
      </c>
      <c r="AH241" s="39"/>
      <c r="AI241" s="39"/>
      <c r="AM241" s="69"/>
    </row>
    <row r="242" spans="1:39" ht="22.8" x14ac:dyDescent="0.3">
      <c r="A242" s="30">
        <v>4009</v>
      </c>
      <c r="B242" s="9"/>
      <c r="C242" s="36"/>
      <c r="D242" s="9"/>
      <c r="E242" s="9" t="s">
        <v>820</v>
      </c>
      <c r="F242" s="30" t="s">
        <v>314</v>
      </c>
      <c r="G242" s="31" t="s">
        <v>315</v>
      </c>
      <c r="H242" s="31" t="s">
        <v>315</v>
      </c>
      <c r="I242" s="31" t="s">
        <v>315</v>
      </c>
      <c r="J242" s="31" t="s">
        <v>315</v>
      </c>
      <c r="K242" s="31" t="s">
        <v>316</v>
      </c>
      <c r="L242" s="32" t="str">
        <f t="shared" si="15"/>
        <v>EXCLUDE</v>
      </c>
      <c r="M242" s="32" t="str">
        <f t="shared" si="16"/>
        <v>Non-English</v>
      </c>
      <c r="N242" s="33"/>
      <c r="O242" s="33"/>
      <c r="P242" s="34"/>
      <c r="Q242" s="34"/>
      <c r="R242" s="34"/>
      <c r="S242" s="32" t="str">
        <f t="shared" si="17"/>
        <v/>
      </c>
      <c r="T242" s="32" t="str">
        <f t="shared" si="18"/>
        <v/>
      </c>
      <c r="U242" s="35"/>
      <c r="V242" s="35"/>
      <c r="W242" s="35"/>
      <c r="X242" s="35"/>
      <c r="Y242" s="32" t="str">
        <f t="shared" si="19"/>
        <v/>
      </c>
      <c r="Z242" s="35"/>
      <c r="AA242" s="35"/>
      <c r="AB242" s="35"/>
      <c r="AC242" s="35"/>
      <c r="AD242" s="35"/>
      <c r="AE242" s="35"/>
      <c r="AF242" s="35"/>
      <c r="AG242" s="15" t="s">
        <v>480</v>
      </c>
      <c r="AH242" s="39"/>
      <c r="AI242" s="39"/>
      <c r="AM242" s="69"/>
    </row>
    <row r="243" spans="1:39" ht="22.8" x14ac:dyDescent="0.3">
      <c r="A243" s="30">
        <v>3890</v>
      </c>
      <c r="B243" s="9"/>
      <c r="C243" s="36"/>
      <c r="D243" s="9"/>
      <c r="E243" s="9" t="s">
        <v>821</v>
      </c>
      <c r="F243" s="30" t="s">
        <v>314</v>
      </c>
      <c r="G243" s="31" t="s">
        <v>315</v>
      </c>
      <c r="H243" s="31" t="s">
        <v>316</v>
      </c>
      <c r="I243" s="31" t="s">
        <v>315</v>
      </c>
      <c r="J243" s="31" t="s">
        <v>315</v>
      </c>
      <c r="K243" s="31" t="s">
        <v>315</v>
      </c>
      <c r="L243" s="32" t="str">
        <f t="shared" si="15"/>
        <v>EXCLUDE</v>
      </c>
      <c r="M243" s="32" t="str">
        <f t="shared" si="16"/>
        <v>Digital Twin not core / buzzword</v>
      </c>
      <c r="N243" s="33"/>
      <c r="O243" s="33"/>
      <c r="P243" s="34"/>
      <c r="Q243" s="34"/>
      <c r="R243" s="34"/>
      <c r="S243" s="32" t="str">
        <f t="shared" si="17"/>
        <v/>
      </c>
      <c r="T243" s="32" t="str">
        <f t="shared" si="18"/>
        <v/>
      </c>
      <c r="U243" s="35"/>
      <c r="V243" s="35"/>
      <c r="W243" s="35"/>
      <c r="X243" s="35"/>
      <c r="Y243" s="32" t="str">
        <f t="shared" si="19"/>
        <v/>
      </c>
      <c r="Z243" s="35"/>
      <c r="AA243" s="35"/>
      <c r="AB243" s="35"/>
      <c r="AC243" s="35"/>
      <c r="AD243" s="35"/>
      <c r="AE243" s="35"/>
      <c r="AF243" s="35"/>
      <c r="AG243" s="15" t="s">
        <v>481</v>
      </c>
      <c r="AH243" s="39"/>
      <c r="AI243" s="39"/>
      <c r="AM243" s="69"/>
    </row>
    <row r="244" spans="1:39" ht="22.8" x14ac:dyDescent="0.3">
      <c r="A244" s="30">
        <v>3600</v>
      </c>
      <c r="B244" s="9"/>
      <c r="C244" s="36"/>
      <c r="D244" s="9"/>
      <c r="E244" s="9" t="s">
        <v>822</v>
      </c>
      <c r="F244" s="30" t="s">
        <v>313</v>
      </c>
      <c r="G244" s="31" t="s">
        <v>315</v>
      </c>
      <c r="H244" s="31" t="s">
        <v>316</v>
      </c>
      <c r="I244" s="31" t="s">
        <v>315</v>
      </c>
      <c r="J244" s="31" t="s">
        <v>315</v>
      </c>
      <c r="K244" s="31" t="s">
        <v>315</v>
      </c>
      <c r="L244" s="32" t="str">
        <f t="shared" si="15"/>
        <v>EXCLUDE</v>
      </c>
      <c r="M244" s="32" t="str">
        <f t="shared" si="16"/>
        <v>Digital Twin not core / buzzword</v>
      </c>
      <c r="N244" s="33"/>
      <c r="O244" s="33"/>
      <c r="P244" s="34"/>
      <c r="Q244" s="34"/>
      <c r="R244" s="34"/>
      <c r="S244" s="32" t="str">
        <f t="shared" si="17"/>
        <v/>
      </c>
      <c r="T244" s="32" t="str">
        <f t="shared" si="18"/>
        <v/>
      </c>
      <c r="U244" s="35"/>
      <c r="V244" s="35"/>
      <c r="W244" s="35"/>
      <c r="X244" s="35"/>
      <c r="Y244" s="32" t="str">
        <f t="shared" si="19"/>
        <v/>
      </c>
      <c r="Z244" s="35"/>
      <c r="AA244" s="35"/>
      <c r="AB244" s="35"/>
      <c r="AC244" s="35"/>
      <c r="AD244" s="35"/>
      <c r="AE244" s="35"/>
      <c r="AF244" s="35"/>
      <c r="AG244" s="15" t="s">
        <v>482</v>
      </c>
      <c r="AH244" s="39"/>
      <c r="AI244" s="39"/>
      <c r="AM244" s="69"/>
    </row>
    <row r="245" spans="1:39" ht="22.8" x14ac:dyDescent="0.3">
      <c r="A245" s="30">
        <v>4022</v>
      </c>
      <c r="B245" s="9"/>
      <c r="C245" s="36"/>
      <c r="D245" s="9"/>
      <c r="E245" s="9" t="s">
        <v>823</v>
      </c>
      <c r="F245" s="30" t="s">
        <v>314</v>
      </c>
      <c r="G245" s="31" t="s">
        <v>315</v>
      </c>
      <c r="H245" s="31" t="s">
        <v>316</v>
      </c>
      <c r="I245" s="31" t="s">
        <v>315</v>
      </c>
      <c r="J245" s="31" t="s">
        <v>315</v>
      </c>
      <c r="K245" s="31" t="s">
        <v>315</v>
      </c>
      <c r="L245" s="32" t="str">
        <f t="shared" si="15"/>
        <v>EXCLUDE</v>
      </c>
      <c r="M245" s="32" t="str">
        <f t="shared" si="16"/>
        <v>Digital Twin not core / buzzword</v>
      </c>
      <c r="N245" s="33"/>
      <c r="O245" s="33"/>
      <c r="P245" s="34"/>
      <c r="Q245" s="34"/>
      <c r="R245" s="34"/>
      <c r="S245" s="32" t="str">
        <f t="shared" si="17"/>
        <v/>
      </c>
      <c r="T245" s="32" t="str">
        <f t="shared" si="18"/>
        <v/>
      </c>
      <c r="U245" s="35"/>
      <c r="V245" s="35"/>
      <c r="W245" s="35"/>
      <c r="X245" s="35"/>
      <c r="Y245" s="32" t="str">
        <f t="shared" si="19"/>
        <v/>
      </c>
      <c r="Z245" s="35"/>
      <c r="AA245" s="35"/>
      <c r="AB245" s="35"/>
      <c r="AC245" s="35"/>
      <c r="AD245" s="35"/>
      <c r="AE245" s="35"/>
      <c r="AF245" s="35"/>
      <c r="AG245" s="15" t="s">
        <v>483</v>
      </c>
      <c r="AH245" s="39"/>
      <c r="AI245" s="39"/>
      <c r="AM245" s="69"/>
    </row>
    <row r="246" spans="1:39" ht="22.8" x14ac:dyDescent="0.3">
      <c r="A246" s="30">
        <v>3922</v>
      </c>
      <c r="B246" s="9"/>
      <c r="C246" s="36"/>
      <c r="D246" s="9"/>
      <c r="E246" s="9" t="s">
        <v>824</v>
      </c>
      <c r="F246" s="30" t="s">
        <v>314</v>
      </c>
      <c r="G246" s="31" t="s">
        <v>315</v>
      </c>
      <c r="H246" s="31" t="s">
        <v>315</v>
      </c>
      <c r="I246" s="31" t="s">
        <v>316</v>
      </c>
      <c r="J246" s="31" t="s">
        <v>315</v>
      </c>
      <c r="K246" s="31" t="s">
        <v>315</v>
      </c>
      <c r="L246" s="32" t="str">
        <f t="shared" si="15"/>
        <v>EXCLUDE</v>
      </c>
      <c r="M246" s="32" t="str">
        <f t="shared" si="16"/>
        <v>No Design for Safety/Quality/PtD</v>
      </c>
      <c r="N246" s="33"/>
      <c r="O246" s="33"/>
      <c r="P246" s="34"/>
      <c r="Q246" s="34"/>
      <c r="R246" s="34"/>
      <c r="S246" s="32" t="str">
        <f t="shared" si="17"/>
        <v/>
      </c>
      <c r="T246" s="32" t="str">
        <f t="shared" si="18"/>
        <v/>
      </c>
      <c r="U246" s="35"/>
      <c r="V246" s="35"/>
      <c r="W246" s="35"/>
      <c r="X246" s="35"/>
      <c r="Y246" s="32" t="str">
        <f t="shared" si="19"/>
        <v/>
      </c>
      <c r="Z246" s="35"/>
      <c r="AA246" s="35"/>
      <c r="AB246" s="35"/>
      <c r="AC246" s="35"/>
      <c r="AD246" s="35"/>
      <c r="AE246" s="35"/>
      <c r="AF246" s="35"/>
      <c r="AG246" s="15" t="s">
        <v>484</v>
      </c>
      <c r="AH246" s="39"/>
      <c r="AI246" s="39"/>
      <c r="AM246" s="69"/>
    </row>
    <row r="247" spans="1:39" ht="22.8" x14ac:dyDescent="0.3">
      <c r="A247" s="30">
        <v>3512</v>
      </c>
      <c r="B247" s="9"/>
      <c r="C247" s="36"/>
      <c r="D247" s="9"/>
      <c r="E247" s="9" t="s">
        <v>825</v>
      </c>
      <c r="F247" s="30" t="s">
        <v>313</v>
      </c>
      <c r="G247" s="31" t="s">
        <v>316</v>
      </c>
      <c r="H247" s="31" t="s">
        <v>315</v>
      </c>
      <c r="I247" s="31" t="s">
        <v>315</v>
      </c>
      <c r="J247" s="31" t="s">
        <v>315</v>
      </c>
      <c r="K247" s="31" t="s">
        <v>315</v>
      </c>
      <c r="L247" s="32" t="str">
        <f t="shared" si="15"/>
        <v>EXCLUDE</v>
      </c>
      <c r="M247" s="32" t="str">
        <f t="shared" si="16"/>
        <v>Wrong domain (non-AECO)</v>
      </c>
      <c r="N247" s="33"/>
      <c r="O247" s="33"/>
      <c r="P247" s="34"/>
      <c r="Q247" s="34"/>
      <c r="R247" s="34"/>
      <c r="S247" s="32" t="str">
        <f t="shared" si="17"/>
        <v/>
      </c>
      <c r="T247" s="32" t="str">
        <f t="shared" si="18"/>
        <v/>
      </c>
      <c r="U247" s="35"/>
      <c r="V247" s="35"/>
      <c r="W247" s="35"/>
      <c r="X247" s="35"/>
      <c r="Y247" s="32" t="str">
        <f t="shared" si="19"/>
        <v/>
      </c>
      <c r="Z247" s="35"/>
      <c r="AA247" s="35"/>
      <c r="AB247" s="35"/>
      <c r="AC247" s="35"/>
      <c r="AD247" s="35"/>
      <c r="AE247" s="35"/>
      <c r="AF247" s="35"/>
      <c r="AG247" s="15" t="s">
        <v>485</v>
      </c>
      <c r="AH247" s="39"/>
      <c r="AI247" s="39"/>
      <c r="AM247" s="69"/>
    </row>
    <row r="248" spans="1:39" ht="114" x14ac:dyDescent="0.3">
      <c r="A248" s="30">
        <v>3939</v>
      </c>
      <c r="B248" s="9" t="s">
        <v>243</v>
      </c>
      <c r="C248" s="36">
        <v>2026</v>
      </c>
      <c r="D248" s="9"/>
      <c r="E248" s="9" t="s">
        <v>826</v>
      </c>
      <c r="F248" s="30" t="s">
        <v>314</v>
      </c>
      <c r="G248" s="31" t="s">
        <v>315</v>
      </c>
      <c r="H248" s="31" t="s">
        <v>315</v>
      </c>
      <c r="I248" s="31" t="s">
        <v>315</v>
      </c>
      <c r="J248" s="31" t="s">
        <v>315</v>
      </c>
      <c r="K248" s="31" t="s">
        <v>315</v>
      </c>
      <c r="L248" s="32" t="str">
        <f t="shared" si="15"/>
        <v>INCLUDE</v>
      </c>
      <c r="M248" s="32" t="str">
        <f t="shared" si="16"/>
        <v/>
      </c>
      <c r="N248" s="33" t="s">
        <v>49</v>
      </c>
      <c r="O248" s="33" t="s">
        <v>49</v>
      </c>
      <c r="P248" s="34" t="s">
        <v>49</v>
      </c>
      <c r="Q248" s="34" t="s">
        <v>49</v>
      </c>
      <c r="R248" s="34" t="s">
        <v>49</v>
      </c>
      <c r="S248" s="32" t="str">
        <f t="shared" si="17"/>
        <v>INCLUDE</v>
      </c>
      <c r="T248" s="32" t="str">
        <f t="shared" si="18"/>
        <v/>
      </c>
      <c r="U248" s="35" t="s">
        <v>52</v>
      </c>
      <c r="V248" s="35">
        <v>0</v>
      </c>
      <c r="W248" s="35">
        <v>0</v>
      </c>
      <c r="X248" s="35">
        <v>1</v>
      </c>
      <c r="Y248" s="32" t="str">
        <f t="shared" si="19"/>
        <v>Single</v>
      </c>
      <c r="Z248" s="35" t="s">
        <v>11</v>
      </c>
      <c r="AA248" s="35" t="s">
        <v>53</v>
      </c>
      <c r="AB248" s="35" t="s">
        <v>92</v>
      </c>
      <c r="AC248" s="35" t="s">
        <v>55</v>
      </c>
      <c r="AD248" s="35" t="s">
        <v>56</v>
      </c>
      <c r="AE248" s="35">
        <v>3</v>
      </c>
      <c r="AF248" s="35" t="s">
        <v>86</v>
      </c>
      <c r="AG248" s="15" t="s">
        <v>1131</v>
      </c>
      <c r="AH248" s="39" t="s">
        <v>1326</v>
      </c>
      <c r="AI248" s="39" t="s">
        <v>1327</v>
      </c>
      <c r="AJ248" t="s">
        <v>1494</v>
      </c>
      <c r="AK248" t="s">
        <v>1588</v>
      </c>
      <c r="AL248" t="s">
        <v>1499</v>
      </c>
      <c r="AM248" s="69"/>
    </row>
    <row r="249" spans="1:39" ht="22.8" x14ac:dyDescent="0.3">
      <c r="A249" s="30">
        <v>3508</v>
      </c>
      <c r="B249" s="9"/>
      <c r="C249" s="36"/>
      <c r="D249" s="9"/>
      <c r="E249" s="9" t="s">
        <v>827</v>
      </c>
      <c r="F249" s="30" t="s">
        <v>313</v>
      </c>
      <c r="G249" s="31" t="s">
        <v>315</v>
      </c>
      <c r="H249" s="31" t="s">
        <v>316</v>
      </c>
      <c r="I249" s="31" t="s">
        <v>316</v>
      </c>
      <c r="J249" s="31" t="s">
        <v>315</v>
      </c>
      <c r="K249" s="31" t="s">
        <v>315</v>
      </c>
      <c r="L249" s="32" t="str">
        <f t="shared" si="15"/>
        <v>EXCLUDE</v>
      </c>
      <c r="M249" s="32" t="str">
        <f t="shared" si="16"/>
        <v>Digital Twin not core / buzzword</v>
      </c>
      <c r="N249" s="33"/>
      <c r="O249" s="33"/>
      <c r="P249" s="34"/>
      <c r="Q249" s="34"/>
      <c r="R249" s="34"/>
      <c r="S249" s="32" t="str">
        <f t="shared" si="17"/>
        <v/>
      </c>
      <c r="T249" s="32" t="str">
        <f t="shared" si="18"/>
        <v/>
      </c>
      <c r="U249" s="35"/>
      <c r="V249" s="35"/>
      <c r="W249" s="35"/>
      <c r="X249" s="35"/>
      <c r="Y249" s="32" t="str">
        <f t="shared" si="19"/>
        <v/>
      </c>
      <c r="Z249" s="35"/>
      <c r="AA249" s="35"/>
      <c r="AB249" s="35"/>
      <c r="AC249" s="35"/>
      <c r="AD249" s="35"/>
      <c r="AE249" s="35"/>
      <c r="AF249" s="35"/>
      <c r="AG249" s="15" t="s">
        <v>486</v>
      </c>
      <c r="AH249" s="39"/>
      <c r="AI249" s="39"/>
      <c r="AM249" s="69"/>
    </row>
    <row r="250" spans="1:39" x14ac:dyDescent="0.3">
      <c r="A250" s="30">
        <v>3837</v>
      </c>
      <c r="B250" s="9"/>
      <c r="C250" s="36"/>
      <c r="D250" s="9"/>
      <c r="E250" s="9" t="s">
        <v>828</v>
      </c>
      <c r="F250" s="30" t="s">
        <v>313</v>
      </c>
      <c r="G250" s="31" t="s">
        <v>315</v>
      </c>
      <c r="H250" s="31" t="s">
        <v>316</v>
      </c>
      <c r="I250" s="31" t="s">
        <v>315</v>
      </c>
      <c r="J250" s="31" t="s">
        <v>315</v>
      </c>
      <c r="K250" s="31" t="s">
        <v>315</v>
      </c>
      <c r="L250" s="32" t="str">
        <f t="shared" si="15"/>
        <v>EXCLUDE</v>
      </c>
      <c r="M250" s="32" t="str">
        <f t="shared" si="16"/>
        <v>Digital Twin not core / buzzword</v>
      </c>
      <c r="N250" s="33"/>
      <c r="O250" s="33"/>
      <c r="P250" s="34"/>
      <c r="Q250" s="34"/>
      <c r="R250" s="34"/>
      <c r="S250" s="32" t="str">
        <f t="shared" si="17"/>
        <v/>
      </c>
      <c r="T250" s="32" t="str">
        <f t="shared" si="18"/>
        <v/>
      </c>
      <c r="U250" s="35"/>
      <c r="V250" s="35"/>
      <c r="W250" s="35"/>
      <c r="X250" s="35"/>
      <c r="Y250" s="32" t="str">
        <f t="shared" si="19"/>
        <v/>
      </c>
      <c r="Z250" s="35"/>
      <c r="AA250" s="35"/>
      <c r="AB250" s="35"/>
      <c r="AC250" s="35"/>
      <c r="AD250" s="35"/>
      <c r="AE250" s="35"/>
      <c r="AF250" s="35"/>
      <c r="AG250" s="15" t="s">
        <v>487</v>
      </c>
      <c r="AH250" s="39"/>
      <c r="AI250" s="39"/>
      <c r="AM250" s="69"/>
    </row>
    <row r="251" spans="1:39" ht="22.8" x14ac:dyDescent="0.3">
      <c r="A251" s="30">
        <v>3743</v>
      </c>
      <c r="B251" s="9"/>
      <c r="C251" s="36"/>
      <c r="D251" s="9"/>
      <c r="E251" s="9" t="s">
        <v>829</v>
      </c>
      <c r="F251" s="30" t="s">
        <v>313</v>
      </c>
      <c r="G251" s="31" t="s">
        <v>315</v>
      </c>
      <c r="H251" s="31" t="s">
        <v>316</v>
      </c>
      <c r="I251" s="31" t="s">
        <v>315</v>
      </c>
      <c r="J251" s="31" t="s">
        <v>315</v>
      </c>
      <c r="K251" s="31" t="s">
        <v>315</v>
      </c>
      <c r="L251" s="32" t="str">
        <f t="shared" si="15"/>
        <v>EXCLUDE</v>
      </c>
      <c r="M251" s="32" t="str">
        <f t="shared" si="16"/>
        <v>Digital Twin not core / buzzword</v>
      </c>
      <c r="N251" s="33"/>
      <c r="O251" s="33"/>
      <c r="P251" s="34"/>
      <c r="Q251" s="34"/>
      <c r="R251" s="34"/>
      <c r="S251" s="32" t="str">
        <f t="shared" si="17"/>
        <v/>
      </c>
      <c r="T251" s="32" t="str">
        <f t="shared" si="18"/>
        <v/>
      </c>
      <c r="U251" s="35"/>
      <c r="V251" s="35"/>
      <c r="W251" s="35"/>
      <c r="X251" s="35"/>
      <c r="Y251" s="32" t="str">
        <f t="shared" si="19"/>
        <v/>
      </c>
      <c r="Z251" s="35"/>
      <c r="AA251" s="35"/>
      <c r="AB251" s="35"/>
      <c r="AC251" s="35"/>
      <c r="AD251" s="35"/>
      <c r="AE251" s="35"/>
      <c r="AF251" s="35"/>
      <c r="AG251" s="15" t="s">
        <v>488</v>
      </c>
      <c r="AH251" s="39"/>
      <c r="AI251" s="39"/>
      <c r="AM251" s="69"/>
    </row>
    <row r="252" spans="1:39" x14ac:dyDescent="0.3">
      <c r="A252" s="30">
        <v>3820</v>
      </c>
      <c r="B252" s="9"/>
      <c r="C252" s="36"/>
      <c r="D252" s="9"/>
      <c r="E252" s="9" t="s">
        <v>830</v>
      </c>
      <c r="F252" s="30" t="s">
        <v>313</v>
      </c>
      <c r="G252" s="31" t="s">
        <v>315</v>
      </c>
      <c r="H252" s="31" t="s">
        <v>316</v>
      </c>
      <c r="I252" s="31" t="s">
        <v>315</v>
      </c>
      <c r="J252" s="31" t="s">
        <v>315</v>
      </c>
      <c r="K252" s="31" t="s">
        <v>316</v>
      </c>
      <c r="L252" s="32" t="str">
        <f t="shared" si="15"/>
        <v>EXCLUDE</v>
      </c>
      <c r="M252" s="32" t="str">
        <f t="shared" si="16"/>
        <v>Digital Twin not core / buzzword</v>
      </c>
      <c r="N252" s="33"/>
      <c r="O252" s="33"/>
      <c r="P252" s="34"/>
      <c r="Q252" s="34"/>
      <c r="R252" s="34"/>
      <c r="S252" s="32" t="str">
        <f t="shared" si="17"/>
        <v/>
      </c>
      <c r="T252" s="32" t="str">
        <f t="shared" si="18"/>
        <v/>
      </c>
      <c r="U252" s="35"/>
      <c r="V252" s="35"/>
      <c r="W252" s="35"/>
      <c r="X252" s="35"/>
      <c r="Y252" s="32" t="str">
        <f t="shared" si="19"/>
        <v/>
      </c>
      <c r="Z252" s="35"/>
      <c r="AA252" s="35"/>
      <c r="AB252" s="35"/>
      <c r="AC252" s="35"/>
      <c r="AD252" s="35"/>
      <c r="AE252" s="35"/>
      <c r="AF252" s="35"/>
      <c r="AG252" s="15" t="s">
        <v>489</v>
      </c>
      <c r="AH252" s="39"/>
      <c r="AI252" s="39"/>
      <c r="AM252" s="69"/>
    </row>
    <row r="253" spans="1:39" ht="22.8" x14ac:dyDescent="0.3">
      <c r="A253" s="30">
        <v>3871</v>
      </c>
      <c r="B253" s="9"/>
      <c r="C253" s="36"/>
      <c r="D253" s="9"/>
      <c r="E253" s="9" t="s">
        <v>831</v>
      </c>
      <c r="F253" s="30" t="s">
        <v>313</v>
      </c>
      <c r="G253" s="31" t="s">
        <v>315</v>
      </c>
      <c r="H253" s="31" t="s">
        <v>315</v>
      </c>
      <c r="I253" s="31" t="s">
        <v>316</v>
      </c>
      <c r="J253" s="31" t="s">
        <v>315</v>
      </c>
      <c r="K253" s="31" t="s">
        <v>315</v>
      </c>
      <c r="L253" s="32" t="str">
        <f t="shared" si="15"/>
        <v>EXCLUDE</v>
      </c>
      <c r="M253" s="32" t="str">
        <f t="shared" si="16"/>
        <v>No Design for Safety/Quality/PtD</v>
      </c>
      <c r="N253" s="33"/>
      <c r="O253" s="33"/>
      <c r="P253" s="34"/>
      <c r="Q253" s="34"/>
      <c r="R253" s="34"/>
      <c r="S253" s="32" t="str">
        <f t="shared" si="17"/>
        <v/>
      </c>
      <c r="T253" s="32" t="str">
        <f t="shared" si="18"/>
        <v/>
      </c>
      <c r="U253" s="35"/>
      <c r="V253" s="35"/>
      <c r="W253" s="35"/>
      <c r="X253" s="35"/>
      <c r="Y253" s="32" t="str">
        <f t="shared" si="19"/>
        <v/>
      </c>
      <c r="Z253" s="35"/>
      <c r="AA253" s="35"/>
      <c r="AB253" s="35"/>
      <c r="AC253" s="35"/>
      <c r="AD253" s="35"/>
      <c r="AE253" s="35"/>
      <c r="AF253" s="35"/>
      <c r="AG253" s="15" t="s">
        <v>490</v>
      </c>
      <c r="AH253" s="39"/>
      <c r="AI253" s="39"/>
      <c r="AM253" s="69"/>
    </row>
    <row r="254" spans="1:39" ht="102.6" x14ac:dyDescent="0.3">
      <c r="A254" s="30">
        <v>3585</v>
      </c>
      <c r="B254" s="9" t="s">
        <v>244</v>
      </c>
      <c r="C254" s="36">
        <v>2025</v>
      </c>
      <c r="D254" s="9"/>
      <c r="E254" s="9" t="s">
        <v>832</v>
      </c>
      <c r="F254" s="30" t="s">
        <v>313</v>
      </c>
      <c r="G254" s="31" t="s">
        <v>315</v>
      </c>
      <c r="H254" s="31" t="s">
        <v>315</v>
      </c>
      <c r="I254" s="31" t="s">
        <v>315</v>
      </c>
      <c r="J254" s="31" t="s">
        <v>315</v>
      </c>
      <c r="K254" s="31" t="s">
        <v>315</v>
      </c>
      <c r="L254" s="32" t="str">
        <f t="shared" si="15"/>
        <v>INCLUDE</v>
      </c>
      <c r="M254" s="32" t="str">
        <f t="shared" si="16"/>
        <v/>
      </c>
      <c r="N254" s="33" t="s">
        <v>49</v>
      </c>
      <c r="O254" s="33" t="s">
        <v>49</v>
      </c>
      <c r="P254" s="34" t="s">
        <v>49</v>
      </c>
      <c r="Q254" s="34" t="s">
        <v>49</v>
      </c>
      <c r="R254" s="34" t="s">
        <v>49</v>
      </c>
      <c r="S254" s="32" t="str">
        <f t="shared" si="17"/>
        <v>INCLUDE</v>
      </c>
      <c r="T254" s="32" t="str">
        <f t="shared" si="18"/>
        <v/>
      </c>
      <c r="U254" s="35" t="s">
        <v>82</v>
      </c>
      <c r="V254" s="35">
        <v>0</v>
      </c>
      <c r="W254" s="35">
        <v>1</v>
      </c>
      <c r="X254" s="35">
        <v>0</v>
      </c>
      <c r="Y254" s="32" t="str">
        <f t="shared" si="19"/>
        <v>Single</v>
      </c>
      <c r="Z254" s="35" t="s">
        <v>69</v>
      </c>
      <c r="AA254" s="35" t="s">
        <v>53</v>
      </c>
      <c r="AB254" s="35" t="s">
        <v>89</v>
      </c>
      <c r="AC254" s="35" t="s">
        <v>64</v>
      </c>
      <c r="AD254" s="35" t="s">
        <v>56</v>
      </c>
      <c r="AE254" s="35">
        <v>3</v>
      </c>
      <c r="AF254" s="35" t="s">
        <v>66</v>
      </c>
      <c r="AG254" s="15" t="s">
        <v>1132</v>
      </c>
      <c r="AH254" s="39" t="s">
        <v>1328</v>
      </c>
      <c r="AI254" s="39" t="s">
        <v>1329</v>
      </c>
      <c r="AJ254" t="s">
        <v>82</v>
      </c>
      <c r="AK254" t="s">
        <v>1589</v>
      </c>
      <c r="AL254" t="s">
        <v>1499</v>
      </c>
      <c r="AM254" s="69"/>
    </row>
    <row r="255" spans="1:39" ht="114" x14ac:dyDescent="0.3">
      <c r="A255" s="30">
        <v>3970</v>
      </c>
      <c r="B255" s="9" t="s">
        <v>245</v>
      </c>
      <c r="C255" s="36">
        <v>2026</v>
      </c>
      <c r="D255" s="9"/>
      <c r="E255" s="9" t="s">
        <v>833</v>
      </c>
      <c r="F255" s="30" t="s">
        <v>314</v>
      </c>
      <c r="G255" s="31" t="s">
        <v>315</v>
      </c>
      <c r="H255" s="31" t="s">
        <v>315</v>
      </c>
      <c r="I255" s="31" t="s">
        <v>315</v>
      </c>
      <c r="J255" s="31" t="s">
        <v>315</v>
      </c>
      <c r="K255" s="31" t="s">
        <v>315</v>
      </c>
      <c r="L255" s="32" t="str">
        <f t="shared" si="15"/>
        <v>INCLUDE</v>
      </c>
      <c r="M255" s="32" t="str">
        <f t="shared" si="16"/>
        <v/>
      </c>
      <c r="N255" s="33" t="s">
        <v>49</v>
      </c>
      <c r="O255" s="33" t="s">
        <v>49</v>
      </c>
      <c r="P255" s="34" t="s">
        <v>49</v>
      </c>
      <c r="Q255" s="34" t="s">
        <v>49</v>
      </c>
      <c r="R255" s="34" t="s">
        <v>49</v>
      </c>
      <c r="S255" s="32" t="str">
        <f t="shared" si="17"/>
        <v>INCLUDE</v>
      </c>
      <c r="T255" s="32" t="str">
        <f t="shared" si="18"/>
        <v/>
      </c>
      <c r="U255" s="35" t="s">
        <v>61</v>
      </c>
      <c r="V255" s="35">
        <v>0</v>
      </c>
      <c r="W255" s="35">
        <v>0</v>
      </c>
      <c r="X255" s="35">
        <v>1</v>
      </c>
      <c r="Y255" s="32" t="str">
        <f t="shared" si="19"/>
        <v>Single</v>
      </c>
      <c r="Z255" s="35" t="s">
        <v>9</v>
      </c>
      <c r="AA255" s="35" t="s">
        <v>53</v>
      </c>
      <c r="AB255" s="35" t="s">
        <v>73</v>
      </c>
      <c r="AC255" s="35" t="s">
        <v>64</v>
      </c>
      <c r="AD255" s="35" t="s">
        <v>72</v>
      </c>
      <c r="AE255" s="35">
        <v>4</v>
      </c>
      <c r="AF255" s="35" t="s">
        <v>73</v>
      </c>
      <c r="AG255" s="15" t="s">
        <v>1133</v>
      </c>
      <c r="AH255" s="39" t="s">
        <v>1330</v>
      </c>
      <c r="AI255" s="39" t="s">
        <v>1331</v>
      </c>
      <c r="AJ255" t="s">
        <v>1497</v>
      </c>
      <c r="AK255" t="s">
        <v>1590</v>
      </c>
      <c r="AL255" t="s">
        <v>1499</v>
      </c>
      <c r="AM255" s="69"/>
    </row>
    <row r="256" spans="1:39" ht="79.8" x14ac:dyDescent="0.3">
      <c r="A256" s="30">
        <v>3989</v>
      </c>
      <c r="B256" s="9" t="s">
        <v>246</v>
      </c>
      <c r="C256" s="36">
        <v>2022</v>
      </c>
      <c r="D256" s="9"/>
      <c r="E256" s="9" t="s">
        <v>834</v>
      </c>
      <c r="F256" s="30" t="s">
        <v>314</v>
      </c>
      <c r="G256" s="31" t="s">
        <v>315</v>
      </c>
      <c r="H256" s="31" t="s">
        <v>315</v>
      </c>
      <c r="I256" s="31" t="s">
        <v>315</v>
      </c>
      <c r="J256" s="31" t="s">
        <v>315</v>
      </c>
      <c r="K256" s="31" t="s">
        <v>315</v>
      </c>
      <c r="L256" s="32" t="str">
        <f t="shared" si="15"/>
        <v>INCLUDE</v>
      </c>
      <c r="M256" s="32" t="str">
        <f t="shared" si="16"/>
        <v/>
      </c>
      <c r="N256" s="33" t="s">
        <v>315</v>
      </c>
      <c r="O256" s="33" t="s">
        <v>315</v>
      </c>
      <c r="P256" s="34" t="s">
        <v>315</v>
      </c>
      <c r="Q256" s="34" t="s">
        <v>315</v>
      </c>
      <c r="R256" s="34" t="s">
        <v>315</v>
      </c>
      <c r="S256" s="32" t="str">
        <f t="shared" si="17"/>
        <v>INCLUDE</v>
      </c>
      <c r="T256" s="32" t="str">
        <f t="shared" si="18"/>
        <v/>
      </c>
      <c r="U256" s="35" t="s">
        <v>52</v>
      </c>
      <c r="V256" s="35">
        <v>0</v>
      </c>
      <c r="W256" s="35">
        <v>0</v>
      </c>
      <c r="X256" s="35">
        <v>1</v>
      </c>
      <c r="Y256" s="32" t="str">
        <f t="shared" si="19"/>
        <v>Single</v>
      </c>
      <c r="Z256" s="35" t="s">
        <v>9</v>
      </c>
      <c r="AA256" s="35" t="s">
        <v>53</v>
      </c>
      <c r="AB256" s="35" t="s">
        <v>73</v>
      </c>
      <c r="AC256" s="35" t="s">
        <v>64</v>
      </c>
      <c r="AD256" s="35" t="s">
        <v>72</v>
      </c>
      <c r="AE256" s="35">
        <v>4</v>
      </c>
      <c r="AF256" s="35" t="s">
        <v>73</v>
      </c>
      <c r="AG256" s="15" t="s">
        <v>1047</v>
      </c>
      <c r="AH256" s="39" t="s">
        <v>1332</v>
      </c>
      <c r="AI256" s="39" t="s">
        <v>1333</v>
      </c>
      <c r="AJ256" t="s">
        <v>1497</v>
      </c>
      <c r="AK256" t="s">
        <v>1591</v>
      </c>
      <c r="AL256" t="s">
        <v>1499</v>
      </c>
      <c r="AM256" s="69"/>
    </row>
    <row r="257" spans="1:39" ht="57" x14ac:dyDescent="0.3">
      <c r="A257" s="30">
        <v>4003</v>
      </c>
      <c r="B257" s="9" t="s">
        <v>247</v>
      </c>
      <c r="C257" s="36">
        <v>2024</v>
      </c>
      <c r="D257" s="9"/>
      <c r="E257" s="9" t="s">
        <v>835</v>
      </c>
      <c r="F257" s="30" t="s">
        <v>314</v>
      </c>
      <c r="G257" s="31" t="s">
        <v>315</v>
      </c>
      <c r="H257" s="31" t="s">
        <v>315</v>
      </c>
      <c r="I257" s="31" t="s">
        <v>315</v>
      </c>
      <c r="J257" s="31" t="s">
        <v>315</v>
      </c>
      <c r="K257" s="31" t="s">
        <v>315</v>
      </c>
      <c r="L257" s="32" t="str">
        <f t="shared" si="15"/>
        <v>INCLUDE</v>
      </c>
      <c r="M257" s="32" t="str">
        <f t="shared" si="16"/>
        <v/>
      </c>
      <c r="N257" s="33" t="s">
        <v>315</v>
      </c>
      <c r="O257" s="33" t="s">
        <v>315</v>
      </c>
      <c r="P257" s="34" t="s">
        <v>316</v>
      </c>
      <c r="Q257" s="34" t="s">
        <v>315</v>
      </c>
      <c r="R257" s="34" t="s">
        <v>316</v>
      </c>
      <c r="S257" s="32" t="str">
        <f t="shared" si="17"/>
        <v>EXCLUDE</v>
      </c>
      <c r="T257" s="32" t="str">
        <f t="shared" si="18"/>
        <v>Digital Twin mentioned only, not the subject</v>
      </c>
      <c r="U257" s="35" t="s">
        <v>82</v>
      </c>
      <c r="V257" s="35"/>
      <c r="W257" s="35"/>
      <c r="X257" s="35"/>
      <c r="Y257" s="32" t="str">
        <f t="shared" si="19"/>
        <v/>
      </c>
      <c r="Z257" s="35"/>
      <c r="AA257" s="35"/>
      <c r="AB257" s="35"/>
      <c r="AC257" s="35"/>
      <c r="AD257" s="35"/>
      <c r="AE257" s="35"/>
      <c r="AF257" s="35"/>
      <c r="AG257" s="15" t="s">
        <v>1048</v>
      </c>
      <c r="AH257" s="39"/>
      <c r="AI257" s="39"/>
      <c r="AM257" s="69"/>
    </row>
    <row r="258" spans="1:39" ht="22.8" x14ac:dyDescent="0.3">
      <c r="A258" s="30">
        <v>4021</v>
      </c>
      <c r="B258" s="9"/>
      <c r="C258" s="36"/>
      <c r="D258" s="9"/>
      <c r="E258" s="9" t="s">
        <v>836</v>
      </c>
      <c r="F258" s="30" t="s">
        <v>314</v>
      </c>
      <c r="G258" s="31" t="s">
        <v>315</v>
      </c>
      <c r="H258" s="31" t="s">
        <v>316</v>
      </c>
      <c r="I258" s="31" t="s">
        <v>315</v>
      </c>
      <c r="J258" s="31" t="s">
        <v>315</v>
      </c>
      <c r="K258" s="31" t="s">
        <v>315</v>
      </c>
      <c r="L258" s="32" t="str">
        <f t="shared" ref="L258:L321" si="20">IF(COUNTBLANK(G258:K258)=5,"",IF(COUNTIF(G258:K258,"No")&gt;0,"EXCLUDE","INCLUDE"))</f>
        <v>EXCLUDE</v>
      </c>
      <c r="M258" s="32" t="str">
        <f t="shared" ref="M258:M321" si="21">IF(L258&lt;&gt;"EXCLUDE","",IF(G258="No","Wrong domain (non-AECO)",IF(H258="No","Digital Twin not core / buzzword",IF(I258="No","No Design for Safety/Quality/PtD",IF(J258="No","Wrong publication type",IF(K258="No","Non-English",""))))))</f>
        <v>Digital Twin not core / buzzword</v>
      </c>
      <c r="N258" s="33"/>
      <c r="O258" s="33"/>
      <c r="P258" s="34"/>
      <c r="Q258" s="34"/>
      <c r="R258" s="34"/>
      <c r="S258" s="32" t="str">
        <f t="shared" ref="S258:S321" si="22">IF(N258&lt;&gt;"Yes","",IF(COUNTBLANK(P258:R258)=3,"",IF(COUNTIF(P258:R258,"No")&gt;0,"EXCLUDE","INCLUDE")))</f>
        <v/>
      </c>
      <c r="T258" s="32" t="str">
        <f t="shared" ref="T258:T321" si="23">IF(S258&lt;&gt;"EXCLUDE","",IF(P258="No","Digital Twin mentioned only, not the subject",IF(Q258="No","No Design for Safety/Quality in full text",IF(R258="No","Methodology not codable",""))))</f>
        <v/>
      </c>
      <c r="U258" s="35"/>
      <c r="V258" s="35"/>
      <c r="W258" s="35"/>
      <c r="X258" s="35"/>
      <c r="Y258" s="32" t="str">
        <f t="shared" ref="Y258:Y321" si="24">IF(SUM(V258:X258)=0,"",IF(SUM(V258:X258)&gt;=2,"Multi","Single"))</f>
        <v/>
      </c>
      <c r="Z258" s="35"/>
      <c r="AA258" s="35"/>
      <c r="AB258" s="35"/>
      <c r="AC258" s="35"/>
      <c r="AD258" s="35"/>
      <c r="AE258" s="35"/>
      <c r="AF258" s="35"/>
      <c r="AG258" s="15" t="s">
        <v>491</v>
      </c>
      <c r="AH258" s="39"/>
      <c r="AI258" s="39"/>
      <c r="AM258" s="69"/>
    </row>
    <row r="259" spans="1:39" ht="22.8" x14ac:dyDescent="0.3">
      <c r="A259" s="30">
        <v>3764</v>
      </c>
      <c r="B259" s="9"/>
      <c r="C259" s="36"/>
      <c r="D259" s="9"/>
      <c r="E259" s="9" t="s">
        <v>837</v>
      </c>
      <c r="F259" s="30" t="s">
        <v>313</v>
      </c>
      <c r="G259" s="31" t="s">
        <v>315</v>
      </c>
      <c r="H259" s="31" t="s">
        <v>316</v>
      </c>
      <c r="I259" s="31" t="s">
        <v>316</v>
      </c>
      <c r="J259" s="31" t="s">
        <v>315</v>
      </c>
      <c r="K259" s="31" t="s">
        <v>315</v>
      </c>
      <c r="L259" s="32" t="str">
        <f t="shared" si="20"/>
        <v>EXCLUDE</v>
      </c>
      <c r="M259" s="32" t="str">
        <f t="shared" si="21"/>
        <v>Digital Twin not core / buzzword</v>
      </c>
      <c r="N259" s="33"/>
      <c r="O259" s="33"/>
      <c r="P259" s="34"/>
      <c r="Q259" s="34"/>
      <c r="R259" s="34"/>
      <c r="S259" s="32" t="str">
        <f t="shared" si="22"/>
        <v/>
      </c>
      <c r="T259" s="32" t="str">
        <f t="shared" si="23"/>
        <v/>
      </c>
      <c r="U259" s="35"/>
      <c r="V259" s="35"/>
      <c r="W259" s="35"/>
      <c r="X259" s="35"/>
      <c r="Y259" s="32" t="str">
        <f t="shared" si="24"/>
        <v/>
      </c>
      <c r="Z259" s="35"/>
      <c r="AA259" s="35"/>
      <c r="AB259" s="35"/>
      <c r="AC259" s="35"/>
      <c r="AD259" s="35"/>
      <c r="AE259" s="35"/>
      <c r="AF259" s="35"/>
      <c r="AG259" s="15" t="s">
        <v>492</v>
      </c>
      <c r="AH259" s="39"/>
      <c r="AI259" s="39"/>
      <c r="AM259" s="69"/>
    </row>
    <row r="260" spans="1:39" ht="22.8" x14ac:dyDescent="0.3">
      <c r="A260" s="30">
        <v>3497</v>
      </c>
      <c r="B260" s="9"/>
      <c r="C260" s="36"/>
      <c r="D260" s="9"/>
      <c r="E260" s="9" t="s">
        <v>838</v>
      </c>
      <c r="F260" s="30" t="s">
        <v>313</v>
      </c>
      <c r="G260" s="31" t="s">
        <v>316</v>
      </c>
      <c r="H260" s="31" t="s">
        <v>315</v>
      </c>
      <c r="I260" s="31" t="s">
        <v>316</v>
      </c>
      <c r="J260" s="31" t="s">
        <v>315</v>
      </c>
      <c r="K260" s="31" t="s">
        <v>315</v>
      </c>
      <c r="L260" s="32" t="str">
        <f t="shared" si="20"/>
        <v>EXCLUDE</v>
      </c>
      <c r="M260" s="32" t="str">
        <f t="shared" si="21"/>
        <v>Wrong domain (non-AECO)</v>
      </c>
      <c r="N260" s="33"/>
      <c r="O260" s="33"/>
      <c r="P260" s="34"/>
      <c r="Q260" s="34"/>
      <c r="R260" s="34"/>
      <c r="S260" s="32" t="str">
        <f t="shared" si="22"/>
        <v/>
      </c>
      <c r="T260" s="32" t="str">
        <f t="shared" si="23"/>
        <v/>
      </c>
      <c r="U260" s="35"/>
      <c r="V260" s="35"/>
      <c r="W260" s="35"/>
      <c r="X260" s="35"/>
      <c r="Y260" s="32" t="str">
        <f t="shared" si="24"/>
        <v/>
      </c>
      <c r="Z260" s="35"/>
      <c r="AA260" s="35"/>
      <c r="AB260" s="35"/>
      <c r="AC260" s="35"/>
      <c r="AD260" s="35"/>
      <c r="AE260" s="35"/>
      <c r="AF260" s="35"/>
      <c r="AG260" s="15" t="s">
        <v>493</v>
      </c>
      <c r="AH260" s="39"/>
      <c r="AI260" s="39"/>
      <c r="AM260" s="69"/>
    </row>
    <row r="261" spans="1:39" ht="79.8" x14ac:dyDescent="0.3">
      <c r="A261" s="30">
        <v>3755</v>
      </c>
      <c r="B261" s="9" t="s">
        <v>248</v>
      </c>
      <c r="C261" s="36">
        <v>2026</v>
      </c>
      <c r="D261" s="9"/>
      <c r="E261" s="9" t="s">
        <v>839</v>
      </c>
      <c r="F261" s="30" t="s">
        <v>313</v>
      </c>
      <c r="G261" s="31" t="s">
        <v>315</v>
      </c>
      <c r="H261" s="31" t="s">
        <v>315</v>
      </c>
      <c r="I261" s="31" t="s">
        <v>315</v>
      </c>
      <c r="J261" s="31" t="s">
        <v>315</v>
      </c>
      <c r="K261" s="31" t="s">
        <v>315</v>
      </c>
      <c r="L261" s="32" t="str">
        <f t="shared" si="20"/>
        <v>INCLUDE</v>
      </c>
      <c r="M261" s="32" t="str">
        <f t="shared" si="21"/>
        <v/>
      </c>
      <c r="N261" s="33" t="s">
        <v>49</v>
      </c>
      <c r="O261" s="33" t="s">
        <v>49</v>
      </c>
      <c r="P261" s="34" t="s">
        <v>58</v>
      </c>
      <c r="Q261" s="34" t="s">
        <v>58</v>
      </c>
      <c r="R261" s="34" t="s">
        <v>58</v>
      </c>
      <c r="S261" s="32" t="str">
        <f t="shared" si="22"/>
        <v>EXCLUDE</v>
      </c>
      <c r="T261" s="32" t="str">
        <f t="shared" si="23"/>
        <v>Digital Twin mentioned only, not the subject</v>
      </c>
      <c r="U261" s="35" t="s">
        <v>82</v>
      </c>
      <c r="V261" s="35"/>
      <c r="W261" s="35"/>
      <c r="X261" s="35"/>
      <c r="Y261" s="32" t="str">
        <f t="shared" si="24"/>
        <v/>
      </c>
      <c r="Z261" s="35"/>
      <c r="AA261" s="35"/>
      <c r="AB261" s="35"/>
      <c r="AC261" s="35"/>
      <c r="AD261" s="35"/>
      <c r="AE261" s="35"/>
      <c r="AF261" s="35"/>
      <c r="AG261" s="15" t="s">
        <v>1134</v>
      </c>
      <c r="AH261" s="39"/>
      <c r="AI261" s="39"/>
      <c r="AM261" s="69"/>
    </row>
    <row r="262" spans="1:39" ht="22.8" x14ac:dyDescent="0.3">
      <c r="A262" s="30">
        <v>3902</v>
      </c>
      <c r="B262" s="9"/>
      <c r="C262" s="36"/>
      <c r="D262" s="9"/>
      <c r="E262" s="9" t="s">
        <v>840</v>
      </c>
      <c r="F262" s="30" t="s">
        <v>314</v>
      </c>
      <c r="G262" s="31" t="s">
        <v>316</v>
      </c>
      <c r="H262" s="31" t="s">
        <v>316</v>
      </c>
      <c r="I262" s="31" t="s">
        <v>315</v>
      </c>
      <c r="J262" s="31" t="s">
        <v>315</v>
      </c>
      <c r="K262" s="31" t="s">
        <v>315</v>
      </c>
      <c r="L262" s="32" t="str">
        <f t="shared" si="20"/>
        <v>EXCLUDE</v>
      </c>
      <c r="M262" s="32" t="str">
        <f t="shared" si="21"/>
        <v>Wrong domain (non-AECO)</v>
      </c>
      <c r="N262" s="33"/>
      <c r="O262" s="33"/>
      <c r="P262" s="34"/>
      <c r="Q262" s="34"/>
      <c r="R262" s="34"/>
      <c r="S262" s="32" t="str">
        <f t="shared" si="22"/>
        <v/>
      </c>
      <c r="T262" s="32" t="str">
        <f t="shared" si="23"/>
        <v/>
      </c>
      <c r="U262" s="35"/>
      <c r="V262" s="35"/>
      <c r="W262" s="35"/>
      <c r="X262" s="35"/>
      <c r="Y262" s="32" t="str">
        <f t="shared" si="24"/>
        <v/>
      </c>
      <c r="Z262" s="35"/>
      <c r="AA262" s="35"/>
      <c r="AB262" s="35"/>
      <c r="AC262" s="35"/>
      <c r="AD262" s="35"/>
      <c r="AE262" s="35"/>
      <c r="AF262" s="35"/>
      <c r="AG262" s="15" t="s">
        <v>494</v>
      </c>
      <c r="AH262" s="39"/>
      <c r="AI262" s="39"/>
      <c r="AM262" s="69"/>
    </row>
    <row r="263" spans="1:39" ht="102.6" x14ac:dyDescent="0.3">
      <c r="A263" s="30">
        <v>3881</v>
      </c>
      <c r="B263" s="9" t="s">
        <v>249</v>
      </c>
      <c r="C263" s="36">
        <v>2026</v>
      </c>
      <c r="D263" s="9"/>
      <c r="E263" s="9" t="s">
        <v>841</v>
      </c>
      <c r="F263" s="30" t="s">
        <v>314</v>
      </c>
      <c r="G263" s="31" t="s">
        <v>315</v>
      </c>
      <c r="H263" s="31" t="s">
        <v>315</v>
      </c>
      <c r="I263" s="31" t="s">
        <v>315</v>
      </c>
      <c r="J263" s="31" t="s">
        <v>315</v>
      </c>
      <c r="K263" s="31" t="s">
        <v>315</v>
      </c>
      <c r="L263" s="32" t="str">
        <f t="shared" si="20"/>
        <v>INCLUDE</v>
      </c>
      <c r="M263" s="32" t="str">
        <f t="shared" si="21"/>
        <v/>
      </c>
      <c r="N263" s="33" t="s">
        <v>49</v>
      </c>
      <c r="O263" s="33" t="s">
        <v>49</v>
      </c>
      <c r="P263" s="34" t="s">
        <v>49</v>
      </c>
      <c r="Q263" s="34" t="s">
        <v>49</v>
      </c>
      <c r="R263" s="34" t="s">
        <v>49</v>
      </c>
      <c r="S263" s="32" t="str">
        <f t="shared" si="22"/>
        <v>INCLUDE</v>
      </c>
      <c r="T263" s="32" t="str">
        <f t="shared" si="23"/>
        <v/>
      </c>
      <c r="U263" s="35" t="s">
        <v>61</v>
      </c>
      <c r="V263" s="35">
        <v>0</v>
      </c>
      <c r="W263" s="35">
        <v>1</v>
      </c>
      <c r="X263" s="35">
        <v>0</v>
      </c>
      <c r="Y263" s="32" t="str">
        <f t="shared" si="24"/>
        <v>Single</v>
      </c>
      <c r="Z263" s="35" t="s">
        <v>9</v>
      </c>
      <c r="AA263" s="35" t="s">
        <v>53</v>
      </c>
      <c r="AB263" s="35" t="s">
        <v>91</v>
      </c>
      <c r="AC263" s="35" t="s">
        <v>64</v>
      </c>
      <c r="AD263" s="35" t="s">
        <v>72</v>
      </c>
      <c r="AE263" s="35">
        <v>4</v>
      </c>
      <c r="AF263" s="35" t="s">
        <v>57</v>
      </c>
      <c r="AG263" s="15" t="s">
        <v>1135</v>
      </c>
      <c r="AH263" s="39" t="s">
        <v>1334</v>
      </c>
      <c r="AI263" s="39" t="s">
        <v>1335</v>
      </c>
      <c r="AJ263" t="s">
        <v>1496</v>
      </c>
      <c r="AK263" t="s">
        <v>1592</v>
      </c>
      <c r="AL263" t="s">
        <v>1499</v>
      </c>
      <c r="AM263" s="69"/>
    </row>
    <row r="264" spans="1:39" ht="22.8" x14ac:dyDescent="0.3">
      <c r="A264" s="30">
        <v>3798</v>
      </c>
      <c r="B264" s="9"/>
      <c r="C264" s="36"/>
      <c r="D264" s="9"/>
      <c r="E264" s="9" t="s">
        <v>842</v>
      </c>
      <c r="F264" s="30" t="s">
        <v>313</v>
      </c>
      <c r="G264" s="31" t="s">
        <v>315</v>
      </c>
      <c r="H264" s="31" t="s">
        <v>316</v>
      </c>
      <c r="I264" s="31" t="s">
        <v>315</v>
      </c>
      <c r="J264" s="31" t="s">
        <v>315</v>
      </c>
      <c r="K264" s="31" t="s">
        <v>315</v>
      </c>
      <c r="L264" s="32" t="str">
        <f t="shared" si="20"/>
        <v>EXCLUDE</v>
      </c>
      <c r="M264" s="32" t="str">
        <f t="shared" si="21"/>
        <v>Digital Twin not core / buzzword</v>
      </c>
      <c r="N264" s="33"/>
      <c r="O264" s="33"/>
      <c r="P264" s="34"/>
      <c r="Q264" s="34"/>
      <c r="R264" s="34"/>
      <c r="S264" s="32" t="str">
        <f t="shared" si="22"/>
        <v/>
      </c>
      <c r="T264" s="32" t="str">
        <f t="shared" si="23"/>
        <v/>
      </c>
      <c r="U264" s="35"/>
      <c r="V264" s="35"/>
      <c r="W264" s="35"/>
      <c r="X264" s="35"/>
      <c r="Y264" s="32" t="str">
        <f t="shared" si="24"/>
        <v/>
      </c>
      <c r="Z264" s="35"/>
      <c r="AA264" s="35"/>
      <c r="AB264" s="35"/>
      <c r="AC264" s="35"/>
      <c r="AD264" s="35"/>
      <c r="AE264" s="35"/>
      <c r="AF264" s="35"/>
      <c r="AG264" s="15" t="s">
        <v>495</v>
      </c>
      <c r="AH264" s="39"/>
      <c r="AI264" s="39"/>
      <c r="AM264" s="69"/>
    </row>
    <row r="265" spans="1:39" x14ac:dyDescent="0.3">
      <c r="A265" s="30">
        <v>3557</v>
      </c>
      <c r="B265" s="9"/>
      <c r="C265" s="36"/>
      <c r="D265" s="9"/>
      <c r="E265" s="9" t="s">
        <v>843</v>
      </c>
      <c r="F265" s="30" t="s">
        <v>313</v>
      </c>
      <c r="G265" s="31" t="s">
        <v>316</v>
      </c>
      <c r="H265" s="31" t="s">
        <v>315</v>
      </c>
      <c r="I265" s="31" t="s">
        <v>315</v>
      </c>
      <c r="J265" s="31" t="s">
        <v>315</v>
      </c>
      <c r="K265" s="31" t="s">
        <v>315</v>
      </c>
      <c r="L265" s="32" t="str">
        <f t="shared" si="20"/>
        <v>EXCLUDE</v>
      </c>
      <c r="M265" s="32" t="str">
        <f t="shared" si="21"/>
        <v>Wrong domain (non-AECO)</v>
      </c>
      <c r="N265" s="33"/>
      <c r="O265" s="33"/>
      <c r="P265" s="34"/>
      <c r="Q265" s="34"/>
      <c r="R265" s="34"/>
      <c r="S265" s="32" t="str">
        <f t="shared" si="22"/>
        <v/>
      </c>
      <c r="T265" s="32" t="str">
        <f t="shared" si="23"/>
        <v/>
      </c>
      <c r="U265" s="35"/>
      <c r="V265" s="35"/>
      <c r="W265" s="35"/>
      <c r="X265" s="35"/>
      <c r="Y265" s="32" t="str">
        <f t="shared" si="24"/>
        <v/>
      </c>
      <c r="Z265" s="35"/>
      <c r="AA265" s="35"/>
      <c r="AB265" s="35"/>
      <c r="AC265" s="35"/>
      <c r="AD265" s="35"/>
      <c r="AE265" s="35"/>
      <c r="AF265" s="35"/>
      <c r="AG265" s="15" t="s">
        <v>496</v>
      </c>
      <c r="AH265" s="39"/>
      <c r="AI265" s="39"/>
      <c r="AM265" s="69"/>
    </row>
    <row r="266" spans="1:39" ht="91.2" x14ac:dyDescent="0.3">
      <c r="A266" s="30">
        <v>3536</v>
      </c>
      <c r="B266" s="9" t="s">
        <v>250</v>
      </c>
      <c r="C266" s="36">
        <v>2024</v>
      </c>
      <c r="D266" s="9"/>
      <c r="E266" s="9" t="s">
        <v>844</v>
      </c>
      <c r="F266" s="30" t="s">
        <v>313</v>
      </c>
      <c r="G266" s="31" t="s">
        <v>315</v>
      </c>
      <c r="H266" s="31" t="s">
        <v>315</v>
      </c>
      <c r="I266" s="31" t="s">
        <v>315</v>
      </c>
      <c r="J266" s="31" t="s">
        <v>315</v>
      </c>
      <c r="K266" s="31" t="s">
        <v>315</v>
      </c>
      <c r="L266" s="32" t="str">
        <f t="shared" si="20"/>
        <v>INCLUDE</v>
      </c>
      <c r="M266" s="32" t="str">
        <f t="shared" si="21"/>
        <v/>
      </c>
      <c r="N266" s="33" t="s">
        <v>49</v>
      </c>
      <c r="O266" s="33" t="s">
        <v>49</v>
      </c>
      <c r="P266" s="34" t="s">
        <v>49</v>
      </c>
      <c r="Q266" s="34" t="s">
        <v>49</v>
      </c>
      <c r="R266" s="34" t="s">
        <v>49</v>
      </c>
      <c r="S266" s="32" t="str">
        <f t="shared" si="22"/>
        <v>INCLUDE</v>
      </c>
      <c r="T266" s="32" t="str">
        <f t="shared" si="23"/>
        <v/>
      </c>
      <c r="U266" s="35" t="s">
        <v>52</v>
      </c>
      <c r="V266" s="35">
        <v>0</v>
      </c>
      <c r="W266" s="35">
        <v>0</v>
      </c>
      <c r="X266" s="35">
        <v>1</v>
      </c>
      <c r="Y266" s="32" t="str">
        <f t="shared" si="24"/>
        <v>Single</v>
      </c>
      <c r="Z266" s="35" t="s">
        <v>9</v>
      </c>
      <c r="AA266" s="35" t="s">
        <v>53</v>
      </c>
      <c r="AB266" s="35" t="s">
        <v>88</v>
      </c>
      <c r="AC266" s="35" t="s">
        <v>64</v>
      </c>
      <c r="AD266" s="35" t="s">
        <v>72</v>
      </c>
      <c r="AE266" s="35">
        <v>4</v>
      </c>
      <c r="AF266" s="35" t="s">
        <v>84</v>
      </c>
      <c r="AG266" s="15" t="s">
        <v>1136</v>
      </c>
      <c r="AH266" s="39" t="s">
        <v>1336</v>
      </c>
      <c r="AI266" s="39" t="s">
        <v>1337</v>
      </c>
      <c r="AJ266" t="s">
        <v>1496</v>
      </c>
      <c r="AK266" t="s">
        <v>1593</v>
      </c>
      <c r="AL266" t="s">
        <v>1500</v>
      </c>
      <c r="AM266" s="69"/>
    </row>
    <row r="267" spans="1:39" ht="22.8" x14ac:dyDescent="0.3">
      <c r="A267" s="30">
        <v>4044</v>
      </c>
      <c r="B267" s="9"/>
      <c r="C267" s="36"/>
      <c r="D267" s="9"/>
      <c r="E267" s="9" t="s">
        <v>845</v>
      </c>
      <c r="F267" s="30" t="s">
        <v>314</v>
      </c>
      <c r="G267" s="31" t="s">
        <v>315</v>
      </c>
      <c r="H267" s="31" t="s">
        <v>315</v>
      </c>
      <c r="I267" s="31" t="s">
        <v>315</v>
      </c>
      <c r="J267" s="31" t="s">
        <v>315</v>
      </c>
      <c r="K267" s="31" t="s">
        <v>315</v>
      </c>
      <c r="L267" s="32" t="str">
        <f t="shared" si="20"/>
        <v>INCLUDE</v>
      </c>
      <c r="M267" s="32" t="str">
        <f t="shared" si="21"/>
        <v/>
      </c>
      <c r="N267" s="33"/>
      <c r="O267" s="33"/>
      <c r="P267" s="34"/>
      <c r="Q267" s="34"/>
      <c r="R267" s="34"/>
      <c r="S267" s="32" t="str">
        <f t="shared" si="22"/>
        <v/>
      </c>
      <c r="T267" s="32" t="str">
        <f t="shared" si="23"/>
        <v/>
      </c>
      <c r="U267" s="35"/>
      <c r="V267" s="35"/>
      <c r="W267" s="35"/>
      <c r="X267" s="35"/>
      <c r="Y267" s="32" t="str">
        <f t="shared" si="24"/>
        <v/>
      </c>
      <c r="Z267" s="35"/>
      <c r="AA267" s="35"/>
      <c r="AB267" s="35"/>
      <c r="AC267" s="35"/>
      <c r="AD267" s="35"/>
      <c r="AE267" s="35"/>
      <c r="AF267" s="35"/>
      <c r="AG267" s="15" t="s">
        <v>497</v>
      </c>
      <c r="AH267" s="39"/>
      <c r="AI267" s="39"/>
      <c r="AM267" s="69"/>
    </row>
    <row r="268" spans="1:39" ht="22.8" x14ac:dyDescent="0.3">
      <c r="A268" s="30">
        <v>3882</v>
      </c>
      <c r="B268" s="9"/>
      <c r="C268" s="36"/>
      <c r="D268" s="9"/>
      <c r="E268" s="9" t="s">
        <v>846</v>
      </c>
      <c r="F268" s="30" t="s">
        <v>314</v>
      </c>
      <c r="G268" s="31" t="s">
        <v>316</v>
      </c>
      <c r="H268" s="31" t="s">
        <v>315</v>
      </c>
      <c r="I268" s="31" t="s">
        <v>315</v>
      </c>
      <c r="J268" s="31" t="s">
        <v>315</v>
      </c>
      <c r="K268" s="31" t="s">
        <v>315</v>
      </c>
      <c r="L268" s="32" t="str">
        <f t="shared" si="20"/>
        <v>EXCLUDE</v>
      </c>
      <c r="M268" s="32" t="str">
        <f t="shared" si="21"/>
        <v>Wrong domain (non-AECO)</v>
      </c>
      <c r="N268" s="33"/>
      <c r="O268" s="33"/>
      <c r="P268" s="34"/>
      <c r="Q268" s="34"/>
      <c r="R268" s="34"/>
      <c r="S268" s="32" t="str">
        <f t="shared" si="22"/>
        <v/>
      </c>
      <c r="T268" s="32" t="str">
        <f t="shared" si="23"/>
        <v/>
      </c>
      <c r="U268" s="35"/>
      <c r="V268" s="35"/>
      <c r="W268" s="35"/>
      <c r="X268" s="35"/>
      <c r="Y268" s="32" t="str">
        <f t="shared" si="24"/>
        <v/>
      </c>
      <c r="Z268" s="35"/>
      <c r="AA268" s="35"/>
      <c r="AB268" s="35"/>
      <c r="AC268" s="35"/>
      <c r="AD268" s="35"/>
      <c r="AE268" s="35"/>
      <c r="AF268" s="35"/>
      <c r="AG268" s="15" t="s">
        <v>498</v>
      </c>
      <c r="AH268" s="39"/>
      <c r="AI268" s="39"/>
      <c r="AM268" s="69"/>
    </row>
    <row r="269" spans="1:39" ht="22.8" x14ac:dyDescent="0.3">
      <c r="A269" s="30">
        <v>3614</v>
      </c>
      <c r="B269" s="9"/>
      <c r="C269" s="36"/>
      <c r="D269" s="9"/>
      <c r="E269" s="9" t="s">
        <v>847</v>
      </c>
      <c r="F269" s="30" t="s">
        <v>313</v>
      </c>
      <c r="G269" s="31" t="s">
        <v>316</v>
      </c>
      <c r="H269" s="31" t="s">
        <v>315</v>
      </c>
      <c r="I269" s="31" t="s">
        <v>315</v>
      </c>
      <c r="J269" s="31" t="s">
        <v>315</v>
      </c>
      <c r="K269" s="31" t="s">
        <v>315</v>
      </c>
      <c r="L269" s="32" t="str">
        <f t="shared" si="20"/>
        <v>EXCLUDE</v>
      </c>
      <c r="M269" s="32" t="str">
        <f t="shared" si="21"/>
        <v>Wrong domain (non-AECO)</v>
      </c>
      <c r="N269" s="33"/>
      <c r="O269" s="33"/>
      <c r="P269" s="34"/>
      <c r="Q269" s="34"/>
      <c r="R269" s="34"/>
      <c r="S269" s="32" t="str">
        <f t="shared" si="22"/>
        <v/>
      </c>
      <c r="T269" s="32" t="str">
        <f t="shared" si="23"/>
        <v/>
      </c>
      <c r="U269" s="35"/>
      <c r="V269" s="35"/>
      <c r="W269" s="35"/>
      <c r="X269" s="35"/>
      <c r="Y269" s="32" t="str">
        <f t="shared" si="24"/>
        <v/>
      </c>
      <c r="Z269" s="35"/>
      <c r="AA269" s="35"/>
      <c r="AB269" s="35"/>
      <c r="AC269" s="35"/>
      <c r="AD269" s="35"/>
      <c r="AE269" s="35"/>
      <c r="AF269" s="35"/>
      <c r="AG269" s="15" t="s">
        <v>499</v>
      </c>
      <c r="AH269" s="39"/>
      <c r="AI269" s="39"/>
      <c r="AM269" s="69"/>
    </row>
    <row r="270" spans="1:39" ht="22.8" x14ac:dyDescent="0.3">
      <c r="A270" s="30">
        <v>3710</v>
      </c>
      <c r="B270" s="9"/>
      <c r="C270" s="36"/>
      <c r="D270" s="9"/>
      <c r="E270" s="9" t="s">
        <v>848</v>
      </c>
      <c r="F270" s="30" t="s">
        <v>313</v>
      </c>
      <c r="G270" s="31" t="s">
        <v>316</v>
      </c>
      <c r="H270" s="31" t="s">
        <v>315</v>
      </c>
      <c r="I270" s="31" t="s">
        <v>315</v>
      </c>
      <c r="J270" s="31" t="s">
        <v>315</v>
      </c>
      <c r="K270" s="31" t="s">
        <v>315</v>
      </c>
      <c r="L270" s="32" t="str">
        <f t="shared" si="20"/>
        <v>EXCLUDE</v>
      </c>
      <c r="M270" s="32" t="str">
        <f t="shared" si="21"/>
        <v>Wrong domain (non-AECO)</v>
      </c>
      <c r="N270" s="33"/>
      <c r="O270" s="33"/>
      <c r="P270" s="34"/>
      <c r="Q270" s="34"/>
      <c r="R270" s="34"/>
      <c r="S270" s="32" t="str">
        <f t="shared" si="22"/>
        <v/>
      </c>
      <c r="T270" s="32" t="str">
        <f t="shared" si="23"/>
        <v/>
      </c>
      <c r="U270" s="35"/>
      <c r="V270" s="35"/>
      <c r="W270" s="35"/>
      <c r="X270" s="35"/>
      <c r="Y270" s="32" t="str">
        <f t="shared" si="24"/>
        <v/>
      </c>
      <c r="Z270" s="35"/>
      <c r="AA270" s="35"/>
      <c r="AB270" s="35"/>
      <c r="AC270" s="35"/>
      <c r="AD270" s="35"/>
      <c r="AE270" s="35"/>
      <c r="AF270" s="35"/>
      <c r="AG270" s="15" t="s">
        <v>500</v>
      </c>
      <c r="AH270" s="39"/>
      <c r="AI270" s="39"/>
      <c r="AM270" s="69"/>
    </row>
    <row r="271" spans="1:39" ht="22.8" x14ac:dyDescent="0.3">
      <c r="A271" s="30">
        <v>3893</v>
      </c>
      <c r="B271" s="9"/>
      <c r="C271" s="36"/>
      <c r="D271" s="9"/>
      <c r="E271" s="9" t="s">
        <v>848</v>
      </c>
      <c r="F271" s="30" t="s">
        <v>314</v>
      </c>
      <c r="G271" s="31" t="s">
        <v>316</v>
      </c>
      <c r="H271" s="31" t="s">
        <v>315</v>
      </c>
      <c r="I271" s="31" t="s">
        <v>315</v>
      </c>
      <c r="J271" s="31" t="s">
        <v>315</v>
      </c>
      <c r="K271" s="31" t="s">
        <v>315</v>
      </c>
      <c r="L271" s="32" t="str">
        <f t="shared" si="20"/>
        <v>EXCLUDE</v>
      </c>
      <c r="M271" s="32" t="str">
        <f t="shared" si="21"/>
        <v>Wrong domain (non-AECO)</v>
      </c>
      <c r="N271" s="33"/>
      <c r="O271" s="33"/>
      <c r="P271" s="34"/>
      <c r="Q271" s="34"/>
      <c r="R271" s="34"/>
      <c r="S271" s="32" t="str">
        <f t="shared" si="22"/>
        <v/>
      </c>
      <c r="T271" s="32" t="str">
        <f t="shared" si="23"/>
        <v/>
      </c>
      <c r="U271" s="35"/>
      <c r="V271" s="35"/>
      <c r="W271" s="35"/>
      <c r="X271" s="35"/>
      <c r="Y271" s="32" t="str">
        <f t="shared" si="24"/>
        <v/>
      </c>
      <c r="Z271" s="35"/>
      <c r="AA271" s="35"/>
      <c r="AB271" s="35"/>
      <c r="AC271" s="35"/>
      <c r="AD271" s="35"/>
      <c r="AE271" s="35"/>
      <c r="AF271" s="35"/>
      <c r="AG271" s="15" t="s">
        <v>501</v>
      </c>
      <c r="AH271" s="39"/>
      <c r="AI271" s="39"/>
      <c r="AM271" s="69"/>
    </row>
    <row r="272" spans="1:39" ht="102.6" x14ac:dyDescent="0.3">
      <c r="A272" s="30">
        <v>4000</v>
      </c>
      <c r="B272" s="9" t="s">
        <v>251</v>
      </c>
      <c r="C272" s="36">
        <v>2025</v>
      </c>
      <c r="D272" s="9"/>
      <c r="E272" s="9" t="s">
        <v>849</v>
      </c>
      <c r="F272" s="30" t="s">
        <v>314</v>
      </c>
      <c r="G272" s="31" t="s">
        <v>315</v>
      </c>
      <c r="H272" s="31" t="s">
        <v>315</v>
      </c>
      <c r="I272" s="31" t="s">
        <v>315</v>
      </c>
      <c r="J272" s="31" t="s">
        <v>315</v>
      </c>
      <c r="K272" s="31" t="s">
        <v>315</v>
      </c>
      <c r="L272" s="32" t="str">
        <f t="shared" si="20"/>
        <v>INCLUDE</v>
      </c>
      <c r="M272" s="32" t="str">
        <f t="shared" si="21"/>
        <v/>
      </c>
      <c r="N272" s="33" t="s">
        <v>49</v>
      </c>
      <c r="O272" s="33" t="s">
        <v>49</v>
      </c>
      <c r="P272" s="34" t="s">
        <v>49</v>
      </c>
      <c r="Q272" s="34" t="s">
        <v>49</v>
      </c>
      <c r="R272" s="34" t="s">
        <v>49</v>
      </c>
      <c r="S272" s="32" t="str">
        <f t="shared" si="22"/>
        <v>INCLUDE</v>
      </c>
      <c r="T272" s="32" t="str">
        <f t="shared" si="23"/>
        <v/>
      </c>
      <c r="U272" s="35" t="s">
        <v>82</v>
      </c>
      <c r="V272" s="35">
        <v>0</v>
      </c>
      <c r="W272" s="35">
        <v>0</v>
      </c>
      <c r="X272" s="35">
        <v>1</v>
      </c>
      <c r="Y272" s="32" t="str">
        <f t="shared" si="24"/>
        <v>Single</v>
      </c>
      <c r="Z272" s="35" t="s">
        <v>9</v>
      </c>
      <c r="AA272" s="35" t="s">
        <v>53</v>
      </c>
      <c r="AB272" s="35" t="s">
        <v>78</v>
      </c>
      <c r="AC272" s="35" t="s">
        <v>64</v>
      </c>
      <c r="AD272" s="35" t="s">
        <v>65</v>
      </c>
      <c r="AE272" s="35">
        <v>3</v>
      </c>
      <c r="AF272" s="35" t="s">
        <v>73</v>
      </c>
      <c r="AG272" s="15" t="s">
        <v>1137</v>
      </c>
      <c r="AH272" s="39" t="s">
        <v>1338</v>
      </c>
      <c r="AI272" s="39" t="s">
        <v>1339</v>
      </c>
      <c r="AJ272" t="s">
        <v>1497</v>
      </c>
      <c r="AK272" t="s">
        <v>1594</v>
      </c>
      <c r="AL272" t="s">
        <v>1499</v>
      </c>
      <c r="AM272" s="69"/>
    </row>
    <row r="273" spans="1:39" ht="22.8" x14ac:dyDescent="0.3">
      <c r="A273" s="30">
        <v>3627</v>
      </c>
      <c r="B273" s="9"/>
      <c r="C273" s="36"/>
      <c r="D273" s="9"/>
      <c r="E273" s="9" t="s">
        <v>850</v>
      </c>
      <c r="F273" s="30" t="s">
        <v>313</v>
      </c>
      <c r="G273" s="31" t="s">
        <v>315</v>
      </c>
      <c r="H273" s="31" t="s">
        <v>315</v>
      </c>
      <c r="I273" s="31" t="s">
        <v>315</v>
      </c>
      <c r="J273" s="31" t="s">
        <v>315</v>
      </c>
      <c r="K273" s="31" t="s">
        <v>316</v>
      </c>
      <c r="L273" s="32" t="str">
        <f t="shared" si="20"/>
        <v>EXCLUDE</v>
      </c>
      <c r="M273" s="32" t="str">
        <f t="shared" si="21"/>
        <v>Non-English</v>
      </c>
      <c r="N273" s="33"/>
      <c r="O273" s="33"/>
      <c r="P273" s="34"/>
      <c r="Q273" s="34"/>
      <c r="R273" s="34"/>
      <c r="S273" s="32" t="str">
        <f t="shared" si="22"/>
        <v/>
      </c>
      <c r="T273" s="32" t="str">
        <f t="shared" si="23"/>
        <v/>
      </c>
      <c r="U273" s="35"/>
      <c r="V273" s="35"/>
      <c r="W273" s="35"/>
      <c r="X273" s="35"/>
      <c r="Y273" s="32" t="str">
        <f t="shared" si="24"/>
        <v/>
      </c>
      <c r="Z273" s="35"/>
      <c r="AA273" s="35"/>
      <c r="AB273" s="35"/>
      <c r="AC273" s="35"/>
      <c r="AD273" s="35"/>
      <c r="AE273" s="35"/>
      <c r="AF273" s="35"/>
      <c r="AG273" s="15" t="s">
        <v>502</v>
      </c>
      <c r="AH273" s="39"/>
      <c r="AI273" s="39"/>
      <c r="AM273" s="69"/>
    </row>
    <row r="274" spans="1:39" ht="102.6" x14ac:dyDescent="0.3">
      <c r="A274" s="30">
        <v>3892</v>
      </c>
      <c r="B274" s="9" t="s">
        <v>252</v>
      </c>
      <c r="C274" s="36">
        <v>2026</v>
      </c>
      <c r="D274" s="9"/>
      <c r="E274" s="9" t="s">
        <v>851</v>
      </c>
      <c r="F274" s="30" t="s">
        <v>314</v>
      </c>
      <c r="G274" s="31" t="s">
        <v>315</v>
      </c>
      <c r="H274" s="31" t="s">
        <v>315</v>
      </c>
      <c r="I274" s="31" t="s">
        <v>315</v>
      </c>
      <c r="J274" s="31" t="s">
        <v>315</v>
      </c>
      <c r="K274" s="31" t="s">
        <v>315</v>
      </c>
      <c r="L274" s="32" t="str">
        <f t="shared" si="20"/>
        <v>INCLUDE</v>
      </c>
      <c r="M274" s="32" t="str">
        <f t="shared" si="21"/>
        <v/>
      </c>
      <c r="N274" s="33" t="s">
        <v>315</v>
      </c>
      <c r="O274" s="33" t="s">
        <v>315</v>
      </c>
      <c r="P274" s="34" t="s">
        <v>315</v>
      </c>
      <c r="Q274" s="34" t="s">
        <v>315</v>
      </c>
      <c r="R274" s="34" t="s">
        <v>315</v>
      </c>
      <c r="S274" s="32" t="str">
        <f t="shared" si="22"/>
        <v>INCLUDE</v>
      </c>
      <c r="T274" s="32" t="str">
        <f t="shared" si="23"/>
        <v/>
      </c>
      <c r="U274" s="35" t="s">
        <v>61</v>
      </c>
      <c r="V274" s="35">
        <v>0</v>
      </c>
      <c r="W274" s="35">
        <v>0</v>
      </c>
      <c r="X274" s="35">
        <v>1</v>
      </c>
      <c r="Y274" s="32" t="str">
        <f t="shared" si="24"/>
        <v>Single</v>
      </c>
      <c r="Z274" s="35" t="s">
        <v>9</v>
      </c>
      <c r="AA274" s="35" t="s">
        <v>53</v>
      </c>
      <c r="AB274" s="35" t="s">
        <v>89</v>
      </c>
      <c r="AC274" s="35" t="s">
        <v>64</v>
      </c>
      <c r="AD274" s="35" t="s">
        <v>72</v>
      </c>
      <c r="AE274" s="35">
        <v>4</v>
      </c>
      <c r="AF274" s="35" t="s">
        <v>84</v>
      </c>
      <c r="AG274" s="15" t="s">
        <v>1049</v>
      </c>
      <c r="AH274" s="39" t="s">
        <v>1340</v>
      </c>
      <c r="AI274" s="39" t="s">
        <v>1341</v>
      </c>
      <c r="AJ274" t="s">
        <v>1497</v>
      </c>
      <c r="AK274" t="s">
        <v>1595</v>
      </c>
      <c r="AL274" t="s">
        <v>1499</v>
      </c>
      <c r="AM274" s="69"/>
    </row>
    <row r="275" spans="1:39" x14ac:dyDescent="0.3">
      <c r="A275" s="30">
        <v>3673</v>
      </c>
      <c r="B275" s="9"/>
      <c r="C275" s="36"/>
      <c r="D275" s="9"/>
      <c r="E275" s="9" t="s">
        <v>852</v>
      </c>
      <c r="F275" s="30" t="s">
        <v>313</v>
      </c>
      <c r="G275" s="31" t="s">
        <v>315</v>
      </c>
      <c r="H275" s="31" t="s">
        <v>315</v>
      </c>
      <c r="I275" s="31" t="s">
        <v>315</v>
      </c>
      <c r="J275" s="31" t="s">
        <v>315</v>
      </c>
      <c r="K275" s="31" t="s">
        <v>316</v>
      </c>
      <c r="L275" s="32" t="str">
        <f t="shared" si="20"/>
        <v>EXCLUDE</v>
      </c>
      <c r="M275" s="32" t="str">
        <f t="shared" si="21"/>
        <v>Non-English</v>
      </c>
      <c r="N275" s="33"/>
      <c r="O275" s="33"/>
      <c r="P275" s="34"/>
      <c r="Q275" s="34"/>
      <c r="R275" s="34"/>
      <c r="S275" s="32" t="str">
        <f t="shared" si="22"/>
        <v/>
      </c>
      <c r="T275" s="32" t="str">
        <f t="shared" si="23"/>
        <v/>
      </c>
      <c r="U275" s="35"/>
      <c r="V275" s="35"/>
      <c r="W275" s="35"/>
      <c r="X275" s="35"/>
      <c r="Y275" s="32" t="str">
        <f t="shared" si="24"/>
        <v/>
      </c>
      <c r="Z275" s="35"/>
      <c r="AA275" s="35"/>
      <c r="AB275" s="35"/>
      <c r="AC275" s="35"/>
      <c r="AD275" s="35"/>
      <c r="AE275" s="35"/>
      <c r="AF275" s="35"/>
      <c r="AG275" s="15" t="s">
        <v>480</v>
      </c>
      <c r="AH275" s="39"/>
      <c r="AI275" s="39"/>
      <c r="AM275" s="69"/>
    </row>
    <row r="276" spans="1:39" ht="22.8" x14ac:dyDescent="0.3">
      <c r="A276" s="30">
        <v>3663</v>
      </c>
      <c r="B276" s="9"/>
      <c r="C276" s="36"/>
      <c r="D276" s="9"/>
      <c r="E276" s="9" t="s">
        <v>853</v>
      </c>
      <c r="F276" s="30" t="s">
        <v>313</v>
      </c>
      <c r="G276" s="31" t="s">
        <v>316</v>
      </c>
      <c r="H276" s="31" t="s">
        <v>315</v>
      </c>
      <c r="I276" s="31" t="s">
        <v>315</v>
      </c>
      <c r="J276" s="31" t="s">
        <v>315</v>
      </c>
      <c r="K276" s="31" t="s">
        <v>315</v>
      </c>
      <c r="L276" s="32" t="str">
        <f t="shared" si="20"/>
        <v>EXCLUDE</v>
      </c>
      <c r="M276" s="32" t="str">
        <f t="shared" si="21"/>
        <v>Wrong domain (non-AECO)</v>
      </c>
      <c r="N276" s="33"/>
      <c r="O276" s="33"/>
      <c r="P276" s="34"/>
      <c r="Q276" s="34"/>
      <c r="R276" s="34"/>
      <c r="S276" s="32" t="str">
        <f t="shared" si="22"/>
        <v/>
      </c>
      <c r="T276" s="32" t="str">
        <f t="shared" si="23"/>
        <v/>
      </c>
      <c r="U276" s="35"/>
      <c r="V276" s="35"/>
      <c r="W276" s="35"/>
      <c r="X276" s="35"/>
      <c r="Y276" s="32" t="str">
        <f t="shared" si="24"/>
        <v/>
      </c>
      <c r="Z276" s="35"/>
      <c r="AA276" s="35"/>
      <c r="AB276" s="35"/>
      <c r="AC276" s="35"/>
      <c r="AD276" s="35"/>
      <c r="AE276" s="35"/>
      <c r="AF276" s="35"/>
      <c r="AG276" s="15" t="s">
        <v>503</v>
      </c>
      <c r="AH276" s="39"/>
      <c r="AI276" s="39"/>
      <c r="AM276" s="69"/>
    </row>
    <row r="277" spans="1:39" ht="22.8" x14ac:dyDescent="0.3">
      <c r="A277" s="30">
        <v>3791</v>
      </c>
      <c r="B277" s="9"/>
      <c r="C277" s="36"/>
      <c r="D277" s="9"/>
      <c r="E277" s="9" t="s">
        <v>854</v>
      </c>
      <c r="F277" s="30" t="s">
        <v>313</v>
      </c>
      <c r="G277" s="31" t="s">
        <v>315</v>
      </c>
      <c r="H277" s="31" t="s">
        <v>316</v>
      </c>
      <c r="I277" s="31" t="s">
        <v>316</v>
      </c>
      <c r="J277" s="31" t="s">
        <v>315</v>
      </c>
      <c r="K277" s="31" t="s">
        <v>316</v>
      </c>
      <c r="L277" s="32" t="str">
        <f t="shared" si="20"/>
        <v>EXCLUDE</v>
      </c>
      <c r="M277" s="32" t="str">
        <f t="shared" si="21"/>
        <v>Digital Twin not core / buzzword</v>
      </c>
      <c r="N277" s="33"/>
      <c r="O277" s="33"/>
      <c r="P277" s="34"/>
      <c r="Q277" s="34"/>
      <c r="R277" s="34"/>
      <c r="S277" s="32" t="str">
        <f t="shared" si="22"/>
        <v/>
      </c>
      <c r="T277" s="32" t="str">
        <f t="shared" si="23"/>
        <v/>
      </c>
      <c r="U277" s="35"/>
      <c r="V277" s="35"/>
      <c r="W277" s="35"/>
      <c r="X277" s="35"/>
      <c r="Y277" s="32" t="str">
        <f t="shared" si="24"/>
        <v/>
      </c>
      <c r="Z277" s="35"/>
      <c r="AA277" s="35"/>
      <c r="AB277" s="35"/>
      <c r="AC277" s="35"/>
      <c r="AD277" s="35"/>
      <c r="AE277" s="35"/>
      <c r="AF277" s="35"/>
      <c r="AG277" s="15" t="s">
        <v>504</v>
      </c>
      <c r="AH277" s="39"/>
      <c r="AI277" s="39"/>
      <c r="AM277" s="69"/>
    </row>
    <row r="278" spans="1:39" ht="91.2" x14ac:dyDescent="0.3">
      <c r="A278" s="30">
        <v>4042</v>
      </c>
      <c r="B278" s="9" t="s">
        <v>253</v>
      </c>
      <c r="C278" s="36">
        <v>2025</v>
      </c>
      <c r="D278" s="9"/>
      <c r="E278" s="9" t="s">
        <v>855</v>
      </c>
      <c r="F278" s="30" t="s">
        <v>314</v>
      </c>
      <c r="G278" s="31" t="s">
        <v>315</v>
      </c>
      <c r="H278" s="31" t="s">
        <v>315</v>
      </c>
      <c r="I278" s="31" t="s">
        <v>315</v>
      </c>
      <c r="J278" s="31" t="s">
        <v>315</v>
      </c>
      <c r="K278" s="31" t="s">
        <v>315</v>
      </c>
      <c r="L278" s="32" t="str">
        <f t="shared" si="20"/>
        <v>INCLUDE</v>
      </c>
      <c r="M278" s="32" t="str">
        <f t="shared" si="21"/>
        <v/>
      </c>
      <c r="N278" s="33" t="s">
        <v>49</v>
      </c>
      <c r="O278" s="33" t="s">
        <v>49</v>
      </c>
      <c r="P278" s="34" t="s">
        <v>58</v>
      </c>
      <c r="Q278" s="34" t="s">
        <v>49</v>
      </c>
      <c r="R278" s="34" t="s">
        <v>49</v>
      </c>
      <c r="S278" s="32" t="str">
        <f t="shared" si="22"/>
        <v>EXCLUDE</v>
      </c>
      <c r="T278" s="32" t="str">
        <f t="shared" si="23"/>
        <v>Digital Twin mentioned only, not the subject</v>
      </c>
      <c r="U278" s="35" t="s">
        <v>82</v>
      </c>
      <c r="V278" s="35"/>
      <c r="W278" s="35"/>
      <c r="X278" s="35"/>
      <c r="Y278" s="32" t="str">
        <f t="shared" si="24"/>
        <v/>
      </c>
      <c r="Z278" s="35"/>
      <c r="AA278" s="35"/>
      <c r="AB278" s="35"/>
      <c r="AC278" s="35"/>
      <c r="AD278" s="35"/>
      <c r="AE278" s="35"/>
      <c r="AF278" s="35"/>
      <c r="AG278" s="15" t="s">
        <v>1138</v>
      </c>
      <c r="AH278" s="39"/>
      <c r="AI278" s="39"/>
      <c r="AM278" s="69"/>
    </row>
    <row r="279" spans="1:39" ht="91.2" x14ac:dyDescent="0.3">
      <c r="A279" s="30">
        <v>3983</v>
      </c>
      <c r="B279" s="9" t="s">
        <v>254</v>
      </c>
      <c r="C279" s="36">
        <v>2025</v>
      </c>
      <c r="D279" s="9"/>
      <c r="E279" s="9" t="s">
        <v>856</v>
      </c>
      <c r="F279" s="30" t="s">
        <v>314</v>
      </c>
      <c r="G279" s="31" t="s">
        <v>315</v>
      </c>
      <c r="H279" s="31" t="s">
        <v>315</v>
      </c>
      <c r="I279" s="31" t="s">
        <v>315</v>
      </c>
      <c r="J279" s="31" t="s">
        <v>315</v>
      </c>
      <c r="K279" s="31" t="s">
        <v>315</v>
      </c>
      <c r="L279" s="32" t="str">
        <f t="shared" si="20"/>
        <v>INCLUDE</v>
      </c>
      <c r="M279" s="32" t="str">
        <f t="shared" si="21"/>
        <v/>
      </c>
      <c r="N279" s="33" t="s">
        <v>315</v>
      </c>
      <c r="O279" s="33" t="s">
        <v>315</v>
      </c>
      <c r="P279" s="34" t="s">
        <v>315</v>
      </c>
      <c r="Q279" s="34" t="s">
        <v>315</v>
      </c>
      <c r="R279" s="34" t="s">
        <v>315</v>
      </c>
      <c r="S279" s="32" t="str">
        <f t="shared" si="22"/>
        <v>INCLUDE</v>
      </c>
      <c r="T279" s="32" t="str">
        <f t="shared" si="23"/>
        <v/>
      </c>
      <c r="U279" s="35" t="s">
        <v>61</v>
      </c>
      <c r="V279" s="35">
        <v>0</v>
      </c>
      <c r="W279" s="35">
        <v>0</v>
      </c>
      <c r="X279" s="35">
        <v>1</v>
      </c>
      <c r="Y279" s="32" t="str">
        <f t="shared" si="24"/>
        <v>Single</v>
      </c>
      <c r="Z279" s="35" t="s">
        <v>9</v>
      </c>
      <c r="AA279" s="35" t="s">
        <v>53</v>
      </c>
      <c r="AB279" s="35" t="s">
        <v>88</v>
      </c>
      <c r="AC279" s="35" t="s">
        <v>64</v>
      </c>
      <c r="AD279" s="35" t="s">
        <v>72</v>
      </c>
      <c r="AE279" s="35">
        <v>4</v>
      </c>
      <c r="AF279" s="35" t="s">
        <v>80</v>
      </c>
      <c r="AG279" s="15" t="s">
        <v>1050</v>
      </c>
      <c r="AH279" s="39" t="s">
        <v>1342</v>
      </c>
      <c r="AI279" s="39" t="s">
        <v>1343</v>
      </c>
      <c r="AJ279" t="s">
        <v>1496</v>
      </c>
      <c r="AK279" t="s">
        <v>1596</v>
      </c>
      <c r="AL279" t="s">
        <v>1499</v>
      </c>
      <c r="AM279" s="69"/>
    </row>
    <row r="280" spans="1:39" ht="22.8" x14ac:dyDescent="0.3">
      <c r="A280" s="30">
        <v>3957</v>
      </c>
      <c r="B280" s="9"/>
      <c r="C280" s="36"/>
      <c r="D280" s="9"/>
      <c r="E280" s="9" t="s">
        <v>857</v>
      </c>
      <c r="F280" s="30" t="s">
        <v>314</v>
      </c>
      <c r="G280" s="31" t="s">
        <v>315</v>
      </c>
      <c r="H280" s="31" t="s">
        <v>316</v>
      </c>
      <c r="I280" s="31" t="s">
        <v>316</v>
      </c>
      <c r="J280" s="31" t="s">
        <v>315</v>
      </c>
      <c r="K280" s="31" t="s">
        <v>315</v>
      </c>
      <c r="L280" s="32" t="str">
        <f t="shared" si="20"/>
        <v>EXCLUDE</v>
      </c>
      <c r="M280" s="32" t="str">
        <f t="shared" si="21"/>
        <v>Digital Twin not core / buzzword</v>
      </c>
      <c r="N280" s="33"/>
      <c r="O280" s="33"/>
      <c r="P280" s="34"/>
      <c r="Q280" s="34"/>
      <c r="R280" s="34"/>
      <c r="S280" s="32" t="str">
        <f t="shared" si="22"/>
        <v/>
      </c>
      <c r="T280" s="32" t="str">
        <f t="shared" si="23"/>
        <v/>
      </c>
      <c r="U280" s="35"/>
      <c r="V280" s="35"/>
      <c r="W280" s="35"/>
      <c r="X280" s="35"/>
      <c r="Y280" s="32" t="str">
        <f t="shared" si="24"/>
        <v/>
      </c>
      <c r="Z280" s="35"/>
      <c r="AA280" s="35"/>
      <c r="AB280" s="35"/>
      <c r="AC280" s="35"/>
      <c r="AD280" s="35"/>
      <c r="AE280" s="35"/>
      <c r="AF280" s="35"/>
      <c r="AG280" s="15" t="s">
        <v>505</v>
      </c>
      <c r="AH280" s="39"/>
      <c r="AI280" s="39"/>
      <c r="AM280" s="69"/>
    </row>
    <row r="281" spans="1:39" ht="22.8" x14ac:dyDescent="0.3">
      <c r="A281" s="30">
        <v>3714</v>
      </c>
      <c r="B281" s="9"/>
      <c r="C281" s="36"/>
      <c r="D281" s="9"/>
      <c r="E281" s="9" t="s">
        <v>858</v>
      </c>
      <c r="F281" s="30" t="s">
        <v>313</v>
      </c>
      <c r="G281" s="31" t="s">
        <v>316</v>
      </c>
      <c r="H281" s="31" t="s">
        <v>315</v>
      </c>
      <c r="I281" s="31" t="s">
        <v>315</v>
      </c>
      <c r="J281" s="31" t="s">
        <v>315</v>
      </c>
      <c r="K281" s="31" t="s">
        <v>315</v>
      </c>
      <c r="L281" s="32" t="str">
        <f t="shared" si="20"/>
        <v>EXCLUDE</v>
      </c>
      <c r="M281" s="32" t="str">
        <f t="shared" si="21"/>
        <v>Wrong domain (non-AECO)</v>
      </c>
      <c r="N281" s="33"/>
      <c r="O281" s="33"/>
      <c r="P281" s="34"/>
      <c r="Q281" s="34"/>
      <c r="R281" s="34"/>
      <c r="S281" s="32" t="str">
        <f t="shared" si="22"/>
        <v/>
      </c>
      <c r="T281" s="32" t="str">
        <f t="shared" si="23"/>
        <v/>
      </c>
      <c r="U281" s="35"/>
      <c r="V281" s="35"/>
      <c r="W281" s="35"/>
      <c r="X281" s="35"/>
      <c r="Y281" s="32" t="str">
        <f t="shared" si="24"/>
        <v/>
      </c>
      <c r="Z281" s="35"/>
      <c r="AA281" s="35"/>
      <c r="AB281" s="35"/>
      <c r="AC281" s="35"/>
      <c r="AD281" s="35"/>
      <c r="AE281" s="35"/>
      <c r="AF281" s="35"/>
      <c r="AG281" s="15" t="s">
        <v>506</v>
      </c>
      <c r="AH281" s="39"/>
      <c r="AI281" s="39"/>
      <c r="AM281" s="69"/>
    </row>
    <row r="282" spans="1:39" ht="22.8" x14ac:dyDescent="0.3">
      <c r="A282" s="30">
        <v>3634</v>
      </c>
      <c r="B282" s="9"/>
      <c r="C282" s="36"/>
      <c r="D282" s="9"/>
      <c r="E282" s="9" t="s">
        <v>859</v>
      </c>
      <c r="F282" s="30" t="s">
        <v>313</v>
      </c>
      <c r="G282" s="31" t="s">
        <v>316</v>
      </c>
      <c r="H282" s="31" t="s">
        <v>315</v>
      </c>
      <c r="I282" s="31" t="s">
        <v>315</v>
      </c>
      <c r="J282" s="31" t="s">
        <v>315</v>
      </c>
      <c r="K282" s="31" t="s">
        <v>315</v>
      </c>
      <c r="L282" s="32" t="str">
        <f t="shared" si="20"/>
        <v>EXCLUDE</v>
      </c>
      <c r="M282" s="32" t="str">
        <f t="shared" si="21"/>
        <v>Wrong domain (non-AECO)</v>
      </c>
      <c r="N282" s="33"/>
      <c r="O282" s="33"/>
      <c r="P282" s="34"/>
      <c r="Q282" s="34"/>
      <c r="R282" s="34"/>
      <c r="S282" s="32" t="str">
        <f t="shared" si="22"/>
        <v/>
      </c>
      <c r="T282" s="32" t="str">
        <f t="shared" si="23"/>
        <v/>
      </c>
      <c r="U282" s="35"/>
      <c r="V282" s="35"/>
      <c r="W282" s="35"/>
      <c r="X282" s="35"/>
      <c r="Y282" s="32" t="str">
        <f t="shared" si="24"/>
        <v/>
      </c>
      <c r="Z282" s="35"/>
      <c r="AA282" s="35"/>
      <c r="AB282" s="35"/>
      <c r="AC282" s="35"/>
      <c r="AD282" s="35"/>
      <c r="AE282" s="35"/>
      <c r="AF282" s="35"/>
      <c r="AG282" s="15" t="s">
        <v>507</v>
      </c>
      <c r="AH282" s="39"/>
      <c r="AI282" s="39"/>
      <c r="AM282" s="69"/>
    </row>
    <row r="283" spans="1:39" ht="22.8" x14ac:dyDescent="0.3">
      <c r="A283" s="30">
        <v>3772</v>
      </c>
      <c r="B283" s="9"/>
      <c r="C283" s="36"/>
      <c r="D283" s="9"/>
      <c r="E283" s="9" t="s">
        <v>860</v>
      </c>
      <c r="F283" s="30" t="s">
        <v>313</v>
      </c>
      <c r="G283" s="31" t="s">
        <v>316</v>
      </c>
      <c r="H283" s="31" t="s">
        <v>315</v>
      </c>
      <c r="I283" s="31" t="s">
        <v>315</v>
      </c>
      <c r="J283" s="31" t="s">
        <v>315</v>
      </c>
      <c r="K283" s="31" t="s">
        <v>315</v>
      </c>
      <c r="L283" s="32" t="str">
        <f t="shared" si="20"/>
        <v>EXCLUDE</v>
      </c>
      <c r="M283" s="32" t="str">
        <f t="shared" si="21"/>
        <v>Wrong domain (non-AECO)</v>
      </c>
      <c r="N283" s="33"/>
      <c r="O283" s="33"/>
      <c r="P283" s="34"/>
      <c r="Q283" s="34"/>
      <c r="R283" s="34"/>
      <c r="S283" s="32" t="str">
        <f t="shared" si="22"/>
        <v/>
      </c>
      <c r="T283" s="32" t="str">
        <f t="shared" si="23"/>
        <v/>
      </c>
      <c r="U283" s="35"/>
      <c r="V283" s="35"/>
      <c r="W283" s="35"/>
      <c r="X283" s="35"/>
      <c r="Y283" s="32" t="str">
        <f t="shared" si="24"/>
        <v/>
      </c>
      <c r="Z283" s="35"/>
      <c r="AA283" s="35"/>
      <c r="AB283" s="35"/>
      <c r="AC283" s="35"/>
      <c r="AD283" s="35"/>
      <c r="AE283" s="35"/>
      <c r="AF283" s="35"/>
      <c r="AG283" s="15" t="s">
        <v>508</v>
      </c>
      <c r="AH283" s="39"/>
      <c r="AI283" s="39"/>
      <c r="AM283" s="69"/>
    </row>
    <row r="284" spans="1:39" ht="79.8" x14ac:dyDescent="0.3">
      <c r="A284" s="30">
        <v>3810</v>
      </c>
      <c r="B284" s="9" t="s">
        <v>255</v>
      </c>
      <c r="C284" s="36">
        <v>2023</v>
      </c>
      <c r="D284" s="9"/>
      <c r="E284" s="9" t="s">
        <v>861</v>
      </c>
      <c r="F284" s="30" t="s">
        <v>313</v>
      </c>
      <c r="G284" s="31" t="s">
        <v>315</v>
      </c>
      <c r="H284" s="31" t="s">
        <v>315</v>
      </c>
      <c r="I284" s="31" t="s">
        <v>315</v>
      </c>
      <c r="J284" s="31" t="s">
        <v>315</v>
      </c>
      <c r="K284" s="31" t="s">
        <v>315</v>
      </c>
      <c r="L284" s="32" t="str">
        <f t="shared" si="20"/>
        <v>INCLUDE</v>
      </c>
      <c r="M284" s="32" t="str">
        <f t="shared" si="21"/>
        <v/>
      </c>
      <c r="N284" s="33" t="s">
        <v>315</v>
      </c>
      <c r="O284" s="33" t="s">
        <v>315</v>
      </c>
      <c r="P284" s="34" t="s">
        <v>315</v>
      </c>
      <c r="Q284" s="34" t="s">
        <v>315</v>
      </c>
      <c r="R284" s="34" t="s">
        <v>315</v>
      </c>
      <c r="S284" s="32" t="str">
        <f t="shared" si="22"/>
        <v>INCLUDE</v>
      </c>
      <c r="T284" s="32" t="str">
        <f t="shared" si="23"/>
        <v/>
      </c>
      <c r="U284" s="35" t="s">
        <v>52</v>
      </c>
      <c r="V284" s="35">
        <v>0</v>
      </c>
      <c r="W284" s="35">
        <v>1</v>
      </c>
      <c r="X284" s="35">
        <v>0</v>
      </c>
      <c r="Y284" s="32" t="str">
        <f t="shared" si="24"/>
        <v>Single</v>
      </c>
      <c r="Z284" s="35" t="s">
        <v>9</v>
      </c>
      <c r="AA284" s="35" t="s">
        <v>53</v>
      </c>
      <c r="AB284" s="35" t="s">
        <v>91</v>
      </c>
      <c r="AC284" s="35" t="s">
        <v>64</v>
      </c>
      <c r="AD284" s="35" t="s">
        <v>56</v>
      </c>
      <c r="AE284" s="35">
        <v>3</v>
      </c>
      <c r="AF284" s="35" t="s">
        <v>86</v>
      </c>
      <c r="AG284" s="15" t="s">
        <v>1051</v>
      </c>
      <c r="AH284" s="39" t="s">
        <v>1344</v>
      </c>
      <c r="AI284" s="39" t="s">
        <v>1345</v>
      </c>
      <c r="AJ284" t="s">
        <v>82</v>
      </c>
      <c r="AK284" t="s">
        <v>1597</v>
      </c>
      <c r="AL284" t="s">
        <v>1499</v>
      </c>
      <c r="AM284" s="69"/>
    </row>
    <row r="285" spans="1:39" ht="22.8" x14ac:dyDescent="0.3">
      <c r="A285" s="30">
        <v>4047</v>
      </c>
      <c r="B285" s="9"/>
      <c r="C285" s="36"/>
      <c r="D285" s="9"/>
      <c r="E285" s="9" t="s">
        <v>862</v>
      </c>
      <c r="F285" s="30" t="s">
        <v>314</v>
      </c>
      <c r="G285" s="31" t="s">
        <v>315</v>
      </c>
      <c r="H285" s="31" t="s">
        <v>316</v>
      </c>
      <c r="I285" s="31" t="s">
        <v>316</v>
      </c>
      <c r="J285" s="31" t="s">
        <v>315</v>
      </c>
      <c r="K285" s="31" t="s">
        <v>315</v>
      </c>
      <c r="L285" s="32" t="str">
        <f t="shared" si="20"/>
        <v>EXCLUDE</v>
      </c>
      <c r="M285" s="32" t="str">
        <f t="shared" si="21"/>
        <v>Digital Twin not core / buzzword</v>
      </c>
      <c r="N285" s="33"/>
      <c r="O285" s="33"/>
      <c r="P285" s="34"/>
      <c r="Q285" s="34"/>
      <c r="R285" s="34"/>
      <c r="S285" s="32" t="str">
        <f t="shared" si="22"/>
        <v/>
      </c>
      <c r="T285" s="32" t="str">
        <f t="shared" si="23"/>
        <v/>
      </c>
      <c r="U285" s="35"/>
      <c r="V285" s="35"/>
      <c r="W285" s="35"/>
      <c r="X285" s="35"/>
      <c r="Y285" s="32" t="str">
        <f t="shared" si="24"/>
        <v/>
      </c>
      <c r="Z285" s="35"/>
      <c r="AA285" s="35"/>
      <c r="AB285" s="35"/>
      <c r="AC285" s="35"/>
      <c r="AD285" s="35"/>
      <c r="AE285" s="35"/>
      <c r="AF285" s="35"/>
      <c r="AG285" s="15" t="s">
        <v>509</v>
      </c>
      <c r="AH285" s="39"/>
      <c r="AI285" s="39"/>
      <c r="AM285" s="69"/>
    </row>
    <row r="286" spans="1:39" ht="22.8" x14ac:dyDescent="0.3">
      <c r="A286" s="30">
        <v>4052</v>
      </c>
      <c r="B286" s="9"/>
      <c r="C286" s="36"/>
      <c r="D286" s="9"/>
      <c r="E286" s="9" t="s">
        <v>863</v>
      </c>
      <c r="F286" s="30" t="s">
        <v>314</v>
      </c>
      <c r="G286" s="31" t="s">
        <v>315</v>
      </c>
      <c r="H286" s="31" t="s">
        <v>316</v>
      </c>
      <c r="I286" s="31" t="s">
        <v>316</v>
      </c>
      <c r="J286" s="31" t="s">
        <v>315</v>
      </c>
      <c r="K286" s="31" t="s">
        <v>315</v>
      </c>
      <c r="L286" s="32" t="str">
        <f t="shared" si="20"/>
        <v>EXCLUDE</v>
      </c>
      <c r="M286" s="32" t="str">
        <f t="shared" si="21"/>
        <v>Digital Twin not core / buzzword</v>
      </c>
      <c r="N286" s="33"/>
      <c r="O286" s="33"/>
      <c r="P286" s="34"/>
      <c r="Q286" s="34"/>
      <c r="R286" s="34"/>
      <c r="S286" s="32" t="str">
        <f t="shared" si="22"/>
        <v/>
      </c>
      <c r="T286" s="32" t="str">
        <f t="shared" si="23"/>
        <v/>
      </c>
      <c r="U286" s="35"/>
      <c r="V286" s="35"/>
      <c r="W286" s="35"/>
      <c r="X286" s="35"/>
      <c r="Y286" s="32" t="str">
        <f t="shared" si="24"/>
        <v/>
      </c>
      <c r="Z286" s="35"/>
      <c r="AA286" s="35"/>
      <c r="AB286" s="35"/>
      <c r="AC286" s="35"/>
      <c r="AD286" s="35"/>
      <c r="AE286" s="35"/>
      <c r="AF286" s="35"/>
      <c r="AG286" s="15" t="s">
        <v>510</v>
      </c>
      <c r="AH286" s="39"/>
      <c r="AI286" s="39"/>
      <c r="AM286" s="69"/>
    </row>
    <row r="287" spans="1:39" ht="22.8" x14ac:dyDescent="0.3">
      <c r="A287" s="30">
        <v>3722</v>
      </c>
      <c r="B287" s="9"/>
      <c r="C287" s="36"/>
      <c r="D287" s="9"/>
      <c r="E287" s="9" t="s">
        <v>864</v>
      </c>
      <c r="F287" s="30" t="s">
        <v>313</v>
      </c>
      <c r="G287" s="31" t="s">
        <v>315</v>
      </c>
      <c r="H287" s="31" t="s">
        <v>316</v>
      </c>
      <c r="I287" s="31" t="s">
        <v>315</v>
      </c>
      <c r="J287" s="31" t="s">
        <v>315</v>
      </c>
      <c r="K287" s="31" t="s">
        <v>315</v>
      </c>
      <c r="L287" s="32" t="str">
        <f t="shared" si="20"/>
        <v>EXCLUDE</v>
      </c>
      <c r="M287" s="32" t="str">
        <f t="shared" si="21"/>
        <v>Digital Twin not core / buzzword</v>
      </c>
      <c r="N287" s="33"/>
      <c r="O287" s="33"/>
      <c r="P287" s="34"/>
      <c r="Q287" s="34"/>
      <c r="R287" s="34"/>
      <c r="S287" s="32" t="str">
        <f t="shared" si="22"/>
        <v/>
      </c>
      <c r="T287" s="32" t="str">
        <f t="shared" si="23"/>
        <v/>
      </c>
      <c r="U287" s="35"/>
      <c r="V287" s="35"/>
      <c r="W287" s="35"/>
      <c r="X287" s="35"/>
      <c r="Y287" s="32" t="str">
        <f t="shared" si="24"/>
        <v/>
      </c>
      <c r="Z287" s="35"/>
      <c r="AA287" s="35"/>
      <c r="AB287" s="35"/>
      <c r="AC287" s="35"/>
      <c r="AD287" s="35"/>
      <c r="AE287" s="35"/>
      <c r="AF287" s="35"/>
      <c r="AG287" s="15" t="s">
        <v>511</v>
      </c>
      <c r="AH287" s="39"/>
      <c r="AI287" s="39"/>
      <c r="AM287" s="69"/>
    </row>
    <row r="288" spans="1:39" ht="22.8" x14ac:dyDescent="0.3">
      <c r="A288" s="30">
        <v>4043</v>
      </c>
      <c r="B288" s="9"/>
      <c r="C288" s="36"/>
      <c r="D288" s="9"/>
      <c r="E288" s="9" t="s">
        <v>865</v>
      </c>
      <c r="F288" s="30" t="s">
        <v>314</v>
      </c>
      <c r="G288" s="31" t="s">
        <v>315</v>
      </c>
      <c r="H288" s="31" t="s">
        <v>316</v>
      </c>
      <c r="I288" s="31" t="s">
        <v>315</v>
      </c>
      <c r="J288" s="31" t="s">
        <v>315</v>
      </c>
      <c r="K288" s="31" t="s">
        <v>315</v>
      </c>
      <c r="L288" s="32" t="str">
        <f t="shared" si="20"/>
        <v>EXCLUDE</v>
      </c>
      <c r="M288" s="32" t="str">
        <f t="shared" si="21"/>
        <v>Digital Twin not core / buzzword</v>
      </c>
      <c r="N288" s="33"/>
      <c r="O288" s="33"/>
      <c r="P288" s="34"/>
      <c r="Q288" s="34"/>
      <c r="R288" s="34"/>
      <c r="S288" s="32" t="str">
        <f t="shared" si="22"/>
        <v/>
      </c>
      <c r="T288" s="32" t="str">
        <f t="shared" si="23"/>
        <v/>
      </c>
      <c r="U288" s="35"/>
      <c r="V288" s="35"/>
      <c r="W288" s="35"/>
      <c r="X288" s="35"/>
      <c r="Y288" s="32" t="str">
        <f t="shared" si="24"/>
        <v/>
      </c>
      <c r="Z288" s="35"/>
      <c r="AA288" s="35"/>
      <c r="AB288" s="35"/>
      <c r="AC288" s="35"/>
      <c r="AD288" s="35"/>
      <c r="AE288" s="35"/>
      <c r="AF288" s="35"/>
      <c r="AG288" s="15" t="s">
        <v>512</v>
      </c>
      <c r="AH288" s="39"/>
      <c r="AI288" s="39"/>
      <c r="AM288" s="69"/>
    </row>
    <row r="289" spans="1:39" ht="22.8" x14ac:dyDescent="0.3">
      <c r="A289" s="30">
        <v>3818</v>
      </c>
      <c r="B289" s="9"/>
      <c r="C289" s="36"/>
      <c r="D289" s="9"/>
      <c r="E289" s="9" t="s">
        <v>866</v>
      </c>
      <c r="F289" s="30" t="s">
        <v>313</v>
      </c>
      <c r="G289" s="31" t="s">
        <v>315</v>
      </c>
      <c r="H289" s="31" t="s">
        <v>316</v>
      </c>
      <c r="I289" s="31" t="s">
        <v>316</v>
      </c>
      <c r="J289" s="31" t="s">
        <v>315</v>
      </c>
      <c r="K289" s="31" t="s">
        <v>315</v>
      </c>
      <c r="L289" s="32" t="str">
        <f t="shared" si="20"/>
        <v>EXCLUDE</v>
      </c>
      <c r="M289" s="32" t="str">
        <f t="shared" si="21"/>
        <v>Digital Twin not core / buzzword</v>
      </c>
      <c r="N289" s="33"/>
      <c r="O289" s="33"/>
      <c r="P289" s="34"/>
      <c r="Q289" s="34"/>
      <c r="R289" s="34"/>
      <c r="S289" s="32" t="str">
        <f t="shared" si="22"/>
        <v/>
      </c>
      <c r="T289" s="32" t="str">
        <f t="shared" si="23"/>
        <v/>
      </c>
      <c r="U289" s="35"/>
      <c r="V289" s="35"/>
      <c r="W289" s="35"/>
      <c r="X289" s="35"/>
      <c r="Y289" s="32" t="str">
        <f t="shared" si="24"/>
        <v/>
      </c>
      <c r="Z289" s="35"/>
      <c r="AA289" s="35"/>
      <c r="AB289" s="35"/>
      <c r="AC289" s="35"/>
      <c r="AD289" s="35"/>
      <c r="AE289" s="35"/>
      <c r="AF289" s="35"/>
      <c r="AG289" s="15" t="s">
        <v>513</v>
      </c>
      <c r="AH289" s="39"/>
      <c r="AI289" s="39"/>
      <c r="AM289" s="69"/>
    </row>
    <row r="290" spans="1:39" ht="22.8" x14ac:dyDescent="0.3">
      <c r="A290" s="30">
        <v>3900</v>
      </c>
      <c r="B290" s="9"/>
      <c r="C290" s="36"/>
      <c r="D290" s="9"/>
      <c r="E290" s="9" t="s">
        <v>867</v>
      </c>
      <c r="F290" s="30" t="s">
        <v>314</v>
      </c>
      <c r="G290" s="31" t="s">
        <v>315</v>
      </c>
      <c r="H290" s="31" t="s">
        <v>316</v>
      </c>
      <c r="I290" s="31" t="s">
        <v>316</v>
      </c>
      <c r="J290" s="31" t="s">
        <v>315</v>
      </c>
      <c r="K290" s="31" t="s">
        <v>315</v>
      </c>
      <c r="L290" s="32" t="str">
        <f t="shared" si="20"/>
        <v>EXCLUDE</v>
      </c>
      <c r="M290" s="32" t="str">
        <f t="shared" si="21"/>
        <v>Digital Twin not core / buzzword</v>
      </c>
      <c r="N290" s="33"/>
      <c r="O290" s="33"/>
      <c r="P290" s="34"/>
      <c r="Q290" s="34"/>
      <c r="R290" s="34"/>
      <c r="S290" s="32" t="str">
        <f t="shared" si="22"/>
        <v/>
      </c>
      <c r="T290" s="32" t="str">
        <f t="shared" si="23"/>
        <v/>
      </c>
      <c r="U290" s="35"/>
      <c r="V290" s="35"/>
      <c r="W290" s="35"/>
      <c r="X290" s="35"/>
      <c r="Y290" s="32" t="str">
        <f t="shared" si="24"/>
        <v/>
      </c>
      <c r="Z290" s="35"/>
      <c r="AA290" s="35"/>
      <c r="AB290" s="35"/>
      <c r="AC290" s="35"/>
      <c r="AD290" s="35"/>
      <c r="AE290" s="35"/>
      <c r="AF290" s="35"/>
      <c r="AG290" s="15" t="s">
        <v>514</v>
      </c>
      <c r="AH290" s="39"/>
      <c r="AI290" s="39"/>
      <c r="AM290" s="69"/>
    </row>
    <row r="291" spans="1:39" x14ac:dyDescent="0.3">
      <c r="A291" s="30">
        <v>3914</v>
      </c>
      <c r="B291" s="9"/>
      <c r="C291" s="36"/>
      <c r="D291" s="9"/>
      <c r="E291" s="9" t="s">
        <v>868</v>
      </c>
      <c r="F291" s="30" t="s">
        <v>314</v>
      </c>
      <c r="G291" s="31" t="s">
        <v>315</v>
      </c>
      <c r="H291" s="31" t="s">
        <v>315</v>
      </c>
      <c r="I291" s="31" t="s">
        <v>315</v>
      </c>
      <c r="J291" s="31" t="s">
        <v>315</v>
      </c>
      <c r="K291" s="31" t="s">
        <v>316</v>
      </c>
      <c r="L291" s="32" t="str">
        <f t="shared" si="20"/>
        <v>EXCLUDE</v>
      </c>
      <c r="M291" s="32" t="str">
        <f t="shared" si="21"/>
        <v>Non-English</v>
      </c>
      <c r="N291" s="33"/>
      <c r="O291" s="33"/>
      <c r="P291" s="34"/>
      <c r="Q291" s="34"/>
      <c r="R291" s="34"/>
      <c r="S291" s="32" t="str">
        <f t="shared" si="22"/>
        <v/>
      </c>
      <c r="T291" s="32" t="str">
        <f t="shared" si="23"/>
        <v/>
      </c>
      <c r="U291" s="35"/>
      <c r="V291" s="35"/>
      <c r="W291" s="35"/>
      <c r="X291" s="35"/>
      <c r="Y291" s="32" t="str">
        <f t="shared" si="24"/>
        <v/>
      </c>
      <c r="Z291" s="35"/>
      <c r="AA291" s="35"/>
      <c r="AB291" s="35"/>
      <c r="AC291" s="35"/>
      <c r="AD291" s="35"/>
      <c r="AE291" s="35"/>
      <c r="AF291" s="35"/>
      <c r="AG291" s="15" t="s">
        <v>515</v>
      </c>
      <c r="AH291" s="39"/>
      <c r="AI291" s="39"/>
      <c r="AM291" s="69"/>
    </row>
    <row r="292" spans="1:39" ht="22.8" x14ac:dyDescent="0.3">
      <c r="A292" s="30">
        <v>3929</v>
      </c>
      <c r="B292" s="9"/>
      <c r="C292" s="36"/>
      <c r="D292" s="9"/>
      <c r="E292" s="9" t="s">
        <v>869</v>
      </c>
      <c r="F292" s="30" t="s">
        <v>314</v>
      </c>
      <c r="G292" s="31" t="s">
        <v>315</v>
      </c>
      <c r="H292" s="31" t="s">
        <v>315</v>
      </c>
      <c r="I292" s="31" t="s">
        <v>315</v>
      </c>
      <c r="J292" s="31" t="s">
        <v>315</v>
      </c>
      <c r="K292" s="31" t="s">
        <v>316</v>
      </c>
      <c r="L292" s="32" t="str">
        <f t="shared" si="20"/>
        <v>EXCLUDE</v>
      </c>
      <c r="M292" s="32" t="str">
        <f t="shared" si="21"/>
        <v>Non-English</v>
      </c>
      <c r="N292" s="33"/>
      <c r="O292" s="33"/>
      <c r="P292" s="34"/>
      <c r="Q292" s="34"/>
      <c r="R292" s="34"/>
      <c r="S292" s="32" t="str">
        <f t="shared" si="22"/>
        <v/>
      </c>
      <c r="T292" s="32" t="str">
        <f t="shared" si="23"/>
        <v/>
      </c>
      <c r="U292" s="35"/>
      <c r="V292" s="35"/>
      <c r="W292" s="35"/>
      <c r="X292" s="35"/>
      <c r="Y292" s="32" t="str">
        <f t="shared" si="24"/>
        <v/>
      </c>
      <c r="Z292" s="35"/>
      <c r="AA292" s="35"/>
      <c r="AB292" s="35"/>
      <c r="AC292" s="35"/>
      <c r="AD292" s="35"/>
      <c r="AE292" s="35"/>
      <c r="AF292" s="35"/>
      <c r="AG292" s="15" t="s">
        <v>480</v>
      </c>
      <c r="AH292" s="39"/>
      <c r="AI292" s="39"/>
      <c r="AM292" s="69"/>
    </row>
    <row r="293" spans="1:39" ht="91.2" x14ac:dyDescent="0.3">
      <c r="A293" s="30">
        <v>3713</v>
      </c>
      <c r="B293" s="9" t="s">
        <v>256</v>
      </c>
      <c r="C293" s="36">
        <v>2026</v>
      </c>
      <c r="D293" s="9"/>
      <c r="E293" s="9" t="s">
        <v>870</v>
      </c>
      <c r="F293" s="30" t="s">
        <v>313</v>
      </c>
      <c r="G293" s="31" t="s">
        <v>315</v>
      </c>
      <c r="H293" s="31" t="s">
        <v>315</v>
      </c>
      <c r="I293" s="31" t="s">
        <v>315</v>
      </c>
      <c r="J293" s="31" t="s">
        <v>315</v>
      </c>
      <c r="K293" s="31" t="s">
        <v>315</v>
      </c>
      <c r="L293" s="32" t="str">
        <f t="shared" si="20"/>
        <v>INCLUDE</v>
      </c>
      <c r="M293" s="32" t="str">
        <f t="shared" si="21"/>
        <v/>
      </c>
      <c r="N293" s="33" t="s">
        <v>315</v>
      </c>
      <c r="O293" s="33" t="s">
        <v>315</v>
      </c>
      <c r="P293" s="34" t="s">
        <v>315</v>
      </c>
      <c r="Q293" s="34" t="s">
        <v>315</v>
      </c>
      <c r="R293" s="34" t="s">
        <v>315</v>
      </c>
      <c r="S293" s="32" t="str">
        <f t="shared" si="22"/>
        <v>INCLUDE</v>
      </c>
      <c r="T293" s="32" t="str">
        <f t="shared" si="23"/>
        <v/>
      </c>
      <c r="U293" s="35" t="s">
        <v>52</v>
      </c>
      <c r="V293" s="35">
        <v>0</v>
      </c>
      <c r="W293" s="35">
        <v>0</v>
      </c>
      <c r="X293" s="35">
        <v>1</v>
      </c>
      <c r="Y293" s="32" t="str">
        <f t="shared" si="24"/>
        <v>Single</v>
      </c>
      <c r="Z293" s="35" t="s">
        <v>9</v>
      </c>
      <c r="AA293" s="35" t="s">
        <v>53</v>
      </c>
      <c r="AB293" s="35" t="s">
        <v>91</v>
      </c>
      <c r="AC293" s="35" t="s">
        <v>64</v>
      </c>
      <c r="AD293" s="35" t="s">
        <v>79</v>
      </c>
      <c r="AE293" s="35">
        <v>4</v>
      </c>
      <c r="AF293" s="35" t="s">
        <v>57</v>
      </c>
      <c r="AG293" s="15" t="s">
        <v>1052</v>
      </c>
      <c r="AH293" s="39" t="s">
        <v>1346</v>
      </c>
      <c r="AI293" s="39" t="s">
        <v>1347</v>
      </c>
      <c r="AJ293" t="s">
        <v>1497</v>
      </c>
      <c r="AK293" t="s">
        <v>1598</v>
      </c>
      <c r="AL293" t="s">
        <v>1500</v>
      </c>
      <c r="AM293" s="69"/>
    </row>
    <row r="294" spans="1:39" ht="22.8" x14ac:dyDescent="0.3">
      <c r="A294" s="30">
        <v>3884</v>
      </c>
      <c r="B294" s="9"/>
      <c r="C294" s="36"/>
      <c r="D294" s="9"/>
      <c r="E294" s="9" t="s">
        <v>871</v>
      </c>
      <c r="F294" s="30" t="s">
        <v>314</v>
      </c>
      <c r="G294" s="31" t="s">
        <v>315</v>
      </c>
      <c r="H294" s="31" t="s">
        <v>316</v>
      </c>
      <c r="I294" s="31" t="s">
        <v>316</v>
      </c>
      <c r="J294" s="31" t="s">
        <v>315</v>
      </c>
      <c r="K294" s="31" t="s">
        <v>315</v>
      </c>
      <c r="L294" s="32" t="str">
        <f t="shared" si="20"/>
        <v>EXCLUDE</v>
      </c>
      <c r="M294" s="32" t="str">
        <f t="shared" si="21"/>
        <v>Digital Twin not core / buzzword</v>
      </c>
      <c r="N294" s="33"/>
      <c r="O294" s="33"/>
      <c r="P294" s="34"/>
      <c r="Q294" s="34"/>
      <c r="R294" s="34"/>
      <c r="S294" s="32" t="str">
        <f t="shared" si="22"/>
        <v/>
      </c>
      <c r="T294" s="32" t="str">
        <f t="shared" si="23"/>
        <v/>
      </c>
      <c r="U294" s="35"/>
      <c r="V294" s="35"/>
      <c r="W294" s="35"/>
      <c r="X294" s="35"/>
      <c r="Y294" s="32" t="str">
        <f t="shared" si="24"/>
        <v/>
      </c>
      <c r="Z294" s="35"/>
      <c r="AA294" s="35"/>
      <c r="AB294" s="35"/>
      <c r="AC294" s="35"/>
      <c r="AD294" s="35"/>
      <c r="AE294" s="35"/>
      <c r="AF294" s="35"/>
      <c r="AG294" s="15" t="s">
        <v>516</v>
      </c>
      <c r="AH294" s="39"/>
      <c r="AI294" s="39"/>
      <c r="AM294" s="69"/>
    </row>
    <row r="295" spans="1:39" ht="68.400000000000006" x14ac:dyDescent="0.3">
      <c r="A295" s="30">
        <v>3532</v>
      </c>
      <c r="B295" s="9" t="s">
        <v>257</v>
      </c>
      <c r="C295" s="36">
        <v>2025</v>
      </c>
      <c r="D295" s="9"/>
      <c r="E295" s="9" t="s">
        <v>872</v>
      </c>
      <c r="F295" s="30" t="s">
        <v>313</v>
      </c>
      <c r="G295" s="31" t="s">
        <v>315</v>
      </c>
      <c r="H295" s="31" t="s">
        <v>315</v>
      </c>
      <c r="I295" s="31" t="s">
        <v>315</v>
      </c>
      <c r="J295" s="31" t="s">
        <v>315</v>
      </c>
      <c r="K295" s="31" t="s">
        <v>315</v>
      </c>
      <c r="L295" s="32" t="str">
        <f t="shared" si="20"/>
        <v>INCLUDE</v>
      </c>
      <c r="M295" s="32" t="str">
        <f t="shared" si="21"/>
        <v/>
      </c>
      <c r="N295" s="33" t="s">
        <v>315</v>
      </c>
      <c r="O295" s="33" t="s">
        <v>315</v>
      </c>
      <c r="P295" s="34" t="s">
        <v>316</v>
      </c>
      <c r="Q295" s="34" t="s">
        <v>315</v>
      </c>
      <c r="R295" s="34" t="s">
        <v>316</v>
      </c>
      <c r="S295" s="32" t="str">
        <f t="shared" si="22"/>
        <v>EXCLUDE</v>
      </c>
      <c r="T295" s="32" t="str">
        <f t="shared" si="23"/>
        <v>Digital Twin mentioned only, not the subject</v>
      </c>
      <c r="U295" s="35" t="s">
        <v>82</v>
      </c>
      <c r="V295" s="35"/>
      <c r="W295" s="35"/>
      <c r="X295" s="35"/>
      <c r="Y295" s="32" t="str">
        <f t="shared" si="24"/>
        <v/>
      </c>
      <c r="Z295" s="35"/>
      <c r="AA295" s="35"/>
      <c r="AB295" s="35"/>
      <c r="AC295" s="35"/>
      <c r="AD295" s="35"/>
      <c r="AE295" s="35"/>
      <c r="AF295" s="35"/>
      <c r="AG295" s="15" t="s">
        <v>1053</v>
      </c>
      <c r="AH295" s="39"/>
      <c r="AI295" s="39"/>
      <c r="AM295" s="69"/>
    </row>
    <row r="296" spans="1:39" ht="22.8" x14ac:dyDescent="0.3">
      <c r="A296" s="30">
        <v>4040</v>
      </c>
      <c r="B296" s="9"/>
      <c r="C296" s="36"/>
      <c r="D296" s="9"/>
      <c r="E296" s="9" t="s">
        <v>873</v>
      </c>
      <c r="F296" s="30" t="s">
        <v>314</v>
      </c>
      <c r="G296" s="31" t="s">
        <v>315</v>
      </c>
      <c r="H296" s="31" t="s">
        <v>315</v>
      </c>
      <c r="I296" s="31" t="s">
        <v>316</v>
      </c>
      <c r="J296" s="31" t="s">
        <v>315</v>
      </c>
      <c r="K296" s="31" t="s">
        <v>315</v>
      </c>
      <c r="L296" s="32" t="str">
        <f t="shared" si="20"/>
        <v>EXCLUDE</v>
      </c>
      <c r="M296" s="32" t="str">
        <f t="shared" si="21"/>
        <v>No Design for Safety/Quality/PtD</v>
      </c>
      <c r="N296" s="33"/>
      <c r="O296" s="33"/>
      <c r="P296" s="34"/>
      <c r="Q296" s="34"/>
      <c r="R296" s="34"/>
      <c r="S296" s="32" t="str">
        <f t="shared" si="22"/>
        <v/>
      </c>
      <c r="T296" s="32" t="str">
        <f t="shared" si="23"/>
        <v/>
      </c>
      <c r="U296" s="35"/>
      <c r="V296" s="35"/>
      <c r="W296" s="35"/>
      <c r="X296" s="35"/>
      <c r="Y296" s="32" t="str">
        <f t="shared" si="24"/>
        <v/>
      </c>
      <c r="Z296" s="35"/>
      <c r="AA296" s="35"/>
      <c r="AB296" s="35"/>
      <c r="AC296" s="35"/>
      <c r="AD296" s="35"/>
      <c r="AE296" s="35"/>
      <c r="AF296" s="35"/>
      <c r="AG296" s="15" t="s">
        <v>517</v>
      </c>
      <c r="AH296" s="39"/>
      <c r="AI296" s="39"/>
      <c r="AM296" s="69"/>
    </row>
    <row r="297" spans="1:39" ht="22.8" x14ac:dyDescent="0.3">
      <c r="A297" s="30">
        <v>3880</v>
      </c>
      <c r="B297" s="9"/>
      <c r="C297" s="36"/>
      <c r="D297" s="9"/>
      <c r="E297" s="9" t="s">
        <v>874</v>
      </c>
      <c r="F297" s="30" t="s">
        <v>314</v>
      </c>
      <c r="G297" s="31" t="s">
        <v>315</v>
      </c>
      <c r="H297" s="31" t="s">
        <v>316</v>
      </c>
      <c r="I297" s="31" t="s">
        <v>316</v>
      </c>
      <c r="J297" s="31" t="s">
        <v>315</v>
      </c>
      <c r="K297" s="31" t="s">
        <v>315</v>
      </c>
      <c r="L297" s="32" t="str">
        <f t="shared" si="20"/>
        <v>EXCLUDE</v>
      </c>
      <c r="M297" s="32" t="str">
        <f t="shared" si="21"/>
        <v>Digital Twin not core / buzzword</v>
      </c>
      <c r="N297" s="33"/>
      <c r="O297" s="33"/>
      <c r="P297" s="34"/>
      <c r="Q297" s="34"/>
      <c r="R297" s="34"/>
      <c r="S297" s="32" t="str">
        <f t="shared" si="22"/>
        <v/>
      </c>
      <c r="T297" s="32" t="str">
        <f t="shared" si="23"/>
        <v/>
      </c>
      <c r="U297" s="35"/>
      <c r="V297" s="35"/>
      <c r="W297" s="35"/>
      <c r="X297" s="35"/>
      <c r="Y297" s="32" t="str">
        <f t="shared" si="24"/>
        <v/>
      </c>
      <c r="Z297" s="35"/>
      <c r="AA297" s="35"/>
      <c r="AB297" s="35"/>
      <c r="AC297" s="35"/>
      <c r="AD297" s="35"/>
      <c r="AE297" s="35"/>
      <c r="AF297" s="35"/>
      <c r="AG297" s="15" t="s">
        <v>518</v>
      </c>
      <c r="AH297" s="39"/>
      <c r="AI297" s="39"/>
      <c r="AM297" s="69"/>
    </row>
    <row r="298" spans="1:39" ht="79.8" x14ac:dyDescent="0.3">
      <c r="A298" s="30">
        <v>3633</v>
      </c>
      <c r="B298" s="9" t="s">
        <v>258</v>
      </c>
      <c r="C298" s="36">
        <v>2022</v>
      </c>
      <c r="D298" s="9"/>
      <c r="E298" s="9" t="s">
        <v>875</v>
      </c>
      <c r="F298" s="30" t="s">
        <v>313</v>
      </c>
      <c r="G298" s="31" t="s">
        <v>315</v>
      </c>
      <c r="H298" s="31" t="s">
        <v>315</v>
      </c>
      <c r="I298" s="31" t="s">
        <v>315</v>
      </c>
      <c r="J298" s="31" t="s">
        <v>315</v>
      </c>
      <c r="K298" s="31" t="s">
        <v>315</v>
      </c>
      <c r="L298" s="32" t="str">
        <f t="shared" si="20"/>
        <v>INCLUDE</v>
      </c>
      <c r="M298" s="32" t="str">
        <f t="shared" si="21"/>
        <v/>
      </c>
      <c r="N298" s="33" t="s">
        <v>315</v>
      </c>
      <c r="O298" s="33" t="s">
        <v>315</v>
      </c>
      <c r="P298" s="34" t="s">
        <v>315</v>
      </c>
      <c r="Q298" s="34" t="s">
        <v>315</v>
      </c>
      <c r="R298" s="34" t="s">
        <v>315</v>
      </c>
      <c r="S298" s="32" t="str">
        <f t="shared" si="22"/>
        <v>INCLUDE</v>
      </c>
      <c r="T298" s="32" t="str">
        <f t="shared" si="23"/>
        <v/>
      </c>
      <c r="U298" s="35" t="s">
        <v>61</v>
      </c>
      <c r="V298" s="35">
        <v>0</v>
      </c>
      <c r="W298" s="35">
        <v>1</v>
      </c>
      <c r="X298" s="35">
        <v>0</v>
      </c>
      <c r="Y298" s="32" t="str">
        <f t="shared" si="24"/>
        <v>Single</v>
      </c>
      <c r="Z298" s="35" t="s">
        <v>9</v>
      </c>
      <c r="AA298" s="35" t="s">
        <v>53</v>
      </c>
      <c r="AB298" s="35" t="s">
        <v>85</v>
      </c>
      <c r="AC298" s="35" t="s">
        <v>64</v>
      </c>
      <c r="AD298" s="35" t="s">
        <v>56</v>
      </c>
      <c r="AE298" s="35">
        <v>3</v>
      </c>
      <c r="AF298" s="35" t="s">
        <v>80</v>
      </c>
      <c r="AG298" s="15" t="s">
        <v>1054</v>
      </c>
      <c r="AH298" s="39" t="s">
        <v>1348</v>
      </c>
      <c r="AI298" s="39" t="s">
        <v>1349</v>
      </c>
      <c r="AJ298" t="s">
        <v>82</v>
      </c>
      <c r="AK298" t="s">
        <v>1599</v>
      </c>
      <c r="AL298" t="s">
        <v>1499</v>
      </c>
      <c r="AM298" s="69"/>
    </row>
    <row r="299" spans="1:39" ht="102.6" x14ac:dyDescent="0.3">
      <c r="A299" s="30">
        <v>3907</v>
      </c>
      <c r="B299" s="9" t="s">
        <v>259</v>
      </c>
      <c r="C299" s="36">
        <v>2025</v>
      </c>
      <c r="D299" s="9"/>
      <c r="E299" s="9" t="s">
        <v>876</v>
      </c>
      <c r="F299" s="30" t="s">
        <v>314</v>
      </c>
      <c r="G299" s="31" t="s">
        <v>315</v>
      </c>
      <c r="H299" s="31" t="s">
        <v>315</v>
      </c>
      <c r="I299" s="31" t="s">
        <v>315</v>
      </c>
      <c r="J299" s="31" t="s">
        <v>315</v>
      </c>
      <c r="K299" s="31" t="s">
        <v>315</v>
      </c>
      <c r="L299" s="32" t="str">
        <f t="shared" si="20"/>
        <v>INCLUDE</v>
      </c>
      <c r="M299" s="32" t="str">
        <f t="shared" si="21"/>
        <v/>
      </c>
      <c r="N299" s="33" t="s">
        <v>315</v>
      </c>
      <c r="O299" s="33" t="s">
        <v>315</v>
      </c>
      <c r="P299" s="34" t="s">
        <v>315</v>
      </c>
      <c r="Q299" s="34" t="s">
        <v>315</v>
      </c>
      <c r="R299" s="34" t="s">
        <v>315</v>
      </c>
      <c r="S299" s="32" t="str">
        <f t="shared" si="22"/>
        <v>INCLUDE</v>
      </c>
      <c r="T299" s="32" t="str">
        <f t="shared" si="23"/>
        <v/>
      </c>
      <c r="U299" s="35" t="s">
        <v>61</v>
      </c>
      <c r="V299" s="35">
        <v>0</v>
      </c>
      <c r="W299" s="35">
        <v>1</v>
      </c>
      <c r="X299" s="35">
        <v>0</v>
      </c>
      <c r="Y299" s="32" t="str">
        <f t="shared" si="24"/>
        <v>Single</v>
      </c>
      <c r="Z299" s="35" t="s">
        <v>9</v>
      </c>
      <c r="AA299" s="35" t="s">
        <v>53</v>
      </c>
      <c r="AB299" s="35" t="s">
        <v>88</v>
      </c>
      <c r="AC299" s="35" t="s">
        <v>64</v>
      </c>
      <c r="AD299" s="35" t="s">
        <v>72</v>
      </c>
      <c r="AE299" s="35">
        <v>4</v>
      </c>
      <c r="AF299" s="35" t="s">
        <v>80</v>
      </c>
      <c r="AG299" s="15" t="s">
        <v>1055</v>
      </c>
      <c r="AH299" s="39" t="s">
        <v>1350</v>
      </c>
      <c r="AI299" s="39" t="s">
        <v>1351</v>
      </c>
      <c r="AJ299" t="s">
        <v>1497</v>
      </c>
      <c r="AK299" t="s">
        <v>1600</v>
      </c>
      <c r="AL299" t="s">
        <v>1500</v>
      </c>
      <c r="AM299" s="69"/>
    </row>
    <row r="300" spans="1:39" ht="102.6" x14ac:dyDescent="0.3">
      <c r="A300" s="30">
        <v>3823</v>
      </c>
      <c r="B300" s="9" t="s">
        <v>260</v>
      </c>
      <c r="C300" s="36">
        <v>2026</v>
      </c>
      <c r="D300" s="9"/>
      <c r="E300" s="9" t="s">
        <v>877</v>
      </c>
      <c r="F300" s="30" t="s">
        <v>313</v>
      </c>
      <c r="G300" s="31" t="s">
        <v>315</v>
      </c>
      <c r="H300" s="31" t="s">
        <v>315</v>
      </c>
      <c r="I300" s="31" t="s">
        <v>315</v>
      </c>
      <c r="J300" s="31" t="s">
        <v>315</v>
      </c>
      <c r="K300" s="31" t="s">
        <v>315</v>
      </c>
      <c r="L300" s="32" t="str">
        <f t="shared" si="20"/>
        <v>INCLUDE</v>
      </c>
      <c r="M300" s="32" t="str">
        <f t="shared" si="21"/>
        <v/>
      </c>
      <c r="N300" s="33" t="s">
        <v>49</v>
      </c>
      <c r="O300" s="33" t="s">
        <v>49</v>
      </c>
      <c r="P300" s="34" t="s">
        <v>49</v>
      </c>
      <c r="Q300" s="34" t="s">
        <v>49</v>
      </c>
      <c r="R300" s="34" t="s">
        <v>49</v>
      </c>
      <c r="S300" s="32" t="str">
        <f t="shared" si="22"/>
        <v>INCLUDE</v>
      </c>
      <c r="T300" s="32" t="str">
        <f t="shared" si="23"/>
        <v/>
      </c>
      <c r="U300" s="35" t="s">
        <v>61</v>
      </c>
      <c r="V300" s="35">
        <v>0</v>
      </c>
      <c r="W300" s="35">
        <v>0</v>
      </c>
      <c r="X300" s="35">
        <v>1</v>
      </c>
      <c r="Y300" s="32" t="str">
        <f t="shared" si="24"/>
        <v>Single</v>
      </c>
      <c r="Z300" s="35" t="s">
        <v>9</v>
      </c>
      <c r="AA300" s="35" t="s">
        <v>53</v>
      </c>
      <c r="AB300" s="35" t="s">
        <v>63</v>
      </c>
      <c r="AC300" s="35" t="s">
        <v>64</v>
      </c>
      <c r="AD300" s="35" t="s">
        <v>72</v>
      </c>
      <c r="AE300" s="35">
        <v>4</v>
      </c>
      <c r="AF300" s="35" t="s">
        <v>84</v>
      </c>
      <c r="AG300" s="15" t="s">
        <v>1139</v>
      </c>
      <c r="AH300" s="39" t="s">
        <v>1352</v>
      </c>
      <c r="AI300" s="39" t="s">
        <v>1353</v>
      </c>
      <c r="AJ300" t="s">
        <v>1497</v>
      </c>
      <c r="AK300" t="s">
        <v>1601</v>
      </c>
      <c r="AL300" t="s">
        <v>1499</v>
      </c>
      <c r="AM300" s="69"/>
    </row>
    <row r="301" spans="1:39" ht="79.8" x14ac:dyDescent="0.3">
      <c r="A301" s="30">
        <v>3964</v>
      </c>
      <c r="B301" s="9" t="s">
        <v>261</v>
      </c>
      <c r="C301" s="36">
        <v>2026</v>
      </c>
      <c r="D301" s="9"/>
      <c r="E301" s="9" t="s">
        <v>878</v>
      </c>
      <c r="F301" s="30" t="s">
        <v>314</v>
      </c>
      <c r="G301" s="31" t="s">
        <v>315</v>
      </c>
      <c r="H301" s="31" t="s">
        <v>315</v>
      </c>
      <c r="I301" s="31" t="s">
        <v>315</v>
      </c>
      <c r="J301" s="31" t="s">
        <v>315</v>
      </c>
      <c r="K301" s="31" t="s">
        <v>315</v>
      </c>
      <c r="L301" s="32" t="str">
        <f t="shared" si="20"/>
        <v>INCLUDE</v>
      </c>
      <c r="M301" s="32" t="str">
        <f t="shared" si="21"/>
        <v/>
      </c>
      <c r="N301" s="33" t="s">
        <v>315</v>
      </c>
      <c r="O301" s="33" t="s">
        <v>315</v>
      </c>
      <c r="P301" s="34" t="s">
        <v>315</v>
      </c>
      <c r="Q301" s="34" t="s">
        <v>315</v>
      </c>
      <c r="R301" s="34" t="s">
        <v>315</v>
      </c>
      <c r="S301" s="32" t="str">
        <f t="shared" si="22"/>
        <v>INCLUDE</v>
      </c>
      <c r="T301" s="32" t="str">
        <f t="shared" si="23"/>
        <v/>
      </c>
      <c r="U301" s="35" t="s">
        <v>52</v>
      </c>
      <c r="V301" s="35">
        <v>0</v>
      </c>
      <c r="W301" s="35">
        <v>0</v>
      </c>
      <c r="X301" s="35">
        <v>1</v>
      </c>
      <c r="Y301" s="32" t="str">
        <f t="shared" si="24"/>
        <v>Single</v>
      </c>
      <c r="Z301" s="35" t="s">
        <v>9</v>
      </c>
      <c r="AA301" s="35" t="s">
        <v>53</v>
      </c>
      <c r="AB301" s="35" t="s">
        <v>73</v>
      </c>
      <c r="AC301" s="35" t="s">
        <v>64</v>
      </c>
      <c r="AD301" s="35" t="s">
        <v>72</v>
      </c>
      <c r="AE301" s="35">
        <v>4</v>
      </c>
      <c r="AF301" s="35" t="s">
        <v>73</v>
      </c>
      <c r="AG301" s="15" t="s">
        <v>1056</v>
      </c>
      <c r="AH301" s="39" t="s">
        <v>1354</v>
      </c>
      <c r="AI301" s="39" t="s">
        <v>1355</v>
      </c>
      <c r="AJ301" t="s">
        <v>1497</v>
      </c>
      <c r="AK301" t="s">
        <v>1602</v>
      </c>
      <c r="AL301" t="s">
        <v>1499</v>
      </c>
      <c r="AM301" s="69"/>
    </row>
    <row r="302" spans="1:39" ht="22.8" x14ac:dyDescent="0.3">
      <c r="A302" s="30">
        <v>3569</v>
      </c>
      <c r="B302" s="9"/>
      <c r="C302" s="36"/>
      <c r="D302" s="9"/>
      <c r="E302" s="9" t="s">
        <v>879</v>
      </c>
      <c r="F302" s="30" t="s">
        <v>313</v>
      </c>
      <c r="G302" s="31" t="s">
        <v>315</v>
      </c>
      <c r="H302" s="31" t="s">
        <v>316</v>
      </c>
      <c r="I302" s="31" t="s">
        <v>315</v>
      </c>
      <c r="J302" s="31" t="s">
        <v>315</v>
      </c>
      <c r="K302" s="31" t="s">
        <v>316</v>
      </c>
      <c r="L302" s="32" t="str">
        <f t="shared" si="20"/>
        <v>EXCLUDE</v>
      </c>
      <c r="M302" s="32" t="str">
        <f t="shared" si="21"/>
        <v>Digital Twin not core / buzzword</v>
      </c>
      <c r="N302" s="33"/>
      <c r="O302" s="33"/>
      <c r="P302" s="34"/>
      <c r="Q302" s="34"/>
      <c r="R302" s="34"/>
      <c r="S302" s="32" t="str">
        <f t="shared" si="22"/>
        <v/>
      </c>
      <c r="T302" s="32" t="str">
        <f t="shared" si="23"/>
        <v/>
      </c>
      <c r="U302" s="35"/>
      <c r="V302" s="35"/>
      <c r="W302" s="35"/>
      <c r="X302" s="35"/>
      <c r="Y302" s="32" t="str">
        <f t="shared" si="24"/>
        <v/>
      </c>
      <c r="Z302" s="35"/>
      <c r="AA302" s="35"/>
      <c r="AB302" s="35"/>
      <c r="AC302" s="35"/>
      <c r="AD302" s="35"/>
      <c r="AE302" s="35"/>
      <c r="AF302" s="35"/>
      <c r="AG302" s="15" t="s">
        <v>519</v>
      </c>
      <c r="AH302" s="39"/>
      <c r="AI302" s="39"/>
      <c r="AM302" s="69"/>
    </row>
    <row r="303" spans="1:39" ht="114" x14ac:dyDescent="0.3">
      <c r="A303" s="30">
        <v>3966</v>
      </c>
      <c r="B303" s="9" t="s">
        <v>262</v>
      </c>
      <c r="C303" s="36">
        <v>2026</v>
      </c>
      <c r="D303" s="9"/>
      <c r="E303" s="9" t="s">
        <v>880</v>
      </c>
      <c r="F303" s="30" t="s">
        <v>314</v>
      </c>
      <c r="G303" s="31" t="s">
        <v>315</v>
      </c>
      <c r="H303" s="31" t="s">
        <v>315</v>
      </c>
      <c r="I303" s="31" t="s">
        <v>315</v>
      </c>
      <c r="J303" s="31" t="s">
        <v>315</v>
      </c>
      <c r="K303" s="31" t="s">
        <v>315</v>
      </c>
      <c r="L303" s="32" t="str">
        <f t="shared" si="20"/>
        <v>INCLUDE</v>
      </c>
      <c r="M303" s="32" t="str">
        <f t="shared" si="21"/>
        <v/>
      </c>
      <c r="N303" s="33" t="s">
        <v>49</v>
      </c>
      <c r="O303" s="33" t="s">
        <v>49</v>
      </c>
      <c r="P303" s="34" t="s">
        <v>49</v>
      </c>
      <c r="Q303" s="34" t="s">
        <v>49</v>
      </c>
      <c r="R303" s="34" t="s">
        <v>49</v>
      </c>
      <c r="S303" s="32" t="str">
        <f t="shared" si="22"/>
        <v>INCLUDE</v>
      </c>
      <c r="T303" s="32" t="str">
        <f t="shared" si="23"/>
        <v/>
      </c>
      <c r="U303" s="35" t="s">
        <v>61</v>
      </c>
      <c r="V303" s="35">
        <v>0</v>
      </c>
      <c r="W303" s="35">
        <v>0</v>
      </c>
      <c r="X303" s="35">
        <v>1</v>
      </c>
      <c r="Y303" s="32" t="str">
        <f t="shared" si="24"/>
        <v>Single</v>
      </c>
      <c r="Z303" s="35" t="s">
        <v>9</v>
      </c>
      <c r="AA303" s="35" t="s">
        <v>70</v>
      </c>
      <c r="AB303" s="35" t="s">
        <v>90</v>
      </c>
      <c r="AC303" s="35" t="s">
        <v>64</v>
      </c>
      <c r="AD303" s="35" t="s">
        <v>72</v>
      </c>
      <c r="AE303" s="35">
        <v>4</v>
      </c>
      <c r="AF303" s="35" t="s">
        <v>84</v>
      </c>
      <c r="AG303" s="15" t="s">
        <v>1140</v>
      </c>
      <c r="AH303" s="39" t="s">
        <v>1356</v>
      </c>
      <c r="AI303" s="39" t="s">
        <v>1357</v>
      </c>
      <c r="AJ303" t="s">
        <v>1496</v>
      </c>
      <c r="AK303" t="s">
        <v>1603</v>
      </c>
      <c r="AL303" t="s">
        <v>1500</v>
      </c>
      <c r="AM303" s="69"/>
    </row>
    <row r="304" spans="1:39" ht="22.8" x14ac:dyDescent="0.3">
      <c r="A304" s="30">
        <v>3531</v>
      </c>
      <c r="B304" s="9"/>
      <c r="C304" s="36"/>
      <c r="D304" s="9"/>
      <c r="E304" s="9" t="s">
        <v>881</v>
      </c>
      <c r="F304" s="30" t="s">
        <v>313</v>
      </c>
      <c r="G304" s="31" t="s">
        <v>315</v>
      </c>
      <c r="H304" s="31" t="s">
        <v>315</v>
      </c>
      <c r="I304" s="31" t="s">
        <v>315</v>
      </c>
      <c r="J304" s="31" t="s">
        <v>315</v>
      </c>
      <c r="K304" s="31" t="s">
        <v>316</v>
      </c>
      <c r="L304" s="32" t="str">
        <f t="shared" si="20"/>
        <v>EXCLUDE</v>
      </c>
      <c r="M304" s="32" t="str">
        <f t="shared" si="21"/>
        <v>Non-English</v>
      </c>
      <c r="N304" s="33"/>
      <c r="O304" s="33"/>
      <c r="P304" s="34"/>
      <c r="Q304" s="34"/>
      <c r="R304" s="34"/>
      <c r="S304" s="32" t="str">
        <f t="shared" si="22"/>
        <v/>
      </c>
      <c r="T304" s="32" t="str">
        <f t="shared" si="23"/>
        <v/>
      </c>
      <c r="U304" s="35"/>
      <c r="V304" s="35"/>
      <c r="W304" s="35"/>
      <c r="X304" s="35"/>
      <c r="Y304" s="32" t="str">
        <f t="shared" si="24"/>
        <v/>
      </c>
      <c r="Z304" s="35"/>
      <c r="AA304" s="35"/>
      <c r="AB304" s="35"/>
      <c r="AC304" s="35"/>
      <c r="AD304" s="35"/>
      <c r="AE304" s="35"/>
      <c r="AF304" s="35"/>
      <c r="AG304" s="15" t="s">
        <v>457</v>
      </c>
      <c r="AH304" s="39"/>
      <c r="AI304" s="39"/>
      <c r="AM304" s="69"/>
    </row>
    <row r="305" spans="1:39" ht="22.8" x14ac:dyDescent="0.3">
      <c r="A305" s="30">
        <v>3997</v>
      </c>
      <c r="B305" s="9"/>
      <c r="C305" s="36"/>
      <c r="D305" s="9"/>
      <c r="E305" s="9" t="s">
        <v>882</v>
      </c>
      <c r="F305" s="30" t="s">
        <v>314</v>
      </c>
      <c r="G305" s="31" t="s">
        <v>315</v>
      </c>
      <c r="H305" s="31" t="s">
        <v>316</v>
      </c>
      <c r="I305" s="31" t="s">
        <v>315</v>
      </c>
      <c r="J305" s="31" t="s">
        <v>315</v>
      </c>
      <c r="K305" s="31" t="s">
        <v>315</v>
      </c>
      <c r="L305" s="32" t="str">
        <f t="shared" si="20"/>
        <v>EXCLUDE</v>
      </c>
      <c r="M305" s="32" t="str">
        <f t="shared" si="21"/>
        <v>Digital Twin not core / buzzword</v>
      </c>
      <c r="N305" s="33"/>
      <c r="O305" s="33"/>
      <c r="P305" s="34"/>
      <c r="Q305" s="34"/>
      <c r="R305" s="34"/>
      <c r="S305" s="32" t="str">
        <f t="shared" si="22"/>
        <v/>
      </c>
      <c r="T305" s="32" t="str">
        <f t="shared" si="23"/>
        <v/>
      </c>
      <c r="U305" s="35"/>
      <c r="V305" s="35"/>
      <c r="W305" s="35"/>
      <c r="X305" s="35"/>
      <c r="Y305" s="32" t="str">
        <f t="shared" si="24"/>
        <v/>
      </c>
      <c r="Z305" s="35"/>
      <c r="AA305" s="35"/>
      <c r="AB305" s="35"/>
      <c r="AC305" s="35"/>
      <c r="AD305" s="35"/>
      <c r="AE305" s="35"/>
      <c r="AF305" s="35"/>
      <c r="AG305" s="15" t="s">
        <v>520</v>
      </c>
      <c r="AH305" s="39"/>
      <c r="AI305" s="39"/>
      <c r="AM305" s="69"/>
    </row>
    <row r="306" spans="1:39" ht="22.8" x14ac:dyDescent="0.3">
      <c r="A306" s="30">
        <v>4033</v>
      </c>
      <c r="B306" s="9"/>
      <c r="C306" s="36"/>
      <c r="D306" s="9"/>
      <c r="E306" s="9" t="s">
        <v>883</v>
      </c>
      <c r="F306" s="30" t="s">
        <v>314</v>
      </c>
      <c r="G306" s="31" t="s">
        <v>315</v>
      </c>
      <c r="H306" s="31" t="s">
        <v>316</v>
      </c>
      <c r="I306" s="31" t="s">
        <v>315</v>
      </c>
      <c r="J306" s="31" t="s">
        <v>315</v>
      </c>
      <c r="K306" s="31" t="s">
        <v>315</v>
      </c>
      <c r="L306" s="32" t="str">
        <f t="shared" si="20"/>
        <v>EXCLUDE</v>
      </c>
      <c r="M306" s="32" t="str">
        <f t="shared" si="21"/>
        <v>Digital Twin not core / buzzword</v>
      </c>
      <c r="N306" s="33"/>
      <c r="O306" s="33"/>
      <c r="P306" s="34"/>
      <c r="Q306" s="34"/>
      <c r="R306" s="34"/>
      <c r="S306" s="32" t="str">
        <f t="shared" si="22"/>
        <v/>
      </c>
      <c r="T306" s="32" t="str">
        <f t="shared" si="23"/>
        <v/>
      </c>
      <c r="U306" s="35"/>
      <c r="V306" s="35"/>
      <c r="W306" s="35"/>
      <c r="X306" s="35"/>
      <c r="Y306" s="32" t="str">
        <f t="shared" si="24"/>
        <v/>
      </c>
      <c r="Z306" s="35"/>
      <c r="AA306" s="35"/>
      <c r="AB306" s="35"/>
      <c r="AC306" s="35"/>
      <c r="AD306" s="35"/>
      <c r="AE306" s="35"/>
      <c r="AF306" s="35"/>
      <c r="AG306" s="15" t="s">
        <v>521</v>
      </c>
      <c r="AH306" s="39"/>
      <c r="AI306" s="39"/>
      <c r="AM306" s="69"/>
    </row>
    <row r="307" spans="1:39" ht="22.8" x14ac:dyDescent="0.3">
      <c r="A307" s="30">
        <v>4034</v>
      </c>
      <c r="B307" s="9"/>
      <c r="C307" s="36"/>
      <c r="D307" s="9"/>
      <c r="E307" s="9" t="s">
        <v>884</v>
      </c>
      <c r="F307" s="30" t="s">
        <v>314</v>
      </c>
      <c r="G307" s="31" t="s">
        <v>315</v>
      </c>
      <c r="H307" s="31" t="s">
        <v>316</v>
      </c>
      <c r="I307" s="31" t="s">
        <v>315</v>
      </c>
      <c r="J307" s="31" t="s">
        <v>315</v>
      </c>
      <c r="K307" s="31" t="s">
        <v>315</v>
      </c>
      <c r="L307" s="32" t="str">
        <f t="shared" si="20"/>
        <v>EXCLUDE</v>
      </c>
      <c r="M307" s="32" t="str">
        <f t="shared" si="21"/>
        <v>Digital Twin not core / buzzword</v>
      </c>
      <c r="N307" s="33"/>
      <c r="O307" s="33"/>
      <c r="P307" s="34"/>
      <c r="Q307" s="34"/>
      <c r="R307" s="34"/>
      <c r="S307" s="32" t="str">
        <f t="shared" si="22"/>
        <v/>
      </c>
      <c r="T307" s="32" t="str">
        <f t="shared" si="23"/>
        <v/>
      </c>
      <c r="U307" s="35"/>
      <c r="V307" s="35"/>
      <c r="W307" s="35"/>
      <c r="X307" s="35"/>
      <c r="Y307" s="32" t="str">
        <f t="shared" si="24"/>
        <v/>
      </c>
      <c r="Z307" s="35"/>
      <c r="AA307" s="35"/>
      <c r="AB307" s="35"/>
      <c r="AC307" s="35"/>
      <c r="AD307" s="35"/>
      <c r="AE307" s="35"/>
      <c r="AF307" s="35"/>
      <c r="AG307" s="15" t="s">
        <v>522</v>
      </c>
      <c r="AH307" s="39"/>
      <c r="AI307" s="39"/>
      <c r="AM307" s="69"/>
    </row>
    <row r="308" spans="1:39" ht="22.8" x14ac:dyDescent="0.3">
      <c r="A308" s="30">
        <v>3594</v>
      </c>
      <c r="B308" s="9"/>
      <c r="C308" s="36"/>
      <c r="D308" s="9"/>
      <c r="E308" s="9" t="s">
        <v>885</v>
      </c>
      <c r="F308" s="30" t="s">
        <v>313</v>
      </c>
      <c r="G308" s="31" t="s">
        <v>316</v>
      </c>
      <c r="H308" s="31" t="s">
        <v>315</v>
      </c>
      <c r="I308" s="31" t="s">
        <v>315</v>
      </c>
      <c r="J308" s="31" t="s">
        <v>315</v>
      </c>
      <c r="K308" s="31" t="s">
        <v>315</v>
      </c>
      <c r="L308" s="32" t="str">
        <f t="shared" si="20"/>
        <v>EXCLUDE</v>
      </c>
      <c r="M308" s="32" t="str">
        <f t="shared" si="21"/>
        <v>Wrong domain (non-AECO)</v>
      </c>
      <c r="N308" s="33"/>
      <c r="O308" s="33"/>
      <c r="P308" s="34"/>
      <c r="Q308" s="34"/>
      <c r="R308" s="34"/>
      <c r="S308" s="32" t="str">
        <f t="shared" si="22"/>
        <v/>
      </c>
      <c r="T308" s="32" t="str">
        <f t="shared" si="23"/>
        <v/>
      </c>
      <c r="U308" s="35"/>
      <c r="V308" s="35"/>
      <c r="W308" s="35"/>
      <c r="X308" s="35"/>
      <c r="Y308" s="32" t="str">
        <f t="shared" si="24"/>
        <v/>
      </c>
      <c r="Z308" s="35"/>
      <c r="AA308" s="35"/>
      <c r="AB308" s="35"/>
      <c r="AC308" s="35"/>
      <c r="AD308" s="35"/>
      <c r="AE308" s="35"/>
      <c r="AF308" s="35"/>
      <c r="AG308" s="15" t="s">
        <v>523</v>
      </c>
      <c r="AH308" s="39"/>
      <c r="AI308" s="39"/>
      <c r="AM308" s="69"/>
    </row>
    <row r="309" spans="1:39" ht="91.2" x14ac:dyDescent="0.3">
      <c r="A309" s="30">
        <v>3932</v>
      </c>
      <c r="B309" s="9" t="s">
        <v>263</v>
      </c>
      <c r="C309" s="36">
        <v>2026</v>
      </c>
      <c r="D309" s="9"/>
      <c r="E309" s="9" t="s">
        <v>886</v>
      </c>
      <c r="F309" s="30" t="s">
        <v>314</v>
      </c>
      <c r="G309" s="31" t="s">
        <v>315</v>
      </c>
      <c r="H309" s="31" t="s">
        <v>315</v>
      </c>
      <c r="I309" s="31" t="s">
        <v>315</v>
      </c>
      <c r="J309" s="31" t="s">
        <v>315</v>
      </c>
      <c r="K309" s="31" t="s">
        <v>315</v>
      </c>
      <c r="L309" s="32" t="str">
        <f t="shared" si="20"/>
        <v>INCLUDE</v>
      </c>
      <c r="M309" s="32" t="str">
        <f t="shared" si="21"/>
        <v/>
      </c>
      <c r="N309" s="33" t="s">
        <v>315</v>
      </c>
      <c r="O309" s="33" t="s">
        <v>315</v>
      </c>
      <c r="P309" s="34" t="s">
        <v>315</v>
      </c>
      <c r="Q309" s="34" t="s">
        <v>315</v>
      </c>
      <c r="R309" s="34" t="s">
        <v>315</v>
      </c>
      <c r="S309" s="32" t="str">
        <f t="shared" si="22"/>
        <v>INCLUDE</v>
      </c>
      <c r="T309" s="32" t="str">
        <f t="shared" si="23"/>
        <v/>
      </c>
      <c r="U309" s="35" t="s">
        <v>61</v>
      </c>
      <c r="V309" s="35">
        <v>0</v>
      </c>
      <c r="W309" s="35">
        <v>1</v>
      </c>
      <c r="X309" s="35">
        <v>0</v>
      </c>
      <c r="Y309" s="32" t="str">
        <f t="shared" si="24"/>
        <v>Single</v>
      </c>
      <c r="Z309" s="35" t="s">
        <v>9</v>
      </c>
      <c r="AA309" s="35" t="s">
        <v>53</v>
      </c>
      <c r="AB309" s="35" t="s">
        <v>73</v>
      </c>
      <c r="AC309" s="35" t="s">
        <v>64</v>
      </c>
      <c r="AD309" s="35" t="s">
        <v>72</v>
      </c>
      <c r="AE309" s="35">
        <v>4</v>
      </c>
      <c r="AF309" s="35" t="s">
        <v>73</v>
      </c>
      <c r="AG309" s="15" t="s">
        <v>1057</v>
      </c>
      <c r="AH309" s="39" t="s">
        <v>1358</v>
      </c>
      <c r="AI309" s="39" t="s">
        <v>1359</v>
      </c>
      <c r="AJ309" t="s">
        <v>1497</v>
      </c>
      <c r="AK309" t="s">
        <v>1604</v>
      </c>
      <c r="AL309" t="s">
        <v>1500</v>
      </c>
      <c r="AM309" s="69"/>
    </row>
    <row r="310" spans="1:39" ht="102.6" x14ac:dyDescent="0.3">
      <c r="A310" s="30">
        <v>3833</v>
      </c>
      <c r="B310" s="9" t="s">
        <v>264</v>
      </c>
      <c r="C310" s="36">
        <v>2023</v>
      </c>
      <c r="D310" s="9"/>
      <c r="E310" s="9" t="s">
        <v>887</v>
      </c>
      <c r="F310" s="30" t="s">
        <v>313</v>
      </c>
      <c r="G310" s="31" t="s">
        <v>315</v>
      </c>
      <c r="H310" s="31" t="s">
        <v>315</v>
      </c>
      <c r="I310" s="31" t="s">
        <v>315</v>
      </c>
      <c r="J310" s="31" t="s">
        <v>315</v>
      </c>
      <c r="K310" s="31" t="s">
        <v>315</v>
      </c>
      <c r="L310" s="32" t="str">
        <f t="shared" si="20"/>
        <v>INCLUDE</v>
      </c>
      <c r="M310" s="32" t="str">
        <f t="shared" si="21"/>
        <v/>
      </c>
      <c r="N310" s="33" t="s">
        <v>49</v>
      </c>
      <c r="O310" s="33" t="s">
        <v>49</v>
      </c>
      <c r="P310" s="34" t="s">
        <v>49</v>
      </c>
      <c r="Q310" s="34" t="s">
        <v>49</v>
      </c>
      <c r="R310" s="34" t="s">
        <v>49</v>
      </c>
      <c r="S310" s="32" t="str">
        <f t="shared" si="22"/>
        <v>INCLUDE</v>
      </c>
      <c r="T310" s="32" t="str">
        <f t="shared" si="23"/>
        <v/>
      </c>
      <c r="U310" s="35" t="s">
        <v>52</v>
      </c>
      <c r="V310" s="35">
        <v>0</v>
      </c>
      <c r="W310" s="35">
        <v>1</v>
      </c>
      <c r="X310" s="35">
        <v>0</v>
      </c>
      <c r="Y310" s="32" t="str">
        <f t="shared" si="24"/>
        <v>Single</v>
      </c>
      <c r="Z310" s="35" t="s">
        <v>9</v>
      </c>
      <c r="AA310" s="35" t="s">
        <v>53</v>
      </c>
      <c r="AB310" s="35" t="s">
        <v>92</v>
      </c>
      <c r="AC310" s="35" t="s">
        <v>55</v>
      </c>
      <c r="AD310" s="35" t="s">
        <v>65</v>
      </c>
      <c r="AE310" s="35">
        <v>4</v>
      </c>
      <c r="AF310" s="35" t="s">
        <v>84</v>
      </c>
      <c r="AG310" s="15" t="s">
        <v>1141</v>
      </c>
      <c r="AH310" s="39" t="s">
        <v>1360</v>
      </c>
      <c r="AI310" s="39" t="s">
        <v>1361</v>
      </c>
      <c r="AJ310" t="s">
        <v>1494</v>
      </c>
      <c r="AK310" t="s">
        <v>1605</v>
      </c>
      <c r="AL310" t="s">
        <v>1499</v>
      </c>
      <c r="AM310" s="69"/>
    </row>
    <row r="311" spans="1:39" ht="22.8" x14ac:dyDescent="0.3">
      <c r="A311" s="30">
        <v>4001</v>
      </c>
      <c r="B311" s="9"/>
      <c r="C311" s="36"/>
      <c r="D311" s="9"/>
      <c r="E311" s="9" t="s">
        <v>888</v>
      </c>
      <c r="F311" s="30" t="s">
        <v>314</v>
      </c>
      <c r="G311" s="31" t="s">
        <v>315</v>
      </c>
      <c r="H311" s="31" t="s">
        <v>316</v>
      </c>
      <c r="I311" s="31" t="s">
        <v>315</v>
      </c>
      <c r="J311" s="31" t="s">
        <v>315</v>
      </c>
      <c r="K311" s="31" t="s">
        <v>315</v>
      </c>
      <c r="L311" s="32" t="str">
        <f t="shared" si="20"/>
        <v>EXCLUDE</v>
      </c>
      <c r="M311" s="32" t="str">
        <f t="shared" si="21"/>
        <v>Digital Twin not core / buzzword</v>
      </c>
      <c r="N311" s="33"/>
      <c r="O311" s="33"/>
      <c r="P311" s="34"/>
      <c r="Q311" s="34"/>
      <c r="R311" s="34"/>
      <c r="S311" s="32" t="str">
        <f t="shared" si="22"/>
        <v/>
      </c>
      <c r="T311" s="32" t="str">
        <f t="shared" si="23"/>
        <v/>
      </c>
      <c r="U311" s="35"/>
      <c r="V311" s="35"/>
      <c r="W311" s="35"/>
      <c r="X311" s="35"/>
      <c r="Y311" s="32" t="str">
        <f t="shared" si="24"/>
        <v/>
      </c>
      <c r="Z311" s="35"/>
      <c r="AA311" s="35"/>
      <c r="AB311" s="35"/>
      <c r="AC311" s="35"/>
      <c r="AD311" s="35"/>
      <c r="AE311" s="35"/>
      <c r="AF311" s="35"/>
      <c r="AG311" s="15" t="s">
        <v>524</v>
      </c>
      <c r="AH311" s="39"/>
      <c r="AI311" s="39"/>
      <c r="AM311" s="69"/>
    </row>
    <row r="312" spans="1:39" ht="22.8" x14ac:dyDescent="0.3">
      <c r="A312" s="30">
        <v>3568</v>
      </c>
      <c r="B312" s="9" t="s">
        <v>265</v>
      </c>
      <c r="C312" s="36">
        <v>2024</v>
      </c>
      <c r="D312" s="9"/>
      <c r="E312" s="9" t="s">
        <v>889</v>
      </c>
      <c r="F312" s="30" t="s">
        <v>313</v>
      </c>
      <c r="G312" s="31" t="s">
        <v>315</v>
      </c>
      <c r="H312" s="31" t="s">
        <v>315</v>
      </c>
      <c r="I312" s="31" t="s">
        <v>315</v>
      </c>
      <c r="J312" s="31" t="s">
        <v>315</v>
      </c>
      <c r="K312" s="31" t="s">
        <v>315</v>
      </c>
      <c r="L312" s="32" t="str">
        <f t="shared" si="20"/>
        <v>INCLUDE</v>
      </c>
      <c r="M312" s="32" t="str">
        <f t="shared" si="21"/>
        <v/>
      </c>
      <c r="N312" s="33" t="s">
        <v>58</v>
      </c>
      <c r="O312" s="33" t="s">
        <v>58</v>
      </c>
      <c r="P312" s="34"/>
      <c r="Q312" s="34"/>
      <c r="R312" s="34"/>
      <c r="S312" s="32" t="str">
        <f t="shared" si="22"/>
        <v/>
      </c>
      <c r="T312" s="32" t="str">
        <f t="shared" si="23"/>
        <v/>
      </c>
      <c r="U312" s="35"/>
      <c r="V312" s="35"/>
      <c r="W312" s="35"/>
      <c r="X312" s="35"/>
      <c r="Y312" s="32" t="str">
        <f t="shared" si="24"/>
        <v/>
      </c>
      <c r="Z312" s="35"/>
      <c r="AA312" s="35"/>
      <c r="AB312" s="35"/>
      <c r="AC312" s="35"/>
      <c r="AD312" s="35"/>
      <c r="AE312" s="35"/>
      <c r="AF312" s="35"/>
      <c r="AG312" s="15" t="s">
        <v>525</v>
      </c>
      <c r="AH312" s="39"/>
      <c r="AI312" s="39"/>
      <c r="AM312" s="69"/>
    </row>
    <row r="313" spans="1:39" ht="22.8" x14ac:dyDescent="0.3">
      <c r="A313" s="30">
        <v>3540</v>
      </c>
      <c r="B313" s="9"/>
      <c r="C313" s="36"/>
      <c r="D313" s="9"/>
      <c r="E313" s="9" t="s">
        <v>890</v>
      </c>
      <c r="F313" s="30" t="s">
        <v>313</v>
      </c>
      <c r="G313" s="31" t="s">
        <v>315</v>
      </c>
      <c r="H313" s="31" t="s">
        <v>316</v>
      </c>
      <c r="I313" s="31" t="s">
        <v>315</v>
      </c>
      <c r="J313" s="31" t="s">
        <v>315</v>
      </c>
      <c r="K313" s="31" t="s">
        <v>315</v>
      </c>
      <c r="L313" s="32" t="str">
        <f t="shared" si="20"/>
        <v>EXCLUDE</v>
      </c>
      <c r="M313" s="32" t="str">
        <f t="shared" si="21"/>
        <v>Digital Twin not core / buzzword</v>
      </c>
      <c r="N313" s="33"/>
      <c r="O313" s="33"/>
      <c r="P313" s="34"/>
      <c r="Q313" s="34"/>
      <c r="R313" s="34"/>
      <c r="S313" s="32" t="str">
        <f t="shared" si="22"/>
        <v/>
      </c>
      <c r="T313" s="32" t="str">
        <f t="shared" si="23"/>
        <v/>
      </c>
      <c r="U313" s="35"/>
      <c r="V313" s="35"/>
      <c r="W313" s="35"/>
      <c r="X313" s="35"/>
      <c r="Y313" s="32" t="str">
        <f t="shared" si="24"/>
        <v/>
      </c>
      <c r="Z313" s="35"/>
      <c r="AA313" s="35"/>
      <c r="AB313" s="35"/>
      <c r="AC313" s="35"/>
      <c r="AD313" s="35"/>
      <c r="AE313" s="35"/>
      <c r="AF313" s="35"/>
      <c r="AG313" s="15" t="s">
        <v>526</v>
      </c>
      <c r="AH313" s="39"/>
      <c r="AI313" s="39"/>
      <c r="AM313" s="69"/>
    </row>
    <row r="314" spans="1:39" ht="114" x14ac:dyDescent="0.3">
      <c r="A314" s="30">
        <v>3768</v>
      </c>
      <c r="B314" s="9" t="s">
        <v>266</v>
      </c>
      <c r="C314" s="36">
        <v>2025</v>
      </c>
      <c r="D314" s="9"/>
      <c r="E314" s="9" t="s">
        <v>891</v>
      </c>
      <c r="F314" s="30" t="s">
        <v>313</v>
      </c>
      <c r="G314" s="31" t="s">
        <v>315</v>
      </c>
      <c r="H314" s="31" t="s">
        <v>315</v>
      </c>
      <c r="I314" s="31" t="s">
        <v>315</v>
      </c>
      <c r="J314" s="31" t="s">
        <v>315</v>
      </c>
      <c r="K314" s="31" t="s">
        <v>315</v>
      </c>
      <c r="L314" s="32" t="str">
        <f t="shared" si="20"/>
        <v>INCLUDE</v>
      </c>
      <c r="M314" s="32" t="str">
        <f t="shared" si="21"/>
        <v/>
      </c>
      <c r="N314" s="33" t="s">
        <v>49</v>
      </c>
      <c r="O314" s="33" t="s">
        <v>49</v>
      </c>
      <c r="P314" s="34" t="s">
        <v>49</v>
      </c>
      <c r="Q314" s="34" t="s">
        <v>49</v>
      </c>
      <c r="R314" s="34" t="s">
        <v>49</v>
      </c>
      <c r="S314" s="32" t="str">
        <f t="shared" si="22"/>
        <v>INCLUDE</v>
      </c>
      <c r="T314" s="32" t="str">
        <f t="shared" si="23"/>
        <v/>
      </c>
      <c r="U314" s="35" t="s">
        <v>61</v>
      </c>
      <c r="V314" s="35">
        <v>0</v>
      </c>
      <c r="W314" s="35">
        <v>0</v>
      </c>
      <c r="X314" s="35">
        <v>1</v>
      </c>
      <c r="Y314" s="32" t="str">
        <f t="shared" si="24"/>
        <v>Single</v>
      </c>
      <c r="Z314" s="35" t="s">
        <v>9</v>
      </c>
      <c r="AA314" s="35" t="s">
        <v>53</v>
      </c>
      <c r="AB314" s="35" t="s">
        <v>63</v>
      </c>
      <c r="AC314" s="35" t="s">
        <v>64</v>
      </c>
      <c r="AD314" s="35" t="s">
        <v>72</v>
      </c>
      <c r="AE314" s="35">
        <v>4</v>
      </c>
      <c r="AF314" s="35" t="s">
        <v>84</v>
      </c>
      <c r="AG314" s="15" t="s">
        <v>1142</v>
      </c>
      <c r="AH314" s="39" t="s">
        <v>1362</v>
      </c>
      <c r="AI314" s="39" t="s">
        <v>1363</v>
      </c>
      <c r="AJ314" t="s">
        <v>1497</v>
      </c>
      <c r="AK314" t="s">
        <v>1606</v>
      </c>
      <c r="AL314" t="s">
        <v>1499</v>
      </c>
      <c r="AM314" s="69"/>
    </row>
    <row r="315" spans="1:39" ht="22.8" x14ac:dyDescent="0.3">
      <c r="A315" s="30">
        <v>3787</v>
      </c>
      <c r="B315" s="9"/>
      <c r="C315" s="36"/>
      <c r="D315" s="9"/>
      <c r="E315" s="9" t="s">
        <v>892</v>
      </c>
      <c r="F315" s="30" t="s">
        <v>313</v>
      </c>
      <c r="G315" s="31" t="s">
        <v>315</v>
      </c>
      <c r="H315" s="31" t="s">
        <v>316</v>
      </c>
      <c r="I315" s="31" t="s">
        <v>315</v>
      </c>
      <c r="J315" s="31" t="s">
        <v>315</v>
      </c>
      <c r="K315" s="31" t="s">
        <v>315</v>
      </c>
      <c r="L315" s="32" t="str">
        <f t="shared" si="20"/>
        <v>EXCLUDE</v>
      </c>
      <c r="M315" s="32" t="str">
        <f t="shared" si="21"/>
        <v>Digital Twin not core / buzzword</v>
      </c>
      <c r="N315" s="33"/>
      <c r="O315" s="33"/>
      <c r="P315" s="34"/>
      <c r="Q315" s="34"/>
      <c r="R315" s="34"/>
      <c r="S315" s="32" t="str">
        <f t="shared" si="22"/>
        <v/>
      </c>
      <c r="T315" s="32" t="str">
        <f t="shared" si="23"/>
        <v/>
      </c>
      <c r="U315" s="35"/>
      <c r="V315" s="35"/>
      <c r="W315" s="35"/>
      <c r="X315" s="35"/>
      <c r="Y315" s="32" t="str">
        <f t="shared" si="24"/>
        <v/>
      </c>
      <c r="Z315" s="35"/>
      <c r="AA315" s="35"/>
      <c r="AB315" s="35"/>
      <c r="AC315" s="35"/>
      <c r="AD315" s="35"/>
      <c r="AE315" s="35"/>
      <c r="AF315" s="35"/>
      <c r="AG315" s="15" t="s">
        <v>527</v>
      </c>
      <c r="AH315" s="39"/>
      <c r="AI315" s="39"/>
      <c r="AM315" s="69"/>
    </row>
    <row r="316" spans="1:39" ht="102.6" x14ac:dyDescent="0.3">
      <c r="A316" s="30">
        <v>3919</v>
      </c>
      <c r="B316" s="9" t="s">
        <v>267</v>
      </c>
      <c r="C316" s="36">
        <v>2025</v>
      </c>
      <c r="D316" s="9"/>
      <c r="E316" s="9" t="s">
        <v>893</v>
      </c>
      <c r="F316" s="30" t="s">
        <v>314</v>
      </c>
      <c r="G316" s="31" t="s">
        <v>315</v>
      </c>
      <c r="H316" s="31" t="s">
        <v>315</v>
      </c>
      <c r="I316" s="31" t="s">
        <v>315</v>
      </c>
      <c r="J316" s="31" t="s">
        <v>315</v>
      </c>
      <c r="K316" s="31" t="s">
        <v>315</v>
      </c>
      <c r="L316" s="32" t="str">
        <f t="shared" si="20"/>
        <v>INCLUDE</v>
      </c>
      <c r="M316" s="32" t="str">
        <f t="shared" si="21"/>
        <v/>
      </c>
      <c r="N316" s="33" t="s">
        <v>49</v>
      </c>
      <c r="O316" s="33" t="s">
        <v>49</v>
      </c>
      <c r="P316" s="34" t="s">
        <v>49</v>
      </c>
      <c r="Q316" s="34" t="s">
        <v>49</v>
      </c>
      <c r="R316" s="34" t="s">
        <v>49</v>
      </c>
      <c r="S316" s="32" t="str">
        <f t="shared" si="22"/>
        <v>INCLUDE</v>
      </c>
      <c r="T316" s="32" t="str">
        <f t="shared" si="23"/>
        <v/>
      </c>
      <c r="U316" s="35" t="s">
        <v>61</v>
      </c>
      <c r="V316" s="35">
        <v>0</v>
      </c>
      <c r="W316" s="35">
        <v>1</v>
      </c>
      <c r="X316" s="35">
        <v>0</v>
      </c>
      <c r="Y316" s="32" t="str">
        <f t="shared" si="24"/>
        <v>Single</v>
      </c>
      <c r="Z316" s="35" t="s">
        <v>9</v>
      </c>
      <c r="AA316" s="35" t="s">
        <v>53</v>
      </c>
      <c r="AB316" s="35" t="s">
        <v>88</v>
      </c>
      <c r="AC316" s="35" t="s">
        <v>64</v>
      </c>
      <c r="AD316" s="35" t="s">
        <v>72</v>
      </c>
      <c r="AE316" s="35">
        <v>4</v>
      </c>
      <c r="AF316" s="35" t="s">
        <v>80</v>
      </c>
      <c r="AG316" s="15" t="s">
        <v>1143</v>
      </c>
      <c r="AH316" s="39" t="s">
        <v>1364</v>
      </c>
      <c r="AI316" s="39" t="s">
        <v>1365</v>
      </c>
      <c r="AJ316" t="s">
        <v>1496</v>
      </c>
      <c r="AK316" t="s">
        <v>1607</v>
      </c>
      <c r="AL316" t="s">
        <v>1499</v>
      </c>
      <c r="AM316" s="69"/>
    </row>
    <row r="317" spans="1:39" ht="22.8" x14ac:dyDescent="0.3">
      <c r="A317" s="30">
        <v>4041</v>
      </c>
      <c r="B317" s="9"/>
      <c r="C317" s="36"/>
      <c r="D317" s="9"/>
      <c r="E317" s="9" t="s">
        <v>894</v>
      </c>
      <c r="F317" s="30" t="s">
        <v>314</v>
      </c>
      <c r="G317" s="31" t="s">
        <v>315</v>
      </c>
      <c r="H317" s="31" t="s">
        <v>316</v>
      </c>
      <c r="I317" s="31" t="s">
        <v>315</v>
      </c>
      <c r="J317" s="31" t="s">
        <v>315</v>
      </c>
      <c r="K317" s="31" t="s">
        <v>315</v>
      </c>
      <c r="L317" s="32" t="str">
        <f t="shared" si="20"/>
        <v>EXCLUDE</v>
      </c>
      <c r="M317" s="32" t="str">
        <f t="shared" si="21"/>
        <v>Digital Twin not core / buzzword</v>
      </c>
      <c r="N317" s="33"/>
      <c r="O317" s="33"/>
      <c r="P317" s="34"/>
      <c r="Q317" s="34"/>
      <c r="R317" s="34"/>
      <c r="S317" s="32" t="str">
        <f t="shared" si="22"/>
        <v/>
      </c>
      <c r="T317" s="32" t="str">
        <f t="shared" si="23"/>
        <v/>
      </c>
      <c r="U317" s="35"/>
      <c r="V317" s="35"/>
      <c r="W317" s="35"/>
      <c r="X317" s="35"/>
      <c r="Y317" s="32" t="str">
        <f t="shared" si="24"/>
        <v/>
      </c>
      <c r="Z317" s="35"/>
      <c r="AA317" s="35"/>
      <c r="AB317" s="35"/>
      <c r="AC317" s="35"/>
      <c r="AD317" s="35"/>
      <c r="AE317" s="35"/>
      <c r="AF317" s="35"/>
      <c r="AG317" s="15" t="s">
        <v>528</v>
      </c>
      <c r="AH317" s="39"/>
      <c r="AI317" s="39"/>
      <c r="AM317" s="69"/>
    </row>
    <row r="318" spans="1:39" ht="22.8" x14ac:dyDescent="0.3">
      <c r="A318" s="30">
        <v>3694</v>
      </c>
      <c r="B318" s="9"/>
      <c r="C318" s="36"/>
      <c r="D318" s="9"/>
      <c r="E318" s="9" t="s">
        <v>895</v>
      </c>
      <c r="F318" s="30" t="s">
        <v>313</v>
      </c>
      <c r="G318" s="31" t="s">
        <v>315</v>
      </c>
      <c r="H318" s="31" t="s">
        <v>315</v>
      </c>
      <c r="I318" s="31" t="s">
        <v>315</v>
      </c>
      <c r="J318" s="31" t="s">
        <v>315</v>
      </c>
      <c r="K318" s="31" t="s">
        <v>316</v>
      </c>
      <c r="L318" s="32" t="str">
        <f t="shared" si="20"/>
        <v>EXCLUDE</v>
      </c>
      <c r="M318" s="32" t="str">
        <f t="shared" si="21"/>
        <v>Non-English</v>
      </c>
      <c r="N318" s="33"/>
      <c r="O318" s="33"/>
      <c r="P318" s="34"/>
      <c r="Q318" s="34"/>
      <c r="R318" s="34"/>
      <c r="S318" s="32" t="str">
        <f t="shared" si="22"/>
        <v/>
      </c>
      <c r="T318" s="32" t="str">
        <f t="shared" si="23"/>
        <v/>
      </c>
      <c r="U318" s="35"/>
      <c r="V318" s="35"/>
      <c r="W318" s="35"/>
      <c r="X318" s="35"/>
      <c r="Y318" s="32" t="str">
        <f t="shared" si="24"/>
        <v/>
      </c>
      <c r="Z318" s="35"/>
      <c r="AA318" s="35"/>
      <c r="AB318" s="35"/>
      <c r="AC318" s="35"/>
      <c r="AD318" s="35"/>
      <c r="AE318" s="35"/>
      <c r="AF318" s="35"/>
      <c r="AG318" s="15" t="s">
        <v>529</v>
      </c>
      <c r="AH318" s="39"/>
      <c r="AI318" s="39"/>
      <c r="AM318" s="69"/>
    </row>
    <row r="319" spans="1:39" ht="79.8" x14ac:dyDescent="0.3">
      <c r="A319" s="30">
        <v>3941</v>
      </c>
      <c r="B319" s="9" t="s">
        <v>268</v>
      </c>
      <c r="C319" s="36">
        <v>2025</v>
      </c>
      <c r="D319" s="9"/>
      <c r="E319" s="9" t="s">
        <v>896</v>
      </c>
      <c r="F319" s="30" t="s">
        <v>314</v>
      </c>
      <c r="G319" s="31" t="s">
        <v>315</v>
      </c>
      <c r="H319" s="31" t="s">
        <v>315</v>
      </c>
      <c r="I319" s="31" t="s">
        <v>315</v>
      </c>
      <c r="J319" s="31" t="s">
        <v>315</v>
      </c>
      <c r="K319" s="31" t="s">
        <v>315</v>
      </c>
      <c r="L319" s="32" t="str">
        <f t="shared" si="20"/>
        <v>INCLUDE</v>
      </c>
      <c r="M319" s="32" t="str">
        <f t="shared" si="21"/>
        <v/>
      </c>
      <c r="N319" s="33" t="s">
        <v>315</v>
      </c>
      <c r="O319" s="33" t="s">
        <v>315</v>
      </c>
      <c r="P319" s="34" t="s">
        <v>315</v>
      </c>
      <c r="Q319" s="34" t="s">
        <v>315</v>
      </c>
      <c r="R319" s="34" t="s">
        <v>315</v>
      </c>
      <c r="S319" s="32" t="str">
        <f t="shared" si="22"/>
        <v>INCLUDE</v>
      </c>
      <c r="T319" s="32" t="str">
        <f t="shared" si="23"/>
        <v/>
      </c>
      <c r="U319" s="35" t="s">
        <v>68</v>
      </c>
      <c r="V319" s="35">
        <v>0</v>
      </c>
      <c r="W319" s="35">
        <v>1</v>
      </c>
      <c r="X319" s="35">
        <v>0</v>
      </c>
      <c r="Y319" s="32" t="str">
        <f t="shared" si="24"/>
        <v>Single</v>
      </c>
      <c r="Z319" s="35" t="s">
        <v>9</v>
      </c>
      <c r="AA319" s="35" t="s">
        <v>53</v>
      </c>
      <c r="AB319" s="35" t="s">
        <v>92</v>
      </c>
      <c r="AC319" s="35" t="s">
        <v>64</v>
      </c>
      <c r="AD319" s="35" t="s">
        <v>72</v>
      </c>
      <c r="AE319" s="35">
        <v>4</v>
      </c>
      <c r="AF319" s="35" t="s">
        <v>84</v>
      </c>
      <c r="AG319" s="15" t="s">
        <v>1058</v>
      </c>
      <c r="AH319" s="39" t="s">
        <v>1366</v>
      </c>
      <c r="AI319" s="39" t="s">
        <v>1367</v>
      </c>
      <c r="AJ319" t="s">
        <v>1497</v>
      </c>
      <c r="AK319" t="s">
        <v>1608</v>
      </c>
      <c r="AL319" t="s">
        <v>1499</v>
      </c>
      <c r="AM319" s="69"/>
    </row>
    <row r="320" spans="1:39" ht="22.8" x14ac:dyDescent="0.3">
      <c r="A320" s="30">
        <v>3648</v>
      </c>
      <c r="B320" s="9"/>
      <c r="C320" s="36"/>
      <c r="D320" s="9"/>
      <c r="E320" s="9" t="s">
        <v>897</v>
      </c>
      <c r="F320" s="30" t="s">
        <v>313</v>
      </c>
      <c r="G320" s="31" t="s">
        <v>316</v>
      </c>
      <c r="H320" s="31" t="s">
        <v>315</v>
      </c>
      <c r="I320" s="31" t="s">
        <v>315</v>
      </c>
      <c r="J320" s="31" t="s">
        <v>315</v>
      </c>
      <c r="K320" s="31" t="s">
        <v>315</v>
      </c>
      <c r="L320" s="32" t="str">
        <f t="shared" si="20"/>
        <v>EXCLUDE</v>
      </c>
      <c r="M320" s="32" t="str">
        <f t="shared" si="21"/>
        <v>Wrong domain (non-AECO)</v>
      </c>
      <c r="N320" s="33"/>
      <c r="O320" s="33"/>
      <c r="P320" s="34"/>
      <c r="Q320" s="34"/>
      <c r="R320" s="34"/>
      <c r="S320" s="32" t="str">
        <f t="shared" si="22"/>
        <v/>
      </c>
      <c r="T320" s="32" t="str">
        <f t="shared" si="23"/>
        <v/>
      </c>
      <c r="U320" s="35"/>
      <c r="V320" s="35"/>
      <c r="W320" s="35"/>
      <c r="X320" s="35"/>
      <c r="Y320" s="32" t="str">
        <f t="shared" si="24"/>
        <v/>
      </c>
      <c r="Z320" s="35"/>
      <c r="AA320" s="35"/>
      <c r="AB320" s="35"/>
      <c r="AC320" s="35"/>
      <c r="AD320" s="35"/>
      <c r="AE320" s="35"/>
      <c r="AF320" s="35"/>
      <c r="AG320" s="15" t="s">
        <v>530</v>
      </c>
      <c r="AH320" s="39"/>
      <c r="AI320" s="39"/>
      <c r="AM320" s="69"/>
    </row>
    <row r="321" spans="1:39" ht="102.6" x14ac:dyDescent="0.3">
      <c r="A321" s="30">
        <v>3994</v>
      </c>
      <c r="B321" s="9" t="s">
        <v>269</v>
      </c>
      <c r="C321" s="36">
        <v>2023</v>
      </c>
      <c r="D321" s="9"/>
      <c r="E321" s="9" t="s">
        <v>898</v>
      </c>
      <c r="F321" s="30" t="s">
        <v>314</v>
      </c>
      <c r="G321" s="31" t="s">
        <v>315</v>
      </c>
      <c r="H321" s="31" t="s">
        <v>315</v>
      </c>
      <c r="I321" s="31" t="s">
        <v>315</v>
      </c>
      <c r="J321" s="31" t="s">
        <v>315</v>
      </c>
      <c r="K321" s="31" t="s">
        <v>315</v>
      </c>
      <c r="L321" s="32" t="str">
        <f t="shared" si="20"/>
        <v>INCLUDE</v>
      </c>
      <c r="M321" s="32" t="str">
        <f t="shared" si="21"/>
        <v/>
      </c>
      <c r="N321" s="33" t="s">
        <v>315</v>
      </c>
      <c r="O321" s="33" t="s">
        <v>315</v>
      </c>
      <c r="P321" s="34" t="s">
        <v>315</v>
      </c>
      <c r="Q321" s="34" t="s">
        <v>315</v>
      </c>
      <c r="R321" s="34" t="s">
        <v>315</v>
      </c>
      <c r="S321" s="32" t="str">
        <f t="shared" si="22"/>
        <v>INCLUDE</v>
      </c>
      <c r="T321" s="32" t="str">
        <f t="shared" si="23"/>
        <v/>
      </c>
      <c r="U321" s="35" t="s">
        <v>68</v>
      </c>
      <c r="V321" s="35">
        <v>0</v>
      </c>
      <c r="W321" s="35">
        <v>1</v>
      </c>
      <c r="X321" s="35">
        <v>0</v>
      </c>
      <c r="Y321" s="32" t="str">
        <f t="shared" si="24"/>
        <v>Single</v>
      </c>
      <c r="Z321" s="35" t="s">
        <v>9</v>
      </c>
      <c r="AA321" s="35" t="s">
        <v>53</v>
      </c>
      <c r="AB321" s="35" t="s">
        <v>88</v>
      </c>
      <c r="AC321" s="35" t="s">
        <v>64</v>
      </c>
      <c r="AD321" s="35" t="s">
        <v>72</v>
      </c>
      <c r="AE321" s="35">
        <v>4</v>
      </c>
      <c r="AF321" s="35" t="s">
        <v>80</v>
      </c>
      <c r="AG321" s="15" t="s">
        <v>1059</v>
      </c>
      <c r="AH321" s="39" t="s">
        <v>1368</v>
      </c>
      <c r="AI321" s="39" t="s">
        <v>1369</v>
      </c>
      <c r="AJ321" t="s">
        <v>1497</v>
      </c>
      <c r="AK321" t="s">
        <v>1609</v>
      </c>
      <c r="AL321" t="s">
        <v>1499</v>
      </c>
      <c r="AM321" s="69"/>
    </row>
    <row r="322" spans="1:39" ht="91.2" x14ac:dyDescent="0.3">
      <c r="A322" s="30">
        <v>3583</v>
      </c>
      <c r="B322" s="9" t="s">
        <v>268</v>
      </c>
      <c r="C322" s="36">
        <v>2025</v>
      </c>
      <c r="D322" s="9"/>
      <c r="E322" s="9" t="s">
        <v>899</v>
      </c>
      <c r="F322" s="30" t="s">
        <v>313</v>
      </c>
      <c r="G322" s="31" t="s">
        <v>315</v>
      </c>
      <c r="H322" s="31" t="s">
        <v>315</v>
      </c>
      <c r="I322" s="31" t="s">
        <v>315</v>
      </c>
      <c r="J322" s="31" t="s">
        <v>315</v>
      </c>
      <c r="K322" s="31" t="s">
        <v>315</v>
      </c>
      <c r="L322" s="32" t="str">
        <f t="shared" ref="L322:L385" si="25">IF(COUNTBLANK(G322:K322)=5,"",IF(COUNTIF(G322:K322,"No")&gt;0,"EXCLUDE","INCLUDE"))</f>
        <v>INCLUDE</v>
      </c>
      <c r="M322" s="32" t="str">
        <f t="shared" ref="M322:M385" si="26">IF(L322&lt;&gt;"EXCLUDE","",IF(G322="No","Wrong domain (non-AECO)",IF(H322="No","Digital Twin not core / buzzword",IF(I322="No","No Design for Safety/Quality/PtD",IF(J322="No","Wrong publication type",IF(K322="No","Non-English",""))))))</f>
        <v/>
      </c>
      <c r="N322" s="33" t="s">
        <v>315</v>
      </c>
      <c r="O322" s="33" t="s">
        <v>315</v>
      </c>
      <c r="P322" s="34" t="s">
        <v>315</v>
      </c>
      <c r="Q322" s="34" t="s">
        <v>315</v>
      </c>
      <c r="R322" s="34" t="s">
        <v>315</v>
      </c>
      <c r="S322" s="32" t="str">
        <f t="shared" ref="S322:S385" si="27">IF(N322&lt;&gt;"Yes","",IF(COUNTBLANK(P322:R322)=3,"",IF(COUNTIF(P322:R322,"No")&gt;0,"EXCLUDE","INCLUDE")))</f>
        <v>INCLUDE</v>
      </c>
      <c r="T322" s="32" t="str">
        <f t="shared" ref="T322:T385" si="28">IF(S322&lt;&gt;"EXCLUDE","",IF(P322="No","Digital Twin mentioned only, not the subject",IF(Q322="No","No Design for Safety/Quality in full text",IF(R322="No","Methodology not codable",""))))</f>
        <v/>
      </c>
      <c r="U322" s="35" t="s">
        <v>61</v>
      </c>
      <c r="V322" s="35">
        <v>0</v>
      </c>
      <c r="W322" s="35">
        <v>0</v>
      </c>
      <c r="X322" s="35">
        <v>1</v>
      </c>
      <c r="Y322" s="32" t="str">
        <f t="shared" ref="Y322:Y385" si="29">IF(SUM(V322:X322)=0,"",IF(SUM(V322:X322)&gt;=2,"Multi","Single"))</f>
        <v>Single</v>
      </c>
      <c r="Z322" s="35" t="s">
        <v>9</v>
      </c>
      <c r="AA322" s="35" t="s">
        <v>53</v>
      </c>
      <c r="AB322" s="35" t="s">
        <v>89</v>
      </c>
      <c r="AC322" s="35" t="s">
        <v>64</v>
      </c>
      <c r="AD322" s="35" t="s">
        <v>72</v>
      </c>
      <c r="AE322" s="35">
        <v>4</v>
      </c>
      <c r="AF322" s="35" t="s">
        <v>84</v>
      </c>
      <c r="AG322" s="15" t="s">
        <v>1060</v>
      </c>
      <c r="AH322" s="39" t="s">
        <v>1370</v>
      </c>
      <c r="AI322" s="39" t="s">
        <v>1371</v>
      </c>
      <c r="AJ322" t="s">
        <v>1497</v>
      </c>
      <c r="AK322" t="s">
        <v>1610</v>
      </c>
      <c r="AL322" t="s">
        <v>1500</v>
      </c>
      <c r="AM322" s="69"/>
    </row>
    <row r="323" spans="1:39" ht="102.6" x14ac:dyDescent="0.3">
      <c r="A323" s="30">
        <v>3948</v>
      </c>
      <c r="B323" s="9" t="s">
        <v>270</v>
      </c>
      <c r="C323" s="36">
        <v>2026</v>
      </c>
      <c r="D323" s="9"/>
      <c r="E323" s="9" t="s">
        <v>900</v>
      </c>
      <c r="F323" s="30" t="s">
        <v>314</v>
      </c>
      <c r="G323" s="31" t="s">
        <v>315</v>
      </c>
      <c r="H323" s="31" t="s">
        <v>315</v>
      </c>
      <c r="I323" s="31" t="s">
        <v>315</v>
      </c>
      <c r="J323" s="31" t="s">
        <v>315</v>
      </c>
      <c r="K323" s="31" t="s">
        <v>315</v>
      </c>
      <c r="L323" s="32" t="str">
        <f t="shared" si="25"/>
        <v>INCLUDE</v>
      </c>
      <c r="M323" s="32" t="str">
        <f t="shared" si="26"/>
        <v/>
      </c>
      <c r="N323" s="33" t="s">
        <v>315</v>
      </c>
      <c r="O323" s="33" t="s">
        <v>315</v>
      </c>
      <c r="P323" s="34" t="s">
        <v>315</v>
      </c>
      <c r="Q323" s="34" t="s">
        <v>315</v>
      </c>
      <c r="R323" s="34" t="s">
        <v>315</v>
      </c>
      <c r="S323" s="32" t="str">
        <f t="shared" si="27"/>
        <v>INCLUDE</v>
      </c>
      <c r="T323" s="32" t="str">
        <f t="shared" si="28"/>
        <v/>
      </c>
      <c r="U323" s="35" t="s">
        <v>68</v>
      </c>
      <c r="V323" s="35">
        <v>0</v>
      </c>
      <c r="W323" s="35">
        <v>0</v>
      </c>
      <c r="X323" s="35">
        <v>1</v>
      </c>
      <c r="Y323" s="32" t="str">
        <f t="shared" si="29"/>
        <v>Single</v>
      </c>
      <c r="Z323" s="35" t="s">
        <v>9</v>
      </c>
      <c r="AA323" s="35" t="s">
        <v>53</v>
      </c>
      <c r="AB323" s="35" t="s">
        <v>92</v>
      </c>
      <c r="AC323" s="35" t="s">
        <v>64</v>
      </c>
      <c r="AD323" s="35" t="s">
        <v>56</v>
      </c>
      <c r="AE323" s="35">
        <v>3</v>
      </c>
      <c r="AF323" s="35" t="s">
        <v>84</v>
      </c>
      <c r="AG323" s="15" t="s">
        <v>1061</v>
      </c>
      <c r="AH323" s="39" t="s">
        <v>1372</v>
      </c>
      <c r="AI323" s="39" t="s">
        <v>1373</v>
      </c>
      <c r="AJ323" t="s">
        <v>82</v>
      </c>
      <c r="AK323" t="s">
        <v>1611</v>
      </c>
      <c r="AL323" t="s">
        <v>1499</v>
      </c>
      <c r="AM323" s="69"/>
    </row>
    <row r="324" spans="1:39" ht="22.8" x14ac:dyDescent="0.3">
      <c r="A324" s="30">
        <v>3850</v>
      </c>
      <c r="B324" s="9"/>
      <c r="C324" s="36"/>
      <c r="D324" s="9"/>
      <c r="E324" s="9" t="s">
        <v>901</v>
      </c>
      <c r="F324" s="30" t="s">
        <v>313</v>
      </c>
      <c r="G324" s="31" t="s">
        <v>315</v>
      </c>
      <c r="H324" s="31" t="s">
        <v>316</v>
      </c>
      <c r="I324" s="31" t="s">
        <v>316</v>
      </c>
      <c r="J324" s="31" t="s">
        <v>315</v>
      </c>
      <c r="K324" s="31" t="s">
        <v>315</v>
      </c>
      <c r="L324" s="32" t="str">
        <f t="shared" si="25"/>
        <v>EXCLUDE</v>
      </c>
      <c r="M324" s="32" t="str">
        <f t="shared" si="26"/>
        <v>Digital Twin not core / buzzword</v>
      </c>
      <c r="N324" s="33"/>
      <c r="O324" s="33"/>
      <c r="P324" s="34"/>
      <c r="Q324" s="34"/>
      <c r="R324" s="34"/>
      <c r="S324" s="32" t="str">
        <f t="shared" si="27"/>
        <v/>
      </c>
      <c r="T324" s="32" t="str">
        <f t="shared" si="28"/>
        <v/>
      </c>
      <c r="U324" s="35"/>
      <c r="V324" s="35"/>
      <c r="W324" s="35"/>
      <c r="X324" s="35"/>
      <c r="Y324" s="32" t="str">
        <f t="shared" si="29"/>
        <v/>
      </c>
      <c r="Z324" s="35"/>
      <c r="AA324" s="35"/>
      <c r="AB324" s="35"/>
      <c r="AC324" s="35"/>
      <c r="AD324" s="35"/>
      <c r="AE324" s="35"/>
      <c r="AF324" s="35"/>
      <c r="AG324" s="15" t="s">
        <v>531</v>
      </c>
      <c r="AH324" s="39"/>
      <c r="AI324" s="39"/>
      <c r="AM324" s="69"/>
    </row>
    <row r="325" spans="1:39" ht="91.2" x14ac:dyDescent="0.3">
      <c r="A325" s="30">
        <v>3559</v>
      </c>
      <c r="B325" s="9" t="s">
        <v>271</v>
      </c>
      <c r="C325" s="36">
        <v>2022</v>
      </c>
      <c r="D325" s="9"/>
      <c r="E325" s="9" t="s">
        <v>902</v>
      </c>
      <c r="F325" s="30" t="s">
        <v>313</v>
      </c>
      <c r="G325" s="31" t="s">
        <v>315</v>
      </c>
      <c r="H325" s="31" t="s">
        <v>315</v>
      </c>
      <c r="I325" s="31" t="s">
        <v>315</v>
      </c>
      <c r="J325" s="31" t="s">
        <v>315</v>
      </c>
      <c r="K325" s="31" t="s">
        <v>315</v>
      </c>
      <c r="L325" s="32" t="str">
        <f t="shared" si="25"/>
        <v>INCLUDE</v>
      </c>
      <c r="M325" s="32" t="str">
        <f t="shared" si="26"/>
        <v/>
      </c>
      <c r="N325" s="33" t="s">
        <v>315</v>
      </c>
      <c r="O325" s="33" t="s">
        <v>315</v>
      </c>
      <c r="P325" s="34" t="s">
        <v>315</v>
      </c>
      <c r="Q325" s="34" t="s">
        <v>315</v>
      </c>
      <c r="R325" s="34" t="s">
        <v>315</v>
      </c>
      <c r="S325" s="32" t="str">
        <f t="shared" si="27"/>
        <v>INCLUDE</v>
      </c>
      <c r="T325" s="32" t="str">
        <f t="shared" si="28"/>
        <v/>
      </c>
      <c r="U325" s="35" t="s">
        <v>61</v>
      </c>
      <c r="V325" s="35">
        <v>0</v>
      </c>
      <c r="W325" s="35">
        <v>1</v>
      </c>
      <c r="X325" s="35">
        <v>0</v>
      </c>
      <c r="Y325" s="32" t="str">
        <f t="shared" si="29"/>
        <v>Single</v>
      </c>
      <c r="Z325" s="35" t="s">
        <v>9</v>
      </c>
      <c r="AA325" s="35" t="s">
        <v>53</v>
      </c>
      <c r="AB325" s="35" t="s">
        <v>91</v>
      </c>
      <c r="AC325" s="35" t="s">
        <v>64</v>
      </c>
      <c r="AD325" s="35" t="s">
        <v>72</v>
      </c>
      <c r="AE325" s="35">
        <v>4</v>
      </c>
      <c r="AF325" s="35" t="s">
        <v>80</v>
      </c>
      <c r="AG325" s="15" t="s">
        <v>1062</v>
      </c>
      <c r="AH325" s="39" t="s">
        <v>1374</v>
      </c>
      <c r="AI325" s="39" t="s">
        <v>1375</v>
      </c>
      <c r="AJ325" t="s">
        <v>1494</v>
      </c>
      <c r="AK325" t="s">
        <v>1612</v>
      </c>
      <c r="AL325" t="s">
        <v>1499</v>
      </c>
      <c r="AM325" s="69" t="s">
        <v>1569</v>
      </c>
    </row>
    <row r="326" spans="1:39" ht="22.8" x14ac:dyDescent="0.3">
      <c r="A326" s="30">
        <v>3737</v>
      </c>
      <c r="B326" s="9"/>
      <c r="C326" s="36"/>
      <c r="D326" s="9"/>
      <c r="E326" s="9" t="s">
        <v>903</v>
      </c>
      <c r="F326" s="30" t="s">
        <v>313</v>
      </c>
      <c r="G326" s="31" t="s">
        <v>315</v>
      </c>
      <c r="H326" s="31" t="s">
        <v>315</v>
      </c>
      <c r="I326" s="31" t="s">
        <v>315</v>
      </c>
      <c r="J326" s="31" t="s">
        <v>315</v>
      </c>
      <c r="K326" s="31" t="s">
        <v>316</v>
      </c>
      <c r="L326" s="32" t="str">
        <f t="shared" si="25"/>
        <v>EXCLUDE</v>
      </c>
      <c r="M326" s="32" t="str">
        <f t="shared" si="26"/>
        <v>Non-English</v>
      </c>
      <c r="N326" s="33"/>
      <c r="O326" s="33"/>
      <c r="P326" s="34"/>
      <c r="Q326" s="34"/>
      <c r="R326" s="34"/>
      <c r="S326" s="32" t="str">
        <f t="shared" si="27"/>
        <v/>
      </c>
      <c r="T326" s="32" t="str">
        <f t="shared" si="28"/>
        <v/>
      </c>
      <c r="U326" s="35"/>
      <c r="V326" s="35"/>
      <c r="W326" s="35"/>
      <c r="X326" s="35"/>
      <c r="Y326" s="32" t="str">
        <f t="shared" si="29"/>
        <v/>
      </c>
      <c r="Z326" s="35"/>
      <c r="AA326" s="35"/>
      <c r="AB326" s="35"/>
      <c r="AC326" s="35"/>
      <c r="AD326" s="35"/>
      <c r="AE326" s="35"/>
      <c r="AF326" s="35"/>
      <c r="AG326" s="15" t="s">
        <v>532</v>
      </c>
      <c r="AH326" s="39"/>
      <c r="AI326" s="39"/>
      <c r="AM326" s="69"/>
    </row>
    <row r="327" spans="1:39" ht="22.8" x14ac:dyDescent="0.3">
      <c r="A327" s="30">
        <v>3552</v>
      </c>
      <c r="B327" s="9"/>
      <c r="C327" s="36"/>
      <c r="D327" s="9"/>
      <c r="E327" s="9" t="s">
        <v>904</v>
      </c>
      <c r="F327" s="30" t="s">
        <v>313</v>
      </c>
      <c r="G327" s="31" t="s">
        <v>315</v>
      </c>
      <c r="H327" s="31" t="s">
        <v>316</v>
      </c>
      <c r="I327" s="31" t="s">
        <v>316</v>
      </c>
      <c r="J327" s="31" t="s">
        <v>315</v>
      </c>
      <c r="K327" s="31" t="s">
        <v>315</v>
      </c>
      <c r="L327" s="32" t="str">
        <f t="shared" si="25"/>
        <v>EXCLUDE</v>
      </c>
      <c r="M327" s="32" t="str">
        <f t="shared" si="26"/>
        <v>Digital Twin not core / buzzword</v>
      </c>
      <c r="N327" s="33"/>
      <c r="O327" s="33"/>
      <c r="P327" s="34"/>
      <c r="Q327" s="34"/>
      <c r="R327" s="34"/>
      <c r="S327" s="32" t="str">
        <f t="shared" si="27"/>
        <v/>
      </c>
      <c r="T327" s="32" t="str">
        <f t="shared" si="28"/>
        <v/>
      </c>
      <c r="U327" s="35"/>
      <c r="V327" s="35"/>
      <c r="W327" s="35"/>
      <c r="X327" s="35"/>
      <c r="Y327" s="32" t="str">
        <f t="shared" si="29"/>
        <v/>
      </c>
      <c r="Z327" s="35"/>
      <c r="AA327" s="35"/>
      <c r="AB327" s="35"/>
      <c r="AC327" s="35"/>
      <c r="AD327" s="35"/>
      <c r="AE327" s="35"/>
      <c r="AF327" s="35"/>
      <c r="AG327" s="15" t="s">
        <v>533</v>
      </c>
      <c r="AH327" s="39"/>
      <c r="AI327" s="39"/>
      <c r="AM327" s="69"/>
    </row>
    <row r="328" spans="1:39" x14ac:dyDescent="0.3">
      <c r="A328" s="30">
        <v>3904</v>
      </c>
      <c r="B328" s="9"/>
      <c r="C328" s="36"/>
      <c r="D328" s="9"/>
      <c r="E328" s="9" t="s">
        <v>905</v>
      </c>
      <c r="F328" s="30" t="s">
        <v>314</v>
      </c>
      <c r="G328" s="31" t="s">
        <v>315</v>
      </c>
      <c r="H328" s="31" t="s">
        <v>315</v>
      </c>
      <c r="I328" s="31" t="s">
        <v>315</v>
      </c>
      <c r="J328" s="31" t="s">
        <v>315</v>
      </c>
      <c r="K328" s="31" t="s">
        <v>316</v>
      </c>
      <c r="L328" s="32" t="str">
        <f t="shared" si="25"/>
        <v>EXCLUDE</v>
      </c>
      <c r="M328" s="32" t="str">
        <f t="shared" si="26"/>
        <v>Non-English</v>
      </c>
      <c r="N328" s="33"/>
      <c r="O328" s="33"/>
      <c r="P328" s="34"/>
      <c r="Q328" s="34"/>
      <c r="R328" s="34"/>
      <c r="S328" s="32" t="str">
        <f t="shared" si="27"/>
        <v/>
      </c>
      <c r="T328" s="32" t="str">
        <f t="shared" si="28"/>
        <v/>
      </c>
      <c r="U328" s="35"/>
      <c r="V328" s="35"/>
      <c r="W328" s="35"/>
      <c r="X328" s="35"/>
      <c r="Y328" s="32" t="str">
        <f t="shared" si="29"/>
        <v/>
      </c>
      <c r="Z328" s="35"/>
      <c r="AA328" s="35"/>
      <c r="AB328" s="35"/>
      <c r="AC328" s="35"/>
      <c r="AD328" s="35"/>
      <c r="AE328" s="35"/>
      <c r="AF328" s="35"/>
      <c r="AG328" s="15" t="s">
        <v>480</v>
      </c>
      <c r="AH328" s="39"/>
      <c r="AI328" s="39"/>
      <c r="AM328" s="69"/>
    </row>
    <row r="329" spans="1:39" ht="22.8" x14ac:dyDescent="0.3">
      <c r="A329" s="30">
        <v>3621</v>
      </c>
      <c r="B329" s="9"/>
      <c r="C329" s="36"/>
      <c r="D329" s="9"/>
      <c r="E329" s="9" t="s">
        <v>906</v>
      </c>
      <c r="F329" s="30" t="s">
        <v>313</v>
      </c>
      <c r="G329" s="31" t="s">
        <v>315</v>
      </c>
      <c r="H329" s="31" t="s">
        <v>316</v>
      </c>
      <c r="I329" s="31" t="s">
        <v>315</v>
      </c>
      <c r="J329" s="31" t="s">
        <v>315</v>
      </c>
      <c r="K329" s="31" t="s">
        <v>315</v>
      </c>
      <c r="L329" s="32" t="str">
        <f t="shared" si="25"/>
        <v>EXCLUDE</v>
      </c>
      <c r="M329" s="32" t="str">
        <f t="shared" si="26"/>
        <v>Digital Twin not core / buzzword</v>
      </c>
      <c r="N329" s="33"/>
      <c r="O329" s="33"/>
      <c r="P329" s="34"/>
      <c r="Q329" s="34"/>
      <c r="R329" s="34"/>
      <c r="S329" s="32" t="str">
        <f t="shared" si="27"/>
        <v/>
      </c>
      <c r="T329" s="32" t="str">
        <f t="shared" si="28"/>
        <v/>
      </c>
      <c r="U329" s="35"/>
      <c r="V329" s="35"/>
      <c r="W329" s="35"/>
      <c r="X329" s="35"/>
      <c r="Y329" s="32" t="str">
        <f t="shared" si="29"/>
        <v/>
      </c>
      <c r="Z329" s="35"/>
      <c r="AA329" s="35"/>
      <c r="AB329" s="35"/>
      <c r="AC329" s="35"/>
      <c r="AD329" s="35"/>
      <c r="AE329" s="35"/>
      <c r="AF329" s="35"/>
      <c r="AG329" s="15" t="s">
        <v>534</v>
      </c>
      <c r="AH329" s="39"/>
      <c r="AI329" s="39"/>
      <c r="AM329" s="69"/>
    </row>
    <row r="330" spans="1:39" ht="114" x14ac:dyDescent="0.3">
      <c r="A330" s="30">
        <v>3946</v>
      </c>
      <c r="B330" s="9" t="s">
        <v>272</v>
      </c>
      <c r="C330" s="36">
        <v>2026</v>
      </c>
      <c r="D330" s="9"/>
      <c r="E330" s="9" t="s">
        <v>907</v>
      </c>
      <c r="F330" s="30" t="s">
        <v>314</v>
      </c>
      <c r="G330" s="31" t="s">
        <v>315</v>
      </c>
      <c r="H330" s="31" t="s">
        <v>315</v>
      </c>
      <c r="I330" s="31" t="s">
        <v>315</v>
      </c>
      <c r="J330" s="31" t="s">
        <v>315</v>
      </c>
      <c r="K330" s="31" t="s">
        <v>315</v>
      </c>
      <c r="L330" s="32" t="str">
        <f t="shared" si="25"/>
        <v>INCLUDE</v>
      </c>
      <c r="M330" s="32" t="str">
        <f t="shared" si="26"/>
        <v/>
      </c>
      <c r="N330" s="33" t="s">
        <v>49</v>
      </c>
      <c r="O330" s="33" t="s">
        <v>49</v>
      </c>
      <c r="P330" s="34" t="s">
        <v>49</v>
      </c>
      <c r="Q330" s="34" t="s">
        <v>49</v>
      </c>
      <c r="R330" s="34" t="s">
        <v>49</v>
      </c>
      <c r="S330" s="32" t="str">
        <f t="shared" si="27"/>
        <v>INCLUDE</v>
      </c>
      <c r="T330" s="32" t="str">
        <f t="shared" si="28"/>
        <v/>
      </c>
      <c r="U330" s="35" t="s">
        <v>61</v>
      </c>
      <c r="V330" s="35">
        <v>0</v>
      </c>
      <c r="W330" s="35">
        <v>1</v>
      </c>
      <c r="X330" s="35">
        <v>0</v>
      </c>
      <c r="Y330" s="32" t="str">
        <f t="shared" si="29"/>
        <v>Single</v>
      </c>
      <c r="Z330" s="35" t="s">
        <v>11</v>
      </c>
      <c r="AA330" s="35" t="s">
        <v>53</v>
      </c>
      <c r="AB330" s="35" t="s">
        <v>89</v>
      </c>
      <c r="AC330" s="35" t="s">
        <v>64</v>
      </c>
      <c r="AD330" s="35" t="s">
        <v>72</v>
      </c>
      <c r="AE330" s="35">
        <v>4</v>
      </c>
      <c r="AF330" s="35" t="s">
        <v>66</v>
      </c>
      <c r="AG330" s="15" t="s">
        <v>1144</v>
      </c>
      <c r="AH330" s="39" t="s">
        <v>1376</v>
      </c>
      <c r="AI330" s="39" t="s">
        <v>1377</v>
      </c>
      <c r="AJ330" t="s">
        <v>1497</v>
      </c>
      <c r="AK330" t="s">
        <v>1613</v>
      </c>
      <c r="AL330" t="s">
        <v>1499</v>
      </c>
      <c r="AM330" s="69"/>
    </row>
    <row r="331" spans="1:39" ht="22.8" x14ac:dyDescent="0.3">
      <c r="A331" s="30">
        <v>3834</v>
      </c>
      <c r="B331" s="9"/>
      <c r="C331" s="36"/>
      <c r="D331" s="9"/>
      <c r="E331" s="9" t="s">
        <v>908</v>
      </c>
      <c r="F331" s="30" t="s">
        <v>313</v>
      </c>
      <c r="G331" s="31" t="s">
        <v>316</v>
      </c>
      <c r="H331" s="31" t="s">
        <v>315</v>
      </c>
      <c r="I331" s="31" t="s">
        <v>316</v>
      </c>
      <c r="J331" s="31" t="s">
        <v>315</v>
      </c>
      <c r="K331" s="31" t="s">
        <v>315</v>
      </c>
      <c r="L331" s="32" t="str">
        <f t="shared" si="25"/>
        <v>EXCLUDE</v>
      </c>
      <c r="M331" s="32" t="str">
        <f t="shared" si="26"/>
        <v>Wrong domain (non-AECO)</v>
      </c>
      <c r="N331" s="33"/>
      <c r="O331" s="33"/>
      <c r="P331" s="34"/>
      <c r="Q331" s="34"/>
      <c r="R331" s="34"/>
      <c r="S331" s="32" t="str">
        <f t="shared" si="27"/>
        <v/>
      </c>
      <c r="T331" s="32" t="str">
        <f t="shared" si="28"/>
        <v/>
      </c>
      <c r="U331" s="35"/>
      <c r="V331" s="35"/>
      <c r="W331" s="35"/>
      <c r="X331" s="35"/>
      <c r="Y331" s="32" t="str">
        <f t="shared" si="29"/>
        <v/>
      </c>
      <c r="Z331" s="35"/>
      <c r="AA331" s="35"/>
      <c r="AB331" s="35"/>
      <c r="AC331" s="35"/>
      <c r="AD331" s="35"/>
      <c r="AE331" s="35"/>
      <c r="AF331" s="35"/>
      <c r="AG331" s="15" t="s">
        <v>535</v>
      </c>
      <c r="AH331" s="39"/>
      <c r="AI331" s="39"/>
      <c r="AM331" s="69"/>
    </row>
    <row r="332" spans="1:39" ht="91.2" x14ac:dyDescent="0.3">
      <c r="A332" s="30">
        <v>3593</v>
      </c>
      <c r="B332" s="9" t="s">
        <v>273</v>
      </c>
      <c r="C332" s="36">
        <v>2021</v>
      </c>
      <c r="D332" s="9"/>
      <c r="E332" s="9" t="s">
        <v>909</v>
      </c>
      <c r="F332" s="30" t="s">
        <v>313</v>
      </c>
      <c r="G332" s="31" t="s">
        <v>315</v>
      </c>
      <c r="H332" s="31" t="s">
        <v>315</v>
      </c>
      <c r="I332" s="31" t="s">
        <v>315</v>
      </c>
      <c r="J332" s="31" t="s">
        <v>315</v>
      </c>
      <c r="K332" s="31" t="s">
        <v>315</v>
      </c>
      <c r="L332" s="32" t="str">
        <f t="shared" si="25"/>
        <v>INCLUDE</v>
      </c>
      <c r="M332" s="32" t="str">
        <f t="shared" si="26"/>
        <v/>
      </c>
      <c r="N332" s="33" t="s">
        <v>49</v>
      </c>
      <c r="O332" s="33" t="s">
        <v>49</v>
      </c>
      <c r="P332" s="34" t="s">
        <v>49</v>
      </c>
      <c r="Q332" s="34" t="s">
        <v>49</v>
      </c>
      <c r="R332" s="34" t="s">
        <v>49</v>
      </c>
      <c r="S332" s="32" t="str">
        <f t="shared" si="27"/>
        <v>INCLUDE</v>
      </c>
      <c r="T332" s="32" t="str">
        <f t="shared" si="28"/>
        <v/>
      </c>
      <c r="U332" s="35" t="s">
        <v>82</v>
      </c>
      <c r="V332" s="35">
        <v>0</v>
      </c>
      <c r="W332" s="35">
        <v>1</v>
      </c>
      <c r="X332" s="35">
        <v>0</v>
      </c>
      <c r="Y332" s="32" t="str">
        <f t="shared" si="29"/>
        <v>Single</v>
      </c>
      <c r="Z332" s="35" t="s">
        <v>9</v>
      </c>
      <c r="AA332" s="35" t="s">
        <v>53</v>
      </c>
      <c r="AB332" s="35" t="s">
        <v>91</v>
      </c>
      <c r="AC332" s="35" t="s">
        <v>64</v>
      </c>
      <c r="AD332" s="35" t="s">
        <v>56</v>
      </c>
      <c r="AE332" s="35">
        <v>2</v>
      </c>
      <c r="AF332" s="35" t="s">
        <v>80</v>
      </c>
      <c r="AG332" s="15" t="s">
        <v>1145</v>
      </c>
      <c r="AH332" s="39" t="s">
        <v>1378</v>
      </c>
      <c r="AI332" s="39" t="s">
        <v>1379</v>
      </c>
      <c r="AJ332" t="s">
        <v>82</v>
      </c>
      <c r="AK332" t="s">
        <v>1614</v>
      </c>
      <c r="AL332" t="s">
        <v>1499</v>
      </c>
      <c r="AM332" s="69"/>
    </row>
    <row r="333" spans="1:39" ht="114" x14ac:dyDescent="0.3">
      <c r="A333" s="30">
        <v>3935</v>
      </c>
      <c r="B333" s="9" t="s">
        <v>274</v>
      </c>
      <c r="C333" s="36">
        <v>2024</v>
      </c>
      <c r="D333" s="9"/>
      <c r="E333" s="9" t="s">
        <v>910</v>
      </c>
      <c r="F333" s="30" t="s">
        <v>314</v>
      </c>
      <c r="G333" s="31" t="s">
        <v>315</v>
      </c>
      <c r="H333" s="31" t="s">
        <v>315</v>
      </c>
      <c r="I333" s="31" t="s">
        <v>315</v>
      </c>
      <c r="J333" s="31" t="s">
        <v>315</v>
      </c>
      <c r="K333" s="31" t="s">
        <v>315</v>
      </c>
      <c r="L333" s="32" t="str">
        <f t="shared" si="25"/>
        <v>INCLUDE</v>
      </c>
      <c r="M333" s="32" t="str">
        <f t="shared" si="26"/>
        <v/>
      </c>
      <c r="N333" s="33" t="s">
        <v>49</v>
      </c>
      <c r="O333" s="33" t="s">
        <v>49</v>
      </c>
      <c r="P333" s="34" t="s">
        <v>49</v>
      </c>
      <c r="Q333" s="34" t="s">
        <v>49</v>
      </c>
      <c r="R333" s="34" t="s">
        <v>49</v>
      </c>
      <c r="S333" s="32" t="str">
        <f t="shared" si="27"/>
        <v>INCLUDE</v>
      </c>
      <c r="T333" s="32" t="str">
        <f t="shared" si="28"/>
        <v/>
      </c>
      <c r="U333" s="35" t="s">
        <v>52</v>
      </c>
      <c r="V333" s="35">
        <v>0</v>
      </c>
      <c r="W333" s="35">
        <v>1</v>
      </c>
      <c r="X333" s="35">
        <v>0</v>
      </c>
      <c r="Y333" s="32" t="str">
        <f t="shared" si="29"/>
        <v>Single</v>
      </c>
      <c r="Z333" s="35" t="s">
        <v>69</v>
      </c>
      <c r="AA333" s="35" t="s">
        <v>62</v>
      </c>
      <c r="AB333" s="35" t="s">
        <v>91</v>
      </c>
      <c r="AC333" s="35" t="s">
        <v>64</v>
      </c>
      <c r="AD333" s="35" t="s">
        <v>56</v>
      </c>
      <c r="AE333" s="35">
        <v>3</v>
      </c>
      <c r="AF333" s="35" t="s">
        <v>57</v>
      </c>
      <c r="AG333" s="15" t="s">
        <v>1146</v>
      </c>
      <c r="AH333" s="39" t="s">
        <v>1380</v>
      </c>
      <c r="AI333" s="39" t="s">
        <v>1381</v>
      </c>
      <c r="AJ333" t="s">
        <v>82</v>
      </c>
      <c r="AK333" t="s">
        <v>1615</v>
      </c>
      <c r="AL333" t="s">
        <v>1499</v>
      </c>
      <c r="AM333" s="69"/>
    </row>
    <row r="334" spans="1:39" ht="102.6" x14ac:dyDescent="0.3">
      <c r="A334" s="30">
        <v>3878</v>
      </c>
      <c r="B334" s="9" t="s">
        <v>275</v>
      </c>
      <c r="C334" s="36">
        <v>2024</v>
      </c>
      <c r="D334" s="9"/>
      <c r="E334" s="9" t="s">
        <v>911</v>
      </c>
      <c r="F334" s="30" t="s">
        <v>314</v>
      </c>
      <c r="G334" s="31" t="s">
        <v>315</v>
      </c>
      <c r="H334" s="31" t="s">
        <v>315</v>
      </c>
      <c r="I334" s="31" t="s">
        <v>315</v>
      </c>
      <c r="J334" s="31" t="s">
        <v>315</v>
      </c>
      <c r="K334" s="31" t="s">
        <v>315</v>
      </c>
      <c r="L334" s="32" t="str">
        <f t="shared" si="25"/>
        <v>INCLUDE</v>
      </c>
      <c r="M334" s="32" t="str">
        <f t="shared" si="26"/>
        <v/>
      </c>
      <c r="N334" s="33" t="s">
        <v>315</v>
      </c>
      <c r="O334" s="33" t="s">
        <v>315</v>
      </c>
      <c r="P334" s="34" t="s">
        <v>315</v>
      </c>
      <c r="Q334" s="34" t="s">
        <v>315</v>
      </c>
      <c r="R334" s="34" t="s">
        <v>315</v>
      </c>
      <c r="S334" s="32" t="str">
        <f t="shared" si="27"/>
        <v>INCLUDE</v>
      </c>
      <c r="T334" s="32" t="str">
        <f t="shared" si="28"/>
        <v/>
      </c>
      <c r="U334" s="35" t="s">
        <v>68</v>
      </c>
      <c r="V334" s="35">
        <v>0</v>
      </c>
      <c r="W334" s="35">
        <v>0</v>
      </c>
      <c r="X334" s="35">
        <v>1</v>
      </c>
      <c r="Y334" s="32" t="str">
        <f t="shared" si="29"/>
        <v>Single</v>
      </c>
      <c r="Z334" s="35" t="s">
        <v>9</v>
      </c>
      <c r="AA334" s="35" t="s">
        <v>70</v>
      </c>
      <c r="AB334" s="35" t="s">
        <v>85</v>
      </c>
      <c r="AC334" s="35" t="s">
        <v>64</v>
      </c>
      <c r="AD334" s="35" t="s">
        <v>65</v>
      </c>
      <c r="AE334" s="35">
        <v>4</v>
      </c>
      <c r="AF334" s="35" t="s">
        <v>84</v>
      </c>
      <c r="AG334" s="15" t="s">
        <v>1063</v>
      </c>
      <c r="AH334" s="39" t="s">
        <v>1382</v>
      </c>
      <c r="AI334" s="39" t="s">
        <v>1383</v>
      </c>
      <c r="AJ334" t="s">
        <v>1497</v>
      </c>
      <c r="AK334" t="s">
        <v>1616</v>
      </c>
      <c r="AL334" t="s">
        <v>1500</v>
      </c>
      <c r="AM334" s="69"/>
    </row>
    <row r="335" spans="1:39" ht="102.6" x14ac:dyDescent="0.3">
      <c r="A335" s="30">
        <v>3840</v>
      </c>
      <c r="B335" s="9" t="s">
        <v>276</v>
      </c>
      <c r="C335" s="36">
        <v>2025</v>
      </c>
      <c r="D335" s="9"/>
      <c r="E335" s="9" t="s">
        <v>912</v>
      </c>
      <c r="F335" s="30" t="s">
        <v>313</v>
      </c>
      <c r="G335" s="31" t="s">
        <v>315</v>
      </c>
      <c r="H335" s="31" t="s">
        <v>315</v>
      </c>
      <c r="I335" s="31" t="s">
        <v>315</v>
      </c>
      <c r="J335" s="31" t="s">
        <v>315</v>
      </c>
      <c r="K335" s="31" t="s">
        <v>315</v>
      </c>
      <c r="L335" s="32" t="str">
        <f t="shared" si="25"/>
        <v>INCLUDE</v>
      </c>
      <c r="M335" s="32" t="str">
        <f t="shared" si="26"/>
        <v/>
      </c>
      <c r="N335" s="33" t="s">
        <v>49</v>
      </c>
      <c r="O335" s="33" t="s">
        <v>49</v>
      </c>
      <c r="P335" s="34" t="s">
        <v>49</v>
      </c>
      <c r="Q335" s="34" t="s">
        <v>49</v>
      </c>
      <c r="R335" s="34" t="s">
        <v>49</v>
      </c>
      <c r="S335" s="32" t="str">
        <f t="shared" si="27"/>
        <v>INCLUDE</v>
      </c>
      <c r="T335" s="32" t="str">
        <f t="shared" si="28"/>
        <v/>
      </c>
      <c r="U335" s="35" t="s">
        <v>82</v>
      </c>
      <c r="V335" s="35">
        <v>0</v>
      </c>
      <c r="W335" s="35">
        <v>0</v>
      </c>
      <c r="X335" s="35">
        <v>1</v>
      </c>
      <c r="Y335" s="32" t="str">
        <f t="shared" si="29"/>
        <v>Single</v>
      </c>
      <c r="Z335" s="35" t="s">
        <v>9</v>
      </c>
      <c r="AA335" s="35" t="s">
        <v>53</v>
      </c>
      <c r="AB335" s="35" t="s">
        <v>88</v>
      </c>
      <c r="AC335" s="35" t="s">
        <v>64</v>
      </c>
      <c r="AD335" s="35" t="s">
        <v>56</v>
      </c>
      <c r="AE335" s="35">
        <v>2</v>
      </c>
      <c r="AF335" s="35" t="s">
        <v>76</v>
      </c>
      <c r="AG335" s="15" t="s">
        <v>1147</v>
      </c>
      <c r="AH335" s="39" t="s">
        <v>1384</v>
      </c>
      <c r="AI335" s="39" t="s">
        <v>1385</v>
      </c>
      <c r="AJ335" t="s">
        <v>82</v>
      </c>
      <c r="AK335" t="s">
        <v>1617</v>
      </c>
      <c r="AL335" t="s">
        <v>1499</v>
      </c>
      <c r="AM335" s="69"/>
    </row>
    <row r="336" spans="1:39" ht="91.2" x14ac:dyDescent="0.3">
      <c r="A336" s="30">
        <v>3836</v>
      </c>
      <c r="B336" s="9" t="s">
        <v>277</v>
      </c>
      <c r="C336" s="36">
        <v>2025</v>
      </c>
      <c r="D336" s="9"/>
      <c r="E336" s="9" t="s">
        <v>913</v>
      </c>
      <c r="F336" s="30" t="s">
        <v>313</v>
      </c>
      <c r="G336" s="31" t="s">
        <v>315</v>
      </c>
      <c r="H336" s="31" t="s">
        <v>315</v>
      </c>
      <c r="I336" s="31" t="s">
        <v>315</v>
      </c>
      <c r="J336" s="31" t="s">
        <v>315</v>
      </c>
      <c r="K336" s="31" t="s">
        <v>315</v>
      </c>
      <c r="L336" s="32" t="str">
        <f t="shared" si="25"/>
        <v>INCLUDE</v>
      </c>
      <c r="M336" s="32" t="str">
        <f t="shared" si="26"/>
        <v/>
      </c>
      <c r="N336" s="33" t="s">
        <v>315</v>
      </c>
      <c r="O336" s="33" t="s">
        <v>315</v>
      </c>
      <c r="P336" s="34" t="s">
        <v>315</v>
      </c>
      <c r="Q336" s="34" t="s">
        <v>315</v>
      </c>
      <c r="R336" s="34" t="s">
        <v>315</v>
      </c>
      <c r="S336" s="32" t="str">
        <f t="shared" si="27"/>
        <v>INCLUDE</v>
      </c>
      <c r="T336" s="32" t="str">
        <f t="shared" si="28"/>
        <v/>
      </c>
      <c r="U336" s="35" t="s">
        <v>61</v>
      </c>
      <c r="V336" s="35">
        <v>0</v>
      </c>
      <c r="W336" s="35">
        <v>0</v>
      </c>
      <c r="X336" s="35">
        <v>1</v>
      </c>
      <c r="Y336" s="32" t="str">
        <f t="shared" si="29"/>
        <v>Single</v>
      </c>
      <c r="Z336" s="35" t="s">
        <v>9</v>
      </c>
      <c r="AA336" s="35" t="s">
        <v>53</v>
      </c>
      <c r="AB336" s="35" t="s">
        <v>91</v>
      </c>
      <c r="AC336" s="35" t="s">
        <v>64</v>
      </c>
      <c r="AD336" s="35" t="s">
        <v>72</v>
      </c>
      <c r="AE336" s="35">
        <v>4</v>
      </c>
      <c r="AF336" s="35" t="s">
        <v>86</v>
      </c>
      <c r="AG336" s="15" t="s">
        <v>1064</v>
      </c>
      <c r="AH336" s="39" t="s">
        <v>1386</v>
      </c>
      <c r="AI336" s="39" t="s">
        <v>1387</v>
      </c>
      <c r="AJ336" t="s">
        <v>1497</v>
      </c>
      <c r="AK336" t="s">
        <v>1618</v>
      </c>
      <c r="AL336" t="s">
        <v>1500</v>
      </c>
      <c r="AM336" s="69"/>
    </row>
    <row r="337" spans="1:39" ht="22.8" x14ac:dyDescent="0.3">
      <c r="A337" s="30">
        <v>3494</v>
      </c>
      <c r="B337" s="9"/>
      <c r="C337" s="36"/>
      <c r="D337" s="9"/>
      <c r="E337" s="9" t="s">
        <v>914</v>
      </c>
      <c r="F337" s="30" t="s">
        <v>313</v>
      </c>
      <c r="G337" s="31" t="s">
        <v>315</v>
      </c>
      <c r="H337" s="31" t="s">
        <v>316</v>
      </c>
      <c r="I337" s="31" t="s">
        <v>316</v>
      </c>
      <c r="J337" s="31" t="s">
        <v>315</v>
      </c>
      <c r="K337" s="31" t="s">
        <v>315</v>
      </c>
      <c r="L337" s="32" t="str">
        <f t="shared" si="25"/>
        <v>EXCLUDE</v>
      </c>
      <c r="M337" s="32" t="str">
        <f t="shared" si="26"/>
        <v>Digital Twin not core / buzzword</v>
      </c>
      <c r="N337" s="33"/>
      <c r="O337" s="33"/>
      <c r="P337" s="34"/>
      <c r="Q337" s="34"/>
      <c r="R337" s="34"/>
      <c r="S337" s="32" t="str">
        <f t="shared" si="27"/>
        <v/>
      </c>
      <c r="T337" s="32" t="str">
        <f t="shared" si="28"/>
        <v/>
      </c>
      <c r="U337" s="35"/>
      <c r="V337" s="35"/>
      <c r="W337" s="35"/>
      <c r="X337" s="35"/>
      <c r="Y337" s="32" t="str">
        <f t="shared" si="29"/>
        <v/>
      </c>
      <c r="Z337" s="35"/>
      <c r="AA337" s="35"/>
      <c r="AB337" s="35"/>
      <c r="AC337" s="35"/>
      <c r="AD337" s="35"/>
      <c r="AE337" s="35"/>
      <c r="AF337" s="35"/>
      <c r="AG337" s="15" t="s">
        <v>536</v>
      </c>
      <c r="AH337" s="39"/>
      <c r="AI337" s="39"/>
      <c r="AM337" s="69"/>
    </row>
    <row r="338" spans="1:39" ht="22.8" x14ac:dyDescent="0.3">
      <c r="A338" s="30">
        <v>3933</v>
      </c>
      <c r="B338" s="9"/>
      <c r="C338" s="36"/>
      <c r="D338" s="9"/>
      <c r="E338" s="9" t="s">
        <v>915</v>
      </c>
      <c r="F338" s="30" t="s">
        <v>314</v>
      </c>
      <c r="G338" s="31" t="s">
        <v>316</v>
      </c>
      <c r="H338" s="31" t="s">
        <v>315</v>
      </c>
      <c r="I338" s="31" t="s">
        <v>315</v>
      </c>
      <c r="J338" s="31" t="s">
        <v>315</v>
      </c>
      <c r="K338" s="31" t="s">
        <v>315</v>
      </c>
      <c r="L338" s="32" t="str">
        <f t="shared" si="25"/>
        <v>EXCLUDE</v>
      </c>
      <c r="M338" s="32" t="str">
        <f t="shared" si="26"/>
        <v>Wrong domain (non-AECO)</v>
      </c>
      <c r="N338" s="33"/>
      <c r="O338" s="33"/>
      <c r="P338" s="34"/>
      <c r="Q338" s="34"/>
      <c r="R338" s="34"/>
      <c r="S338" s="32" t="str">
        <f t="shared" si="27"/>
        <v/>
      </c>
      <c r="T338" s="32" t="str">
        <f t="shared" si="28"/>
        <v/>
      </c>
      <c r="U338" s="35"/>
      <c r="V338" s="35"/>
      <c r="W338" s="35"/>
      <c r="X338" s="35"/>
      <c r="Y338" s="32" t="str">
        <f t="shared" si="29"/>
        <v/>
      </c>
      <c r="Z338" s="35"/>
      <c r="AA338" s="35"/>
      <c r="AB338" s="35"/>
      <c r="AC338" s="35"/>
      <c r="AD338" s="35"/>
      <c r="AE338" s="35"/>
      <c r="AF338" s="35"/>
      <c r="AG338" s="15" t="s">
        <v>537</v>
      </c>
      <c r="AH338" s="39"/>
      <c r="AI338" s="39"/>
      <c r="AM338" s="69"/>
    </row>
    <row r="339" spans="1:39" ht="22.8" x14ac:dyDescent="0.3">
      <c r="A339" s="30">
        <v>3598</v>
      </c>
      <c r="B339" s="9"/>
      <c r="C339" s="36"/>
      <c r="D339" s="9"/>
      <c r="E339" s="9" t="s">
        <v>916</v>
      </c>
      <c r="F339" s="30" t="s">
        <v>313</v>
      </c>
      <c r="G339" s="31" t="s">
        <v>315</v>
      </c>
      <c r="H339" s="31" t="s">
        <v>315</v>
      </c>
      <c r="I339" s="31" t="s">
        <v>316</v>
      </c>
      <c r="J339" s="31" t="s">
        <v>315</v>
      </c>
      <c r="K339" s="31" t="s">
        <v>315</v>
      </c>
      <c r="L339" s="32" t="str">
        <f t="shared" si="25"/>
        <v>EXCLUDE</v>
      </c>
      <c r="M339" s="32" t="str">
        <f t="shared" si="26"/>
        <v>No Design for Safety/Quality/PtD</v>
      </c>
      <c r="N339" s="33"/>
      <c r="O339" s="33"/>
      <c r="P339" s="34"/>
      <c r="Q339" s="34"/>
      <c r="R339" s="34"/>
      <c r="S339" s="32" t="str">
        <f t="shared" si="27"/>
        <v/>
      </c>
      <c r="T339" s="32" t="str">
        <f t="shared" si="28"/>
        <v/>
      </c>
      <c r="U339" s="35"/>
      <c r="V339" s="35"/>
      <c r="W339" s="35"/>
      <c r="X339" s="35"/>
      <c r="Y339" s="32" t="str">
        <f t="shared" si="29"/>
        <v/>
      </c>
      <c r="Z339" s="35"/>
      <c r="AA339" s="35"/>
      <c r="AB339" s="35"/>
      <c r="AC339" s="35"/>
      <c r="AD339" s="35"/>
      <c r="AE339" s="35"/>
      <c r="AF339" s="35"/>
      <c r="AG339" s="15" t="s">
        <v>538</v>
      </c>
      <c r="AH339" s="39"/>
      <c r="AI339" s="39"/>
      <c r="AM339" s="69"/>
    </row>
    <row r="340" spans="1:39" ht="22.8" x14ac:dyDescent="0.3">
      <c r="A340" s="30">
        <v>3825</v>
      </c>
      <c r="B340" s="9"/>
      <c r="C340" s="36"/>
      <c r="D340" s="9"/>
      <c r="E340" s="9" t="s">
        <v>917</v>
      </c>
      <c r="F340" s="30" t="s">
        <v>313</v>
      </c>
      <c r="G340" s="31" t="s">
        <v>316</v>
      </c>
      <c r="H340" s="31" t="s">
        <v>315</v>
      </c>
      <c r="I340" s="31" t="s">
        <v>316</v>
      </c>
      <c r="J340" s="31" t="s">
        <v>315</v>
      </c>
      <c r="K340" s="31" t="s">
        <v>315</v>
      </c>
      <c r="L340" s="32" t="str">
        <f t="shared" si="25"/>
        <v>EXCLUDE</v>
      </c>
      <c r="M340" s="32" t="str">
        <f t="shared" si="26"/>
        <v>Wrong domain (non-AECO)</v>
      </c>
      <c r="N340" s="33"/>
      <c r="O340" s="33"/>
      <c r="P340" s="34"/>
      <c r="Q340" s="34"/>
      <c r="R340" s="34"/>
      <c r="S340" s="32" t="str">
        <f t="shared" si="27"/>
        <v/>
      </c>
      <c r="T340" s="32" t="str">
        <f t="shared" si="28"/>
        <v/>
      </c>
      <c r="U340" s="35"/>
      <c r="V340" s="35"/>
      <c r="W340" s="35"/>
      <c r="X340" s="35"/>
      <c r="Y340" s="32" t="str">
        <f t="shared" si="29"/>
        <v/>
      </c>
      <c r="Z340" s="35"/>
      <c r="AA340" s="35"/>
      <c r="AB340" s="35"/>
      <c r="AC340" s="35"/>
      <c r="AD340" s="35"/>
      <c r="AE340" s="35"/>
      <c r="AF340" s="35"/>
      <c r="AG340" s="15" t="s">
        <v>539</v>
      </c>
      <c r="AH340" s="39"/>
      <c r="AI340" s="39"/>
      <c r="AM340" s="69"/>
    </row>
    <row r="341" spans="1:39" ht="79.8" x14ac:dyDescent="0.3">
      <c r="A341" s="30">
        <v>3920</v>
      </c>
      <c r="B341" s="9" t="s">
        <v>278</v>
      </c>
      <c r="C341" s="36">
        <v>2026</v>
      </c>
      <c r="D341" s="9"/>
      <c r="E341" s="9" t="s">
        <v>918</v>
      </c>
      <c r="F341" s="30" t="s">
        <v>314</v>
      </c>
      <c r="G341" s="31" t="s">
        <v>315</v>
      </c>
      <c r="H341" s="31" t="s">
        <v>315</v>
      </c>
      <c r="I341" s="31" t="s">
        <v>315</v>
      </c>
      <c r="J341" s="31" t="s">
        <v>315</v>
      </c>
      <c r="K341" s="31" t="s">
        <v>315</v>
      </c>
      <c r="L341" s="32" t="str">
        <f t="shared" si="25"/>
        <v>INCLUDE</v>
      </c>
      <c r="M341" s="32" t="str">
        <f t="shared" si="26"/>
        <v/>
      </c>
      <c r="N341" s="33" t="s">
        <v>315</v>
      </c>
      <c r="O341" s="33" t="s">
        <v>315</v>
      </c>
      <c r="P341" s="34" t="s">
        <v>315</v>
      </c>
      <c r="Q341" s="34" t="s">
        <v>315</v>
      </c>
      <c r="R341" s="34" t="s">
        <v>315</v>
      </c>
      <c r="S341" s="32" t="str">
        <f t="shared" si="27"/>
        <v>INCLUDE</v>
      </c>
      <c r="T341" s="32" t="str">
        <f t="shared" si="28"/>
        <v/>
      </c>
      <c r="U341" s="35" t="s">
        <v>61</v>
      </c>
      <c r="V341" s="35">
        <v>0</v>
      </c>
      <c r="W341" s="35">
        <v>0</v>
      </c>
      <c r="X341" s="35">
        <v>1</v>
      </c>
      <c r="Y341" s="32" t="str">
        <f t="shared" si="29"/>
        <v>Single</v>
      </c>
      <c r="Z341" s="35" t="s">
        <v>9</v>
      </c>
      <c r="AA341" s="35" t="s">
        <v>53</v>
      </c>
      <c r="AB341" s="35" t="s">
        <v>73</v>
      </c>
      <c r="AC341" s="35" t="s">
        <v>64</v>
      </c>
      <c r="AD341" s="35" t="s">
        <v>72</v>
      </c>
      <c r="AE341" s="35">
        <v>4</v>
      </c>
      <c r="AF341" s="35" t="s">
        <v>80</v>
      </c>
      <c r="AG341" s="15" t="s">
        <v>1065</v>
      </c>
      <c r="AH341" s="39" t="s">
        <v>1388</v>
      </c>
      <c r="AI341" s="39" t="s">
        <v>1389</v>
      </c>
      <c r="AJ341" t="s">
        <v>1496</v>
      </c>
      <c r="AK341" t="s">
        <v>1619</v>
      </c>
      <c r="AL341" t="s">
        <v>1500</v>
      </c>
      <c r="AM341" s="69"/>
    </row>
    <row r="342" spans="1:39" ht="22.8" x14ac:dyDescent="0.3">
      <c r="A342" s="30">
        <v>3781</v>
      </c>
      <c r="B342" s="9"/>
      <c r="C342" s="36"/>
      <c r="D342" s="9"/>
      <c r="E342" s="9" t="s">
        <v>919</v>
      </c>
      <c r="F342" s="30" t="s">
        <v>313</v>
      </c>
      <c r="G342" s="31" t="s">
        <v>315</v>
      </c>
      <c r="H342" s="31" t="s">
        <v>316</v>
      </c>
      <c r="I342" s="31" t="s">
        <v>315</v>
      </c>
      <c r="J342" s="31" t="s">
        <v>315</v>
      </c>
      <c r="K342" s="31" t="s">
        <v>315</v>
      </c>
      <c r="L342" s="32" t="str">
        <f t="shared" si="25"/>
        <v>EXCLUDE</v>
      </c>
      <c r="M342" s="32" t="str">
        <f t="shared" si="26"/>
        <v>Digital Twin not core / buzzword</v>
      </c>
      <c r="N342" s="33"/>
      <c r="O342" s="33"/>
      <c r="P342" s="34"/>
      <c r="Q342" s="34"/>
      <c r="R342" s="34"/>
      <c r="S342" s="32" t="str">
        <f t="shared" si="27"/>
        <v/>
      </c>
      <c r="T342" s="32" t="str">
        <f t="shared" si="28"/>
        <v/>
      </c>
      <c r="U342" s="35"/>
      <c r="V342" s="35"/>
      <c r="W342" s="35"/>
      <c r="X342" s="35"/>
      <c r="Y342" s="32" t="str">
        <f t="shared" si="29"/>
        <v/>
      </c>
      <c r="Z342" s="35"/>
      <c r="AA342" s="35"/>
      <c r="AB342" s="35"/>
      <c r="AC342" s="35"/>
      <c r="AD342" s="35"/>
      <c r="AE342" s="35"/>
      <c r="AF342" s="35"/>
      <c r="AG342" s="15" t="s">
        <v>540</v>
      </c>
      <c r="AH342" s="39"/>
      <c r="AI342" s="39"/>
      <c r="AM342" s="69"/>
    </row>
    <row r="343" spans="1:39" ht="22.8" x14ac:dyDescent="0.3">
      <c r="A343" s="30">
        <v>3697</v>
      </c>
      <c r="B343" s="9"/>
      <c r="C343" s="36"/>
      <c r="D343" s="9"/>
      <c r="E343" s="9" t="s">
        <v>920</v>
      </c>
      <c r="F343" s="30" t="s">
        <v>313</v>
      </c>
      <c r="G343" s="31" t="s">
        <v>316</v>
      </c>
      <c r="H343" s="31" t="s">
        <v>316</v>
      </c>
      <c r="I343" s="31" t="s">
        <v>315</v>
      </c>
      <c r="J343" s="31" t="s">
        <v>315</v>
      </c>
      <c r="K343" s="31" t="s">
        <v>316</v>
      </c>
      <c r="L343" s="32" t="str">
        <f t="shared" si="25"/>
        <v>EXCLUDE</v>
      </c>
      <c r="M343" s="32" t="str">
        <f t="shared" si="26"/>
        <v>Wrong domain (non-AECO)</v>
      </c>
      <c r="N343" s="33"/>
      <c r="O343" s="33"/>
      <c r="P343" s="34"/>
      <c r="Q343" s="34"/>
      <c r="R343" s="34"/>
      <c r="S343" s="32" t="str">
        <f t="shared" si="27"/>
        <v/>
      </c>
      <c r="T343" s="32" t="str">
        <f t="shared" si="28"/>
        <v/>
      </c>
      <c r="U343" s="35"/>
      <c r="V343" s="35"/>
      <c r="W343" s="35"/>
      <c r="X343" s="35"/>
      <c r="Y343" s="32" t="str">
        <f t="shared" si="29"/>
        <v/>
      </c>
      <c r="Z343" s="35"/>
      <c r="AA343" s="35"/>
      <c r="AB343" s="35"/>
      <c r="AC343" s="35"/>
      <c r="AD343" s="35"/>
      <c r="AE343" s="35"/>
      <c r="AF343" s="35"/>
      <c r="AG343" s="15" t="s">
        <v>541</v>
      </c>
      <c r="AH343" s="39"/>
      <c r="AI343" s="39"/>
      <c r="AM343" s="69"/>
    </row>
    <row r="344" spans="1:39" ht="91.2" x14ac:dyDescent="0.3">
      <c r="A344" s="30">
        <v>4010</v>
      </c>
      <c r="B344" s="9" t="s">
        <v>279</v>
      </c>
      <c r="C344" s="36">
        <v>2024</v>
      </c>
      <c r="D344" s="9"/>
      <c r="E344" s="9" t="s">
        <v>921</v>
      </c>
      <c r="F344" s="30" t="s">
        <v>314</v>
      </c>
      <c r="G344" s="31" t="s">
        <v>315</v>
      </c>
      <c r="H344" s="31" t="s">
        <v>315</v>
      </c>
      <c r="I344" s="31" t="s">
        <v>315</v>
      </c>
      <c r="J344" s="31" t="s">
        <v>315</v>
      </c>
      <c r="K344" s="31" t="s">
        <v>315</v>
      </c>
      <c r="L344" s="32" t="str">
        <f t="shared" si="25"/>
        <v>INCLUDE</v>
      </c>
      <c r="M344" s="32" t="str">
        <f t="shared" si="26"/>
        <v/>
      </c>
      <c r="N344" s="33" t="s">
        <v>315</v>
      </c>
      <c r="O344" s="33" t="s">
        <v>315</v>
      </c>
      <c r="P344" s="34" t="s">
        <v>315</v>
      </c>
      <c r="Q344" s="34" t="s">
        <v>315</v>
      </c>
      <c r="R344" s="34" t="s">
        <v>315</v>
      </c>
      <c r="S344" s="32" t="str">
        <f t="shared" si="27"/>
        <v>INCLUDE</v>
      </c>
      <c r="T344" s="32" t="str">
        <f t="shared" si="28"/>
        <v/>
      </c>
      <c r="U344" s="35" t="s">
        <v>52</v>
      </c>
      <c r="V344" s="35">
        <v>0</v>
      </c>
      <c r="W344" s="35">
        <v>0</v>
      </c>
      <c r="X344" s="35">
        <v>1</v>
      </c>
      <c r="Y344" s="32" t="str">
        <f t="shared" si="29"/>
        <v>Single</v>
      </c>
      <c r="Z344" s="35" t="s">
        <v>9</v>
      </c>
      <c r="AA344" s="35" t="s">
        <v>53</v>
      </c>
      <c r="AB344" s="35" t="s">
        <v>88</v>
      </c>
      <c r="AC344" s="35" t="s">
        <v>64</v>
      </c>
      <c r="AD344" s="35" t="s">
        <v>65</v>
      </c>
      <c r="AE344" s="35">
        <v>4</v>
      </c>
      <c r="AF344" s="35" t="s">
        <v>73</v>
      </c>
      <c r="AG344" s="15" t="s">
        <v>1066</v>
      </c>
      <c r="AH344" s="39" t="s">
        <v>1390</v>
      </c>
      <c r="AI344" s="39" t="s">
        <v>1391</v>
      </c>
      <c r="AJ344" t="s">
        <v>1496</v>
      </c>
      <c r="AK344" t="s">
        <v>1620</v>
      </c>
      <c r="AL344" t="s">
        <v>1500</v>
      </c>
      <c r="AM344" s="69"/>
    </row>
    <row r="345" spans="1:39" ht="22.8" x14ac:dyDescent="0.3">
      <c r="A345" s="30">
        <v>4019</v>
      </c>
      <c r="B345" s="9"/>
      <c r="C345" s="36"/>
      <c r="D345" s="9"/>
      <c r="E345" s="9" t="s">
        <v>922</v>
      </c>
      <c r="F345" s="30" t="s">
        <v>314</v>
      </c>
      <c r="G345" s="31" t="s">
        <v>315</v>
      </c>
      <c r="H345" s="31" t="s">
        <v>316</v>
      </c>
      <c r="I345" s="31" t="s">
        <v>315</v>
      </c>
      <c r="J345" s="31" t="s">
        <v>315</v>
      </c>
      <c r="K345" s="31" t="s">
        <v>315</v>
      </c>
      <c r="L345" s="32" t="str">
        <f t="shared" si="25"/>
        <v>EXCLUDE</v>
      </c>
      <c r="M345" s="32" t="str">
        <f t="shared" si="26"/>
        <v>Digital Twin not core / buzzword</v>
      </c>
      <c r="N345" s="33"/>
      <c r="O345" s="33"/>
      <c r="P345" s="34"/>
      <c r="Q345" s="34"/>
      <c r="R345" s="34"/>
      <c r="S345" s="32" t="str">
        <f t="shared" si="27"/>
        <v/>
      </c>
      <c r="T345" s="32" t="str">
        <f t="shared" si="28"/>
        <v/>
      </c>
      <c r="U345" s="35"/>
      <c r="V345" s="35"/>
      <c r="W345" s="35"/>
      <c r="X345" s="35"/>
      <c r="Y345" s="32" t="str">
        <f t="shared" si="29"/>
        <v/>
      </c>
      <c r="Z345" s="35"/>
      <c r="AA345" s="35"/>
      <c r="AB345" s="35"/>
      <c r="AC345" s="35"/>
      <c r="AD345" s="35"/>
      <c r="AE345" s="35"/>
      <c r="AF345" s="35"/>
      <c r="AG345" s="15" t="s">
        <v>542</v>
      </c>
      <c r="AH345" s="39"/>
      <c r="AI345" s="39"/>
      <c r="AM345" s="69"/>
    </row>
    <row r="346" spans="1:39" ht="22.8" x14ac:dyDescent="0.3">
      <c r="A346" s="30">
        <v>3762</v>
      </c>
      <c r="B346" s="9"/>
      <c r="C346" s="36"/>
      <c r="D346" s="9"/>
      <c r="E346" s="9" t="s">
        <v>923</v>
      </c>
      <c r="F346" s="30" t="s">
        <v>313</v>
      </c>
      <c r="G346" s="31" t="s">
        <v>315</v>
      </c>
      <c r="H346" s="31" t="s">
        <v>316</v>
      </c>
      <c r="I346" s="31" t="s">
        <v>315</v>
      </c>
      <c r="J346" s="31" t="s">
        <v>315</v>
      </c>
      <c r="K346" s="31" t="s">
        <v>315</v>
      </c>
      <c r="L346" s="32" t="str">
        <f t="shared" si="25"/>
        <v>EXCLUDE</v>
      </c>
      <c r="M346" s="32" t="str">
        <f t="shared" si="26"/>
        <v>Digital Twin not core / buzzword</v>
      </c>
      <c r="N346" s="33"/>
      <c r="O346" s="33"/>
      <c r="P346" s="34"/>
      <c r="Q346" s="34"/>
      <c r="R346" s="34"/>
      <c r="S346" s="32" t="str">
        <f t="shared" si="27"/>
        <v/>
      </c>
      <c r="T346" s="32" t="str">
        <f t="shared" si="28"/>
        <v/>
      </c>
      <c r="U346" s="35"/>
      <c r="V346" s="35"/>
      <c r="W346" s="35"/>
      <c r="X346" s="35"/>
      <c r="Y346" s="32" t="str">
        <f t="shared" si="29"/>
        <v/>
      </c>
      <c r="Z346" s="35"/>
      <c r="AA346" s="35"/>
      <c r="AB346" s="35"/>
      <c r="AC346" s="35"/>
      <c r="AD346" s="35"/>
      <c r="AE346" s="35"/>
      <c r="AF346" s="35"/>
      <c r="AG346" s="15" t="s">
        <v>543</v>
      </c>
      <c r="AH346" s="39"/>
      <c r="AI346" s="39"/>
      <c r="AM346" s="69"/>
    </row>
    <row r="347" spans="1:39" x14ac:dyDescent="0.3">
      <c r="A347" s="30">
        <v>3562</v>
      </c>
      <c r="B347" s="9"/>
      <c r="C347" s="36"/>
      <c r="D347" s="9"/>
      <c r="E347" s="9" t="s">
        <v>924</v>
      </c>
      <c r="F347" s="30" t="s">
        <v>313</v>
      </c>
      <c r="G347" s="31" t="s">
        <v>316</v>
      </c>
      <c r="H347" s="31" t="s">
        <v>315</v>
      </c>
      <c r="I347" s="31" t="s">
        <v>316</v>
      </c>
      <c r="J347" s="31" t="s">
        <v>315</v>
      </c>
      <c r="K347" s="31" t="s">
        <v>315</v>
      </c>
      <c r="L347" s="32" t="str">
        <f t="shared" si="25"/>
        <v>EXCLUDE</v>
      </c>
      <c r="M347" s="32" t="str">
        <f t="shared" si="26"/>
        <v>Wrong domain (non-AECO)</v>
      </c>
      <c r="N347" s="33"/>
      <c r="O347" s="33"/>
      <c r="P347" s="34"/>
      <c r="Q347" s="34"/>
      <c r="R347" s="34"/>
      <c r="S347" s="32" t="str">
        <f t="shared" si="27"/>
        <v/>
      </c>
      <c r="T347" s="32" t="str">
        <f t="shared" si="28"/>
        <v/>
      </c>
      <c r="U347" s="35"/>
      <c r="V347" s="35"/>
      <c r="W347" s="35"/>
      <c r="X347" s="35"/>
      <c r="Y347" s="32" t="str">
        <f t="shared" si="29"/>
        <v/>
      </c>
      <c r="Z347" s="35"/>
      <c r="AA347" s="35"/>
      <c r="AB347" s="35"/>
      <c r="AC347" s="35"/>
      <c r="AD347" s="35"/>
      <c r="AE347" s="35"/>
      <c r="AF347" s="35"/>
      <c r="AG347" s="15" t="s">
        <v>544</v>
      </c>
      <c r="AH347" s="39"/>
      <c r="AI347" s="39"/>
      <c r="AM347" s="69"/>
    </row>
    <row r="348" spans="1:39" ht="114" x14ac:dyDescent="0.3">
      <c r="A348" s="30">
        <v>3985</v>
      </c>
      <c r="B348" s="9" t="s">
        <v>280</v>
      </c>
      <c r="C348" s="36">
        <v>2021</v>
      </c>
      <c r="D348" s="9"/>
      <c r="E348" s="9" t="s">
        <v>925</v>
      </c>
      <c r="F348" s="30" t="s">
        <v>314</v>
      </c>
      <c r="G348" s="31" t="s">
        <v>315</v>
      </c>
      <c r="H348" s="31" t="s">
        <v>315</v>
      </c>
      <c r="I348" s="31" t="s">
        <v>315</v>
      </c>
      <c r="J348" s="31" t="s">
        <v>315</v>
      </c>
      <c r="K348" s="31" t="s">
        <v>315</v>
      </c>
      <c r="L348" s="32" t="str">
        <f t="shared" si="25"/>
        <v>INCLUDE</v>
      </c>
      <c r="M348" s="32" t="str">
        <f t="shared" si="26"/>
        <v/>
      </c>
      <c r="N348" s="33" t="s">
        <v>49</v>
      </c>
      <c r="O348" s="33" t="s">
        <v>49</v>
      </c>
      <c r="P348" s="34" t="s">
        <v>49</v>
      </c>
      <c r="Q348" s="34" t="s">
        <v>49</v>
      </c>
      <c r="R348" s="34" t="s">
        <v>49</v>
      </c>
      <c r="S348" s="32" t="str">
        <f t="shared" si="27"/>
        <v>INCLUDE</v>
      </c>
      <c r="T348" s="32" t="str">
        <f t="shared" si="28"/>
        <v/>
      </c>
      <c r="U348" s="35" t="s">
        <v>68</v>
      </c>
      <c r="V348" s="35">
        <v>0</v>
      </c>
      <c r="W348" s="35">
        <v>1</v>
      </c>
      <c r="X348" s="35">
        <v>0</v>
      </c>
      <c r="Y348" s="32" t="str">
        <f t="shared" si="29"/>
        <v>Single</v>
      </c>
      <c r="Z348" s="35" t="s">
        <v>9</v>
      </c>
      <c r="AA348" s="35" t="s">
        <v>53</v>
      </c>
      <c r="AB348" s="35" t="s">
        <v>92</v>
      </c>
      <c r="AC348" s="35" t="s">
        <v>64</v>
      </c>
      <c r="AD348" s="35" t="s">
        <v>72</v>
      </c>
      <c r="AE348" s="35">
        <v>4</v>
      </c>
      <c r="AF348" s="35" t="s">
        <v>80</v>
      </c>
      <c r="AG348" s="15" t="s">
        <v>1148</v>
      </c>
      <c r="AH348" s="39" t="s">
        <v>1392</v>
      </c>
      <c r="AI348" s="39" t="s">
        <v>1393</v>
      </c>
      <c r="AJ348" t="s">
        <v>1496</v>
      </c>
      <c r="AK348" t="s">
        <v>1621</v>
      </c>
      <c r="AL348" t="s">
        <v>1499</v>
      </c>
      <c r="AM348" s="69"/>
    </row>
    <row r="349" spans="1:39" ht="22.8" x14ac:dyDescent="0.3">
      <c r="A349" s="30">
        <v>3763</v>
      </c>
      <c r="B349" s="9"/>
      <c r="C349" s="36"/>
      <c r="D349" s="9"/>
      <c r="E349" s="9" t="s">
        <v>926</v>
      </c>
      <c r="F349" s="30" t="s">
        <v>313</v>
      </c>
      <c r="G349" s="31" t="s">
        <v>316</v>
      </c>
      <c r="H349" s="31" t="s">
        <v>315</v>
      </c>
      <c r="I349" s="31" t="s">
        <v>315</v>
      </c>
      <c r="J349" s="31" t="s">
        <v>315</v>
      </c>
      <c r="K349" s="31" t="s">
        <v>315</v>
      </c>
      <c r="L349" s="32" t="str">
        <f t="shared" si="25"/>
        <v>EXCLUDE</v>
      </c>
      <c r="M349" s="32" t="str">
        <f t="shared" si="26"/>
        <v>Wrong domain (non-AECO)</v>
      </c>
      <c r="N349" s="33"/>
      <c r="O349" s="33"/>
      <c r="P349" s="34"/>
      <c r="Q349" s="34"/>
      <c r="R349" s="34"/>
      <c r="S349" s="32" t="str">
        <f t="shared" si="27"/>
        <v/>
      </c>
      <c r="T349" s="32" t="str">
        <f t="shared" si="28"/>
        <v/>
      </c>
      <c r="U349" s="35"/>
      <c r="V349" s="35"/>
      <c r="W349" s="35"/>
      <c r="X349" s="35"/>
      <c r="Y349" s="32" t="str">
        <f t="shared" si="29"/>
        <v/>
      </c>
      <c r="Z349" s="35"/>
      <c r="AA349" s="35"/>
      <c r="AB349" s="35"/>
      <c r="AC349" s="35"/>
      <c r="AD349" s="35"/>
      <c r="AE349" s="35"/>
      <c r="AF349" s="35"/>
      <c r="AG349" s="15" t="s">
        <v>545</v>
      </c>
      <c r="AH349" s="39"/>
      <c r="AI349" s="39"/>
      <c r="AM349" s="69"/>
    </row>
    <row r="350" spans="1:39" ht="91.2" x14ac:dyDescent="0.3">
      <c r="A350" s="30">
        <v>3779</v>
      </c>
      <c r="B350" s="9" t="s">
        <v>279</v>
      </c>
      <c r="C350" s="36">
        <v>2024</v>
      </c>
      <c r="D350" s="9"/>
      <c r="E350" s="9" t="s">
        <v>927</v>
      </c>
      <c r="F350" s="30" t="s">
        <v>313</v>
      </c>
      <c r="G350" s="31" t="s">
        <v>315</v>
      </c>
      <c r="H350" s="31" t="s">
        <v>315</v>
      </c>
      <c r="I350" s="31" t="s">
        <v>315</v>
      </c>
      <c r="J350" s="31" t="s">
        <v>315</v>
      </c>
      <c r="K350" s="31" t="s">
        <v>315</v>
      </c>
      <c r="L350" s="32" t="str">
        <f t="shared" si="25"/>
        <v>INCLUDE</v>
      </c>
      <c r="M350" s="32" t="str">
        <f t="shared" si="26"/>
        <v/>
      </c>
      <c r="N350" s="33" t="s">
        <v>315</v>
      </c>
      <c r="O350" s="33" t="s">
        <v>315</v>
      </c>
      <c r="P350" s="34" t="s">
        <v>315</v>
      </c>
      <c r="Q350" s="34" t="s">
        <v>315</v>
      </c>
      <c r="R350" s="34" t="s">
        <v>315</v>
      </c>
      <c r="S350" s="32" t="str">
        <f t="shared" si="27"/>
        <v>INCLUDE</v>
      </c>
      <c r="T350" s="32" t="str">
        <f t="shared" si="28"/>
        <v/>
      </c>
      <c r="U350" s="35" t="s">
        <v>68</v>
      </c>
      <c r="V350" s="35">
        <v>0</v>
      </c>
      <c r="W350" s="35">
        <v>1</v>
      </c>
      <c r="X350" s="35">
        <v>0</v>
      </c>
      <c r="Y350" s="32" t="str">
        <f t="shared" si="29"/>
        <v>Single</v>
      </c>
      <c r="Z350" s="35" t="s">
        <v>9</v>
      </c>
      <c r="AA350" s="35" t="s">
        <v>53</v>
      </c>
      <c r="AB350" s="35" t="s">
        <v>91</v>
      </c>
      <c r="AC350" s="35" t="s">
        <v>64</v>
      </c>
      <c r="AD350" s="35" t="s">
        <v>72</v>
      </c>
      <c r="AE350" s="35">
        <v>4</v>
      </c>
      <c r="AF350" s="35" t="s">
        <v>80</v>
      </c>
      <c r="AG350" s="15" t="s">
        <v>1067</v>
      </c>
      <c r="AH350" s="39" t="s">
        <v>1394</v>
      </c>
      <c r="AI350" s="39" t="s">
        <v>1395</v>
      </c>
      <c r="AJ350" t="s">
        <v>1497</v>
      </c>
      <c r="AK350" t="s">
        <v>1622</v>
      </c>
      <c r="AL350" t="s">
        <v>1499</v>
      </c>
      <c r="AM350" s="69"/>
    </row>
    <row r="351" spans="1:39" ht="22.8" x14ac:dyDescent="0.3">
      <c r="A351" s="30">
        <v>3718</v>
      </c>
      <c r="B351" s="9"/>
      <c r="C351" s="36"/>
      <c r="D351" s="9"/>
      <c r="E351" s="9" t="s">
        <v>928</v>
      </c>
      <c r="F351" s="30" t="s">
        <v>313</v>
      </c>
      <c r="G351" s="31" t="s">
        <v>316</v>
      </c>
      <c r="H351" s="31" t="s">
        <v>315</v>
      </c>
      <c r="I351" s="31" t="s">
        <v>316</v>
      </c>
      <c r="J351" s="31" t="s">
        <v>315</v>
      </c>
      <c r="K351" s="31" t="s">
        <v>315</v>
      </c>
      <c r="L351" s="32" t="str">
        <f t="shared" si="25"/>
        <v>EXCLUDE</v>
      </c>
      <c r="M351" s="32" t="str">
        <f t="shared" si="26"/>
        <v>Wrong domain (non-AECO)</v>
      </c>
      <c r="N351" s="33"/>
      <c r="O351" s="33"/>
      <c r="P351" s="34"/>
      <c r="Q351" s="34"/>
      <c r="R351" s="34"/>
      <c r="S351" s="32" t="str">
        <f t="shared" si="27"/>
        <v/>
      </c>
      <c r="T351" s="32" t="str">
        <f t="shared" si="28"/>
        <v/>
      </c>
      <c r="U351" s="35"/>
      <c r="V351" s="35"/>
      <c r="W351" s="35"/>
      <c r="X351" s="35"/>
      <c r="Y351" s="32" t="str">
        <f t="shared" si="29"/>
        <v/>
      </c>
      <c r="Z351" s="35"/>
      <c r="AA351" s="35"/>
      <c r="AB351" s="35"/>
      <c r="AC351" s="35"/>
      <c r="AD351" s="35"/>
      <c r="AE351" s="35"/>
      <c r="AF351" s="35"/>
      <c r="AG351" s="15" t="s">
        <v>546</v>
      </c>
      <c r="AH351" s="39"/>
      <c r="AI351" s="39"/>
      <c r="AM351" s="69"/>
    </row>
    <row r="352" spans="1:39" ht="22.8" x14ac:dyDescent="0.3">
      <c r="A352" s="30">
        <v>3783</v>
      </c>
      <c r="B352" s="9"/>
      <c r="C352" s="36"/>
      <c r="D352" s="9"/>
      <c r="E352" s="9" t="s">
        <v>929</v>
      </c>
      <c r="F352" s="30" t="s">
        <v>313</v>
      </c>
      <c r="G352" s="31" t="s">
        <v>316</v>
      </c>
      <c r="H352" s="31" t="s">
        <v>315</v>
      </c>
      <c r="I352" s="31" t="s">
        <v>315</v>
      </c>
      <c r="J352" s="31" t="s">
        <v>315</v>
      </c>
      <c r="K352" s="31" t="s">
        <v>316</v>
      </c>
      <c r="L352" s="32" t="str">
        <f t="shared" si="25"/>
        <v>EXCLUDE</v>
      </c>
      <c r="M352" s="32" t="str">
        <f t="shared" si="26"/>
        <v>Wrong domain (non-AECO)</v>
      </c>
      <c r="N352" s="33"/>
      <c r="O352" s="33"/>
      <c r="P352" s="34"/>
      <c r="Q352" s="34"/>
      <c r="R352" s="34"/>
      <c r="S352" s="32" t="str">
        <f t="shared" si="27"/>
        <v/>
      </c>
      <c r="T352" s="32" t="str">
        <f t="shared" si="28"/>
        <v/>
      </c>
      <c r="U352" s="35"/>
      <c r="V352" s="35"/>
      <c r="W352" s="35"/>
      <c r="X352" s="35"/>
      <c r="Y352" s="32" t="str">
        <f t="shared" si="29"/>
        <v/>
      </c>
      <c r="Z352" s="35"/>
      <c r="AA352" s="35"/>
      <c r="AB352" s="35"/>
      <c r="AC352" s="35"/>
      <c r="AD352" s="35"/>
      <c r="AE352" s="35"/>
      <c r="AF352" s="35"/>
      <c r="AG352" s="15" t="s">
        <v>547</v>
      </c>
      <c r="AH352" s="39"/>
      <c r="AI352" s="39"/>
      <c r="AM352" s="69"/>
    </row>
    <row r="353" spans="1:39" ht="22.8" x14ac:dyDescent="0.3">
      <c r="A353" s="30">
        <v>3895</v>
      </c>
      <c r="B353" s="9"/>
      <c r="C353" s="36"/>
      <c r="D353" s="9"/>
      <c r="E353" s="9" t="s">
        <v>930</v>
      </c>
      <c r="F353" s="30" t="s">
        <v>314</v>
      </c>
      <c r="G353" s="31" t="s">
        <v>315</v>
      </c>
      <c r="H353" s="31" t="s">
        <v>316</v>
      </c>
      <c r="I353" s="31" t="s">
        <v>316</v>
      </c>
      <c r="J353" s="31" t="s">
        <v>315</v>
      </c>
      <c r="K353" s="31" t="s">
        <v>315</v>
      </c>
      <c r="L353" s="32" t="str">
        <f t="shared" si="25"/>
        <v>EXCLUDE</v>
      </c>
      <c r="M353" s="32" t="str">
        <f t="shared" si="26"/>
        <v>Digital Twin not core / buzzword</v>
      </c>
      <c r="N353" s="33"/>
      <c r="O353" s="33"/>
      <c r="P353" s="34"/>
      <c r="Q353" s="34"/>
      <c r="R353" s="34"/>
      <c r="S353" s="32" t="str">
        <f t="shared" si="27"/>
        <v/>
      </c>
      <c r="T353" s="32" t="str">
        <f t="shared" si="28"/>
        <v/>
      </c>
      <c r="U353" s="35"/>
      <c r="V353" s="35"/>
      <c r="W353" s="35"/>
      <c r="X353" s="35"/>
      <c r="Y353" s="32" t="str">
        <f t="shared" si="29"/>
        <v/>
      </c>
      <c r="Z353" s="35"/>
      <c r="AA353" s="35"/>
      <c r="AB353" s="35"/>
      <c r="AC353" s="35"/>
      <c r="AD353" s="35"/>
      <c r="AE353" s="35"/>
      <c r="AF353" s="35"/>
      <c r="AG353" s="15" t="s">
        <v>548</v>
      </c>
      <c r="AH353" s="39"/>
      <c r="AI353" s="39"/>
      <c r="AM353" s="69"/>
    </row>
    <row r="354" spans="1:39" ht="22.8" x14ac:dyDescent="0.3">
      <c r="A354" s="30">
        <v>3590</v>
      </c>
      <c r="B354" s="9"/>
      <c r="C354" s="36"/>
      <c r="D354" s="9"/>
      <c r="E354" s="9" t="s">
        <v>931</v>
      </c>
      <c r="F354" s="30" t="s">
        <v>313</v>
      </c>
      <c r="G354" s="31" t="s">
        <v>315</v>
      </c>
      <c r="H354" s="31" t="s">
        <v>315</v>
      </c>
      <c r="I354" s="31" t="s">
        <v>315</v>
      </c>
      <c r="J354" s="31" t="s">
        <v>315</v>
      </c>
      <c r="K354" s="31" t="s">
        <v>316</v>
      </c>
      <c r="L354" s="32" t="str">
        <f t="shared" si="25"/>
        <v>EXCLUDE</v>
      </c>
      <c r="M354" s="32" t="str">
        <f t="shared" si="26"/>
        <v>Non-English</v>
      </c>
      <c r="N354" s="33"/>
      <c r="O354" s="33"/>
      <c r="P354" s="34"/>
      <c r="Q354" s="34"/>
      <c r="R354" s="34"/>
      <c r="S354" s="32" t="str">
        <f t="shared" si="27"/>
        <v/>
      </c>
      <c r="T354" s="32" t="str">
        <f t="shared" si="28"/>
        <v/>
      </c>
      <c r="U354" s="35"/>
      <c r="V354" s="35"/>
      <c r="W354" s="35"/>
      <c r="X354" s="35"/>
      <c r="Y354" s="32" t="str">
        <f t="shared" si="29"/>
        <v/>
      </c>
      <c r="Z354" s="35"/>
      <c r="AA354" s="35"/>
      <c r="AB354" s="35"/>
      <c r="AC354" s="35"/>
      <c r="AD354" s="35"/>
      <c r="AE354" s="35"/>
      <c r="AF354" s="35"/>
      <c r="AG354" s="15" t="s">
        <v>369</v>
      </c>
      <c r="AH354" s="39"/>
      <c r="AI354" s="39"/>
      <c r="AM354" s="69"/>
    </row>
    <row r="355" spans="1:39" ht="102.6" x14ac:dyDescent="0.3">
      <c r="A355" s="30">
        <v>3891</v>
      </c>
      <c r="B355" s="9" t="s">
        <v>281</v>
      </c>
      <c r="C355" s="36">
        <v>2025</v>
      </c>
      <c r="D355" s="9"/>
      <c r="E355" s="9" t="s">
        <v>932</v>
      </c>
      <c r="F355" s="30" t="s">
        <v>314</v>
      </c>
      <c r="G355" s="31" t="s">
        <v>315</v>
      </c>
      <c r="H355" s="31" t="s">
        <v>315</v>
      </c>
      <c r="I355" s="31" t="s">
        <v>315</v>
      </c>
      <c r="J355" s="31" t="s">
        <v>315</v>
      </c>
      <c r="K355" s="31" t="s">
        <v>315</v>
      </c>
      <c r="L355" s="32" t="str">
        <f t="shared" si="25"/>
        <v>INCLUDE</v>
      </c>
      <c r="M355" s="32" t="str">
        <f t="shared" si="26"/>
        <v/>
      </c>
      <c r="N355" s="33" t="s">
        <v>49</v>
      </c>
      <c r="O355" s="33" t="s">
        <v>49</v>
      </c>
      <c r="P355" s="34" t="s">
        <v>49</v>
      </c>
      <c r="Q355" s="34" t="s">
        <v>49</v>
      </c>
      <c r="R355" s="34" t="s">
        <v>49</v>
      </c>
      <c r="S355" s="32" t="str">
        <f t="shared" si="27"/>
        <v>INCLUDE</v>
      </c>
      <c r="T355" s="32" t="str">
        <f t="shared" si="28"/>
        <v/>
      </c>
      <c r="U355" s="35" t="s">
        <v>82</v>
      </c>
      <c r="V355" s="35">
        <v>0</v>
      </c>
      <c r="W355" s="35">
        <v>1</v>
      </c>
      <c r="X355" s="35">
        <v>0</v>
      </c>
      <c r="Y355" s="32" t="str">
        <f t="shared" si="29"/>
        <v>Single</v>
      </c>
      <c r="Z355" s="35" t="s">
        <v>9</v>
      </c>
      <c r="AA355" s="35" t="s">
        <v>53</v>
      </c>
      <c r="AB355" s="35" t="s">
        <v>91</v>
      </c>
      <c r="AC355" s="35" t="s">
        <v>64</v>
      </c>
      <c r="AD355" s="35" t="s">
        <v>56</v>
      </c>
      <c r="AE355" s="35">
        <v>2</v>
      </c>
      <c r="AF355" s="35" t="s">
        <v>57</v>
      </c>
      <c r="AG355" s="15" t="s">
        <v>1149</v>
      </c>
      <c r="AH355" s="39" t="s">
        <v>1396</v>
      </c>
      <c r="AI355" s="39" t="s">
        <v>1397</v>
      </c>
      <c r="AJ355" t="s">
        <v>82</v>
      </c>
      <c r="AK355" t="s">
        <v>1623</v>
      </c>
      <c r="AL355" t="s">
        <v>1499</v>
      </c>
      <c r="AM355" s="69"/>
    </row>
    <row r="356" spans="1:39" ht="22.8" x14ac:dyDescent="0.3">
      <c r="A356" s="30">
        <v>3806</v>
      </c>
      <c r="B356" s="9"/>
      <c r="C356" s="36"/>
      <c r="D356" s="9"/>
      <c r="E356" s="9" t="s">
        <v>933</v>
      </c>
      <c r="F356" s="30" t="s">
        <v>313</v>
      </c>
      <c r="G356" s="31" t="s">
        <v>315</v>
      </c>
      <c r="H356" s="31" t="s">
        <v>316</v>
      </c>
      <c r="I356" s="31" t="s">
        <v>316</v>
      </c>
      <c r="J356" s="31" t="s">
        <v>315</v>
      </c>
      <c r="K356" s="31" t="s">
        <v>315</v>
      </c>
      <c r="L356" s="32" t="str">
        <f t="shared" si="25"/>
        <v>EXCLUDE</v>
      </c>
      <c r="M356" s="32" t="str">
        <f t="shared" si="26"/>
        <v>Digital Twin not core / buzzword</v>
      </c>
      <c r="N356" s="33"/>
      <c r="O356" s="33"/>
      <c r="P356" s="34"/>
      <c r="Q356" s="34"/>
      <c r="R356" s="34"/>
      <c r="S356" s="32" t="str">
        <f t="shared" si="27"/>
        <v/>
      </c>
      <c r="T356" s="32" t="str">
        <f t="shared" si="28"/>
        <v/>
      </c>
      <c r="U356" s="35"/>
      <c r="V356" s="35"/>
      <c r="W356" s="35"/>
      <c r="X356" s="35"/>
      <c r="Y356" s="32" t="str">
        <f t="shared" si="29"/>
        <v/>
      </c>
      <c r="Z356" s="35"/>
      <c r="AA356" s="35"/>
      <c r="AB356" s="35"/>
      <c r="AC356" s="35"/>
      <c r="AD356" s="35"/>
      <c r="AE356" s="35"/>
      <c r="AF356" s="35"/>
      <c r="AG356" s="15" t="s">
        <v>549</v>
      </c>
      <c r="AH356" s="39"/>
      <c r="AI356" s="39"/>
      <c r="AM356" s="69"/>
    </row>
    <row r="357" spans="1:39" ht="22.8" x14ac:dyDescent="0.3">
      <c r="A357" s="30">
        <v>4025</v>
      </c>
      <c r="B357" s="9"/>
      <c r="C357" s="36"/>
      <c r="D357" s="9"/>
      <c r="E357" s="9" t="s">
        <v>934</v>
      </c>
      <c r="F357" s="30" t="s">
        <v>314</v>
      </c>
      <c r="G357" s="31" t="s">
        <v>315</v>
      </c>
      <c r="H357" s="31" t="s">
        <v>316</v>
      </c>
      <c r="I357" s="31" t="s">
        <v>315</v>
      </c>
      <c r="J357" s="31" t="s">
        <v>315</v>
      </c>
      <c r="K357" s="31" t="s">
        <v>315</v>
      </c>
      <c r="L357" s="32" t="str">
        <f t="shared" si="25"/>
        <v>EXCLUDE</v>
      </c>
      <c r="M357" s="32" t="str">
        <f t="shared" si="26"/>
        <v>Digital Twin not core / buzzword</v>
      </c>
      <c r="N357" s="33"/>
      <c r="O357" s="33"/>
      <c r="P357" s="34"/>
      <c r="Q357" s="34"/>
      <c r="R357" s="34"/>
      <c r="S357" s="32" t="str">
        <f t="shared" si="27"/>
        <v/>
      </c>
      <c r="T357" s="32" t="str">
        <f t="shared" si="28"/>
        <v/>
      </c>
      <c r="U357" s="35"/>
      <c r="V357" s="35"/>
      <c r="W357" s="35"/>
      <c r="X357" s="35"/>
      <c r="Y357" s="32" t="str">
        <f t="shared" si="29"/>
        <v/>
      </c>
      <c r="Z357" s="35"/>
      <c r="AA357" s="35"/>
      <c r="AB357" s="35"/>
      <c r="AC357" s="35"/>
      <c r="AD357" s="35"/>
      <c r="AE357" s="35"/>
      <c r="AF357" s="35"/>
      <c r="AG357" s="15" t="s">
        <v>550</v>
      </c>
      <c r="AH357" s="39"/>
      <c r="AI357" s="39"/>
      <c r="AM357" s="69"/>
    </row>
    <row r="358" spans="1:39" ht="79.8" x14ac:dyDescent="0.3">
      <c r="A358" s="30">
        <v>3960</v>
      </c>
      <c r="B358" s="9" t="s">
        <v>282</v>
      </c>
      <c r="C358" s="36">
        <v>2022</v>
      </c>
      <c r="D358" s="9"/>
      <c r="E358" s="9" t="s">
        <v>935</v>
      </c>
      <c r="F358" s="30" t="s">
        <v>314</v>
      </c>
      <c r="G358" s="31" t="s">
        <v>315</v>
      </c>
      <c r="H358" s="31" t="s">
        <v>315</v>
      </c>
      <c r="I358" s="31" t="s">
        <v>315</v>
      </c>
      <c r="J358" s="31" t="s">
        <v>315</v>
      </c>
      <c r="K358" s="31" t="s">
        <v>315</v>
      </c>
      <c r="L358" s="32" t="str">
        <f t="shared" si="25"/>
        <v>INCLUDE</v>
      </c>
      <c r="M358" s="32" t="str">
        <f t="shared" si="26"/>
        <v/>
      </c>
      <c r="N358" s="33" t="s">
        <v>315</v>
      </c>
      <c r="O358" s="33" t="s">
        <v>315</v>
      </c>
      <c r="P358" s="34" t="s">
        <v>315</v>
      </c>
      <c r="Q358" s="34" t="s">
        <v>315</v>
      </c>
      <c r="R358" s="34" t="s">
        <v>315</v>
      </c>
      <c r="S358" s="32" t="str">
        <f t="shared" si="27"/>
        <v>INCLUDE</v>
      </c>
      <c r="T358" s="32" t="str">
        <f t="shared" si="28"/>
        <v/>
      </c>
      <c r="U358" s="35" t="s">
        <v>61</v>
      </c>
      <c r="V358" s="35">
        <v>0</v>
      </c>
      <c r="W358" s="35">
        <v>1</v>
      </c>
      <c r="X358" s="35">
        <v>0</v>
      </c>
      <c r="Y358" s="32" t="str">
        <f t="shared" si="29"/>
        <v>Single</v>
      </c>
      <c r="Z358" s="35" t="s">
        <v>9</v>
      </c>
      <c r="AA358" s="35" t="s">
        <v>53</v>
      </c>
      <c r="AB358" s="35" t="s">
        <v>73</v>
      </c>
      <c r="AC358" s="35" t="s">
        <v>64</v>
      </c>
      <c r="AD358" s="35" t="s">
        <v>72</v>
      </c>
      <c r="AE358" s="35">
        <v>4</v>
      </c>
      <c r="AF358" s="35" t="s">
        <v>80</v>
      </c>
      <c r="AG358" s="15" t="s">
        <v>1068</v>
      </c>
      <c r="AH358" s="39" t="s">
        <v>1398</v>
      </c>
      <c r="AI358" s="39" t="s">
        <v>1399</v>
      </c>
      <c r="AJ358" t="s">
        <v>1497</v>
      </c>
      <c r="AK358" t="s">
        <v>1624</v>
      </c>
      <c r="AL358" t="s">
        <v>1499</v>
      </c>
      <c r="AM358" s="69"/>
    </row>
    <row r="359" spans="1:39" ht="91.2" x14ac:dyDescent="0.3">
      <c r="A359" s="30">
        <v>3988</v>
      </c>
      <c r="B359" s="9" t="s">
        <v>283</v>
      </c>
      <c r="C359" s="36">
        <v>2026</v>
      </c>
      <c r="D359" s="9"/>
      <c r="E359" s="9" t="s">
        <v>936</v>
      </c>
      <c r="F359" s="30" t="s">
        <v>314</v>
      </c>
      <c r="G359" s="31" t="s">
        <v>315</v>
      </c>
      <c r="H359" s="31" t="s">
        <v>315</v>
      </c>
      <c r="I359" s="31" t="s">
        <v>315</v>
      </c>
      <c r="J359" s="31" t="s">
        <v>315</v>
      </c>
      <c r="K359" s="31" t="s">
        <v>315</v>
      </c>
      <c r="L359" s="32" t="str">
        <f t="shared" si="25"/>
        <v>INCLUDE</v>
      </c>
      <c r="M359" s="32" t="str">
        <f t="shared" si="26"/>
        <v/>
      </c>
      <c r="N359" s="33" t="s">
        <v>315</v>
      </c>
      <c r="O359" s="33" t="s">
        <v>315</v>
      </c>
      <c r="P359" s="34" t="s">
        <v>315</v>
      </c>
      <c r="Q359" s="34" t="s">
        <v>315</v>
      </c>
      <c r="R359" s="34" t="s">
        <v>315</v>
      </c>
      <c r="S359" s="32" t="str">
        <f t="shared" si="27"/>
        <v>INCLUDE</v>
      </c>
      <c r="T359" s="32" t="str">
        <f t="shared" si="28"/>
        <v/>
      </c>
      <c r="U359" s="35" t="s">
        <v>68</v>
      </c>
      <c r="V359" s="35">
        <v>0</v>
      </c>
      <c r="W359" s="35">
        <v>1</v>
      </c>
      <c r="X359" s="35">
        <v>0</v>
      </c>
      <c r="Y359" s="32" t="str">
        <f t="shared" si="29"/>
        <v>Single</v>
      </c>
      <c r="Z359" s="35" t="s">
        <v>9</v>
      </c>
      <c r="AA359" s="35" t="s">
        <v>70</v>
      </c>
      <c r="AB359" s="35" t="s">
        <v>63</v>
      </c>
      <c r="AC359" s="35" t="s">
        <v>64</v>
      </c>
      <c r="AD359" s="35" t="s">
        <v>72</v>
      </c>
      <c r="AE359" s="35">
        <v>4</v>
      </c>
      <c r="AF359" s="35" t="s">
        <v>84</v>
      </c>
      <c r="AG359" s="15" t="s">
        <v>1069</v>
      </c>
      <c r="AH359" s="39" t="s">
        <v>1400</v>
      </c>
      <c r="AI359" s="39" t="s">
        <v>1401</v>
      </c>
      <c r="AJ359" t="s">
        <v>1497</v>
      </c>
      <c r="AK359" t="s">
        <v>1625</v>
      </c>
      <c r="AL359" t="s">
        <v>1499</v>
      </c>
      <c r="AM359" s="69"/>
    </row>
    <row r="360" spans="1:39" ht="79.8" x14ac:dyDescent="0.3">
      <c r="A360" s="30">
        <v>3981</v>
      </c>
      <c r="B360" s="9" t="s">
        <v>284</v>
      </c>
      <c r="C360" s="36">
        <v>2024</v>
      </c>
      <c r="D360" s="9"/>
      <c r="E360" s="9" t="s">
        <v>937</v>
      </c>
      <c r="F360" s="30" t="s">
        <v>314</v>
      </c>
      <c r="G360" s="31" t="s">
        <v>315</v>
      </c>
      <c r="H360" s="31" t="s">
        <v>315</v>
      </c>
      <c r="I360" s="31" t="s">
        <v>315</v>
      </c>
      <c r="J360" s="31" t="s">
        <v>315</v>
      </c>
      <c r="K360" s="31" t="s">
        <v>315</v>
      </c>
      <c r="L360" s="32" t="str">
        <f t="shared" si="25"/>
        <v>INCLUDE</v>
      </c>
      <c r="M360" s="32" t="str">
        <f t="shared" si="26"/>
        <v/>
      </c>
      <c r="N360" s="33" t="s">
        <v>315</v>
      </c>
      <c r="O360" s="33" t="s">
        <v>315</v>
      </c>
      <c r="P360" s="34" t="s">
        <v>315</v>
      </c>
      <c r="Q360" s="34" t="s">
        <v>315</v>
      </c>
      <c r="R360" s="34" t="s">
        <v>315</v>
      </c>
      <c r="S360" s="32" t="str">
        <f t="shared" si="27"/>
        <v>INCLUDE</v>
      </c>
      <c r="T360" s="32" t="str">
        <f t="shared" si="28"/>
        <v/>
      </c>
      <c r="U360" s="35" t="s">
        <v>61</v>
      </c>
      <c r="V360" s="35">
        <v>0</v>
      </c>
      <c r="W360" s="35">
        <v>1</v>
      </c>
      <c r="X360" s="35">
        <v>0</v>
      </c>
      <c r="Y360" s="32" t="str">
        <f t="shared" si="29"/>
        <v>Single</v>
      </c>
      <c r="Z360" s="35" t="s">
        <v>9</v>
      </c>
      <c r="AA360" s="35" t="s">
        <v>53</v>
      </c>
      <c r="AB360" s="35" t="s">
        <v>92</v>
      </c>
      <c r="AC360" s="35" t="s">
        <v>64</v>
      </c>
      <c r="AD360" s="35" t="s">
        <v>72</v>
      </c>
      <c r="AE360" s="35">
        <v>4</v>
      </c>
      <c r="AF360" s="35" t="s">
        <v>84</v>
      </c>
      <c r="AG360" s="15" t="s">
        <v>1070</v>
      </c>
      <c r="AH360" s="39" t="s">
        <v>1402</v>
      </c>
      <c r="AI360" s="39" t="s">
        <v>1403</v>
      </c>
      <c r="AJ360" t="s">
        <v>1497</v>
      </c>
      <c r="AK360" t="s">
        <v>1626</v>
      </c>
      <c r="AL360" t="s">
        <v>1499</v>
      </c>
      <c r="AM360" s="69"/>
    </row>
    <row r="361" spans="1:39" ht="79.8" x14ac:dyDescent="0.3">
      <c r="A361" s="30">
        <v>3656</v>
      </c>
      <c r="B361" s="9" t="s">
        <v>282</v>
      </c>
      <c r="C361" s="36">
        <v>2022</v>
      </c>
      <c r="D361" s="9"/>
      <c r="E361" s="9" t="s">
        <v>938</v>
      </c>
      <c r="F361" s="30" t="s">
        <v>313</v>
      </c>
      <c r="G361" s="31" t="s">
        <v>315</v>
      </c>
      <c r="H361" s="31" t="s">
        <v>315</v>
      </c>
      <c r="I361" s="31" t="s">
        <v>315</v>
      </c>
      <c r="J361" s="31" t="s">
        <v>315</v>
      </c>
      <c r="K361" s="31" t="s">
        <v>315</v>
      </c>
      <c r="L361" s="32" t="str">
        <f t="shared" si="25"/>
        <v>INCLUDE</v>
      </c>
      <c r="M361" s="32" t="str">
        <f t="shared" si="26"/>
        <v/>
      </c>
      <c r="N361" s="33" t="s">
        <v>315</v>
      </c>
      <c r="O361" s="33" t="s">
        <v>315</v>
      </c>
      <c r="P361" s="34" t="s">
        <v>315</v>
      </c>
      <c r="Q361" s="34" t="s">
        <v>315</v>
      </c>
      <c r="R361" s="34" t="s">
        <v>315</v>
      </c>
      <c r="S361" s="32" t="str">
        <f t="shared" si="27"/>
        <v>INCLUDE</v>
      </c>
      <c r="T361" s="32" t="str">
        <f t="shared" si="28"/>
        <v/>
      </c>
      <c r="U361" s="35" t="s">
        <v>61</v>
      </c>
      <c r="V361" s="35">
        <v>0</v>
      </c>
      <c r="W361" s="35">
        <v>0</v>
      </c>
      <c r="X361" s="35">
        <v>1</v>
      </c>
      <c r="Y361" s="32" t="str">
        <f t="shared" si="29"/>
        <v>Single</v>
      </c>
      <c r="Z361" s="35" t="s">
        <v>9</v>
      </c>
      <c r="AA361" s="35" t="s">
        <v>53</v>
      </c>
      <c r="AB361" s="35" t="s">
        <v>91</v>
      </c>
      <c r="AC361" s="35" t="s">
        <v>64</v>
      </c>
      <c r="AD361" s="35" t="s">
        <v>72</v>
      </c>
      <c r="AE361" s="35">
        <v>4</v>
      </c>
      <c r="AF361" s="35" t="s">
        <v>80</v>
      </c>
      <c r="AG361" s="15" t="s">
        <v>1071</v>
      </c>
      <c r="AH361" s="39" t="s">
        <v>1404</v>
      </c>
      <c r="AI361" s="39" t="s">
        <v>1405</v>
      </c>
      <c r="AJ361" t="s">
        <v>1496</v>
      </c>
      <c r="AK361" t="s">
        <v>1627</v>
      </c>
      <c r="AL361" t="s">
        <v>1499</v>
      </c>
      <c r="AM361" s="69"/>
    </row>
    <row r="362" spans="1:39" ht="114" x14ac:dyDescent="0.3">
      <c r="A362" s="30">
        <v>3530</v>
      </c>
      <c r="B362" s="9" t="s">
        <v>285</v>
      </c>
      <c r="C362" s="36">
        <v>2021</v>
      </c>
      <c r="D362" s="9"/>
      <c r="E362" s="9" t="s">
        <v>939</v>
      </c>
      <c r="F362" s="30" t="s">
        <v>313</v>
      </c>
      <c r="G362" s="31" t="s">
        <v>315</v>
      </c>
      <c r="H362" s="31" t="s">
        <v>315</v>
      </c>
      <c r="I362" s="31" t="s">
        <v>315</v>
      </c>
      <c r="J362" s="31" t="s">
        <v>315</v>
      </c>
      <c r="K362" s="31" t="s">
        <v>315</v>
      </c>
      <c r="L362" s="32" t="str">
        <f t="shared" si="25"/>
        <v>INCLUDE</v>
      </c>
      <c r="M362" s="32" t="str">
        <f t="shared" si="26"/>
        <v/>
      </c>
      <c r="N362" s="33" t="s">
        <v>49</v>
      </c>
      <c r="O362" s="33" t="s">
        <v>49</v>
      </c>
      <c r="P362" s="34" t="s">
        <v>49</v>
      </c>
      <c r="Q362" s="34" t="s">
        <v>49</v>
      </c>
      <c r="R362" s="34" t="s">
        <v>49</v>
      </c>
      <c r="S362" s="32" t="str">
        <f t="shared" si="27"/>
        <v>INCLUDE</v>
      </c>
      <c r="T362" s="32" t="str">
        <f t="shared" si="28"/>
        <v/>
      </c>
      <c r="U362" s="35" t="s">
        <v>61</v>
      </c>
      <c r="V362" s="35">
        <v>0</v>
      </c>
      <c r="W362" s="35">
        <v>0</v>
      </c>
      <c r="X362" s="35">
        <v>1</v>
      </c>
      <c r="Y362" s="32" t="str">
        <f t="shared" si="29"/>
        <v>Single</v>
      </c>
      <c r="Z362" s="35" t="s">
        <v>9</v>
      </c>
      <c r="AA362" s="35" t="s">
        <v>62</v>
      </c>
      <c r="AB362" s="35" t="s">
        <v>73</v>
      </c>
      <c r="AC362" s="35" t="s">
        <v>64</v>
      </c>
      <c r="AD362" s="35" t="s">
        <v>72</v>
      </c>
      <c r="AE362" s="35">
        <v>4</v>
      </c>
      <c r="AF362" s="35" t="s">
        <v>84</v>
      </c>
      <c r="AG362" s="15" t="s">
        <v>1150</v>
      </c>
      <c r="AH362" s="39" t="s">
        <v>1406</v>
      </c>
      <c r="AI362" s="39" t="s">
        <v>1407</v>
      </c>
      <c r="AJ362" t="s">
        <v>1496</v>
      </c>
      <c r="AK362" t="s">
        <v>1628</v>
      </c>
      <c r="AL362" t="s">
        <v>1499</v>
      </c>
      <c r="AM362" s="69"/>
    </row>
    <row r="363" spans="1:39" ht="22.8" x14ac:dyDescent="0.3">
      <c r="A363" s="30">
        <v>3843</v>
      </c>
      <c r="B363" s="9"/>
      <c r="C363" s="36"/>
      <c r="D363" s="9"/>
      <c r="E363" s="9" t="s">
        <v>940</v>
      </c>
      <c r="F363" s="30" t="s">
        <v>313</v>
      </c>
      <c r="G363" s="31" t="s">
        <v>316</v>
      </c>
      <c r="H363" s="31" t="s">
        <v>315</v>
      </c>
      <c r="I363" s="31" t="s">
        <v>315</v>
      </c>
      <c r="J363" s="31" t="s">
        <v>315</v>
      </c>
      <c r="K363" s="31" t="s">
        <v>315</v>
      </c>
      <c r="L363" s="32" t="str">
        <f t="shared" si="25"/>
        <v>EXCLUDE</v>
      </c>
      <c r="M363" s="32" t="str">
        <f t="shared" si="26"/>
        <v>Wrong domain (non-AECO)</v>
      </c>
      <c r="N363" s="33"/>
      <c r="O363" s="33"/>
      <c r="P363" s="34"/>
      <c r="Q363" s="34"/>
      <c r="R363" s="34"/>
      <c r="S363" s="32" t="str">
        <f t="shared" si="27"/>
        <v/>
      </c>
      <c r="T363" s="32" t="str">
        <f t="shared" si="28"/>
        <v/>
      </c>
      <c r="U363" s="35"/>
      <c r="V363" s="35"/>
      <c r="W363" s="35"/>
      <c r="X363" s="35"/>
      <c r="Y363" s="32" t="str">
        <f t="shared" si="29"/>
        <v/>
      </c>
      <c r="Z363" s="35"/>
      <c r="AA363" s="35"/>
      <c r="AB363" s="35"/>
      <c r="AC363" s="35"/>
      <c r="AD363" s="35"/>
      <c r="AE363" s="35"/>
      <c r="AF363" s="35"/>
      <c r="AG363" s="15" t="s">
        <v>551</v>
      </c>
      <c r="AH363" s="39"/>
      <c r="AI363" s="39"/>
      <c r="AM363" s="69"/>
    </row>
    <row r="364" spans="1:39" ht="22.8" x14ac:dyDescent="0.3">
      <c r="A364" s="30">
        <v>3502</v>
      </c>
      <c r="B364" s="9"/>
      <c r="C364" s="36"/>
      <c r="D364" s="9"/>
      <c r="E364" s="9" t="s">
        <v>941</v>
      </c>
      <c r="F364" s="30" t="s">
        <v>313</v>
      </c>
      <c r="G364" s="31" t="s">
        <v>316</v>
      </c>
      <c r="H364" s="31" t="s">
        <v>315</v>
      </c>
      <c r="I364" s="31" t="s">
        <v>315</v>
      </c>
      <c r="J364" s="31" t="s">
        <v>315</v>
      </c>
      <c r="K364" s="31" t="s">
        <v>315</v>
      </c>
      <c r="L364" s="32" t="str">
        <f t="shared" si="25"/>
        <v>EXCLUDE</v>
      </c>
      <c r="M364" s="32" t="str">
        <f t="shared" si="26"/>
        <v>Wrong domain (non-AECO)</v>
      </c>
      <c r="N364" s="33"/>
      <c r="O364" s="33"/>
      <c r="P364" s="34"/>
      <c r="Q364" s="34"/>
      <c r="R364" s="34"/>
      <c r="S364" s="32" t="str">
        <f t="shared" si="27"/>
        <v/>
      </c>
      <c r="T364" s="32" t="str">
        <f t="shared" si="28"/>
        <v/>
      </c>
      <c r="U364" s="35"/>
      <c r="V364" s="35"/>
      <c r="W364" s="35"/>
      <c r="X364" s="35"/>
      <c r="Y364" s="32" t="str">
        <f t="shared" si="29"/>
        <v/>
      </c>
      <c r="Z364" s="35"/>
      <c r="AA364" s="35"/>
      <c r="AB364" s="35"/>
      <c r="AC364" s="35"/>
      <c r="AD364" s="35"/>
      <c r="AE364" s="35"/>
      <c r="AF364" s="35"/>
      <c r="AG364" s="15" t="s">
        <v>552</v>
      </c>
      <c r="AH364" s="39"/>
      <c r="AI364" s="39"/>
      <c r="AM364" s="69"/>
    </row>
    <row r="365" spans="1:39" ht="22.8" x14ac:dyDescent="0.3">
      <c r="A365" s="30">
        <v>3856</v>
      </c>
      <c r="B365" s="9"/>
      <c r="C365" s="36"/>
      <c r="D365" s="9"/>
      <c r="E365" s="9" t="s">
        <v>942</v>
      </c>
      <c r="F365" s="30" t="s">
        <v>313</v>
      </c>
      <c r="G365" s="31" t="s">
        <v>316</v>
      </c>
      <c r="H365" s="31" t="s">
        <v>315</v>
      </c>
      <c r="I365" s="31" t="s">
        <v>315</v>
      </c>
      <c r="J365" s="31" t="s">
        <v>315</v>
      </c>
      <c r="K365" s="31" t="s">
        <v>315</v>
      </c>
      <c r="L365" s="32" t="str">
        <f t="shared" si="25"/>
        <v>EXCLUDE</v>
      </c>
      <c r="M365" s="32" t="str">
        <f t="shared" si="26"/>
        <v>Wrong domain (non-AECO)</v>
      </c>
      <c r="N365" s="33"/>
      <c r="O365" s="33"/>
      <c r="P365" s="34"/>
      <c r="Q365" s="34"/>
      <c r="R365" s="34"/>
      <c r="S365" s="32" t="str">
        <f t="shared" si="27"/>
        <v/>
      </c>
      <c r="T365" s="32" t="str">
        <f t="shared" si="28"/>
        <v/>
      </c>
      <c r="U365" s="35"/>
      <c r="V365" s="35"/>
      <c r="W365" s="35"/>
      <c r="X365" s="35"/>
      <c r="Y365" s="32" t="str">
        <f t="shared" si="29"/>
        <v/>
      </c>
      <c r="Z365" s="35"/>
      <c r="AA365" s="35"/>
      <c r="AB365" s="35"/>
      <c r="AC365" s="35"/>
      <c r="AD365" s="35"/>
      <c r="AE365" s="35"/>
      <c r="AF365" s="35"/>
      <c r="AG365" s="15" t="s">
        <v>553</v>
      </c>
      <c r="AH365" s="39"/>
      <c r="AI365" s="39"/>
      <c r="AM365" s="69"/>
    </row>
    <row r="366" spans="1:39" ht="22.8" x14ac:dyDescent="0.3">
      <c r="A366" s="30">
        <v>3719</v>
      </c>
      <c r="B366" s="9"/>
      <c r="C366" s="36"/>
      <c r="D366" s="9"/>
      <c r="E366" s="9" t="s">
        <v>943</v>
      </c>
      <c r="F366" s="30" t="s">
        <v>313</v>
      </c>
      <c r="G366" s="31" t="s">
        <v>315</v>
      </c>
      <c r="H366" s="31" t="s">
        <v>315</v>
      </c>
      <c r="I366" s="31" t="s">
        <v>316</v>
      </c>
      <c r="J366" s="31" t="s">
        <v>315</v>
      </c>
      <c r="K366" s="31" t="s">
        <v>315</v>
      </c>
      <c r="L366" s="32" t="str">
        <f t="shared" si="25"/>
        <v>EXCLUDE</v>
      </c>
      <c r="M366" s="32" t="str">
        <f t="shared" si="26"/>
        <v>No Design for Safety/Quality/PtD</v>
      </c>
      <c r="N366" s="33"/>
      <c r="O366" s="33"/>
      <c r="P366" s="34"/>
      <c r="Q366" s="34"/>
      <c r="R366" s="34"/>
      <c r="S366" s="32" t="str">
        <f t="shared" si="27"/>
        <v/>
      </c>
      <c r="T366" s="32" t="str">
        <f t="shared" si="28"/>
        <v/>
      </c>
      <c r="U366" s="35"/>
      <c r="V366" s="35"/>
      <c r="W366" s="35"/>
      <c r="X366" s="35"/>
      <c r="Y366" s="32" t="str">
        <f t="shared" si="29"/>
        <v/>
      </c>
      <c r="Z366" s="35"/>
      <c r="AA366" s="35"/>
      <c r="AB366" s="35"/>
      <c r="AC366" s="35"/>
      <c r="AD366" s="35"/>
      <c r="AE366" s="35"/>
      <c r="AF366" s="35"/>
      <c r="AG366" s="15" t="s">
        <v>554</v>
      </c>
      <c r="AH366" s="39"/>
      <c r="AI366" s="39"/>
      <c r="AM366" s="69"/>
    </row>
    <row r="367" spans="1:39" ht="91.2" x14ac:dyDescent="0.3">
      <c r="A367" s="30">
        <v>3927</v>
      </c>
      <c r="B367" s="9" t="s">
        <v>286</v>
      </c>
      <c r="C367" s="36">
        <v>2025</v>
      </c>
      <c r="D367" s="9"/>
      <c r="E367" s="9" t="s">
        <v>944</v>
      </c>
      <c r="F367" s="30" t="s">
        <v>314</v>
      </c>
      <c r="G367" s="31" t="s">
        <v>315</v>
      </c>
      <c r="H367" s="31" t="s">
        <v>315</v>
      </c>
      <c r="I367" s="31" t="s">
        <v>315</v>
      </c>
      <c r="J367" s="31" t="s">
        <v>315</v>
      </c>
      <c r="K367" s="31" t="s">
        <v>315</v>
      </c>
      <c r="L367" s="32" t="str">
        <f t="shared" si="25"/>
        <v>INCLUDE</v>
      </c>
      <c r="M367" s="32" t="str">
        <f t="shared" si="26"/>
        <v/>
      </c>
      <c r="N367" s="33" t="s">
        <v>315</v>
      </c>
      <c r="O367" s="33" t="s">
        <v>315</v>
      </c>
      <c r="P367" s="34" t="s">
        <v>315</v>
      </c>
      <c r="Q367" s="34" t="s">
        <v>315</v>
      </c>
      <c r="R367" s="34" t="s">
        <v>315</v>
      </c>
      <c r="S367" s="32" t="str">
        <f t="shared" si="27"/>
        <v>INCLUDE</v>
      </c>
      <c r="T367" s="32" t="str">
        <f t="shared" si="28"/>
        <v/>
      </c>
      <c r="U367" s="35" t="s">
        <v>61</v>
      </c>
      <c r="V367" s="35">
        <v>0</v>
      </c>
      <c r="W367" s="35">
        <v>0</v>
      </c>
      <c r="X367" s="35">
        <v>1</v>
      </c>
      <c r="Y367" s="32" t="str">
        <f t="shared" si="29"/>
        <v>Single</v>
      </c>
      <c r="Z367" s="35" t="s">
        <v>9</v>
      </c>
      <c r="AA367" s="35" t="s">
        <v>53</v>
      </c>
      <c r="AB367" s="35" t="s">
        <v>71</v>
      </c>
      <c r="AC367" s="35" t="s">
        <v>64</v>
      </c>
      <c r="AD367" s="35" t="s">
        <v>72</v>
      </c>
      <c r="AE367" s="35">
        <v>4</v>
      </c>
      <c r="AF367" s="35" t="s">
        <v>80</v>
      </c>
      <c r="AG367" s="15" t="s">
        <v>1072</v>
      </c>
      <c r="AH367" s="39" t="s">
        <v>1408</v>
      </c>
      <c r="AI367" s="39" t="s">
        <v>1409</v>
      </c>
      <c r="AJ367" t="s">
        <v>1496</v>
      </c>
      <c r="AK367" t="s">
        <v>1629</v>
      </c>
      <c r="AL367" t="s">
        <v>1500</v>
      </c>
      <c r="AM367" s="69"/>
    </row>
    <row r="368" spans="1:39" ht="22.8" x14ac:dyDescent="0.3">
      <c r="A368" s="30">
        <v>3829</v>
      </c>
      <c r="B368" s="9"/>
      <c r="C368" s="36"/>
      <c r="D368" s="9"/>
      <c r="E368" s="9" t="s">
        <v>945</v>
      </c>
      <c r="F368" s="30" t="s">
        <v>313</v>
      </c>
      <c r="G368" s="31" t="s">
        <v>316</v>
      </c>
      <c r="H368" s="31" t="s">
        <v>315</v>
      </c>
      <c r="I368" s="31" t="s">
        <v>315</v>
      </c>
      <c r="J368" s="31" t="s">
        <v>315</v>
      </c>
      <c r="K368" s="31" t="s">
        <v>316</v>
      </c>
      <c r="L368" s="32" t="str">
        <f t="shared" si="25"/>
        <v>EXCLUDE</v>
      </c>
      <c r="M368" s="32" t="str">
        <f t="shared" si="26"/>
        <v>Wrong domain (non-AECO)</v>
      </c>
      <c r="N368" s="33"/>
      <c r="O368" s="33"/>
      <c r="P368" s="34"/>
      <c r="Q368" s="34"/>
      <c r="R368" s="34"/>
      <c r="S368" s="32" t="str">
        <f t="shared" si="27"/>
        <v/>
      </c>
      <c r="T368" s="32" t="str">
        <f t="shared" si="28"/>
        <v/>
      </c>
      <c r="U368" s="35"/>
      <c r="V368" s="35"/>
      <c r="W368" s="35"/>
      <c r="X368" s="35"/>
      <c r="Y368" s="32" t="str">
        <f t="shared" si="29"/>
        <v/>
      </c>
      <c r="Z368" s="35"/>
      <c r="AA368" s="35"/>
      <c r="AB368" s="35"/>
      <c r="AC368" s="35"/>
      <c r="AD368" s="35"/>
      <c r="AE368" s="35"/>
      <c r="AF368" s="35"/>
      <c r="AG368" s="15" t="s">
        <v>555</v>
      </c>
      <c r="AH368" s="39"/>
      <c r="AI368" s="39"/>
      <c r="AM368" s="69"/>
    </row>
    <row r="369" spans="1:39" ht="79.8" x14ac:dyDescent="0.3">
      <c r="A369" s="30">
        <v>3950</v>
      </c>
      <c r="B369" s="9" t="s">
        <v>287</v>
      </c>
      <c r="C369" s="36">
        <v>2026</v>
      </c>
      <c r="D369" s="9"/>
      <c r="E369" s="9" t="s">
        <v>946</v>
      </c>
      <c r="F369" s="30" t="s">
        <v>314</v>
      </c>
      <c r="G369" s="31" t="s">
        <v>315</v>
      </c>
      <c r="H369" s="31" t="s">
        <v>315</v>
      </c>
      <c r="I369" s="31" t="s">
        <v>315</v>
      </c>
      <c r="J369" s="31" t="s">
        <v>315</v>
      </c>
      <c r="K369" s="31" t="s">
        <v>315</v>
      </c>
      <c r="L369" s="32" t="str">
        <f t="shared" si="25"/>
        <v>INCLUDE</v>
      </c>
      <c r="M369" s="32" t="str">
        <f t="shared" si="26"/>
        <v/>
      </c>
      <c r="N369" s="33" t="s">
        <v>315</v>
      </c>
      <c r="O369" s="33" t="s">
        <v>315</v>
      </c>
      <c r="P369" s="34" t="s">
        <v>315</v>
      </c>
      <c r="Q369" s="34" t="s">
        <v>315</v>
      </c>
      <c r="R369" s="34" t="s">
        <v>315</v>
      </c>
      <c r="S369" s="32" t="str">
        <f t="shared" si="27"/>
        <v>INCLUDE</v>
      </c>
      <c r="T369" s="32" t="str">
        <f t="shared" si="28"/>
        <v/>
      </c>
      <c r="U369" s="35" t="s">
        <v>61</v>
      </c>
      <c r="V369" s="35">
        <v>0</v>
      </c>
      <c r="W369" s="35">
        <v>0</v>
      </c>
      <c r="X369" s="35">
        <v>1</v>
      </c>
      <c r="Y369" s="32" t="str">
        <f t="shared" si="29"/>
        <v>Single</v>
      </c>
      <c r="Z369" s="35" t="s">
        <v>9</v>
      </c>
      <c r="AA369" s="35" t="s">
        <v>53</v>
      </c>
      <c r="AB369" s="35" t="s">
        <v>91</v>
      </c>
      <c r="AC369" s="35" t="s">
        <v>64</v>
      </c>
      <c r="AD369" s="35" t="s">
        <v>72</v>
      </c>
      <c r="AE369" s="35">
        <v>4</v>
      </c>
      <c r="AF369" s="35" t="s">
        <v>80</v>
      </c>
      <c r="AG369" s="15" t="s">
        <v>1073</v>
      </c>
      <c r="AH369" s="39" t="s">
        <v>1410</v>
      </c>
      <c r="AI369" s="39" t="s">
        <v>1411</v>
      </c>
      <c r="AJ369" t="s">
        <v>1496</v>
      </c>
      <c r="AK369" t="s">
        <v>1630</v>
      </c>
      <c r="AL369" t="s">
        <v>1500</v>
      </c>
      <c r="AM369" s="69"/>
    </row>
    <row r="370" spans="1:39" ht="22.8" x14ac:dyDescent="0.3">
      <c r="A370" s="30">
        <v>3961</v>
      </c>
      <c r="B370" s="9"/>
      <c r="C370" s="36"/>
      <c r="D370" s="9"/>
      <c r="E370" s="9" t="s">
        <v>947</v>
      </c>
      <c r="F370" s="30" t="s">
        <v>314</v>
      </c>
      <c r="G370" s="31" t="s">
        <v>316</v>
      </c>
      <c r="H370" s="31" t="s">
        <v>315</v>
      </c>
      <c r="I370" s="31" t="s">
        <v>315</v>
      </c>
      <c r="J370" s="31" t="s">
        <v>315</v>
      </c>
      <c r="K370" s="31" t="s">
        <v>315</v>
      </c>
      <c r="L370" s="32" t="str">
        <f t="shared" si="25"/>
        <v>EXCLUDE</v>
      </c>
      <c r="M370" s="32" t="str">
        <f t="shared" si="26"/>
        <v>Wrong domain (non-AECO)</v>
      </c>
      <c r="N370" s="33"/>
      <c r="O370" s="33"/>
      <c r="P370" s="34"/>
      <c r="Q370" s="34"/>
      <c r="R370" s="34"/>
      <c r="S370" s="32" t="str">
        <f t="shared" si="27"/>
        <v/>
      </c>
      <c r="T370" s="32" t="str">
        <f t="shared" si="28"/>
        <v/>
      </c>
      <c r="U370" s="35"/>
      <c r="V370" s="35"/>
      <c r="W370" s="35"/>
      <c r="X370" s="35"/>
      <c r="Y370" s="32" t="str">
        <f t="shared" si="29"/>
        <v/>
      </c>
      <c r="Z370" s="35"/>
      <c r="AA370" s="35"/>
      <c r="AB370" s="35"/>
      <c r="AC370" s="35"/>
      <c r="AD370" s="35"/>
      <c r="AE370" s="35"/>
      <c r="AF370" s="35"/>
      <c r="AG370" s="15" t="s">
        <v>556</v>
      </c>
      <c r="AH370" s="39"/>
      <c r="AI370" s="39"/>
      <c r="AM370" s="69"/>
    </row>
    <row r="371" spans="1:39" ht="22.8" x14ac:dyDescent="0.3">
      <c r="A371" s="30">
        <v>3849</v>
      </c>
      <c r="B371" s="9"/>
      <c r="C371" s="36"/>
      <c r="D371" s="9"/>
      <c r="E371" s="9" t="s">
        <v>948</v>
      </c>
      <c r="F371" s="30" t="s">
        <v>313</v>
      </c>
      <c r="G371" s="31" t="s">
        <v>316</v>
      </c>
      <c r="H371" s="31" t="s">
        <v>315</v>
      </c>
      <c r="I371" s="31" t="s">
        <v>315</v>
      </c>
      <c r="J371" s="31" t="s">
        <v>315</v>
      </c>
      <c r="K371" s="31" t="s">
        <v>315</v>
      </c>
      <c r="L371" s="32" t="str">
        <f t="shared" si="25"/>
        <v>EXCLUDE</v>
      </c>
      <c r="M371" s="32" t="str">
        <f t="shared" si="26"/>
        <v>Wrong domain (non-AECO)</v>
      </c>
      <c r="N371" s="33"/>
      <c r="O371" s="33"/>
      <c r="P371" s="34"/>
      <c r="Q371" s="34"/>
      <c r="R371" s="34"/>
      <c r="S371" s="32" t="str">
        <f t="shared" si="27"/>
        <v/>
      </c>
      <c r="T371" s="32" t="str">
        <f t="shared" si="28"/>
        <v/>
      </c>
      <c r="U371" s="35"/>
      <c r="V371" s="35"/>
      <c r="W371" s="35"/>
      <c r="X371" s="35"/>
      <c r="Y371" s="32" t="str">
        <f t="shared" si="29"/>
        <v/>
      </c>
      <c r="Z371" s="35"/>
      <c r="AA371" s="35"/>
      <c r="AB371" s="35"/>
      <c r="AC371" s="35"/>
      <c r="AD371" s="35"/>
      <c r="AE371" s="35"/>
      <c r="AF371" s="35"/>
      <c r="AG371" s="15" t="s">
        <v>557</v>
      </c>
      <c r="AH371" s="39"/>
      <c r="AI371" s="39"/>
      <c r="AM371" s="69"/>
    </row>
    <row r="372" spans="1:39" ht="22.8" x14ac:dyDescent="0.3">
      <c r="A372" s="30">
        <v>3545</v>
      </c>
      <c r="B372" s="9"/>
      <c r="C372" s="36"/>
      <c r="D372" s="9"/>
      <c r="E372" s="9" t="s">
        <v>949</v>
      </c>
      <c r="F372" s="30" t="s">
        <v>313</v>
      </c>
      <c r="G372" s="31" t="s">
        <v>315</v>
      </c>
      <c r="H372" s="31" t="s">
        <v>316</v>
      </c>
      <c r="I372" s="31" t="s">
        <v>315</v>
      </c>
      <c r="J372" s="31" t="s">
        <v>315</v>
      </c>
      <c r="K372" s="31" t="s">
        <v>315</v>
      </c>
      <c r="L372" s="32" t="str">
        <f t="shared" si="25"/>
        <v>EXCLUDE</v>
      </c>
      <c r="M372" s="32" t="str">
        <f t="shared" si="26"/>
        <v>Digital Twin not core / buzzword</v>
      </c>
      <c r="N372" s="33"/>
      <c r="O372" s="33"/>
      <c r="P372" s="34"/>
      <c r="Q372" s="34"/>
      <c r="R372" s="34"/>
      <c r="S372" s="32" t="str">
        <f t="shared" si="27"/>
        <v/>
      </c>
      <c r="T372" s="32" t="str">
        <f t="shared" si="28"/>
        <v/>
      </c>
      <c r="U372" s="35"/>
      <c r="V372" s="35"/>
      <c r="W372" s="35"/>
      <c r="X372" s="35"/>
      <c r="Y372" s="32" t="str">
        <f t="shared" si="29"/>
        <v/>
      </c>
      <c r="Z372" s="35"/>
      <c r="AA372" s="35"/>
      <c r="AB372" s="35"/>
      <c r="AC372" s="35"/>
      <c r="AD372" s="35"/>
      <c r="AE372" s="35"/>
      <c r="AF372" s="35"/>
      <c r="AG372" s="15" t="s">
        <v>558</v>
      </c>
      <c r="AH372" s="39"/>
      <c r="AI372" s="39"/>
      <c r="AM372" s="69"/>
    </row>
    <row r="373" spans="1:39" ht="79.8" x14ac:dyDescent="0.3">
      <c r="A373" s="30">
        <v>3896</v>
      </c>
      <c r="B373" s="9" t="s">
        <v>288</v>
      </c>
      <c r="C373" s="36">
        <v>2023</v>
      </c>
      <c r="D373" s="9"/>
      <c r="E373" s="9" t="s">
        <v>950</v>
      </c>
      <c r="F373" s="30" t="s">
        <v>314</v>
      </c>
      <c r="G373" s="31" t="s">
        <v>315</v>
      </c>
      <c r="H373" s="31" t="s">
        <v>315</v>
      </c>
      <c r="I373" s="31" t="s">
        <v>315</v>
      </c>
      <c r="J373" s="31" t="s">
        <v>315</v>
      </c>
      <c r="K373" s="31" t="s">
        <v>315</v>
      </c>
      <c r="L373" s="32" t="str">
        <f t="shared" si="25"/>
        <v>INCLUDE</v>
      </c>
      <c r="M373" s="32" t="str">
        <f t="shared" si="26"/>
        <v/>
      </c>
      <c r="N373" s="33" t="s">
        <v>315</v>
      </c>
      <c r="O373" s="33" t="s">
        <v>315</v>
      </c>
      <c r="P373" s="34" t="s">
        <v>315</v>
      </c>
      <c r="Q373" s="34" t="s">
        <v>315</v>
      </c>
      <c r="R373" s="34" t="s">
        <v>315</v>
      </c>
      <c r="S373" s="32" t="str">
        <f t="shared" si="27"/>
        <v>INCLUDE</v>
      </c>
      <c r="T373" s="32" t="str">
        <f t="shared" si="28"/>
        <v/>
      </c>
      <c r="U373" s="35" t="s">
        <v>61</v>
      </c>
      <c r="V373" s="35">
        <v>0</v>
      </c>
      <c r="W373" s="35">
        <v>0</v>
      </c>
      <c r="X373" s="35">
        <v>1</v>
      </c>
      <c r="Y373" s="32" t="str">
        <f t="shared" si="29"/>
        <v>Single</v>
      </c>
      <c r="Z373" s="35" t="s">
        <v>9</v>
      </c>
      <c r="AA373" s="35" t="s">
        <v>53</v>
      </c>
      <c r="AB373" s="35" t="s">
        <v>91</v>
      </c>
      <c r="AC373" s="35" t="s">
        <v>64</v>
      </c>
      <c r="AD373" s="35" t="s">
        <v>72</v>
      </c>
      <c r="AE373" s="35">
        <v>4</v>
      </c>
      <c r="AF373" s="35" t="s">
        <v>57</v>
      </c>
      <c r="AG373" s="15" t="s">
        <v>1074</v>
      </c>
      <c r="AH373" s="39" t="s">
        <v>1412</v>
      </c>
      <c r="AI373" s="39" t="s">
        <v>1413</v>
      </c>
      <c r="AJ373" t="s">
        <v>1497</v>
      </c>
      <c r="AK373" t="s">
        <v>1631</v>
      </c>
      <c r="AL373" t="s">
        <v>1499</v>
      </c>
      <c r="AM373" s="69"/>
    </row>
    <row r="374" spans="1:39" ht="22.8" x14ac:dyDescent="0.3">
      <c r="A374" s="30">
        <v>3499</v>
      </c>
      <c r="B374" s="9"/>
      <c r="C374" s="36"/>
      <c r="D374" s="9"/>
      <c r="E374" s="9" t="s">
        <v>951</v>
      </c>
      <c r="F374" s="30" t="s">
        <v>313</v>
      </c>
      <c r="G374" s="31" t="s">
        <v>316</v>
      </c>
      <c r="H374" s="31" t="s">
        <v>316</v>
      </c>
      <c r="I374" s="31" t="s">
        <v>316</v>
      </c>
      <c r="J374" s="31" t="s">
        <v>315</v>
      </c>
      <c r="K374" s="31" t="s">
        <v>316</v>
      </c>
      <c r="L374" s="32" t="str">
        <f t="shared" si="25"/>
        <v>EXCLUDE</v>
      </c>
      <c r="M374" s="32" t="str">
        <f t="shared" si="26"/>
        <v>Wrong domain (non-AECO)</v>
      </c>
      <c r="N374" s="33"/>
      <c r="O374" s="33"/>
      <c r="P374" s="34"/>
      <c r="Q374" s="34"/>
      <c r="R374" s="34"/>
      <c r="S374" s="32" t="str">
        <f t="shared" si="27"/>
        <v/>
      </c>
      <c r="T374" s="32" t="str">
        <f t="shared" si="28"/>
        <v/>
      </c>
      <c r="U374" s="35"/>
      <c r="V374" s="35"/>
      <c r="W374" s="35"/>
      <c r="X374" s="35"/>
      <c r="Y374" s="32" t="str">
        <f t="shared" si="29"/>
        <v/>
      </c>
      <c r="Z374" s="35"/>
      <c r="AA374" s="35"/>
      <c r="AB374" s="35"/>
      <c r="AC374" s="35"/>
      <c r="AD374" s="35"/>
      <c r="AE374" s="35"/>
      <c r="AF374" s="35"/>
      <c r="AG374" s="15" t="s">
        <v>559</v>
      </c>
      <c r="AH374" s="39"/>
      <c r="AI374" s="39"/>
      <c r="AM374" s="69"/>
    </row>
    <row r="375" spans="1:39" ht="22.8" x14ac:dyDescent="0.3">
      <c r="A375" s="30">
        <v>3522</v>
      </c>
      <c r="B375" s="9"/>
      <c r="C375" s="36"/>
      <c r="D375" s="9"/>
      <c r="E375" s="9" t="s">
        <v>952</v>
      </c>
      <c r="F375" s="30" t="s">
        <v>313</v>
      </c>
      <c r="G375" s="31" t="s">
        <v>315</v>
      </c>
      <c r="H375" s="31" t="s">
        <v>315</v>
      </c>
      <c r="I375" s="31" t="s">
        <v>315</v>
      </c>
      <c r="J375" s="31" t="s">
        <v>315</v>
      </c>
      <c r="K375" s="31" t="s">
        <v>316</v>
      </c>
      <c r="L375" s="32" t="str">
        <f t="shared" si="25"/>
        <v>EXCLUDE</v>
      </c>
      <c r="M375" s="32" t="str">
        <f t="shared" si="26"/>
        <v>Non-English</v>
      </c>
      <c r="N375" s="33"/>
      <c r="O375" s="33"/>
      <c r="P375" s="34"/>
      <c r="Q375" s="34"/>
      <c r="R375" s="34"/>
      <c r="S375" s="32" t="str">
        <f t="shared" si="27"/>
        <v/>
      </c>
      <c r="T375" s="32" t="str">
        <f t="shared" si="28"/>
        <v/>
      </c>
      <c r="U375" s="35"/>
      <c r="V375" s="35"/>
      <c r="W375" s="35"/>
      <c r="X375" s="35"/>
      <c r="Y375" s="32" t="str">
        <f t="shared" si="29"/>
        <v/>
      </c>
      <c r="Z375" s="35"/>
      <c r="AA375" s="35"/>
      <c r="AB375" s="35"/>
      <c r="AC375" s="35"/>
      <c r="AD375" s="35"/>
      <c r="AE375" s="35"/>
      <c r="AF375" s="35"/>
      <c r="AG375" s="15" t="s">
        <v>478</v>
      </c>
      <c r="AH375" s="39"/>
      <c r="AI375" s="39"/>
      <c r="AM375" s="69"/>
    </row>
    <row r="376" spans="1:39" ht="22.8" x14ac:dyDescent="0.3">
      <c r="A376" s="30">
        <v>3553</v>
      </c>
      <c r="B376" s="9"/>
      <c r="C376" s="36"/>
      <c r="D376" s="9"/>
      <c r="E376" s="9" t="s">
        <v>953</v>
      </c>
      <c r="F376" s="30" t="s">
        <v>313</v>
      </c>
      <c r="G376" s="31" t="s">
        <v>316</v>
      </c>
      <c r="H376" s="31" t="s">
        <v>315</v>
      </c>
      <c r="I376" s="31" t="s">
        <v>315</v>
      </c>
      <c r="J376" s="31" t="s">
        <v>315</v>
      </c>
      <c r="K376" s="31" t="s">
        <v>315</v>
      </c>
      <c r="L376" s="32" t="str">
        <f t="shared" si="25"/>
        <v>EXCLUDE</v>
      </c>
      <c r="M376" s="32" t="str">
        <f t="shared" si="26"/>
        <v>Wrong domain (non-AECO)</v>
      </c>
      <c r="N376" s="33"/>
      <c r="O376" s="33"/>
      <c r="P376" s="34"/>
      <c r="Q376" s="34"/>
      <c r="R376" s="34"/>
      <c r="S376" s="32" t="str">
        <f t="shared" si="27"/>
        <v/>
      </c>
      <c r="T376" s="32" t="str">
        <f t="shared" si="28"/>
        <v/>
      </c>
      <c r="U376" s="35"/>
      <c r="V376" s="35"/>
      <c r="W376" s="35"/>
      <c r="X376" s="35"/>
      <c r="Y376" s="32" t="str">
        <f t="shared" si="29"/>
        <v/>
      </c>
      <c r="Z376" s="35"/>
      <c r="AA376" s="35"/>
      <c r="AB376" s="35"/>
      <c r="AC376" s="35"/>
      <c r="AD376" s="35"/>
      <c r="AE376" s="35"/>
      <c r="AF376" s="35"/>
      <c r="AG376" s="15" t="s">
        <v>560</v>
      </c>
      <c r="AH376" s="39"/>
      <c r="AI376" s="39"/>
      <c r="AM376" s="69"/>
    </row>
    <row r="377" spans="1:39" ht="102.6" x14ac:dyDescent="0.3">
      <c r="A377" s="30">
        <v>3905</v>
      </c>
      <c r="B377" s="9" t="s">
        <v>289</v>
      </c>
      <c r="C377" s="36">
        <v>2025</v>
      </c>
      <c r="D377" s="9"/>
      <c r="E377" s="9" t="s">
        <v>954</v>
      </c>
      <c r="F377" s="30" t="s">
        <v>314</v>
      </c>
      <c r="G377" s="31" t="s">
        <v>315</v>
      </c>
      <c r="H377" s="31" t="s">
        <v>315</v>
      </c>
      <c r="I377" s="31" t="s">
        <v>315</v>
      </c>
      <c r="J377" s="31" t="s">
        <v>315</v>
      </c>
      <c r="K377" s="31" t="s">
        <v>315</v>
      </c>
      <c r="L377" s="32" t="str">
        <f t="shared" si="25"/>
        <v>INCLUDE</v>
      </c>
      <c r="M377" s="32" t="str">
        <f t="shared" si="26"/>
        <v/>
      </c>
      <c r="N377" s="33" t="s">
        <v>49</v>
      </c>
      <c r="O377" s="33" t="s">
        <v>49</v>
      </c>
      <c r="P377" s="34" t="s">
        <v>49</v>
      </c>
      <c r="Q377" s="34" t="s">
        <v>49</v>
      </c>
      <c r="R377" s="34" t="s">
        <v>49</v>
      </c>
      <c r="S377" s="32" t="str">
        <f t="shared" si="27"/>
        <v>INCLUDE</v>
      </c>
      <c r="T377" s="32" t="str">
        <f t="shared" si="28"/>
        <v/>
      </c>
      <c r="U377" s="35" t="s">
        <v>61</v>
      </c>
      <c r="V377" s="35">
        <v>0</v>
      </c>
      <c r="W377" s="35">
        <v>1</v>
      </c>
      <c r="X377" s="35">
        <v>0</v>
      </c>
      <c r="Y377" s="32" t="str">
        <f t="shared" si="29"/>
        <v>Single</v>
      </c>
      <c r="Z377" s="35" t="s">
        <v>9</v>
      </c>
      <c r="AA377" s="35" t="s">
        <v>53</v>
      </c>
      <c r="AB377" s="35" t="s">
        <v>78</v>
      </c>
      <c r="AC377" s="35" t="s">
        <v>64</v>
      </c>
      <c r="AD377" s="35" t="s">
        <v>72</v>
      </c>
      <c r="AE377" s="35">
        <v>4</v>
      </c>
      <c r="AF377" s="35" t="s">
        <v>84</v>
      </c>
      <c r="AG377" s="15" t="s">
        <v>1151</v>
      </c>
      <c r="AH377" s="39" t="s">
        <v>1414</v>
      </c>
      <c r="AI377" s="39" t="s">
        <v>1415</v>
      </c>
      <c r="AJ377" t="s">
        <v>1497</v>
      </c>
      <c r="AK377" t="s">
        <v>1632</v>
      </c>
      <c r="AL377" t="s">
        <v>1499</v>
      </c>
      <c r="AM377" s="69"/>
    </row>
    <row r="378" spans="1:39" ht="102.6" x14ac:dyDescent="0.3">
      <c r="A378" s="30">
        <v>3909</v>
      </c>
      <c r="B378" s="9" t="s">
        <v>290</v>
      </c>
      <c r="C378" s="36">
        <v>2026</v>
      </c>
      <c r="D378" s="9"/>
      <c r="E378" s="9" t="s">
        <v>955</v>
      </c>
      <c r="F378" s="30" t="s">
        <v>314</v>
      </c>
      <c r="G378" s="31" t="s">
        <v>315</v>
      </c>
      <c r="H378" s="31" t="s">
        <v>315</v>
      </c>
      <c r="I378" s="31" t="s">
        <v>315</v>
      </c>
      <c r="J378" s="31" t="s">
        <v>315</v>
      </c>
      <c r="K378" s="31" t="s">
        <v>315</v>
      </c>
      <c r="L378" s="32" t="str">
        <f t="shared" si="25"/>
        <v>INCLUDE</v>
      </c>
      <c r="M378" s="32" t="str">
        <f t="shared" si="26"/>
        <v/>
      </c>
      <c r="N378" s="33" t="s">
        <v>49</v>
      </c>
      <c r="O378" s="33" t="s">
        <v>49</v>
      </c>
      <c r="P378" s="34" t="s">
        <v>49</v>
      </c>
      <c r="Q378" s="34" t="s">
        <v>49</v>
      </c>
      <c r="R378" s="34" t="s">
        <v>49</v>
      </c>
      <c r="S378" s="32" t="str">
        <f t="shared" si="27"/>
        <v>INCLUDE</v>
      </c>
      <c r="T378" s="32" t="str">
        <f t="shared" si="28"/>
        <v/>
      </c>
      <c r="U378" s="35" t="s">
        <v>61</v>
      </c>
      <c r="V378" s="35">
        <v>0</v>
      </c>
      <c r="W378" s="35">
        <v>1</v>
      </c>
      <c r="X378" s="35">
        <v>0</v>
      </c>
      <c r="Y378" s="32" t="str">
        <f t="shared" si="29"/>
        <v>Single</v>
      </c>
      <c r="Z378" s="35" t="s">
        <v>9</v>
      </c>
      <c r="AA378" s="35" t="s">
        <v>53</v>
      </c>
      <c r="AB378" s="35" t="s">
        <v>78</v>
      </c>
      <c r="AC378" s="35" t="s">
        <v>64</v>
      </c>
      <c r="AD378" s="35" t="s">
        <v>72</v>
      </c>
      <c r="AE378" s="35">
        <v>4</v>
      </c>
      <c r="AF378" s="35" t="s">
        <v>84</v>
      </c>
      <c r="AG378" s="15" t="s">
        <v>1152</v>
      </c>
      <c r="AH378" s="39" t="s">
        <v>1416</v>
      </c>
      <c r="AI378" s="39" t="s">
        <v>1417</v>
      </c>
      <c r="AJ378" t="s">
        <v>1497</v>
      </c>
      <c r="AK378" t="s">
        <v>1633</v>
      </c>
      <c r="AL378" t="s">
        <v>1499</v>
      </c>
      <c r="AM378" s="69"/>
    </row>
    <row r="379" spans="1:39" ht="22.8" x14ac:dyDescent="0.3">
      <c r="A379" s="30">
        <v>3811</v>
      </c>
      <c r="B379" s="9"/>
      <c r="C379" s="36"/>
      <c r="D379" s="9"/>
      <c r="E379" s="9" t="s">
        <v>956</v>
      </c>
      <c r="F379" s="30" t="s">
        <v>313</v>
      </c>
      <c r="G379" s="31" t="s">
        <v>316</v>
      </c>
      <c r="H379" s="31" t="s">
        <v>315</v>
      </c>
      <c r="I379" s="31" t="s">
        <v>316</v>
      </c>
      <c r="J379" s="31" t="s">
        <v>315</v>
      </c>
      <c r="K379" s="31" t="s">
        <v>316</v>
      </c>
      <c r="L379" s="32" t="str">
        <f t="shared" si="25"/>
        <v>EXCLUDE</v>
      </c>
      <c r="M379" s="32" t="str">
        <f t="shared" si="26"/>
        <v>Wrong domain (non-AECO)</v>
      </c>
      <c r="N379" s="33"/>
      <c r="O379" s="33"/>
      <c r="P379" s="34"/>
      <c r="Q379" s="34"/>
      <c r="R379" s="34"/>
      <c r="S379" s="32" t="str">
        <f t="shared" si="27"/>
        <v/>
      </c>
      <c r="T379" s="32" t="str">
        <f t="shared" si="28"/>
        <v/>
      </c>
      <c r="U379" s="35"/>
      <c r="V379" s="35"/>
      <c r="W379" s="35"/>
      <c r="X379" s="35"/>
      <c r="Y379" s="32" t="str">
        <f t="shared" si="29"/>
        <v/>
      </c>
      <c r="Z379" s="35"/>
      <c r="AA379" s="35"/>
      <c r="AB379" s="35"/>
      <c r="AC379" s="35"/>
      <c r="AD379" s="35"/>
      <c r="AE379" s="35"/>
      <c r="AF379" s="35"/>
      <c r="AG379" s="15" t="s">
        <v>561</v>
      </c>
      <c r="AH379" s="39"/>
      <c r="AI379" s="39"/>
      <c r="AM379" s="69"/>
    </row>
    <row r="380" spans="1:39" ht="91.2" x14ac:dyDescent="0.3">
      <c r="A380" s="30">
        <v>3721</v>
      </c>
      <c r="B380" s="9" t="s">
        <v>291</v>
      </c>
      <c r="C380" s="36">
        <v>2026</v>
      </c>
      <c r="D380" s="9"/>
      <c r="E380" s="9" t="s">
        <v>957</v>
      </c>
      <c r="F380" s="30" t="s">
        <v>313</v>
      </c>
      <c r="G380" s="31" t="s">
        <v>315</v>
      </c>
      <c r="H380" s="31" t="s">
        <v>315</v>
      </c>
      <c r="I380" s="31" t="s">
        <v>315</v>
      </c>
      <c r="J380" s="31" t="s">
        <v>315</v>
      </c>
      <c r="K380" s="31" t="s">
        <v>315</v>
      </c>
      <c r="L380" s="32" t="str">
        <f t="shared" si="25"/>
        <v>INCLUDE</v>
      </c>
      <c r="M380" s="32" t="str">
        <f t="shared" si="26"/>
        <v/>
      </c>
      <c r="N380" s="33" t="s">
        <v>315</v>
      </c>
      <c r="O380" s="33" t="s">
        <v>315</v>
      </c>
      <c r="P380" s="34" t="s">
        <v>315</v>
      </c>
      <c r="Q380" s="34" t="s">
        <v>315</v>
      </c>
      <c r="R380" s="34" t="s">
        <v>315</v>
      </c>
      <c r="S380" s="32" t="str">
        <f t="shared" si="27"/>
        <v>INCLUDE</v>
      </c>
      <c r="T380" s="32" t="str">
        <f t="shared" si="28"/>
        <v/>
      </c>
      <c r="U380" s="35" t="s">
        <v>68</v>
      </c>
      <c r="V380" s="35">
        <v>0</v>
      </c>
      <c r="W380" s="35">
        <v>1</v>
      </c>
      <c r="X380" s="35">
        <v>0</v>
      </c>
      <c r="Y380" s="32" t="str">
        <f t="shared" si="29"/>
        <v>Single</v>
      </c>
      <c r="Z380" s="35" t="s">
        <v>9</v>
      </c>
      <c r="AA380" s="35" t="s">
        <v>53</v>
      </c>
      <c r="AB380" s="35" t="s">
        <v>92</v>
      </c>
      <c r="AC380" s="35" t="s">
        <v>64</v>
      </c>
      <c r="AD380" s="35" t="s">
        <v>72</v>
      </c>
      <c r="AE380" s="35">
        <v>4</v>
      </c>
      <c r="AF380" s="35" t="s">
        <v>84</v>
      </c>
      <c r="AG380" s="15" t="s">
        <v>1075</v>
      </c>
      <c r="AH380" s="39" t="s">
        <v>1418</v>
      </c>
      <c r="AI380" s="39" t="s">
        <v>1419</v>
      </c>
      <c r="AJ380" t="s">
        <v>1497</v>
      </c>
      <c r="AK380" t="s">
        <v>1634</v>
      </c>
      <c r="AL380" t="s">
        <v>1500</v>
      </c>
      <c r="AM380" s="69"/>
    </row>
    <row r="381" spans="1:39" ht="22.8" x14ac:dyDescent="0.3">
      <c r="A381" s="30">
        <v>3547</v>
      </c>
      <c r="B381" s="9"/>
      <c r="C381" s="36"/>
      <c r="D381" s="9"/>
      <c r="E381" s="9" t="s">
        <v>958</v>
      </c>
      <c r="F381" s="30" t="s">
        <v>313</v>
      </c>
      <c r="G381" s="31" t="s">
        <v>316</v>
      </c>
      <c r="H381" s="31" t="s">
        <v>315</v>
      </c>
      <c r="I381" s="31" t="s">
        <v>315</v>
      </c>
      <c r="J381" s="31" t="s">
        <v>315</v>
      </c>
      <c r="K381" s="31" t="s">
        <v>315</v>
      </c>
      <c r="L381" s="32" t="str">
        <f t="shared" si="25"/>
        <v>EXCLUDE</v>
      </c>
      <c r="M381" s="32" t="str">
        <f t="shared" si="26"/>
        <v>Wrong domain (non-AECO)</v>
      </c>
      <c r="N381" s="33"/>
      <c r="O381" s="33"/>
      <c r="P381" s="34"/>
      <c r="Q381" s="34"/>
      <c r="R381" s="34"/>
      <c r="S381" s="32" t="str">
        <f t="shared" si="27"/>
        <v/>
      </c>
      <c r="T381" s="32" t="str">
        <f t="shared" si="28"/>
        <v/>
      </c>
      <c r="U381" s="35"/>
      <c r="V381" s="35"/>
      <c r="W381" s="35"/>
      <c r="X381" s="35"/>
      <c r="Y381" s="32" t="str">
        <f t="shared" si="29"/>
        <v/>
      </c>
      <c r="Z381" s="35"/>
      <c r="AA381" s="35"/>
      <c r="AB381" s="35"/>
      <c r="AC381" s="35"/>
      <c r="AD381" s="35"/>
      <c r="AE381" s="35"/>
      <c r="AF381" s="35"/>
      <c r="AG381" s="15" t="s">
        <v>562</v>
      </c>
      <c r="AH381" s="39"/>
      <c r="AI381" s="39"/>
      <c r="AM381" s="69"/>
    </row>
    <row r="382" spans="1:39" x14ac:dyDescent="0.3">
      <c r="A382" s="30">
        <v>3649</v>
      </c>
      <c r="B382" s="9"/>
      <c r="C382" s="36"/>
      <c r="D382" s="9"/>
      <c r="E382" s="9" t="s">
        <v>959</v>
      </c>
      <c r="F382" s="30" t="s">
        <v>313</v>
      </c>
      <c r="G382" s="31" t="s">
        <v>316</v>
      </c>
      <c r="H382" s="31" t="s">
        <v>315</v>
      </c>
      <c r="I382" s="31" t="s">
        <v>315</v>
      </c>
      <c r="J382" s="31" t="s">
        <v>315</v>
      </c>
      <c r="K382" s="31" t="s">
        <v>316</v>
      </c>
      <c r="L382" s="32" t="str">
        <f t="shared" si="25"/>
        <v>EXCLUDE</v>
      </c>
      <c r="M382" s="32" t="str">
        <f t="shared" si="26"/>
        <v>Wrong domain (non-AECO)</v>
      </c>
      <c r="N382" s="33"/>
      <c r="O382" s="33"/>
      <c r="P382" s="34"/>
      <c r="Q382" s="34"/>
      <c r="R382" s="34"/>
      <c r="S382" s="32" t="str">
        <f t="shared" si="27"/>
        <v/>
      </c>
      <c r="T382" s="32" t="str">
        <f t="shared" si="28"/>
        <v/>
      </c>
      <c r="U382" s="35"/>
      <c r="V382" s="35"/>
      <c r="W382" s="35"/>
      <c r="X382" s="35"/>
      <c r="Y382" s="32" t="str">
        <f t="shared" si="29"/>
        <v/>
      </c>
      <c r="Z382" s="35"/>
      <c r="AA382" s="35"/>
      <c r="AB382" s="35"/>
      <c r="AC382" s="35"/>
      <c r="AD382" s="35"/>
      <c r="AE382" s="35"/>
      <c r="AF382" s="35"/>
      <c r="AG382" s="15" t="s">
        <v>563</v>
      </c>
      <c r="AH382" s="39"/>
      <c r="AI382" s="39"/>
      <c r="AM382" s="69"/>
    </row>
    <row r="383" spans="1:39" ht="91.2" x14ac:dyDescent="0.3">
      <c r="A383" s="30">
        <v>3874</v>
      </c>
      <c r="B383" s="9" t="s">
        <v>292</v>
      </c>
      <c r="C383" s="36">
        <v>2025</v>
      </c>
      <c r="D383" s="9"/>
      <c r="E383" s="9" t="s">
        <v>960</v>
      </c>
      <c r="F383" s="30" t="s">
        <v>314</v>
      </c>
      <c r="G383" s="31" t="s">
        <v>315</v>
      </c>
      <c r="H383" s="31" t="s">
        <v>315</v>
      </c>
      <c r="I383" s="31" t="s">
        <v>315</v>
      </c>
      <c r="J383" s="31" t="s">
        <v>315</v>
      </c>
      <c r="K383" s="31" t="s">
        <v>315</v>
      </c>
      <c r="L383" s="32" t="str">
        <f t="shared" si="25"/>
        <v>INCLUDE</v>
      </c>
      <c r="M383" s="32" t="str">
        <f t="shared" si="26"/>
        <v/>
      </c>
      <c r="N383" s="33" t="s">
        <v>315</v>
      </c>
      <c r="O383" s="33" t="s">
        <v>315</v>
      </c>
      <c r="P383" s="34" t="s">
        <v>315</v>
      </c>
      <c r="Q383" s="34" t="s">
        <v>315</v>
      </c>
      <c r="R383" s="34" t="s">
        <v>315</v>
      </c>
      <c r="S383" s="32" t="str">
        <f t="shared" si="27"/>
        <v>INCLUDE</v>
      </c>
      <c r="T383" s="32" t="str">
        <f t="shared" si="28"/>
        <v/>
      </c>
      <c r="U383" s="35" t="s">
        <v>61</v>
      </c>
      <c r="V383" s="35">
        <v>0</v>
      </c>
      <c r="W383" s="35">
        <v>0</v>
      </c>
      <c r="X383" s="35">
        <v>1</v>
      </c>
      <c r="Y383" s="32" t="str">
        <f t="shared" si="29"/>
        <v>Single</v>
      </c>
      <c r="Z383" s="35" t="s">
        <v>9</v>
      </c>
      <c r="AA383" s="35" t="s">
        <v>53</v>
      </c>
      <c r="AB383" s="35" t="s">
        <v>91</v>
      </c>
      <c r="AC383" s="35" t="s">
        <v>64</v>
      </c>
      <c r="AD383" s="35" t="s">
        <v>72</v>
      </c>
      <c r="AE383" s="35">
        <v>4</v>
      </c>
      <c r="AF383" s="35" t="s">
        <v>57</v>
      </c>
      <c r="AG383" s="15" t="s">
        <v>1076</v>
      </c>
      <c r="AH383" s="39" t="s">
        <v>1420</v>
      </c>
      <c r="AI383" s="39" t="s">
        <v>1421</v>
      </c>
      <c r="AJ383" t="s">
        <v>1496</v>
      </c>
      <c r="AK383" t="s">
        <v>1635</v>
      </c>
      <c r="AL383" t="s">
        <v>1499</v>
      </c>
      <c r="AM383" s="69"/>
    </row>
    <row r="384" spans="1:39" ht="22.8" x14ac:dyDescent="0.3">
      <c r="A384" s="30">
        <v>3674</v>
      </c>
      <c r="B384" s="9"/>
      <c r="C384" s="36"/>
      <c r="D384" s="9"/>
      <c r="E384" s="9" t="s">
        <v>961</v>
      </c>
      <c r="F384" s="30" t="s">
        <v>313</v>
      </c>
      <c r="G384" s="31" t="s">
        <v>316</v>
      </c>
      <c r="H384" s="31" t="s">
        <v>316</v>
      </c>
      <c r="I384" s="31" t="s">
        <v>315</v>
      </c>
      <c r="J384" s="31" t="s">
        <v>315</v>
      </c>
      <c r="K384" s="31" t="s">
        <v>316</v>
      </c>
      <c r="L384" s="32" t="str">
        <f t="shared" si="25"/>
        <v>EXCLUDE</v>
      </c>
      <c r="M384" s="32" t="str">
        <f t="shared" si="26"/>
        <v>Wrong domain (non-AECO)</v>
      </c>
      <c r="N384" s="33"/>
      <c r="O384" s="33"/>
      <c r="P384" s="34"/>
      <c r="Q384" s="34"/>
      <c r="R384" s="34"/>
      <c r="S384" s="32" t="str">
        <f t="shared" si="27"/>
        <v/>
      </c>
      <c r="T384" s="32" t="str">
        <f t="shared" si="28"/>
        <v/>
      </c>
      <c r="U384" s="35"/>
      <c r="V384" s="35"/>
      <c r="W384" s="35"/>
      <c r="X384" s="35"/>
      <c r="Y384" s="32" t="str">
        <f t="shared" si="29"/>
        <v/>
      </c>
      <c r="Z384" s="35"/>
      <c r="AA384" s="35"/>
      <c r="AB384" s="35"/>
      <c r="AC384" s="35"/>
      <c r="AD384" s="35"/>
      <c r="AE384" s="35"/>
      <c r="AF384" s="35"/>
      <c r="AG384" s="15" t="s">
        <v>564</v>
      </c>
      <c r="AH384" s="39"/>
      <c r="AI384" s="39"/>
      <c r="AM384" s="69"/>
    </row>
    <row r="385" spans="1:39" ht="22.8" x14ac:dyDescent="0.3">
      <c r="A385" s="30">
        <v>3520</v>
      </c>
      <c r="B385" s="9"/>
      <c r="C385" s="36"/>
      <c r="D385" s="9"/>
      <c r="E385" s="9" t="s">
        <v>962</v>
      </c>
      <c r="F385" s="30" t="s">
        <v>313</v>
      </c>
      <c r="G385" s="31" t="s">
        <v>316</v>
      </c>
      <c r="H385" s="31" t="s">
        <v>316</v>
      </c>
      <c r="I385" s="31" t="s">
        <v>316</v>
      </c>
      <c r="J385" s="31" t="s">
        <v>315</v>
      </c>
      <c r="K385" s="31" t="s">
        <v>315</v>
      </c>
      <c r="L385" s="32" t="str">
        <f t="shared" si="25"/>
        <v>EXCLUDE</v>
      </c>
      <c r="M385" s="32" t="str">
        <f t="shared" si="26"/>
        <v>Wrong domain (non-AECO)</v>
      </c>
      <c r="N385" s="33"/>
      <c r="O385" s="33"/>
      <c r="P385" s="34"/>
      <c r="Q385" s="34"/>
      <c r="R385" s="34"/>
      <c r="S385" s="32" t="str">
        <f t="shared" si="27"/>
        <v/>
      </c>
      <c r="T385" s="32" t="str">
        <f t="shared" si="28"/>
        <v/>
      </c>
      <c r="U385" s="35"/>
      <c r="V385" s="35"/>
      <c r="W385" s="35"/>
      <c r="X385" s="35"/>
      <c r="Y385" s="32" t="str">
        <f t="shared" si="29"/>
        <v/>
      </c>
      <c r="Z385" s="35"/>
      <c r="AA385" s="35"/>
      <c r="AB385" s="35"/>
      <c r="AC385" s="35"/>
      <c r="AD385" s="35"/>
      <c r="AE385" s="35"/>
      <c r="AF385" s="35"/>
      <c r="AG385" s="15" t="s">
        <v>565</v>
      </c>
      <c r="AH385" s="39"/>
      <c r="AI385" s="39"/>
      <c r="AM385" s="69"/>
    </row>
    <row r="386" spans="1:39" ht="22.8" x14ac:dyDescent="0.3">
      <c r="A386" s="30">
        <v>3576</v>
      </c>
      <c r="B386" s="9"/>
      <c r="C386" s="36"/>
      <c r="D386" s="9"/>
      <c r="E386" s="9" t="s">
        <v>963</v>
      </c>
      <c r="F386" s="30" t="s">
        <v>313</v>
      </c>
      <c r="G386" s="31" t="s">
        <v>316</v>
      </c>
      <c r="H386" s="31" t="s">
        <v>315</v>
      </c>
      <c r="I386" s="31" t="s">
        <v>315</v>
      </c>
      <c r="J386" s="31" t="s">
        <v>315</v>
      </c>
      <c r="K386" s="31" t="s">
        <v>315</v>
      </c>
      <c r="L386" s="32" t="str">
        <f t="shared" ref="L386:L430" si="30">IF(COUNTBLANK(G386:K386)=5,"",IF(COUNTIF(G386:K386,"No")&gt;0,"EXCLUDE","INCLUDE"))</f>
        <v>EXCLUDE</v>
      </c>
      <c r="M386" s="32" t="str">
        <f t="shared" ref="M386:M430" si="31">IF(L386&lt;&gt;"EXCLUDE","",IF(G386="No","Wrong domain (non-AECO)",IF(H386="No","Digital Twin not core / buzzword",IF(I386="No","No Design for Safety/Quality/PtD",IF(J386="No","Wrong publication type",IF(K386="No","Non-English",""))))))</f>
        <v>Wrong domain (non-AECO)</v>
      </c>
      <c r="N386" s="33"/>
      <c r="O386" s="33"/>
      <c r="P386" s="34"/>
      <c r="Q386" s="34"/>
      <c r="R386" s="34"/>
      <c r="S386" s="32" t="str">
        <f t="shared" ref="S386:S430" si="32">IF(N386&lt;&gt;"Yes","",IF(COUNTBLANK(P386:R386)=3,"",IF(COUNTIF(P386:R386,"No")&gt;0,"EXCLUDE","INCLUDE")))</f>
        <v/>
      </c>
      <c r="T386" s="32" t="str">
        <f t="shared" ref="T386:T430" si="33">IF(S386&lt;&gt;"EXCLUDE","",IF(P386="No","Digital Twin mentioned only, not the subject",IF(Q386="No","No Design for Safety/Quality in full text",IF(R386="No","Methodology not codable",""))))</f>
        <v/>
      </c>
      <c r="U386" s="35"/>
      <c r="V386" s="35"/>
      <c r="W386" s="35"/>
      <c r="X386" s="35"/>
      <c r="Y386" s="32" t="str">
        <f t="shared" ref="Y386:Y430" si="34">IF(SUM(V386:X386)=0,"",IF(SUM(V386:X386)&gt;=2,"Multi","Single"))</f>
        <v/>
      </c>
      <c r="Z386" s="35"/>
      <c r="AA386" s="35"/>
      <c r="AB386" s="35"/>
      <c r="AC386" s="35"/>
      <c r="AD386" s="35"/>
      <c r="AE386" s="35"/>
      <c r="AF386" s="35"/>
      <c r="AG386" s="15" t="s">
        <v>566</v>
      </c>
      <c r="AH386" s="39"/>
      <c r="AI386" s="39"/>
      <c r="AM386" s="69"/>
    </row>
    <row r="387" spans="1:39" ht="91.2" x14ac:dyDescent="0.3">
      <c r="A387" s="30">
        <v>3696</v>
      </c>
      <c r="B387" s="9" t="s">
        <v>293</v>
      </c>
      <c r="C387" s="36">
        <v>2023</v>
      </c>
      <c r="D387" s="9"/>
      <c r="E387" s="9" t="s">
        <v>964</v>
      </c>
      <c r="F387" s="30" t="s">
        <v>313</v>
      </c>
      <c r="G387" s="31" t="s">
        <v>315</v>
      </c>
      <c r="H387" s="31" t="s">
        <v>315</v>
      </c>
      <c r="I387" s="31" t="s">
        <v>315</v>
      </c>
      <c r="J387" s="31" t="s">
        <v>315</v>
      </c>
      <c r="K387" s="31" t="s">
        <v>315</v>
      </c>
      <c r="L387" s="32" t="str">
        <f t="shared" si="30"/>
        <v>INCLUDE</v>
      </c>
      <c r="M387" s="32" t="str">
        <f t="shared" si="31"/>
        <v/>
      </c>
      <c r="N387" s="33" t="s">
        <v>315</v>
      </c>
      <c r="O387" s="33" t="s">
        <v>315</v>
      </c>
      <c r="P387" s="34" t="s">
        <v>315</v>
      </c>
      <c r="Q387" s="34" t="s">
        <v>315</v>
      </c>
      <c r="R387" s="34" t="s">
        <v>315</v>
      </c>
      <c r="S387" s="32" t="str">
        <f t="shared" si="32"/>
        <v>INCLUDE</v>
      </c>
      <c r="T387" s="32" t="str">
        <f t="shared" si="33"/>
        <v/>
      </c>
      <c r="U387" s="35" t="s">
        <v>61</v>
      </c>
      <c r="V387" s="35">
        <v>0</v>
      </c>
      <c r="W387" s="35">
        <v>1</v>
      </c>
      <c r="X387" s="35">
        <v>0</v>
      </c>
      <c r="Y387" s="32" t="str">
        <f t="shared" si="34"/>
        <v>Single</v>
      </c>
      <c r="Z387" s="35" t="s">
        <v>9</v>
      </c>
      <c r="AA387" s="35" t="s">
        <v>53</v>
      </c>
      <c r="AB387" s="35" t="s">
        <v>91</v>
      </c>
      <c r="AC387" s="35" t="s">
        <v>64</v>
      </c>
      <c r="AD387" s="35" t="s">
        <v>72</v>
      </c>
      <c r="AE387" s="35">
        <v>4</v>
      </c>
      <c r="AF387" s="35" t="s">
        <v>80</v>
      </c>
      <c r="AG387" s="15" t="s">
        <v>1077</v>
      </c>
      <c r="AH387" s="39" t="s">
        <v>1422</v>
      </c>
      <c r="AI387" s="39" t="s">
        <v>1423</v>
      </c>
      <c r="AJ387" t="s">
        <v>1496</v>
      </c>
      <c r="AK387" t="s">
        <v>1636</v>
      </c>
      <c r="AL387" t="s">
        <v>1499</v>
      </c>
      <c r="AM387" s="69"/>
    </row>
    <row r="388" spans="1:39" ht="22.8" x14ac:dyDescent="0.3">
      <c r="A388" s="30">
        <v>3855</v>
      </c>
      <c r="B388" s="9"/>
      <c r="C388" s="36"/>
      <c r="D388" s="9"/>
      <c r="E388" s="9" t="s">
        <v>965</v>
      </c>
      <c r="F388" s="30" t="s">
        <v>313</v>
      </c>
      <c r="G388" s="31" t="s">
        <v>316</v>
      </c>
      <c r="H388" s="31" t="s">
        <v>316</v>
      </c>
      <c r="I388" s="31" t="s">
        <v>316</v>
      </c>
      <c r="J388" s="31" t="s">
        <v>315</v>
      </c>
      <c r="K388" s="31" t="s">
        <v>315</v>
      </c>
      <c r="L388" s="32" t="str">
        <f t="shared" si="30"/>
        <v>EXCLUDE</v>
      </c>
      <c r="M388" s="32" t="str">
        <f t="shared" si="31"/>
        <v>Wrong domain (non-AECO)</v>
      </c>
      <c r="N388" s="33"/>
      <c r="O388" s="33"/>
      <c r="P388" s="34"/>
      <c r="Q388" s="34"/>
      <c r="R388" s="34"/>
      <c r="S388" s="32" t="str">
        <f t="shared" si="32"/>
        <v/>
      </c>
      <c r="T388" s="32" t="str">
        <f t="shared" si="33"/>
        <v/>
      </c>
      <c r="U388" s="35"/>
      <c r="V388" s="35"/>
      <c r="W388" s="35"/>
      <c r="X388" s="35"/>
      <c r="Y388" s="32" t="str">
        <f t="shared" si="34"/>
        <v/>
      </c>
      <c r="Z388" s="35"/>
      <c r="AA388" s="35"/>
      <c r="AB388" s="35"/>
      <c r="AC388" s="35"/>
      <c r="AD388" s="35"/>
      <c r="AE388" s="35"/>
      <c r="AF388" s="35"/>
      <c r="AG388" s="15" t="s">
        <v>567</v>
      </c>
      <c r="AH388" s="39"/>
      <c r="AI388" s="39"/>
      <c r="AM388" s="69"/>
    </row>
    <row r="389" spans="1:39" ht="136.80000000000001" x14ac:dyDescent="0.3">
      <c r="A389" s="30">
        <v>3667</v>
      </c>
      <c r="B389" s="9" t="s">
        <v>294</v>
      </c>
      <c r="C389" s="36">
        <v>2026</v>
      </c>
      <c r="D389" s="9"/>
      <c r="E389" s="9" t="s">
        <v>966</v>
      </c>
      <c r="F389" s="30" t="s">
        <v>313</v>
      </c>
      <c r="G389" s="31" t="s">
        <v>315</v>
      </c>
      <c r="H389" s="31" t="s">
        <v>315</v>
      </c>
      <c r="I389" s="31" t="s">
        <v>315</v>
      </c>
      <c r="J389" s="31" t="s">
        <v>315</v>
      </c>
      <c r="K389" s="31" t="s">
        <v>315</v>
      </c>
      <c r="L389" s="32" t="str">
        <f t="shared" si="30"/>
        <v>INCLUDE</v>
      </c>
      <c r="M389" s="32" t="str">
        <f t="shared" si="31"/>
        <v/>
      </c>
      <c r="N389" s="33" t="s">
        <v>315</v>
      </c>
      <c r="O389" s="33" t="s">
        <v>315</v>
      </c>
      <c r="P389" s="34" t="s">
        <v>315</v>
      </c>
      <c r="Q389" s="34" t="s">
        <v>315</v>
      </c>
      <c r="R389" s="34" t="s">
        <v>315</v>
      </c>
      <c r="S389" s="32" t="str">
        <f t="shared" si="32"/>
        <v>INCLUDE</v>
      </c>
      <c r="T389" s="32" t="str">
        <f t="shared" si="33"/>
        <v/>
      </c>
      <c r="U389" s="35" t="s">
        <v>61</v>
      </c>
      <c r="V389" s="35">
        <v>0</v>
      </c>
      <c r="W389" s="35">
        <v>0</v>
      </c>
      <c r="X389" s="35">
        <v>1</v>
      </c>
      <c r="Y389" s="32" t="str">
        <f t="shared" si="34"/>
        <v>Single</v>
      </c>
      <c r="Z389" s="35" t="s">
        <v>9</v>
      </c>
      <c r="AA389" s="35" t="s">
        <v>70</v>
      </c>
      <c r="AB389" s="35" t="s">
        <v>92</v>
      </c>
      <c r="AC389" s="35" t="s">
        <v>55</v>
      </c>
      <c r="AD389" s="35" t="s">
        <v>65</v>
      </c>
      <c r="AE389" s="35">
        <v>4</v>
      </c>
      <c r="AF389" s="35" t="s">
        <v>84</v>
      </c>
      <c r="AG389" s="15" t="s">
        <v>1078</v>
      </c>
      <c r="AH389" s="39" t="s">
        <v>1424</v>
      </c>
      <c r="AI389" s="39" t="s">
        <v>1425</v>
      </c>
      <c r="AJ389" t="s">
        <v>1494</v>
      </c>
      <c r="AK389" t="s">
        <v>1637</v>
      </c>
      <c r="AL389" t="s">
        <v>1499</v>
      </c>
      <c r="AM389" s="69"/>
    </row>
    <row r="390" spans="1:39" ht="102.6" x14ac:dyDescent="0.3">
      <c r="A390" s="30">
        <v>3518</v>
      </c>
      <c r="B390" s="9" t="s">
        <v>295</v>
      </c>
      <c r="C390" s="36">
        <v>2023</v>
      </c>
      <c r="D390" s="9"/>
      <c r="E390" s="9" t="s">
        <v>967</v>
      </c>
      <c r="F390" s="30" t="s">
        <v>313</v>
      </c>
      <c r="G390" s="31" t="s">
        <v>315</v>
      </c>
      <c r="H390" s="31" t="s">
        <v>315</v>
      </c>
      <c r="I390" s="31" t="s">
        <v>315</v>
      </c>
      <c r="J390" s="31" t="s">
        <v>315</v>
      </c>
      <c r="K390" s="31" t="s">
        <v>315</v>
      </c>
      <c r="L390" s="32" t="str">
        <f t="shared" si="30"/>
        <v>INCLUDE</v>
      </c>
      <c r="M390" s="32" t="str">
        <f t="shared" si="31"/>
        <v/>
      </c>
      <c r="N390" s="33" t="s">
        <v>49</v>
      </c>
      <c r="O390" s="33" t="s">
        <v>49</v>
      </c>
      <c r="P390" s="34" t="s">
        <v>49</v>
      </c>
      <c r="Q390" s="34" t="s">
        <v>49</v>
      </c>
      <c r="R390" s="34" t="s">
        <v>49</v>
      </c>
      <c r="S390" s="32" t="str">
        <f t="shared" si="32"/>
        <v>INCLUDE</v>
      </c>
      <c r="T390" s="32" t="str">
        <f t="shared" si="33"/>
        <v/>
      </c>
      <c r="U390" s="35" t="s">
        <v>61</v>
      </c>
      <c r="V390" s="35">
        <v>0</v>
      </c>
      <c r="W390" s="35">
        <v>1</v>
      </c>
      <c r="X390" s="35">
        <v>0</v>
      </c>
      <c r="Y390" s="32" t="str">
        <f t="shared" si="34"/>
        <v>Single</v>
      </c>
      <c r="Z390" s="35" t="s">
        <v>9</v>
      </c>
      <c r="AA390" s="35" t="s">
        <v>53</v>
      </c>
      <c r="AB390" s="35" t="s">
        <v>54</v>
      </c>
      <c r="AC390" s="35" t="s">
        <v>64</v>
      </c>
      <c r="AD390" s="35" t="s">
        <v>72</v>
      </c>
      <c r="AE390" s="35">
        <v>4</v>
      </c>
      <c r="AF390" s="35" t="s">
        <v>73</v>
      </c>
      <c r="AG390" s="15" t="s">
        <v>1153</v>
      </c>
      <c r="AH390" s="39" t="s">
        <v>1426</v>
      </c>
      <c r="AI390" s="39" t="s">
        <v>1427</v>
      </c>
      <c r="AJ390" t="s">
        <v>1496</v>
      </c>
      <c r="AK390" t="s">
        <v>1638</v>
      </c>
      <c r="AL390" t="s">
        <v>1499</v>
      </c>
      <c r="AM390" s="69"/>
    </row>
    <row r="391" spans="1:39" ht="22.8" x14ac:dyDescent="0.3">
      <c r="A391" s="30">
        <v>3993</v>
      </c>
      <c r="B391" s="9" t="s">
        <v>296</v>
      </c>
      <c r="C391" s="36">
        <v>2024</v>
      </c>
      <c r="D391" s="9"/>
      <c r="E391" s="9" t="s">
        <v>968</v>
      </c>
      <c r="F391" s="30" t="s">
        <v>314</v>
      </c>
      <c r="G391" s="31" t="s">
        <v>315</v>
      </c>
      <c r="H391" s="31" t="s">
        <v>315</v>
      </c>
      <c r="I391" s="31" t="s">
        <v>315</v>
      </c>
      <c r="J391" s="31" t="s">
        <v>315</v>
      </c>
      <c r="K391" s="31" t="s">
        <v>315</v>
      </c>
      <c r="L391" s="32" t="str">
        <f t="shared" si="30"/>
        <v>INCLUDE</v>
      </c>
      <c r="M391" s="32" t="str">
        <f t="shared" si="31"/>
        <v/>
      </c>
      <c r="N391" s="33" t="s">
        <v>58</v>
      </c>
      <c r="O391" s="33" t="s">
        <v>58</v>
      </c>
      <c r="P391" s="34"/>
      <c r="Q391" s="34"/>
      <c r="R391" s="34"/>
      <c r="S391" s="32" t="str">
        <f t="shared" si="32"/>
        <v/>
      </c>
      <c r="T391" s="32" t="str">
        <f t="shared" si="33"/>
        <v/>
      </c>
      <c r="U391" s="35"/>
      <c r="V391" s="35"/>
      <c r="W391" s="35"/>
      <c r="X391" s="35"/>
      <c r="Y391" s="32" t="str">
        <f t="shared" si="34"/>
        <v/>
      </c>
      <c r="Z391" s="35"/>
      <c r="AA391" s="35"/>
      <c r="AB391" s="35"/>
      <c r="AC391" s="35"/>
      <c r="AD391" s="35"/>
      <c r="AE391" s="35"/>
      <c r="AF391" s="35"/>
      <c r="AG391" s="15" t="s">
        <v>568</v>
      </c>
      <c r="AH391" s="39"/>
      <c r="AI391" s="39"/>
      <c r="AM391" s="69"/>
    </row>
    <row r="392" spans="1:39" ht="22.8" x14ac:dyDescent="0.3">
      <c r="A392" s="30">
        <v>3757</v>
      </c>
      <c r="B392" s="9"/>
      <c r="C392" s="36"/>
      <c r="D392" s="9"/>
      <c r="E392" s="9" t="s">
        <v>969</v>
      </c>
      <c r="F392" s="30" t="s">
        <v>313</v>
      </c>
      <c r="G392" s="31" t="s">
        <v>316</v>
      </c>
      <c r="H392" s="31" t="s">
        <v>316</v>
      </c>
      <c r="I392" s="31" t="s">
        <v>316</v>
      </c>
      <c r="J392" s="31" t="s">
        <v>315</v>
      </c>
      <c r="K392" s="31" t="s">
        <v>316</v>
      </c>
      <c r="L392" s="32" t="str">
        <f t="shared" si="30"/>
        <v>EXCLUDE</v>
      </c>
      <c r="M392" s="32" t="str">
        <f t="shared" si="31"/>
        <v>Wrong domain (non-AECO)</v>
      </c>
      <c r="N392" s="33"/>
      <c r="O392" s="33"/>
      <c r="P392" s="34"/>
      <c r="Q392" s="34"/>
      <c r="R392" s="34"/>
      <c r="S392" s="32" t="str">
        <f t="shared" si="32"/>
        <v/>
      </c>
      <c r="T392" s="32" t="str">
        <f t="shared" si="33"/>
        <v/>
      </c>
      <c r="U392" s="35"/>
      <c r="V392" s="35"/>
      <c r="W392" s="35"/>
      <c r="X392" s="35"/>
      <c r="Y392" s="32" t="str">
        <f t="shared" si="34"/>
        <v/>
      </c>
      <c r="Z392" s="35"/>
      <c r="AA392" s="35"/>
      <c r="AB392" s="35"/>
      <c r="AC392" s="35"/>
      <c r="AD392" s="35"/>
      <c r="AE392" s="35"/>
      <c r="AF392" s="35"/>
      <c r="AG392" s="15" t="s">
        <v>569</v>
      </c>
      <c r="AH392" s="39"/>
      <c r="AI392" s="39"/>
      <c r="AM392" s="69"/>
    </row>
    <row r="393" spans="1:39" ht="22.8" x14ac:dyDescent="0.3">
      <c r="A393" s="30">
        <v>3628</v>
      </c>
      <c r="B393" s="9"/>
      <c r="C393" s="36"/>
      <c r="D393" s="9"/>
      <c r="E393" s="9" t="s">
        <v>970</v>
      </c>
      <c r="F393" s="30" t="s">
        <v>313</v>
      </c>
      <c r="G393" s="31" t="s">
        <v>316</v>
      </c>
      <c r="H393" s="31" t="s">
        <v>315</v>
      </c>
      <c r="I393" s="31" t="s">
        <v>315</v>
      </c>
      <c r="J393" s="31" t="s">
        <v>315</v>
      </c>
      <c r="K393" s="31" t="s">
        <v>316</v>
      </c>
      <c r="L393" s="32" t="str">
        <f t="shared" si="30"/>
        <v>EXCLUDE</v>
      </c>
      <c r="M393" s="32" t="str">
        <f t="shared" si="31"/>
        <v>Wrong domain (non-AECO)</v>
      </c>
      <c r="N393" s="33"/>
      <c r="O393" s="33"/>
      <c r="P393" s="34"/>
      <c r="Q393" s="34"/>
      <c r="R393" s="34"/>
      <c r="S393" s="32" t="str">
        <f t="shared" si="32"/>
        <v/>
      </c>
      <c r="T393" s="32" t="str">
        <f t="shared" si="33"/>
        <v/>
      </c>
      <c r="U393" s="35"/>
      <c r="V393" s="35"/>
      <c r="W393" s="35"/>
      <c r="X393" s="35"/>
      <c r="Y393" s="32" t="str">
        <f t="shared" si="34"/>
        <v/>
      </c>
      <c r="Z393" s="35"/>
      <c r="AA393" s="35"/>
      <c r="AB393" s="35"/>
      <c r="AC393" s="35"/>
      <c r="AD393" s="35"/>
      <c r="AE393" s="35"/>
      <c r="AF393" s="35"/>
      <c r="AG393" s="15" t="s">
        <v>570</v>
      </c>
      <c r="AH393" s="39"/>
      <c r="AI393" s="39"/>
      <c r="AM393" s="69"/>
    </row>
    <row r="394" spans="1:39" ht="68.400000000000006" x14ac:dyDescent="0.3">
      <c r="A394" s="30">
        <v>3539</v>
      </c>
      <c r="B394" s="9" t="s">
        <v>297</v>
      </c>
      <c r="C394" s="36">
        <v>2025</v>
      </c>
      <c r="D394" s="9"/>
      <c r="E394" s="9" t="s">
        <v>971</v>
      </c>
      <c r="F394" s="30" t="s">
        <v>313</v>
      </c>
      <c r="G394" s="31" t="s">
        <v>315</v>
      </c>
      <c r="H394" s="31" t="s">
        <v>315</v>
      </c>
      <c r="I394" s="31" t="s">
        <v>315</v>
      </c>
      <c r="J394" s="31" t="s">
        <v>315</v>
      </c>
      <c r="K394" s="31" t="s">
        <v>315</v>
      </c>
      <c r="L394" s="32" t="str">
        <f t="shared" si="30"/>
        <v>INCLUDE</v>
      </c>
      <c r="M394" s="32" t="str">
        <f t="shared" si="31"/>
        <v/>
      </c>
      <c r="N394" s="33" t="s">
        <v>315</v>
      </c>
      <c r="O394" s="33" t="s">
        <v>315</v>
      </c>
      <c r="P394" s="34" t="s">
        <v>316</v>
      </c>
      <c r="Q394" s="34" t="s">
        <v>316</v>
      </c>
      <c r="R394" s="34" t="s">
        <v>316</v>
      </c>
      <c r="S394" s="32" t="str">
        <f t="shared" si="32"/>
        <v>EXCLUDE</v>
      </c>
      <c r="T394" s="32" t="str">
        <f t="shared" si="33"/>
        <v>Digital Twin mentioned only, not the subject</v>
      </c>
      <c r="U394" s="35" t="s">
        <v>82</v>
      </c>
      <c r="V394" s="35"/>
      <c r="W394" s="35"/>
      <c r="X394" s="35"/>
      <c r="Y394" s="32" t="str">
        <f t="shared" si="34"/>
        <v/>
      </c>
      <c r="Z394" s="35"/>
      <c r="AA394" s="35"/>
      <c r="AB394" s="35"/>
      <c r="AC394" s="35"/>
      <c r="AD394" s="35"/>
      <c r="AE394" s="35"/>
      <c r="AF394" s="35"/>
      <c r="AG394" s="15" t="s">
        <v>1079</v>
      </c>
      <c r="AH394" s="39"/>
      <c r="AI394" s="39"/>
      <c r="AM394" s="69"/>
    </row>
    <row r="395" spans="1:39" ht="22.8" x14ac:dyDescent="0.3">
      <c r="A395" s="30">
        <v>3706</v>
      </c>
      <c r="B395" s="9"/>
      <c r="C395" s="36"/>
      <c r="D395" s="9"/>
      <c r="E395" s="9" t="s">
        <v>972</v>
      </c>
      <c r="F395" s="30" t="s">
        <v>313</v>
      </c>
      <c r="G395" s="31" t="s">
        <v>315</v>
      </c>
      <c r="H395" s="31" t="s">
        <v>315</v>
      </c>
      <c r="I395" s="31" t="s">
        <v>315</v>
      </c>
      <c r="J395" s="31" t="s">
        <v>315</v>
      </c>
      <c r="K395" s="31" t="s">
        <v>316</v>
      </c>
      <c r="L395" s="32" t="str">
        <f t="shared" si="30"/>
        <v>EXCLUDE</v>
      </c>
      <c r="M395" s="32" t="str">
        <f t="shared" si="31"/>
        <v>Non-English</v>
      </c>
      <c r="N395" s="33"/>
      <c r="O395" s="33"/>
      <c r="P395" s="34"/>
      <c r="Q395" s="34"/>
      <c r="R395" s="34"/>
      <c r="S395" s="32" t="str">
        <f t="shared" si="32"/>
        <v/>
      </c>
      <c r="T395" s="32" t="str">
        <f t="shared" si="33"/>
        <v/>
      </c>
      <c r="U395" s="35"/>
      <c r="V395" s="35"/>
      <c r="W395" s="35"/>
      <c r="X395" s="35"/>
      <c r="Y395" s="32" t="str">
        <f t="shared" si="34"/>
        <v/>
      </c>
      <c r="Z395" s="35"/>
      <c r="AA395" s="35"/>
      <c r="AB395" s="35"/>
      <c r="AC395" s="35"/>
      <c r="AD395" s="35"/>
      <c r="AE395" s="35"/>
      <c r="AF395" s="35"/>
      <c r="AG395" s="15" t="s">
        <v>529</v>
      </c>
      <c r="AH395" s="39"/>
      <c r="AI395" s="39"/>
      <c r="AM395" s="69"/>
    </row>
    <row r="396" spans="1:39" ht="22.8" x14ac:dyDescent="0.3">
      <c r="A396" s="30">
        <v>3495</v>
      </c>
      <c r="B396" s="9"/>
      <c r="C396" s="36"/>
      <c r="D396" s="9"/>
      <c r="E396" s="9" t="s">
        <v>973</v>
      </c>
      <c r="F396" s="30" t="s">
        <v>313</v>
      </c>
      <c r="G396" s="31" t="s">
        <v>315</v>
      </c>
      <c r="H396" s="31" t="s">
        <v>315</v>
      </c>
      <c r="I396" s="31" t="s">
        <v>315</v>
      </c>
      <c r="J396" s="31" t="s">
        <v>315</v>
      </c>
      <c r="K396" s="31" t="s">
        <v>316</v>
      </c>
      <c r="L396" s="32" t="str">
        <f t="shared" si="30"/>
        <v>EXCLUDE</v>
      </c>
      <c r="M396" s="32" t="str">
        <f t="shared" si="31"/>
        <v>Non-English</v>
      </c>
      <c r="N396" s="33"/>
      <c r="O396" s="33"/>
      <c r="P396" s="34"/>
      <c r="Q396" s="34"/>
      <c r="R396" s="34"/>
      <c r="S396" s="32" t="str">
        <f t="shared" si="32"/>
        <v/>
      </c>
      <c r="T396" s="32" t="str">
        <f t="shared" si="33"/>
        <v/>
      </c>
      <c r="U396" s="35"/>
      <c r="V396" s="35"/>
      <c r="W396" s="35"/>
      <c r="X396" s="35"/>
      <c r="Y396" s="32" t="str">
        <f t="shared" si="34"/>
        <v/>
      </c>
      <c r="Z396" s="35"/>
      <c r="AA396" s="35"/>
      <c r="AB396" s="35"/>
      <c r="AC396" s="35"/>
      <c r="AD396" s="35"/>
      <c r="AE396" s="35"/>
      <c r="AF396" s="35"/>
      <c r="AG396" s="15" t="s">
        <v>457</v>
      </c>
      <c r="AH396" s="39"/>
      <c r="AI396" s="39"/>
      <c r="AM396" s="69"/>
    </row>
    <row r="397" spans="1:39" ht="91.2" x14ac:dyDescent="0.3">
      <c r="A397" s="30">
        <v>3934</v>
      </c>
      <c r="B397" s="9" t="s">
        <v>298</v>
      </c>
      <c r="C397" s="36">
        <v>2024</v>
      </c>
      <c r="D397" s="9"/>
      <c r="E397" s="9" t="s">
        <v>974</v>
      </c>
      <c r="F397" s="30" t="s">
        <v>314</v>
      </c>
      <c r="G397" s="31" t="s">
        <v>315</v>
      </c>
      <c r="H397" s="31" t="s">
        <v>315</v>
      </c>
      <c r="I397" s="31" t="s">
        <v>315</v>
      </c>
      <c r="J397" s="31" t="s">
        <v>315</v>
      </c>
      <c r="K397" s="31" t="s">
        <v>315</v>
      </c>
      <c r="L397" s="32" t="str">
        <f t="shared" si="30"/>
        <v>INCLUDE</v>
      </c>
      <c r="M397" s="32" t="str">
        <f t="shared" si="31"/>
        <v/>
      </c>
      <c r="N397" s="33" t="s">
        <v>315</v>
      </c>
      <c r="O397" s="33" t="s">
        <v>315</v>
      </c>
      <c r="P397" s="34" t="s">
        <v>315</v>
      </c>
      <c r="Q397" s="34" t="s">
        <v>315</v>
      </c>
      <c r="R397" s="34" t="s">
        <v>315</v>
      </c>
      <c r="S397" s="32" t="str">
        <f t="shared" si="32"/>
        <v>INCLUDE</v>
      </c>
      <c r="T397" s="32" t="str">
        <f t="shared" si="33"/>
        <v/>
      </c>
      <c r="U397" s="35" t="s">
        <v>52</v>
      </c>
      <c r="V397" s="35">
        <v>0</v>
      </c>
      <c r="W397" s="35">
        <v>1</v>
      </c>
      <c r="X397" s="35">
        <v>0</v>
      </c>
      <c r="Y397" s="32" t="str">
        <f t="shared" si="34"/>
        <v>Single</v>
      </c>
      <c r="Z397" s="35" t="s">
        <v>9</v>
      </c>
      <c r="AA397" s="35" t="s">
        <v>53</v>
      </c>
      <c r="AB397" s="35" t="s">
        <v>73</v>
      </c>
      <c r="AC397" s="35" t="s">
        <v>55</v>
      </c>
      <c r="AD397" s="35" t="s">
        <v>72</v>
      </c>
      <c r="AE397" s="35">
        <v>4</v>
      </c>
      <c r="AF397" s="35" t="s">
        <v>73</v>
      </c>
      <c r="AG397" s="15" t="s">
        <v>1080</v>
      </c>
      <c r="AH397" s="39" t="s">
        <v>1428</v>
      </c>
      <c r="AI397" s="39" t="s">
        <v>1429</v>
      </c>
      <c r="AJ397" t="s">
        <v>1494</v>
      </c>
      <c r="AK397" t="s">
        <v>1639</v>
      </c>
      <c r="AL397" t="s">
        <v>1499</v>
      </c>
      <c r="AM397" s="69"/>
    </row>
    <row r="398" spans="1:39" ht="22.8" x14ac:dyDescent="0.3">
      <c r="A398" s="30">
        <v>3845</v>
      </c>
      <c r="B398" s="9"/>
      <c r="C398" s="36"/>
      <c r="D398" s="9"/>
      <c r="E398" s="9" t="s">
        <v>975</v>
      </c>
      <c r="F398" s="30" t="s">
        <v>313</v>
      </c>
      <c r="G398" s="31" t="s">
        <v>315</v>
      </c>
      <c r="H398" s="31" t="s">
        <v>316</v>
      </c>
      <c r="I398" s="31" t="s">
        <v>315</v>
      </c>
      <c r="J398" s="31" t="s">
        <v>315</v>
      </c>
      <c r="K398" s="31" t="s">
        <v>315</v>
      </c>
      <c r="L398" s="32" t="str">
        <f t="shared" si="30"/>
        <v>EXCLUDE</v>
      </c>
      <c r="M398" s="32" t="str">
        <f t="shared" si="31"/>
        <v>Digital Twin not core / buzzword</v>
      </c>
      <c r="N398" s="33"/>
      <c r="O398" s="33"/>
      <c r="P398" s="34"/>
      <c r="Q398" s="34"/>
      <c r="R398" s="34"/>
      <c r="S398" s="32" t="str">
        <f t="shared" si="32"/>
        <v/>
      </c>
      <c r="T398" s="32" t="str">
        <f t="shared" si="33"/>
        <v/>
      </c>
      <c r="U398" s="35"/>
      <c r="V398" s="35"/>
      <c r="W398" s="35"/>
      <c r="X398" s="35"/>
      <c r="Y398" s="32" t="str">
        <f t="shared" si="34"/>
        <v/>
      </c>
      <c r="Z398" s="35"/>
      <c r="AA398" s="35"/>
      <c r="AB398" s="35"/>
      <c r="AC398" s="35"/>
      <c r="AD398" s="35"/>
      <c r="AE398" s="35"/>
      <c r="AF398" s="35"/>
      <c r="AG398" s="15" t="s">
        <v>571</v>
      </c>
      <c r="AH398" s="39"/>
      <c r="AI398" s="39"/>
      <c r="AM398" s="69"/>
    </row>
    <row r="399" spans="1:39" ht="125.4" x14ac:dyDescent="0.3">
      <c r="A399" s="30">
        <v>4035</v>
      </c>
      <c r="B399" s="9" t="s">
        <v>299</v>
      </c>
      <c r="C399" s="36">
        <v>2025</v>
      </c>
      <c r="D399" s="9"/>
      <c r="E399" s="9" t="s">
        <v>976</v>
      </c>
      <c r="F399" s="30" t="s">
        <v>314</v>
      </c>
      <c r="G399" s="31" t="s">
        <v>315</v>
      </c>
      <c r="H399" s="31" t="s">
        <v>315</v>
      </c>
      <c r="I399" s="31" t="s">
        <v>315</v>
      </c>
      <c r="J399" s="31" t="s">
        <v>315</v>
      </c>
      <c r="K399" s="31" t="s">
        <v>315</v>
      </c>
      <c r="L399" s="32" t="str">
        <f t="shared" si="30"/>
        <v>INCLUDE</v>
      </c>
      <c r="M399" s="32" t="str">
        <f t="shared" si="31"/>
        <v/>
      </c>
      <c r="N399" s="33" t="s">
        <v>49</v>
      </c>
      <c r="O399" s="33" t="s">
        <v>49</v>
      </c>
      <c r="P399" s="34" t="s">
        <v>49</v>
      </c>
      <c r="Q399" s="34" t="s">
        <v>49</v>
      </c>
      <c r="R399" s="34" t="s">
        <v>49</v>
      </c>
      <c r="S399" s="32" t="str">
        <f t="shared" si="32"/>
        <v>INCLUDE</v>
      </c>
      <c r="T399" s="32" t="str">
        <f t="shared" si="33"/>
        <v/>
      </c>
      <c r="U399" s="35" t="s">
        <v>61</v>
      </c>
      <c r="V399" s="35">
        <v>0</v>
      </c>
      <c r="W399" s="35">
        <v>1</v>
      </c>
      <c r="X399" s="35">
        <v>0</v>
      </c>
      <c r="Y399" s="32" t="str">
        <f t="shared" si="34"/>
        <v>Single</v>
      </c>
      <c r="Z399" s="35" t="s">
        <v>9</v>
      </c>
      <c r="AA399" s="35" t="s">
        <v>53</v>
      </c>
      <c r="AB399" s="35" t="s">
        <v>91</v>
      </c>
      <c r="AC399" s="35" t="s">
        <v>64</v>
      </c>
      <c r="AD399" s="35" t="s">
        <v>65</v>
      </c>
      <c r="AE399" s="35">
        <v>4</v>
      </c>
      <c r="AF399" s="35" t="s">
        <v>80</v>
      </c>
      <c r="AG399" s="15" t="s">
        <v>1154</v>
      </c>
      <c r="AH399" s="39" t="s">
        <v>1430</v>
      </c>
      <c r="AI399" s="39" t="s">
        <v>1431</v>
      </c>
      <c r="AJ399" t="s">
        <v>1496</v>
      </c>
      <c r="AK399" t="s">
        <v>1640</v>
      </c>
      <c r="AL399" t="s">
        <v>1499</v>
      </c>
      <c r="AM399" s="69"/>
    </row>
    <row r="400" spans="1:39" ht="22.8" x14ac:dyDescent="0.3">
      <c r="A400" s="30">
        <v>4038</v>
      </c>
      <c r="B400" s="9"/>
      <c r="C400" s="36"/>
      <c r="D400" s="9"/>
      <c r="E400" s="9" t="s">
        <v>977</v>
      </c>
      <c r="F400" s="30" t="s">
        <v>314</v>
      </c>
      <c r="G400" s="31" t="s">
        <v>316</v>
      </c>
      <c r="H400" s="31" t="s">
        <v>315</v>
      </c>
      <c r="I400" s="31" t="s">
        <v>315</v>
      </c>
      <c r="J400" s="31" t="s">
        <v>315</v>
      </c>
      <c r="K400" s="31" t="s">
        <v>315</v>
      </c>
      <c r="L400" s="32" t="str">
        <f t="shared" si="30"/>
        <v>EXCLUDE</v>
      </c>
      <c r="M400" s="32" t="str">
        <f t="shared" si="31"/>
        <v>Wrong domain (non-AECO)</v>
      </c>
      <c r="N400" s="33"/>
      <c r="O400" s="33"/>
      <c r="P400" s="34"/>
      <c r="Q400" s="34"/>
      <c r="R400" s="34"/>
      <c r="S400" s="32" t="str">
        <f t="shared" si="32"/>
        <v/>
      </c>
      <c r="T400" s="32" t="str">
        <f t="shared" si="33"/>
        <v/>
      </c>
      <c r="U400" s="35"/>
      <c r="V400" s="35"/>
      <c r="W400" s="35"/>
      <c r="X400" s="35"/>
      <c r="Y400" s="32" t="str">
        <f t="shared" si="34"/>
        <v/>
      </c>
      <c r="Z400" s="35"/>
      <c r="AA400" s="35"/>
      <c r="AB400" s="35"/>
      <c r="AC400" s="35"/>
      <c r="AD400" s="35"/>
      <c r="AE400" s="35"/>
      <c r="AF400" s="35"/>
      <c r="AG400" s="15" t="s">
        <v>572</v>
      </c>
      <c r="AH400" s="39"/>
      <c r="AI400" s="39"/>
      <c r="AM400" s="69"/>
    </row>
    <row r="401" spans="1:39" ht="22.8" x14ac:dyDescent="0.3">
      <c r="A401" s="30">
        <v>3800</v>
      </c>
      <c r="B401" s="9"/>
      <c r="C401" s="36"/>
      <c r="D401" s="9"/>
      <c r="E401" s="9" t="s">
        <v>978</v>
      </c>
      <c r="F401" s="30" t="s">
        <v>313</v>
      </c>
      <c r="G401" s="31" t="s">
        <v>315</v>
      </c>
      <c r="H401" s="31" t="s">
        <v>315</v>
      </c>
      <c r="I401" s="31" t="s">
        <v>315</v>
      </c>
      <c r="J401" s="31" t="s">
        <v>315</v>
      </c>
      <c r="K401" s="31" t="s">
        <v>316</v>
      </c>
      <c r="L401" s="32" t="str">
        <f t="shared" si="30"/>
        <v>EXCLUDE</v>
      </c>
      <c r="M401" s="32" t="str">
        <f t="shared" si="31"/>
        <v>Non-English</v>
      </c>
      <c r="N401" s="33"/>
      <c r="O401" s="33"/>
      <c r="P401" s="34"/>
      <c r="Q401" s="34"/>
      <c r="R401" s="34"/>
      <c r="S401" s="32" t="str">
        <f t="shared" si="32"/>
        <v/>
      </c>
      <c r="T401" s="32" t="str">
        <f t="shared" si="33"/>
        <v/>
      </c>
      <c r="U401" s="35"/>
      <c r="V401" s="35"/>
      <c r="W401" s="35"/>
      <c r="X401" s="35"/>
      <c r="Y401" s="32" t="str">
        <f t="shared" si="34"/>
        <v/>
      </c>
      <c r="Z401" s="35"/>
      <c r="AA401" s="35"/>
      <c r="AB401" s="35"/>
      <c r="AC401" s="35"/>
      <c r="AD401" s="35"/>
      <c r="AE401" s="35"/>
      <c r="AF401" s="35"/>
      <c r="AG401" s="15" t="s">
        <v>413</v>
      </c>
      <c r="AH401" s="39"/>
      <c r="AI401" s="39"/>
      <c r="AM401" s="69"/>
    </row>
    <row r="402" spans="1:39" ht="125.4" x14ac:dyDescent="0.3">
      <c r="A402" s="30">
        <v>3968</v>
      </c>
      <c r="B402" s="9" t="s">
        <v>299</v>
      </c>
      <c r="C402" s="36">
        <v>2025</v>
      </c>
      <c r="D402" s="9"/>
      <c r="E402" s="9" t="s">
        <v>979</v>
      </c>
      <c r="F402" s="30" t="s">
        <v>314</v>
      </c>
      <c r="G402" s="31" t="s">
        <v>315</v>
      </c>
      <c r="H402" s="31" t="s">
        <v>315</v>
      </c>
      <c r="I402" s="31" t="s">
        <v>315</v>
      </c>
      <c r="J402" s="31" t="s">
        <v>315</v>
      </c>
      <c r="K402" s="31" t="s">
        <v>315</v>
      </c>
      <c r="L402" s="32" t="str">
        <f t="shared" si="30"/>
        <v>INCLUDE</v>
      </c>
      <c r="M402" s="32" t="str">
        <f t="shared" si="31"/>
        <v/>
      </c>
      <c r="N402" s="33" t="s">
        <v>49</v>
      </c>
      <c r="O402" s="33" t="s">
        <v>49</v>
      </c>
      <c r="P402" s="34" t="s">
        <v>49</v>
      </c>
      <c r="Q402" s="34" t="s">
        <v>49</v>
      </c>
      <c r="R402" s="34" t="s">
        <v>49</v>
      </c>
      <c r="S402" s="32" t="str">
        <f t="shared" si="32"/>
        <v>INCLUDE</v>
      </c>
      <c r="T402" s="32" t="str">
        <f t="shared" si="33"/>
        <v/>
      </c>
      <c r="U402" s="35" t="s">
        <v>61</v>
      </c>
      <c r="V402" s="35">
        <v>0</v>
      </c>
      <c r="W402" s="35">
        <v>0</v>
      </c>
      <c r="X402" s="35">
        <v>1</v>
      </c>
      <c r="Y402" s="32" t="str">
        <f t="shared" si="34"/>
        <v>Single</v>
      </c>
      <c r="Z402" s="35" t="s">
        <v>11</v>
      </c>
      <c r="AA402" s="35" t="s">
        <v>53</v>
      </c>
      <c r="AB402" s="35" t="s">
        <v>73</v>
      </c>
      <c r="AC402" s="35" t="s">
        <v>64</v>
      </c>
      <c r="AD402" s="35" t="s">
        <v>72</v>
      </c>
      <c r="AE402" s="35">
        <v>4</v>
      </c>
      <c r="AF402" s="35" t="s">
        <v>73</v>
      </c>
      <c r="AG402" s="15" t="s">
        <v>1155</v>
      </c>
      <c r="AH402" s="39" t="s">
        <v>1432</v>
      </c>
      <c r="AI402" s="39" t="s">
        <v>1433</v>
      </c>
      <c r="AJ402" t="s">
        <v>1497</v>
      </c>
      <c r="AK402" t="s">
        <v>1641</v>
      </c>
      <c r="AL402" t="s">
        <v>1499</v>
      </c>
      <c r="AM402" s="69"/>
    </row>
    <row r="403" spans="1:39" ht="102.6" x14ac:dyDescent="0.3">
      <c r="A403" s="30">
        <v>3928</v>
      </c>
      <c r="B403" s="9" t="s">
        <v>300</v>
      </c>
      <c r="C403" s="36">
        <v>2022</v>
      </c>
      <c r="D403" s="9"/>
      <c r="E403" s="9" t="s">
        <v>980</v>
      </c>
      <c r="F403" s="30" t="s">
        <v>314</v>
      </c>
      <c r="G403" s="31" t="s">
        <v>315</v>
      </c>
      <c r="H403" s="31" t="s">
        <v>315</v>
      </c>
      <c r="I403" s="31" t="s">
        <v>315</v>
      </c>
      <c r="J403" s="31" t="s">
        <v>315</v>
      </c>
      <c r="K403" s="31" t="s">
        <v>315</v>
      </c>
      <c r="L403" s="32" t="str">
        <f t="shared" si="30"/>
        <v>INCLUDE</v>
      </c>
      <c r="M403" s="32" t="str">
        <f t="shared" si="31"/>
        <v/>
      </c>
      <c r="N403" s="33" t="s">
        <v>49</v>
      </c>
      <c r="O403" s="33" t="s">
        <v>49</v>
      </c>
      <c r="P403" s="34" t="s">
        <v>49</v>
      </c>
      <c r="Q403" s="34" t="s">
        <v>49</v>
      </c>
      <c r="R403" s="34" t="s">
        <v>49</v>
      </c>
      <c r="S403" s="32" t="str">
        <f t="shared" si="32"/>
        <v>INCLUDE</v>
      </c>
      <c r="T403" s="32" t="str">
        <f t="shared" si="33"/>
        <v/>
      </c>
      <c r="U403" s="35" t="s">
        <v>82</v>
      </c>
      <c r="V403" s="35">
        <v>0</v>
      </c>
      <c r="W403" s="35">
        <v>1</v>
      </c>
      <c r="X403" s="35">
        <v>0</v>
      </c>
      <c r="Y403" s="32" t="str">
        <f t="shared" si="34"/>
        <v>Single</v>
      </c>
      <c r="Z403" s="35" t="s">
        <v>69</v>
      </c>
      <c r="AA403" s="35" t="s">
        <v>53</v>
      </c>
      <c r="AB403" s="35" t="s">
        <v>91</v>
      </c>
      <c r="AC403" s="35" t="s">
        <v>64</v>
      </c>
      <c r="AD403" s="35" t="s">
        <v>56</v>
      </c>
      <c r="AE403" s="35">
        <v>2</v>
      </c>
      <c r="AF403" s="35" t="s">
        <v>57</v>
      </c>
      <c r="AG403" s="15" t="s">
        <v>1156</v>
      </c>
      <c r="AH403" s="39" t="s">
        <v>1434</v>
      </c>
      <c r="AI403" s="39" t="s">
        <v>1435</v>
      </c>
      <c r="AJ403" t="s">
        <v>82</v>
      </c>
      <c r="AK403" t="s">
        <v>1642</v>
      </c>
      <c r="AL403" t="s">
        <v>1499</v>
      </c>
      <c r="AM403" s="69"/>
    </row>
    <row r="404" spans="1:39" ht="22.8" x14ac:dyDescent="0.3">
      <c r="A404" s="30">
        <v>3498</v>
      </c>
      <c r="B404" s="9"/>
      <c r="C404" s="36"/>
      <c r="D404" s="9"/>
      <c r="E404" s="9" t="s">
        <v>981</v>
      </c>
      <c r="F404" s="30" t="s">
        <v>313</v>
      </c>
      <c r="G404" s="31" t="s">
        <v>315</v>
      </c>
      <c r="H404" s="31" t="s">
        <v>316</v>
      </c>
      <c r="I404" s="31" t="s">
        <v>316</v>
      </c>
      <c r="J404" s="31" t="s">
        <v>315</v>
      </c>
      <c r="K404" s="31" t="s">
        <v>315</v>
      </c>
      <c r="L404" s="32" t="str">
        <f t="shared" si="30"/>
        <v>EXCLUDE</v>
      </c>
      <c r="M404" s="32" t="str">
        <f t="shared" si="31"/>
        <v>Digital Twin not core / buzzword</v>
      </c>
      <c r="N404" s="33"/>
      <c r="O404" s="33"/>
      <c r="P404" s="34"/>
      <c r="Q404" s="34"/>
      <c r="R404" s="34"/>
      <c r="S404" s="32" t="str">
        <f t="shared" si="32"/>
        <v/>
      </c>
      <c r="T404" s="32" t="str">
        <f t="shared" si="33"/>
        <v/>
      </c>
      <c r="U404" s="35"/>
      <c r="V404" s="35"/>
      <c r="W404" s="35"/>
      <c r="X404" s="35"/>
      <c r="Y404" s="32" t="str">
        <f t="shared" si="34"/>
        <v/>
      </c>
      <c r="Z404" s="35"/>
      <c r="AA404" s="35"/>
      <c r="AB404" s="35"/>
      <c r="AC404" s="35"/>
      <c r="AD404" s="35"/>
      <c r="AE404" s="35"/>
      <c r="AF404" s="35"/>
      <c r="AG404" s="15" t="s">
        <v>573</v>
      </c>
      <c r="AH404" s="39"/>
      <c r="AI404" s="39"/>
      <c r="AM404" s="69"/>
    </row>
    <row r="405" spans="1:39" ht="125.4" x14ac:dyDescent="0.3">
      <c r="A405" s="30">
        <v>3991</v>
      </c>
      <c r="B405" s="9" t="s">
        <v>301</v>
      </c>
      <c r="C405" s="36">
        <v>2026</v>
      </c>
      <c r="D405" s="9"/>
      <c r="E405" s="9" t="s">
        <v>982</v>
      </c>
      <c r="F405" s="30" t="s">
        <v>314</v>
      </c>
      <c r="G405" s="31" t="s">
        <v>315</v>
      </c>
      <c r="H405" s="31" t="s">
        <v>315</v>
      </c>
      <c r="I405" s="31" t="s">
        <v>315</v>
      </c>
      <c r="J405" s="31" t="s">
        <v>315</v>
      </c>
      <c r="K405" s="31" t="s">
        <v>315</v>
      </c>
      <c r="L405" s="32" t="str">
        <f t="shared" si="30"/>
        <v>INCLUDE</v>
      </c>
      <c r="M405" s="32" t="str">
        <f t="shared" si="31"/>
        <v/>
      </c>
      <c r="N405" s="33" t="s">
        <v>315</v>
      </c>
      <c r="O405" s="33" t="s">
        <v>315</v>
      </c>
      <c r="P405" s="34" t="s">
        <v>315</v>
      </c>
      <c r="Q405" s="34" t="s">
        <v>315</v>
      </c>
      <c r="R405" s="34" t="s">
        <v>315</v>
      </c>
      <c r="S405" s="32" t="str">
        <f t="shared" si="32"/>
        <v>INCLUDE</v>
      </c>
      <c r="T405" s="32" t="str">
        <f t="shared" si="33"/>
        <v/>
      </c>
      <c r="U405" s="35" t="s">
        <v>68</v>
      </c>
      <c r="V405" s="35">
        <v>0</v>
      </c>
      <c r="W405" s="35">
        <v>1</v>
      </c>
      <c r="X405" s="35">
        <v>0</v>
      </c>
      <c r="Y405" s="32" t="str">
        <f t="shared" si="34"/>
        <v>Single</v>
      </c>
      <c r="Z405" s="35" t="s">
        <v>9</v>
      </c>
      <c r="AA405" s="35" t="s">
        <v>70</v>
      </c>
      <c r="AB405" s="35" t="s">
        <v>83</v>
      </c>
      <c r="AC405" s="35" t="s">
        <v>64</v>
      </c>
      <c r="AD405" s="35" t="s">
        <v>65</v>
      </c>
      <c r="AE405" s="35">
        <v>4</v>
      </c>
      <c r="AF405" s="35" t="s">
        <v>80</v>
      </c>
      <c r="AG405" s="15" t="s">
        <v>1081</v>
      </c>
      <c r="AH405" s="39" t="s">
        <v>1436</v>
      </c>
      <c r="AI405" s="39" t="s">
        <v>1437</v>
      </c>
      <c r="AJ405" t="s">
        <v>1497</v>
      </c>
      <c r="AK405" t="s">
        <v>1643</v>
      </c>
      <c r="AL405" t="s">
        <v>1499</v>
      </c>
      <c r="AM405" s="69"/>
    </row>
    <row r="406" spans="1:39" ht="91.2" x14ac:dyDescent="0.3">
      <c r="A406" s="30">
        <v>3918</v>
      </c>
      <c r="B406" s="9" t="s">
        <v>299</v>
      </c>
      <c r="C406" s="36">
        <v>2025</v>
      </c>
      <c r="D406" s="9"/>
      <c r="E406" s="9" t="s">
        <v>983</v>
      </c>
      <c r="F406" s="30" t="s">
        <v>314</v>
      </c>
      <c r="G406" s="31" t="s">
        <v>315</v>
      </c>
      <c r="H406" s="31" t="s">
        <v>315</v>
      </c>
      <c r="I406" s="31" t="s">
        <v>315</v>
      </c>
      <c r="J406" s="31" t="s">
        <v>315</v>
      </c>
      <c r="K406" s="31" t="s">
        <v>315</v>
      </c>
      <c r="L406" s="32" t="str">
        <f t="shared" si="30"/>
        <v>INCLUDE</v>
      </c>
      <c r="M406" s="32" t="str">
        <f t="shared" si="31"/>
        <v/>
      </c>
      <c r="N406" s="33" t="s">
        <v>315</v>
      </c>
      <c r="O406" s="33" t="s">
        <v>315</v>
      </c>
      <c r="P406" s="34" t="s">
        <v>315</v>
      </c>
      <c r="Q406" s="34" t="s">
        <v>315</v>
      </c>
      <c r="R406" s="34" t="s">
        <v>315</v>
      </c>
      <c r="S406" s="32" t="str">
        <f t="shared" si="32"/>
        <v>INCLUDE</v>
      </c>
      <c r="T406" s="32" t="str">
        <f t="shared" si="33"/>
        <v/>
      </c>
      <c r="U406" s="35" t="s">
        <v>52</v>
      </c>
      <c r="V406" s="35">
        <v>0</v>
      </c>
      <c r="W406" s="35">
        <v>1</v>
      </c>
      <c r="X406" s="35">
        <v>0</v>
      </c>
      <c r="Y406" s="32" t="str">
        <f t="shared" si="34"/>
        <v>Single</v>
      </c>
      <c r="Z406" s="35" t="s">
        <v>9</v>
      </c>
      <c r="AA406" s="35" t="s">
        <v>53</v>
      </c>
      <c r="AB406" s="35" t="s">
        <v>89</v>
      </c>
      <c r="AC406" s="35" t="s">
        <v>64</v>
      </c>
      <c r="AD406" s="35" t="s">
        <v>56</v>
      </c>
      <c r="AE406" s="35">
        <v>3</v>
      </c>
      <c r="AF406" s="35" t="s">
        <v>57</v>
      </c>
      <c r="AG406" s="15" t="s">
        <v>1082</v>
      </c>
      <c r="AH406" s="39" t="s">
        <v>1438</v>
      </c>
      <c r="AI406" s="39" t="s">
        <v>1439</v>
      </c>
      <c r="AJ406" t="s">
        <v>1496</v>
      </c>
      <c r="AK406" t="s">
        <v>1644</v>
      </c>
      <c r="AL406" t="s">
        <v>1500</v>
      </c>
      <c r="AM406" s="69"/>
    </row>
    <row r="407" spans="1:39" ht="22.8" x14ac:dyDescent="0.3">
      <c r="A407" s="30">
        <v>3681</v>
      </c>
      <c r="B407" s="9"/>
      <c r="C407" s="36"/>
      <c r="D407" s="9"/>
      <c r="E407" s="9" t="s">
        <v>984</v>
      </c>
      <c r="F407" s="30" t="s">
        <v>313</v>
      </c>
      <c r="G407" s="31" t="s">
        <v>315</v>
      </c>
      <c r="H407" s="31" t="s">
        <v>316</v>
      </c>
      <c r="I407" s="31" t="s">
        <v>315</v>
      </c>
      <c r="J407" s="31" t="s">
        <v>315</v>
      </c>
      <c r="K407" s="31" t="s">
        <v>315</v>
      </c>
      <c r="L407" s="32" t="str">
        <f t="shared" si="30"/>
        <v>EXCLUDE</v>
      </c>
      <c r="M407" s="32" t="str">
        <f t="shared" si="31"/>
        <v>Digital Twin not core / buzzword</v>
      </c>
      <c r="N407" s="33"/>
      <c r="O407" s="33"/>
      <c r="P407" s="34"/>
      <c r="Q407" s="34"/>
      <c r="R407" s="34"/>
      <c r="S407" s="32" t="str">
        <f t="shared" si="32"/>
        <v/>
      </c>
      <c r="T407" s="32" t="str">
        <f t="shared" si="33"/>
        <v/>
      </c>
      <c r="U407" s="35"/>
      <c r="V407" s="35"/>
      <c r="W407" s="35"/>
      <c r="X407" s="35"/>
      <c r="Y407" s="32" t="str">
        <f t="shared" si="34"/>
        <v/>
      </c>
      <c r="Z407" s="35"/>
      <c r="AA407" s="35"/>
      <c r="AB407" s="35"/>
      <c r="AC407" s="35"/>
      <c r="AD407" s="35"/>
      <c r="AE407" s="35"/>
      <c r="AF407" s="35"/>
      <c r="AG407" s="15" t="s">
        <v>574</v>
      </c>
      <c r="AH407" s="39"/>
      <c r="AI407" s="39"/>
      <c r="AM407" s="69"/>
    </row>
    <row r="408" spans="1:39" ht="22.8" x14ac:dyDescent="0.3">
      <c r="A408" s="30">
        <v>4015</v>
      </c>
      <c r="B408" s="9"/>
      <c r="C408" s="36"/>
      <c r="D408" s="9"/>
      <c r="E408" s="9" t="s">
        <v>985</v>
      </c>
      <c r="F408" s="30" t="s">
        <v>314</v>
      </c>
      <c r="G408" s="31" t="s">
        <v>315</v>
      </c>
      <c r="H408" s="31" t="s">
        <v>316</v>
      </c>
      <c r="I408" s="31" t="s">
        <v>315</v>
      </c>
      <c r="J408" s="31" t="s">
        <v>315</v>
      </c>
      <c r="K408" s="31" t="s">
        <v>315</v>
      </c>
      <c r="L408" s="32" t="str">
        <f t="shared" si="30"/>
        <v>EXCLUDE</v>
      </c>
      <c r="M408" s="32" t="str">
        <f t="shared" si="31"/>
        <v>Digital Twin not core / buzzword</v>
      </c>
      <c r="N408" s="33"/>
      <c r="O408" s="33"/>
      <c r="P408" s="34"/>
      <c r="Q408" s="34"/>
      <c r="R408" s="34"/>
      <c r="S408" s="32" t="str">
        <f t="shared" si="32"/>
        <v/>
      </c>
      <c r="T408" s="32" t="str">
        <f t="shared" si="33"/>
        <v/>
      </c>
      <c r="U408" s="35"/>
      <c r="V408" s="35"/>
      <c r="W408" s="35"/>
      <c r="X408" s="35"/>
      <c r="Y408" s="32" t="str">
        <f t="shared" si="34"/>
        <v/>
      </c>
      <c r="Z408" s="35"/>
      <c r="AA408" s="35"/>
      <c r="AB408" s="35"/>
      <c r="AC408" s="35"/>
      <c r="AD408" s="35"/>
      <c r="AE408" s="35"/>
      <c r="AF408" s="35"/>
      <c r="AG408" s="15" t="s">
        <v>575</v>
      </c>
      <c r="AH408" s="39"/>
      <c r="AI408" s="39"/>
      <c r="AM408" s="69"/>
    </row>
    <row r="409" spans="1:39" ht="114" x14ac:dyDescent="0.3">
      <c r="A409" s="30">
        <v>4017</v>
      </c>
      <c r="B409" s="9" t="s">
        <v>302</v>
      </c>
      <c r="C409" s="36">
        <v>2026</v>
      </c>
      <c r="D409" s="9"/>
      <c r="E409" s="9" t="s">
        <v>986</v>
      </c>
      <c r="F409" s="30" t="s">
        <v>314</v>
      </c>
      <c r="G409" s="31" t="s">
        <v>315</v>
      </c>
      <c r="H409" s="31" t="s">
        <v>315</v>
      </c>
      <c r="I409" s="31" t="s">
        <v>315</v>
      </c>
      <c r="J409" s="31" t="s">
        <v>315</v>
      </c>
      <c r="K409" s="31" t="s">
        <v>315</v>
      </c>
      <c r="L409" s="32" t="str">
        <f t="shared" si="30"/>
        <v>INCLUDE</v>
      </c>
      <c r="M409" s="32" t="str">
        <f t="shared" si="31"/>
        <v/>
      </c>
      <c r="N409" s="33" t="s">
        <v>49</v>
      </c>
      <c r="O409" s="33" t="s">
        <v>49</v>
      </c>
      <c r="P409" s="34" t="s">
        <v>49</v>
      </c>
      <c r="Q409" s="34" t="s">
        <v>49</v>
      </c>
      <c r="R409" s="34" t="s">
        <v>49</v>
      </c>
      <c r="S409" s="32" t="str">
        <f t="shared" si="32"/>
        <v>INCLUDE</v>
      </c>
      <c r="T409" s="32" t="str">
        <f t="shared" si="33"/>
        <v/>
      </c>
      <c r="U409" s="35" t="s">
        <v>61</v>
      </c>
      <c r="V409" s="35">
        <v>0</v>
      </c>
      <c r="W409" s="35">
        <v>0</v>
      </c>
      <c r="X409" s="35">
        <v>1</v>
      </c>
      <c r="Y409" s="32" t="str">
        <f t="shared" si="34"/>
        <v>Single</v>
      </c>
      <c r="Z409" s="35" t="s">
        <v>11</v>
      </c>
      <c r="AA409" s="35" t="s">
        <v>53</v>
      </c>
      <c r="AB409" s="35" t="s">
        <v>73</v>
      </c>
      <c r="AC409" s="35" t="s">
        <v>64</v>
      </c>
      <c r="AD409" s="35" t="s">
        <v>72</v>
      </c>
      <c r="AE409" s="35">
        <v>4</v>
      </c>
      <c r="AF409" s="35" t="s">
        <v>73</v>
      </c>
      <c r="AG409" s="15" t="s">
        <v>1157</v>
      </c>
      <c r="AH409" s="39" t="s">
        <v>1440</v>
      </c>
      <c r="AI409" s="39" t="s">
        <v>1441</v>
      </c>
      <c r="AJ409" t="s">
        <v>1497</v>
      </c>
      <c r="AK409" t="s">
        <v>1645</v>
      </c>
      <c r="AL409" t="s">
        <v>1499</v>
      </c>
      <c r="AM409" s="69"/>
    </row>
    <row r="410" spans="1:39" ht="79.8" x14ac:dyDescent="0.3">
      <c r="A410" s="30">
        <v>3711</v>
      </c>
      <c r="B410" s="9" t="s">
        <v>303</v>
      </c>
      <c r="C410" s="36">
        <v>2024</v>
      </c>
      <c r="D410" s="9"/>
      <c r="E410" s="9" t="s">
        <v>987</v>
      </c>
      <c r="F410" s="30" t="s">
        <v>313</v>
      </c>
      <c r="G410" s="31" t="s">
        <v>315</v>
      </c>
      <c r="H410" s="31" t="s">
        <v>315</v>
      </c>
      <c r="I410" s="31" t="s">
        <v>315</v>
      </c>
      <c r="J410" s="31" t="s">
        <v>315</v>
      </c>
      <c r="K410" s="31" t="s">
        <v>315</v>
      </c>
      <c r="L410" s="32" t="str">
        <f t="shared" si="30"/>
        <v>INCLUDE</v>
      </c>
      <c r="M410" s="32" t="str">
        <f t="shared" si="31"/>
        <v/>
      </c>
      <c r="N410" s="33" t="s">
        <v>315</v>
      </c>
      <c r="O410" s="33" t="s">
        <v>315</v>
      </c>
      <c r="P410" s="34" t="s">
        <v>316</v>
      </c>
      <c r="Q410" s="34" t="s">
        <v>315</v>
      </c>
      <c r="R410" s="34" t="s">
        <v>316</v>
      </c>
      <c r="S410" s="32" t="str">
        <f t="shared" si="32"/>
        <v>EXCLUDE</v>
      </c>
      <c r="T410" s="32" t="str">
        <f t="shared" si="33"/>
        <v>Digital Twin mentioned only, not the subject</v>
      </c>
      <c r="U410" s="35" t="s">
        <v>82</v>
      </c>
      <c r="V410" s="35"/>
      <c r="W410" s="35"/>
      <c r="X410" s="35"/>
      <c r="Y410" s="32" t="str">
        <f t="shared" si="34"/>
        <v/>
      </c>
      <c r="Z410" s="35"/>
      <c r="AA410" s="35"/>
      <c r="AB410" s="35"/>
      <c r="AC410" s="35"/>
      <c r="AD410" s="35"/>
      <c r="AE410" s="35"/>
      <c r="AF410" s="35"/>
      <c r="AG410" s="15" t="s">
        <v>1083</v>
      </c>
      <c r="AH410" s="39"/>
      <c r="AI410" s="39"/>
      <c r="AM410" s="69"/>
    </row>
    <row r="411" spans="1:39" ht="22.8" x14ac:dyDescent="0.3">
      <c r="A411" s="30">
        <v>3682</v>
      </c>
      <c r="B411" s="9"/>
      <c r="C411" s="36"/>
      <c r="D411" s="9"/>
      <c r="E411" s="9" t="s">
        <v>988</v>
      </c>
      <c r="F411" s="30" t="s">
        <v>313</v>
      </c>
      <c r="G411" s="31" t="s">
        <v>316</v>
      </c>
      <c r="H411" s="31" t="s">
        <v>315</v>
      </c>
      <c r="I411" s="31" t="s">
        <v>315</v>
      </c>
      <c r="J411" s="31" t="s">
        <v>315</v>
      </c>
      <c r="K411" s="31" t="s">
        <v>316</v>
      </c>
      <c r="L411" s="32" t="str">
        <f t="shared" si="30"/>
        <v>EXCLUDE</v>
      </c>
      <c r="M411" s="32" t="str">
        <f t="shared" si="31"/>
        <v>Wrong domain (non-AECO)</v>
      </c>
      <c r="N411" s="33"/>
      <c r="O411" s="33"/>
      <c r="P411" s="34"/>
      <c r="Q411" s="34"/>
      <c r="R411" s="34"/>
      <c r="S411" s="32" t="str">
        <f t="shared" si="32"/>
        <v/>
      </c>
      <c r="T411" s="32" t="str">
        <f t="shared" si="33"/>
        <v/>
      </c>
      <c r="U411" s="35"/>
      <c r="V411" s="35"/>
      <c r="W411" s="35"/>
      <c r="X411" s="35"/>
      <c r="Y411" s="32" t="str">
        <f t="shared" si="34"/>
        <v/>
      </c>
      <c r="Z411" s="35"/>
      <c r="AA411" s="35"/>
      <c r="AB411" s="35"/>
      <c r="AC411" s="35"/>
      <c r="AD411" s="35"/>
      <c r="AE411" s="35"/>
      <c r="AF411" s="35"/>
      <c r="AG411" s="15" t="s">
        <v>576</v>
      </c>
      <c r="AH411" s="39"/>
      <c r="AI411" s="39"/>
      <c r="AM411" s="69"/>
    </row>
    <row r="412" spans="1:39" ht="79.8" x14ac:dyDescent="0.3">
      <c r="A412" s="30">
        <v>3954</v>
      </c>
      <c r="B412" s="9" t="s">
        <v>304</v>
      </c>
      <c r="C412" s="36">
        <v>2022</v>
      </c>
      <c r="D412" s="9"/>
      <c r="E412" s="9" t="s">
        <v>989</v>
      </c>
      <c r="F412" s="30" t="s">
        <v>314</v>
      </c>
      <c r="G412" s="31" t="s">
        <v>315</v>
      </c>
      <c r="H412" s="31" t="s">
        <v>315</v>
      </c>
      <c r="I412" s="31" t="s">
        <v>315</v>
      </c>
      <c r="J412" s="31" t="s">
        <v>315</v>
      </c>
      <c r="K412" s="31" t="s">
        <v>315</v>
      </c>
      <c r="L412" s="32" t="str">
        <f t="shared" si="30"/>
        <v>INCLUDE</v>
      </c>
      <c r="M412" s="32" t="str">
        <f t="shared" si="31"/>
        <v/>
      </c>
      <c r="N412" s="33" t="s">
        <v>315</v>
      </c>
      <c r="O412" s="33" t="s">
        <v>315</v>
      </c>
      <c r="P412" s="34" t="s">
        <v>315</v>
      </c>
      <c r="Q412" s="34" t="s">
        <v>316</v>
      </c>
      <c r="R412" s="34" t="s">
        <v>315</v>
      </c>
      <c r="S412" s="32" t="str">
        <f t="shared" si="32"/>
        <v>EXCLUDE</v>
      </c>
      <c r="T412" s="32" t="str">
        <f t="shared" si="33"/>
        <v>No Design for Safety/Quality in full text</v>
      </c>
      <c r="U412" s="35" t="s">
        <v>82</v>
      </c>
      <c r="V412" s="35"/>
      <c r="W412" s="35"/>
      <c r="X412" s="35"/>
      <c r="Y412" s="32" t="str">
        <f t="shared" si="34"/>
        <v/>
      </c>
      <c r="Z412" s="35"/>
      <c r="AA412" s="35"/>
      <c r="AB412" s="35"/>
      <c r="AC412" s="35"/>
      <c r="AD412" s="35"/>
      <c r="AE412" s="35"/>
      <c r="AF412" s="35"/>
      <c r="AG412" s="15" t="s">
        <v>1084</v>
      </c>
      <c r="AH412" s="39"/>
      <c r="AI412" s="39"/>
      <c r="AM412" s="69"/>
    </row>
    <row r="413" spans="1:39" ht="125.4" x14ac:dyDescent="0.3">
      <c r="A413" s="30">
        <v>3515</v>
      </c>
      <c r="B413" s="9" t="s">
        <v>305</v>
      </c>
      <c r="C413" s="36">
        <v>2025</v>
      </c>
      <c r="D413" s="9"/>
      <c r="E413" s="9" t="s">
        <v>990</v>
      </c>
      <c r="F413" s="30" t="s">
        <v>313</v>
      </c>
      <c r="G413" s="31" t="s">
        <v>315</v>
      </c>
      <c r="H413" s="31" t="s">
        <v>315</v>
      </c>
      <c r="I413" s="31" t="s">
        <v>315</v>
      </c>
      <c r="J413" s="31" t="s">
        <v>315</v>
      </c>
      <c r="K413" s="31" t="s">
        <v>315</v>
      </c>
      <c r="L413" s="32" t="str">
        <f t="shared" si="30"/>
        <v>INCLUDE</v>
      </c>
      <c r="M413" s="32" t="str">
        <f t="shared" si="31"/>
        <v/>
      </c>
      <c r="N413" s="33" t="s">
        <v>49</v>
      </c>
      <c r="O413" s="33" t="s">
        <v>49</v>
      </c>
      <c r="P413" s="34" t="s">
        <v>49</v>
      </c>
      <c r="Q413" s="34" t="s">
        <v>49</v>
      </c>
      <c r="R413" s="34" t="s">
        <v>49</v>
      </c>
      <c r="S413" s="32" t="str">
        <f t="shared" si="32"/>
        <v>INCLUDE</v>
      </c>
      <c r="T413" s="32" t="str">
        <f t="shared" si="33"/>
        <v/>
      </c>
      <c r="U413" s="35" t="s">
        <v>61</v>
      </c>
      <c r="V413" s="35">
        <v>0</v>
      </c>
      <c r="W413" s="35">
        <v>1</v>
      </c>
      <c r="X413" s="35">
        <v>0</v>
      </c>
      <c r="Y413" s="32" t="str">
        <f t="shared" si="34"/>
        <v>Single</v>
      </c>
      <c r="Z413" s="35" t="s">
        <v>9</v>
      </c>
      <c r="AA413" s="35" t="s">
        <v>53</v>
      </c>
      <c r="AB413" s="35" t="s">
        <v>54</v>
      </c>
      <c r="AC413" s="35" t="s">
        <v>64</v>
      </c>
      <c r="AD413" s="35" t="s">
        <v>65</v>
      </c>
      <c r="AE413" s="35">
        <v>4</v>
      </c>
      <c r="AF413" s="35" t="s">
        <v>73</v>
      </c>
      <c r="AG413" s="15" t="s">
        <v>1158</v>
      </c>
      <c r="AH413" s="39" t="s">
        <v>1442</v>
      </c>
      <c r="AI413" s="39" t="s">
        <v>1443</v>
      </c>
      <c r="AJ413" t="s">
        <v>1497</v>
      </c>
      <c r="AK413" t="s">
        <v>1646</v>
      </c>
      <c r="AL413" t="s">
        <v>1499</v>
      </c>
      <c r="AM413" s="69"/>
    </row>
    <row r="414" spans="1:39" ht="102.6" x14ac:dyDescent="0.3">
      <c r="A414" s="30">
        <v>3972</v>
      </c>
      <c r="B414" s="9" t="s">
        <v>302</v>
      </c>
      <c r="C414" s="36">
        <v>2026</v>
      </c>
      <c r="D414" s="9"/>
      <c r="E414" s="9" t="s">
        <v>991</v>
      </c>
      <c r="F414" s="30" t="s">
        <v>314</v>
      </c>
      <c r="G414" s="31" t="s">
        <v>315</v>
      </c>
      <c r="H414" s="31" t="s">
        <v>315</v>
      </c>
      <c r="I414" s="31" t="s">
        <v>315</v>
      </c>
      <c r="J414" s="31" t="s">
        <v>315</v>
      </c>
      <c r="K414" s="31" t="s">
        <v>315</v>
      </c>
      <c r="L414" s="32" t="str">
        <f t="shared" si="30"/>
        <v>INCLUDE</v>
      </c>
      <c r="M414" s="32" t="str">
        <f t="shared" si="31"/>
        <v/>
      </c>
      <c r="N414" s="33" t="s">
        <v>315</v>
      </c>
      <c r="O414" s="33" t="s">
        <v>315</v>
      </c>
      <c r="P414" s="34" t="s">
        <v>315</v>
      </c>
      <c r="Q414" s="34" t="s">
        <v>315</v>
      </c>
      <c r="R414" s="34" t="s">
        <v>315</v>
      </c>
      <c r="S414" s="32" t="str">
        <f t="shared" si="32"/>
        <v>INCLUDE</v>
      </c>
      <c r="T414" s="32" t="str">
        <f t="shared" si="33"/>
        <v/>
      </c>
      <c r="U414" s="35" t="s">
        <v>61</v>
      </c>
      <c r="V414" s="35">
        <v>0</v>
      </c>
      <c r="W414" s="35">
        <v>1</v>
      </c>
      <c r="X414" s="35">
        <v>0</v>
      </c>
      <c r="Y414" s="32" t="str">
        <f t="shared" si="34"/>
        <v>Single</v>
      </c>
      <c r="Z414" s="35" t="s">
        <v>9</v>
      </c>
      <c r="AA414" s="35" t="s">
        <v>53</v>
      </c>
      <c r="AB414" s="35" t="s">
        <v>92</v>
      </c>
      <c r="AC414" s="35" t="s">
        <v>64</v>
      </c>
      <c r="AD414" s="35" t="s">
        <v>72</v>
      </c>
      <c r="AE414" s="35">
        <v>4</v>
      </c>
      <c r="AF414" s="35" t="s">
        <v>84</v>
      </c>
      <c r="AG414" s="15" t="s">
        <v>1085</v>
      </c>
      <c r="AH414" s="39" t="s">
        <v>1444</v>
      </c>
      <c r="AI414" s="39" t="s">
        <v>1445</v>
      </c>
      <c r="AJ414" t="s">
        <v>1497</v>
      </c>
      <c r="AK414" t="s">
        <v>1647</v>
      </c>
      <c r="AL414" t="s">
        <v>1500</v>
      </c>
      <c r="AM414" s="69"/>
    </row>
    <row r="415" spans="1:39" ht="102.6" x14ac:dyDescent="0.3">
      <c r="A415" s="30">
        <v>3863</v>
      </c>
      <c r="B415" s="9" t="s">
        <v>305</v>
      </c>
      <c r="C415" s="36">
        <v>2025</v>
      </c>
      <c r="D415" s="9"/>
      <c r="E415" s="9" t="s">
        <v>992</v>
      </c>
      <c r="F415" s="30" t="s">
        <v>313</v>
      </c>
      <c r="G415" s="31" t="s">
        <v>315</v>
      </c>
      <c r="H415" s="31" t="s">
        <v>315</v>
      </c>
      <c r="I415" s="31" t="s">
        <v>315</v>
      </c>
      <c r="J415" s="31" t="s">
        <v>315</v>
      </c>
      <c r="K415" s="31" t="s">
        <v>315</v>
      </c>
      <c r="L415" s="32" t="str">
        <f t="shared" si="30"/>
        <v>INCLUDE</v>
      </c>
      <c r="M415" s="32" t="str">
        <f t="shared" si="31"/>
        <v/>
      </c>
      <c r="N415" s="33" t="s">
        <v>49</v>
      </c>
      <c r="O415" s="33" t="s">
        <v>49</v>
      </c>
      <c r="P415" s="34" t="s">
        <v>49</v>
      </c>
      <c r="Q415" s="34" t="s">
        <v>49</v>
      </c>
      <c r="R415" s="34" t="s">
        <v>49</v>
      </c>
      <c r="S415" s="32" t="str">
        <f t="shared" si="32"/>
        <v>INCLUDE</v>
      </c>
      <c r="T415" s="32" t="str">
        <f t="shared" si="33"/>
        <v/>
      </c>
      <c r="U415" s="35" t="s">
        <v>61</v>
      </c>
      <c r="V415" s="35">
        <v>0</v>
      </c>
      <c r="W415" s="35">
        <v>0</v>
      </c>
      <c r="X415" s="35">
        <v>1</v>
      </c>
      <c r="Y415" s="32" t="str">
        <f t="shared" si="34"/>
        <v>Single</v>
      </c>
      <c r="Z415" s="35" t="s">
        <v>9</v>
      </c>
      <c r="AA415" s="35" t="s">
        <v>53</v>
      </c>
      <c r="AB415" s="35" t="s">
        <v>78</v>
      </c>
      <c r="AC415" s="35" t="s">
        <v>64</v>
      </c>
      <c r="AD415" s="35" t="s">
        <v>79</v>
      </c>
      <c r="AE415" s="35">
        <v>4</v>
      </c>
      <c r="AF415" s="35" t="s">
        <v>84</v>
      </c>
      <c r="AG415" s="15" t="s">
        <v>1159</v>
      </c>
      <c r="AH415" s="39" t="s">
        <v>1446</v>
      </c>
      <c r="AI415" s="39" t="s">
        <v>1447</v>
      </c>
      <c r="AJ415" t="s">
        <v>1497</v>
      </c>
      <c r="AK415" t="s">
        <v>1648</v>
      </c>
      <c r="AL415" t="s">
        <v>1499</v>
      </c>
      <c r="AM415" s="69"/>
    </row>
    <row r="416" spans="1:39" ht="22.8" x14ac:dyDescent="0.3">
      <c r="A416" s="30">
        <v>3700</v>
      </c>
      <c r="B416" s="9"/>
      <c r="C416" s="36"/>
      <c r="D416" s="9"/>
      <c r="E416" s="9" t="s">
        <v>993</v>
      </c>
      <c r="F416" s="30" t="s">
        <v>313</v>
      </c>
      <c r="G416" s="31" t="s">
        <v>315</v>
      </c>
      <c r="H416" s="31" t="s">
        <v>315</v>
      </c>
      <c r="I416" s="31" t="s">
        <v>315</v>
      </c>
      <c r="J416" s="31" t="s">
        <v>315</v>
      </c>
      <c r="K416" s="31" t="s">
        <v>316</v>
      </c>
      <c r="L416" s="32" t="str">
        <f t="shared" si="30"/>
        <v>EXCLUDE</v>
      </c>
      <c r="M416" s="32" t="str">
        <f t="shared" si="31"/>
        <v>Non-English</v>
      </c>
      <c r="N416" s="33"/>
      <c r="O416" s="33"/>
      <c r="P416" s="34"/>
      <c r="Q416" s="34"/>
      <c r="R416" s="34"/>
      <c r="S416" s="32" t="str">
        <f t="shared" si="32"/>
        <v/>
      </c>
      <c r="T416" s="32" t="str">
        <f t="shared" si="33"/>
        <v/>
      </c>
      <c r="U416" s="35"/>
      <c r="V416" s="35"/>
      <c r="W416" s="35"/>
      <c r="X416" s="35"/>
      <c r="Y416" s="32" t="str">
        <f t="shared" si="34"/>
        <v/>
      </c>
      <c r="Z416" s="35"/>
      <c r="AA416" s="35"/>
      <c r="AB416" s="35"/>
      <c r="AC416" s="35"/>
      <c r="AD416" s="35"/>
      <c r="AE416" s="35"/>
      <c r="AF416" s="35"/>
      <c r="AG416" s="15" t="s">
        <v>577</v>
      </c>
      <c r="AH416" s="39"/>
      <c r="AI416" s="39"/>
      <c r="AM416" s="69"/>
    </row>
    <row r="417" spans="1:39" ht="79.8" x14ac:dyDescent="0.3">
      <c r="A417" s="30">
        <v>3923</v>
      </c>
      <c r="B417" s="9" t="s">
        <v>304</v>
      </c>
      <c r="C417" s="36">
        <v>2022</v>
      </c>
      <c r="D417" s="9"/>
      <c r="E417" s="9" t="s">
        <v>994</v>
      </c>
      <c r="F417" s="30" t="s">
        <v>314</v>
      </c>
      <c r="G417" s="31" t="s">
        <v>315</v>
      </c>
      <c r="H417" s="31" t="s">
        <v>315</v>
      </c>
      <c r="I417" s="31" t="s">
        <v>315</v>
      </c>
      <c r="J417" s="31" t="s">
        <v>315</v>
      </c>
      <c r="K417" s="31" t="s">
        <v>315</v>
      </c>
      <c r="L417" s="32" t="str">
        <f t="shared" si="30"/>
        <v>INCLUDE</v>
      </c>
      <c r="M417" s="32" t="str">
        <f t="shared" si="31"/>
        <v/>
      </c>
      <c r="N417" s="33" t="s">
        <v>315</v>
      </c>
      <c r="O417" s="33" t="s">
        <v>315</v>
      </c>
      <c r="P417" s="34" t="s">
        <v>315</v>
      </c>
      <c r="Q417" s="34" t="s">
        <v>315</v>
      </c>
      <c r="R417" s="34" t="s">
        <v>315</v>
      </c>
      <c r="S417" s="32" t="str">
        <f t="shared" si="32"/>
        <v>INCLUDE</v>
      </c>
      <c r="T417" s="32" t="str">
        <f t="shared" si="33"/>
        <v/>
      </c>
      <c r="U417" s="35" t="s">
        <v>61</v>
      </c>
      <c r="V417" s="35">
        <v>0</v>
      </c>
      <c r="W417" s="35">
        <v>1</v>
      </c>
      <c r="X417" s="35">
        <v>0</v>
      </c>
      <c r="Y417" s="32" t="str">
        <f t="shared" si="34"/>
        <v>Single</v>
      </c>
      <c r="Z417" s="35" t="s">
        <v>9</v>
      </c>
      <c r="AA417" s="35" t="s">
        <v>53</v>
      </c>
      <c r="AB417" s="35" t="s">
        <v>71</v>
      </c>
      <c r="AC417" s="35" t="s">
        <v>64</v>
      </c>
      <c r="AD417" s="35" t="s">
        <v>72</v>
      </c>
      <c r="AE417" s="35">
        <v>3</v>
      </c>
      <c r="AF417" s="35" t="s">
        <v>84</v>
      </c>
      <c r="AG417" s="15" t="s">
        <v>1086</v>
      </c>
      <c r="AH417" s="39" t="s">
        <v>1448</v>
      </c>
      <c r="AI417" s="39" t="s">
        <v>1449</v>
      </c>
      <c r="AJ417" t="s">
        <v>1497</v>
      </c>
      <c r="AK417" t="s">
        <v>1649</v>
      </c>
      <c r="AL417" t="s">
        <v>1499</v>
      </c>
      <c r="AM417" s="69"/>
    </row>
    <row r="418" spans="1:39" ht="22.8" x14ac:dyDescent="0.3">
      <c r="A418" s="30">
        <v>4014</v>
      </c>
      <c r="B418" s="9"/>
      <c r="C418" s="36"/>
      <c r="D418" s="9"/>
      <c r="E418" s="9" t="s">
        <v>995</v>
      </c>
      <c r="F418" s="30" t="s">
        <v>314</v>
      </c>
      <c r="G418" s="31" t="s">
        <v>316</v>
      </c>
      <c r="H418" s="31" t="s">
        <v>315</v>
      </c>
      <c r="I418" s="31" t="s">
        <v>316</v>
      </c>
      <c r="J418" s="31" t="s">
        <v>315</v>
      </c>
      <c r="K418" s="31" t="s">
        <v>315</v>
      </c>
      <c r="L418" s="32" t="str">
        <f t="shared" si="30"/>
        <v>EXCLUDE</v>
      </c>
      <c r="M418" s="32" t="str">
        <f t="shared" si="31"/>
        <v>Wrong domain (non-AECO)</v>
      </c>
      <c r="N418" s="33"/>
      <c r="O418" s="33"/>
      <c r="P418" s="34"/>
      <c r="Q418" s="34"/>
      <c r="R418" s="34"/>
      <c r="S418" s="32" t="str">
        <f t="shared" si="32"/>
        <v/>
      </c>
      <c r="T418" s="32" t="str">
        <f t="shared" si="33"/>
        <v/>
      </c>
      <c r="U418" s="35"/>
      <c r="V418" s="35"/>
      <c r="W418" s="35"/>
      <c r="X418" s="35"/>
      <c r="Y418" s="32" t="str">
        <f t="shared" si="34"/>
        <v/>
      </c>
      <c r="Z418" s="35"/>
      <c r="AA418" s="35"/>
      <c r="AB418" s="35"/>
      <c r="AC418" s="35"/>
      <c r="AD418" s="35"/>
      <c r="AE418" s="35"/>
      <c r="AF418" s="35"/>
      <c r="AG418" s="15" t="s">
        <v>578</v>
      </c>
      <c r="AH418" s="39"/>
      <c r="AI418" s="39"/>
      <c r="AM418" s="69"/>
    </row>
    <row r="419" spans="1:39" ht="91.2" x14ac:dyDescent="0.3">
      <c r="A419" s="30">
        <v>3943</v>
      </c>
      <c r="B419" s="9" t="s">
        <v>306</v>
      </c>
      <c r="C419" s="36">
        <v>2022</v>
      </c>
      <c r="D419" s="9"/>
      <c r="E419" s="9" t="s">
        <v>996</v>
      </c>
      <c r="F419" s="30" t="s">
        <v>314</v>
      </c>
      <c r="G419" s="31" t="s">
        <v>315</v>
      </c>
      <c r="H419" s="31" t="s">
        <v>315</v>
      </c>
      <c r="I419" s="31" t="s">
        <v>315</v>
      </c>
      <c r="J419" s="31" t="s">
        <v>315</v>
      </c>
      <c r="K419" s="31" t="s">
        <v>315</v>
      </c>
      <c r="L419" s="32" t="str">
        <f t="shared" si="30"/>
        <v>INCLUDE</v>
      </c>
      <c r="M419" s="32" t="str">
        <f t="shared" si="31"/>
        <v/>
      </c>
      <c r="N419" s="33" t="s">
        <v>315</v>
      </c>
      <c r="O419" s="33" t="s">
        <v>315</v>
      </c>
      <c r="P419" s="34" t="s">
        <v>315</v>
      </c>
      <c r="Q419" s="34" t="s">
        <v>315</v>
      </c>
      <c r="R419" s="34" t="s">
        <v>315</v>
      </c>
      <c r="S419" s="32" t="str">
        <f t="shared" si="32"/>
        <v>INCLUDE</v>
      </c>
      <c r="T419" s="32" t="str">
        <f t="shared" si="33"/>
        <v/>
      </c>
      <c r="U419" s="35" t="s">
        <v>61</v>
      </c>
      <c r="V419" s="35">
        <v>0</v>
      </c>
      <c r="W419" s="35">
        <v>0</v>
      </c>
      <c r="X419" s="35">
        <v>1</v>
      </c>
      <c r="Y419" s="32" t="str">
        <f t="shared" si="34"/>
        <v>Single</v>
      </c>
      <c r="Z419" s="35" t="s">
        <v>9</v>
      </c>
      <c r="AA419" s="35" t="s">
        <v>53</v>
      </c>
      <c r="AB419" s="35" t="s">
        <v>88</v>
      </c>
      <c r="AC419" s="35" t="s">
        <v>64</v>
      </c>
      <c r="AD419" s="35" t="s">
        <v>72</v>
      </c>
      <c r="AE419" s="35">
        <v>4</v>
      </c>
      <c r="AF419" s="35" t="s">
        <v>80</v>
      </c>
      <c r="AG419" s="15" t="s">
        <v>1087</v>
      </c>
      <c r="AH419" s="39" t="s">
        <v>1450</v>
      </c>
      <c r="AI419" s="39" t="s">
        <v>1451</v>
      </c>
      <c r="AJ419" t="s">
        <v>1496</v>
      </c>
      <c r="AK419" t="s">
        <v>1650</v>
      </c>
      <c r="AL419" t="s">
        <v>1500</v>
      </c>
      <c r="AM419" s="69"/>
    </row>
    <row r="420" spans="1:39" ht="22.8" x14ac:dyDescent="0.3">
      <c r="A420" s="30">
        <v>3858</v>
      </c>
      <c r="B420" s="9"/>
      <c r="C420" s="36"/>
      <c r="D420" s="9"/>
      <c r="E420" s="9" t="s">
        <v>997</v>
      </c>
      <c r="F420" s="30" t="s">
        <v>313</v>
      </c>
      <c r="G420" s="31" t="s">
        <v>315</v>
      </c>
      <c r="H420" s="31" t="s">
        <v>316</v>
      </c>
      <c r="I420" s="31" t="s">
        <v>315</v>
      </c>
      <c r="J420" s="31" t="s">
        <v>315</v>
      </c>
      <c r="K420" s="31" t="s">
        <v>316</v>
      </c>
      <c r="L420" s="32" t="str">
        <f t="shared" si="30"/>
        <v>EXCLUDE</v>
      </c>
      <c r="M420" s="32" t="str">
        <f t="shared" si="31"/>
        <v>Digital Twin not core / buzzword</v>
      </c>
      <c r="N420" s="33"/>
      <c r="O420" s="33"/>
      <c r="P420" s="34"/>
      <c r="Q420" s="34"/>
      <c r="R420" s="34"/>
      <c r="S420" s="32" t="str">
        <f t="shared" si="32"/>
        <v/>
      </c>
      <c r="T420" s="32" t="str">
        <f t="shared" si="33"/>
        <v/>
      </c>
      <c r="U420" s="35"/>
      <c r="V420" s="35"/>
      <c r="W420" s="35"/>
      <c r="X420" s="35"/>
      <c r="Y420" s="32" t="str">
        <f t="shared" si="34"/>
        <v/>
      </c>
      <c r="Z420" s="35"/>
      <c r="AA420" s="35"/>
      <c r="AB420" s="35"/>
      <c r="AC420" s="35"/>
      <c r="AD420" s="35"/>
      <c r="AE420" s="35"/>
      <c r="AF420" s="35"/>
      <c r="AG420" s="15" t="s">
        <v>579</v>
      </c>
      <c r="AH420" s="39"/>
      <c r="AI420" s="39"/>
      <c r="AM420" s="69"/>
    </row>
    <row r="421" spans="1:39" ht="102.6" x14ac:dyDescent="0.3">
      <c r="A421" s="30">
        <v>3773</v>
      </c>
      <c r="B421" s="9" t="s">
        <v>307</v>
      </c>
      <c r="C421" s="36">
        <v>2021</v>
      </c>
      <c r="D421" s="9"/>
      <c r="E421" s="9" t="s">
        <v>998</v>
      </c>
      <c r="F421" s="30" t="s">
        <v>313</v>
      </c>
      <c r="G421" s="31" t="s">
        <v>315</v>
      </c>
      <c r="H421" s="31" t="s">
        <v>315</v>
      </c>
      <c r="I421" s="31" t="s">
        <v>315</v>
      </c>
      <c r="J421" s="31" t="s">
        <v>315</v>
      </c>
      <c r="K421" s="31" t="s">
        <v>315</v>
      </c>
      <c r="L421" s="32" t="str">
        <f t="shared" si="30"/>
        <v>INCLUDE</v>
      </c>
      <c r="M421" s="32" t="str">
        <f t="shared" si="31"/>
        <v/>
      </c>
      <c r="N421" s="33" t="s">
        <v>49</v>
      </c>
      <c r="O421" s="33" t="s">
        <v>49</v>
      </c>
      <c r="P421" s="34" t="s">
        <v>49</v>
      </c>
      <c r="Q421" s="34" t="s">
        <v>49</v>
      </c>
      <c r="R421" s="34" t="s">
        <v>49</v>
      </c>
      <c r="S421" s="32" t="str">
        <f t="shared" si="32"/>
        <v>INCLUDE</v>
      </c>
      <c r="T421" s="32" t="str">
        <f t="shared" si="33"/>
        <v/>
      </c>
      <c r="U421" s="35" t="s">
        <v>61</v>
      </c>
      <c r="V421" s="35">
        <v>0</v>
      </c>
      <c r="W421" s="35">
        <v>1</v>
      </c>
      <c r="X421" s="35">
        <v>0</v>
      </c>
      <c r="Y421" s="32" t="str">
        <f t="shared" si="34"/>
        <v>Single</v>
      </c>
      <c r="Z421" s="35" t="s">
        <v>9</v>
      </c>
      <c r="AA421" s="35" t="s">
        <v>53</v>
      </c>
      <c r="AB421" s="35" t="s">
        <v>90</v>
      </c>
      <c r="AC421" s="35" t="s">
        <v>64</v>
      </c>
      <c r="AD421" s="35" t="s">
        <v>72</v>
      </c>
      <c r="AE421" s="35">
        <v>3</v>
      </c>
      <c r="AF421" s="35" t="s">
        <v>80</v>
      </c>
      <c r="AG421" s="15" t="s">
        <v>1160</v>
      </c>
      <c r="AH421" s="39" t="s">
        <v>1452</v>
      </c>
      <c r="AI421" s="39" t="s">
        <v>1453</v>
      </c>
      <c r="AJ421" t="s">
        <v>82</v>
      </c>
      <c r="AK421" t="s">
        <v>1651</v>
      </c>
      <c r="AL421" t="s">
        <v>1499</v>
      </c>
      <c r="AM421" s="69"/>
    </row>
    <row r="422" spans="1:39" ht="91.2" x14ac:dyDescent="0.3">
      <c r="A422" s="30">
        <v>4039</v>
      </c>
      <c r="B422" s="9" t="s">
        <v>308</v>
      </c>
      <c r="C422" s="36">
        <v>2022</v>
      </c>
      <c r="D422" s="9"/>
      <c r="E422" s="9" t="s">
        <v>999</v>
      </c>
      <c r="F422" s="30" t="s">
        <v>314</v>
      </c>
      <c r="G422" s="31" t="s">
        <v>315</v>
      </c>
      <c r="H422" s="31" t="s">
        <v>315</v>
      </c>
      <c r="I422" s="31" t="s">
        <v>315</v>
      </c>
      <c r="J422" s="31" t="s">
        <v>315</v>
      </c>
      <c r="K422" s="31" t="s">
        <v>315</v>
      </c>
      <c r="L422" s="32" t="str">
        <f t="shared" si="30"/>
        <v>INCLUDE</v>
      </c>
      <c r="M422" s="32" t="str">
        <f t="shared" si="31"/>
        <v/>
      </c>
      <c r="N422" s="33" t="s">
        <v>315</v>
      </c>
      <c r="O422" s="33" t="s">
        <v>315</v>
      </c>
      <c r="P422" s="34" t="s">
        <v>315</v>
      </c>
      <c r="Q422" s="34" t="s">
        <v>315</v>
      </c>
      <c r="R422" s="34" t="s">
        <v>315</v>
      </c>
      <c r="S422" s="32" t="str">
        <f t="shared" si="32"/>
        <v>INCLUDE</v>
      </c>
      <c r="T422" s="32" t="str">
        <f t="shared" si="33"/>
        <v/>
      </c>
      <c r="U422" s="35" t="s">
        <v>61</v>
      </c>
      <c r="V422" s="35">
        <v>0</v>
      </c>
      <c r="W422" s="35">
        <v>1</v>
      </c>
      <c r="X422" s="35">
        <v>0</v>
      </c>
      <c r="Y422" s="32" t="str">
        <f t="shared" si="34"/>
        <v>Single</v>
      </c>
      <c r="Z422" s="35" t="s">
        <v>9</v>
      </c>
      <c r="AA422" s="35" t="s">
        <v>53</v>
      </c>
      <c r="AB422" s="35" t="s">
        <v>92</v>
      </c>
      <c r="AC422" s="35" t="s">
        <v>64</v>
      </c>
      <c r="AD422" s="35" t="s">
        <v>72</v>
      </c>
      <c r="AE422" s="35">
        <v>4</v>
      </c>
      <c r="AF422" s="35" t="s">
        <v>84</v>
      </c>
      <c r="AG422" s="15" t="s">
        <v>1088</v>
      </c>
      <c r="AH422" s="39" t="s">
        <v>1454</v>
      </c>
      <c r="AI422" s="39" t="s">
        <v>1455</v>
      </c>
      <c r="AJ422" t="s">
        <v>1496</v>
      </c>
      <c r="AK422" t="s">
        <v>1652</v>
      </c>
      <c r="AL422" t="s">
        <v>1500</v>
      </c>
      <c r="AM422" s="69"/>
    </row>
    <row r="423" spans="1:39" ht="22.8" x14ac:dyDescent="0.3">
      <c r="A423" s="30">
        <v>3564</v>
      </c>
      <c r="B423" s="9"/>
      <c r="C423" s="36"/>
      <c r="D423" s="9"/>
      <c r="E423" s="9" t="s">
        <v>1000</v>
      </c>
      <c r="F423" s="30" t="s">
        <v>313</v>
      </c>
      <c r="G423" s="31" t="s">
        <v>315</v>
      </c>
      <c r="H423" s="31" t="s">
        <v>316</v>
      </c>
      <c r="I423" s="31" t="s">
        <v>315</v>
      </c>
      <c r="J423" s="31" t="s">
        <v>315</v>
      </c>
      <c r="K423" s="31" t="s">
        <v>315</v>
      </c>
      <c r="L423" s="32" t="str">
        <f t="shared" si="30"/>
        <v>EXCLUDE</v>
      </c>
      <c r="M423" s="32" t="str">
        <f t="shared" si="31"/>
        <v>Digital Twin not core / buzzword</v>
      </c>
      <c r="N423" s="33"/>
      <c r="O423" s="33"/>
      <c r="P423" s="34"/>
      <c r="Q423" s="34"/>
      <c r="R423" s="34"/>
      <c r="S423" s="32" t="str">
        <f t="shared" si="32"/>
        <v/>
      </c>
      <c r="T423" s="32" t="str">
        <f t="shared" si="33"/>
        <v/>
      </c>
      <c r="U423" s="35"/>
      <c r="V423" s="35"/>
      <c r="W423" s="35"/>
      <c r="X423" s="35"/>
      <c r="Y423" s="32" t="str">
        <f t="shared" si="34"/>
        <v/>
      </c>
      <c r="Z423" s="35"/>
      <c r="AA423" s="35"/>
      <c r="AB423" s="35"/>
      <c r="AC423" s="35"/>
      <c r="AD423" s="35"/>
      <c r="AE423" s="35"/>
      <c r="AF423" s="35"/>
      <c r="AG423" s="15" t="s">
        <v>580</v>
      </c>
      <c r="AH423" s="39"/>
      <c r="AI423" s="39"/>
      <c r="AM423" s="69"/>
    </row>
    <row r="424" spans="1:39" ht="114" x14ac:dyDescent="0.3">
      <c r="A424" s="30">
        <v>3852</v>
      </c>
      <c r="B424" s="9" t="s">
        <v>309</v>
      </c>
      <c r="C424" s="36">
        <v>2023</v>
      </c>
      <c r="D424" s="9"/>
      <c r="E424" s="9" t="s">
        <v>1001</v>
      </c>
      <c r="F424" s="30" t="s">
        <v>313</v>
      </c>
      <c r="G424" s="31" t="s">
        <v>315</v>
      </c>
      <c r="H424" s="31" t="s">
        <v>315</v>
      </c>
      <c r="I424" s="31" t="s">
        <v>315</v>
      </c>
      <c r="J424" s="31" t="s">
        <v>315</v>
      </c>
      <c r="K424" s="31" t="s">
        <v>315</v>
      </c>
      <c r="L424" s="32" t="str">
        <f t="shared" si="30"/>
        <v>INCLUDE</v>
      </c>
      <c r="M424" s="32" t="str">
        <f t="shared" si="31"/>
        <v/>
      </c>
      <c r="N424" s="33" t="s">
        <v>49</v>
      </c>
      <c r="O424" s="33" t="s">
        <v>49</v>
      </c>
      <c r="P424" s="34" t="s">
        <v>49</v>
      </c>
      <c r="Q424" s="34" t="s">
        <v>49</v>
      </c>
      <c r="R424" s="34" t="s">
        <v>49</v>
      </c>
      <c r="S424" s="32" t="str">
        <f t="shared" si="32"/>
        <v>INCLUDE</v>
      </c>
      <c r="T424" s="32" t="str">
        <f t="shared" si="33"/>
        <v/>
      </c>
      <c r="U424" s="35" t="s">
        <v>61</v>
      </c>
      <c r="V424" s="35">
        <v>0</v>
      </c>
      <c r="W424" s="35">
        <v>0</v>
      </c>
      <c r="X424" s="35">
        <v>1</v>
      </c>
      <c r="Y424" s="32" t="str">
        <f t="shared" si="34"/>
        <v>Single</v>
      </c>
      <c r="Z424" s="35" t="s">
        <v>9</v>
      </c>
      <c r="AA424" s="35" t="s">
        <v>53</v>
      </c>
      <c r="AB424" s="35" t="s">
        <v>90</v>
      </c>
      <c r="AC424" s="35" t="s">
        <v>64</v>
      </c>
      <c r="AD424" s="35" t="s">
        <v>72</v>
      </c>
      <c r="AE424" s="35">
        <v>4</v>
      </c>
      <c r="AF424" s="35" t="s">
        <v>84</v>
      </c>
      <c r="AG424" s="15" t="s">
        <v>1161</v>
      </c>
      <c r="AH424" s="39" t="s">
        <v>1456</v>
      </c>
      <c r="AI424" s="39" t="s">
        <v>1457</v>
      </c>
      <c r="AJ424" t="s">
        <v>1497</v>
      </c>
      <c r="AK424" t="s">
        <v>1653</v>
      </c>
      <c r="AL424" t="s">
        <v>1499</v>
      </c>
      <c r="AM424" s="69"/>
    </row>
    <row r="425" spans="1:39" ht="22.8" x14ac:dyDescent="0.3">
      <c r="A425" s="30">
        <v>3703</v>
      </c>
      <c r="B425" s="9"/>
      <c r="C425" s="36"/>
      <c r="D425" s="9"/>
      <c r="E425" s="9" t="s">
        <v>1002</v>
      </c>
      <c r="F425" s="30" t="s">
        <v>313</v>
      </c>
      <c r="G425" s="31" t="s">
        <v>316</v>
      </c>
      <c r="H425" s="31" t="s">
        <v>315</v>
      </c>
      <c r="I425" s="31" t="s">
        <v>315</v>
      </c>
      <c r="J425" s="31" t="s">
        <v>315</v>
      </c>
      <c r="K425" s="31" t="s">
        <v>315</v>
      </c>
      <c r="L425" s="32" t="str">
        <f t="shared" si="30"/>
        <v>EXCLUDE</v>
      </c>
      <c r="M425" s="32" t="str">
        <f t="shared" si="31"/>
        <v>Wrong domain (non-AECO)</v>
      </c>
      <c r="N425" s="33"/>
      <c r="O425" s="33"/>
      <c r="P425" s="34"/>
      <c r="Q425" s="34"/>
      <c r="R425" s="34"/>
      <c r="S425" s="32" t="str">
        <f t="shared" si="32"/>
        <v/>
      </c>
      <c r="T425" s="32" t="str">
        <f t="shared" si="33"/>
        <v/>
      </c>
      <c r="U425" s="35"/>
      <c r="V425" s="35"/>
      <c r="W425" s="35"/>
      <c r="X425" s="35"/>
      <c r="Y425" s="32" t="str">
        <f t="shared" si="34"/>
        <v/>
      </c>
      <c r="Z425" s="35"/>
      <c r="AA425" s="35"/>
      <c r="AB425" s="35"/>
      <c r="AC425" s="35"/>
      <c r="AD425" s="35"/>
      <c r="AE425" s="35"/>
      <c r="AF425" s="35"/>
      <c r="AG425" s="15" t="s">
        <v>581</v>
      </c>
      <c r="AH425" s="39"/>
      <c r="AI425" s="39"/>
      <c r="AM425" s="69"/>
    </row>
    <row r="426" spans="1:39" ht="22.8" x14ac:dyDescent="0.3">
      <c r="A426" s="30">
        <v>3687</v>
      </c>
      <c r="B426" s="9"/>
      <c r="C426" s="36"/>
      <c r="D426" s="9"/>
      <c r="E426" s="9" t="s">
        <v>1003</v>
      </c>
      <c r="F426" s="30" t="s">
        <v>313</v>
      </c>
      <c r="G426" s="31" t="s">
        <v>315</v>
      </c>
      <c r="H426" s="31" t="s">
        <v>316</v>
      </c>
      <c r="I426" s="31" t="s">
        <v>316</v>
      </c>
      <c r="J426" s="31" t="s">
        <v>315</v>
      </c>
      <c r="K426" s="31" t="s">
        <v>315</v>
      </c>
      <c r="L426" s="32" t="str">
        <f t="shared" si="30"/>
        <v>EXCLUDE</v>
      </c>
      <c r="M426" s="32" t="str">
        <f t="shared" si="31"/>
        <v>Digital Twin not core / buzzword</v>
      </c>
      <c r="N426" s="33"/>
      <c r="O426" s="33"/>
      <c r="P426" s="34"/>
      <c r="Q426" s="34"/>
      <c r="R426" s="34"/>
      <c r="S426" s="32" t="str">
        <f t="shared" si="32"/>
        <v/>
      </c>
      <c r="T426" s="32" t="str">
        <f t="shared" si="33"/>
        <v/>
      </c>
      <c r="U426" s="35"/>
      <c r="V426" s="35"/>
      <c r="W426" s="35"/>
      <c r="X426" s="35"/>
      <c r="Y426" s="32" t="str">
        <f t="shared" si="34"/>
        <v/>
      </c>
      <c r="Z426" s="35"/>
      <c r="AA426" s="35"/>
      <c r="AB426" s="35"/>
      <c r="AC426" s="35"/>
      <c r="AD426" s="35"/>
      <c r="AE426" s="35"/>
      <c r="AF426" s="35"/>
      <c r="AG426" s="15" t="s">
        <v>582</v>
      </c>
      <c r="AH426" s="39"/>
      <c r="AI426" s="39"/>
      <c r="AM426" s="69"/>
    </row>
    <row r="427" spans="1:39" ht="91.2" x14ac:dyDescent="0.3">
      <c r="A427" s="30">
        <v>3951</v>
      </c>
      <c r="B427" s="9" t="s">
        <v>310</v>
      </c>
      <c r="C427" s="36">
        <v>2024</v>
      </c>
      <c r="D427" s="9"/>
      <c r="E427" s="9" t="s">
        <v>1004</v>
      </c>
      <c r="F427" s="30" t="s">
        <v>314</v>
      </c>
      <c r="G427" s="31" t="s">
        <v>315</v>
      </c>
      <c r="H427" s="31" t="s">
        <v>315</v>
      </c>
      <c r="I427" s="31" t="s">
        <v>315</v>
      </c>
      <c r="J427" s="31" t="s">
        <v>315</v>
      </c>
      <c r="K427" s="31" t="s">
        <v>315</v>
      </c>
      <c r="L427" s="32" t="str">
        <f t="shared" si="30"/>
        <v>INCLUDE</v>
      </c>
      <c r="M427" s="32" t="str">
        <f t="shared" si="31"/>
        <v/>
      </c>
      <c r="N427" s="33" t="s">
        <v>315</v>
      </c>
      <c r="O427" s="33" t="s">
        <v>315</v>
      </c>
      <c r="P427" s="34" t="s">
        <v>315</v>
      </c>
      <c r="Q427" s="34" t="s">
        <v>315</v>
      </c>
      <c r="R427" s="34" t="s">
        <v>315</v>
      </c>
      <c r="S427" s="32" t="str">
        <f t="shared" si="32"/>
        <v>INCLUDE</v>
      </c>
      <c r="T427" s="32" t="str">
        <f t="shared" si="33"/>
        <v/>
      </c>
      <c r="U427" s="35" t="s">
        <v>61</v>
      </c>
      <c r="V427" s="35">
        <v>0</v>
      </c>
      <c r="W427" s="35">
        <v>1</v>
      </c>
      <c r="X427" s="35">
        <v>0</v>
      </c>
      <c r="Y427" s="32" t="str">
        <f t="shared" si="34"/>
        <v>Single</v>
      </c>
      <c r="Z427" s="35" t="s">
        <v>9</v>
      </c>
      <c r="AA427" s="35" t="s">
        <v>53</v>
      </c>
      <c r="AB427" s="35" t="s">
        <v>92</v>
      </c>
      <c r="AC427" s="35" t="s">
        <v>64</v>
      </c>
      <c r="AD427" s="35" t="s">
        <v>72</v>
      </c>
      <c r="AE427" s="35">
        <v>4</v>
      </c>
      <c r="AF427" s="35" t="s">
        <v>80</v>
      </c>
      <c r="AG427" s="15" t="s">
        <v>1089</v>
      </c>
      <c r="AH427" s="39" t="s">
        <v>1458</v>
      </c>
      <c r="AI427" s="39" t="s">
        <v>1459</v>
      </c>
      <c r="AJ427" t="s">
        <v>1497</v>
      </c>
      <c r="AK427" t="s">
        <v>1654</v>
      </c>
      <c r="AL427" t="s">
        <v>1500</v>
      </c>
      <c r="AM427" s="69"/>
    </row>
    <row r="428" spans="1:39" ht="114" x14ac:dyDescent="0.3">
      <c r="A428" s="30">
        <v>3885</v>
      </c>
      <c r="B428" s="9" t="s">
        <v>298</v>
      </c>
      <c r="C428" s="36">
        <v>2024</v>
      </c>
      <c r="D428" s="9"/>
      <c r="E428" s="9" t="s">
        <v>1005</v>
      </c>
      <c r="F428" s="30" t="s">
        <v>314</v>
      </c>
      <c r="G428" s="31" t="s">
        <v>315</v>
      </c>
      <c r="H428" s="31" t="s">
        <v>315</v>
      </c>
      <c r="I428" s="31" t="s">
        <v>315</v>
      </c>
      <c r="J428" s="31" t="s">
        <v>315</v>
      </c>
      <c r="K428" s="31" t="s">
        <v>315</v>
      </c>
      <c r="L428" s="32" t="str">
        <f t="shared" si="30"/>
        <v>INCLUDE</v>
      </c>
      <c r="M428" s="32" t="str">
        <f t="shared" si="31"/>
        <v/>
      </c>
      <c r="N428" s="33" t="s">
        <v>49</v>
      </c>
      <c r="O428" s="33" t="s">
        <v>49</v>
      </c>
      <c r="P428" s="34" t="s">
        <v>49</v>
      </c>
      <c r="Q428" s="34" t="s">
        <v>49</v>
      </c>
      <c r="R428" s="34" t="s">
        <v>49</v>
      </c>
      <c r="S428" s="32" t="str">
        <f t="shared" si="32"/>
        <v>INCLUDE</v>
      </c>
      <c r="T428" s="32" t="str">
        <f t="shared" si="33"/>
        <v/>
      </c>
      <c r="U428" s="35" t="s">
        <v>61</v>
      </c>
      <c r="V428" s="35">
        <v>0</v>
      </c>
      <c r="W428" s="35">
        <v>1</v>
      </c>
      <c r="X428" s="35">
        <v>0</v>
      </c>
      <c r="Y428" s="32" t="str">
        <f t="shared" si="34"/>
        <v>Single</v>
      </c>
      <c r="Z428" s="35" t="s">
        <v>9</v>
      </c>
      <c r="AA428" s="35" t="s">
        <v>53</v>
      </c>
      <c r="AB428" s="35" t="s">
        <v>92</v>
      </c>
      <c r="AC428" s="35" t="s">
        <v>64</v>
      </c>
      <c r="AD428" s="35" t="s">
        <v>72</v>
      </c>
      <c r="AE428" s="35">
        <v>3</v>
      </c>
      <c r="AF428" s="35" t="s">
        <v>86</v>
      </c>
      <c r="AG428" s="15" t="s">
        <v>1162</v>
      </c>
      <c r="AH428" s="39" t="s">
        <v>1460</v>
      </c>
      <c r="AI428" s="39" t="s">
        <v>1461</v>
      </c>
      <c r="AJ428" t="s">
        <v>1497</v>
      </c>
      <c r="AK428" t="s">
        <v>1655</v>
      </c>
      <c r="AL428" t="s">
        <v>1500</v>
      </c>
      <c r="AM428" s="69"/>
    </row>
    <row r="429" spans="1:39" ht="125.4" x14ac:dyDescent="0.3">
      <c r="A429" s="30">
        <v>3875</v>
      </c>
      <c r="B429" s="9" t="s">
        <v>311</v>
      </c>
      <c r="C429" s="36">
        <v>2023</v>
      </c>
      <c r="D429" s="9"/>
      <c r="E429" s="9" t="s">
        <v>1006</v>
      </c>
      <c r="F429" s="30" t="s">
        <v>314</v>
      </c>
      <c r="G429" s="31" t="s">
        <v>315</v>
      </c>
      <c r="H429" s="31" t="s">
        <v>315</v>
      </c>
      <c r="I429" s="31" t="s">
        <v>315</v>
      </c>
      <c r="J429" s="31" t="s">
        <v>315</v>
      </c>
      <c r="K429" s="31" t="s">
        <v>315</v>
      </c>
      <c r="L429" s="32" t="str">
        <f t="shared" si="30"/>
        <v>INCLUDE</v>
      </c>
      <c r="M429" s="32" t="str">
        <f t="shared" si="31"/>
        <v/>
      </c>
      <c r="N429" s="33" t="s">
        <v>49</v>
      </c>
      <c r="O429" s="33" t="s">
        <v>49</v>
      </c>
      <c r="P429" s="34" t="s">
        <v>49</v>
      </c>
      <c r="Q429" s="34" t="s">
        <v>49</v>
      </c>
      <c r="R429" s="34" t="s">
        <v>49</v>
      </c>
      <c r="S429" s="32" t="str">
        <f t="shared" si="32"/>
        <v>INCLUDE</v>
      </c>
      <c r="T429" s="32" t="str">
        <f t="shared" si="33"/>
        <v/>
      </c>
      <c r="U429" s="35" t="s">
        <v>61</v>
      </c>
      <c r="V429" s="35">
        <v>0</v>
      </c>
      <c r="W429" s="35">
        <v>1</v>
      </c>
      <c r="X429" s="35">
        <v>0</v>
      </c>
      <c r="Y429" s="32" t="str">
        <f t="shared" si="34"/>
        <v>Single</v>
      </c>
      <c r="Z429" s="35" t="s">
        <v>9</v>
      </c>
      <c r="AA429" s="35" t="s">
        <v>53</v>
      </c>
      <c r="AB429" s="35" t="s">
        <v>90</v>
      </c>
      <c r="AC429" s="35" t="s">
        <v>64</v>
      </c>
      <c r="AD429" s="35" t="s">
        <v>72</v>
      </c>
      <c r="AE429" s="35">
        <v>4</v>
      </c>
      <c r="AF429" s="35" t="s">
        <v>80</v>
      </c>
      <c r="AG429" s="15" t="s">
        <v>1163</v>
      </c>
      <c r="AH429" s="39" t="s">
        <v>1462</v>
      </c>
      <c r="AI429" s="39" t="s">
        <v>1463</v>
      </c>
      <c r="AJ429" t="s">
        <v>1497</v>
      </c>
      <c r="AK429" t="s">
        <v>1656</v>
      </c>
      <c r="AL429" t="s">
        <v>1499</v>
      </c>
      <c r="AM429" s="69"/>
    </row>
    <row r="430" spans="1:39" ht="102.6" x14ac:dyDescent="0.3">
      <c r="A430" s="30">
        <v>3877</v>
      </c>
      <c r="B430" s="9" t="s">
        <v>312</v>
      </c>
      <c r="C430" s="36">
        <v>2026</v>
      </c>
      <c r="D430" s="9"/>
      <c r="E430" s="9" t="s">
        <v>1007</v>
      </c>
      <c r="F430" s="30" t="s">
        <v>314</v>
      </c>
      <c r="G430" s="31" t="s">
        <v>315</v>
      </c>
      <c r="H430" s="31" t="s">
        <v>315</v>
      </c>
      <c r="I430" s="31" t="s">
        <v>315</v>
      </c>
      <c r="J430" s="31" t="s">
        <v>315</v>
      </c>
      <c r="K430" s="31" t="s">
        <v>315</v>
      </c>
      <c r="L430" s="32" t="str">
        <f t="shared" si="30"/>
        <v>INCLUDE</v>
      </c>
      <c r="M430" s="32" t="str">
        <f t="shared" si="31"/>
        <v/>
      </c>
      <c r="N430" s="33" t="s">
        <v>315</v>
      </c>
      <c r="O430" s="33" t="s">
        <v>315</v>
      </c>
      <c r="P430" s="34" t="s">
        <v>315</v>
      </c>
      <c r="Q430" s="34" t="s">
        <v>315</v>
      </c>
      <c r="R430" s="34" t="s">
        <v>315</v>
      </c>
      <c r="S430" s="32" t="str">
        <f t="shared" si="32"/>
        <v>INCLUDE</v>
      </c>
      <c r="T430" s="32" t="str">
        <f t="shared" si="33"/>
        <v/>
      </c>
      <c r="U430" s="35" t="s">
        <v>61</v>
      </c>
      <c r="V430" s="35">
        <v>0</v>
      </c>
      <c r="W430" s="35">
        <v>1</v>
      </c>
      <c r="X430" s="35">
        <v>0</v>
      </c>
      <c r="Y430" s="32" t="str">
        <f t="shared" si="34"/>
        <v>Single</v>
      </c>
      <c r="Z430" s="35" t="s">
        <v>11</v>
      </c>
      <c r="AA430" s="35" t="s">
        <v>53</v>
      </c>
      <c r="AB430" s="35" t="s">
        <v>91</v>
      </c>
      <c r="AC430" s="35" t="s">
        <v>64</v>
      </c>
      <c r="AD430" s="35" t="s">
        <v>72</v>
      </c>
      <c r="AE430" s="35">
        <v>4</v>
      </c>
      <c r="AF430" s="35" t="s">
        <v>86</v>
      </c>
      <c r="AG430" s="15" t="s">
        <v>1090</v>
      </c>
      <c r="AH430" s="39" t="s">
        <v>1464</v>
      </c>
      <c r="AI430" s="39" t="s">
        <v>1465</v>
      </c>
      <c r="AJ430" t="s">
        <v>1496</v>
      </c>
      <c r="AK430" t="s">
        <v>1657</v>
      </c>
      <c r="AL430" t="s">
        <v>1500</v>
      </c>
      <c r="AM430" s="69"/>
    </row>
    <row r="431" spans="1:39" x14ac:dyDescent="0.3">
      <c r="A431" s="8"/>
      <c r="B431" s="9"/>
      <c r="C431" s="8"/>
      <c r="D431" s="9"/>
      <c r="E431" s="9"/>
      <c r="F431" s="8"/>
      <c r="G431" s="10"/>
      <c r="H431" s="10"/>
      <c r="I431" s="10"/>
      <c r="J431" s="10"/>
      <c r="K431" s="10"/>
      <c r="L431" s="11"/>
      <c r="M431" s="11"/>
      <c r="N431" s="12"/>
      <c r="O431" s="12"/>
      <c r="P431" s="13"/>
      <c r="Q431" s="13"/>
      <c r="R431" s="13"/>
      <c r="S431" s="11"/>
      <c r="T431" s="11"/>
      <c r="U431" s="14"/>
      <c r="V431" s="14"/>
      <c r="W431" s="14"/>
      <c r="X431" s="14"/>
      <c r="Y431" s="11"/>
      <c r="Z431" s="14"/>
      <c r="AA431" s="14"/>
      <c r="AB431" s="14"/>
      <c r="AC431" s="14"/>
      <c r="AD431" s="14"/>
      <c r="AE431" s="14"/>
      <c r="AF431" s="14"/>
      <c r="AG431" s="15"/>
      <c r="AH431" s="39"/>
      <c r="AI431" s="39"/>
      <c r="AM431" s="69"/>
    </row>
    <row r="432" spans="1:39" x14ac:dyDescent="0.3">
      <c r="A432" s="8"/>
      <c r="B432" s="9"/>
      <c r="C432" s="8"/>
      <c r="D432" s="9"/>
      <c r="E432" s="9"/>
      <c r="F432" s="8"/>
      <c r="G432" s="10"/>
      <c r="H432" s="10"/>
      <c r="I432" s="10"/>
      <c r="J432" s="10"/>
      <c r="K432" s="10"/>
      <c r="L432" s="11"/>
      <c r="M432" s="11"/>
      <c r="N432" s="12"/>
      <c r="O432" s="12"/>
      <c r="P432" s="13"/>
      <c r="Q432" s="13"/>
      <c r="R432" s="13"/>
      <c r="S432" s="11"/>
      <c r="T432" s="11"/>
      <c r="U432" s="14"/>
      <c r="V432" s="14"/>
      <c r="W432" s="14"/>
      <c r="X432" s="14"/>
      <c r="Y432" s="11"/>
      <c r="Z432" s="14"/>
      <c r="AA432" s="14"/>
      <c r="AB432" s="14"/>
      <c r="AC432" s="14"/>
      <c r="AD432" s="14"/>
      <c r="AE432" s="14"/>
      <c r="AF432" s="14"/>
      <c r="AG432" s="15"/>
      <c r="AH432" s="39"/>
      <c r="AI432" s="39"/>
      <c r="AM432" s="69"/>
    </row>
    <row r="433" spans="1:39" x14ac:dyDescent="0.3">
      <c r="A433" s="8"/>
      <c r="B433" s="9"/>
      <c r="C433" s="8"/>
      <c r="D433" s="9"/>
      <c r="E433" s="9"/>
      <c r="F433" s="8"/>
      <c r="G433" s="10"/>
      <c r="H433" s="10"/>
      <c r="I433" s="10"/>
      <c r="J433" s="10"/>
      <c r="K433" s="10"/>
      <c r="L433" s="11"/>
      <c r="M433" s="11"/>
      <c r="N433" s="12"/>
      <c r="O433" s="12"/>
      <c r="P433" s="13"/>
      <c r="Q433" s="13"/>
      <c r="R433" s="13"/>
      <c r="S433" s="11"/>
      <c r="T433" s="11"/>
      <c r="U433" s="14"/>
      <c r="V433" s="14"/>
      <c r="W433" s="14"/>
      <c r="X433" s="14"/>
      <c r="Y433" s="11"/>
      <c r="Z433" s="14"/>
      <c r="AA433" s="14"/>
      <c r="AB433" s="14"/>
      <c r="AC433" s="14"/>
      <c r="AD433" s="14"/>
      <c r="AE433" s="14"/>
      <c r="AF433" s="14"/>
      <c r="AG433" s="15"/>
      <c r="AH433" s="39"/>
      <c r="AI433" s="39"/>
      <c r="AM433" s="69"/>
    </row>
    <row r="434" spans="1:39" x14ac:dyDescent="0.3">
      <c r="A434" s="8"/>
      <c r="B434" s="9"/>
      <c r="C434" s="8"/>
      <c r="D434" s="9"/>
      <c r="E434" s="9"/>
      <c r="F434" s="8"/>
      <c r="G434" s="10"/>
      <c r="H434" s="10"/>
      <c r="I434" s="10"/>
      <c r="J434" s="10"/>
      <c r="K434" s="10"/>
      <c r="L434" s="11"/>
      <c r="M434" s="11"/>
      <c r="N434" s="12"/>
      <c r="O434" s="12"/>
      <c r="P434" s="13"/>
      <c r="Q434" s="13"/>
      <c r="R434" s="13"/>
      <c r="S434" s="11"/>
      <c r="T434" s="11"/>
      <c r="U434" s="14"/>
      <c r="V434" s="14"/>
      <c r="W434" s="14"/>
      <c r="X434" s="14"/>
      <c r="Y434" s="11"/>
      <c r="Z434" s="14"/>
      <c r="AA434" s="14"/>
      <c r="AB434" s="14"/>
      <c r="AC434" s="14"/>
      <c r="AD434" s="14"/>
      <c r="AE434" s="14"/>
      <c r="AF434" s="14"/>
      <c r="AG434" s="15"/>
      <c r="AH434" s="39"/>
      <c r="AI434" s="39"/>
      <c r="AM434" s="69"/>
    </row>
    <row r="435" spans="1:39" x14ac:dyDescent="0.3">
      <c r="A435" s="8"/>
      <c r="B435" s="9"/>
      <c r="C435" s="8"/>
      <c r="D435" s="9"/>
      <c r="E435" s="9"/>
      <c r="F435" s="8"/>
      <c r="G435" s="10"/>
      <c r="H435" s="10"/>
      <c r="I435" s="10"/>
      <c r="J435" s="10"/>
      <c r="K435" s="10"/>
      <c r="L435" s="11"/>
      <c r="M435" s="11"/>
      <c r="N435" s="12"/>
      <c r="O435" s="12"/>
      <c r="P435" s="13"/>
      <c r="Q435" s="13"/>
      <c r="R435" s="13"/>
      <c r="S435" s="11"/>
      <c r="T435" s="11"/>
      <c r="U435" s="14"/>
      <c r="V435" s="14"/>
      <c r="W435" s="14"/>
      <c r="X435" s="14"/>
      <c r="Y435" s="11"/>
      <c r="Z435" s="14"/>
      <c r="AA435" s="14"/>
      <c r="AB435" s="14"/>
      <c r="AC435" s="14"/>
      <c r="AD435" s="14"/>
      <c r="AE435" s="14"/>
      <c r="AF435" s="14"/>
      <c r="AG435" s="15"/>
      <c r="AH435" s="39"/>
      <c r="AI435" s="39"/>
      <c r="AM435" s="69"/>
    </row>
    <row r="436" spans="1:39" x14ac:dyDescent="0.3">
      <c r="A436" s="8"/>
      <c r="B436" s="9"/>
      <c r="C436" s="8"/>
      <c r="D436" s="9"/>
      <c r="E436" s="9"/>
      <c r="F436" s="8"/>
      <c r="G436" s="10"/>
      <c r="H436" s="10"/>
      <c r="I436" s="10"/>
      <c r="J436" s="10"/>
      <c r="K436" s="10"/>
      <c r="L436" s="11"/>
      <c r="M436" s="11"/>
      <c r="N436" s="12"/>
      <c r="O436" s="12"/>
      <c r="P436" s="13"/>
      <c r="Q436" s="13"/>
      <c r="R436" s="13"/>
      <c r="S436" s="11"/>
      <c r="T436" s="11"/>
      <c r="U436" s="14"/>
      <c r="V436" s="14"/>
      <c r="W436" s="14"/>
      <c r="X436" s="14"/>
      <c r="Y436" s="11"/>
      <c r="Z436" s="14"/>
      <c r="AA436" s="14"/>
      <c r="AB436" s="14"/>
      <c r="AC436" s="14"/>
      <c r="AD436" s="14"/>
      <c r="AE436" s="14"/>
      <c r="AF436" s="14"/>
      <c r="AG436" s="15"/>
      <c r="AH436" s="39"/>
      <c r="AI436" s="39"/>
      <c r="AM436" s="69"/>
    </row>
    <row r="437" spans="1:39" x14ac:dyDescent="0.3">
      <c r="A437" s="8"/>
      <c r="B437" s="9"/>
      <c r="C437" s="8"/>
      <c r="D437" s="9"/>
      <c r="E437" s="9"/>
      <c r="F437" s="8"/>
      <c r="G437" s="10"/>
      <c r="H437" s="10"/>
      <c r="I437" s="10"/>
      <c r="J437" s="10"/>
      <c r="K437" s="10"/>
      <c r="L437" s="11"/>
      <c r="M437" s="11"/>
      <c r="N437" s="12"/>
      <c r="O437" s="12"/>
      <c r="P437" s="13"/>
      <c r="Q437" s="13"/>
      <c r="R437" s="13"/>
      <c r="S437" s="11"/>
      <c r="T437" s="11"/>
      <c r="U437" s="14"/>
      <c r="V437" s="14"/>
      <c r="W437" s="14"/>
      <c r="X437" s="14"/>
      <c r="Y437" s="11"/>
      <c r="Z437" s="14"/>
      <c r="AA437" s="14"/>
      <c r="AB437" s="14"/>
      <c r="AC437" s="14"/>
      <c r="AD437" s="14"/>
      <c r="AE437" s="14"/>
      <c r="AF437" s="14"/>
      <c r="AG437" s="15"/>
      <c r="AH437" s="39"/>
      <c r="AI437" s="39"/>
      <c r="AM437" s="69"/>
    </row>
    <row r="438" spans="1:39" x14ac:dyDescent="0.3">
      <c r="A438" s="8"/>
      <c r="B438" s="9"/>
      <c r="C438" s="8"/>
      <c r="D438" s="9"/>
      <c r="E438" s="9"/>
      <c r="F438" s="8"/>
      <c r="G438" s="10"/>
      <c r="H438" s="10"/>
      <c r="I438" s="10"/>
      <c r="J438" s="10"/>
      <c r="K438" s="10"/>
      <c r="L438" s="11"/>
      <c r="M438" s="11"/>
      <c r="N438" s="12"/>
      <c r="O438" s="12"/>
      <c r="P438" s="13"/>
      <c r="Q438" s="13"/>
      <c r="R438" s="13"/>
      <c r="S438" s="11"/>
      <c r="T438" s="11"/>
      <c r="U438" s="14"/>
      <c r="V438" s="14"/>
      <c r="W438" s="14"/>
      <c r="X438" s="14"/>
      <c r="Y438" s="11"/>
      <c r="Z438" s="14"/>
      <c r="AA438" s="14"/>
      <c r="AB438" s="14"/>
      <c r="AC438" s="14"/>
      <c r="AD438" s="14"/>
      <c r="AE438" s="14"/>
      <c r="AF438" s="14"/>
      <c r="AG438" s="15"/>
      <c r="AH438" s="39"/>
      <c r="AI438" s="39"/>
      <c r="AM438" s="69"/>
    </row>
    <row r="439" spans="1:39" x14ac:dyDescent="0.3">
      <c r="A439" s="8"/>
      <c r="B439" s="9"/>
      <c r="C439" s="8"/>
      <c r="D439" s="9"/>
      <c r="E439" s="9"/>
      <c r="F439" s="8"/>
      <c r="G439" s="10"/>
      <c r="H439" s="10"/>
      <c r="I439" s="10"/>
      <c r="J439" s="10"/>
      <c r="K439" s="10"/>
      <c r="L439" s="11"/>
      <c r="M439" s="11"/>
      <c r="N439" s="12"/>
      <c r="O439" s="12"/>
      <c r="P439" s="13"/>
      <c r="Q439" s="13"/>
      <c r="R439" s="13"/>
      <c r="S439" s="11"/>
      <c r="T439" s="11"/>
      <c r="U439" s="14"/>
      <c r="V439" s="14"/>
      <c r="W439" s="14"/>
      <c r="X439" s="14"/>
      <c r="Y439" s="11"/>
      <c r="Z439" s="14"/>
      <c r="AA439" s="14"/>
      <c r="AB439" s="14"/>
      <c r="AC439" s="14"/>
      <c r="AD439" s="14"/>
      <c r="AE439" s="14"/>
      <c r="AF439" s="14"/>
      <c r="AG439" s="15"/>
      <c r="AH439" s="39"/>
      <c r="AI439" s="39"/>
      <c r="AM439" s="69"/>
    </row>
    <row r="440" spans="1:39" x14ac:dyDescent="0.3">
      <c r="A440" s="8"/>
      <c r="B440" s="9"/>
      <c r="C440" s="8"/>
      <c r="D440" s="9"/>
      <c r="E440" s="9"/>
      <c r="F440" s="8"/>
      <c r="G440" s="10"/>
      <c r="H440" s="10"/>
      <c r="I440" s="10"/>
      <c r="J440" s="10"/>
      <c r="K440" s="10"/>
      <c r="L440" s="11"/>
      <c r="M440" s="11"/>
      <c r="N440" s="12"/>
      <c r="O440" s="12"/>
      <c r="P440" s="13"/>
      <c r="Q440" s="13"/>
      <c r="R440" s="13"/>
      <c r="S440" s="11"/>
      <c r="T440" s="11"/>
      <c r="U440" s="14"/>
      <c r="V440" s="14"/>
      <c r="W440" s="14"/>
      <c r="X440" s="14"/>
      <c r="Y440" s="11"/>
      <c r="Z440" s="14"/>
      <c r="AA440" s="14"/>
      <c r="AB440" s="14"/>
      <c r="AC440" s="14"/>
      <c r="AD440" s="14"/>
      <c r="AE440" s="14"/>
      <c r="AF440" s="14"/>
      <c r="AG440" s="15"/>
      <c r="AH440" s="39"/>
      <c r="AI440" s="39"/>
      <c r="AM440" s="69"/>
    </row>
    <row r="441" spans="1:39" x14ac:dyDescent="0.3">
      <c r="A441" s="8"/>
      <c r="B441" s="9"/>
      <c r="C441" s="8"/>
      <c r="D441" s="9"/>
      <c r="E441" s="9"/>
      <c r="F441" s="8"/>
      <c r="G441" s="10"/>
      <c r="H441" s="10"/>
      <c r="I441" s="10"/>
      <c r="J441" s="10"/>
      <c r="K441" s="10"/>
      <c r="L441" s="11"/>
      <c r="M441" s="11"/>
      <c r="N441" s="12"/>
      <c r="O441" s="12"/>
      <c r="P441" s="13"/>
      <c r="Q441" s="13"/>
      <c r="R441" s="13"/>
      <c r="S441" s="11"/>
      <c r="T441" s="11"/>
      <c r="U441" s="14"/>
      <c r="V441" s="14"/>
      <c r="W441" s="14"/>
      <c r="X441" s="14"/>
      <c r="Y441" s="11"/>
      <c r="Z441" s="14"/>
      <c r="AA441" s="14"/>
      <c r="AB441" s="14"/>
      <c r="AC441" s="14"/>
      <c r="AD441" s="14"/>
      <c r="AE441" s="14"/>
      <c r="AF441" s="14"/>
      <c r="AG441" s="15"/>
      <c r="AH441" s="39"/>
      <c r="AI441" s="39"/>
      <c r="AM441" s="69"/>
    </row>
    <row r="442" spans="1:39" x14ac:dyDescent="0.3">
      <c r="A442" s="8"/>
      <c r="B442" s="9"/>
      <c r="C442" s="8"/>
      <c r="D442" s="9"/>
      <c r="E442" s="9"/>
      <c r="F442" s="8"/>
      <c r="G442" s="10"/>
      <c r="H442" s="10"/>
      <c r="I442" s="10"/>
      <c r="J442" s="10"/>
      <c r="K442" s="10"/>
      <c r="L442" s="11"/>
      <c r="M442" s="11"/>
      <c r="N442" s="12"/>
      <c r="O442" s="12"/>
      <c r="P442" s="13"/>
      <c r="Q442" s="13"/>
      <c r="R442" s="13"/>
      <c r="S442" s="11"/>
      <c r="T442" s="11"/>
      <c r="U442" s="14"/>
      <c r="V442" s="14"/>
      <c r="W442" s="14"/>
      <c r="X442" s="14"/>
      <c r="Y442" s="11"/>
      <c r="Z442" s="14"/>
      <c r="AA442" s="14"/>
      <c r="AB442" s="14"/>
      <c r="AC442" s="14"/>
      <c r="AD442" s="14"/>
      <c r="AE442" s="14"/>
      <c r="AF442" s="14"/>
      <c r="AG442" s="15"/>
      <c r="AH442" s="39"/>
      <c r="AI442" s="39"/>
      <c r="AM442" s="69"/>
    </row>
    <row r="443" spans="1:39" x14ac:dyDescent="0.3">
      <c r="A443" s="8"/>
      <c r="B443" s="9"/>
      <c r="C443" s="8"/>
      <c r="D443" s="9"/>
      <c r="E443" s="9"/>
      <c r="F443" s="8"/>
      <c r="G443" s="10"/>
      <c r="H443" s="10"/>
      <c r="I443" s="10"/>
      <c r="J443" s="10"/>
      <c r="K443" s="10"/>
      <c r="L443" s="11"/>
      <c r="M443" s="11"/>
      <c r="N443" s="12"/>
      <c r="O443" s="12"/>
      <c r="P443" s="13"/>
      <c r="Q443" s="13"/>
      <c r="R443" s="13"/>
      <c r="S443" s="11"/>
      <c r="T443" s="11"/>
      <c r="U443" s="14"/>
      <c r="V443" s="14"/>
      <c r="W443" s="14"/>
      <c r="X443" s="14"/>
      <c r="Y443" s="11"/>
      <c r="Z443" s="14"/>
      <c r="AA443" s="14"/>
      <c r="AB443" s="14"/>
      <c r="AC443" s="14"/>
      <c r="AD443" s="14"/>
      <c r="AE443" s="14"/>
      <c r="AF443" s="14"/>
      <c r="AG443" s="15"/>
      <c r="AH443" s="39"/>
      <c r="AI443" s="39"/>
      <c r="AM443" s="69"/>
    </row>
    <row r="444" spans="1:39" x14ac:dyDescent="0.3">
      <c r="A444" s="8"/>
      <c r="B444" s="9"/>
      <c r="C444" s="8"/>
      <c r="D444" s="9"/>
      <c r="E444" s="9"/>
      <c r="F444" s="8"/>
      <c r="G444" s="10"/>
      <c r="H444" s="10"/>
      <c r="I444" s="10"/>
      <c r="J444" s="10"/>
      <c r="K444" s="10"/>
      <c r="L444" s="11"/>
      <c r="M444" s="11"/>
      <c r="N444" s="12"/>
      <c r="O444" s="12"/>
      <c r="P444" s="13"/>
      <c r="Q444" s="13"/>
      <c r="R444" s="13"/>
      <c r="S444" s="11"/>
      <c r="T444" s="11"/>
      <c r="U444" s="14"/>
      <c r="V444" s="14"/>
      <c r="W444" s="14"/>
      <c r="X444" s="14"/>
      <c r="Y444" s="11"/>
      <c r="Z444" s="14"/>
      <c r="AA444" s="14"/>
      <c r="AB444" s="14"/>
      <c r="AC444" s="14"/>
      <c r="AD444" s="14"/>
      <c r="AE444" s="14"/>
      <c r="AF444" s="14"/>
      <c r="AG444" s="15"/>
      <c r="AH444" s="39"/>
      <c r="AI444" s="39"/>
      <c r="AM444" s="69"/>
    </row>
    <row r="445" spans="1:39" x14ac:dyDescent="0.3">
      <c r="A445" s="8"/>
      <c r="B445" s="9"/>
      <c r="C445" s="8"/>
      <c r="D445" s="9"/>
      <c r="E445" s="9"/>
      <c r="F445" s="8"/>
      <c r="G445" s="10"/>
      <c r="H445" s="10"/>
      <c r="I445" s="10"/>
      <c r="J445" s="10"/>
      <c r="K445" s="10"/>
      <c r="L445" s="11"/>
      <c r="M445" s="11"/>
      <c r="N445" s="12"/>
      <c r="O445" s="12"/>
      <c r="P445" s="13"/>
      <c r="Q445" s="13"/>
      <c r="R445" s="13"/>
      <c r="S445" s="11"/>
      <c r="T445" s="11"/>
      <c r="U445" s="14"/>
      <c r="V445" s="14"/>
      <c r="W445" s="14"/>
      <c r="X445" s="14"/>
      <c r="Y445" s="11"/>
      <c r="Z445" s="14"/>
      <c r="AA445" s="14"/>
      <c r="AB445" s="14"/>
      <c r="AC445" s="14"/>
      <c r="AD445" s="14"/>
      <c r="AE445" s="14"/>
      <c r="AF445" s="14"/>
      <c r="AG445" s="15"/>
      <c r="AH445" s="39"/>
      <c r="AI445" s="39"/>
      <c r="AM445" s="69"/>
    </row>
    <row r="446" spans="1:39" x14ac:dyDescent="0.3">
      <c r="A446" s="8"/>
      <c r="B446" s="9"/>
      <c r="C446" s="8"/>
      <c r="D446" s="9"/>
      <c r="E446" s="9"/>
      <c r="F446" s="8"/>
      <c r="G446" s="10"/>
      <c r="H446" s="10"/>
      <c r="I446" s="10"/>
      <c r="J446" s="10"/>
      <c r="K446" s="10"/>
      <c r="L446" s="11"/>
      <c r="M446" s="11"/>
      <c r="N446" s="12"/>
      <c r="O446" s="12"/>
      <c r="P446" s="13"/>
      <c r="Q446" s="13"/>
      <c r="R446" s="13"/>
      <c r="S446" s="11"/>
      <c r="T446" s="11"/>
      <c r="U446" s="14"/>
      <c r="V446" s="14"/>
      <c r="W446" s="14"/>
      <c r="X446" s="14"/>
      <c r="Y446" s="11"/>
      <c r="Z446" s="14"/>
      <c r="AA446" s="14"/>
      <c r="AB446" s="14"/>
      <c r="AC446" s="14"/>
      <c r="AD446" s="14"/>
      <c r="AE446" s="14"/>
      <c r="AF446" s="14"/>
      <c r="AG446" s="15"/>
      <c r="AH446" s="39"/>
      <c r="AI446" s="39"/>
      <c r="AM446" s="69"/>
    </row>
    <row r="447" spans="1:39" x14ac:dyDescent="0.3">
      <c r="A447" s="8"/>
      <c r="B447" s="9"/>
      <c r="C447" s="8"/>
      <c r="D447" s="9"/>
      <c r="E447" s="9"/>
      <c r="F447" s="8"/>
      <c r="G447" s="10"/>
      <c r="H447" s="10"/>
      <c r="I447" s="10"/>
      <c r="J447" s="10"/>
      <c r="K447" s="10"/>
      <c r="L447" s="11"/>
      <c r="M447" s="11"/>
      <c r="N447" s="12"/>
      <c r="O447" s="12"/>
      <c r="P447" s="13"/>
      <c r="Q447" s="13"/>
      <c r="R447" s="13"/>
      <c r="S447" s="11"/>
      <c r="T447" s="11"/>
      <c r="U447" s="14"/>
      <c r="V447" s="14"/>
      <c r="W447" s="14"/>
      <c r="X447" s="14"/>
      <c r="Y447" s="11"/>
      <c r="Z447" s="14"/>
      <c r="AA447" s="14"/>
      <c r="AB447" s="14"/>
      <c r="AC447" s="14"/>
      <c r="AD447" s="14"/>
      <c r="AE447" s="14"/>
      <c r="AF447" s="14"/>
      <c r="AG447" s="15"/>
      <c r="AH447" s="39"/>
      <c r="AI447" s="39"/>
      <c r="AM447" s="69"/>
    </row>
    <row r="448" spans="1:39" x14ac:dyDescent="0.3">
      <c r="A448" s="8"/>
      <c r="B448" s="9"/>
      <c r="C448" s="8"/>
      <c r="D448" s="9"/>
      <c r="E448" s="9"/>
      <c r="F448" s="8"/>
      <c r="G448" s="10"/>
      <c r="H448" s="10"/>
      <c r="I448" s="10"/>
      <c r="J448" s="10"/>
      <c r="K448" s="10"/>
      <c r="L448" s="11"/>
      <c r="M448" s="11"/>
      <c r="N448" s="12"/>
      <c r="O448" s="12"/>
      <c r="P448" s="13"/>
      <c r="Q448" s="13"/>
      <c r="R448" s="13"/>
      <c r="S448" s="11"/>
      <c r="T448" s="11"/>
      <c r="U448" s="14"/>
      <c r="V448" s="14"/>
      <c r="W448" s="14"/>
      <c r="X448" s="14"/>
      <c r="Y448" s="11"/>
      <c r="Z448" s="14"/>
      <c r="AA448" s="14"/>
      <c r="AB448" s="14"/>
      <c r="AC448" s="14"/>
      <c r="AD448" s="14"/>
      <c r="AE448" s="14"/>
      <c r="AF448" s="14"/>
      <c r="AG448" s="15"/>
      <c r="AH448" s="39"/>
      <c r="AI448" s="39"/>
      <c r="AM448" s="69"/>
    </row>
    <row r="449" spans="1:39" x14ac:dyDescent="0.3">
      <c r="A449" s="8"/>
      <c r="B449" s="9"/>
      <c r="C449" s="8"/>
      <c r="D449" s="9"/>
      <c r="E449" s="9"/>
      <c r="F449" s="8"/>
      <c r="G449" s="10"/>
      <c r="H449" s="10"/>
      <c r="I449" s="10"/>
      <c r="J449" s="10"/>
      <c r="K449" s="10"/>
      <c r="L449" s="11"/>
      <c r="M449" s="11"/>
      <c r="N449" s="12"/>
      <c r="O449" s="12"/>
      <c r="P449" s="13"/>
      <c r="Q449" s="13"/>
      <c r="R449" s="13"/>
      <c r="S449" s="11"/>
      <c r="T449" s="11"/>
      <c r="U449" s="14"/>
      <c r="V449" s="14"/>
      <c r="W449" s="14"/>
      <c r="X449" s="14"/>
      <c r="Y449" s="11"/>
      <c r="Z449" s="14"/>
      <c r="AA449" s="14"/>
      <c r="AB449" s="14"/>
      <c r="AC449" s="14"/>
      <c r="AD449" s="14"/>
      <c r="AE449" s="14"/>
      <c r="AF449" s="14"/>
      <c r="AG449" s="15"/>
      <c r="AH449" s="39"/>
      <c r="AI449" s="39"/>
      <c r="AM449" s="69"/>
    </row>
    <row r="450" spans="1:39" x14ac:dyDescent="0.3">
      <c r="A450" s="8"/>
      <c r="B450" s="9"/>
      <c r="C450" s="8"/>
      <c r="D450" s="9"/>
      <c r="E450" s="9"/>
      <c r="F450" s="8"/>
      <c r="G450" s="10"/>
      <c r="H450" s="10"/>
      <c r="I450" s="10"/>
      <c r="J450" s="10"/>
      <c r="K450" s="10"/>
      <c r="L450" s="11"/>
      <c r="M450" s="11"/>
      <c r="N450" s="12"/>
      <c r="O450" s="12"/>
      <c r="P450" s="13"/>
      <c r="Q450" s="13"/>
      <c r="R450" s="13"/>
      <c r="S450" s="11"/>
      <c r="T450" s="11"/>
      <c r="U450" s="14"/>
      <c r="V450" s="14"/>
      <c r="W450" s="14"/>
      <c r="X450" s="14"/>
      <c r="Y450" s="11"/>
      <c r="Z450" s="14"/>
      <c r="AA450" s="14"/>
      <c r="AB450" s="14"/>
      <c r="AC450" s="14"/>
      <c r="AD450" s="14"/>
      <c r="AE450" s="14"/>
      <c r="AF450" s="14"/>
      <c r="AG450" s="15"/>
      <c r="AH450" s="39"/>
      <c r="AI450" s="39"/>
      <c r="AM450" s="69"/>
    </row>
    <row r="451" spans="1:39" x14ac:dyDescent="0.3">
      <c r="A451" s="8"/>
      <c r="B451" s="9"/>
      <c r="C451" s="8"/>
      <c r="D451" s="9"/>
      <c r="E451" s="9"/>
      <c r="F451" s="8"/>
      <c r="G451" s="10"/>
      <c r="H451" s="10"/>
      <c r="I451" s="10"/>
      <c r="J451" s="10"/>
      <c r="K451" s="10"/>
      <c r="L451" s="11"/>
      <c r="M451" s="11"/>
      <c r="N451" s="12"/>
      <c r="O451" s="12"/>
      <c r="P451" s="13"/>
      <c r="Q451" s="13"/>
      <c r="R451" s="13"/>
      <c r="S451" s="11"/>
      <c r="T451" s="11"/>
      <c r="U451" s="14"/>
      <c r="V451" s="14"/>
      <c r="W451" s="14"/>
      <c r="X451" s="14"/>
      <c r="Y451" s="11"/>
      <c r="Z451" s="14"/>
      <c r="AA451" s="14"/>
      <c r="AB451" s="14"/>
      <c r="AC451" s="14"/>
      <c r="AD451" s="14"/>
      <c r="AE451" s="14"/>
      <c r="AF451" s="14"/>
      <c r="AG451" s="15"/>
      <c r="AH451" s="39"/>
      <c r="AI451" s="39"/>
      <c r="AM451" s="69"/>
    </row>
  </sheetData>
  <phoneticPr fontId="11"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2">
        <x14:dataValidation type="list" allowBlank="1" xr:uid="{00000000-0002-0000-0200-000000000000}">
          <x14:formula1>
            <xm:f>'1_CodeLists'!$B$2:$B$6</xm:f>
          </x14:formula1>
          <x14:formula2>
            <xm:f>0</xm:f>
          </x14:formula2>
          <xm:sqref>F2:F451</xm:sqref>
        </x14:dataValidation>
        <x14:dataValidation type="list" allowBlank="1" xr:uid="{00000000-0002-0000-0200-000001000000}">
          <x14:formula1>
            <xm:f>'1_CodeLists'!$A$2:$A$3</xm:f>
          </x14:formula1>
          <x14:formula2>
            <xm:f>0</xm:f>
          </x14:formula2>
          <xm:sqref>N2:R451 G2:K451</xm:sqref>
        </x14:dataValidation>
        <x14:dataValidation type="list" allowBlank="1" xr:uid="{00000000-0002-0000-0200-00000B000000}">
          <x14:formula1>
            <xm:f>'1_CodeLists'!$D$2:$D$6</xm:f>
          </x14:formula1>
          <x14:formula2>
            <xm:f>0</xm:f>
          </x14:formula2>
          <xm:sqref>U2:U451</xm:sqref>
        </x14:dataValidation>
        <x14:dataValidation type="list" allowBlank="1" xr:uid="{00000000-0002-0000-0200-00000C000000}">
          <x14:formula1>
            <xm:f>'1_CodeLists'!$C$2:$C$3</xm:f>
          </x14:formula1>
          <x14:formula2>
            <xm:f>0</xm:f>
          </x14:formula2>
          <xm:sqref>V2:X451</xm:sqref>
        </x14:dataValidation>
        <x14:dataValidation type="list" allowBlank="1" xr:uid="{00000000-0002-0000-0200-00000F000000}">
          <x14:formula1>
            <xm:f>'1_CodeLists'!$E$2:$E$5</xm:f>
          </x14:formula1>
          <x14:formula2>
            <xm:f>0</xm:f>
          </x14:formula2>
          <xm:sqref>Z2:Z451</xm:sqref>
        </x14:dataValidation>
        <x14:dataValidation type="list" allowBlank="1" xr:uid="{00000000-0002-0000-0200-000010000000}">
          <x14:formula1>
            <xm:f>'1_CodeLists'!$F$2:$F$5</xm:f>
          </x14:formula1>
          <x14:formula2>
            <xm:f>0</xm:f>
          </x14:formula2>
          <xm:sqref>AA2:AA451</xm:sqref>
        </x14:dataValidation>
        <x14:dataValidation type="list" allowBlank="1" xr:uid="{00000000-0002-0000-0200-000011000000}">
          <x14:formula1>
            <xm:f>'1_CodeLists'!$G$2:$G$13</xm:f>
          </x14:formula1>
          <x14:formula2>
            <xm:f>0</xm:f>
          </x14:formula2>
          <xm:sqref>AB2:AB451</xm:sqref>
        </x14:dataValidation>
        <x14:dataValidation type="list" allowBlank="1" xr:uid="{00000000-0002-0000-0200-000012000000}">
          <x14:formula1>
            <xm:f>'1_CodeLists'!$H$2:$H$3</xm:f>
          </x14:formula1>
          <x14:formula2>
            <xm:f>0</xm:f>
          </x14:formula2>
          <xm:sqref>AC2:AC451</xm:sqref>
        </x14:dataValidation>
        <x14:dataValidation type="list" allowBlank="1" xr:uid="{00000000-0002-0000-0200-000013000000}">
          <x14:formula1>
            <xm:f>'1_CodeLists'!$I$2:$I$5</xm:f>
          </x14:formula1>
          <x14:formula2>
            <xm:f>0</xm:f>
          </x14:formula2>
          <xm:sqref>AD2:AD451</xm:sqref>
        </x14:dataValidation>
        <x14:dataValidation type="list" allowBlank="1" xr:uid="{00000000-0002-0000-0200-000014000000}">
          <x14:formula1>
            <xm:f>'1_CodeLists'!$J$2:$J$8</xm:f>
          </x14:formula1>
          <x14:formula2>
            <xm:f>0</xm:f>
          </x14:formula2>
          <xm:sqref>AF2:AF451</xm:sqref>
        </x14:dataValidation>
        <x14:dataValidation type="list" allowBlank="1" showInputMessage="1" showErrorMessage="1" xr:uid="{F44F7FD4-2351-4A9B-B26B-11BDA869C56B}">
          <x14:formula1>
            <xm:f>'1_CodeLists'!$K$2:$K$6</xm:f>
          </x14:formula1>
          <xm:sqref>AJ2:AJ451</xm:sqref>
        </x14:dataValidation>
        <x14:dataValidation type="list" allowBlank="1" showInputMessage="1" showErrorMessage="1" xr:uid="{7FA54CFA-E233-44A0-919D-120119BBD135}">
          <x14:formula1>
            <xm:f>'1_CodeLists'!$L$2:$L$4</xm:f>
          </x14:formula1>
          <xm:sqref>AL2:AL451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10" sqref="B10"/>
    </sheetView>
  </sheetViews>
  <sheetFormatPr defaultColWidth="8.6640625" defaultRowHeight="14.4" x14ac:dyDescent="0.3"/>
  <cols>
    <col min="1" max="1" width="46" customWidth="1"/>
    <col min="2" max="2" width="14" customWidth="1"/>
  </cols>
  <sheetData>
    <row r="1" spans="1:2" ht="16.8" x14ac:dyDescent="0.3">
      <c r="A1" s="16" t="s">
        <v>125</v>
      </c>
    </row>
    <row r="3" spans="1:2" x14ac:dyDescent="0.3">
      <c r="A3" s="17" t="s">
        <v>126</v>
      </c>
      <c r="B3" s="6" t="s">
        <v>127</v>
      </c>
    </row>
    <row r="4" spans="1:2" x14ac:dyDescent="0.3">
      <c r="A4" s="18" t="s">
        <v>128</v>
      </c>
      <c r="B4" s="19">
        <f>COUNTA(Matrix!$A$2:$A$451)</f>
        <v>429</v>
      </c>
    </row>
    <row r="5" spans="1:2" x14ac:dyDescent="0.3">
      <c r="A5" s="18" t="s">
        <v>129</v>
      </c>
      <c r="B5" s="19">
        <f>COUNTIF(Matrix!$L$2:$L$451,"INCLUDE")+COUNTIF(Matrix!$L$2:$L$451,"EXCLUDE")</f>
        <v>429</v>
      </c>
    </row>
    <row r="6" spans="1:2" x14ac:dyDescent="0.3">
      <c r="A6" s="18" t="s">
        <v>130</v>
      </c>
      <c r="B6" s="19">
        <f>COUNTIF(Matrix!$L$2:$L$451,"EXCLUDE")</f>
        <v>262</v>
      </c>
    </row>
    <row r="7" spans="1:2" x14ac:dyDescent="0.3">
      <c r="A7" s="20" t="s">
        <v>131</v>
      </c>
      <c r="B7" s="21">
        <f>COUNTIF(Matrix!$L$2:$L$451,"INCLUDE")</f>
        <v>167</v>
      </c>
    </row>
    <row r="8" spans="1:2" x14ac:dyDescent="0.3">
      <c r="A8" s="18" t="s">
        <v>132</v>
      </c>
      <c r="B8" s="19">
        <f>COUNTIFS(Matrix!$L$2:$L$451,"INCLUDE",Matrix!$N$2:$N$451,"Yes")</f>
        <v>162</v>
      </c>
    </row>
    <row r="9" spans="1:2" x14ac:dyDescent="0.3">
      <c r="A9" s="18" t="s">
        <v>133</v>
      </c>
      <c r="B9" s="19">
        <f>COUNTIFS(Matrix!$L$2:$L$451,"INCLUDE",Matrix!$N$2:$N$451,"No")</f>
        <v>3</v>
      </c>
    </row>
    <row r="10" spans="1:2" x14ac:dyDescent="0.3">
      <c r="A10" s="20" t="s">
        <v>134</v>
      </c>
      <c r="B10" s="21">
        <f>COUNTIFS(Matrix!$N$2:$N$451,"Yes",Matrix!$S$2:$S$451,"INCLUDE")+COUNTIFS(Matrix!$N$2:$N$451,"Yes",Matrix!$S$2:$S$451,"EXCLUDE")</f>
        <v>162</v>
      </c>
    </row>
    <row r="11" spans="1:2" x14ac:dyDescent="0.3">
      <c r="A11" s="18" t="s">
        <v>135</v>
      </c>
      <c r="B11" s="19">
        <f>COUNTIF(Matrix!$S$2:$S$451,"EXCLUDE")</f>
        <v>11</v>
      </c>
    </row>
    <row r="12" spans="1:2" x14ac:dyDescent="0.3">
      <c r="A12" s="22" t="s">
        <v>136</v>
      </c>
      <c r="B12" s="23">
        <f>COUNTIF(Matrix!$S$2:$S$451,"INCLUDE")</f>
        <v>151</v>
      </c>
    </row>
    <row r="14" spans="1:2" ht="15.6" x14ac:dyDescent="0.3">
      <c r="A14" s="3" t="s">
        <v>137</v>
      </c>
    </row>
    <row r="15" spans="1:2" x14ac:dyDescent="0.3">
      <c r="A15" s="17" t="s">
        <v>138</v>
      </c>
      <c r="B15" s="6" t="s">
        <v>127</v>
      </c>
    </row>
    <row r="16" spans="1:2" x14ac:dyDescent="0.3">
      <c r="A16" s="18" t="s">
        <v>139</v>
      </c>
      <c r="B16" s="19">
        <f>COUNTIF(Matrix!$M$2:$M$451,"Wrong domain (non-AECO)")</f>
        <v>99</v>
      </c>
    </row>
    <row r="17" spans="1:2" x14ac:dyDescent="0.3">
      <c r="A17" s="18" t="s">
        <v>140</v>
      </c>
      <c r="B17" s="19">
        <f>COUNTIF(Matrix!$M$2:$M$451,"Digital Twin not core / buzzword")</f>
        <v>112</v>
      </c>
    </row>
    <row r="18" spans="1:2" x14ac:dyDescent="0.3">
      <c r="A18" s="18" t="s">
        <v>141</v>
      </c>
      <c r="B18" s="19">
        <f>COUNTIF(Matrix!$M$2:$M$451,"No Design for Safety/Quality/PtD")</f>
        <v>21</v>
      </c>
    </row>
    <row r="19" spans="1:2" x14ac:dyDescent="0.3">
      <c r="A19" s="18" t="s">
        <v>142</v>
      </c>
      <c r="B19" s="19">
        <f>COUNTIF(Matrix!$M$2:$M$451,"Wrong publication type")</f>
        <v>0</v>
      </c>
    </row>
    <row r="20" spans="1:2" x14ac:dyDescent="0.3">
      <c r="A20" s="18" t="s">
        <v>143</v>
      </c>
      <c r="B20" s="19">
        <f>COUNTIF(Matrix!$M$2:$M$451,"Non-English")</f>
        <v>30</v>
      </c>
    </row>
    <row r="21" spans="1:2" x14ac:dyDescent="0.3">
      <c r="A21" s="24" t="s">
        <v>144</v>
      </c>
      <c r="B21" s="25">
        <f>SUM(B16:B20)</f>
        <v>262</v>
      </c>
    </row>
    <row r="23" spans="1:2" ht="15.6" x14ac:dyDescent="0.3">
      <c r="A23" s="3" t="s">
        <v>145</v>
      </c>
    </row>
    <row r="24" spans="1:2" x14ac:dyDescent="0.3">
      <c r="A24" s="17" t="s">
        <v>138</v>
      </c>
      <c r="B24" s="6" t="s">
        <v>127</v>
      </c>
    </row>
    <row r="25" spans="1:2" x14ac:dyDescent="0.3">
      <c r="A25" s="18" t="s">
        <v>146</v>
      </c>
      <c r="B25" s="19">
        <f>COUNTIF(Matrix!$T$2:$T$451,"Digital Twin mentioned only, not the subject")</f>
        <v>10</v>
      </c>
    </row>
    <row r="26" spans="1:2" x14ac:dyDescent="0.3">
      <c r="A26" s="18" t="s">
        <v>147</v>
      </c>
      <c r="B26" s="19">
        <f>COUNTIF(Matrix!$T$2:$T$451,"No Design for Safety/Quality in full text")</f>
        <v>1</v>
      </c>
    </row>
    <row r="27" spans="1:2" x14ac:dyDescent="0.3">
      <c r="A27" s="18" t="s">
        <v>148</v>
      </c>
      <c r="B27" s="19">
        <f>COUNTIF(Matrix!$T$2:$T$451,"Methodology not codable")</f>
        <v>0</v>
      </c>
    </row>
    <row r="28" spans="1:2" x14ac:dyDescent="0.3">
      <c r="A28" s="24" t="s">
        <v>149</v>
      </c>
      <c r="B28" s="25">
        <f>SUM(B25:B27)</f>
        <v>11</v>
      </c>
    </row>
  </sheetData>
  <phoneticPr fontId="1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0D3-135D-4D50-89AF-5F6D408EBDF9}">
  <dimension ref="A1:Q77"/>
  <sheetViews>
    <sheetView showGridLines="0" topLeftCell="A10" zoomScale="85" zoomScaleNormal="85" workbookViewId="0">
      <selection activeCell="C25" sqref="C25"/>
    </sheetView>
  </sheetViews>
  <sheetFormatPr defaultRowHeight="14.4" x14ac:dyDescent="0.3"/>
  <cols>
    <col min="1" max="1" width="16.6640625" customWidth="1"/>
    <col min="2" max="2" width="96.33203125" customWidth="1"/>
    <col min="16" max="16" width="27.77734375" customWidth="1"/>
  </cols>
  <sheetData>
    <row r="1" spans="5:17" x14ac:dyDescent="0.3">
      <c r="P1" s="40"/>
    </row>
    <row r="2" spans="5:17" x14ac:dyDescent="0.3">
      <c r="P2" s="40"/>
      <c r="Q2" s="40"/>
    </row>
    <row r="8" spans="5:17" x14ac:dyDescent="0.3">
      <c r="P8" s="40"/>
    </row>
    <row r="9" spans="5:17" x14ac:dyDescent="0.3">
      <c r="P9" s="40"/>
      <c r="Q9" s="40"/>
    </row>
    <row r="14" spans="5:17" x14ac:dyDescent="0.3">
      <c r="E14">
        <v>112</v>
      </c>
    </row>
    <row r="15" spans="5:17" x14ac:dyDescent="0.3">
      <c r="E15">
        <v>99</v>
      </c>
    </row>
    <row r="16" spans="5:17" x14ac:dyDescent="0.3">
      <c r="E16">
        <v>30</v>
      </c>
    </row>
    <row r="17" spans="5:5" x14ac:dyDescent="0.3">
      <c r="E17">
        <v>21</v>
      </c>
    </row>
    <row r="58" spans="1:2" x14ac:dyDescent="0.3">
      <c r="A58" s="42" t="s">
        <v>1466</v>
      </c>
      <c r="B58" s="43"/>
    </row>
    <row r="59" spans="1:2" x14ac:dyDescent="0.3">
      <c r="A59" s="44" t="s">
        <v>1467</v>
      </c>
      <c r="B59" s="44" t="s">
        <v>1468</v>
      </c>
    </row>
    <row r="60" spans="1:2" x14ac:dyDescent="0.3">
      <c r="A60" s="45" t="s">
        <v>1469</v>
      </c>
      <c r="B60" s="45" t="str">
        <f>"Records identified from databases"&amp;CHAR(10)&amp;"(Scopus · Web of Science)"&amp;CHAR(10)&amp;"n = "&amp;TEXT(Step1_Report!$B$4,"0")</f>
        <v>Records identified from databases
(Scopus · Web of Science)
n = 429</v>
      </c>
    </row>
    <row r="61" spans="1:2" x14ac:dyDescent="0.3">
      <c r="A61" s="45" t="s">
        <v>1470</v>
      </c>
      <c r="B61" s="45" t="str">
        <f>"Records screened at Stage 1"&amp;CHAR(10)&amp;"(title &amp; abstract)"&amp;CHAR(10)&amp;"n = "&amp;TEXT(Step1_Report!$B$5,"0")</f>
        <v>Records screened at Stage 1
(title &amp; abstract)
n = 429</v>
      </c>
    </row>
    <row r="62" spans="1:2" x14ac:dyDescent="0.3">
      <c r="A62" s="45" t="s">
        <v>1471</v>
      </c>
      <c r="B62" s="45"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262
• Digital Twin not core / buzzword: 112
• Wrong domain (non-AECO): 99
• Non-English: 30
• No Design for Safety/Quality/PtD: 21
• Wrong publication type: 0</v>
      </c>
    </row>
    <row r="63" spans="1:2" x14ac:dyDescent="0.3">
      <c r="A63" s="45" t="s">
        <v>1472</v>
      </c>
      <c r="B63" s="45" t="str">
        <f>"Reports sought for retrieval"&amp;CHAR(10)&amp;"n = "&amp;TEXT(Step1_Report!$B$7,"0")</f>
        <v>Reports sought for retrieval
n = 167</v>
      </c>
    </row>
    <row r="64" spans="1:2" x14ac:dyDescent="0.3">
      <c r="A64" s="45" t="s">
        <v>1473</v>
      </c>
      <c r="B64" s="45" t="str">
        <f>"Reports not retrieved"&amp;CHAR(10)&amp;"(full-text PDF not on hand)"&amp;CHAR(10)&amp;"n = "&amp;TEXT(Step1_Report!$B$7-Step1_Report!$B$10,"0")</f>
        <v>Reports not retrieved
(full-text PDF not on hand)
n = 5</v>
      </c>
    </row>
    <row r="65" spans="1:2" x14ac:dyDescent="0.3">
      <c r="A65" s="45" t="s">
        <v>1474</v>
      </c>
      <c r="B65" s="45" t="str">
        <f>"Reports assessed for eligibility"&amp;CHAR(10)&amp;"(Stage 2 — full text)"&amp;CHAR(10)&amp;"n = "&amp;TEXT(Step1_Report!$B$10,"0")</f>
        <v>Reports assessed for eligibility
(Stage 2 — full text)
n = 162</v>
      </c>
    </row>
    <row r="66" spans="1:2" x14ac:dyDescent="0.3">
      <c r="A66" s="45" t="s">
        <v>1475</v>
      </c>
      <c r="B66" s="45" t="str">
        <f>"Reports excluded at Stage 2   n = "&amp;TEXT(Step1_Report!$B$11,"0")&amp;CHAR(10)&amp;"• "&amp;Step1_Report!$A$25&amp;": "&amp;TEXT(Step1_Report!$B$25,"0")&amp;CHAR(10)&amp;"• "&amp;Step1_Report!$A$26&amp;": "&amp;TEXT(Step1_Report!$B$26,"0")&amp;CHAR(10)&amp;"• "&amp;Step1_Report!$A$27&amp;": "&amp;TEXT(Step1_Report!$B$27,"0")</f>
        <v>Reports excluded at Stage 2   n = 11
• Digital Twin mentioned only, not the subject: 10
• No Design for Safety/Quality in full text: 1
• Methodology not codable: 0</v>
      </c>
    </row>
    <row r="67" spans="1:2" x14ac:dyDescent="0.3">
      <c r="A67" s="45" t="s">
        <v>1476</v>
      </c>
      <c r="B67" s="45" t="str">
        <f>"STUDIES INCLUDED IN SYNTHESIS"&amp;CHAR(10)&amp;"n = "&amp;TEXT(Step1_Report!$B$12,"0")</f>
        <v>STUDIES INCLUDED IN SYNTHESIS
n = 151</v>
      </c>
    </row>
    <row r="68" spans="1:2" x14ac:dyDescent="0.3">
      <c r="A68" s="45" t="s">
        <v>1477</v>
      </c>
      <c r="B68" s="45" t="str">
        <f>"Characteristics of the "&amp;TEXT(Step3_Report!$B$2,"0")&amp;" included studies"</f>
        <v>Characteristics of the 151 included studies</v>
      </c>
    </row>
    <row r="69" spans="1:2" x14ac:dyDescent="0.3">
      <c r="A69" s="44" t="s">
        <v>1478</v>
      </c>
      <c r="B69" s="45"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31  (20.5%)
• Tier 2 – Digital Shadow: 91  (60.3%)
• Tier 3 – Digital Twin: 21  (13.9%)
• Tier 4 – Cognitive: 0  (0.0%)
• Unclear: 8  (5.3%)</v>
      </c>
    </row>
    <row r="70" spans="1:2" x14ac:dyDescent="0.3">
      <c r="A70" s="44" t="s">
        <v>1479</v>
      </c>
      <c r="B70" s="45" t="str">
        <f>Step3_Report!$A$12&amp;CHAR(10)&amp;"• None: "&amp;TEXT(Step3_Report!$B$14,"0")&amp;"  ("&amp;TEXT(Step3_Report!$C$14,"0.0%")&amp;")"&amp;CHAR(10)&amp;"• Mentioned only: "&amp;TEXT(Step3_Report!$B$15,"0")&amp;"  ("&amp;TEXT(Step3_Report!$C$15,"0.0%")&amp;")"&amp;CHAR(10)&amp;"• Implemented: "&amp;TEXT(Step3_Report!$B$16,"0")&amp;"  ("&amp;TEXT(Step3_Report!$C$16,"0.0%")&amp;")"&amp;CHAR(10)&amp;"• Convergence-characterised: "&amp;TEXT(Step3_Report!$B$17,"0")&amp;"  ("&amp;TEXT(Step3_Report!$C$17,"0.0%")&amp;")"</f>
        <v>Self-improvement / convergence (Gap 4 - core gap)
• None: 133  (88.1%)
• Mentioned only: 8  (5.3%)
• Implemented: 10  (6.6%)
• Convergence-characterised: 0  (0.0%)</v>
      </c>
    </row>
    <row r="71" spans="1:2" x14ac:dyDescent="0.3">
      <c r="A71" s="44" t="s">
        <v>1480</v>
      </c>
      <c r="B71" s="45" t="str">
        <f>"Validation level (Gap 5)"&amp;CHAR(10)&amp;"• Conceptual (no test): "&amp;TEXT(Step3_Report!$B$33,"0")&amp;"  ("&amp;TEXT(Step3_Report!$C$33,"0.0%")&amp;")"&amp;CHAR(10)&amp;"• Simulation: "&amp;TEXT(Step3_Report!$B$34,"0")&amp;"  ("&amp;TEXT(Step3_Report!$C$34,"0.0%")&amp;")"&amp;CHAR(10)&amp;"• Single case study: "&amp;TEXT(Step3_Report!$B$35,"0")&amp;"  ("&amp;TEXT(Step3_Report!$C$35,"0.0%")&amp;")"&amp;CHAR(10)&amp;"• Cross-project: "&amp;TEXT(Step3_Report!$B$36,"0")&amp;"  ("&amp;TEXT(Step3_Report!$C$36,"0.0%")&amp;")"</f>
        <v>Validation level (Gap 5)
• Conceptual (no test): 19  (12.6%)
• Simulation: 19  (12.6%)
• Single case study: 106  (70.2%)
• Cross-project: 7  (4.6%)</v>
      </c>
    </row>
    <row r="72" spans="1:2" x14ac:dyDescent="0.3">
      <c r="A72" s="44" t="s">
        <v>1481</v>
      </c>
      <c r="B72" s="45" t="str">
        <f>"Lifecycle phase coverage (Gap 3)"&amp;CHAR(10)&amp;"• Design (any): "&amp;TEXT(Step3_Report!$B$55,"0")&amp;CHAR(10)&amp;"• Construction (any): "&amp;TEXT(Step3_Report!$B$56,"0")&amp;CHAR(10)&amp;"• Operation (any): "&amp;TEXT(Step3_Report!$B$57,"0")&amp;CHAR(10)&amp;"• Single-phase: "&amp;TEXT(Step3_Report!$B$58,"0")&amp;CHAR(10)&amp;"• Multi-phase (cross-phase): "&amp;TEXT(Step3_Report!$B$59,"0")</f>
        <v>Lifecycle phase coverage (Gap 3)
• Design (any): 5
• Construction (any): 81
• Operation (any): 72
• Single-phase: 146
• Multi-phase (cross-phase): 5</v>
      </c>
    </row>
    <row r="73" spans="1:2" x14ac:dyDescent="0.3">
      <c r="A73" s="45" t="s">
        <v>97</v>
      </c>
      <c r="B73" s="45" t="str">
        <f>"PRISMA 2020 flow diagram — Digital Twins for Design for Safety &amp; Quality in AECO"</f>
        <v>PRISMA 2020 flow diagram — Digital Twins for Design for Safety &amp; Quality in AECO</v>
      </c>
    </row>
    <row r="74" spans="1:2" x14ac:dyDescent="0.3">
      <c r="A74" t="s">
        <v>1482</v>
      </c>
      <c r="B74" t="str">
        <f>"Shapes version. Shape text is generated from the live formulas in this feed block — ask to refresh the shapes after changing the Matrix. ""Not retrieved"" = "&amp;TEXT(Step1_Report!$B$7-Step1_Report!$B$10,"0")&amp;" ("&amp;TEXT(Step1_Report!$B$9,"0")&amp;" PDF pending + "&amp;TEXT(Step1_Report!$B$7-Step1_Report!$B$10-Step1_Report!$B$9,"0")&amp;" flagged duplicates)."</f>
        <v>Shapes version. Shape text is generated from the live formulas in this feed block — ask to refresh the shapes after changing the Matrix. "Not retrieved" = 5 (3 PDF pending + 2 flagged duplicates).</v>
      </c>
    </row>
    <row r="75" spans="1:2" x14ac:dyDescent="0.3">
      <c r="A75" s="44" t="s">
        <v>1484</v>
      </c>
      <c r="B75" s="41" t="str">
        <f>Step3_Report!$A$26&amp;CHAR(10)&amp;"• Single (one data type): "&amp;TEXT(Step3_Report!$B$28,"0")&amp;"  ("&amp;TEXT(Step3_Report!$C$28,"0.0%")&amp;")"&amp;CHAR(10)&amp;"• Multi (two or more data types): "&amp;TEXT(Step3_Report!$B$29,"0")&amp;"  ("&amp;TEXT(Step3_Report!$C$29,"0.0%")&amp;")"</f>
        <v>Data modality (Gap 2)
• Single (one data type): 14  (9.3%)
• Multi (two or more data types): 137  (90.7%)</v>
      </c>
    </row>
    <row r="76" spans="1:2" x14ac:dyDescent="0.3">
      <c r="A76" s="44" t="s">
        <v>1666</v>
      </c>
      <c r="B76" s="41" t="str">
        <f>Step3_Report!$A$80&amp;CHAR(10)&amp;"• Single: "&amp;TEXT(Step3_Report!$B$82,"0")&amp;"  ("&amp;TEXT(Step3_Report!$C$82,"0.0%")&amp;")"&amp;CHAR(10)&amp;"• Co-present: "&amp;TEXT(Step3_Report!$B$83,"0")&amp;"  ("&amp;TEXT(Step3_Report!$C$83,"0.0%")&amp;")"&amp;CHAR(10)&amp;"• Aligned: "&amp;TEXT(Step3_Report!$B$84,"0")&amp;"  ("&amp;TEXT(Step3_Report!$C$84,"0.0%")&amp;")"&amp;CHAR(10)&amp;"• Fused: "&amp;TEXT(Step3_Report!$B$85,"0")&amp;"  ("&amp;TEXT(Step3_Report!$C$85,"0.0%")&amp;")"&amp;CHAR(10)&amp;"• Unclear: "&amp;TEXT(Step3_Report!$B$86,"0")&amp;"  ("&amp;TEXT(Step3_Report!$C$86,"0.0%")&amp;")"</f>
        <v>Fusion depth (Gap 2b - how deeply are the data types actually integrated?)
• Single: 19  (12.6%)
• Co-present: 3  (2.0%)
• Aligned: 39  (25.8%)
• Fused: 71  (47.0%)
• Unclear: 19  (12.6%)</v>
      </c>
    </row>
    <row r="77" spans="1:2" x14ac:dyDescent="0.3">
      <c r="A77" s="44" t="s">
        <v>1667</v>
      </c>
      <c r="B77" s="41" t="str">
        <f>Step3_Report!$A$105</f>
        <v>Even among the 71 Fused studies, 64 (90.1%) implement no self-improvement and 0 characterise convergence - deep data integration does NOT translate into adaptive capability.</v>
      </c>
    </row>
  </sheetData>
  <phoneticPr fontId="1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5"/>
  <sheetViews>
    <sheetView showGridLines="0" topLeftCell="A40" zoomScale="115" zoomScaleNormal="115" workbookViewId="0">
      <selection activeCell="K26" sqref="K26"/>
    </sheetView>
  </sheetViews>
  <sheetFormatPr defaultColWidth="8.6640625" defaultRowHeight="14.4" x14ac:dyDescent="0.3"/>
  <cols>
    <col min="1" max="1" width="42" customWidth="1"/>
    <col min="2" max="2" width="10" customWidth="1"/>
    <col min="3" max="3" width="12" customWidth="1"/>
  </cols>
  <sheetData>
    <row r="1" spans="1:3" ht="16.8" x14ac:dyDescent="0.3">
      <c r="A1" s="16" t="s">
        <v>150</v>
      </c>
    </row>
    <row r="2" spans="1:3" x14ac:dyDescent="0.3">
      <c r="A2" s="26" t="s">
        <v>151</v>
      </c>
      <c r="B2" s="27">
        <f>COUNTIF(Matrix!$S$2:$S$451,"INCLUDE")</f>
        <v>151</v>
      </c>
    </row>
    <row r="4" spans="1:3" ht="15.6" x14ac:dyDescent="0.3">
      <c r="A4" s="3" t="s">
        <v>152</v>
      </c>
    </row>
    <row r="5" spans="1:3" x14ac:dyDescent="0.3">
      <c r="A5" s="6" t="s">
        <v>153</v>
      </c>
      <c r="B5" s="6" t="s">
        <v>127</v>
      </c>
      <c r="C5" s="6" t="s">
        <v>154</v>
      </c>
    </row>
    <row r="6" spans="1:3" x14ac:dyDescent="0.3">
      <c r="A6" s="18" t="s">
        <v>52</v>
      </c>
      <c r="B6" s="28">
        <f>COUNTIFS(Matrix!$S$2:$S$451,"INCLUDE",Matrix!$U$2:$U$451,"Tier 1 - Digital Model (static, no live data)")</f>
        <v>31</v>
      </c>
      <c r="C6" s="29">
        <f>IF($B$2=0,"-",B6/$B$2)</f>
        <v>0.20529801324503311</v>
      </c>
    </row>
    <row r="7" spans="1:3" x14ac:dyDescent="0.3">
      <c r="A7" s="18" t="s">
        <v>61</v>
      </c>
      <c r="B7" s="28">
        <f>COUNTIFS(Matrix!$S$2:$S$451,"INCLUDE",Matrix!$U$2:$U$451,"Tier 2 - Digital Shadow (one-way physical to virtual)")</f>
        <v>91</v>
      </c>
      <c r="C7" s="29">
        <f>IF($B$2=0,"-",B7/$B$2)</f>
        <v>0.60264900662251653</v>
      </c>
    </row>
    <row r="8" spans="1:3" x14ac:dyDescent="0.3">
      <c r="A8" s="18" t="s">
        <v>68</v>
      </c>
      <c r="B8" s="28">
        <f>COUNTIFS(Matrix!$S$2:$S$451,"INCLUDE",Matrix!$U$2:$U$451,"Tier 3 - Digital Twin (bidirectional, two-way)")</f>
        <v>21</v>
      </c>
      <c r="C8" s="29">
        <f>IF($B$2=0,"-",B8/$B$2)</f>
        <v>0.13907284768211919</v>
      </c>
    </row>
    <row r="9" spans="1:3" x14ac:dyDescent="0.3">
      <c r="A9" s="18" t="s">
        <v>75</v>
      </c>
      <c r="B9" s="28">
        <f>COUNTIFS(Matrix!$S$2:$S$451,"INCLUDE",Matrix!$U$2:$U$451,"Tier 4 - Cognitive / Self-improving")</f>
        <v>0</v>
      </c>
      <c r="C9" s="29">
        <f>IF($B$2=0,"-",B9/$B$2)</f>
        <v>0</v>
      </c>
    </row>
    <row r="10" spans="1:3" x14ac:dyDescent="0.3">
      <c r="A10" s="18" t="s">
        <v>82</v>
      </c>
      <c r="B10" s="28">
        <f>COUNTIFS(Matrix!$S$2:$S$451,"INCLUDE",Matrix!$U$2:$U$451,"Unclear")</f>
        <v>8</v>
      </c>
      <c r="C10" s="29">
        <f>IF($B$2=0,"-",B10/$B$2)</f>
        <v>5.2980132450331126E-2</v>
      </c>
    </row>
    <row r="12" spans="1:3" ht="15.6" x14ac:dyDescent="0.3">
      <c r="A12" s="3" t="s">
        <v>1483</v>
      </c>
    </row>
    <row r="13" spans="1:3" x14ac:dyDescent="0.3">
      <c r="A13" s="6" t="s">
        <v>153</v>
      </c>
      <c r="B13" s="6" t="s">
        <v>127</v>
      </c>
      <c r="C13" s="6" t="s">
        <v>154</v>
      </c>
    </row>
    <row r="14" spans="1:3" x14ac:dyDescent="0.3">
      <c r="A14" s="18" t="s">
        <v>53</v>
      </c>
      <c r="B14" s="28">
        <f>COUNTIFS(Matrix!$S$2:$S$451,"INCLUDE",Matrix!$AA$2:$AA$451,"None")</f>
        <v>133</v>
      </c>
      <c r="C14" s="29">
        <f>IF($B$2=0,"-",B14/$B$2)</f>
        <v>0.88079470198675491</v>
      </c>
    </row>
    <row r="15" spans="1:3" x14ac:dyDescent="0.3">
      <c r="A15" s="18" t="s">
        <v>62</v>
      </c>
      <c r="B15" s="28">
        <f>COUNTIFS(Matrix!$S$2:$S$451,"INCLUDE",Matrix!$AA$2:$AA$451,"Mentioned only")</f>
        <v>8</v>
      </c>
      <c r="C15" s="29">
        <f>IF($B$2=0,"-",B15/$B$2)</f>
        <v>5.2980132450331126E-2</v>
      </c>
    </row>
    <row r="16" spans="1:3" x14ac:dyDescent="0.3">
      <c r="A16" s="18" t="s">
        <v>70</v>
      </c>
      <c r="B16" s="28">
        <f>COUNTIFS(Matrix!$S$2:$S$451,"INCLUDE",Matrix!$AA$2:$AA$451,"Implemented")</f>
        <v>10</v>
      </c>
      <c r="C16" s="29">
        <f>IF($B$2=0,"-",B16/$B$2)</f>
        <v>6.6225165562913912E-2</v>
      </c>
    </row>
    <row r="17" spans="1:3" x14ac:dyDescent="0.3">
      <c r="A17" s="18" t="s">
        <v>77</v>
      </c>
      <c r="B17" s="28">
        <f>COUNTIFS(Matrix!$S$2:$S$451,"INCLUDE",Matrix!$AA$2:$AA$451,"Convergence-characterised")</f>
        <v>0</v>
      </c>
      <c r="C17" s="29">
        <f>IF($B$2=0,"-",B17/$B$2)</f>
        <v>0</v>
      </c>
    </row>
    <row r="19" spans="1:3" ht="15.6" x14ac:dyDescent="0.3">
      <c r="A19" s="3" t="s">
        <v>155</v>
      </c>
    </row>
    <row r="20" spans="1:3" x14ac:dyDescent="0.3">
      <c r="A20" s="6" t="s">
        <v>153</v>
      </c>
      <c r="B20" s="6" t="s">
        <v>127</v>
      </c>
      <c r="C20" s="6" t="s">
        <v>154</v>
      </c>
    </row>
    <row r="21" spans="1:3" x14ac:dyDescent="0.3">
      <c r="A21" s="18" t="s">
        <v>9</v>
      </c>
      <c r="B21" s="28">
        <f>COUNTIFS(Matrix!$S$2:$S$451,"INCLUDE",Matrix!$Z$2:$Z$451,"Design for Safety (DfS)")</f>
        <v>133</v>
      </c>
      <c r="C21" s="29">
        <f>IF($B$2=0,"-",B21/$B$2)</f>
        <v>0.88079470198675491</v>
      </c>
    </row>
    <row r="22" spans="1:3" x14ac:dyDescent="0.3">
      <c r="A22" s="18" t="s">
        <v>11</v>
      </c>
      <c r="B22" s="28">
        <f>COUNTIFS(Matrix!$S$2:$S$451,"INCLUDE",Matrix!$Z$2:$Z$451,"Design for Quality (DfQ)")</f>
        <v>10</v>
      </c>
      <c r="C22" s="29">
        <f>IF($B$2=0,"-",B22/$B$2)</f>
        <v>6.6225165562913912E-2</v>
      </c>
    </row>
    <row r="23" spans="1:3" x14ac:dyDescent="0.3">
      <c r="A23" s="18" t="s">
        <v>69</v>
      </c>
      <c r="B23" s="28">
        <f>COUNTIFS(Matrix!$S$2:$S$451,"INCLUDE",Matrix!$Z$2:$Z$451,"Both")</f>
        <v>8</v>
      </c>
      <c r="C23" s="29">
        <f>IF($B$2=0,"-",B23/$B$2)</f>
        <v>5.2980132450331126E-2</v>
      </c>
    </row>
    <row r="24" spans="1:3" x14ac:dyDescent="0.3">
      <c r="A24" s="18" t="s">
        <v>76</v>
      </c>
      <c r="B24" s="28">
        <f>COUNTIFS(Matrix!$S$2:$S$451,"INCLUDE",Matrix!$Z$2:$Z$451,"Other")</f>
        <v>0</v>
      </c>
      <c r="C24" s="29">
        <f>IF($B$2=0,"-",B24/$B$2)</f>
        <v>0</v>
      </c>
    </row>
    <row r="26" spans="1:3" ht="15.6" x14ac:dyDescent="0.3">
      <c r="A26" s="3" t="s">
        <v>156</v>
      </c>
    </row>
    <row r="27" spans="1:3" x14ac:dyDescent="0.3">
      <c r="A27" s="6" t="s">
        <v>153</v>
      </c>
      <c r="B27" s="6" t="s">
        <v>127</v>
      </c>
      <c r="C27" s="6" t="s">
        <v>154</v>
      </c>
    </row>
    <row r="28" spans="1:3" x14ac:dyDescent="0.3">
      <c r="A28" s="18" t="s">
        <v>55</v>
      </c>
      <c r="B28" s="28">
        <f>COUNTIFS(Matrix!$S$2:$S$451,"INCLUDE",Matrix!$AC$2:$AC$451,"Single (one data type)")</f>
        <v>14</v>
      </c>
      <c r="C28" s="29">
        <f>IF($B$2=0,"-",B28/$B$2)</f>
        <v>9.2715231788079472E-2</v>
      </c>
    </row>
    <row r="29" spans="1:3" x14ac:dyDescent="0.3">
      <c r="A29" s="18" t="s">
        <v>64</v>
      </c>
      <c r="B29" s="28">
        <f>COUNTIFS(Matrix!$S$2:$S$451,"INCLUDE",Matrix!$AC$2:$AC$451,"Multi (two or more data types)")</f>
        <v>137</v>
      </c>
      <c r="C29" s="29">
        <f>IF($B$2=0,"-",B29/$B$2)</f>
        <v>0.9072847682119205</v>
      </c>
    </row>
    <row r="31" spans="1:3" ht="15.6" x14ac:dyDescent="0.3">
      <c r="A31" s="3" t="s">
        <v>157</v>
      </c>
    </row>
    <row r="32" spans="1:3" x14ac:dyDescent="0.3">
      <c r="A32" s="6" t="s">
        <v>153</v>
      </c>
      <c r="B32" s="6" t="s">
        <v>127</v>
      </c>
      <c r="C32" s="6" t="s">
        <v>154</v>
      </c>
    </row>
    <row r="33" spans="1:3" x14ac:dyDescent="0.3">
      <c r="A33" s="18" t="s">
        <v>56</v>
      </c>
      <c r="B33" s="28">
        <f>COUNTIFS(Matrix!$S$2:$S$451,"INCLUDE",Matrix!$AD$2:$AD$451,"Conceptual (no test)")</f>
        <v>19</v>
      </c>
      <c r="C33" s="29">
        <f>IF($B$2=0,"-",B33/$B$2)</f>
        <v>0.12582781456953643</v>
      </c>
    </row>
    <row r="34" spans="1:3" x14ac:dyDescent="0.3">
      <c r="A34" s="18" t="s">
        <v>65</v>
      </c>
      <c r="B34" s="28">
        <f>COUNTIFS(Matrix!$S$2:$S$451,"INCLUDE",Matrix!$AD$2:$AD$451,"Simulation")</f>
        <v>19</v>
      </c>
      <c r="C34" s="29">
        <f>IF($B$2=0,"-",B34/$B$2)</f>
        <v>0.12582781456953643</v>
      </c>
    </row>
    <row r="35" spans="1:3" x14ac:dyDescent="0.3">
      <c r="A35" s="18" t="s">
        <v>72</v>
      </c>
      <c r="B35" s="28">
        <f>COUNTIFS(Matrix!$S$2:$S$451,"INCLUDE",Matrix!$AD$2:$AD$451,"Single case study")</f>
        <v>106</v>
      </c>
      <c r="C35" s="29">
        <f>IF($B$2=0,"-",B35/$B$2)</f>
        <v>0.70198675496688745</v>
      </c>
    </row>
    <row r="36" spans="1:3" x14ac:dyDescent="0.3">
      <c r="A36" s="18" t="s">
        <v>79</v>
      </c>
      <c r="B36" s="28">
        <f>COUNTIFS(Matrix!$S$2:$S$451,"INCLUDE",Matrix!$AD$2:$AD$451,"Cross-project (multiple real projects)")</f>
        <v>7</v>
      </c>
      <c r="C36" s="29">
        <f>IF($B$2=0,"-",B36/$B$2)</f>
        <v>4.6357615894039736E-2</v>
      </c>
    </row>
    <row r="38" spans="1:3" ht="15.6" x14ac:dyDescent="0.3">
      <c r="A38" s="3" t="s">
        <v>158</v>
      </c>
    </row>
    <row r="39" spans="1:3" x14ac:dyDescent="0.3">
      <c r="A39" s="6" t="s">
        <v>153</v>
      </c>
      <c r="B39" s="6" t="s">
        <v>127</v>
      </c>
      <c r="C39" s="6" t="s">
        <v>154</v>
      </c>
    </row>
    <row r="40" spans="1:3" x14ac:dyDescent="0.3">
      <c r="A40" s="18" t="s">
        <v>54</v>
      </c>
      <c r="B40" s="28">
        <f>COUNTIFS(Matrix!$S$2:$S$451,"INCLUDE",Matrix!$AB$2:$AB$451,"Computer Vision / CNN / object-detection")</f>
        <v>3</v>
      </c>
      <c r="C40" s="29">
        <f t="shared" ref="C40:C51" si="0">IF($B$2=0,"-",B40/$B$2)</f>
        <v>1.9867549668874173E-2</v>
      </c>
    </row>
    <row r="41" spans="1:3" x14ac:dyDescent="0.3">
      <c r="A41" s="18" t="s">
        <v>63</v>
      </c>
      <c r="B41" s="28">
        <f>COUNTIFS(Matrix!$S$2:$S$451,"INCLUDE",Matrix!$AB$2:$AB$451,"Graph Neural Network (GNN)")</f>
        <v>3</v>
      </c>
      <c r="C41" s="29">
        <f t="shared" si="0"/>
        <v>1.9867549668874173E-2</v>
      </c>
    </row>
    <row r="42" spans="1:3" x14ac:dyDescent="0.3">
      <c r="A42" s="18" t="s">
        <v>71</v>
      </c>
      <c r="B42" s="28">
        <f>COUNTIFS(Matrix!$S$2:$S$451,"INCLUDE",Matrix!$AB$2:$AB$451,"LSTM / RNN (recurrent networks)")</f>
        <v>2</v>
      </c>
      <c r="C42" s="29">
        <f t="shared" si="0"/>
        <v>1.3245033112582781E-2</v>
      </c>
    </row>
    <row r="43" spans="1:3" x14ac:dyDescent="0.3">
      <c r="A43" s="18" t="s">
        <v>78</v>
      </c>
      <c r="B43" s="28">
        <f>COUNTIFS(Matrix!$S$2:$S$451,"INCLUDE",Matrix!$AB$2:$AB$451,"Transformer / Large Language Model (LLM)")</f>
        <v>8</v>
      </c>
      <c r="C43" s="29">
        <f t="shared" si="0"/>
        <v>5.2980132450331126E-2</v>
      </c>
    </row>
    <row r="44" spans="1:3" x14ac:dyDescent="0.3">
      <c r="A44" s="18" t="s">
        <v>83</v>
      </c>
      <c r="B44" s="28">
        <f>COUNTIFS(Matrix!$S$2:$S$451,"INCLUDE",Matrix!$AB$2:$AB$451,"Reinforcement Learning (RL)")</f>
        <v>2</v>
      </c>
      <c r="C44" s="29">
        <f t="shared" si="0"/>
        <v>1.3245033112582781E-2</v>
      </c>
    </row>
    <row r="45" spans="1:3" x14ac:dyDescent="0.3">
      <c r="A45" s="18" t="s">
        <v>85</v>
      </c>
      <c r="B45" s="28">
        <f>COUNTIFS(Matrix!$S$2:$S$451,"INCLUDE",Matrix!$AB$2:$AB$451,"Bayesian / probabilistic")</f>
        <v>4</v>
      </c>
      <c r="C45" s="29">
        <f t="shared" si="0"/>
        <v>2.6490066225165563E-2</v>
      </c>
    </row>
    <row r="46" spans="1:3" x14ac:dyDescent="0.3">
      <c r="A46" s="18" t="s">
        <v>87</v>
      </c>
      <c r="B46" s="28">
        <f>COUNTIFS(Matrix!$S$2:$S$451,"INCLUDE",Matrix!$AB$2:$AB$451,"Agent-based model (ABM)")</f>
        <v>1</v>
      </c>
      <c r="C46" s="29">
        <f t="shared" si="0"/>
        <v>6.6225165562913907E-3</v>
      </c>
    </row>
    <row r="47" spans="1:3" x14ac:dyDescent="0.3">
      <c r="A47" s="18" t="s">
        <v>88</v>
      </c>
      <c r="B47" s="28">
        <f>COUNTIFS(Matrix!$S$2:$S$451,"INCLUDE",Matrix!$AB$2:$AB$451,"Finite Element Method / physics-based")</f>
        <v>15</v>
      </c>
      <c r="C47" s="29">
        <f t="shared" si="0"/>
        <v>9.9337748344370855E-2</v>
      </c>
    </row>
    <row r="48" spans="1:3" x14ac:dyDescent="0.3">
      <c r="A48" s="18" t="s">
        <v>89</v>
      </c>
      <c r="B48" s="28">
        <f>COUNTIFS(Matrix!$S$2:$S$451,"INCLUDE",Matrix!$AB$2:$AB$451,"Ontology / semantic")</f>
        <v>9</v>
      </c>
      <c r="C48" s="29">
        <f t="shared" si="0"/>
        <v>5.9602649006622516E-2</v>
      </c>
    </row>
    <row r="49" spans="1:6" x14ac:dyDescent="0.3">
      <c r="A49" s="18" t="s">
        <v>90</v>
      </c>
      <c r="B49" s="28">
        <f>COUNTIFS(Matrix!$S$2:$S$451,"INCLUDE",Matrix!$AB$2:$AB$451,"Statistical / change-point")</f>
        <v>8</v>
      </c>
      <c r="C49" s="29">
        <f t="shared" si="0"/>
        <v>5.2980132450331126E-2</v>
      </c>
    </row>
    <row r="50" spans="1:6" x14ac:dyDescent="0.3">
      <c r="A50" s="18" t="s">
        <v>91</v>
      </c>
      <c r="B50" s="28">
        <f>COUNTIFS(Matrix!$S$2:$S$451,"INCLUDE",Matrix!$AB$2:$AB$451,"Digital Twin platform (no machine learning)")</f>
        <v>40</v>
      </c>
      <c r="C50" s="29">
        <f t="shared" si="0"/>
        <v>0.26490066225165565</v>
      </c>
    </row>
    <row r="51" spans="1:6" x14ac:dyDescent="0.3">
      <c r="A51" s="18" t="s">
        <v>92</v>
      </c>
      <c r="B51" s="28">
        <f>COUNTIFS(Matrix!$S$2:$S$451,"INCLUDE",Matrix!$AB$2:$AB$451,"Other / Mixed")</f>
        <v>35</v>
      </c>
      <c r="C51" s="29">
        <f t="shared" si="0"/>
        <v>0.23178807947019867</v>
      </c>
    </row>
    <row r="53" spans="1:6" ht="15.6" x14ac:dyDescent="0.3">
      <c r="A53" s="3" t="s">
        <v>159</v>
      </c>
    </row>
    <row r="54" spans="1:6" x14ac:dyDescent="0.3">
      <c r="A54" s="6" t="s">
        <v>160</v>
      </c>
      <c r="B54" s="6" t="s">
        <v>127</v>
      </c>
    </row>
    <row r="55" spans="1:6" x14ac:dyDescent="0.3">
      <c r="A55" s="18" t="s">
        <v>161</v>
      </c>
      <c r="B55" s="28">
        <f>COUNTIFS(Matrix!$S$2:$S$451,"INCLUDE",Matrix!$V$2:$V$451,1)</f>
        <v>5</v>
      </c>
    </row>
    <row r="56" spans="1:6" x14ac:dyDescent="0.3">
      <c r="A56" s="18" t="s">
        <v>162</v>
      </c>
      <c r="B56" s="28">
        <f>COUNTIFS(Matrix!$S$2:$S$451,"INCLUDE",Matrix!$W$2:$W$451,1)</f>
        <v>81</v>
      </c>
    </row>
    <row r="57" spans="1:6" x14ac:dyDescent="0.3">
      <c r="A57" s="18" t="s">
        <v>163</v>
      </c>
      <c r="B57" s="28">
        <f>COUNTIFS(Matrix!$S$2:$S$451,"INCLUDE",Matrix!$X$2:$X$451,1)</f>
        <v>72</v>
      </c>
    </row>
    <row r="58" spans="1:6" x14ac:dyDescent="0.3">
      <c r="A58" s="18" t="s">
        <v>164</v>
      </c>
      <c r="B58" s="28">
        <f>COUNTIFS(Matrix!$S$2:$S$451,"INCLUDE",Matrix!$Y$2:$Y$451,"Single")</f>
        <v>146</v>
      </c>
    </row>
    <row r="59" spans="1:6" x14ac:dyDescent="0.3">
      <c r="A59" s="18" t="s">
        <v>165</v>
      </c>
      <c r="B59" s="28">
        <f>COUNTIFS(Matrix!$S$2:$S$451,"INCLUDE",Matrix!$Y$2:$Y$451,"Multi")</f>
        <v>5</v>
      </c>
    </row>
    <row r="61" spans="1:6" x14ac:dyDescent="0.3">
      <c r="A61" s="46" t="s">
        <v>1485</v>
      </c>
    </row>
    <row r="62" spans="1:6" ht="30" customHeight="1" x14ac:dyDescent="0.3">
      <c r="A62" s="57" t="s">
        <v>1486</v>
      </c>
      <c r="B62" s="58" t="str">
        <f>$A$14</f>
        <v>None</v>
      </c>
      <c r="C62" s="58" t="str">
        <f>$A$15</f>
        <v>Mentioned only</v>
      </c>
      <c r="D62" s="58" t="str">
        <f>$A$16</f>
        <v>Implemented</v>
      </c>
      <c r="E62" s="58" t="str">
        <f>$A$17</f>
        <v>Convergence-characterised</v>
      </c>
      <c r="F62" s="59" t="s">
        <v>1487</v>
      </c>
    </row>
    <row r="63" spans="1:6" x14ac:dyDescent="0.3">
      <c r="A63" s="60" t="str">
        <f>$A$28</f>
        <v>Single (one data type)</v>
      </c>
      <c r="B63" s="61">
        <f>COUNTIFS(Matrix!$S$2:$S$451,"INCLUDE",Matrix!$AC$2:$AC$451,$A63,Matrix!$AA$2:$AA$451,B$62)</f>
        <v>11</v>
      </c>
      <c r="C63" s="61">
        <f>COUNTIFS(Matrix!$S$2:$S$451,"INCLUDE",Matrix!$AC$2:$AC$451,$A63,Matrix!$AA$2:$AA$451,C$62)</f>
        <v>1</v>
      </c>
      <c r="D63" s="61">
        <f>COUNTIFS(Matrix!$S$2:$S$451,"INCLUDE",Matrix!$AC$2:$AC$451,$A63,Matrix!$AA$2:$AA$451,D$62)</f>
        <v>2</v>
      </c>
      <c r="E63" s="61">
        <f>COUNTIFS(Matrix!$S$2:$S$451,"INCLUDE",Matrix!$AC$2:$AC$451,$A63,Matrix!$AA$2:$AA$451,E$62)</f>
        <v>0</v>
      </c>
      <c r="F63" s="62">
        <f>SUM(B63:E63)</f>
        <v>14</v>
      </c>
    </row>
    <row r="64" spans="1:6" x14ac:dyDescent="0.3">
      <c r="A64" s="60" t="str">
        <f>$A$29</f>
        <v>Multi (two or more data types)</v>
      </c>
      <c r="B64" s="61">
        <f>COUNTIFS(Matrix!$S$2:$S$451,"INCLUDE",Matrix!$AC$2:$AC$451,$A64,Matrix!$AA$2:$AA$451,B$62)</f>
        <v>122</v>
      </c>
      <c r="C64" s="61">
        <f>COUNTIFS(Matrix!$S$2:$S$451,"INCLUDE",Matrix!$AC$2:$AC$451,$A64,Matrix!$AA$2:$AA$451,C$62)</f>
        <v>7</v>
      </c>
      <c r="D64" s="61">
        <f>COUNTIFS(Matrix!$S$2:$S$451,"INCLUDE",Matrix!$AC$2:$AC$451,$A64,Matrix!$AA$2:$AA$451,D$62)</f>
        <v>8</v>
      </c>
      <c r="E64" s="61">
        <f>COUNTIFS(Matrix!$S$2:$S$451,"INCLUDE",Matrix!$AC$2:$AC$451,$A64,Matrix!$AA$2:$AA$451,E$62)</f>
        <v>0</v>
      </c>
      <c r="F64" s="62">
        <f t="shared" ref="F64" si="1">SUM(B64:E64)</f>
        <v>137</v>
      </c>
    </row>
    <row r="65" spans="1:6" x14ac:dyDescent="0.3">
      <c r="A65" s="60" t="s">
        <v>1487</v>
      </c>
      <c r="B65" s="63">
        <f>SUM(B63:B64)</f>
        <v>133</v>
      </c>
      <c r="C65" s="63">
        <f t="shared" ref="C65:F65" si="2">SUM(C63:C64)</f>
        <v>8</v>
      </c>
      <c r="D65" s="63">
        <f t="shared" si="2"/>
        <v>10</v>
      </c>
      <c r="E65" s="63">
        <f t="shared" si="2"/>
        <v>0</v>
      </c>
      <c r="F65" s="62">
        <f t="shared" si="2"/>
        <v>151</v>
      </c>
    </row>
    <row r="66" spans="1:6" x14ac:dyDescent="0.3">
      <c r="A66" s="51"/>
      <c r="B66" s="51"/>
      <c r="C66" s="51"/>
      <c r="D66" s="51"/>
      <c r="E66" s="51"/>
      <c r="F66" s="51"/>
    </row>
    <row r="67" spans="1:6" x14ac:dyDescent="0.3">
      <c r="A67" s="64" t="s">
        <v>1488</v>
      </c>
      <c r="B67" s="56"/>
      <c r="C67" s="56"/>
      <c r="D67" s="56"/>
      <c r="E67" s="56"/>
      <c r="F67" s="56"/>
    </row>
    <row r="68" spans="1:6" ht="30" customHeight="1" x14ac:dyDescent="0.3">
      <c r="A68" s="65" t="s">
        <v>1486</v>
      </c>
      <c r="B68" s="58" t="str">
        <f>B$62</f>
        <v>None</v>
      </c>
      <c r="C68" s="58" t="str">
        <f>C$62</f>
        <v>Mentioned only</v>
      </c>
      <c r="D68" s="58" t="str">
        <f>D$62</f>
        <v>Implemented</v>
      </c>
      <c r="E68" s="58" t="str">
        <f>E$62</f>
        <v>Convergence-characterised</v>
      </c>
      <c r="F68" s="59" t="s">
        <v>1487</v>
      </c>
    </row>
    <row r="69" spans="1:6" x14ac:dyDescent="0.3">
      <c r="A69" s="60" t="str">
        <f>$A$63</f>
        <v>Single (one data type)</v>
      </c>
      <c r="B69" s="66">
        <f>IF($F63=0,"-",B63/$F63)</f>
        <v>0.7857142857142857</v>
      </c>
      <c r="C69" s="66">
        <f t="shared" ref="C69:F69" si="3">IF($F63=0,"-",C63/$F63)</f>
        <v>7.1428571428571425E-2</v>
      </c>
      <c r="D69" s="66">
        <f t="shared" si="3"/>
        <v>0.14285714285714285</v>
      </c>
      <c r="E69" s="66">
        <f t="shared" si="3"/>
        <v>0</v>
      </c>
      <c r="F69" s="67">
        <f t="shared" si="3"/>
        <v>1</v>
      </c>
    </row>
    <row r="70" spans="1:6" x14ac:dyDescent="0.3">
      <c r="A70" s="60" t="str">
        <f>$A$64</f>
        <v>Multi (two or more data types)</v>
      </c>
      <c r="B70" s="66">
        <f t="shared" ref="B70:F70" si="4">IF($F64=0,"-",B64/$F64)</f>
        <v>0.89051094890510951</v>
      </c>
      <c r="C70" s="66">
        <f t="shared" si="4"/>
        <v>5.1094890510948905E-2</v>
      </c>
      <c r="D70" s="66">
        <f t="shared" si="4"/>
        <v>5.8394160583941604E-2</v>
      </c>
      <c r="E70" s="66">
        <f t="shared" si="4"/>
        <v>0</v>
      </c>
      <c r="F70" s="67">
        <f t="shared" si="4"/>
        <v>1</v>
      </c>
    </row>
    <row r="71" spans="1:6" x14ac:dyDescent="0.3">
      <c r="A71" s="51"/>
      <c r="B71" s="51"/>
      <c r="C71" s="51"/>
      <c r="D71" s="51"/>
      <c r="E71" s="51"/>
      <c r="F71" s="51"/>
    </row>
    <row r="72" spans="1:6" x14ac:dyDescent="0.3">
      <c r="A72" s="54" t="s">
        <v>1489</v>
      </c>
      <c r="B72" s="53"/>
      <c r="C72" s="53"/>
      <c r="D72" s="53"/>
      <c r="E72" s="53"/>
      <c r="F72" s="53"/>
    </row>
    <row r="73" spans="1:6" x14ac:dyDescent="0.3">
      <c r="A73" s="52" t="s">
        <v>1490</v>
      </c>
      <c r="B73" s="53">
        <f>$F$65</f>
        <v>151</v>
      </c>
      <c r="C73" s="53"/>
      <c r="D73" s="53"/>
      <c r="E73" s="53"/>
      <c r="F73" s="53"/>
    </row>
    <row r="74" spans="1:6" x14ac:dyDescent="0.3">
      <c r="A74" s="52" t="s">
        <v>151</v>
      </c>
      <c r="B74" s="53">
        <f>$B$2</f>
        <v>151</v>
      </c>
      <c r="C74" s="53"/>
      <c r="D74" s="53"/>
      <c r="E74" s="53"/>
      <c r="F74" s="53"/>
    </row>
    <row r="75" spans="1:6" x14ac:dyDescent="0.3">
      <c r="A75" s="55" t="s">
        <v>1491</v>
      </c>
      <c r="B75" s="55" t="str">
        <f>IF($F$65=$B$2,"OK - "&amp;TEXT($F$65,"0")&amp;" studies fully cross-classified","MISMATCH: "&amp;TEXT($F$65-$B$2,"+0;-0")&amp;" - check for blank codes in Matrix AA/AC")</f>
        <v>OK - 151 studies fully cross-classified</v>
      </c>
      <c r="C75" s="56"/>
      <c r="D75" s="56"/>
      <c r="E75" s="56"/>
      <c r="F75" s="56"/>
    </row>
    <row r="77" spans="1:6" x14ac:dyDescent="0.3">
      <c r="A77" s="47" t="s">
        <v>1492</v>
      </c>
    </row>
    <row r="78" spans="1:6" x14ac:dyDescent="0.3">
      <c r="A78" s="50" t="str">
        <f>"Of the "&amp;TEXT($F$64,"0")&amp;" multimodal studies, "&amp;TEXT($B$64,"0")&amp;" ("&amp;TEXT($B$64/$F$64,"0.0%")&amp;") implement no self-improvement at all; only "&amp;TEXT($D$64,"0")&amp;" ("&amp;TEXT($D$64/$F$64,"0.0%")&amp;") implement it and "&amp;TEXT($E$64,"0")&amp;" characterise convergence."</f>
        <v>Of the 137 multimodal studies, 122 (89.1%) implement no self-improvement at all; only 8 (5.8%) implement it and 0 characterise convergence.</v>
      </c>
    </row>
    <row r="80" spans="1:6" x14ac:dyDescent="0.3">
      <c r="A80" s="47" t="s">
        <v>1658</v>
      </c>
      <c r="E80" s="47" t="s">
        <v>1659</v>
      </c>
    </row>
    <row r="81" spans="1:6" ht="28.8" x14ac:dyDescent="0.3">
      <c r="A81" s="48" t="s">
        <v>153</v>
      </c>
      <c r="B81" s="48" t="s">
        <v>127</v>
      </c>
      <c r="C81" s="48" t="s">
        <v>154</v>
      </c>
      <c r="E81" s="48" t="s">
        <v>1660</v>
      </c>
      <c r="F81" s="48" t="s">
        <v>127</v>
      </c>
    </row>
    <row r="82" spans="1:6" x14ac:dyDescent="0.3">
      <c r="A82" s="40" t="str">
        <f>'1_CodeLists'!$K$2</f>
        <v>Single</v>
      </c>
      <c r="B82">
        <f>COUNTIFS(Matrix!$S$2:$S$451,"INCLUDE",Matrix!$AJ$2:$AJ$451,$A82)</f>
        <v>19</v>
      </c>
      <c r="C82" s="49">
        <f>IF($B$2=0,"-",B82/$B$2)</f>
        <v>0.12582781456953643</v>
      </c>
      <c r="E82" t="str">
        <f>'1_CodeLists'!$L$2</f>
        <v>High</v>
      </c>
      <c r="F82">
        <f>COUNTIFS(Matrix!$S$2:$S$451,"INCLUDE",Matrix!$AL$2:$AL$451,$E82)</f>
        <v>109</v>
      </c>
    </row>
    <row r="83" spans="1:6" x14ac:dyDescent="0.3">
      <c r="A83" s="40" t="str">
        <f>'1_CodeLists'!$K$3</f>
        <v>Co-present</v>
      </c>
      <c r="B83">
        <f>COUNTIFS(Matrix!$S$2:$S$451,"INCLUDE",Matrix!$AJ$2:$AJ$451,$A83)</f>
        <v>3</v>
      </c>
      <c r="C83" s="49">
        <f t="shared" ref="C83:C86" si="5">IF($B$2=0,"-",B83/$B$2)</f>
        <v>1.9867549668874173E-2</v>
      </c>
      <c r="E83" t="str">
        <f>'1_CodeLists'!$L$3</f>
        <v>Medium</v>
      </c>
      <c r="F83">
        <f>COUNTIFS(Matrix!$S$2:$S$451,"INCLUDE",Matrix!$AL$2:$AL$451,$E83)</f>
        <v>42</v>
      </c>
    </row>
    <row r="84" spans="1:6" x14ac:dyDescent="0.3">
      <c r="A84" s="40" t="str">
        <f>'1_CodeLists'!$K$4</f>
        <v>Aligned</v>
      </c>
      <c r="B84">
        <f>COUNTIFS(Matrix!$S$2:$S$451,"INCLUDE",Matrix!$AJ$2:$AJ$451,$A84)</f>
        <v>39</v>
      </c>
      <c r="C84" s="49">
        <f t="shared" si="5"/>
        <v>0.25827814569536423</v>
      </c>
      <c r="E84" t="str">
        <f>'1_CodeLists'!$L$4</f>
        <v>Low</v>
      </c>
      <c r="F84">
        <f>COUNTIFS(Matrix!$S$2:$S$451,"INCLUDE",Matrix!$AL$2:$AL$451,$E84)</f>
        <v>0</v>
      </c>
    </row>
    <row r="85" spans="1:6" x14ac:dyDescent="0.3">
      <c r="A85" s="40" t="str">
        <f>'1_CodeLists'!$K$5</f>
        <v>Fused</v>
      </c>
      <c r="B85">
        <f>COUNTIFS(Matrix!$S$2:$S$451,"INCLUDE",Matrix!$AJ$2:$AJ$451,$A85)</f>
        <v>71</v>
      </c>
      <c r="C85" s="49">
        <f t="shared" si="5"/>
        <v>0.47019867549668876</v>
      </c>
      <c r="E85" t="s">
        <v>1661</v>
      </c>
      <c r="F85">
        <f>COUNTIFS(Matrix!$S$2:$S$451,"INCLUDE",Matrix!$AM$2:$AM$451,"&lt;&gt;")</f>
        <v>5</v>
      </c>
    </row>
    <row r="86" spans="1:6" x14ac:dyDescent="0.3">
      <c r="A86" s="40" t="str">
        <f>'1_CodeLists'!$K$6</f>
        <v>Unclear</v>
      </c>
      <c r="B86">
        <f>COUNTIFS(Matrix!$S$2:$S$451,"INCLUDE",Matrix!$AJ$2:$AJ$451,$A86)</f>
        <v>19</v>
      </c>
      <c r="C86" s="49">
        <f t="shared" si="5"/>
        <v>0.12582781456953643</v>
      </c>
    </row>
    <row r="87" spans="1:6" x14ac:dyDescent="0.3">
      <c r="A87" s="40" t="s">
        <v>1487</v>
      </c>
      <c r="B87" s="40">
        <f>SUM(B82:B86)</f>
        <v>151</v>
      </c>
      <c r="C87" s="70">
        <f>IF($B$2=0,"-",B87/$B$2)</f>
        <v>1</v>
      </c>
    </row>
    <row r="89" spans="1:6" x14ac:dyDescent="0.3">
      <c r="A89" s="47" t="s">
        <v>1662</v>
      </c>
    </row>
    <row r="90" spans="1:6" ht="30" customHeight="1" x14ac:dyDescent="0.3">
      <c r="A90" s="48" t="s">
        <v>1663</v>
      </c>
      <c r="B90" s="48" t="str">
        <f>$A$14</f>
        <v>None</v>
      </c>
      <c r="C90" s="48" t="str">
        <f>$A$15</f>
        <v>Mentioned only</v>
      </c>
      <c r="D90" s="48" t="str">
        <f>$A$16</f>
        <v>Implemented</v>
      </c>
      <c r="E90" s="48" t="str">
        <f>$A$17</f>
        <v>Convergence-characterised</v>
      </c>
      <c r="F90" s="48" t="s">
        <v>1487</v>
      </c>
    </row>
    <row r="91" spans="1:6" x14ac:dyDescent="0.3">
      <c r="A91" s="40" t="str">
        <f>$A$82</f>
        <v>Single</v>
      </c>
      <c r="B91">
        <f>COUNTIFS(Matrix!$S$2:$S$451,"INCLUDE",Matrix!$AJ$2:$AJ$451,$A91,Matrix!$AA$2:$AA$451,B$90)</f>
        <v>16</v>
      </c>
      <c r="C91">
        <f>COUNTIFS(Matrix!$S$2:$S$451,"INCLUDE",Matrix!$AJ$2:$AJ$451,$A91,Matrix!$AA$2:$AA$451,C$90)</f>
        <v>1</v>
      </c>
      <c r="D91">
        <f>COUNTIFS(Matrix!$S$2:$S$451,"INCLUDE",Matrix!$AJ$2:$AJ$451,$A91,Matrix!$AA$2:$AA$451,D$90)</f>
        <v>2</v>
      </c>
      <c r="E91">
        <f>COUNTIFS(Matrix!$S$2:$S$451,"INCLUDE",Matrix!$AJ$2:$AJ$451,$A91,Matrix!$AA$2:$AA$451,E$90)</f>
        <v>0</v>
      </c>
      <c r="F91" s="40">
        <f>SUM(B91:E91)</f>
        <v>19</v>
      </c>
    </row>
    <row r="92" spans="1:6" x14ac:dyDescent="0.3">
      <c r="A92" s="40" t="str">
        <f>$A$83</f>
        <v>Co-present</v>
      </c>
      <c r="B92">
        <f>COUNTIFS(Matrix!$S$2:$S$451,"INCLUDE",Matrix!$AJ$2:$AJ$451,$A92,Matrix!$AA$2:$AA$451,B$90)</f>
        <v>3</v>
      </c>
      <c r="C92">
        <f>COUNTIFS(Matrix!$S$2:$S$451,"INCLUDE",Matrix!$AJ$2:$AJ$451,$A92,Matrix!$AA$2:$AA$451,C$90)</f>
        <v>0</v>
      </c>
      <c r="D92">
        <f>COUNTIFS(Matrix!$S$2:$S$451,"INCLUDE",Matrix!$AJ$2:$AJ$451,$A92,Matrix!$AA$2:$AA$451,D$90)</f>
        <v>0</v>
      </c>
      <c r="E92">
        <f>COUNTIFS(Matrix!$S$2:$S$451,"INCLUDE",Matrix!$AJ$2:$AJ$451,$A92,Matrix!$AA$2:$AA$451,E$90)</f>
        <v>0</v>
      </c>
      <c r="F92" s="40">
        <f t="shared" ref="F92:F95" si="6">SUM(B92:E92)</f>
        <v>3</v>
      </c>
    </row>
    <row r="93" spans="1:6" x14ac:dyDescent="0.3">
      <c r="A93" s="40" t="str">
        <f>$A$84</f>
        <v>Aligned</v>
      </c>
      <c r="B93">
        <f>COUNTIFS(Matrix!$S$2:$S$451,"INCLUDE",Matrix!$AJ$2:$AJ$451,$A93,Matrix!$AA$2:$AA$451,B$90)</f>
        <v>35</v>
      </c>
      <c r="C93">
        <f>COUNTIFS(Matrix!$S$2:$S$451,"INCLUDE",Matrix!$AJ$2:$AJ$451,$A93,Matrix!$AA$2:$AA$451,C$90)</f>
        <v>3</v>
      </c>
      <c r="D93">
        <f>COUNTIFS(Matrix!$S$2:$S$451,"INCLUDE",Matrix!$AJ$2:$AJ$451,$A93,Matrix!$AA$2:$AA$451,D$90)</f>
        <v>1</v>
      </c>
      <c r="E93">
        <f>COUNTIFS(Matrix!$S$2:$S$451,"INCLUDE",Matrix!$AJ$2:$AJ$451,$A93,Matrix!$AA$2:$AA$451,E$90)</f>
        <v>0</v>
      </c>
      <c r="F93" s="40">
        <f t="shared" si="6"/>
        <v>39</v>
      </c>
    </row>
    <row r="94" spans="1:6" x14ac:dyDescent="0.3">
      <c r="A94" s="40" t="str">
        <f>$A$85</f>
        <v>Fused</v>
      </c>
      <c r="B94">
        <f>COUNTIFS(Matrix!$S$2:$S$451,"INCLUDE",Matrix!$AJ$2:$AJ$451,$A94,Matrix!$AA$2:$AA$451,B$90)</f>
        <v>64</v>
      </c>
      <c r="C94">
        <f>COUNTIFS(Matrix!$S$2:$S$451,"INCLUDE",Matrix!$AJ$2:$AJ$451,$A94,Matrix!$AA$2:$AA$451,C$90)</f>
        <v>0</v>
      </c>
      <c r="D94">
        <f>COUNTIFS(Matrix!$S$2:$S$451,"INCLUDE",Matrix!$AJ$2:$AJ$451,$A94,Matrix!$AA$2:$AA$451,D$90)</f>
        <v>7</v>
      </c>
      <c r="E94">
        <f>COUNTIFS(Matrix!$S$2:$S$451,"INCLUDE",Matrix!$AJ$2:$AJ$451,$A94,Matrix!$AA$2:$AA$451,E$90)</f>
        <v>0</v>
      </c>
      <c r="F94" s="40">
        <f t="shared" si="6"/>
        <v>71</v>
      </c>
    </row>
    <row r="95" spans="1:6" x14ac:dyDescent="0.3">
      <c r="A95" s="40" t="str">
        <f>$A$86</f>
        <v>Unclear</v>
      </c>
      <c r="B95">
        <f>COUNTIFS(Matrix!$S$2:$S$451,"INCLUDE",Matrix!$AJ$2:$AJ$451,$A95,Matrix!$AA$2:$AA$451,B$90)</f>
        <v>15</v>
      </c>
      <c r="C95">
        <f>COUNTIFS(Matrix!$S$2:$S$451,"INCLUDE",Matrix!$AJ$2:$AJ$451,$A95,Matrix!$AA$2:$AA$451,C$90)</f>
        <v>4</v>
      </c>
      <c r="D95">
        <f>COUNTIFS(Matrix!$S$2:$S$451,"INCLUDE",Matrix!$AJ$2:$AJ$451,$A95,Matrix!$AA$2:$AA$451,D$90)</f>
        <v>0</v>
      </c>
      <c r="E95">
        <f>COUNTIFS(Matrix!$S$2:$S$451,"INCLUDE",Matrix!$AJ$2:$AJ$451,$A95,Matrix!$AA$2:$AA$451,E$90)</f>
        <v>0</v>
      </c>
      <c r="F95" s="40">
        <f t="shared" si="6"/>
        <v>19</v>
      </c>
    </row>
    <row r="96" spans="1:6" x14ac:dyDescent="0.3">
      <c r="A96" s="40" t="s">
        <v>1487</v>
      </c>
      <c r="B96" s="40">
        <f>SUM(B91:B95)</f>
        <v>133</v>
      </c>
      <c r="C96" s="40">
        <f t="shared" ref="C96:F96" si="7">SUM(C91:C95)</f>
        <v>8</v>
      </c>
      <c r="D96" s="40">
        <f t="shared" si="7"/>
        <v>10</v>
      </c>
      <c r="E96" s="40">
        <f t="shared" si="7"/>
        <v>0</v>
      </c>
      <c r="F96" s="40">
        <f t="shared" si="7"/>
        <v>151</v>
      </c>
    </row>
    <row r="98" spans="1:2" x14ac:dyDescent="0.3">
      <c r="A98" s="47" t="s">
        <v>1664</v>
      </c>
    </row>
    <row r="99" spans="1:2" x14ac:dyDescent="0.3">
      <c r="A99" s="40" t="s">
        <v>1665</v>
      </c>
      <c r="B99">
        <f>$F$96</f>
        <v>151</v>
      </c>
    </row>
    <row r="100" spans="1:2" x14ac:dyDescent="0.3">
      <c r="A100" s="40" t="s">
        <v>151</v>
      </c>
      <c r="B100">
        <f>$B$2</f>
        <v>151</v>
      </c>
    </row>
    <row r="101" spans="1:2" x14ac:dyDescent="0.3">
      <c r="A101" s="40" t="s">
        <v>1491</v>
      </c>
      <c r="B101" s="40" t="str">
        <f>IF($F$96=$B$2,"OK - "&amp;TEXT($F$96,"0")&amp;" studies fully fusion-coded","MISMATCH: "&amp;TEXT($F$96-$B$2,"+0;-0")&amp;" - check blanks in Matrix AJ")</f>
        <v>OK - 151 studies fully fusion-coded</v>
      </c>
    </row>
    <row r="103" spans="1:2" x14ac:dyDescent="0.3">
      <c r="A103" s="47" t="s">
        <v>1492</v>
      </c>
    </row>
    <row r="104" spans="1:2" x14ac:dyDescent="0.3">
      <c r="A104" s="50" t="str">
        <f>"Of the "&amp;TEXT($B$29,"0")&amp;" multimodal studies only "&amp;TEXT($B$86+$B$85,"0")&amp;" reach Fused or Aligned with genuine joint inference; "&amp;TEXT($B$83,"0")&amp;" remain merely Co-present and "&amp;TEXT($B$86,"0")&amp;" are Unclear. Deepest integration (Fused) = "&amp;TEXT($B$85,"0")&amp;" ("&amp;TEXT($C$85,"0.0%")&amp;" of all included)."</f>
        <v>Of the 137 multimodal studies only 90 reach Fused or Aligned with genuine joint inference; 3 remain merely Co-present and 19 are Unclear. Deepest integration (Fused) = 71 (47.0% of all included).</v>
      </c>
    </row>
    <row r="105" spans="1:2" x14ac:dyDescent="0.3">
      <c r="A105" s="50" t="str">
        <f>"Even among the "&amp;TEXT($F$94,"0")&amp;" Fused studies, "&amp;TEXT($B$94,"0")&amp;" ("&amp;TEXT($B$94/$F$94,"0.0%")&amp;") implement no self-improvement and "&amp;TEXT($E$94,"0")&amp;" characterise convergence - deep data integration does NOT translate into adaptive capability."</f>
        <v>Even among the 71 Fused studies, 64 (90.1%) implement no self-improvement and 0 characterise convergence - deep data integration does NOT translate into adaptive capability.</v>
      </c>
    </row>
  </sheetData>
  <phoneticPr fontId="11" type="noConversion"/>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82fa3fd3-029b-403d-91b4-1dc930cb0e60}" enabled="1" method="Standar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0_Guide</vt:lpstr>
      <vt:lpstr>1_CodeLists</vt:lpstr>
      <vt:lpstr>Matrix</vt:lpstr>
      <vt:lpstr>Step1_Report</vt:lpstr>
      <vt:lpstr>PRISMA_Shapes</vt:lpstr>
      <vt:lpstr>Step3_Report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2026-08-09T15:02:47Z</dcterms:created>
  <dcterms:modified xsi:type="dcterms:W3CDTF">2026-08-22T16:42:24Z</dcterms:modified>
  <cp:category/>
  <cp:contentStatus/>
</cp:coreProperties>
</file>